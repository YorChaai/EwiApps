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</numFmts>
  <fonts count="2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</fonts>
  <fills count="9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24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161656" y="51470"/>
          <a:ext cx="2941698" cy="74718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4.81640625" customWidth="1" style="3" min="7" max="7"/>
    <col width="8.6328125" customWidth="1" style="3" min="8" max="8"/>
    <col width="15.08984375" customWidth="1" min="9" max="9"/>
    <col width="14.453125" bestFit="1" customWidth="1" min="10" max="10"/>
    <col width="14.81640625" bestFit="1" customWidth="1" min="11" max="11"/>
    <col width="13.90625" customWidth="1" min="12" max="12"/>
    <col width="14.54296875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1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</row>
    <row r="8" ht="15.5" customHeight="1">
      <c r="B8" s="14" t="n">
        <v>45302</v>
      </c>
      <c r="C8" s="15" t="n">
        <v>2</v>
      </c>
      <c r="D8" s="170" t="inlineStr">
        <is>
          <t>ALFA Service PDP-075 Pertamina Zona#4</t>
        </is>
      </c>
      <c r="E8" s="227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>
      <c r="B9" s="14" t="n">
        <v>45301</v>
      </c>
      <c r="C9" s="15" t="n">
        <v>3</v>
      </c>
      <c r="D9" s="170" t="inlineStr">
        <is>
          <t>Revenue data procesing MTD_Tomori</t>
        </is>
      </c>
      <c r="E9" s="227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>
      <c r="B10" s="14" t="n">
        <v>45302</v>
      </c>
      <c r="C10" s="15" t="n">
        <v>4</v>
      </c>
      <c r="D10" s="170" t="inlineStr">
        <is>
          <t>ALFA Service PDS-01ST Pertamina Zona#4</t>
        </is>
      </c>
      <c r="E10" s="227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>
      <c r="B11" s="14" t="n">
        <v>45302</v>
      </c>
      <c r="C11" s="15" t="n">
        <v>5</v>
      </c>
      <c r="D11" s="170" t="inlineStr">
        <is>
          <t>ALFA Service JRK-254 Pertamina Zona#4</t>
        </is>
      </c>
      <c r="E11" s="227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>
      <c r="B12" s="14" t="n">
        <v>45446</v>
      </c>
      <c r="C12" s="15" t="n">
        <v>6</v>
      </c>
      <c r="D12" s="170" t="inlineStr">
        <is>
          <t>ALFA Service TLJ-58 Pertamina Zona#4</t>
        </is>
      </c>
      <c r="E12" s="227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>
      <c r="B13" s="14" t="n">
        <v>45447</v>
      </c>
      <c r="C13" s="15" t="n">
        <v>7</v>
      </c>
      <c r="D13" s="170" t="inlineStr">
        <is>
          <t>ALFA Service JRK-193 Pertamina Zona#4</t>
        </is>
      </c>
      <c r="E13" s="227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>
      <c r="B14" s="14" t="n">
        <v>45539</v>
      </c>
      <c r="C14" s="15" t="n">
        <v>8</v>
      </c>
      <c r="D14" s="170" t="inlineStr">
        <is>
          <t>Revenue Repair Electric Assisted Stimulation Machine (no 23)</t>
        </is>
      </c>
      <c r="E14" s="227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>
      <c r="B15" s="14" t="n">
        <v>45537</v>
      </c>
      <c r="C15" s="15" t="n">
        <v>9</v>
      </c>
      <c r="D15" s="170" t="inlineStr">
        <is>
          <t>ALFA Service JRK-163 Pertamina Zona#4</t>
        </is>
      </c>
      <c r="E15" s="227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>
      <c r="B16" s="14" t="n">
        <v>45576</v>
      </c>
      <c r="C16" s="15" t="n">
        <v>10</v>
      </c>
      <c r="D16" s="170" t="inlineStr">
        <is>
          <t>Revenue Project TIS (no 28 )</t>
        </is>
      </c>
      <c r="E16" s="227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>
      <c r="B17" s="14" t="n">
        <v>45572</v>
      </c>
      <c r="C17" s="15" t="n">
        <v>11</v>
      </c>
      <c r="D17" s="170" t="inlineStr">
        <is>
          <t>ALFA Service JRK-095 Pertamina Zona#4</t>
        </is>
      </c>
      <c r="E17" s="227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>
      <c r="B18" s="14" t="n">
        <v>45569</v>
      </c>
      <c r="C18" s="15" t="n">
        <v>12</v>
      </c>
      <c r="D18" s="170" t="inlineStr">
        <is>
          <t>ALFA Service TGB-033 Pertamina Cirebon</t>
        </is>
      </c>
      <c r="E18" s="227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94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>
      <c r="B19" s="14" t="n">
        <v>45569</v>
      </c>
      <c r="C19" s="15" t="n">
        <v>13</v>
      </c>
      <c r="D19" s="170" t="inlineStr">
        <is>
          <t>MFC Service TGB-033 Pertamina Cirebon</t>
        </is>
      </c>
      <c r="E19" s="227" t="n"/>
      <c r="F19" s="195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67" t="n">
        <v>45653</v>
      </c>
      <c r="L19" s="228" t="n">
        <v>412577100</v>
      </c>
      <c r="M19" s="20">
        <f>(F19*11%)</f>
        <v/>
      </c>
      <c r="N19" s="20">
        <f>(F19*2%)</f>
        <v/>
      </c>
      <c r="O19" s="229">
        <f>F19+F20-L19-(N19+N20)</f>
        <v/>
      </c>
      <c r="P19" s="18" t="inlineStr">
        <is>
          <t>Pemungut</t>
        </is>
      </c>
    </row>
    <row r="20" ht="15.5" customHeight="1">
      <c r="B20" s="14" t="n">
        <v>45569</v>
      </c>
      <c r="C20" s="15" t="n">
        <v>14</v>
      </c>
      <c r="D20" s="170" t="inlineStr">
        <is>
          <t>PLT Service TGB-033 Pertamina Cirebon</t>
        </is>
      </c>
      <c r="E20" s="227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24" t="n"/>
      <c r="L20" s="224" t="n"/>
      <c r="M20" s="20">
        <f>(F20*11%)</f>
        <v/>
      </c>
      <c r="N20" s="20">
        <f>(F20*2%)</f>
        <v/>
      </c>
      <c r="O20" s="224" t="n"/>
      <c r="P20" s="18" t="inlineStr">
        <is>
          <t>Pemungut</t>
        </is>
      </c>
    </row>
    <row r="21" ht="15.5" customHeight="1">
      <c r="B21" s="14" t="n">
        <v>45657</v>
      </c>
      <c r="C21" s="15" t="n">
        <v>15</v>
      </c>
      <c r="D21" s="170" t="inlineStr">
        <is>
          <t>Bunga Bank 2024</t>
        </is>
      </c>
      <c r="E21" s="227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200">
        <f>F21</f>
        <v/>
      </c>
      <c r="M21" s="20" t="n"/>
      <c r="N21" s="20" t="n"/>
      <c r="O21" s="201" t="n"/>
      <c r="P21" s="18" t="n"/>
    </row>
    <row r="22" ht="15.5" customHeight="1">
      <c r="B22" s="174" t="inlineStr">
        <is>
          <t>REVENUE (IDR)</t>
        </is>
      </c>
      <c r="C22" s="230" t="n"/>
      <c r="D22" s="230" t="n"/>
      <c r="E22" s="227" t="n"/>
      <c r="F22" s="32">
        <f>SUM(F8:F21)</f>
        <v/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>
        <f>SUM(N8:N21)</f>
        <v/>
      </c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9" t="inlineStr">
        <is>
          <t>Date</t>
        </is>
      </c>
      <c r="C25" s="219" t="inlineStr">
        <is>
          <t>#</t>
        </is>
      </c>
      <c r="D25" s="220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>
        <v>45289</v>
      </c>
      <c r="C27" s="15" t="n"/>
      <c r="D27" s="170" t="inlineStr">
        <is>
          <t>Tax PPN 11% (Project TGE MEPI Rimau Pembayaran Ke-2)</t>
        </is>
      </c>
      <c r="E27" s="227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n">
        <v>45302</v>
      </c>
      <c r="C28" s="15" t="n"/>
      <c r="D28" s="170" t="inlineStr">
        <is>
          <t>Tax PPN 11% (Project TGE MEPI Rimau Pembayaran Ke-2)</t>
        </is>
      </c>
      <c r="E28" s="227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>
      <c r="B29" s="14" t="n">
        <v>45351</v>
      </c>
      <c r="C29" s="15" t="n"/>
      <c r="D29" s="170" t="inlineStr">
        <is>
          <t>Tax PPN 11% (Project TGE MEPI Tomori)</t>
        </is>
      </c>
      <c r="E29" s="227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>
      <c r="B30" s="14" t="n">
        <v>45567</v>
      </c>
      <c r="C30" s="15" t="n"/>
      <c r="D30" s="170" t="inlineStr">
        <is>
          <t>Tax PPN 11% (Perbaikan Repair Electric Assisted Stimulation Machine)</t>
        </is>
      </c>
      <c r="E30" s="227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>
      <c r="B31" s="14" t="n">
        <v>45546</v>
      </c>
      <c r="C31" s="15" t="n"/>
      <c r="D31" s="170" t="inlineStr">
        <is>
          <t>Pinalty Telat bayar pajak PP21 Sewa tool ALFA 2023</t>
        </is>
      </c>
      <c r="E31" s="227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>
      <c r="B32" s="14" t="n">
        <v>45546</v>
      </c>
      <c r="C32" s="15" t="n"/>
      <c r="D32" s="170" t="inlineStr">
        <is>
          <t>Tax PPN 11% pajak Inv-007 tahun 2023 sarulla project - Sibat</t>
        </is>
      </c>
      <c r="E32" s="227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>
      <c r="B33" s="14" t="n">
        <v>45589</v>
      </c>
      <c r="C33" s="15" t="n"/>
      <c r="D33" s="170" t="inlineStr">
        <is>
          <t>Penalty telat bayar pajak PPN project sarulla_INV-007_under Sibat</t>
        </is>
      </c>
      <c r="E33" s="227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>
      <c r="B34" s="14" t="n">
        <v>45593</v>
      </c>
      <c r="C34" s="15" t="n"/>
      <c r="D34" s="170" t="inlineStr">
        <is>
          <t>Pemindahbukan dari double bayar (29 des 2023) utk PPN Inv-028</t>
        </is>
      </c>
      <c r="E34" s="227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>
      <c r="B35" s="14" t="n">
        <v>45607</v>
      </c>
      <c r="C35" s="15" t="n"/>
      <c r="D35" s="170" t="inlineStr">
        <is>
          <t>Kekurangan pajak PPn Inv-028 (barikikn Sakti)(1/3 nya dari PBK pajak)</t>
        </is>
      </c>
      <c r="E35" s="227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>
      <c r="B36" s="14" t="n">
        <v>45607</v>
      </c>
      <c r="C36" s="15" t="n"/>
      <c r="D36" s="170" t="inlineStr">
        <is>
          <t>Kekurangan pajak final PPH 23 keuntungan perusahaan tahun 2023</t>
        </is>
      </c>
      <c r="E36" s="227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54" t="inlineStr">
        <is>
          <t>Currency</t>
        </is>
      </c>
      <c r="H40" s="55" t="inlineStr">
        <is>
          <t>urrency Exchange</t>
        </is>
      </c>
      <c r="I40" s="231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>
      <c r="B41" s="14" t="n">
        <v>45302</v>
      </c>
      <c r="C41" s="15" t="n">
        <v>1</v>
      </c>
      <c r="D41" s="18" t="inlineStr">
        <is>
          <t>ALFA Service PDP-075 Pertamina Zona#4 - Rental Tool</t>
        </is>
      </c>
      <c r="E41" s="18" t="inlineStr">
        <is>
          <t>BCA</t>
        </is>
      </c>
      <c r="F41" s="25" t="n">
        <v>29640916</v>
      </c>
      <c r="G41" s="60" t="inlineStr">
        <is>
          <t>IDR</t>
        </is>
      </c>
      <c r="H41" s="60" t="n">
        <v>1</v>
      </c>
      <c r="I41" s="61" t="n"/>
      <c r="J41" s="61" t="n"/>
      <c r="K41" s="62">
        <f>$F41*$H41</f>
        <v/>
      </c>
      <c r="L41" s="44" t="n"/>
      <c r="M41" s="44" t="n"/>
      <c r="N41" s="44" t="n"/>
      <c r="O41" s="44" t="n"/>
      <c r="P41" s="44" t="n"/>
      <c r="Q41" s="44" t="n"/>
    </row>
    <row r="42" ht="15.5" customHeight="1">
      <c r="B42" s="14" t="n">
        <v>45302</v>
      </c>
      <c r="C42" s="15" t="n">
        <v>2</v>
      </c>
      <c r="D42" s="18" t="inlineStr">
        <is>
          <t>ALFA Service PDS-01ST Pertamina Zona#4 - Rental Tool</t>
        </is>
      </c>
      <c r="E42" s="18" t="inlineStr">
        <is>
          <t>BCA</t>
        </is>
      </c>
      <c r="F42" s="25" t="n">
        <v>29640916</v>
      </c>
      <c r="G42" s="60" t="inlineStr">
        <is>
          <t>IDR</t>
        </is>
      </c>
      <c r="H42" s="60" t="n">
        <v>1</v>
      </c>
      <c r="I42" s="61" t="n"/>
      <c r="J42" s="61" t="n"/>
      <c r="K42" s="62">
        <f>$F42*$H42</f>
        <v/>
      </c>
      <c r="L42" s="44" t="n"/>
      <c r="M42" s="44" t="n"/>
      <c r="N42" s="44" t="n"/>
      <c r="O42" s="44" t="n"/>
      <c r="P42" s="44" t="n"/>
      <c r="Q42" s="44" t="n"/>
    </row>
    <row r="43" ht="15.5" customHeight="1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t="15.5" customHeight="1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t="15.5" customHeight="1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t="15.5" customHeight="1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Diofavian - Student</dc:creator>
  <dcterms:created xmlns:dcterms="http://purl.org/dc/terms/" xmlns:xsi="http://www.w3.org/2001/XMLSchema-instance" xsi:type="dcterms:W3CDTF">2026-02-22T22:22:44Z</dcterms:created>
  <dcterms:modified xmlns:dcterms="http://purl.org/dc/terms/" xmlns:xsi="http://www.w3.org/2001/XMLSchema-instance" xsi:type="dcterms:W3CDTF">2026-04-02T16:12:36Z</dcterms:modified>
  <cp:lastModifiedBy>Diofavian - Student</cp:lastModifiedBy>
</cp:coreProperties>
</file>