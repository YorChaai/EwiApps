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2. Organize\1. Projects\MiniProjectKPI_EWI\excel\"/>
    </mc:Choice>
  </mc:AlternateContent>
  <xr:revisionPtr revIDLastSave="0" documentId="13_ncr:1_{6A46AD9D-212A-44D2-9169-740FCF8B8569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Revenue-Cost_2024" sheetId="1" r:id="rId1"/>
    <sheet name="Laba rugi -2024" sheetId="2" r:id="rId2"/>
    <sheet name="Business Summary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3" l="1"/>
  <c r="E19" i="3"/>
  <c r="E12" i="3"/>
  <c r="E9" i="3"/>
  <c r="E7" i="3"/>
  <c r="E8" i="3" s="1"/>
  <c r="J38" i="2"/>
  <c r="J26" i="2"/>
  <c r="J22" i="2"/>
  <c r="J11" i="2"/>
  <c r="J16" i="2" s="1"/>
  <c r="E10" i="3" l="1"/>
  <c r="E11" i="3"/>
  <c r="E13" i="3" s="1"/>
  <c r="E14" i="3" s="1"/>
  <c r="E16" i="3" s="1"/>
  <c r="J28" i="2"/>
  <c r="J43" i="2" s="1"/>
  <c r="J44" i="2" s="1"/>
  <c r="J46" i="2" s="1"/>
  <c r="I749" i="1" l="1"/>
  <c r="I748" i="1"/>
  <c r="I747" i="1"/>
  <c r="I746" i="1"/>
  <c r="I745" i="1"/>
  <c r="I744" i="1"/>
  <c r="I743" i="1"/>
  <c r="I742" i="1"/>
  <c r="I741" i="1"/>
  <c r="I739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F717" i="1"/>
  <c r="M717" i="1" s="1"/>
  <c r="M716" i="1"/>
  <c r="I714" i="1"/>
  <c r="I713" i="1"/>
  <c r="I712" i="1"/>
  <c r="I711" i="1"/>
  <c r="I710" i="1"/>
  <c r="I708" i="1"/>
  <c r="I706" i="1"/>
  <c r="I705" i="1"/>
  <c r="I704" i="1"/>
  <c r="I702" i="1"/>
  <c r="I701" i="1"/>
  <c r="H700" i="1"/>
  <c r="I700" i="1" s="1"/>
  <c r="I699" i="1"/>
  <c r="H698" i="1"/>
  <c r="I698" i="1" s="1"/>
  <c r="I697" i="1"/>
  <c r="I696" i="1"/>
  <c r="I695" i="1"/>
  <c r="M691" i="1"/>
  <c r="F689" i="1"/>
  <c r="I689" i="1" s="1"/>
  <c r="F688" i="1"/>
  <c r="I688" i="1" s="1"/>
  <c r="I686" i="1"/>
  <c r="I685" i="1"/>
  <c r="I684" i="1"/>
  <c r="I681" i="1"/>
  <c r="I680" i="1"/>
  <c r="I679" i="1"/>
  <c r="I678" i="1"/>
  <c r="F677" i="1"/>
  <c r="I677" i="1" s="1"/>
  <c r="I676" i="1"/>
  <c r="P674" i="1"/>
  <c r="P673" i="1"/>
  <c r="P672" i="1"/>
  <c r="P671" i="1"/>
  <c r="P670" i="1"/>
  <c r="P669" i="1"/>
  <c r="P668" i="1"/>
  <c r="P667" i="1"/>
  <c r="N664" i="1"/>
  <c r="N662" i="1"/>
  <c r="I660" i="1"/>
  <c r="I659" i="1"/>
  <c r="I658" i="1"/>
  <c r="I657" i="1"/>
  <c r="I656" i="1"/>
  <c r="I655" i="1"/>
  <c r="I654" i="1"/>
  <c r="I653" i="1"/>
  <c r="M651" i="1"/>
  <c r="M650" i="1"/>
  <c r="M649" i="1"/>
  <c r="I648" i="1"/>
  <c r="I647" i="1"/>
  <c r="I646" i="1"/>
  <c r="I645" i="1"/>
  <c r="M644" i="1"/>
  <c r="I643" i="1"/>
  <c r="M642" i="1"/>
  <c r="I641" i="1"/>
  <c r="I640" i="1"/>
  <c r="M639" i="1"/>
  <c r="M638" i="1"/>
  <c r="I635" i="1"/>
  <c r="I634" i="1"/>
  <c r="I633" i="1"/>
  <c r="I632" i="1"/>
  <c r="I631" i="1"/>
  <c r="I629" i="1"/>
  <c r="I626" i="1"/>
  <c r="F624" i="1"/>
  <c r="I624" i="1" s="1"/>
  <c r="F622" i="1"/>
  <c r="I622" i="1" s="1"/>
  <c r="F619" i="1"/>
  <c r="I619" i="1" s="1"/>
  <c r="I617" i="1"/>
  <c r="I616" i="1"/>
  <c r="F613" i="1"/>
  <c r="I613" i="1" s="1"/>
  <c r="F612" i="1"/>
  <c r="I612" i="1" s="1"/>
  <c r="I610" i="1"/>
  <c r="I609" i="1"/>
  <c r="I608" i="1"/>
  <c r="I607" i="1"/>
  <c r="I606" i="1"/>
  <c r="I605" i="1"/>
  <c r="F603" i="1"/>
  <c r="I603" i="1" s="1"/>
  <c r="F602" i="1"/>
  <c r="I602" i="1" s="1"/>
  <c r="I599" i="1"/>
  <c r="I598" i="1"/>
  <c r="I597" i="1"/>
  <c r="I596" i="1"/>
  <c r="I595" i="1"/>
  <c r="F593" i="1"/>
  <c r="P593" i="1" s="1"/>
  <c r="P592" i="1"/>
  <c r="P591" i="1"/>
  <c r="P590" i="1"/>
  <c r="F589" i="1"/>
  <c r="P589" i="1" s="1"/>
  <c r="P588" i="1"/>
  <c r="P587" i="1"/>
  <c r="P586" i="1"/>
  <c r="P585" i="1"/>
  <c r="F582" i="1"/>
  <c r="I582" i="1" s="1"/>
  <c r="I581" i="1"/>
  <c r="I579" i="1"/>
  <c r="I578" i="1"/>
  <c r="I576" i="1"/>
  <c r="F575" i="1"/>
  <c r="I575" i="1" s="1"/>
  <c r="I574" i="1"/>
  <c r="F573" i="1"/>
  <c r="I573" i="1" s="1"/>
  <c r="F571" i="1"/>
  <c r="I571" i="1" s="1"/>
  <c r="F570" i="1"/>
  <c r="I570" i="1" s="1"/>
  <c r="F569" i="1"/>
  <c r="I569" i="1" s="1"/>
  <c r="F568" i="1"/>
  <c r="I568" i="1" s="1"/>
  <c r="F567" i="1"/>
  <c r="I567" i="1" s="1"/>
  <c r="I566" i="1"/>
  <c r="I565" i="1"/>
  <c r="I564" i="1"/>
  <c r="I563" i="1"/>
  <c r="I562" i="1"/>
  <c r="I559" i="1"/>
  <c r="I557" i="1"/>
  <c r="I555" i="1"/>
  <c r="I552" i="1"/>
  <c r="I551" i="1"/>
  <c r="I550" i="1"/>
  <c r="I548" i="1"/>
  <c r="I547" i="1"/>
  <c r="F544" i="1"/>
  <c r="I544" i="1" s="1"/>
  <c r="I543" i="1"/>
  <c r="I541" i="1"/>
  <c r="I540" i="1"/>
  <c r="I539" i="1"/>
  <c r="I538" i="1"/>
  <c r="I537" i="1"/>
  <c r="I536" i="1"/>
  <c r="I535" i="1"/>
  <c r="I534" i="1"/>
  <c r="I533" i="1"/>
  <c r="I532" i="1"/>
  <c r="I531" i="1"/>
  <c r="I529" i="1"/>
  <c r="I528" i="1"/>
  <c r="I527" i="1"/>
  <c r="I526" i="1"/>
  <c r="I525" i="1"/>
  <c r="I524" i="1"/>
  <c r="I523" i="1"/>
  <c r="I522" i="1"/>
  <c r="I520" i="1"/>
  <c r="I519" i="1"/>
  <c r="F516" i="1"/>
  <c r="I516" i="1" s="1"/>
  <c r="F514" i="1"/>
  <c r="I514" i="1" s="1"/>
  <c r="F512" i="1"/>
  <c r="I512" i="1" s="1"/>
  <c r="F510" i="1"/>
  <c r="I510" i="1" s="1"/>
  <c r="I509" i="1"/>
  <c r="I508" i="1"/>
  <c r="I505" i="1"/>
  <c r="I504" i="1"/>
  <c r="I502" i="1"/>
  <c r="I501" i="1"/>
  <c r="I500" i="1"/>
  <c r="I499" i="1"/>
  <c r="I498" i="1"/>
  <c r="I497" i="1"/>
  <c r="I496" i="1"/>
  <c r="I494" i="1"/>
  <c r="I493" i="1"/>
  <c r="I490" i="1"/>
  <c r="F488" i="1"/>
  <c r="I488" i="1" s="1"/>
  <c r="F487" i="1"/>
  <c r="I487" i="1" s="1"/>
  <c r="I484" i="1"/>
  <c r="I482" i="1"/>
  <c r="I480" i="1"/>
  <c r="N478" i="1"/>
  <c r="I476" i="1"/>
  <c r="I475" i="1"/>
  <c r="I474" i="1"/>
  <c r="I472" i="1"/>
  <c r="I471" i="1"/>
  <c r="I468" i="1"/>
  <c r="I466" i="1"/>
  <c r="I464" i="1"/>
  <c r="F463" i="1"/>
  <c r="I463" i="1" s="1"/>
  <c r="I462" i="1"/>
  <c r="I461" i="1"/>
  <c r="I460" i="1"/>
  <c r="I458" i="1"/>
  <c r="N457" i="1"/>
  <c r="N456" i="1"/>
  <c r="N455" i="1"/>
  <c r="I454" i="1"/>
  <c r="I453" i="1"/>
  <c r="I452" i="1"/>
  <c r="N451" i="1"/>
  <c r="I450" i="1"/>
  <c r="I449" i="1"/>
  <c r="I448" i="1"/>
  <c r="P447" i="1"/>
  <c r="I445" i="1"/>
  <c r="I444" i="1"/>
  <c r="F442" i="1"/>
  <c r="I442" i="1" s="1"/>
  <c r="F441" i="1"/>
  <c r="I441" i="1" s="1"/>
  <c r="I440" i="1"/>
  <c r="I437" i="1"/>
  <c r="I436" i="1"/>
  <c r="I435" i="1"/>
  <c r="N433" i="1"/>
  <c r="N432" i="1"/>
  <c r="N431" i="1"/>
  <c r="N430" i="1"/>
  <c r="N429" i="1"/>
  <c r="N428" i="1"/>
  <c r="N427" i="1"/>
  <c r="N426" i="1"/>
  <c r="I424" i="1"/>
  <c r="I423" i="1"/>
  <c r="I422" i="1"/>
  <c r="I421" i="1"/>
  <c r="I420" i="1"/>
  <c r="I418" i="1"/>
  <c r="P416" i="1"/>
  <c r="P415" i="1"/>
  <c r="P414" i="1"/>
  <c r="P413" i="1"/>
  <c r="P412" i="1"/>
  <c r="P411" i="1"/>
  <c r="P410" i="1"/>
  <c r="I407" i="1"/>
  <c r="I405" i="1"/>
  <c r="I403" i="1"/>
  <c r="I401" i="1"/>
  <c r="I400" i="1"/>
  <c r="I398" i="1"/>
  <c r="I397" i="1"/>
  <c r="I396" i="1"/>
  <c r="I394" i="1"/>
  <c r="I391" i="1"/>
  <c r="N389" i="1"/>
  <c r="I387" i="1"/>
  <c r="I385" i="1"/>
  <c r="I382" i="1"/>
  <c r="I381" i="1"/>
  <c r="F379" i="1"/>
  <c r="I379" i="1" s="1"/>
  <c r="F378" i="1"/>
  <c r="I378" i="1" s="1"/>
  <c r="F377" i="1"/>
  <c r="I377" i="1" s="1"/>
  <c r="F376" i="1"/>
  <c r="I376" i="1" s="1"/>
  <c r="N373" i="1"/>
  <c r="N372" i="1"/>
  <c r="N371" i="1"/>
  <c r="F369" i="1"/>
  <c r="I369" i="1" s="1"/>
  <c r="F367" i="1"/>
  <c r="I367" i="1" s="1"/>
  <c r="F365" i="1"/>
  <c r="I365" i="1" s="1"/>
  <c r="F363" i="1"/>
  <c r="I363" i="1" s="1"/>
  <c r="I361" i="1"/>
  <c r="F359" i="1"/>
  <c r="I359" i="1" s="1"/>
  <c r="F358" i="1"/>
  <c r="I358" i="1" s="1"/>
  <c r="F357" i="1"/>
  <c r="I357" i="1" s="1"/>
  <c r="I356" i="1"/>
  <c r="F355" i="1"/>
  <c r="I355" i="1" s="1"/>
  <c r="F354" i="1"/>
  <c r="I354" i="1" s="1"/>
  <c r="I352" i="1"/>
  <c r="I351" i="1"/>
  <c r="P348" i="1"/>
  <c r="P347" i="1"/>
  <c r="P346" i="1"/>
  <c r="P345" i="1"/>
  <c r="N342" i="1"/>
  <c r="N341" i="1"/>
  <c r="I339" i="1"/>
  <c r="I338" i="1"/>
  <c r="I337" i="1"/>
  <c r="I336" i="1"/>
  <c r="I335" i="1"/>
  <c r="I334" i="1"/>
  <c r="I332" i="1"/>
  <c r="I331" i="1"/>
  <c r="N328" i="1"/>
  <c r="N327" i="1"/>
  <c r="F325" i="1"/>
  <c r="I325" i="1" s="1"/>
  <c r="F322" i="1"/>
  <c r="I322" i="1" s="1"/>
  <c r="F320" i="1"/>
  <c r="I320" i="1" s="1"/>
  <c r="N318" i="1"/>
  <c r="I316" i="1"/>
  <c r="I315" i="1"/>
  <c r="I314" i="1"/>
  <c r="I313" i="1"/>
  <c r="I312" i="1"/>
  <c r="I311" i="1"/>
  <c r="I310" i="1"/>
  <c r="F308" i="1"/>
  <c r="I308" i="1" s="1"/>
  <c r="I307" i="1"/>
  <c r="F304" i="1"/>
  <c r="I304" i="1" s="1"/>
  <c r="F303" i="1"/>
  <c r="I303" i="1" s="1"/>
  <c r="F302" i="1"/>
  <c r="I302" i="1" s="1"/>
  <c r="I300" i="1"/>
  <c r="I297" i="1"/>
  <c r="I295" i="1"/>
  <c r="I293" i="1"/>
  <c r="I291" i="1"/>
  <c r="I290" i="1"/>
  <c r="I289" i="1"/>
  <c r="I288" i="1"/>
  <c r="I287" i="1"/>
  <c r="I286" i="1"/>
  <c r="I285" i="1"/>
  <c r="I283" i="1"/>
  <c r="I282" i="1"/>
  <c r="F279" i="1"/>
  <c r="I279" i="1" s="1"/>
  <c r="I277" i="1"/>
  <c r="F275" i="1"/>
  <c r="I275" i="1" s="1"/>
  <c r="N274" i="1"/>
  <c r="N273" i="1"/>
  <c r="N272" i="1"/>
  <c r="N270" i="1"/>
  <c r="F267" i="1"/>
  <c r="I267" i="1" s="1"/>
  <c r="F266" i="1"/>
  <c r="I266" i="1" s="1"/>
  <c r="F263" i="1"/>
  <c r="I263" i="1" s="1"/>
  <c r="I261" i="1"/>
  <c r="I260" i="1"/>
  <c r="I258" i="1"/>
  <c r="I257" i="1"/>
  <c r="I256" i="1"/>
  <c r="P254" i="1"/>
  <c r="N252" i="1"/>
  <c r="P251" i="1"/>
  <c r="I249" i="1"/>
  <c r="F247" i="1"/>
  <c r="I247" i="1" s="1"/>
  <c r="I245" i="1"/>
  <c r="I244" i="1"/>
  <c r="F243" i="1"/>
  <c r="I243" i="1" s="1"/>
  <c r="I242" i="1"/>
  <c r="I241" i="1"/>
  <c r="I240" i="1"/>
  <c r="I239" i="1"/>
  <c r="F237" i="1"/>
  <c r="I237" i="1" s="1"/>
  <c r="F236" i="1"/>
  <c r="I236" i="1" s="1"/>
  <c r="I233" i="1"/>
  <c r="I230" i="1"/>
  <c r="I228" i="1"/>
  <c r="I226" i="1"/>
  <c r="N225" i="1"/>
  <c r="I223" i="1"/>
  <c r="I222" i="1"/>
  <c r="I219" i="1"/>
  <c r="I218" i="1"/>
  <c r="F216" i="1"/>
  <c r="I216" i="1" s="1"/>
  <c r="I214" i="1"/>
  <c r="I212" i="1"/>
  <c r="I211" i="1"/>
  <c r="I208" i="1"/>
  <c r="F206" i="1"/>
  <c r="I206" i="1" s="1"/>
  <c r="F204" i="1"/>
  <c r="I204" i="1" s="1"/>
  <c r="I203" i="1"/>
  <c r="F202" i="1"/>
  <c r="I202" i="1" s="1"/>
  <c r="F201" i="1"/>
  <c r="I201" i="1" s="1"/>
  <c r="F200" i="1"/>
  <c r="I200" i="1" s="1"/>
  <c r="I198" i="1"/>
  <c r="I195" i="1"/>
  <c r="I193" i="1"/>
  <c r="I191" i="1"/>
  <c r="I190" i="1"/>
  <c r="I188" i="1"/>
  <c r="I187" i="1"/>
  <c r="I184" i="1"/>
  <c r="I182" i="1"/>
  <c r="I180" i="1"/>
  <c r="I179" i="1"/>
  <c r="I178" i="1"/>
  <c r="I177" i="1"/>
  <c r="I176" i="1"/>
  <c r="I175" i="1"/>
  <c r="I173" i="1"/>
  <c r="I171" i="1"/>
  <c r="I169" i="1"/>
  <c r="I168" i="1"/>
  <c r="P165" i="1"/>
  <c r="N163" i="1"/>
  <c r="N162" i="1"/>
  <c r="N161" i="1"/>
  <c r="N160" i="1"/>
  <c r="N159" i="1"/>
  <c r="N158" i="1"/>
  <c r="N157" i="1"/>
  <c r="N156" i="1"/>
  <c r="I154" i="1"/>
  <c r="I152" i="1"/>
  <c r="I150" i="1"/>
  <c r="I148" i="1"/>
  <c r="I147" i="1"/>
  <c r="I144" i="1"/>
  <c r="I142" i="1"/>
  <c r="N140" i="1"/>
  <c r="N139" i="1"/>
  <c r="N138" i="1"/>
  <c r="I136" i="1"/>
  <c r="I134" i="1"/>
  <c r="I133" i="1"/>
  <c r="I132" i="1"/>
  <c r="I131" i="1"/>
  <c r="I129" i="1"/>
  <c r="I126" i="1"/>
  <c r="I124" i="1"/>
  <c r="I122" i="1"/>
  <c r="N120" i="1"/>
  <c r="N119" i="1"/>
  <c r="N118" i="1"/>
  <c r="N117" i="1"/>
  <c r="N116" i="1"/>
  <c r="N115" i="1"/>
  <c r="I113" i="1"/>
  <c r="I112" i="1"/>
  <c r="I111" i="1"/>
  <c r="I109" i="1"/>
  <c r="I108" i="1"/>
  <c r="I107" i="1"/>
  <c r="I106" i="1"/>
  <c r="I105" i="1"/>
  <c r="I104" i="1"/>
  <c r="I102" i="1"/>
  <c r="I101" i="1"/>
  <c r="M96" i="1"/>
  <c r="J94" i="1"/>
  <c r="I93" i="1"/>
  <c r="I92" i="1"/>
  <c r="O91" i="1"/>
  <c r="O750" i="1" s="1"/>
  <c r="J90" i="1"/>
  <c r="N89" i="1"/>
  <c r="I88" i="1"/>
  <c r="Q87" i="1"/>
  <c r="I86" i="1"/>
  <c r="L85" i="1"/>
  <c r="I84" i="1"/>
  <c r="K83" i="1"/>
  <c r="K82" i="1"/>
  <c r="K81" i="1"/>
  <c r="K80" i="1"/>
  <c r="K79" i="1"/>
  <c r="I78" i="1"/>
  <c r="I77" i="1"/>
  <c r="N76" i="1"/>
  <c r="J75" i="1"/>
  <c r="Q74" i="1"/>
  <c r="K73" i="1"/>
  <c r="I72" i="1"/>
  <c r="L71" i="1"/>
  <c r="N70" i="1"/>
  <c r="Q69" i="1"/>
  <c r="J68" i="1"/>
  <c r="I65" i="1"/>
  <c r="I64" i="1"/>
  <c r="Q63" i="1"/>
  <c r="I62" i="1"/>
  <c r="I61" i="1"/>
  <c r="K57" i="1"/>
  <c r="I55" i="1"/>
  <c r="K54" i="1"/>
  <c r="I53" i="1"/>
  <c r="J52" i="1"/>
  <c r="J47" i="1"/>
  <c r="I45" i="1"/>
  <c r="I44" i="1"/>
  <c r="K43" i="1"/>
  <c r="K42" i="1"/>
  <c r="K41" i="1"/>
  <c r="P37" i="1"/>
  <c r="N37" i="1"/>
  <c r="L37" i="1"/>
  <c r="J37" i="1"/>
  <c r="F22" i="1"/>
  <c r="L21" i="1"/>
  <c r="N20" i="1"/>
  <c r="M20" i="1"/>
  <c r="N19" i="1"/>
  <c r="M19" i="1"/>
  <c r="N18" i="1"/>
  <c r="O18" i="1" s="1"/>
  <c r="M18" i="1"/>
  <c r="N17" i="1"/>
  <c r="O17" i="1" s="1"/>
  <c r="M17" i="1"/>
  <c r="N16" i="1"/>
  <c r="M16" i="1"/>
  <c r="N15" i="1"/>
  <c r="O15" i="1" s="1"/>
  <c r="M15" i="1"/>
  <c r="N14" i="1"/>
  <c r="M14" i="1"/>
  <c r="L14" i="1"/>
  <c r="N13" i="1"/>
  <c r="O13" i="1" s="1"/>
  <c r="M13" i="1"/>
  <c r="N12" i="1"/>
  <c r="O12" i="1" s="1"/>
  <c r="M12" i="1"/>
  <c r="N11" i="1"/>
  <c r="O11" i="1" s="1"/>
  <c r="M11" i="1"/>
  <c r="N10" i="1"/>
  <c r="O10" i="1" s="1"/>
  <c r="M10" i="1"/>
  <c r="N9" i="1"/>
  <c r="M9" i="1"/>
  <c r="N8" i="1"/>
  <c r="O8" i="1" s="1"/>
  <c r="M8" i="1"/>
  <c r="L22" i="1" l="1"/>
  <c r="L750" i="1"/>
  <c r="O19" i="1"/>
  <c r="P750" i="1"/>
  <c r="Q750" i="1"/>
  <c r="N750" i="1"/>
  <c r="K750" i="1"/>
  <c r="M750" i="1"/>
  <c r="O16" i="1"/>
  <c r="M22" i="1"/>
  <c r="J750" i="1"/>
  <c r="I750" i="1"/>
  <c r="N22" i="1"/>
</calcChain>
</file>

<file path=xl/sharedStrings.xml><?xml version="1.0" encoding="utf-8"?>
<sst xmlns="http://schemas.openxmlformats.org/spreadsheetml/2006/main" count="1647" uniqueCount="678">
  <si>
    <t>Daily Report - Balance Calculation Operation Cost</t>
  </si>
  <si>
    <t>Project</t>
  </si>
  <si>
    <t>:</t>
  </si>
  <si>
    <t>REVENUE vs OPERATION COST Tahun 2024</t>
  </si>
  <si>
    <t>Date</t>
  </si>
  <si>
    <t>Januari - Desember 2024</t>
  </si>
  <si>
    <t>REVENUE &amp; TAX</t>
  </si>
  <si>
    <t>Invoice Date</t>
  </si>
  <si>
    <t>#</t>
  </si>
  <si>
    <t>Detail/Description</t>
  </si>
  <si>
    <t>INVOICE VALUE</t>
  </si>
  <si>
    <t>Currency</t>
  </si>
  <si>
    <t>Currency
Exchange</t>
  </si>
  <si>
    <t>INVOICE Number</t>
  </si>
  <si>
    <t>Client</t>
  </si>
  <si>
    <t>Receive Date</t>
  </si>
  <si>
    <t>AMOUNT RECEIVED</t>
  </si>
  <si>
    <t>PPn</t>
  </si>
  <si>
    <t>PPH
(Pasal 23)</t>
  </si>
  <si>
    <t>Biaya transfer</t>
  </si>
  <si>
    <t>Remark</t>
  </si>
  <si>
    <t>IDR</t>
  </si>
  <si>
    <t>ALFA Service PDP-075 Pertamina Zona#4</t>
  </si>
  <si>
    <t>INV017</t>
  </si>
  <si>
    <t>SI Jak</t>
  </si>
  <si>
    <t>Pemungut</t>
  </si>
  <si>
    <t>Revenue data procesing MTD_Tomori</t>
  </si>
  <si>
    <t>INV015</t>
  </si>
  <si>
    <t>TGE</t>
  </si>
  <si>
    <t>inc.PPN11%</t>
  </si>
  <si>
    <t>ALFA Service PDS-01ST Pertamina Zona#4</t>
  </si>
  <si>
    <t>INV019</t>
  </si>
  <si>
    <t>ALFA Service JRK-254 Pertamina Zona#4</t>
  </si>
  <si>
    <t>INV018</t>
  </si>
  <si>
    <t>ALFA Service TLJ-58 Pertamina Zona#4</t>
  </si>
  <si>
    <t>INV020</t>
  </si>
  <si>
    <t>ALFA Service JRK-193 Pertamina Zona#4</t>
  </si>
  <si>
    <t>INV021</t>
  </si>
  <si>
    <t>Revenue Repair Electric Assisted Stimulation Machine (no 23)</t>
  </si>
  <si>
    <t>INV023</t>
  </si>
  <si>
    <t>LBU</t>
  </si>
  <si>
    <t>ALFA Service JRK-163 Pertamina Zona#4</t>
  </si>
  <si>
    <t>INV022</t>
  </si>
  <si>
    <t>Revenue Project TIS (no 28 )</t>
  </si>
  <si>
    <t>INV028</t>
  </si>
  <si>
    <t>Barikin Sakti</t>
  </si>
  <si>
    <t>ALFA Service JRK-095 Pertamina Zona#4</t>
  </si>
  <si>
    <t>INV027</t>
  </si>
  <si>
    <t>ALFA Service TGB-033 Pertamina Cirebon</t>
  </si>
  <si>
    <t>INV024</t>
  </si>
  <si>
    <t>Elnusa</t>
  </si>
  <si>
    <t>MFC Service TGB-033 Pertamina Cirebon</t>
  </si>
  <si>
    <t>INV025</t>
  </si>
  <si>
    <t>PLT Service TGB-033 Pertamina Cirebon</t>
  </si>
  <si>
    <t>INV026</t>
  </si>
  <si>
    <t>Bunga Bank 2024</t>
  </si>
  <si>
    <t>REVENUE (IDR)</t>
  </si>
  <si>
    <t>PAJAK PENGELUARAN</t>
  </si>
  <si>
    <t>Transaction Value</t>
  </si>
  <si>
    <t>PPN</t>
  </si>
  <si>
    <t>PPh (pasal 21)</t>
  </si>
  <si>
    <t>PPh (pasal 23)</t>
  </si>
  <si>
    <t>PPh (pasal 26)</t>
  </si>
  <si>
    <t>Transaction</t>
  </si>
  <si>
    <t>PPh - 21</t>
  </si>
  <si>
    <t>PPh - 23</t>
  </si>
  <si>
    <t>PPh - 26</t>
  </si>
  <si>
    <t>Tax PPN 11% (Project TGE MEPI Rimau Pembayaran Ke-2)</t>
  </si>
  <si>
    <t>Tax PPN 11% (Project TGE MEPI Tomori)</t>
  </si>
  <si>
    <t>Tax PPN 11% (Perbaikan Repair Electric Assisted Stimulation Machine)</t>
  </si>
  <si>
    <t>Pinalty Telat bayar pajak PP21 Sewa tool ALFA 2023</t>
  </si>
  <si>
    <t>Tax PPN 11% pajak Inv-007 tahun 2023 sarulla project - Sibat</t>
  </si>
  <si>
    <t>Penalty telat bayar pajak PPN project sarulla_INV-007_under Sibat</t>
  </si>
  <si>
    <t>Pemindahbukan dari double bayar (29 des 2023) utk PPN Inv-028</t>
  </si>
  <si>
    <t>Kekurangan pajak PPn Inv-028 (barikikn Sakti)(1/3 nya dari PBK pajak)</t>
  </si>
  <si>
    <t>Kekurangan pajak final PPH 23 keuntungan perusahaan tahun 2023</t>
  </si>
  <si>
    <t>PENERIMAAN NEGARA (TAX) (IDR)</t>
  </si>
  <si>
    <t>PPh</t>
  </si>
  <si>
    <t>PENGELUARAN</t>
  </si>
  <si>
    <t>Activity</t>
  </si>
  <si>
    <t>Source</t>
  </si>
  <si>
    <t>Jumlah</t>
  </si>
  <si>
    <t>urrency Exchange</t>
  </si>
  <si>
    <t>Biaya Operasi (Gaji, Tunjangan Lapangan, Training, THR, Transport, Meal, Hotel, loundry)</t>
  </si>
  <si>
    <t>Biaya research
(R &amp; D)</t>
  </si>
  <si>
    <t>BIAYA SEWA PERALATAN</t>
  </si>
  <si>
    <t>BIAYA INTEPRETASI LOG DATA</t>
  </si>
  <si>
    <t>ADMINISTRASI</t>
  </si>
  <si>
    <t xml:space="preserve"> PEMBELIAN Barang</t>
  </si>
  <si>
    <t xml:space="preserve"> SEWA KANTOR</t>
  </si>
  <si>
    <t xml:space="preserve"> KESEHATAN</t>
  </si>
  <si>
    <t>BISNIS DEV</t>
  </si>
  <si>
    <t>ALFA Service PDP-075 Pertamina Zona#4 - Rental Tool</t>
  </si>
  <si>
    <t>BCA</t>
  </si>
  <si>
    <t>ALFA Service PDS-01ST Pertamina Zona#4 - Rental Tool</t>
  </si>
  <si>
    <t>ALFA Service JRK-254 Pertamina Zona#4 - Rental Tool</t>
  </si>
  <si>
    <t>Sales cost 4 Well Integrity Pertamina Z.4</t>
  </si>
  <si>
    <t>BRI</t>
  </si>
  <si>
    <t>Gaji Januari 2024 _Yufitri</t>
  </si>
  <si>
    <t>Gaji Februari 2024 + raple gaji Januari 2024_Yufitri</t>
  </si>
  <si>
    <t>Ralika Jaya Utama | Permbuatan alat Downhole Wireless Telemetry</t>
  </si>
  <si>
    <t>Gaji Maret 2024_Yufitri</t>
  </si>
  <si>
    <t>THR 2024_Yufitri</t>
  </si>
  <si>
    <t>Data proccesing MTD 4 well, project Tomori-Alan</t>
  </si>
  <si>
    <t>Gaji April_Yufitri</t>
  </si>
  <si>
    <t>Aro Energy | Moving slickline dari Duri (Toni Supriadi) ke Sungai lilin</t>
  </si>
  <si>
    <t>ALFA Service TLJ-58 Pertamina Zona#4 - Rental Tool</t>
  </si>
  <si>
    <t>PT Laka Indonesia |  Wastafel for WIKA Anantara Ubud Bali</t>
  </si>
  <si>
    <t>Gaji Mei_Yufitri</t>
  </si>
  <si>
    <t>ALFA Service JRK-193 Pertamina Zona#4 - Rental Tool</t>
  </si>
  <si>
    <t>Gaji Juni 2024_Yufitri</t>
  </si>
  <si>
    <t>Downhole Sampling tool #1-1 GARINDO SARANA BARU</t>
  </si>
  <si>
    <t>Kekurangan (PPN ) ke PT Garindo sarana Baru (Downhole Sampling)</t>
  </si>
  <si>
    <t>Repair ESOR panel &amp; Fabricate dummy test load, Payment#2</t>
  </si>
  <si>
    <t>Pembelian Lisence Sonoechometer to PT Weebz Mandiri</t>
  </si>
  <si>
    <t>Repair ESOR panel &amp; Fabricate dummy test load, Payment#1</t>
  </si>
  <si>
    <t>Gaji Juli 2024_Yufitri</t>
  </si>
  <si>
    <t>Handphone Operational untuk Secretary (Yufitri)</t>
  </si>
  <si>
    <t>Ralika Jaya Utama | Permbuatan alat injeksi listrik (EAS)</t>
  </si>
  <si>
    <t>MUTRI | Sewa ruangan kantor BBC 2 bulan</t>
  </si>
  <si>
    <t>Downhole Sampling tool #1-2 GARINDO SARANA BARU</t>
  </si>
  <si>
    <t>Data proccesing TGB-33 DAN TIS (RBG-3b)-Alan</t>
  </si>
  <si>
    <t>Gaji Agustus 2024_Yufitri</t>
  </si>
  <si>
    <t>ALFA Service JRK-163 Pertamina Zona#4 - Rental Tool</t>
  </si>
  <si>
    <t>MUTRI | Penambahan modal biaya kerja</t>
  </si>
  <si>
    <t>Ralika Jaya Utama | Permbuatan alat EMR</t>
  </si>
  <si>
    <t>Downhole Sampling tool #2 GARINDO SARANA BARU</t>
  </si>
  <si>
    <t>Gaji fitri bulan september 2024</t>
  </si>
  <si>
    <t>Gaji fitri bulan October 2024</t>
  </si>
  <si>
    <t>PLT Service TGB-033 Pertamina Cirebon - Rental Tool</t>
  </si>
  <si>
    <t>ALFA Service TGB-033 Pertamina Cirebon - Rental Tool</t>
  </si>
  <si>
    <t>MFC Service TGB-033 Pertamina Cirebon - Rental Tool</t>
  </si>
  <si>
    <t>ALFA Service JRK-095 Pertamina Zona#4 - Rental Tool</t>
  </si>
  <si>
    <t>MPLT/GR-CCL/ALFA TIS - Rental Tool</t>
  </si>
  <si>
    <t>PT Laka Indonesia | Project Lampu Taman Istana Negara Jakarta</t>
  </si>
  <si>
    <t>Data Processing 8 Well Alan Project SIJAK</t>
  </si>
  <si>
    <t xml:space="preserve">Sales fee 2 Well Integrity Pertamina Z.4 </t>
  </si>
  <si>
    <t>MUTRI | Penambahan modal biaya kerja 3rd</t>
  </si>
  <si>
    <t>Gaji fitri bulan November 2024</t>
  </si>
  <si>
    <t>Payment ke UPS Biaya Import pembelian sparepart dari Pei-Genesis</t>
  </si>
  <si>
    <t>Sewa Virtual Office 1th, 1jan25 - 31des25_BBC_ Ganesha Dwipaya B</t>
  </si>
  <si>
    <t>Team building EWI dengan team Well Intervention PEP Reg. 2</t>
  </si>
  <si>
    <t>Gaji Desember 2024 + Bomnus akhir tahun - 4 bulan_Yufitri</t>
  </si>
  <si>
    <t>KUPA | Pembelian Mesin Retort Horizontal 500 Lt Automatic Control</t>
  </si>
  <si>
    <t>Biaya Bank</t>
  </si>
  <si>
    <t>Total Biaya Transaksi Bank selama 1 tahun</t>
  </si>
  <si>
    <t>OPERATION COST AND OFFICE - Expenses Report</t>
  </si>
  <si>
    <t>Expense#1</t>
  </si>
  <si>
    <t>ALFA_ TLJ-58 (PEPZ4-Prabumulih field) SIJak- IC</t>
  </si>
  <si>
    <t>Transportation</t>
  </si>
  <si>
    <t>Airplane Ticket CGK-PLM</t>
  </si>
  <si>
    <t>Airplane Ticket PLM-CGK</t>
  </si>
  <si>
    <t>Taxi Bintaro-CGK</t>
  </si>
  <si>
    <t>Rental Mobil Pajero 1 Hari</t>
  </si>
  <si>
    <t>Rental Mobil Pajero Sebulan</t>
  </si>
  <si>
    <t>Taxi CGK-Bintaro</t>
  </si>
  <si>
    <t>Fuel</t>
  </si>
  <si>
    <t>Toll Fee</t>
  </si>
  <si>
    <t>Accommodation</t>
  </si>
  <si>
    <t>Hotel 7 Feb-8 Feb 2024 (1 days)</t>
  </si>
  <si>
    <t>Hotel Prabumulih 8 Feb- 7 Mar 2024 (1 Month)</t>
  </si>
  <si>
    <t>Laundry 27 days 1 Persons @ 50K IDR/day</t>
  </si>
  <si>
    <t>Logistic</t>
  </si>
  <si>
    <t>Gloves</t>
  </si>
  <si>
    <t>Battery A3</t>
  </si>
  <si>
    <t>Steker</t>
  </si>
  <si>
    <t>White Marker</t>
  </si>
  <si>
    <t>Internet Data</t>
  </si>
  <si>
    <t>Meal</t>
  </si>
  <si>
    <t>Meal Crew's Operational</t>
  </si>
  <si>
    <t>Meals 27 days 1 Persons @ 150K IDR/day</t>
  </si>
  <si>
    <t>Allowance</t>
  </si>
  <si>
    <t>Tunjangan Lapangan for 27 days</t>
  </si>
  <si>
    <t>USD</t>
  </si>
  <si>
    <t>Expense#2</t>
  </si>
  <si>
    <t>Training ALFA _TLJ-58 (PEPZ4-Prabumulih field_ Titis Maulana</t>
  </si>
  <si>
    <t>Taxi Pondok Cabe-CGK</t>
  </si>
  <si>
    <t>Taxi CGK-Pondok Cabe</t>
  </si>
  <si>
    <t>Laundry 30 days 1 Persons @ 50K IDR/day</t>
  </si>
  <si>
    <t>Safety Shoes</t>
  </si>
  <si>
    <t>Extra Baggage</t>
  </si>
  <si>
    <t>Meals 30 days 1 Persons @ 150K IDR/day</t>
  </si>
  <si>
    <t>Tunjangan Lapangan (Training) untuk 27 days</t>
  </si>
  <si>
    <t>Expense#3</t>
  </si>
  <si>
    <t>MPLT (SAKA-UjungPangkah field) GOWell - TGE _IC</t>
  </si>
  <si>
    <t>Laundry 6 days 1 Persons @ 50K IDR/day</t>
  </si>
  <si>
    <t>Meals 6 days 1 Persons @ 150K IDR/day</t>
  </si>
  <si>
    <t>Tunjangan Lapangan untuk 6 days</t>
  </si>
  <si>
    <t>Expense#4</t>
  </si>
  <si>
    <t xml:space="preserve">Non project (3rd) _ Ivan Chairulsyah </t>
  </si>
  <si>
    <t>Buy Cable type C to A</t>
  </si>
  <si>
    <t>Buy Cable type C to C</t>
  </si>
  <si>
    <t>Buy Jack 3 Pin Socket</t>
  </si>
  <si>
    <t>Buy Powerbank 2 ea 27kmah &amp; 52kmah</t>
  </si>
  <si>
    <t>Buy Fluke-117</t>
  </si>
  <si>
    <t>Buy SANWA YX360TRF</t>
  </si>
  <si>
    <t>Send Tool from Gowell to TGE</t>
  </si>
  <si>
    <t>Send Tool from Bintaro to Gowell</t>
  </si>
  <si>
    <t>Expense#5</t>
  </si>
  <si>
    <t xml:space="preserve">MCU RS PP _Titis Maulana </t>
  </si>
  <si>
    <t>MCU RS PP</t>
  </si>
  <si>
    <t>Expense#6</t>
  </si>
  <si>
    <t>MPLT (SAKA-UjungPangkah field) by TGE - GOWell project_IC</t>
  </si>
  <si>
    <t>Laundry 5 days 1 Persons @ 50K IDR/day</t>
  </si>
  <si>
    <t>Meals 5 days 1 Persons @ 150K IDR/day</t>
  </si>
  <si>
    <t>Shipping</t>
  </si>
  <si>
    <t>Send DTR Bintaro - Gowell</t>
  </si>
  <si>
    <t>Send QPS Gowell - TGE</t>
  </si>
  <si>
    <t>Send ALFA Bintaro - Andara</t>
  </si>
  <si>
    <t>Send HPTC Bintaro - Andara</t>
  </si>
  <si>
    <t>Send BA Bintaro - TGE</t>
  </si>
  <si>
    <t>Send MPLT TGE - Gowell</t>
  </si>
  <si>
    <t>Crews' Food</t>
  </si>
  <si>
    <t>Tunjangan lapangan untuk 5 days</t>
  </si>
  <si>
    <t>Expense#7</t>
  </si>
  <si>
    <t>PLT SRO_ TGB-33 (Jatibarang Field) Elnusa _ IC</t>
  </si>
  <si>
    <t>Fuels</t>
  </si>
  <si>
    <t>Toll</t>
  </si>
  <si>
    <t>Hotel 2 days</t>
  </si>
  <si>
    <t>Laundry 2 days</t>
  </si>
  <si>
    <t>Meals 2 days 1 Persons @ 150K IDR/day</t>
  </si>
  <si>
    <t>Tunjangan Lapangan for 2 days</t>
  </si>
  <si>
    <t>Expense#8</t>
  </si>
  <si>
    <t>Training BST_ PHR-zona 4 (Dwiyanto) (Dwi_Febri dan Ilham)</t>
  </si>
  <si>
    <t>Jakarta - Palembang - Jakarta</t>
  </si>
  <si>
    <t>Taxi + Tol to Airport Jakarta</t>
  </si>
  <si>
    <t>Airport park + fuel + tol Indralaya</t>
  </si>
  <si>
    <t>Car Rental</t>
  </si>
  <si>
    <t>Tol Indralaya</t>
  </si>
  <si>
    <t>Tol + Taxi From Airport Jakarta</t>
  </si>
  <si>
    <t xml:space="preserve">Hotel </t>
  </si>
  <si>
    <t>Dinner (Dwi, Febri, Ilham)</t>
  </si>
  <si>
    <t>Expense#9</t>
  </si>
  <si>
    <t>MFC and ALFA Memory (Jatibarang Field) TGB-033_Elnusa_ AC</t>
  </si>
  <si>
    <t>Train (Jati barang - Jati Negara)</t>
  </si>
  <si>
    <t xml:space="preserve">Taksi </t>
  </si>
  <si>
    <t>Laundry 3 days @ Rp. 50.000</t>
  </si>
  <si>
    <t>Uang makan utk 3 hari (19-21 apr-24) @150.000</t>
  </si>
  <si>
    <t>Tunajngan lapangan for 3 days (19-21 apr24) Anevril</t>
  </si>
  <si>
    <t>Expense#10</t>
  </si>
  <si>
    <t>ALFA+PLT (TGB-033 Zona 7) Elnusa_TMA</t>
  </si>
  <si>
    <t>Hotel 25 Apr - 27 Apr &amp; 29 Apr- 2 May 2024 (6 days)</t>
  </si>
  <si>
    <t>Laundry 7 days 1 Persons @ 50K IDR/day</t>
  </si>
  <si>
    <t>Tekiro Kunci L, Tekiro Tang, Obeng Set</t>
  </si>
  <si>
    <t>Crew's Operational</t>
  </si>
  <si>
    <t>Meals 7 days 1 Persons @ 150K IDR/day</t>
  </si>
  <si>
    <t>Field Bonus for 7 days (25$/Day)</t>
  </si>
  <si>
    <t>Field Bonus for 4 days 29 April-2 May 2024 (100$/Day</t>
  </si>
  <si>
    <t>Expense#11</t>
  </si>
  <si>
    <t>ALFA+MFC (TGB-033 Zona 7) Elnusa_TMA</t>
  </si>
  <si>
    <t>Hotel 19 Apr-22 Apr 2024 (3 days)</t>
  </si>
  <si>
    <t>Laundry 4 days 1 Persons @ 50K IDR/day</t>
  </si>
  <si>
    <t>Battery A2</t>
  </si>
  <si>
    <t>Meals 4 days 1 Persons @ 150K IDR/day</t>
  </si>
  <si>
    <t>Taxi Bintaro-Wisma Mas</t>
  </si>
  <si>
    <t>Field Bonus for 4 days (25$/Day)</t>
  </si>
  <si>
    <t>Expense#12</t>
  </si>
  <si>
    <t>BOSIET Training -_TMA</t>
  </si>
  <si>
    <t>17/5/2024</t>
  </si>
  <si>
    <t>BOSIET Training</t>
  </si>
  <si>
    <t>Expense#13</t>
  </si>
  <si>
    <t>Non Trip MCU Dwiyanto</t>
  </si>
  <si>
    <t>MCU Paket Umum Basic 1</t>
  </si>
  <si>
    <t>Safety shoes</t>
  </si>
  <si>
    <t>Expense#14</t>
  </si>
  <si>
    <t>Non project _ MCU - Ilham BR</t>
  </si>
  <si>
    <t>Biaya MCU</t>
  </si>
  <si>
    <t>Expense#15</t>
  </si>
  <si>
    <t>ALFA Job - Jrk-193 _ OJT_ Ilham BR</t>
  </si>
  <si>
    <t>Tiket Pesawat Citilink (CGK-PLM 25 Mei 2024)</t>
  </si>
  <si>
    <t>Reschedule Tiket Pesawat dari Citilink ke Super Air Jet (CGK-PLg)</t>
  </si>
  <si>
    <t>Taxi + Tol To Airport CGK</t>
  </si>
  <si>
    <t>Uang makan (25 - 30 May 2024)</t>
  </si>
  <si>
    <t>Laundry (25 - 30 May 2024)</t>
  </si>
  <si>
    <t xml:space="preserve">Tunjangan Lapangan JRK-193 (25 - 30 May 2024) </t>
  </si>
  <si>
    <t>$</t>
  </si>
  <si>
    <t>Expense#16</t>
  </si>
  <si>
    <t>ALFA job - JRK-193 OJT - Dwiyanto S</t>
  </si>
  <si>
    <t>fuel + tol PLM-Prabu</t>
  </si>
  <si>
    <t>Tol Prabu - PLM</t>
  </si>
  <si>
    <t>Hand Tools</t>
  </si>
  <si>
    <t>Allen key, pliers, screwdrivers</t>
  </si>
  <si>
    <t>Wrapping Alfa Box</t>
  </si>
  <si>
    <t>Hand gloves</t>
  </si>
  <si>
    <t>Uang Makan (25 - 30 May 2024)</t>
  </si>
  <si>
    <t>Laundry</t>
  </si>
  <si>
    <t>Tunjangan Lapangan JRK-193 (25 - 30 May 2024). 1US$=16.200</t>
  </si>
  <si>
    <t>Expense#17</t>
  </si>
  <si>
    <t>ALFA JRK-193 - project SI_ TMA</t>
  </si>
  <si>
    <t>Hotel 24 May - 30 May (6 days)</t>
  </si>
  <si>
    <t>Airplane Ticket CGK-PLM (2 Person)</t>
  </si>
  <si>
    <t>Toll (Pondok Cabe-CGK)</t>
  </si>
  <si>
    <t>Rent Car 6 Days</t>
  </si>
  <si>
    <t>Gasoline</t>
  </si>
  <si>
    <t>Taxi CGK-Pondok Cabe (inc Toll+Parking)</t>
  </si>
  <si>
    <t>Airplane Ticket PLM-CGK (2 Person)</t>
  </si>
  <si>
    <t>Tunjangan Lapangan for 6 days</t>
  </si>
  <si>
    <t>Expense#18</t>
  </si>
  <si>
    <t>Non Trip - BOSIET Training - DS</t>
  </si>
  <si>
    <t>Training</t>
  </si>
  <si>
    <t>BOSIET 5 - 7 June 2024</t>
  </si>
  <si>
    <t>Personal Car from Home to PT. LTJ (converted) DAY-1</t>
  </si>
  <si>
    <t xml:space="preserve">Transport DAY - 2 BOSIET </t>
  </si>
  <si>
    <t xml:space="preserve">Transport DAY - 3 BOSIET </t>
  </si>
  <si>
    <t>Expense#19</t>
  </si>
  <si>
    <t>ALFA JRK-163 (Pending job) - TMA</t>
  </si>
  <si>
    <t>Hotel 16 June - 19 June (3 days)</t>
  </si>
  <si>
    <t xml:space="preserve">Airplane Ticket CGK-PLM </t>
  </si>
  <si>
    <t>Toll Prabumulih (PP)</t>
  </si>
  <si>
    <t>Rent Car 4 Days</t>
  </si>
  <si>
    <t>Taxi HLP-Pondok Cabe (inc Toll+Parking)</t>
  </si>
  <si>
    <t>Airplane Ticket PLM-HLP</t>
  </si>
  <si>
    <t>Uneed Power Station</t>
  </si>
  <si>
    <t xml:space="preserve">Tunjangan Lapangan for 4 days </t>
  </si>
  <si>
    <t>Expense#20</t>
  </si>
  <si>
    <t>Preparation TIS Petroleum - TMA</t>
  </si>
  <si>
    <t>Lalamove Gowell-Bogor-Gowell</t>
  </si>
  <si>
    <t>Pin Punch</t>
  </si>
  <si>
    <t>Hardcase Custom</t>
  </si>
  <si>
    <t>Expense#21</t>
  </si>
  <si>
    <t>Delivery Tools Sonoecho (KL) - TMA</t>
  </si>
  <si>
    <t>Hotel</t>
  </si>
  <si>
    <t>Hotel Tax Foreigner</t>
  </si>
  <si>
    <t>MYR</t>
  </si>
  <si>
    <t>Airplane Ticket CGK-KLIA</t>
  </si>
  <si>
    <t>Taxi Home - CGK</t>
  </si>
  <si>
    <t>Taxi KLIA - Hotel</t>
  </si>
  <si>
    <t>Taxi Hyperseal - Hotel</t>
  </si>
  <si>
    <t>Taxi Hotel - KLIA</t>
  </si>
  <si>
    <t>Taxi CGK - Home</t>
  </si>
  <si>
    <t>Asus Slate 13 (tablet asus)</t>
  </si>
  <si>
    <t>OTG Type C</t>
  </si>
  <si>
    <t>Expense#22</t>
  </si>
  <si>
    <t>Non project ( MCU ulang )_ IBR</t>
  </si>
  <si>
    <t>Medical</t>
  </si>
  <si>
    <t>Konsultasi Spesialis Penyakit Dalam</t>
  </si>
  <si>
    <t>Unit Labolatorium</t>
  </si>
  <si>
    <t xml:space="preserve">Farmasi </t>
  </si>
  <si>
    <t>Expense#23</t>
  </si>
  <si>
    <t>ALFA job - JRK-163 (Job)_undr Sijak_ DS</t>
  </si>
  <si>
    <t>Jakarta - Palembang</t>
  </si>
  <si>
    <t>Palembang - Jakarta + Extra Bagage</t>
  </si>
  <si>
    <t xml:space="preserve">fuel </t>
  </si>
  <si>
    <t>Tol Prabu - PLM + Fuel</t>
  </si>
  <si>
    <t>Car rental 21 - 27 Jul 2024</t>
  </si>
  <si>
    <t>Lodge 21-27 Jul 2024 (3 rooms)</t>
  </si>
  <si>
    <t>Uang Makan (21 - 27 Juli 2024)</t>
  </si>
  <si>
    <t>Laundry (21 - 27 Juli 2024)</t>
  </si>
  <si>
    <t>Tunajngan Lapangan JRK-163 (21-27 Juli 2024). 1US$=16.200</t>
  </si>
  <si>
    <t>Operation</t>
  </si>
  <si>
    <t>Rags - Gloves</t>
  </si>
  <si>
    <t>Snacks</t>
  </si>
  <si>
    <t>Battery for DTR (Spare)</t>
  </si>
  <si>
    <t>Expense#24</t>
  </si>
  <si>
    <t>ALFA JOB - JRK 163 (training 2nd_ IBR)</t>
  </si>
  <si>
    <t>Uang makan (16 - 19 June 2024) pending job /Job Postponed</t>
  </si>
  <si>
    <t>Laundry (16 - 19 June 2024) pending job /Job Postponed</t>
  </si>
  <si>
    <t>Uang makan (21 - 27 Juli 2024)</t>
  </si>
  <si>
    <t>Tunjangan LapanganJRK-163 (16 - 19 Juni 2024) pending job</t>
  </si>
  <si>
    <t>Tunjangan Lapangan JRK-163 (21 - 27 Juli 2024)</t>
  </si>
  <si>
    <t>Expense#25</t>
  </si>
  <si>
    <t>TIS-Blora Field-PLT ALFA BHS by BARIKIN - IC</t>
  </si>
  <si>
    <t>Laundry 10 days 1 Persons @ 50K IDR/day</t>
  </si>
  <si>
    <t>Meals 10 days 1 Persons @ 150K IDR/day</t>
  </si>
  <si>
    <t>Pelican Long Case 1770</t>
  </si>
  <si>
    <t>Tunjangan Lapangan for 10 days</t>
  </si>
  <si>
    <t>Expense#26</t>
  </si>
  <si>
    <t>ALFA-MPLT-BHS_ RBG 3B PT. TIS under Barikin sakti _DS</t>
  </si>
  <si>
    <t>Jakarta - Semarang</t>
  </si>
  <si>
    <t>Taxi+Tol Serpong - Gambir</t>
  </si>
  <si>
    <t>Gocar St. Tawang - PT. TIS</t>
  </si>
  <si>
    <t>Gocar Hotel to Tawang</t>
  </si>
  <si>
    <t>Hotel 3 Aug - 6 Aug 2024 (2 rooms)</t>
  </si>
  <si>
    <t>Hotel 6 Aug - 7 Aug 2024 (2 rooms)</t>
  </si>
  <si>
    <t>Uang Makan (3 - 7 Aug 2024)</t>
  </si>
  <si>
    <t>Laundry (3 - 7 Aug 2024)</t>
  </si>
  <si>
    <t>Tunjangan LapanganRBG-3B PT. TIS (3-7 Aug 2024)</t>
  </si>
  <si>
    <t>Expense#27</t>
  </si>
  <si>
    <t>Non tripo 1st -- MCU + Pembelian barang kelengkapan pump AC</t>
  </si>
  <si>
    <t>Biaya MCU di RSPP</t>
  </si>
  <si>
    <t>Biaya Konsul Dokter Jantung</t>
  </si>
  <si>
    <t>Biaya Echo_ kardio non Invasif</t>
  </si>
  <si>
    <t>Biaya Obat Candesartan</t>
  </si>
  <si>
    <t>Fisioterapi 1st</t>
  </si>
  <si>
    <t>Fisioterapi 2nd</t>
  </si>
  <si>
    <t>Fisioterapi 3rd</t>
  </si>
  <si>
    <t>Pengiriman dokumen ke Rachmansyah-Sijak</t>
  </si>
  <si>
    <t>Fuel ( trip ambil tool Sampler and to Andara )</t>
  </si>
  <si>
    <t>Fuel ( trip ke Lemigas and Workshop sampler)</t>
  </si>
  <si>
    <t>Fuel ( trip ke Barekin Bogor, inspeksi tool)</t>
  </si>
  <si>
    <t>Fuel trip ke Glodok buy Hydralic pump assesories</t>
  </si>
  <si>
    <t>Buy Tang Bnegkok (Tekiro)</t>
  </si>
  <si>
    <t>Buy Hose 1/4"</t>
  </si>
  <si>
    <t>Buy Needle Neple</t>
  </si>
  <si>
    <t>buy Adapter</t>
  </si>
  <si>
    <t>Buy Connection 1/4"</t>
  </si>
  <si>
    <t>Buy Case for tools box dan hydraulic pump</t>
  </si>
  <si>
    <t>Coffe drink visit to MEPI Jakarta ( Bondan)</t>
  </si>
  <si>
    <t>Meal lunch when inspect Sample tool</t>
  </si>
  <si>
    <t>Meal lunch when visit to Lemigas (Sample Botol)</t>
  </si>
  <si>
    <t>Expense#28</t>
  </si>
  <si>
    <t>ALFA-MPLT-Sampler project TIS Energy Blora_well RBG-3B by Barekin Sakti- AC</t>
  </si>
  <si>
    <t xml:space="preserve">Rental car (include Fuel ) 10 days, @Rp1.100.000 </t>
  </si>
  <si>
    <t>Toll (Jkt Blora - PP)</t>
  </si>
  <si>
    <t>Toll (Gubug - Jakarta)</t>
  </si>
  <si>
    <t>Laundry dor 10 days @Rp.50.000.</t>
  </si>
  <si>
    <t>Hotel for 6 days ( 29 Jul - 3 aug 24)</t>
  </si>
  <si>
    <t>buy Zirolic</t>
  </si>
  <si>
    <t>buy Soft drink</t>
  </si>
  <si>
    <t>Buy WD 40</t>
  </si>
  <si>
    <t>Buy connection T dan nipple</t>
  </si>
  <si>
    <t>Buy Quick connection</t>
  </si>
  <si>
    <t>Buy Paint nippon</t>
  </si>
  <si>
    <t>w/ Crew Barekin</t>
  </si>
  <si>
    <t>W/ TIS Petroleum personnel</t>
  </si>
  <si>
    <t>w/ Crew Barekin (buy ice sirop) No reciept</t>
  </si>
  <si>
    <t>w/ TIS Lemigas Personnel</t>
  </si>
  <si>
    <t>w/ TIS Petroleum Personnel</t>
  </si>
  <si>
    <t>Meal utk 10 hari (29 Jul -7Aug-24) @Rp. 150.000</t>
  </si>
  <si>
    <t>Tunjangan lapangan for 10 days (29Jul - 07Aug24) Anevril</t>
  </si>
  <si>
    <t>Expense#29</t>
  </si>
  <si>
    <t>ALFA-MPLT-BHS_ RBG 3B PT. TIS under Barikin sakti _TMA</t>
  </si>
  <si>
    <t>Electrical Bill</t>
  </si>
  <si>
    <t>Lalamove Base to Barikin</t>
  </si>
  <si>
    <t>Lalamove Pak Subi to Base</t>
  </si>
  <si>
    <t>Lalamove Barikin to Base</t>
  </si>
  <si>
    <t>TOP 1 High Temp Grease</t>
  </si>
  <si>
    <t xml:space="preserve">Tunjangan Lapangan for 10 days </t>
  </si>
  <si>
    <t>Expense#30</t>
  </si>
  <si>
    <t>ALFA JOB - PMB 009 (cancel job) - IBR</t>
  </si>
  <si>
    <t>Uang makan (6 - 11 September 2024) 6 days</t>
  </si>
  <si>
    <t>Laundry (6 - 11 September 2024) 6 days</t>
  </si>
  <si>
    <t xml:space="preserve">Tunjangan Lapangan PBM - 009 (6 - 11 September 2024) </t>
  </si>
  <si>
    <t>Expense#31</t>
  </si>
  <si>
    <t>ALFA PMB-009 (Cancel)_ TMA</t>
  </si>
  <si>
    <t>Hotel 6 Sept - 11 Sept (5 days)</t>
  </si>
  <si>
    <t>Taxi Pondok Cabe-Vania-CGK (inc Toll)</t>
  </si>
  <si>
    <t>Toll (PLM-Prabumulih-PLM)</t>
  </si>
  <si>
    <t>Field Allowance</t>
  </si>
  <si>
    <t>Meals</t>
  </si>
  <si>
    <t>Expense#32</t>
  </si>
  <si>
    <t>Gocar St. Cepu, Kalog - Bojonegoro</t>
  </si>
  <si>
    <t>Taxi+Tol Gambir - Serpong</t>
  </si>
  <si>
    <t>Uang Makan (22 - 26 Sept 2024)</t>
  </si>
  <si>
    <t>Laundry (22 - 26 Sept 2024)</t>
  </si>
  <si>
    <t>Field Bonus SKW#26 (22 - 26 Sept 2024). 1US$=15.100</t>
  </si>
  <si>
    <t>Expense#33</t>
  </si>
  <si>
    <t>ALFA Job JRK-095 (Jirak) - IBR</t>
  </si>
  <si>
    <t xml:space="preserve">Hotel 21 Sept - 27 Sept 2024 (6 days) </t>
  </si>
  <si>
    <t>Laundry 20 Sept - 27 Sept 2024 (7days) @ Rp. 50000</t>
  </si>
  <si>
    <t>Toll (PLM-Prabumulih)</t>
  </si>
  <si>
    <t>Toll (Prabumulih-PLM)</t>
  </si>
  <si>
    <t>Car Wash</t>
  </si>
  <si>
    <t>Aqua 600 ML + Sunlight</t>
  </si>
  <si>
    <t>Fried Food + Soft Drink</t>
  </si>
  <si>
    <t>Meal's Crew</t>
  </si>
  <si>
    <t>Snack's Crew</t>
  </si>
  <si>
    <t xml:space="preserve">Meal's + Soft Drink Crew </t>
  </si>
  <si>
    <t>Aqua 600 ML</t>
  </si>
  <si>
    <t>Meal's Crws + Ice Tea</t>
  </si>
  <si>
    <t>Soft Drink</t>
  </si>
  <si>
    <t xml:space="preserve">Black Coffe </t>
  </si>
  <si>
    <t>Field Allowance 20 Sept - 27 Sept 2024</t>
  </si>
  <si>
    <t>Meals 20 Sept - 27 Sept 2024 7 days</t>
  </si>
  <si>
    <t>Expense#34</t>
  </si>
  <si>
    <t>ALFA_JRK-095 well (PEPZ4-PEndopo field) SI jakarta _ AC</t>
  </si>
  <si>
    <t>Air ticket Anevril JKT-Palembang</t>
  </si>
  <si>
    <t>Air ticket Anevril Palembang-JKT</t>
  </si>
  <si>
    <t>Taxi Anevril Home - CGK Airport</t>
  </si>
  <si>
    <t>Taxi Anevril CGK Airport - Home</t>
  </si>
  <si>
    <t>Sewa mobil 8 hari (21/09/24 - 29/09/24)</t>
  </si>
  <si>
    <t>Laundry 8 days @ 50K IDR/day</t>
  </si>
  <si>
    <t>Meals 8 days @ 150K IDR/day</t>
  </si>
  <si>
    <t>Tunjangan lapaangan for 8 days- (job at JRK-095)</t>
  </si>
  <si>
    <t>Expense#35</t>
  </si>
  <si>
    <t>Trip to Cirebon Meeting MTD job X-ray field with PEP Zona 7 Region2_AC</t>
  </si>
  <si>
    <t>Fuel ( trip modified tool Sampler to Mr suby)</t>
  </si>
  <si>
    <t>Gocar ( trip Bintaro - Instrutek solusindo)</t>
  </si>
  <si>
    <t>Gocar ( trip Instrutek solusindo - Bintaro)</t>
  </si>
  <si>
    <t>Fuel ( trip to Sclumberger Cikaranga,SIT seeting tool )</t>
  </si>
  <si>
    <t>Fuel ( trip to workshop Gowell &amp; ktr Pajak)</t>
  </si>
  <si>
    <t>Tol ( trip Bintaro - Instrutek solusindo) No reciept</t>
  </si>
  <si>
    <t>Tol ( trip Instrutek solusindo - Bintaro) No Reciept</t>
  </si>
  <si>
    <t>tol (Bintaro - Cikarang)</t>
  </si>
  <si>
    <t>tol (Cikarang - Bekasi -Bintaro)</t>
  </si>
  <si>
    <t>tol (Bintaro - Cinere)</t>
  </si>
  <si>
    <t>Trip</t>
  </si>
  <si>
    <t>Tol  Jakarta - Cirebon</t>
  </si>
  <si>
    <t xml:space="preserve">Fuel </t>
  </si>
  <si>
    <t>Tol  Cirebon - Jakarta</t>
  </si>
  <si>
    <t>Loundry 2 days @Rp. 50.000</t>
  </si>
  <si>
    <t>lunch when check MTD tool at workshop Gowell</t>
  </si>
  <si>
    <t>Uang makan utk 3 hari (17-18 Sept-24) @150.000</t>
  </si>
  <si>
    <t>Expense#36</t>
  </si>
  <si>
    <t>Non project (follow up MCU concul &amp; inspection tool)_AC_ 2 nd</t>
  </si>
  <si>
    <t>Biaya Konsul Dokter Penyakit dalam</t>
  </si>
  <si>
    <t>Biaya Konsul Dokter Syaraf</t>
  </si>
  <si>
    <t>Medicine</t>
  </si>
  <si>
    <t>medicine</t>
  </si>
  <si>
    <t>Biaya Konsul ke 2, Dokter Jantung</t>
  </si>
  <si>
    <t>Pengiriman dokumen ke Yufitri</t>
  </si>
  <si>
    <t>Pengiriman dokumen ke Yulia - LBU</t>
  </si>
  <si>
    <t>Buy lag ban 2 ea</t>
  </si>
  <si>
    <t xml:space="preserve">printing di snappy </t>
  </si>
  <si>
    <t>Expense#37</t>
  </si>
  <si>
    <t>MTD SKW-26_sukowati_TMA</t>
  </si>
  <si>
    <t>Hotel 23 Sept - 26 Sept (3 days)</t>
  </si>
  <si>
    <t>Train Ticket Gambir-Cepu (2 pax)</t>
  </si>
  <si>
    <t>Taxi Pondok Cabe-Gambir</t>
  </si>
  <si>
    <t>Demob Tools (Kalog)</t>
  </si>
  <si>
    <t>Taxi Gambir-Pondok Cabe (inc Toll+Parking)</t>
  </si>
  <si>
    <t>Train Ticket Bojonegoro-Gambir (2 pax)</t>
  </si>
  <si>
    <t>Lalamove Kalog-Gowell</t>
  </si>
  <si>
    <t>Expense#38</t>
  </si>
  <si>
    <t>MTD_STM_HDP 01 s/d 03 well (BHI project ndr Gowell) Sumbawa</t>
  </si>
  <si>
    <t>Laundry 18 days @ 50K IDR/day</t>
  </si>
  <si>
    <t>operation meal with BHI person</t>
  </si>
  <si>
    <t>Meal 18 days @ 150K IDR/day</t>
  </si>
  <si>
    <t>Field Allowance for 18 days</t>
  </si>
  <si>
    <t>Expense#39</t>
  </si>
  <si>
    <t>Training Basic Sea Survival_IBR</t>
  </si>
  <si>
    <t>Basic Sea Survival</t>
  </si>
  <si>
    <t>Gojek ( Damn Coffe - PT Lautan Tenang Jaya )</t>
  </si>
  <si>
    <t>Gojek ( PT Lautan Tenang Jaya - Stasiun MRT )</t>
  </si>
  <si>
    <t>Gojek ( Stasiun Sudimara - Home )</t>
  </si>
  <si>
    <t xml:space="preserve">MRT ( Lebak Bulus - Duku Atas ) </t>
  </si>
  <si>
    <t>KRL ( Duku Atas - Sudimara )</t>
  </si>
  <si>
    <t>Expense#40</t>
  </si>
  <si>
    <t>Non trip 1st - project _ Pety cash 1st - YY</t>
  </si>
  <si>
    <t>Materai 15 pcs</t>
  </si>
  <si>
    <t>Plastic folder 3 pcs</t>
  </si>
  <si>
    <t>JNE courier</t>
  </si>
  <si>
    <t>Lala Move courier</t>
  </si>
  <si>
    <t>Anvelope, Plastic map</t>
  </si>
  <si>
    <t>Materai 6 pcs</t>
  </si>
  <si>
    <t>POS courier</t>
  </si>
  <si>
    <t>Materai 10 pcs</t>
  </si>
  <si>
    <t>Materai 5 pcs</t>
  </si>
  <si>
    <t>GoCar to Elnusa PP</t>
  </si>
  <si>
    <t>Tol &amp; parking fee</t>
  </si>
  <si>
    <t>Expense#41</t>
  </si>
  <si>
    <t>Starlink Kit_DS</t>
  </si>
  <si>
    <t>Starlink Kit</t>
  </si>
  <si>
    <t>Expense#42</t>
  </si>
  <si>
    <t>Pelican Case 1650 TMA</t>
  </si>
  <si>
    <t>Pelican Case 1650</t>
  </si>
  <si>
    <t>Expense#43</t>
  </si>
  <si>
    <t>Non trip 3rd (follow up MCU concul &amp; visit KPP and Graha Elnusa)_AC</t>
  </si>
  <si>
    <t>Medicine lanjutan</t>
  </si>
  <si>
    <t>Biaya Konsul Dokter Jantung 3rdPenyakit dalam</t>
  </si>
  <si>
    <t>Biaya Konsul dokter Kulit a/n Diofavian</t>
  </si>
  <si>
    <t>Biaya Konsul Dokter mata a/n Eva linda</t>
  </si>
  <si>
    <t>Medicine after konsul jantung 3rd</t>
  </si>
  <si>
    <t xml:space="preserve">Fuel diesel visit consul to KPP pajak </t>
  </si>
  <si>
    <t xml:space="preserve">toll gate </t>
  </si>
  <si>
    <t xml:space="preserve">Parkir Graha Elnusa (HSE tool hall meeting) at Elnusa (graha Elnusa) </t>
  </si>
  <si>
    <t>Taksi,take Document from Loket Graha Elnusa</t>
  </si>
  <si>
    <t>Parkir Graha Elnusa (antar dokemen invoice)</t>
  </si>
  <si>
    <t>Expense#44</t>
  </si>
  <si>
    <t>Meeting presentasi With Elnusa - Bandung &amp;Pembelian Sparepart dari Pei-Genesis.</t>
  </si>
  <si>
    <t>Traveling Jakarta - Bandung</t>
  </si>
  <si>
    <t>Taksi around the Bandung city for 2 days</t>
  </si>
  <si>
    <t>Traveling Bandung - Jakarta</t>
  </si>
  <si>
    <t xml:space="preserve">Meal </t>
  </si>
  <si>
    <t xml:space="preserve">payment for hotel Grand Dafam and </t>
  </si>
  <si>
    <t>Expense#45</t>
  </si>
  <si>
    <t>General Operation_Year 2024 - AM</t>
  </si>
  <si>
    <t>Shipment Benchmark DTR to Malaysia</t>
  </si>
  <si>
    <t>N/A</t>
  </si>
  <si>
    <t>Taxi Home - CGK Airport</t>
  </si>
  <si>
    <t>Flight CGK-KUL + Hotel 1 night</t>
  </si>
  <si>
    <t>Train KLIA Airport to Hyperseal</t>
  </si>
  <si>
    <t>Flight KUL- CGK</t>
  </si>
  <si>
    <t>Train Hyperseal to KLIA Airport</t>
  </si>
  <si>
    <t>Taxi CGK Airport to Home</t>
  </si>
  <si>
    <t>Meals 2 days @ 300,000/day</t>
  </si>
  <si>
    <t>Car 22-23 Apr 2024 (2 days) incl. Fuel &amp; Tol</t>
  </si>
  <si>
    <t>Tunjangan Lapangan @ 1.5 juta/day x 2 days</t>
  </si>
  <si>
    <t>Meals 2 days @ 150,000/day</t>
  </si>
  <si>
    <t>Car 30 Apr-01 May 2024 (2 days) incl. Fuel &amp; Tol</t>
  </si>
  <si>
    <t>Taxi Home to KCIC Train station</t>
  </si>
  <si>
    <t>Train Round trip Jakarta - Bandung @200K/trip</t>
  </si>
  <si>
    <t>Hotel 1 night 20 - 21 Dec 2024</t>
  </si>
  <si>
    <t>Taxi from KCIC Stationa Halim to Home</t>
  </si>
  <si>
    <t>IT Services</t>
  </si>
  <si>
    <t>Domain PT. Exspan Wireline Indonesia</t>
  </si>
  <si>
    <t>Google Workspace PT. EWI</t>
  </si>
  <si>
    <t>Domain + Google Workspace PT. EWI</t>
  </si>
  <si>
    <t>Expense#46</t>
  </si>
  <si>
    <t>Non trip - Training BSS - AC</t>
  </si>
  <si>
    <t>Traning Basic Sea Survival (BSS)</t>
  </si>
  <si>
    <t>Expense#47</t>
  </si>
  <si>
    <t>Trip Rakan : BSTTraining at HSSE Training Center PT Pertamina EP Zone 7 Cirebon</t>
  </si>
  <si>
    <t xml:space="preserve">Transport Train, (Jakarta to Cirebon) </t>
  </si>
  <si>
    <t>Gojek (Cirendeu to Gambir Station)</t>
  </si>
  <si>
    <t xml:space="preserve">Gojek (Cirebon Station to Hotel) </t>
  </si>
  <si>
    <t>Accomodation Hotel (Pia Hotel 29 - 30 des, 1 Night)</t>
  </si>
  <si>
    <t>Transport Train (Cirebon to Jakarta)</t>
  </si>
  <si>
    <t xml:space="preserve">Gojek (Hotel to HSSE Training Center PEP Zone 7) </t>
  </si>
  <si>
    <t xml:space="preserve">Gojek (CSB to Cirebon Train Station) </t>
  </si>
  <si>
    <t xml:space="preserve">Gojek (Gambir Station to Cirendeu) </t>
  </si>
  <si>
    <t>Meal Allowance 2 Days (29 - 30 December 2024)@ 150 rb</t>
  </si>
  <si>
    <t>TOTAL</t>
  </si>
  <si>
    <t>PT. EXSPAN WIRELINE INDONESIA</t>
  </si>
  <si>
    <t>LABA RUGI | TAHUN 2024</t>
  </si>
  <si>
    <t>NERACA | TAHUN YANG BERAKHIR, 31 DESEMBER 2024</t>
  </si>
  <si>
    <t>PT. Exspan Wireline Indonesia</t>
  </si>
  <si>
    <t>(Rp)</t>
  </si>
  <si>
    <t>PENDAPATAN</t>
  </si>
  <si>
    <t>AKTIVA</t>
  </si>
  <si>
    <t>PENDAPATAN LANGSUNG</t>
  </si>
  <si>
    <t>Rp</t>
  </si>
  <si>
    <t>AKTIVA LANCAR</t>
  </si>
  <si>
    <t>PENDAPATAN LAIN LAIN</t>
  </si>
  <si>
    <t>KAS DAN SETARA KAS TAHUN SEBELUMNYA</t>
  </si>
  <si>
    <t>KAS DAN SETARA KAS TAHUN LAPORAN</t>
  </si>
  <si>
    <t>TOTALPENDAPATAN</t>
  </si>
  <si>
    <t>PIUTANG USAHA</t>
  </si>
  <si>
    <t>PAJAK BAYAR DI MUKA (pph23)</t>
  </si>
  <si>
    <t>BEBAN LANGSUNG</t>
  </si>
  <si>
    <t>BIAYA BAYAR DI MUKA</t>
  </si>
  <si>
    <t xml:space="preserve">Biaya Operasi </t>
  </si>
  <si>
    <t>PIUTANG LAIN LAIN</t>
  </si>
  <si>
    <t>Biaya research (R &amp; D)</t>
  </si>
  <si>
    <t>TOTAL AKTIVA LANCAR</t>
  </si>
  <si>
    <t>BIAYA Data Processing</t>
  </si>
  <si>
    <t>ACTIVA TETAP</t>
  </si>
  <si>
    <t>INVENTARIS KANTOR</t>
  </si>
  <si>
    <t>TOTAL BIAYA LANGSUNG</t>
  </si>
  <si>
    <t>TOTAL AKTIVA TETAP</t>
  </si>
  <si>
    <t>BEBAN TIDAK LANGSUNG</t>
  </si>
  <si>
    <t>ACTIVA LAIN LAIN</t>
  </si>
  <si>
    <t>TOTAL AKTIVA LAIN LAIN</t>
  </si>
  <si>
    <t>TOTAL BIAYA TIDAK LANGSUNG</t>
  </si>
  <si>
    <t>TOTAL AKTIVA</t>
  </si>
  <si>
    <t>BIAYA ADMINISTRASI DAN UMUM</t>
  </si>
  <si>
    <t>BIAYA ADMINISTRASI</t>
  </si>
  <si>
    <t>HUTANG DAN MODAL</t>
  </si>
  <si>
    <t>BIAYA PEMBELIAN Barang</t>
  </si>
  <si>
    <t>BIAYA SEWA KANTOR</t>
  </si>
  <si>
    <t>HUTANG LANCAR</t>
  </si>
  <si>
    <t>BIAYA KESEHATAN</t>
  </si>
  <si>
    <t>HUTANG USAHA</t>
  </si>
  <si>
    <t>HUTANG GAJI</t>
  </si>
  <si>
    <t>TOTAL BIAYA ADMINISTRASI DAN UMUM</t>
  </si>
  <si>
    <t>HUTANG PEMEGANG SAHAM</t>
  </si>
  <si>
    <t>BIAYA YANG MASIH HARUS DI BAYAR</t>
  </si>
  <si>
    <t>TOTAL BIAYA</t>
  </si>
  <si>
    <t>TOTAL HUTANG LANCAR</t>
  </si>
  <si>
    <t xml:space="preserve">PENDAPATAN/BEBAN LAIN LAIN </t>
  </si>
  <si>
    <t>PENDAPATAN LAINNYA</t>
  </si>
  <si>
    <t>MODAL</t>
  </si>
  <si>
    <t>MODAL SAHAM</t>
  </si>
  <si>
    <t>LABA RUGI SEBELUM PAJAK</t>
  </si>
  <si>
    <t>LABA DI TAHAN</t>
  </si>
  <si>
    <t>TOTAL LABA (RUGI) DITAHAN</t>
  </si>
  <si>
    <t>CORPORATE TAX (PPh 29)</t>
  </si>
  <si>
    <t>TOTAL MODAL</t>
  </si>
  <si>
    <t>LABA / RUGI BERSIH</t>
  </si>
  <si>
    <t>TOTAL HUTANG DAN MODAL</t>
  </si>
  <si>
    <t>Direktur</t>
  </si>
  <si>
    <t>BUSINESS SUMMARY | TAHUN 2024</t>
  </si>
  <si>
    <t>Items</t>
  </si>
  <si>
    <t>Amount</t>
  </si>
  <si>
    <t>Revenue</t>
  </si>
  <si>
    <t>Revenue Diterima (Setelah Pajak)</t>
  </si>
  <si>
    <t>Biaya</t>
  </si>
  <si>
    <t>Profit SebelumTax</t>
  </si>
  <si>
    <t>PPh Badan (22%*50%)</t>
  </si>
  <si>
    <t>PPh 23 Dipotong oleh client</t>
  </si>
  <si>
    <t>Kekurangan Bayar PPh Badan</t>
  </si>
  <si>
    <t>Profit After Tax</t>
  </si>
  <si>
    <t>Deviden Dibagi</t>
  </si>
  <si>
    <t>Profit Ditahan</t>
  </si>
  <si>
    <t>DEVIDEN</t>
  </si>
  <si>
    <t>Alan Muhadjir</t>
  </si>
  <si>
    <t>Pajak 10%</t>
  </si>
  <si>
    <t>Anevril Chairulsyah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</si>
</sst>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[$-F800]dddd\,\ mmmm\ dd\,\ yyyy"/>
    <numFmt numFmtId="165" formatCode="_(* #,##0_);_(* \(#,##0\);_(* &quot;-&quot;??_);_(@_)"/>
    <numFmt numFmtId="166" formatCode="_-* #,##0_-;\-* #,##0_-;_-* &quot;-&quot;??_-;_-@_-"/>
    <numFmt numFmtId="167" formatCode="[$-409]dd\-mmm\-yy;@"/>
    <numFmt numFmtId="168" formatCode="_-* #.##0.00_-;\-* #.##0.00_-;_-* &quot;-&quot;??_-;_-@_-"/>
    <numFmt numFmtId="169" formatCode="_(* #.##0.00_);_(* \(#.##0.00\);_(* &quot;-&quot;??_);_(@_)"/>
    <numFmt numFmtId="170" formatCode="_(* #.##0_);_(* \(#.##0\);_(* &quot;-&quot;_);_(@_)"/>
    <numFmt numFmtId="171" formatCode="_-&quot;Rp&quot;* #.##0_-;\-&quot;Rp&quot;* #.##0_-;_-&quot;Rp&quot;* &quot;-&quot;_-;_-@_-"/>
    <numFmt numFmtId="172" formatCode="_-&quot;Rp&quot;* #,##0_-;\-&quot;Rp&quot;* #,##0_-;_-&quot;Rp&quot;* &quot;-&quot;??_-;_-@_-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2"/>
      <name val="Arial Narrow"/>
      <family val="2"/>
    </font>
    <font>
      <b/>
      <sz val="11"/>
      <name val="Arial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0"/>
      <name val="Arial"/>
      <family val="2"/>
    </font>
    <font>
      <sz val="10"/>
      <color rgb="FF00B050"/>
      <name val="Arial"/>
      <family val="2"/>
    </font>
    <font>
      <b/>
      <sz val="16"/>
      <name val="Arial"/>
      <family val="2"/>
    </font>
    <font>
      <b/>
      <sz val="16"/>
      <name val="Arial Narrow"/>
      <family val="2"/>
    </font>
    <font>
      <b/>
      <u/>
      <sz val="12"/>
      <name val="Arial Narrow"/>
      <family val="2"/>
    </font>
    <font>
      <b/>
      <i/>
      <sz val="12"/>
      <name val="Arial Narrow"/>
      <family val="2"/>
    </font>
    <font>
      <b/>
      <i/>
      <u/>
      <sz val="12"/>
      <name val="Arial Narrow"/>
      <family val="2"/>
    </font>
    <font>
      <b/>
      <sz val="12"/>
      <color theme="1"/>
      <name val="Arial Narrow"/>
      <family val="2"/>
    </font>
    <font>
      <sz val="10"/>
      <color theme="1"/>
      <name val="Arial"/>
      <family val="2"/>
    </font>
    <font>
      <b/>
      <i/>
      <sz val="12"/>
      <color theme="1"/>
      <name val="Arial Narrow"/>
      <family val="2"/>
    </font>
    <font>
      <sz val="11"/>
      <color theme="1" tint="0.24994659260841701"/>
      <name val="Aptos Narrow"/>
      <family val="2"/>
      <scheme val="minor"/>
    </font>
    <font>
      <sz val="10"/>
      <color rgb="FFFF0000"/>
      <name val="Arial"/>
      <family val="2"/>
    </font>
    <font>
      <sz val="10"/>
      <name val="Trebuchet MS"/>
      <family val="2"/>
    </font>
    <font>
      <b/>
      <sz val="18"/>
      <name val="Trebuchet MS"/>
      <family val="2"/>
    </font>
    <font>
      <b/>
      <sz val="14"/>
      <name val="Trebuchet MS"/>
      <family val="2"/>
    </font>
    <font>
      <b/>
      <sz val="12"/>
      <name val="Trebuchet MS"/>
      <family val="2"/>
    </font>
    <font>
      <sz val="12"/>
      <name val="Trebuchet MS"/>
      <family val="2"/>
    </font>
    <font>
      <b/>
      <sz val="11"/>
      <name val="Trebuchet MS"/>
      <family val="2"/>
    </font>
    <font>
      <sz val="11"/>
      <name val="Trebuchet MS"/>
      <family val="2"/>
    </font>
    <font>
      <b/>
      <u/>
      <sz val="11"/>
      <name val="Trebuchet MS"/>
      <family val="2"/>
    </font>
    <font>
      <b/>
      <u/>
      <sz val="12"/>
      <name val="Trebuchet MS"/>
      <family val="2"/>
    </font>
    <font>
      <sz val="14"/>
      <name val="Trebuchet MS"/>
      <family val="2"/>
    </font>
    <font>
      <sz val="14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2">
    <xf numFmtId="0" fontId="0" fillId="0" borderId="0"/>
    <xf numFmtId="43" fontId="1" fillId="0" borderId="0"/>
    <xf numFmtId="168" fontId="12" fillId="0" borderId="0"/>
    <xf numFmtId="0" fontId="12" fillId="0" borderId="0"/>
    <xf numFmtId="14" fontId="22" fillId="0" borderId="0">
      <alignment horizontal="left" vertical="center"/>
    </xf>
    <xf numFmtId="0" fontId="22" fillId="0" borderId="0">
      <alignment vertical="center" wrapText="1"/>
    </xf>
    <xf numFmtId="44" fontId="1" fillId="0" borderId="0"/>
    <xf numFmtId="169" fontId="12" fillId="0" borderId="0"/>
    <xf numFmtId="0" fontId="12" fillId="0" borderId="0"/>
    <xf numFmtId="170" fontId="12" fillId="0" borderId="0"/>
    <xf numFmtId="2" fontId="12" fillId="0" borderId="0"/>
    <xf numFmtId="171" fontId="12" fillId="0" borderId="0"/>
  </cellStyleXfs>
  <cellXfs count="309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3" fillId="0" borderId="0" xfId="0" applyNumberFormat="1" applyFont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left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9" fontId="4" fillId="3" borderId="4" xfId="0" applyNumberFormat="1" applyFont="1" applyFill="1" applyBorder="1" applyAlignment="1">
      <alignment horizontal="center" vertical="center"/>
    </xf>
    <xf numFmtId="15" fontId="10" fillId="0" borderId="4" xfId="0" applyNumberFormat="1" applyFont="1" applyBorder="1"/>
    <xf numFmtId="0" fontId="10" fillId="0" borderId="4" xfId="0" applyFont="1" applyBorder="1" applyAlignment="1">
      <alignment horizontal="center"/>
    </xf>
    <xf numFmtId="0" fontId="10" fillId="0" borderId="4" xfId="0" applyFont="1" applyBorder="1" applyAlignment="1">
      <alignment horizontal="left"/>
    </xf>
    <xf numFmtId="165" fontId="10" fillId="0" borderId="8" xfId="0" applyNumberFormat="1" applyFont="1" applyBorder="1"/>
    <xf numFmtId="0" fontId="10" fillId="0" borderId="4" xfId="0" applyFont="1" applyBorder="1"/>
    <xf numFmtId="165" fontId="10" fillId="0" borderId="4" xfId="0" applyNumberFormat="1" applyFont="1" applyBorder="1"/>
    <xf numFmtId="165" fontId="11" fillId="0" borderId="4" xfId="0" applyNumberFormat="1" applyFont="1" applyBorder="1"/>
    <xf numFmtId="165" fontId="10" fillId="0" borderId="4" xfId="1" applyNumberFormat="1" applyFont="1" applyBorder="1"/>
    <xf numFmtId="165" fontId="0" fillId="0" borderId="0" xfId="0" applyNumberFormat="1"/>
    <xf numFmtId="165" fontId="13" fillId="0" borderId="0" xfId="0" applyNumberFormat="1" applyFont="1"/>
    <xf numFmtId="15" fontId="10" fillId="6" borderId="4" xfId="0" applyNumberFormat="1" applyFont="1" applyFill="1" applyBorder="1"/>
    <xf numFmtId="165" fontId="10" fillId="0" borderId="9" xfId="1" applyNumberFormat="1" applyFont="1" applyBorder="1"/>
    <xf numFmtId="166" fontId="10" fillId="0" borderId="5" xfId="0" applyNumberFormat="1" applyFont="1" applyBorder="1" applyAlignment="1">
      <alignment vertical="center"/>
    </xf>
    <xf numFmtId="0" fontId="10" fillId="0" borderId="10" xfId="0" applyFont="1" applyBorder="1" applyAlignment="1">
      <alignment horizontal="center"/>
    </xf>
    <xf numFmtId="0" fontId="10" fillId="0" borderId="8" xfId="0" applyFont="1" applyBorder="1"/>
    <xf numFmtId="15" fontId="10" fillId="6" borderId="6" xfId="0" applyNumberFormat="1" applyFont="1" applyFill="1" applyBorder="1" applyAlignment="1">
      <alignment horizontal="right" vertical="center"/>
    </xf>
    <xf numFmtId="166" fontId="10" fillId="0" borderId="5" xfId="1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right"/>
    </xf>
    <xf numFmtId="165" fontId="8" fillId="0" borderId="8" xfId="0" applyNumberFormat="1" applyFont="1" applyBorder="1"/>
    <xf numFmtId="0" fontId="8" fillId="0" borderId="4" xfId="0" applyFont="1" applyBorder="1" applyAlignment="1">
      <alignment horizontal="center"/>
    </xf>
    <xf numFmtId="165" fontId="8" fillId="7" borderId="10" xfId="0" applyNumberFormat="1" applyFont="1" applyFill="1" applyBorder="1"/>
    <xf numFmtId="165" fontId="8" fillId="7" borderId="8" xfId="0" applyNumberFormat="1" applyFont="1" applyFill="1" applyBorder="1"/>
    <xf numFmtId="165" fontId="8" fillId="7" borderId="4" xfId="0" applyNumberFormat="1" applyFont="1" applyFill="1" applyBorder="1"/>
    <xf numFmtId="3" fontId="0" fillId="0" borderId="0" xfId="0" applyNumberFormat="1"/>
    <xf numFmtId="0" fontId="14" fillId="0" borderId="0" xfId="0" applyFont="1" applyAlignment="1">
      <alignment horizontal="center" vertical="center" wrapText="1"/>
    </xf>
    <xf numFmtId="9" fontId="6" fillId="3" borderId="4" xfId="0" applyNumberFormat="1" applyFont="1" applyFill="1" applyBorder="1" applyAlignment="1">
      <alignment horizontal="center" vertical="center"/>
    </xf>
    <xf numFmtId="9" fontId="4" fillId="0" borderId="0" xfId="0" applyNumberFormat="1" applyFont="1"/>
    <xf numFmtId="15" fontId="10" fillId="0" borderId="10" xfId="0" applyNumberFormat="1" applyFont="1" applyBorder="1"/>
    <xf numFmtId="165" fontId="10" fillId="0" borderId="0" xfId="1" applyNumberFormat="1" applyFont="1"/>
    <xf numFmtId="165" fontId="8" fillId="0" borderId="9" xfId="0" applyNumberFormat="1" applyFont="1" applyBorder="1"/>
    <xf numFmtId="0" fontId="8" fillId="0" borderId="4" xfId="0" applyFont="1" applyBorder="1"/>
    <xf numFmtId="165" fontId="8" fillId="0" borderId="0" xfId="0" applyNumberFormat="1" applyFont="1"/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4" fillId="0" borderId="0" xfId="0" applyNumberFormat="1" applyFont="1"/>
    <xf numFmtId="0" fontId="0" fillId="0" borderId="0" xfId="0" applyAlignment="1">
      <alignment horizontal="center" vertical="center"/>
    </xf>
    <xf numFmtId="15" fontId="14" fillId="2" borderId="4" xfId="0" applyNumberFormat="1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 textRotation="180"/>
    </xf>
    <xf numFmtId="165" fontId="15" fillId="2" borderId="4" xfId="2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 textRotation="90"/>
    </xf>
    <xf numFmtId="0" fontId="8" fillId="2" borderId="4" xfId="0" applyFont="1" applyFill="1" applyBorder="1" applyAlignment="1">
      <alignment horizontal="center" vertical="center" textRotation="90" wrapText="1"/>
    </xf>
    <xf numFmtId="43" fontId="8" fillId="2" borderId="4" xfId="0" applyNumberFormat="1" applyFont="1" applyFill="1" applyBorder="1" applyAlignment="1">
      <alignment horizontal="center" vertical="center" wrapText="1"/>
    </xf>
    <xf numFmtId="165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165" fontId="8" fillId="0" borderId="4" xfId="0" applyNumberFormat="1" applyFont="1" applyBorder="1" applyAlignment="1">
      <alignment vertical="top"/>
    </xf>
    <xf numFmtId="165" fontId="8" fillId="0" borderId="4" xfId="0" applyNumberFormat="1" applyFont="1" applyBorder="1"/>
    <xf numFmtId="0" fontId="10" fillId="0" borderId="4" xfId="0" applyFont="1" applyBorder="1" applyAlignment="1">
      <alignment horizontal="left" vertical="center"/>
    </xf>
    <xf numFmtId="0" fontId="10" fillId="0" borderId="4" xfId="0" applyFont="1" applyBorder="1" applyAlignment="1">
      <alignment horizontal="center" vertical="top"/>
    </xf>
    <xf numFmtId="43" fontId="8" fillId="0" borderId="4" xfId="1" applyFont="1" applyBorder="1" applyAlignment="1">
      <alignment vertical="top"/>
    </xf>
    <xf numFmtId="0" fontId="10" fillId="0" borderId="0" xfId="0" applyFont="1"/>
    <xf numFmtId="15" fontId="10" fillId="6" borderId="4" xfId="0" applyNumberFormat="1" applyFont="1" applyFill="1" applyBorder="1" applyAlignment="1">
      <alignment horizontal="right" vertical="center"/>
    </xf>
    <xf numFmtId="165" fontId="8" fillId="0" borderId="4" xfId="1" applyNumberFormat="1" applyFont="1" applyBorder="1"/>
    <xf numFmtId="41" fontId="10" fillId="0" borderId="4" xfId="1" applyNumberFormat="1" applyFont="1" applyBorder="1"/>
    <xf numFmtId="0" fontId="11" fillId="0" borderId="4" xfId="0" applyFont="1" applyBorder="1" applyAlignment="1">
      <alignment vertical="center"/>
    </xf>
    <xf numFmtId="41" fontId="8" fillId="0" borderId="4" xfId="0" applyNumberFormat="1" applyFont="1" applyBorder="1"/>
    <xf numFmtId="15" fontId="10" fillId="5" borderId="4" xfId="0" applyNumberFormat="1" applyFont="1" applyFill="1" applyBorder="1"/>
    <xf numFmtId="0" fontId="10" fillId="5" borderId="4" xfId="0" applyFont="1" applyFill="1" applyBorder="1" applyAlignment="1">
      <alignment horizontal="center"/>
    </xf>
    <xf numFmtId="0" fontId="16" fillId="5" borderId="4" xfId="0" applyFont="1" applyFill="1" applyBorder="1"/>
    <xf numFmtId="165" fontId="10" fillId="5" borderId="4" xfId="2" applyNumberFormat="1" applyFont="1" applyFill="1" applyBorder="1"/>
    <xf numFmtId="165" fontId="10" fillId="5" borderId="4" xfId="2" applyNumberFormat="1" applyFont="1" applyFill="1" applyBorder="1" applyAlignment="1">
      <alignment horizontal="center"/>
    </xf>
    <xf numFmtId="165" fontId="8" fillId="5" borderId="4" xfId="2" applyNumberFormat="1" applyFont="1" applyFill="1" applyBorder="1"/>
    <xf numFmtId="0" fontId="8" fillId="5" borderId="4" xfId="0" applyFont="1" applyFill="1" applyBorder="1"/>
    <xf numFmtId="0" fontId="10" fillId="8" borderId="4" xfId="0" applyFont="1" applyFill="1" applyBorder="1" applyAlignment="1">
      <alignment horizontal="center" vertical="center"/>
    </xf>
    <xf numFmtId="0" fontId="8" fillId="8" borderId="4" xfId="0" applyFont="1" applyFill="1" applyBorder="1"/>
    <xf numFmtId="41" fontId="10" fillId="8" borderId="4" xfId="0" applyNumberFormat="1" applyFont="1" applyFill="1" applyBorder="1"/>
    <xf numFmtId="0" fontId="10" fillId="8" borderId="4" xfId="0" applyFont="1" applyFill="1" applyBorder="1" applyAlignment="1">
      <alignment horizontal="center" vertical="top"/>
    </xf>
    <xf numFmtId="3" fontId="10" fillId="8" borderId="4" xfId="0" applyNumberFormat="1" applyFont="1" applyFill="1" applyBorder="1" applyAlignment="1">
      <alignment horizontal="center"/>
    </xf>
    <xf numFmtId="165" fontId="8" fillId="8" borderId="4" xfId="0" applyNumberFormat="1" applyFont="1" applyFill="1" applyBorder="1"/>
    <xf numFmtId="0" fontId="8" fillId="5" borderId="4" xfId="0" applyFont="1" applyFill="1" applyBorder="1" applyAlignment="1">
      <alignment horizontal="center"/>
    </xf>
    <xf numFmtId="164" fontId="16" fillId="5" borderId="4" xfId="0" applyNumberFormat="1" applyFont="1" applyFill="1" applyBorder="1" applyAlignment="1">
      <alignment horizontal="left"/>
    </xf>
    <xf numFmtId="0" fontId="10" fillId="5" borderId="4" xfId="0" applyFont="1" applyFill="1" applyBorder="1"/>
    <xf numFmtId="0" fontId="10" fillId="5" borderId="4" xfId="0" applyFont="1" applyFill="1" applyBorder="1" applyAlignment="1">
      <alignment horizontal="center" vertical="top"/>
    </xf>
    <xf numFmtId="3" fontId="10" fillId="5" borderId="4" xfId="0" applyNumberFormat="1" applyFont="1" applyFill="1" applyBorder="1" applyAlignment="1">
      <alignment horizontal="center"/>
    </xf>
    <xf numFmtId="165" fontId="8" fillId="5" borderId="4" xfId="0" applyNumberFormat="1" applyFont="1" applyFill="1" applyBorder="1"/>
    <xf numFmtId="0" fontId="10" fillId="6" borderId="4" xfId="0" applyFont="1" applyFill="1" applyBorder="1" applyAlignment="1">
      <alignment horizontal="center"/>
    </xf>
    <xf numFmtId="0" fontId="16" fillId="6" borderId="4" xfId="0" applyFont="1" applyFill="1" applyBorder="1"/>
    <xf numFmtId="165" fontId="10" fillId="6" borderId="4" xfId="2" applyNumberFormat="1" applyFont="1" applyFill="1" applyBorder="1"/>
    <xf numFmtId="0" fontId="17" fillId="6" borderId="4" xfId="0" applyFont="1" applyFill="1" applyBorder="1"/>
    <xf numFmtId="0" fontId="10" fillId="6" borderId="4" xfId="0" applyFont="1" applyFill="1" applyBorder="1" applyAlignment="1">
      <alignment horizontal="left" vertical="center"/>
    </xf>
    <xf numFmtId="165" fontId="10" fillId="0" borderId="4" xfId="2" applyNumberFormat="1" applyFont="1" applyBorder="1"/>
    <xf numFmtId="0" fontId="8" fillId="6" borderId="4" xfId="0" applyFont="1" applyFill="1" applyBorder="1" applyAlignment="1">
      <alignment horizontal="left" vertical="center"/>
    </xf>
    <xf numFmtId="0" fontId="10" fillId="6" borderId="4" xfId="0" applyFont="1" applyFill="1" applyBorder="1"/>
    <xf numFmtId="165" fontId="10" fillId="6" borderId="4" xfId="0" applyNumberFormat="1" applyFont="1" applyFill="1" applyBorder="1"/>
    <xf numFmtId="3" fontId="10" fillId="6" borderId="4" xfId="0" applyNumberFormat="1" applyFont="1" applyFill="1" applyBorder="1" applyAlignment="1">
      <alignment horizontal="center"/>
    </xf>
    <xf numFmtId="165" fontId="8" fillId="5" borderId="4" xfId="0" applyNumberFormat="1" applyFont="1" applyFill="1" applyBorder="1" applyAlignment="1">
      <alignment vertical="top"/>
    </xf>
    <xf numFmtId="15" fontId="10" fillId="0" borderId="4" xfId="0" applyNumberFormat="1" applyFont="1" applyBorder="1" applyAlignment="1">
      <alignment horizontal="right" vertical="center"/>
    </xf>
    <xf numFmtId="165" fontId="10" fillId="6" borderId="4" xfId="1" applyNumberFormat="1" applyFont="1" applyFill="1" applyBorder="1"/>
    <xf numFmtId="43" fontId="8" fillId="0" borderId="4" xfId="0" applyNumberFormat="1" applyFont="1" applyBorder="1"/>
    <xf numFmtId="0" fontId="8" fillId="0" borderId="0" xfId="0" applyFont="1"/>
    <xf numFmtId="0" fontId="17" fillId="0" borderId="4" xfId="0" applyFont="1" applyBorder="1"/>
    <xf numFmtId="15" fontId="10" fillId="0" borderId="4" xfId="0" applyNumberFormat="1" applyFont="1" applyBorder="1" applyAlignment="1">
      <alignment horizontal="right"/>
    </xf>
    <xf numFmtId="0" fontId="8" fillId="0" borderId="4" xfId="0" applyFont="1" applyBorder="1" applyAlignment="1">
      <alignment horizontal="left" vertical="center"/>
    </xf>
    <xf numFmtId="43" fontId="8" fillId="6" borderId="4" xfId="0" applyNumberFormat="1" applyFont="1" applyFill="1" applyBorder="1"/>
    <xf numFmtId="165" fontId="10" fillId="5" borderId="4" xfId="1" applyNumberFormat="1" applyFont="1" applyFill="1" applyBorder="1"/>
    <xf numFmtId="3" fontId="10" fillId="6" borderId="4" xfId="0" applyNumberFormat="1" applyFont="1" applyFill="1" applyBorder="1"/>
    <xf numFmtId="164" fontId="8" fillId="5" borderId="4" xfId="0" applyNumberFormat="1" applyFont="1" applyFill="1" applyBorder="1" applyAlignment="1">
      <alignment horizontal="left"/>
    </xf>
    <xf numFmtId="0" fontId="10" fillId="0" borderId="4" xfId="0" applyFont="1" applyBorder="1" applyAlignment="1">
      <alignment horizontal="left" vertical="center" wrapText="1"/>
    </xf>
    <xf numFmtId="0" fontId="18" fillId="0" borderId="4" xfId="0" applyFont="1" applyBorder="1" applyAlignment="1">
      <alignment horizontal="left" vertical="center"/>
    </xf>
    <xf numFmtId="165" fontId="10" fillId="0" borderId="4" xfId="1" applyNumberFormat="1" applyFont="1" applyBorder="1" applyAlignment="1">
      <alignment vertical="center"/>
    </xf>
    <xf numFmtId="165" fontId="8" fillId="6" borderId="4" xfId="0" applyNumberFormat="1" applyFont="1" applyFill="1" applyBorder="1"/>
    <xf numFmtId="0" fontId="10" fillId="6" borderId="4" xfId="0" applyFont="1" applyFill="1" applyBorder="1" applyAlignment="1">
      <alignment horizontal="left"/>
    </xf>
    <xf numFmtId="0" fontId="17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165" fontId="8" fillId="0" borderId="4" xfId="0" applyNumberFormat="1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0" fillId="0" borderId="0" xfId="0" applyAlignment="1">
      <alignment vertical="center"/>
    </xf>
    <xf numFmtId="15" fontId="8" fillId="5" borderId="4" xfId="0" applyNumberFormat="1" applyFont="1" applyFill="1" applyBorder="1"/>
    <xf numFmtId="0" fontId="16" fillId="0" borderId="4" xfId="0" applyFont="1" applyBorder="1"/>
    <xf numFmtId="0" fontId="19" fillId="0" borderId="4" xfId="0" applyFont="1" applyBorder="1"/>
    <xf numFmtId="0" fontId="20" fillId="0" borderId="0" xfId="0" applyFont="1"/>
    <xf numFmtId="0" fontId="17" fillId="6" borderId="4" xfId="0" applyFont="1" applyFill="1" applyBorder="1" applyAlignment="1">
      <alignment horizontal="left" vertical="center"/>
    </xf>
    <xf numFmtId="15" fontId="10" fillId="0" borderId="10" xfId="0" applyNumberFormat="1" applyFont="1" applyBorder="1" applyAlignment="1">
      <alignment horizontal="right" vertical="center"/>
    </xf>
    <xf numFmtId="0" fontId="10" fillId="0" borderId="9" xfId="0" applyFont="1" applyBorder="1" applyAlignment="1">
      <alignment horizontal="center"/>
    </xf>
    <xf numFmtId="0" fontId="17" fillId="0" borderId="9" xfId="0" applyFont="1" applyBorder="1"/>
    <xf numFmtId="0" fontId="10" fillId="0" borderId="9" xfId="0" applyFont="1" applyBorder="1"/>
    <xf numFmtId="0" fontId="10" fillId="0" borderId="8" xfId="0" applyFont="1" applyBorder="1" applyAlignment="1">
      <alignment horizontal="right"/>
    </xf>
    <xf numFmtId="0" fontId="10" fillId="0" borderId="4" xfId="0" applyFont="1" applyBorder="1" applyAlignment="1">
      <alignment horizontal="right"/>
    </xf>
    <xf numFmtId="0" fontId="8" fillId="0" borderId="9" xfId="0" applyFont="1" applyBorder="1" applyAlignment="1">
      <alignment horizontal="left" vertical="center"/>
    </xf>
    <xf numFmtId="15" fontId="10" fillId="0" borderId="10" xfId="0" applyNumberFormat="1" applyFont="1" applyBorder="1" applyAlignment="1">
      <alignment vertical="center"/>
    </xf>
    <xf numFmtId="15" fontId="10" fillId="0" borderId="9" xfId="0" applyNumberFormat="1" applyFont="1" applyBorder="1" applyAlignment="1">
      <alignment vertical="center"/>
    </xf>
    <xf numFmtId="15" fontId="8" fillId="0" borderId="10" xfId="0" applyNumberFormat="1" applyFont="1" applyBorder="1" applyAlignment="1">
      <alignment vertical="center"/>
    </xf>
    <xf numFmtId="15" fontId="8" fillId="0" borderId="9" xfId="0" applyNumberFormat="1" applyFont="1" applyBorder="1" applyAlignment="1">
      <alignment vertical="center"/>
    </xf>
    <xf numFmtId="0" fontId="10" fillId="0" borderId="9" xfId="0" applyFont="1" applyBorder="1" applyAlignment="1">
      <alignment horizontal="left" vertical="center"/>
    </xf>
    <xf numFmtId="15" fontId="11" fillId="0" borderId="4" xfId="0" applyNumberFormat="1" applyFont="1" applyBorder="1" applyAlignment="1">
      <alignment horizontal="right" vertical="center"/>
    </xf>
    <xf numFmtId="0" fontId="11" fillId="0" borderId="4" xfId="0" applyFont="1" applyBorder="1" applyAlignment="1">
      <alignment horizontal="center"/>
    </xf>
    <xf numFmtId="0" fontId="21" fillId="0" borderId="4" xfId="0" applyFont="1" applyBorder="1"/>
    <xf numFmtId="0" fontId="11" fillId="0" borderId="4" xfId="0" applyFont="1" applyBorder="1"/>
    <xf numFmtId="167" fontId="11" fillId="0" borderId="4" xfId="4" applyNumberFormat="1" applyFont="1" applyBorder="1" applyAlignment="1">
      <alignment horizontal="right" vertical="center"/>
    </xf>
    <xf numFmtId="0" fontId="11" fillId="0" borderId="4" xfId="5" applyFont="1" applyBorder="1" applyAlignment="1">
      <alignment horizontal="left" vertical="center" wrapText="1"/>
    </xf>
    <xf numFmtId="41" fontId="11" fillId="0" borderId="4" xfId="5" applyNumberFormat="1" applyFont="1" applyBorder="1" applyAlignment="1">
      <alignment horizontal="center" vertical="center" wrapText="1"/>
    </xf>
    <xf numFmtId="165" fontId="11" fillId="0" borderId="4" xfId="1" applyNumberFormat="1" applyFont="1" applyBorder="1"/>
    <xf numFmtId="0" fontId="19" fillId="0" borderId="4" xfId="0" applyFont="1" applyBorder="1" applyAlignment="1">
      <alignment horizontal="left" vertical="center"/>
    </xf>
    <xf numFmtId="0" fontId="8" fillId="5" borderId="4" xfId="0" applyFont="1" applyFill="1" applyBorder="1" applyAlignment="1">
      <alignment horizontal="left"/>
    </xf>
    <xf numFmtId="0" fontId="16" fillId="5" borderId="4" xfId="0" applyFont="1" applyFill="1" applyBorder="1" applyAlignment="1">
      <alignment horizontal="left"/>
    </xf>
    <xf numFmtId="0" fontId="8" fillId="5" borderId="4" xfId="0" applyFont="1" applyFill="1" applyBorder="1" applyAlignment="1">
      <alignment horizontal="right"/>
    </xf>
    <xf numFmtId="165" fontId="8" fillId="5" borderId="4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left"/>
    </xf>
    <xf numFmtId="3" fontId="8" fillId="0" borderId="4" xfId="0" applyNumberFormat="1" applyFont="1" applyBorder="1" applyAlignment="1">
      <alignment horizontal="right"/>
    </xf>
    <xf numFmtId="164" fontId="10" fillId="5" borderId="4" xfId="0" applyNumberFormat="1" applyFont="1" applyFill="1" applyBorder="1" applyAlignment="1">
      <alignment horizontal="left"/>
    </xf>
    <xf numFmtId="15" fontId="16" fillId="0" borderId="4" xfId="0" applyNumberFormat="1" applyFont="1" applyBorder="1"/>
    <xf numFmtId="15" fontId="10" fillId="0" borderId="4" xfId="0" applyNumberFormat="1" applyFont="1" applyBorder="1" applyAlignment="1">
      <alignment vertical="top"/>
    </xf>
    <xf numFmtId="0" fontId="10" fillId="0" borderId="4" xfId="0" applyFont="1" applyBorder="1" applyAlignment="1">
      <alignment vertical="top" wrapText="1"/>
    </xf>
    <xf numFmtId="165" fontId="10" fillId="0" borderId="4" xfId="1" applyNumberFormat="1" applyFont="1" applyBorder="1" applyAlignment="1">
      <alignment vertical="top"/>
    </xf>
    <xf numFmtId="0" fontId="10" fillId="0" borderId="4" xfId="0" applyFont="1" applyBorder="1" applyAlignment="1">
      <alignment horizontal="left" vertical="top" wrapText="1"/>
    </xf>
    <xf numFmtId="15" fontId="10" fillId="0" borderId="4" xfId="0" applyNumberFormat="1" applyFont="1" applyBorder="1" applyAlignment="1">
      <alignment horizontal="right" vertical="top"/>
    </xf>
    <xf numFmtId="0" fontId="23" fillId="0" borderId="0" xfId="0" applyFont="1"/>
    <xf numFmtId="164" fontId="8" fillId="5" borderId="4" xfId="0" applyNumberFormat="1" applyFont="1" applyFill="1" applyBorder="1" applyAlignment="1">
      <alignment vertical="center" wrapText="1"/>
    </xf>
    <xf numFmtId="164" fontId="8" fillId="5" borderId="4" xfId="0" applyNumberFormat="1" applyFont="1" applyFill="1" applyBorder="1" applyAlignment="1">
      <alignment vertical="center"/>
    </xf>
    <xf numFmtId="15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vertical="center" wrapText="1"/>
    </xf>
    <xf numFmtId="165" fontId="10" fillId="0" borderId="4" xfId="1" applyNumberFormat="1" applyFont="1" applyBorder="1" applyAlignment="1">
      <alignment horizontal="center" vertical="center"/>
    </xf>
    <xf numFmtId="42" fontId="8" fillId="0" borderId="4" xfId="0" applyNumberFormat="1" applyFont="1" applyBorder="1" applyAlignment="1">
      <alignment horizontal="center" vertical="center"/>
    </xf>
    <xf numFmtId="42" fontId="8" fillId="0" borderId="4" xfId="0" applyNumberFormat="1" applyFont="1" applyBorder="1" applyAlignment="1">
      <alignment horizontal="center"/>
    </xf>
    <xf numFmtId="165" fontId="10" fillId="0" borderId="10" xfId="1" applyNumberFormat="1" applyFont="1" applyBorder="1"/>
    <xf numFmtId="166" fontId="10" fillId="0" borderId="0" xfId="1" applyNumberFormat="1" applyFont="1"/>
    <xf numFmtId="41" fontId="10" fillId="0" borderId="9" xfId="1" applyNumberFormat="1" applyFont="1" applyBorder="1"/>
    <xf numFmtId="41" fontId="10" fillId="0" borderId="8" xfId="1" applyNumberFormat="1" applyFont="1" applyBorder="1"/>
    <xf numFmtId="165" fontId="10" fillId="6" borderId="9" xfId="2" applyNumberFormat="1" applyFont="1" applyFill="1" applyBorder="1"/>
    <xf numFmtId="41" fontId="10" fillId="0" borderId="0" xfId="1" applyNumberFormat="1" applyFont="1"/>
    <xf numFmtId="165" fontId="10" fillId="0" borderId="8" xfId="1" applyNumberFormat="1" applyFont="1" applyBorder="1"/>
    <xf numFmtId="166" fontId="10" fillId="0" borderId="4" xfId="1" applyNumberFormat="1" applyFont="1" applyBorder="1"/>
    <xf numFmtId="43" fontId="8" fillId="5" borderId="4" xfId="0" applyNumberFormat="1" applyFont="1" applyFill="1" applyBorder="1"/>
    <xf numFmtId="41" fontId="11" fillId="0" borderId="4" xfId="6" applyNumberFormat="1" applyFont="1" applyBorder="1" applyAlignment="1">
      <alignment horizontal="center" vertical="center"/>
    </xf>
    <xf numFmtId="165" fontId="10" fillId="0" borderId="4" xfId="1" applyNumberFormat="1" applyFont="1" applyBorder="1" applyAlignment="1">
      <alignment horizontal="center"/>
    </xf>
    <xf numFmtId="0" fontId="24" fillId="6" borderId="0" xfId="3" applyFont="1" applyFill="1"/>
    <xf numFmtId="165" fontId="24" fillId="6" borderId="0" xfId="7" applyNumberFormat="1" applyFont="1" applyFill="1"/>
    <xf numFmtId="0" fontId="0" fillId="6" borderId="0" xfId="0" applyFill="1"/>
    <xf numFmtId="0" fontId="24" fillId="9" borderId="0" xfId="8" applyFont="1" applyFill="1"/>
    <xf numFmtId="0" fontId="25" fillId="6" borderId="0" xfId="3" applyFont="1" applyFill="1"/>
    <xf numFmtId="0" fontId="26" fillId="6" borderId="0" xfId="3" applyFont="1" applyFill="1"/>
    <xf numFmtId="0" fontId="27" fillId="9" borderId="0" xfId="8" applyFont="1" applyFill="1" applyAlignment="1">
      <alignment horizontal="left"/>
    </xf>
    <xf numFmtId="0" fontId="28" fillId="6" borderId="2" xfId="3" applyFont="1" applyFill="1" applyBorder="1"/>
    <xf numFmtId="0" fontId="28" fillId="6" borderId="11" xfId="3" applyFont="1" applyFill="1" applyBorder="1"/>
    <xf numFmtId="0" fontId="28" fillId="9" borderId="2" xfId="8" applyFont="1" applyFill="1" applyBorder="1"/>
    <xf numFmtId="0" fontId="28" fillId="9" borderId="11" xfId="8" applyFont="1" applyFill="1" applyBorder="1"/>
    <xf numFmtId="0" fontId="28" fillId="6" borderId="6" xfId="3" applyFont="1" applyFill="1" applyBorder="1"/>
    <xf numFmtId="0" fontId="28" fillId="6" borderId="14" xfId="3" applyFont="1" applyFill="1" applyBorder="1"/>
    <xf numFmtId="0" fontId="28" fillId="9" borderId="6" xfId="8" applyFont="1" applyFill="1" applyBorder="1"/>
    <xf numFmtId="0" fontId="28" fillId="9" borderId="14" xfId="8" applyFont="1" applyFill="1" applyBorder="1"/>
    <xf numFmtId="170" fontId="29" fillId="6" borderId="2" xfId="9" applyFont="1" applyFill="1" applyBorder="1"/>
    <xf numFmtId="0" fontId="30" fillId="6" borderId="0" xfId="3" applyFont="1" applyFill="1"/>
    <xf numFmtId="0" fontId="30" fillId="6" borderId="2" xfId="3" applyFont="1" applyFill="1" applyBorder="1"/>
    <xf numFmtId="170" fontId="30" fillId="6" borderId="3" xfId="9" applyFont="1" applyFill="1" applyBorder="1"/>
    <xf numFmtId="2" fontId="29" fillId="9" borderId="12" xfId="10" applyFont="1" applyFill="1" applyBorder="1" applyAlignment="1">
      <alignment horizontal="left"/>
    </xf>
    <xf numFmtId="2" fontId="29" fillId="9" borderId="0" xfId="10" applyFont="1" applyFill="1"/>
    <xf numFmtId="2" fontId="29" fillId="9" borderId="2" xfId="10" applyFont="1" applyFill="1" applyBorder="1"/>
    <xf numFmtId="3" fontId="29" fillId="9" borderId="3" xfId="10" applyNumberFormat="1" applyFont="1" applyFill="1" applyBorder="1" applyAlignment="1">
      <alignment horizontal="right"/>
    </xf>
    <xf numFmtId="0" fontId="30" fillId="6" borderId="12" xfId="3" applyFont="1" applyFill="1" applyBorder="1"/>
    <xf numFmtId="37" fontId="30" fillId="6" borderId="13" xfId="11" applyNumberFormat="1" applyFont="1" applyFill="1" applyBorder="1"/>
    <xf numFmtId="2" fontId="31" fillId="9" borderId="12" xfId="10" applyFont="1" applyFill="1" applyBorder="1"/>
    <xf numFmtId="2" fontId="31" fillId="9" borderId="0" xfId="10" applyFont="1" applyFill="1"/>
    <xf numFmtId="3" fontId="31" fillId="9" borderId="13" xfId="10" applyNumberFormat="1" applyFont="1" applyFill="1" applyBorder="1" applyAlignment="1">
      <alignment horizontal="right"/>
    </xf>
    <xf numFmtId="2" fontId="30" fillId="9" borderId="12" xfId="10" applyFont="1" applyFill="1" applyBorder="1"/>
    <xf numFmtId="2" fontId="30" fillId="9" borderId="0" xfId="10" applyFont="1" applyFill="1" applyAlignment="1">
      <alignment horizontal="left"/>
    </xf>
    <xf numFmtId="3" fontId="30" fillId="9" borderId="13" xfId="10" applyNumberFormat="1" applyFont="1" applyFill="1" applyBorder="1" applyAlignment="1">
      <alignment horizontal="right"/>
    </xf>
    <xf numFmtId="0" fontId="30" fillId="6" borderId="6" xfId="3" applyFont="1" applyFill="1" applyBorder="1"/>
    <xf numFmtId="37" fontId="30" fillId="6" borderId="7" xfId="11" applyNumberFormat="1" applyFont="1" applyFill="1" applyBorder="1"/>
    <xf numFmtId="170" fontId="29" fillId="6" borderId="10" xfId="9" applyFont="1" applyFill="1" applyBorder="1"/>
    <xf numFmtId="0" fontId="30" fillId="6" borderId="9" xfId="3" applyFont="1" applyFill="1" applyBorder="1"/>
    <xf numFmtId="0" fontId="30" fillId="6" borderId="10" xfId="3" applyFont="1" applyFill="1" applyBorder="1"/>
    <xf numFmtId="37" fontId="29" fillId="6" borderId="8" xfId="11" applyNumberFormat="1" applyFont="1" applyFill="1" applyBorder="1"/>
    <xf numFmtId="37" fontId="30" fillId="6" borderId="3" xfId="11" applyNumberFormat="1" applyFont="1" applyFill="1" applyBorder="1"/>
    <xf numFmtId="170" fontId="29" fillId="6" borderId="12" xfId="9" applyFont="1" applyFill="1" applyBorder="1"/>
    <xf numFmtId="37" fontId="30" fillId="0" borderId="13" xfId="11" applyNumberFormat="1" applyFont="1" applyBorder="1"/>
    <xf numFmtId="170" fontId="30" fillId="6" borderId="12" xfId="9" applyFont="1" applyFill="1" applyBorder="1"/>
    <xf numFmtId="172" fontId="29" fillId="9" borderId="12" xfId="10" applyNumberFormat="1" applyFont="1" applyFill="1" applyBorder="1" applyAlignment="1">
      <alignment horizontal="left"/>
    </xf>
    <xf numFmtId="2" fontId="30" fillId="9" borderId="10" xfId="10" applyFont="1" applyFill="1" applyBorder="1"/>
    <xf numFmtId="2" fontId="29" fillId="9" borderId="9" xfId="10" applyFont="1" applyFill="1" applyBorder="1" applyAlignment="1">
      <alignment horizontal="left"/>
    </xf>
    <xf numFmtId="3" fontId="29" fillId="9" borderId="8" xfId="10" applyNumberFormat="1" applyFont="1" applyFill="1" applyBorder="1" applyAlignment="1">
      <alignment horizontal="right"/>
    </xf>
    <xf numFmtId="2" fontId="30" fillId="9" borderId="2" xfId="10" applyFont="1" applyFill="1" applyBorder="1" applyAlignment="1">
      <alignment horizontal="left"/>
    </xf>
    <xf numFmtId="3" fontId="30" fillId="9" borderId="3" xfId="10" applyNumberFormat="1" applyFont="1" applyFill="1" applyBorder="1" applyAlignment="1">
      <alignment horizontal="right"/>
    </xf>
    <xf numFmtId="2" fontId="29" fillId="9" borderId="0" xfId="10" applyFont="1" applyFill="1" applyAlignment="1">
      <alignment horizontal="left"/>
    </xf>
    <xf numFmtId="37" fontId="30" fillId="0" borderId="7" xfId="11" applyNumberFormat="1" applyFont="1" applyBorder="1"/>
    <xf numFmtId="37" fontId="29" fillId="0" borderId="8" xfId="11" applyNumberFormat="1" applyFont="1" applyBorder="1"/>
    <xf numFmtId="2" fontId="29" fillId="9" borderId="6" xfId="10" applyFont="1" applyFill="1" applyBorder="1" applyAlignment="1">
      <alignment horizontal="left"/>
    </xf>
    <xf numFmtId="3" fontId="29" fillId="9" borderId="7" xfId="10" applyNumberFormat="1" applyFont="1" applyFill="1" applyBorder="1" applyAlignment="1">
      <alignment horizontal="right"/>
    </xf>
    <xf numFmtId="37" fontId="30" fillId="0" borderId="3" xfId="11" applyNumberFormat="1" applyFont="1" applyBorder="1"/>
    <xf numFmtId="2" fontId="30" fillId="9" borderId="6" xfId="10" applyFont="1" applyFill="1" applyBorder="1" applyAlignment="1">
      <alignment horizontal="left"/>
    </xf>
    <xf numFmtId="3" fontId="30" fillId="9" borderId="7" xfId="10" applyNumberFormat="1" applyFont="1" applyFill="1" applyBorder="1" applyAlignment="1">
      <alignment horizontal="right"/>
    </xf>
    <xf numFmtId="2" fontId="30" fillId="9" borderId="10" xfId="10" applyFont="1" applyFill="1" applyBorder="1" applyAlignment="1">
      <alignment horizontal="left"/>
    </xf>
    <xf numFmtId="3" fontId="30" fillId="9" borderId="8" xfId="10" applyNumberFormat="1" applyFont="1" applyFill="1" applyBorder="1" applyAlignment="1">
      <alignment horizontal="right"/>
    </xf>
    <xf numFmtId="3" fontId="29" fillId="6" borderId="8" xfId="3" applyNumberFormat="1" applyFont="1" applyFill="1" applyBorder="1" applyAlignment="1">
      <alignment horizontal="right"/>
    </xf>
    <xf numFmtId="2" fontId="30" fillId="9" borderId="2" xfId="10" applyFont="1" applyFill="1" applyBorder="1"/>
    <xf numFmtId="2" fontId="30" fillId="9" borderId="11" xfId="10" applyFont="1" applyFill="1" applyBorder="1"/>
    <xf numFmtId="2" fontId="29" fillId="9" borderId="12" xfId="10" applyFont="1" applyFill="1" applyBorder="1"/>
    <xf numFmtId="3" fontId="29" fillId="9" borderId="13" xfId="10" applyNumberFormat="1" applyFont="1" applyFill="1" applyBorder="1" applyAlignment="1">
      <alignment horizontal="right"/>
    </xf>
    <xf numFmtId="0" fontId="30" fillId="9" borderId="0" xfId="8" applyFont="1" applyFill="1"/>
    <xf numFmtId="3" fontId="30" fillId="9" borderId="13" xfId="8" applyNumberFormat="1" applyFont="1" applyFill="1" applyBorder="1" applyAlignment="1">
      <alignment horizontal="right"/>
    </xf>
    <xf numFmtId="37" fontId="30" fillId="6" borderId="8" xfId="11" applyNumberFormat="1" applyFont="1" applyFill="1" applyBorder="1"/>
    <xf numFmtId="0" fontId="0" fillId="6" borderId="6" xfId="0" applyFill="1" applyBorder="1"/>
    <xf numFmtId="0" fontId="0" fillId="6" borderId="14" xfId="0" applyFill="1" applyBorder="1"/>
    <xf numFmtId="3" fontId="0" fillId="6" borderId="7" xfId="0" applyNumberFormat="1" applyFill="1" applyBorder="1" applyAlignment="1">
      <alignment horizontal="right"/>
    </xf>
    <xf numFmtId="0" fontId="30" fillId="6" borderId="11" xfId="3" applyFont="1" applyFill="1" applyBorder="1"/>
    <xf numFmtId="37" fontId="29" fillId="6" borderId="3" xfId="11" applyNumberFormat="1" applyFont="1" applyFill="1" applyBorder="1"/>
    <xf numFmtId="2" fontId="29" fillId="9" borderId="10" xfId="10" applyFont="1" applyFill="1" applyBorder="1" applyAlignment="1">
      <alignment horizontal="left"/>
    </xf>
    <xf numFmtId="37" fontId="29" fillId="6" borderId="13" xfId="11" applyNumberFormat="1" applyFont="1" applyFill="1" applyBorder="1"/>
    <xf numFmtId="2" fontId="29" fillId="9" borderId="2" xfId="10" applyFont="1" applyFill="1" applyBorder="1" applyAlignment="1">
      <alignment horizontal="left"/>
    </xf>
    <xf numFmtId="37" fontId="29" fillId="6" borderId="7" xfId="11" applyNumberFormat="1" applyFont="1" applyFill="1" applyBorder="1"/>
    <xf numFmtId="170" fontId="30" fillId="6" borderId="2" xfId="9" applyFont="1" applyFill="1" applyBorder="1"/>
    <xf numFmtId="3" fontId="30" fillId="9" borderId="7" xfId="11" quotePrefix="1" applyNumberFormat="1" applyFont="1" applyFill="1" applyBorder="1" applyAlignment="1">
      <alignment horizontal="right"/>
    </xf>
    <xf numFmtId="0" fontId="30" fillId="6" borderId="17" xfId="3" applyFont="1" applyFill="1" applyBorder="1"/>
    <xf numFmtId="37" fontId="29" fillId="6" borderId="16" xfId="11" applyNumberFormat="1" applyFont="1" applyFill="1" applyBorder="1"/>
    <xf numFmtId="2" fontId="29" fillId="9" borderId="17" xfId="10" applyFont="1" applyFill="1" applyBorder="1"/>
    <xf numFmtId="2" fontId="29" fillId="9" borderId="18" xfId="10" applyFont="1" applyFill="1" applyBorder="1"/>
    <xf numFmtId="3" fontId="29" fillId="9" borderId="16" xfId="10" applyNumberFormat="1" applyFont="1" applyFill="1" applyBorder="1" applyAlignment="1">
      <alignment horizontal="right"/>
    </xf>
    <xf numFmtId="2" fontId="30" fillId="9" borderId="0" xfId="10" applyFont="1" applyFill="1"/>
    <xf numFmtId="172" fontId="0" fillId="6" borderId="0" xfId="0" applyNumberFormat="1" applyFill="1"/>
    <xf numFmtId="0" fontId="26" fillId="6" borderId="4" xfId="3" applyFont="1" applyFill="1" applyBorder="1" applyAlignment="1">
      <alignment horizontal="center"/>
    </xf>
    <xf numFmtId="0" fontId="33" fillId="6" borderId="4" xfId="3" applyFont="1" applyFill="1" applyBorder="1" applyAlignment="1">
      <alignment horizontal="center"/>
    </xf>
    <xf numFmtId="0" fontId="33" fillId="6" borderId="4" xfId="3" applyFont="1" applyFill="1" applyBorder="1"/>
    <xf numFmtId="0" fontId="33" fillId="6" borderId="10" xfId="3" applyFont="1" applyFill="1" applyBorder="1"/>
    <xf numFmtId="165" fontId="33" fillId="6" borderId="8" xfId="7" applyNumberFormat="1" applyFont="1" applyFill="1" applyBorder="1"/>
    <xf numFmtId="165" fontId="33" fillId="7" borderId="8" xfId="7" applyNumberFormat="1" applyFont="1" applyFill="1" applyBorder="1"/>
    <xf numFmtId="0" fontId="3" fillId="6" borderId="0" xfId="0" applyFont="1" applyFill="1"/>
    <xf numFmtId="0" fontId="34" fillId="6" borderId="4" xfId="0" applyFont="1" applyFill="1" applyBorder="1" applyAlignment="1">
      <alignment horizontal="center"/>
    </xf>
    <xf numFmtId="0" fontId="34" fillId="6" borderId="4" xfId="0" applyFont="1" applyFill="1" applyBorder="1"/>
    <xf numFmtId="165" fontId="33" fillId="6" borderId="4" xfId="7" applyNumberFormat="1" applyFont="1" applyFill="1" applyBorder="1"/>
    <xf numFmtId="0" fontId="25" fillId="6" borderId="0" xfId="3" applyFont="1" applyFill="1" applyAlignment="1">
      <alignment horizontal="left"/>
    </xf>
    <xf numFmtId="0" fontId="26" fillId="6" borderId="0" xfId="3" applyFont="1" applyFill="1" applyAlignment="1">
      <alignment horizontal="left"/>
    </xf>
    <xf numFmtId="165" fontId="26" fillId="6" borderId="4" xfId="7" applyNumberFormat="1" applyFont="1" applyFill="1" applyBorder="1" applyAlignment="1">
      <alignment horizontal="center"/>
    </xf>
    <xf numFmtId="0" fontId="8" fillId="0" borderId="8" xfId="0" applyFont="1" applyBorder="1" applyAlignment="1">
      <alignment horizontal="right"/>
    </xf>
    <xf numFmtId="0" fontId="0" fillId="0" borderId="9" xfId="0" applyBorder="1"/>
    <xf numFmtId="0" fontId="0" fillId="0" borderId="8" xfId="0" applyBorder="1"/>
    <xf numFmtId="0" fontId="6" fillId="2" borderId="10" xfId="0" applyFont="1" applyFill="1" applyBorder="1" applyAlignment="1">
      <alignment horizontal="center" vertical="center" wrapText="1"/>
    </xf>
    <xf numFmtId="0" fontId="0" fillId="0" borderId="6" xfId="0" applyBorder="1"/>
    <xf numFmtId="0" fontId="6" fillId="2" borderId="4" xfId="0" applyFont="1" applyFill="1" applyBorder="1" applyAlignment="1">
      <alignment horizontal="center" vertical="center"/>
    </xf>
    <xf numFmtId="0" fontId="0" fillId="0" borderId="5" xfId="0" applyBorder="1"/>
    <xf numFmtId="0" fontId="10" fillId="0" borderId="4" xfId="0" applyFont="1" applyBorder="1" applyAlignment="1">
      <alignment horizontal="left"/>
    </xf>
    <xf numFmtId="0" fontId="8" fillId="2" borderId="4" xfId="0" applyFont="1" applyFill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right"/>
    </xf>
    <xf numFmtId="0" fontId="14" fillId="3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0" fillId="0" borderId="3" xfId="0" applyBorder="1"/>
    <xf numFmtId="0" fontId="0" fillId="0" borderId="7" xfId="0" applyBorder="1"/>
    <xf numFmtId="0" fontId="8" fillId="2" borderId="4" xfId="0" applyFont="1" applyFill="1" applyBorder="1" applyAlignment="1">
      <alignment horizontal="center" vertical="center" textRotation="90"/>
    </xf>
    <xf numFmtId="15" fontId="10" fillId="6" borderId="4" xfId="0" applyNumberFormat="1" applyFont="1" applyFill="1" applyBorder="1" applyAlignment="1">
      <alignment horizontal="right" vertical="center"/>
    </xf>
    <xf numFmtId="166" fontId="10" fillId="0" borderId="4" xfId="0" applyNumberFormat="1" applyFont="1" applyBorder="1" applyAlignment="1">
      <alignment vertical="center"/>
    </xf>
    <xf numFmtId="0" fontId="9" fillId="4" borderId="4" xfId="0" applyFont="1" applyFill="1" applyBorder="1" applyAlignment="1">
      <alignment horizontal="center" vertical="center"/>
    </xf>
    <xf numFmtId="166" fontId="10" fillId="0" borderId="4" xfId="1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0" fillId="0" borderId="0" xfId="0"/>
    <xf numFmtId="0" fontId="0" fillId="0" borderId="0" xfId="0" applyAlignment="1">
      <alignment horizontal="center"/>
    </xf>
    <xf numFmtId="0" fontId="9" fillId="5" borderId="4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170" fontId="29" fillId="6" borderId="15" xfId="9" applyFont="1" applyFill="1" applyBorder="1" applyAlignment="1">
      <alignment horizontal="left"/>
    </xf>
    <xf numFmtId="0" fontId="0" fillId="0" borderId="16" xfId="0" applyBorder="1"/>
    <xf numFmtId="0" fontId="32" fillId="6" borderId="0" xfId="3" applyFont="1" applyFill="1" applyAlignment="1">
      <alignment horizontal="center"/>
    </xf>
    <xf numFmtId="0" fontId="0" fillId="6" borderId="0" xfId="0" applyFill="1"/>
    <xf numFmtId="0" fontId="28" fillId="6" borderId="0" xfId="3" applyFont="1" applyFill="1" applyAlignment="1">
      <alignment horizontal="center"/>
    </xf>
    <xf numFmtId="165" fontId="27" fillId="6" borderId="1" xfId="7" applyNumberFormat="1" applyFont="1" applyFill="1" applyBorder="1" applyAlignment="1">
      <alignment horizontal="center" vertical="center"/>
    </xf>
    <xf numFmtId="0" fontId="6" fillId="6" borderId="5" xfId="3" applyFont="1" applyFill="1" applyBorder="1" applyAlignment="1">
      <alignment horizontal="center" vertical="center"/>
    </xf>
  </cellXfs>
  <cellStyles count="12">
    <cellStyle name="Comma" xfId="1" builtinId="3"/>
    <cellStyle name="Comma [0] 2" xfId="9" xr:uid="{74D04945-19E8-4FCC-B0ED-1DA0DA115DD3}"/>
    <cellStyle name="Comma 2" xfId="7" xr:uid="{9F89E8E7-C6D5-4EF4-ACB6-C2CE98107074}"/>
    <cellStyle name="Comma 2 2" xfId="2" xr:uid="{00000000-0005-0000-0000-000002000000}"/>
    <cellStyle name="Currency" xfId="6" builtinId="4"/>
    <cellStyle name="Currency [0] 2" xfId="11" xr:uid="{A1B1F9AB-2E70-43F5-A288-7A4E33015398}"/>
    <cellStyle name="Date" xfId="4" xr:uid="{00000000-0005-0000-0000-000004000000}"/>
    <cellStyle name="Normal" xfId="0" builtinId="0"/>
    <cellStyle name="Normal_FS 2007" xfId="10" xr:uid="{2C354BAF-7444-4DA0-AAB7-9D27D286C8D2}"/>
    <cellStyle name="Normal_lapkeu AR-2008Abc_FS COMBINE (AR &amp; DK ) MARET 2011 - 04-07-2011" xfId="3" xr:uid="{00000000-0005-0000-0000-000003000000}"/>
    <cellStyle name="Normal_Lapkeu Deka Dec 2009 (04-02-10)" xfId="8" xr:uid="{AE48E1AA-B462-4053-AF83-32DF1EB3B5B2}"/>
    <cellStyle name="Table Text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798206</xdr:colOff>
      <xdr:row>0</xdr:row>
      <xdr:rowOff>51470</xdr:rowOff>
    </xdr:from>
    <xdr:to>
      <xdr:col>16</xdr:col>
      <xdr:colOff>831604</xdr:colOff>
      <xdr:row>2</xdr:row>
      <xdr:rowOff>214453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161656" y="51470"/>
          <a:ext cx="2941698" cy="747183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2.%20Organize\1.%20Projects\MiniProjectKPI_EWI\excel\20250427_EWI%20Financial-Repport_2024_Submitted_Rev1.xlsx" TargetMode="External"/><Relationship Id="rId1" Type="http://schemas.openxmlformats.org/officeDocument/2006/relationships/externalLinkPath" Target="20250427_EWI%20Financial-Repport_2024_Submitted_Rev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/Revenue-Cost_2024_20260310_2159.xlsx" TargetMode="External"/><Relationship Id="rId2" Type="http://schemas.openxmlformats.org/officeDocument/2006/relationships/externalLinkPath" Target="file:///D:\2.%20Organize\1.%20Projects\MiniProjectKPI_EWI\data\Revenue-Cost_2024_20260310_2159.xlsx" TargetMode="External"/><Relationship Id="rId1" Type="http://schemas.openxmlformats.org/officeDocument/2006/relationships/externalLinkPath" Target="/2.%20Organize/1.%20Projects/MiniProjectKPI_EWI/data/Revenue-Cost_2024_20260310_215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enue-Cost_2024"/>
      <sheetName val="Laba rugi -2024"/>
      <sheetName val="Business Summary"/>
    </sheetNames>
    <sheetDataSet>
      <sheetData sheetId="0">
        <row r="22">
          <cell r="F22">
            <v>4255595425</v>
          </cell>
          <cell r="N22">
            <v>84973400</v>
          </cell>
        </row>
        <row r="750">
          <cell r="I750">
            <v>1201990983.1820002</v>
          </cell>
          <cell r="J750">
            <v>991500000</v>
          </cell>
          <cell r="K750">
            <v>356012003</v>
          </cell>
          <cell r="L750">
            <v>367745000</v>
          </cell>
          <cell r="M750">
            <v>12904641</v>
          </cell>
          <cell r="N750">
            <v>164697570</v>
          </cell>
          <cell r="O750">
            <v>4995000</v>
          </cell>
          <cell r="P750">
            <v>38548717.5</v>
          </cell>
          <cell r="Q750">
            <v>202920000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venue-Cost_2024"/>
      <sheetName val="Laba rugi -2024"/>
      <sheetName val="Business Summary"/>
    </sheetNames>
    <sheetDataSet>
      <sheetData sheetId="0"/>
      <sheetData sheetId="1"/>
      <sheetData sheetId="2">
        <row r="13">
          <cell r="E1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0"/>
  <sheetViews>
    <sheetView topLeftCell="A4" zoomScale="85" zoomScaleNormal="85" workbookViewId="0">
      <selection activeCell="D4" sqref="D4"/>
    </sheetView>
  </sheetViews>
  <sheetFormatPr defaultRowHeight="14.5" x14ac:dyDescent="0.35"/>
  <cols>
    <col min="1" max="1" width="0.6328125" customWidth="1"/>
    <col min="2" max="2" width="11.81640625" customWidth="1"/>
    <col min="3" max="3" width="4" bestFit="1" customWidth="1"/>
    <col min="4" max="4" width="56.26953125" customWidth="1"/>
    <col min="5" max="5" width="4.6328125" bestFit="1" customWidth="1"/>
    <col min="6" max="6" width="13.36328125" bestFit="1" customWidth="1"/>
    <col min="7" max="7" width="4.81640625" style="3" customWidth="1"/>
    <col min="8" max="8" width="8.6328125" style="3" customWidth="1"/>
    <col min="9" max="9" width="15.08984375" customWidth="1"/>
    <col min="10" max="10" width="14.453125" bestFit="1" customWidth="1"/>
    <col min="11" max="11" width="14.81640625" bestFit="1" customWidth="1"/>
    <col min="12" max="12" width="13.90625" customWidth="1"/>
    <col min="13" max="13" width="14.54296875" bestFit="1" customWidth="1"/>
    <col min="14" max="14" width="14.453125" bestFit="1" customWidth="1"/>
    <col min="15" max="15" width="15.08984375" bestFit="1" customWidth="1"/>
    <col min="16" max="16" width="12.08984375" customWidth="1"/>
    <col min="17" max="17" width="12.08984375" bestFit="1" customWidth="1"/>
    <col min="18" max="18" width="2.1796875" customWidth="1"/>
  </cols>
  <sheetData>
    <row r="1" spans="2:17" ht="28" customHeight="1" x14ac:dyDescent="0.35">
      <c r="B1" s="296" t="s">
        <v>0</v>
      </c>
      <c r="C1" s="297"/>
      <c r="D1" s="297"/>
      <c r="E1" s="297"/>
      <c r="F1" s="297"/>
      <c r="G1" s="298"/>
      <c r="H1" s="298"/>
      <c r="I1" s="297"/>
      <c r="J1" s="297"/>
    </row>
    <row r="2" spans="2:17" ht="18" customHeight="1" x14ac:dyDescent="0.4">
      <c r="B2" s="1" t="s">
        <v>1</v>
      </c>
      <c r="C2" s="2" t="s">
        <v>2</v>
      </c>
      <c r="D2" s="1" t="s">
        <v>3</v>
      </c>
      <c r="E2" s="1"/>
    </row>
    <row r="3" spans="2:17" ht="18" customHeight="1" x14ac:dyDescent="0.4">
      <c r="B3" s="1" t="s">
        <v>4</v>
      </c>
      <c r="C3" s="2" t="s">
        <v>2</v>
      </c>
      <c r="D3" s="4" t="s">
        <v>5</v>
      </c>
      <c r="E3" s="4"/>
    </row>
    <row r="4" spans="2:17" x14ac:dyDescent="0.35">
      <c r="B4" s="5"/>
      <c r="C4" s="6"/>
      <c r="D4" s="7"/>
      <c r="E4" s="7"/>
    </row>
    <row r="5" spans="2:17" ht="25" customHeight="1" x14ac:dyDescent="0.5">
      <c r="B5" s="8" t="s">
        <v>6</v>
      </c>
      <c r="C5" s="3"/>
      <c r="L5" s="8"/>
      <c r="N5" s="8"/>
    </row>
    <row r="6" spans="2:17" ht="31" customHeight="1" x14ac:dyDescent="0.35">
      <c r="B6" s="301" t="s">
        <v>7</v>
      </c>
      <c r="C6" s="282" t="s">
        <v>8</v>
      </c>
      <c r="D6" s="288" t="s">
        <v>9</v>
      </c>
      <c r="E6" s="289"/>
      <c r="F6" s="9" t="s">
        <v>10</v>
      </c>
      <c r="G6" s="291" t="s">
        <v>11</v>
      </c>
      <c r="H6" s="285" t="s">
        <v>12</v>
      </c>
      <c r="I6" s="280" t="s">
        <v>13</v>
      </c>
      <c r="J6" s="300" t="s">
        <v>14</v>
      </c>
      <c r="K6" s="280" t="s">
        <v>15</v>
      </c>
      <c r="L6" s="9" t="s">
        <v>16</v>
      </c>
      <c r="M6" s="10" t="s">
        <v>17</v>
      </c>
      <c r="N6" s="10" t="s">
        <v>18</v>
      </c>
      <c r="O6" s="294" t="s">
        <v>19</v>
      </c>
      <c r="P6" s="299" t="s">
        <v>20</v>
      </c>
    </row>
    <row r="7" spans="2:17" ht="20.25" customHeight="1" x14ac:dyDescent="0.35">
      <c r="B7" s="283"/>
      <c r="C7" s="283"/>
      <c r="D7" s="281"/>
      <c r="E7" s="290"/>
      <c r="F7" s="11"/>
      <c r="G7" s="283"/>
      <c r="H7" s="283"/>
      <c r="I7" s="281"/>
      <c r="J7" s="281"/>
      <c r="K7" s="281"/>
      <c r="L7" s="12" t="s">
        <v>21</v>
      </c>
      <c r="M7" s="13">
        <v>0.11</v>
      </c>
      <c r="N7" s="13">
        <v>0.02</v>
      </c>
      <c r="O7" s="283"/>
      <c r="P7" s="283"/>
    </row>
    <row r="8" spans="2:17" ht="15.5" customHeight="1" x14ac:dyDescent="0.35">
      <c r="B8" s="14">
        <v>45302</v>
      </c>
      <c r="C8" s="15">
        <v>2</v>
      </c>
      <c r="D8" s="284" t="s">
        <v>22</v>
      </c>
      <c r="E8" s="279"/>
      <c r="F8" s="17">
        <v>354210000</v>
      </c>
      <c r="G8" s="15" t="s">
        <v>21</v>
      </c>
      <c r="H8" s="15">
        <v>1</v>
      </c>
      <c r="I8" s="15" t="s">
        <v>23</v>
      </c>
      <c r="J8" s="18" t="s">
        <v>24</v>
      </c>
      <c r="K8" s="14">
        <v>45350</v>
      </c>
      <c r="L8" s="19">
        <v>347125800</v>
      </c>
      <c r="M8" s="20">
        <f t="shared" ref="M8:M20" si="0">(F8*11%)</f>
        <v>38963100</v>
      </c>
      <c r="N8" s="20">
        <f t="shared" ref="N8:N20" si="1">(F8*2%)</f>
        <v>7084200</v>
      </c>
      <c r="O8" s="19">
        <f>F8-N8-L8</f>
        <v>0</v>
      </c>
      <c r="P8" s="18" t="s">
        <v>25</v>
      </c>
    </row>
    <row r="9" spans="2:17" ht="15.5" customHeight="1" x14ac:dyDescent="0.35">
      <c r="B9" s="14">
        <v>45301</v>
      </c>
      <c r="C9" s="15">
        <v>3</v>
      </c>
      <c r="D9" s="284" t="s">
        <v>26</v>
      </c>
      <c r="E9" s="279"/>
      <c r="F9" s="21">
        <v>150000000</v>
      </c>
      <c r="G9" s="15" t="s">
        <v>21</v>
      </c>
      <c r="H9" s="15">
        <v>1</v>
      </c>
      <c r="I9" s="15" t="s">
        <v>27</v>
      </c>
      <c r="J9" s="18" t="s">
        <v>28</v>
      </c>
      <c r="K9" s="14">
        <v>45399</v>
      </c>
      <c r="L9" s="21">
        <v>166500000</v>
      </c>
      <c r="M9" s="20">
        <f t="shared" si="0"/>
        <v>16500000</v>
      </c>
      <c r="N9" s="20">
        <f t="shared" si="1"/>
        <v>3000000</v>
      </c>
      <c r="O9" s="19">
        <v>0</v>
      </c>
      <c r="P9" s="18"/>
      <c r="Q9" s="22" t="s">
        <v>29</v>
      </c>
    </row>
    <row r="10" spans="2:17" ht="15.5" customHeight="1" x14ac:dyDescent="0.35">
      <c r="B10" s="14">
        <v>45302</v>
      </c>
      <c r="C10" s="15">
        <v>4</v>
      </c>
      <c r="D10" s="284" t="s">
        <v>30</v>
      </c>
      <c r="E10" s="279"/>
      <c r="F10" s="17">
        <v>354210000</v>
      </c>
      <c r="G10" s="15" t="s">
        <v>21</v>
      </c>
      <c r="H10" s="15">
        <v>1</v>
      </c>
      <c r="I10" s="15" t="s">
        <v>31</v>
      </c>
      <c r="J10" s="18" t="s">
        <v>24</v>
      </c>
      <c r="K10" s="14">
        <v>45425</v>
      </c>
      <c r="L10" s="19">
        <v>347125800</v>
      </c>
      <c r="M10" s="20">
        <f t="shared" si="0"/>
        <v>38963100</v>
      </c>
      <c r="N10" s="20">
        <f t="shared" si="1"/>
        <v>7084200</v>
      </c>
      <c r="O10" s="19">
        <f>F10-N10-L10</f>
        <v>0</v>
      </c>
      <c r="P10" s="18" t="s">
        <v>25</v>
      </c>
      <c r="Q10" s="23"/>
    </row>
    <row r="11" spans="2:17" ht="15.5" customHeight="1" x14ac:dyDescent="0.35">
      <c r="B11" s="14">
        <v>45302</v>
      </c>
      <c r="C11" s="15">
        <v>5</v>
      </c>
      <c r="D11" s="284" t="s">
        <v>32</v>
      </c>
      <c r="E11" s="279"/>
      <c r="F11" s="17">
        <v>354210000</v>
      </c>
      <c r="G11" s="15" t="s">
        <v>21</v>
      </c>
      <c r="H11" s="15">
        <v>1</v>
      </c>
      <c r="I11" s="15" t="s">
        <v>33</v>
      </c>
      <c r="J11" s="18" t="s">
        <v>24</v>
      </c>
      <c r="K11" s="14">
        <v>45453</v>
      </c>
      <c r="L11" s="19">
        <v>347125800</v>
      </c>
      <c r="M11" s="20">
        <f t="shared" si="0"/>
        <v>38963100</v>
      </c>
      <c r="N11" s="20">
        <f t="shared" si="1"/>
        <v>7084200</v>
      </c>
      <c r="O11" s="19">
        <f>F11-N11-L11</f>
        <v>0</v>
      </c>
      <c r="P11" s="18" t="s">
        <v>25</v>
      </c>
      <c r="Q11" s="22"/>
    </row>
    <row r="12" spans="2:17" ht="15.5" customHeight="1" x14ac:dyDescent="0.35">
      <c r="B12" s="14">
        <v>45446</v>
      </c>
      <c r="C12" s="15">
        <v>6</v>
      </c>
      <c r="D12" s="284" t="s">
        <v>34</v>
      </c>
      <c r="E12" s="279"/>
      <c r="F12" s="17">
        <v>354210000</v>
      </c>
      <c r="G12" s="15" t="s">
        <v>21</v>
      </c>
      <c r="H12" s="15">
        <v>1</v>
      </c>
      <c r="I12" s="15" t="s">
        <v>35</v>
      </c>
      <c r="J12" s="18" t="s">
        <v>24</v>
      </c>
      <c r="K12" s="24">
        <v>45497</v>
      </c>
      <c r="L12" s="19">
        <v>347125800</v>
      </c>
      <c r="M12" s="20">
        <f t="shared" si="0"/>
        <v>38963100</v>
      </c>
      <c r="N12" s="20">
        <f t="shared" si="1"/>
        <v>7084200</v>
      </c>
      <c r="O12" s="19">
        <f>F12-N12-L12</f>
        <v>0</v>
      </c>
      <c r="P12" s="18" t="s">
        <v>25</v>
      </c>
    </row>
    <row r="13" spans="2:17" ht="15.5" customHeight="1" x14ac:dyDescent="0.35">
      <c r="B13" s="14">
        <v>45447</v>
      </c>
      <c r="C13" s="15">
        <v>7</v>
      </c>
      <c r="D13" s="284" t="s">
        <v>36</v>
      </c>
      <c r="E13" s="279"/>
      <c r="F13" s="17">
        <v>354210000</v>
      </c>
      <c r="G13" s="15" t="s">
        <v>21</v>
      </c>
      <c r="H13" s="15">
        <v>1</v>
      </c>
      <c r="I13" s="15" t="s">
        <v>37</v>
      </c>
      <c r="J13" s="18" t="s">
        <v>24</v>
      </c>
      <c r="K13" s="24">
        <v>45516</v>
      </c>
      <c r="L13" s="19">
        <v>347125800</v>
      </c>
      <c r="M13" s="20">
        <f t="shared" si="0"/>
        <v>38963100</v>
      </c>
      <c r="N13" s="20">
        <f t="shared" si="1"/>
        <v>7084200</v>
      </c>
      <c r="O13" s="19">
        <f>F13-N13-L13</f>
        <v>0</v>
      </c>
      <c r="P13" s="18" t="s">
        <v>25</v>
      </c>
    </row>
    <row r="14" spans="2:17" ht="15.5" customHeight="1" x14ac:dyDescent="0.35">
      <c r="B14" s="14">
        <v>45539</v>
      </c>
      <c r="C14" s="15">
        <v>8</v>
      </c>
      <c r="D14" s="284" t="s">
        <v>38</v>
      </c>
      <c r="E14" s="279"/>
      <c r="F14" s="17">
        <v>89000000</v>
      </c>
      <c r="G14" s="15" t="s">
        <v>21</v>
      </c>
      <c r="H14" s="15">
        <v>1</v>
      </c>
      <c r="I14" s="15" t="s">
        <v>39</v>
      </c>
      <c r="J14" s="18" t="s">
        <v>40</v>
      </c>
      <c r="K14" s="14">
        <v>45553</v>
      </c>
      <c r="L14" s="19">
        <f>(89000000*98%)+9700000</f>
        <v>96920000</v>
      </c>
      <c r="M14" s="20">
        <f t="shared" si="0"/>
        <v>9790000</v>
      </c>
      <c r="N14" s="20">
        <f t="shared" si="1"/>
        <v>1780000</v>
      </c>
      <c r="O14" s="19"/>
      <c r="P14" s="18"/>
      <c r="Q14" s="22" t="s">
        <v>29</v>
      </c>
    </row>
    <row r="15" spans="2:17" ht="15.5" customHeight="1" x14ac:dyDescent="0.35">
      <c r="B15" s="14">
        <v>45537</v>
      </c>
      <c r="C15" s="15">
        <v>9</v>
      </c>
      <c r="D15" s="284" t="s">
        <v>41</v>
      </c>
      <c r="E15" s="279"/>
      <c r="F15" s="17">
        <v>354210000</v>
      </c>
      <c r="G15" s="15" t="s">
        <v>21</v>
      </c>
      <c r="H15" s="15">
        <v>1</v>
      </c>
      <c r="I15" s="15" t="s">
        <v>42</v>
      </c>
      <c r="J15" s="18" t="s">
        <v>24</v>
      </c>
      <c r="K15" s="24">
        <v>45575</v>
      </c>
      <c r="L15" s="19">
        <v>347125800</v>
      </c>
      <c r="M15" s="20">
        <f t="shared" si="0"/>
        <v>38963100</v>
      </c>
      <c r="N15" s="20">
        <f t="shared" si="1"/>
        <v>7084200</v>
      </c>
      <c r="O15" s="19">
        <f>F15-N15-L15</f>
        <v>0</v>
      </c>
      <c r="P15" s="18" t="s">
        <v>25</v>
      </c>
    </row>
    <row r="16" spans="2:17" ht="15.5" customHeight="1" x14ac:dyDescent="0.35">
      <c r="B16" s="14">
        <v>45576</v>
      </c>
      <c r="C16" s="15">
        <v>10</v>
      </c>
      <c r="D16" s="284" t="s">
        <v>43</v>
      </c>
      <c r="E16" s="279"/>
      <c r="F16" s="17">
        <v>819200000</v>
      </c>
      <c r="G16" s="15" t="s">
        <v>21</v>
      </c>
      <c r="H16" s="15">
        <v>1</v>
      </c>
      <c r="I16" s="15" t="s">
        <v>44</v>
      </c>
      <c r="J16" s="18" t="s">
        <v>45</v>
      </c>
      <c r="K16" s="24">
        <v>45579</v>
      </c>
      <c r="L16" s="19">
        <v>892928000</v>
      </c>
      <c r="M16" s="20">
        <f t="shared" si="0"/>
        <v>90112000</v>
      </c>
      <c r="N16" s="20">
        <f t="shared" si="1"/>
        <v>16384000</v>
      </c>
      <c r="O16" s="19">
        <f>L16-(F16+M16-N16)</f>
        <v>0</v>
      </c>
      <c r="P16" s="18"/>
      <c r="Q16" s="22" t="s">
        <v>29</v>
      </c>
    </row>
    <row r="17" spans="2:17" ht="15.5" customHeight="1" x14ac:dyDescent="0.35">
      <c r="B17" s="14">
        <v>45572</v>
      </c>
      <c r="C17" s="15">
        <v>11</v>
      </c>
      <c r="D17" s="284" t="s">
        <v>46</v>
      </c>
      <c r="E17" s="279"/>
      <c r="F17" s="17">
        <v>354210000</v>
      </c>
      <c r="G17" s="15" t="s">
        <v>21</v>
      </c>
      <c r="H17" s="15">
        <v>1</v>
      </c>
      <c r="I17" s="15" t="s">
        <v>47</v>
      </c>
      <c r="J17" s="18" t="s">
        <v>24</v>
      </c>
      <c r="K17" s="24">
        <v>45607</v>
      </c>
      <c r="L17" s="19">
        <v>347125800</v>
      </c>
      <c r="M17" s="20">
        <f t="shared" si="0"/>
        <v>38963100</v>
      </c>
      <c r="N17" s="20">
        <f t="shared" si="1"/>
        <v>7084200</v>
      </c>
      <c r="O17" s="19">
        <f>F17-N17-L17</f>
        <v>0</v>
      </c>
      <c r="P17" s="18" t="s">
        <v>25</v>
      </c>
    </row>
    <row r="18" spans="2:17" ht="15.5" customHeight="1" x14ac:dyDescent="0.35">
      <c r="B18" s="14">
        <v>45569</v>
      </c>
      <c r="C18" s="15">
        <v>12</v>
      </c>
      <c r="D18" s="284" t="s">
        <v>48</v>
      </c>
      <c r="E18" s="279"/>
      <c r="F18" s="25">
        <v>290000000</v>
      </c>
      <c r="G18" s="15" t="s">
        <v>21</v>
      </c>
      <c r="H18" s="15">
        <v>1</v>
      </c>
      <c r="I18" s="15" t="s">
        <v>49</v>
      </c>
      <c r="J18" s="18" t="s">
        <v>50</v>
      </c>
      <c r="K18" s="24">
        <v>45646</v>
      </c>
      <c r="L18" s="170">
        <v>284197100</v>
      </c>
      <c r="M18" s="20">
        <f t="shared" si="0"/>
        <v>31900000</v>
      </c>
      <c r="N18" s="20">
        <f t="shared" si="1"/>
        <v>5800000</v>
      </c>
      <c r="O18" s="19">
        <f>F18-N18-L18</f>
        <v>2900</v>
      </c>
      <c r="P18" s="18" t="s">
        <v>25</v>
      </c>
    </row>
    <row r="19" spans="2:17" ht="15.5" customHeight="1" x14ac:dyDescent="0.35">
      <c r="B19" s="14">
        <v>45569</v>
      </c>
      <c r="C19" s="15">
        <v>13</v>
      </c>
      <c r="D19" s="284" t="s">
        <v>51</v>
      </c>
      <c r="E19" s="279"/>
      <c r="F19" s="171">
        <v>280000000</v>
      </c>
      <c r="G19" s="15" t="s">
        <v>21</v>
      </c>
      <c r="H19" s="15">
        <v>1</v>
      </c>
      <c r="I19" s="15" t="s">
        <v>52</v>
      </c>
      <c r="J19" s="18" t="s">
        <v>50</v>
      </c>
      <c r="K19" s="292">
        <v>45653</v>
      </c>
      <c r="L19" s="295">
        <v>412577100</v>
      </c>
      <c r="M19" s="20">
        <f t="shared" si="0"/>
        <v>30800000</v>
      </c>
      <c r="N19" s="20">
        <f t="shared" si="1"/>
        <v>5600000</v>
      </c>
      <c r="O19" s="293">
        <f>F19+F20-L19-(N19+N20)</f>
        <v>2900</v>
      </c>
      <c r="P19" s="18" t="s">
        <v>25</v>
      </c>
    </row>
    <row r="20" spans="2:17" ht="15.5" customHeight="1" x14ac:dyDescent="0.35">
      <c r="B20" s="14">
        <v>45569</v>
      </c>
      <c r="C20" s="15">
        <v>14</v>
      </c>
      <c r="D20" s="284" t="s">
        <v>53</v>
      </c>
      <c r="E20" s="279"/>
      <c r="F20" s="17">
        <v>141000000</v>
      </c>
      <c r="G20" s="15" t="s">
        <v>21</v>
      </c>
      <c r="H20" s="15">
        <v>1</v>
      </c>
      <c r="I20" s="15" t="s">
        <v>54</v>
      </c>
      <c r="J20" s="18" t="s">
        <v>50</v>
      </c>
      <c r="K20" s="283"/>
      <c r="L20" s="283"/>
      <c r="M20" s="20">
        <f t="shared" si="0"/>
        <v>15510000</v>
      </c>
      <c r="N20" s="20">
        <f t="shared" si="1"/>
        <v>2820000</v>
      </c>
      <c r="O20" s="283"/>
      <c r="P20" s="18" t="s">
        <v>25</v>
      </c>
    </row>
    <row r="21" spans="2:17" ht="15.5" customHeight="1" x14ac:dyDescent="0.35">
      <c r="B21" s="14">
        <v>45657</v>
      </c>
      <c r="C21" s="15">
        <v>15</v>
      </c>
      <c r="D21" s="284" t="s">
        <v>55</v>
      </c>
      <c r="E21" s="279"/>
      <c r="F21" s="17">
        <v>6925425</v>
      </c>
      <c r="G21" s="15" t="s">
        <v>21</v>
      </c>
      <c r="H21" s="15"/>
      <c r="I21" s="27"/>
      <c r="J21" s="28"/>
      <c r="K21" s="29"/>
      <c r="L21" s="30">
        <f>F21</f>
        <v>6925425</v>
      </c>
      <c r="M21" s="20"/>
      <c r="N21" s="20"/>
      <c r="O21" s="26"/>
      <c r="P21" s="18"/>
    </row>
    <row r="22" spans="2:17" ht="15.5" customHeight="1" x14ac:dyDescent="0.35">
      <c r="B22" s="286" t="s">
        <v>56</v>
      </c>
      <c r="C22" s="278"/>
      <c r="D22" s="278"/>
      <c r="E22" s="279"/>
      <c r="F22" s="32">
        <f>SUM(F8:F21)</f>
        <v>4255595425</v>
      </c>
      <c r="G22" s="33"/>
      <c r="H22" s="33"/>
      <c r="I22" s="34"/>
      <c r="J22" s="35"/>
      <c r="K22" s="34"/>
      <c r="L22" s="36">
        <f>SUM(L8:L21)</f>
        <v>4289928225</v>
      </c>
      <c r="M22" s="36">
        <f>SUM(M8:M21)</f>
        <v>467353700</v>
      </c>
      <c r="N22" s="36">
        <f>SUM(N8:N21)</f>
        <v>84973400</v>
      </c>
      <c r="O22" s="18"/>
      <c r="P22" s="18"/>
    </row>
    <row r="24" spans="2:17" ht="25" customHeight="1" x14ac:dyDescent="0.5">
      <c r="B24" s="8" t="s">
        <v>57</v>
      </c>
      <c r="F24" s="22"/>
      <c r="I24" s="37"/>
      <c r="L24" s="8"/>
    </row>
    <row r="25" spans="2:17" ht="31" customHeight="1" x14ac:dyDescent="0.35">
      <c r="B25" s="282" t="s">
        <v>4</v>
      </c>
      <c r="C25" s="282" t="s">
        <v>8</v>
      </c>
      <c r="D25" s="288" t="s">
        <v>9</v>
      </c>
      <c r="E25" s="289"/>
      <c r="F25" s="9" t="s">
        <v>58</v>
      </c>
      <c r="G25" s="291" t="s">
        <v>11</v>
      </c>
      <c r="H25" s="285" t="s">
        <v>12</v>
      </c>
      <c r="I25" s="287" t="s">
        <v>59</v>
      </c>
      <c r="J25" s="279"/>
      <c r="K25" s="287" t="s">
        <v>60</v>
      </c>
      <c r="L25" s="279"/>
      <c r="M25" s="287" t="s">
        <v>61</v>
      </c>
      <c r="N25" s="279"/>
      <c r="O25" s="287" t="s">
        <v>62</v>
      </c>
      <c r="P25" s="279"/>
      <c r="Q25" s="38"/>
    </row>
    <row r="26" spans="2:17" ht="24" customHeight="1" x14ac:dyDescent="0.35">
      <c r="B26" s="283"/>
      <c r="C26" s="283"/>
      <c r="D26" s="281"/>
      <c r="E26" s="290"/>
      <c r="F26" s="11"/>
      <c r="G26" s="283"/>
      <c r="H26" s="283"/>
      <c r="I26" s="39" t="s">
        <v>63</v>
      </c>
      <c r="J26" s="39" t="s">
        <v>59</v>
      </c>
      <c r="K26" s="39" t="s">
        <v>63</v>
      </c>
      <c r="L26" s="39" t="s">
        <v>64</v>
      </c>
      <c r="M26" s="39" t="s">
        <v>63</v>
      </c>
      <c r="N26" s="39" t="s">
        <v>65</v>
      </c>
      <c r="O26" s="39" t="s">
        <v>63</v>
      </c>
      <c r="P26" s="39" t="s">
        <v>66</v>
      </c>
      <c r="Q26" s="40"/>
    </row>
    <row r="27" spans="2:17" ht="15.5" customHeight="1" x14ac:dyDescent="0.35">
      <c r="B27" s="14">
        <v>45289</v>
      </c>
      <c r="C27" s="15"/>
      <c r="D27" s="284" t="s">
        <v>67</v>
      </c>
      <c r="E27" s="279"/>
      <c r="F27" s="19">
        <v>33836000</v>
      </c>
      <c r="G27" s="15"/>
      <c r="H27" s="15"/>
      <c r="I27" s="18"/>
      <c r="J27" s="21">
        <v>33836000</v>
      </c>
      <c r="K27" s="41"/>
      <c r="L27" s="21"/>
      <c r="M27" s="41"/>
      <c r="N27" s="21"/>
      <c r="O27" s="41"/>
      <c r="P27" s="21"/>
      <c r="Q27" s="42"/>
    </row>
    <row r="28" spans="2:17" ht="15.5" customHeight="1" x14ac:dyDescent="0.35">
      <c r="B28" s="14">
        <v>45302</v>
      </c>
      <c r="C28" s="15"/>
      <c r="D28" s="284" t="s">
        <v>67</v>
      </c>
      <c r="E28" s="279"/>
      <c r="F28" s="21">
        <v>33836000</v>
      </c>
      <c r="G28" s="15"/>
      <c r="H28" s="15"/>
      <c r="I28" s="18"/>
      <c r="J28" s="21">
        <v>33836000</v>
      </c>
      <c r="K28" s="24"/>
      <c r="L28" s="21"/>
      <c r="M28" s="24"/>
      <c r="N28" s="21"/>
      <c r="O28" s="24"/>
      <c r="P28" s="21"/>
      <c r="Q28" s="42"/>
    </row>
    <row r="29" spans="2:17" ht="15.5" customHeight="1" x14ac:dyDescent="0.35">
      <c r="B29" s="14">
        <v>45351</v>
      </c>
      <c r="C29" s="15"/>
      <c r="D29" s="284" t="s">
        <v>68</v>
      </c>
      <c r="E29" s="279"/>
      <c r="F29" s="19">
        <v>16500000</v>
      </c>
      <c r="G29" s="15"/>
      <c r="H29" s="15"/>
      <c r="I29" s="18"/>
      <c r="J29" s="21">
        <v>16500000</v>
      </c>
      <c r="K29" s="24"/>
      <c r="L29" s="21"/>
      <c r="M29" s="24"/>
      <c r="N29" s="21"/>
      <c r="O29" s="24"/>
      <c r="P29" s="21"/>
      <c r="Q29" s="42"/>
    </row>
    <row r="30" spans="2:17" ht="15.5" customHeight="1" x14ac:dyDescent="0.35">
      <c r="B30" s="14">
        <v>45567</v>
      </c>
      <c r="C30" s="15"/>
      <c r="D30" s="284" t="s">
        <v>69</v>
      </c>
      <c r="E30" s="279"/>
      <c r="F30" s="19">
        <v>9790000</v>
      </c>
      <c r="G30" s="15"/>
      <c r="H30" s="15"/>
      <c r="I30" s="18"/>
      <c r="J30" s="21">
        <v>9790000</v>
      </c>
      <c r="K30" s="24"/>
      <c r="L30" s="21"/>
      <c r="M30" s="24"/>
      <c r="N30" s="21"/>
      <c r="O30" s="24"/>
      <c r="P30" s="21"/>
      <c r="Q30" s="42"/>
    </row>
    <row r="31" spans="2:17" ht="15.5" customHeight="1" x14ac:dyDescent="0.35">
      <c r="B31" s="14">
        <v>45546</v>
      </c>
      <c r="C31" s="15"/>
      <c r="D31" s="284" t="s">
        <v>70</v>
      </c>
      <c r="E31" s="279"/>
      <c r="F31" s="19">
        <v>25439666</v>
      </c>
      <c r="G31" s="15"/>
      <c r="H31" s="15"/>
      <c r="I31" s="18"/>
      <c r="J31" s="18"/>
      <c r="K31" s="24"/>
      <c r="L31" s="21">
        <v>25439666</v>
      </c>
      <c r="M31" s="24"/>
      <c r="N31" s="21"/>
      <c r="O31" s="24"/>
      <c r="P31" s="21"/>
      <c r="Q31" s="42"/>
    </row>
    <row r="32" spans="2:17" ht="15.5" customHeight="1" x14ac:dyDescent="0.35">
      <c r="B32" s="14">
        <v>45546</v>
      </c>
      <c r="C32" s="15"/>
      <c r="D32" s="284" t="s">
        <v>71</v>
      </c>
      <c r="E32" s="279"/>
      <c r="F32" s="19">
        <v>96126126</v>
      </c>
      <c r="G32" s="15"/>
      <c r="H32" s="15"/>
      <c r="I32" s="18"/>
      <c r="J32" s="21">
        <v>97126126</v>
      </c>
      <c r="K32" s="24"/>
      <c r="L32" s="21"/>
      <c r="M32" s="24"/>
      <c r="N32" s="21"/>
      <c r="O32" s="24"/>
      <c r="P32" s="21"/>
      <c r="Q32" s="42"/>
    </row>
    <row r="33" spans="1:17" ht="15.5" customHeight="1" x14ac:dyDescent="0.35">
      <c r="B33" s="14">
        <v>45589</v>
      </c>
      <c r="C33" s="15"/>
      <c r="D33" s="284" t="s">
        <v>72</v>
      </c>
      <c r="E33" s="279"/>
      <c r="F33" s="19">
        <v>17716045</v>
      </c>
      <c r="G33" s="15"/>
      <c r="H33" s="15"/>
      <c r="I33" s="18"/>
      <c r="J33" s="18"/>
      <c r="K33" s="24"/>
      <c r="L33" s="21"/>
      <c r="M33" s="24"/>
      <c r="N33" s="21"/>
      <c r="O33" s="24"/>
      <c r="P33" s="21"/>
      <c r="Q33" s="42"/>
    </row>
    <row r="34" spans="1:17" ht="15.5" customHeight="1" x14ac:dyDescent="0.35">
      <c r="B34" s="14">
        <v>45593</v>
      </c>
      <c r="C34" s="15"/>
      <c r="D34" s="284" t="s">
        <v>73</v>
      </c>
      <c r="E34" s="279"/>
      <c r="F34" s="19">
        <v>33836000</v>
      </c>
      <c r="G34" s="15"/>
      <c r="H34" s="15"/>
      <c r="I34" s="18"/>
      <c r="J34" s="21">
        <v>33836000</v>
      </c>
      <c r="K34" s="24"/>
      <c r="L34" s="21"/>
      <c r="M34" s="24"/>
      <c r="N34" s="21"/>
      <c r="O34" s="24"/>
      <c r="P34" s="21"/>
      <c r="Q34" s="42"/>
    </row>
    <row r="35" spans="1:17" ht="15.5" customHeight="1" x14ac:dyDescent="0.35">
      <c r="B35" s="14">
        <v>45607</v>
      </c>
      <c r="C35" s="15"/>
      <c r="D35" s="284" t="s">
        <v>74</v>
      </c>
      <c r="E35" s="279"/>
      <c r="F35" s="19">
        <v>56276000</v>
      </c>
      <c r="G35" s="15"/>
      <c r="H35" s="15"/>
      <c r="I35" s="18"/>
      <c r="J35" s="21">
        <v>56276000</v>
      </c>
      <c r="K35" s="24"/>
      <c r="L35" s="21"/>
      <c r="M35" s="24"/>
      <c r="N35" s="21"/>
      <c r="O35" s="24"/>
      <c r="P35" s="21"/>
      <c r="Q35" s="42"/>
    </row>
    <row r="36" spans="1:17" ht="15.5" customHeight="1" x14ac:dyDescent="0.35">
      <c r="B36" s="14">
        <v>45607</v>
      </c>
      <c r="C36" s="15"/>
      <c r="D36" s="284" t="s">
        <v>75</v>
      </c>
      <c r="E36" s="279"/>
      <c r="F36" s="19">
        <v>1726469</v>
      </c>
      <c r="G36" s="15"/>
      <c r="H36" s="15"/>
      <c r="I36" s="18"/>
      <c r="J36" s="18"/>
      <c r="K36" s="24"/>
      <c r="L36" s="21"/>
      <c r="M36" s="24"/>
      <c r="N36" s="21">
        <v>1726469</v>
      </c>
      <c r="O36" s="24"/>
      <c r="P36" s="21"/>
      <c r="Q36" s="42"/>
    </row>
    <row r="37" spans="1:17" ht="15.5" customHeight="1" x14ac:dyDescent="0.35">
      <c r="B37" s="286" t="s">
        <v>76</v>
      </c>
      <c r="C37" s="278"/>
      <c r="D37" s="278"/>
      <c r="E37" s="278"/>
      <c r="F37" s="278"/>
      <c r="G37" s="278"/>
      <c r="H37" s="279"/>
      <c r="I37" s="43" t="s">
        <v>59</v>
      </c>
      <c r="J37" s="35">
        <f>SUM(J27:J36)</f>
        <v>281200126</v>
      </c>
      <c r="K37" s="44" t="s">
        <v>77</v>
      </c>
      <c r="L37" s="36">
        <f>SUM(L27:L36)</f>
        <v>25439666</v>
      </c>
      <c r="M37" s="44" t="s">
        <v>77</v>
      </c>
      <c r="N37" s="36">
        <f>SUM(N27:N36)</f>
        <v>1726469</v>
      </c>
      <c r="O37" s="44" t="s">
        <v>77</v>
      </c>
      <c r="P37" s="36">
        <f>SUM(P27:P36)</f>
        <v>0</v>
      </c>
      <c r="Q37" s="45"/>
    </row>
    <row r="38" spans="1:17" x14ac:dyDescent="0.35">
      <c r="C38" s="46"/>
      <c r="D38" s="46"/>
      <c r="E38" s="46"/>
      <c r="F38" s="47"/>
      <c r="G38" s="6"/>
      <c r="H38" s="6"/>
      <c r="I38" s="48"/>
      <c r="J38" s="48"/>
      <c r="K38" s="48"/>
    </row>
    <row r="39" spans="1:17" ht="25" customHeight="1" x14ac:dyDescent="0.5">
      <c r="B39" s="8" t="s">
        <v>78</v>
      </c>
    </row>
    <row r="40" spans="1:17" s="49" customFormat="1" ht="93" customHeight="1" x14ac:dyDescent="0.35">
      <c r="B40" s="50" t="s">
        <v>4</v>
      </c>
      <c r="C40" s="51" t="s">
        <v>8</v>
      </c>
      <c r="D40" s="51" t="s">
        <v>79</v>
      </c>
      <c r="E40" s="52" t="s">
        <v>80</v>
      </c>
      <c r="F40" s="53" t="s">
        <v>81</v>
      </c>
      <c r="G40" s="54" t="s">
        <v>11</v>
      </c>
      <c r="H40" s="55" t="s">
        <v>82</v>
      </c>
      <c r="I40" s="56" t="s">
        <v>83</v>
      </c>
      <c r="J40" s="57" t="s">
        <v>84</v>
      </c>
      <c r="K40" s="58" t="s">
        <v>85</v>
      </c>
      <c r="L40" s="58" t="s">
        <v>86</v>
      </c>
      <c r="M40" s="59" t="s">
        <v>87</v>
      </c>
      <c r="N40" s="59" t="s">
        <v>88</v>
      </c>
      <c r="O40" s="59" t="s">
        <v>89</v>
      </c>
      <c r="P40" s="59" t="s">
        <v>90</v>
      </c>
      <c r="Q40" s="59" t="s">
        <v>91</v>
      </c>
    </row>
    <row r="41" spans="1:17" ht="15.5" customHeight="1" x14ac:dyDescent="0.35">
      <c r="B41" s="14">
        <v>45302</v>
      </c>
      <c r="C41" s="15">
        <v>1</v>
      </c>
      <c r="D41" s="18" t="s">
        <v>92</v>
      </c>
      <c r="E41" s="18" t="s">
        <v>93</v>
      </c>
      <c r="F41" s="25">
        <v>29640916</v>
      </c>
      <c r="G41" s="60" t="s">
        <v>21</v>
      </c>
      <c r="H41" s="60">
        <v>1</v>
      </c>
      <c r="I41" s="61"/>
      <c r="J41" s="61"/>
      <c r="K41" s="62">
        <f>$F41*$H41</f>
        <v>29640916</v>
      </c>
      <c r="L41" s="44"/>
      <c r="M41" s="44"/>
      <c r="N41" s="44"/>
      <c r="O41" s="44"/>
      <c r="P41" s="44"/>
      <c r="Q41" s="44"/>
    </row>
    <row r="42" spans="1:17" ht="15.5" customHeight="1" x14ac:dyDescent="0.35">
      <c r="B42" s="14">
        <v>45302</v>
      </c>
      <c r="C42" s="15">
        <v>2</v>
      </c>
      <c r="D42" s="18" t="s">
        <v>94</v>
      </c>
      <c r="E42" s="18" t="s">
        <v>93</v>
      </c>
      <c r="F42" s="25">
        <v>29640916</v>
      </c>
      <c r="G42" s="60" t="s">
        <v>21</v>
      </c>
      <c r="H42" s="60">
        <v>1</v>
      </c>
      <c r="I42" s="61"/>
      <c r="J42" s="61"/>
      <c r="K42" s="62">
        <f>$F42*$H42</f>
        <v>29640916</v>
      </c>
      <c r="L42" s="44"/>
      <c r="M42" s="44"/>
      <c r="N42" s="44"/>
      <c r="O42" s="44"/>
      <c r="P42" s="44"/>
      <c r="Q42" s="44"/>
    </row>
    <row r="43" spans="1:17" ht="15.5" customHeight="1" x14ac:dyDescent="0.35">
      <c r="B43" s="14">
        <v>45302</v>
      </c>
      <c r="C43" s="15">
        <v>3</v>
      </c>
      <c r="D43" s="18" t="s">
        <v>95</v>
      </c>
      <c r="E43" s="18" t="s">
        <v>93</v>
      </c>
      <c r="F43" s="25">
        <v>29640916</v>
      </c>
      <c r="G43" s="60" t="s">
        <v>21</v>
      </c>
      <c r="H43" s="60">
        <v>1</v>
      </c>
      <c r="I43" s="61"/>
      <c r="J43" s="61"/>
      <c r="K43" s="62">
        <f>$F43*$H43</f>
        <v>29640916</v>
      </c>
      <c r="L43" s="44"/>
      <c r="M43" s="44"/>
      <c r="N43" s="44"/>
      <c r="O43" s="44"/>
      <c r="P43" s="44"/>
      <c r="Q43" s="44"/>
    </row>
    <row r="44" spans="1:17" ht="15.5" customHeight="1" x14ac:dyDescent="0.35">
      <c r="B44" s="14">
        <v>45304</v>
      </c>
      <c r="C44" s="15">
        <v>4</v>
      </c>
      <c r="D44" s="63" t="s">
        <v>96</v>
      </c>
      <c r="E44" s="63" t="s">
        <v>97</v>
      </c>
      <c r="F44" s="25">
        <v>77672400</v>
      </c>
      <c r="G44" s="64" t="s">
        <v>21</v>
      </c>
      <c r="H44" s="60">
        <v>1</v>
      </c>
      <c r="I44" s="62">
        <f>$F44*$H44</f>
        <v>77672400</v>
      </c>
      <c r="J44" s="44"/>
      <c r="K44" s="65"/>
      <c r="L44" s="44"/>
      <c r="M44" s="44"/>
      <c r="N44" s="44"/>
      <c r="O44" s="44"/>
      <c r="P44" s="44"/>
      <c r="Q44" s="44"/>
    </row>
    <row r="45" spans="1:17" ht="15.5" customHeight="1" x14ac:dyDescent="0.35">
      <c r="B45" s="14">
        <v>45323</v>
      </c>
      <c r="C45" s="15">
        <v>5</v>
      </c>
      <c r="D45" s="63" t="s">
        <v>98</v>
      </c>
      <c r="E45" s="63" t="s">
        <v>93</v>
      </c>
      <c r="F45" s="172">
        <v>2500000</v>
      </c>
      <c r="G45" s="60" t="s">
        <v>21</v>
      </c>
      <c r="H45" s="60">
        <v>1</v>
      </c>
      <c r="I45" s="61">
        <f>F45</f>
        <v>2500000</v>
      </c>
      <c r="J45" s="61"/>
      <c r="K45" s="44"/>
      <c r="L45" s="44"/>
      <c r="M45" s="44"/>
      <c r="N45" s="44"/>
      <c r="O45" s="44"/>
      <c r="P45" s="44"/>
      <c r="Q45" s="44"/>
    </row>
    <row r="46" spans="1:17" ht="15.5" customHeight="1" x14ac:dyDescent="0.35">
      <c r="B46" s="14">
        <v>45356</v>
      </c>
      <c r="C46" s="15">
        <v>6</v>
      </c>
      <c r="D46" s="63" t="s">
        <v>99</v>
      </c>
      <c r="E46" s="63" t="s">
        <v>93</v>
      </c>
      <c r="F46" s="172">
        <v>3500000</v>
      </c>
      <c r="G46" s="60" t="s">
        <v>21</v>
      </c>
      <c r="H46" s="60">
        <v>1</v>
      </c>
      <c r="I46" s="61">
        <v>3500000</v>
      </c>
      <c r="J46" s="61"/>
      <c r="K46" s="44"/>
      <c r="L46" s="44"/>
      <c r="M46" s="44"/>
      <c r="N46" s="44"/>
      <c r="O46" s="44"/>
      <c r="P46" s="44"/>
      <c r="Q46" s="44"/>
    </row>
    <row r="47" spans="1:17" ht="15.5" customHeight="1" x14ac:dyDescent="0.35">
      <c r="A47" s="66"/>
      <c r="B47" s="14">
        <v>45364</v>
      </c>
      <c r="C47" s="15">
        <v>7</v>
      </c>
      <c r="D47" s="63" t="s">
        <v>100</v>
      </c>
      <c r="E47" s="63" t="s">
        <v>93</v>
      </c>
      <c r="F47" s="173">
        <v>100000000</v>
      </c>
      <c r="G47" s="60" t="s">
        <v>21</v>
      </c>
      <c r="H47" s="60">
        <v>1</v>
      </c>
      <c r="I47" s="61"/>
      <c r="J47" s="62">
        <f>$F47*$H47</f>
        <v>100000000</v>
      </c>
      <c r="K47" s="44"/>
      <c r="L47" s="44"/>
      <c r="M47" s="44"/>
      <c r="N47" s="44"/>
      <c r="O47" s="44"/>
      <c r="P47" s="44"/>
      <c r="Q47" s="44"/>
    </row>
    <row r="48" spans="1:17" ht="15.5" customHeight="1" x14ac:dyDescent="0.35">
      <c r="B48" s="14">
        <v>45379</v>
      </c>
      <c r="C48" s="15">
        <v>8</v>
      </c>
      <c r="D48" s="63" t="s">
        <v>101</v>
      </c>
      <c r="E48" s="63" t="s">
        <v>93</v>
      </c>
      <c r="F48" s="174">
        <v>3000000</v>
      </c>
      <c r="G48" s="60" t="s">
        <v>21</v>
      </c>
      <c r="H48" s="60">
        <v>1</v>
      </c>
      <c r="I48" s="61">
        <v>3000000</v>
      </c>
      <c r="J48" s="61"/>
      <c r="K48" s="44"/>
      <c r="L48" s="44"/>
      <c r="M48" s="44"/>
      <c r="N48" s="44"/>
      <c r="O48" s="44"/>
      <c r="P48" s="44"/>
      <c r="Q48" s="44"/>
    </row>
    <row r="49" spans="2:17" ht="15.5" customHeight="1" x14ac:dyDescent="0.35">
      <c r="B49" s="67">
        <v>45388</v>
      </c>
      <c r="C49" s="15">
        <v>9</v>
      </c>
      <c r="D49" s="63" t="s">
        <v>102</v>
      </c>
      <c r="E49" s="63" t="s">
        <v>93</v>
      </c>
      <c r="F49" s="174">
        <v>3000000</v>
      </c>
      <c r="G49" s="60" t="s">
        <v>21</v>
      </c>
      <c r="H49" s="60">
        <v>1</v>
      </c>
      <c r="I49" s="61">
        <v>3000000</v>
      </c>
      <c r="J49" s="61"/>
      <c r="K49" s="44"/>
      <c r="L49" s="44"/>
      <c r="M49" s="44"/>
      <c r="N49" s="44"/>
      <c r="O49" s="44"/>
      <c r="P49" s="44"/>
      <c r="Q49" s="44"/>
    </row>
    <row r="50" spans="2:17" ht="15.5" customHeight="1" x14ac:dyDescent="0.35">
      <c r="B50" s="14">
        <v>45413</v>
      </c>
      <c r="C50" s="15">
        <v>10</v>
      </c>
      <c r="D50" s="63" t="s">
        <v>103</v>
      </c>
      <c r="E50" s="63" t="s">
        <v>93</v>
      </c>
      <c r="F50" s="175">
        <v>122625000</v>
      </c>
      <c r="G50" s="60" t="s">
        <v>21</v>
      </c>
      <c r="H50" s="60">
        <v>1</v>
      </c>
      <c r="I50" s="61"/>
      <c r="J50" s="61"/>
      <c r="K50" s="44"/>
      <c r="L50" s="68">
        <v>122625000</v>
      </c>
      <c r="M50" s="44"/>
      <c r="N50" s="44"/>
      <c r="O50" s="44"/>
      <c r="P50" s="44"/>
      <c r="Q50" s="44"/>
    </row>
    <row r="51" spans="2:17" ht="15.5" customHeight="1" x14ac:dyDescent="0.35">
      <c r="B51" s="14">
        <v>45416</v>
      </c>
      <c r="C51" s="15">
        <v>11</v>
      </c>
      <c r="D51" s="63" t="s">
        <v>104</v>
      </c>
      <c r="E51" s="63" t="s">
        <v>93</v>
      </c>
      <c r="F51" s="173">
        <v>3000000</v>
      </c>
      <c r="G51" s="60" t="s">
        <v>21</v>
      </c>
      <c r="H51" s="60">
        <v>1</v>
      </c>
      <c r="I51" s="61">
        <v>3000000</v>
      </c>
      <c r="J51" s="61"/>
      <c r="K51" s="44"/>
      <c r="L51" s="44"/>
      <c r="M51" s="44"/>
      <c r="N51" s="44"/>
      <c r="O51" s="44"/>
      <c r="P51" s="44"/>
      <c r="Q51" s="44"/>
    </row>
    <row r="52" spans="2:17" s="66" customFormat="1" ht="15.5" customHeight="1" x14ac:dyDescent="0.35">
      <c r="B52" s="14">
        <v>45418</v>
      </c>
      <c r="C52" s="15">
        <v>12</v>
      </c>
      <c r="D52" s="63" t="s">
        <v>100</v>
      </c>
      <c r="E52" s="63" t="s">
        <v>97</v>
      </c>
      <c r="F52" s="176">
        <v>100000000</v>
      </c>
      <c r="G52" s="60" t="s">
        <v>21</v>
      </c>
      <c r="H52" s="60">
        <v>1</v>
      </c>
      <c r="I52" s="61"/>
      <c r="J52" s="62">
        <f>$F52*$H52</f>
        <v>100000000</v>
      </c>
      <c r="K52" s="44"/>
      <c r="L52" s="44"/>
      <c r="M52" s="44"/>
      <c r="N52" s="44"/>
      <c r="O52" s="44"/>
      <c r="P52" s="44"/>
      <c r="Q52" s="44"/>
    </row>
    <row r="53" spans="2:17" s="66" customFormat="1" ht="15.5" customHeight="1" x14ac:dyDescent="0.35">
      <c r="B53" s="14">
        <v>45422</v>
      </c>
      <c r="C53" s="15">
        <v>13</v>
      </c>
      <c r="D53" s="63" t="s">
        <v>105</v>
      </c>
      <c r="E53" s="63" t="s">
        <v>93</v>
      </c>
      <c r="F53" s="173">
        <v>18000000</v>
      </c>
      <c r="G53" s="60" t="s">
        <v>21</v>
      </c>
      <c r="H53" s="60">
        <v>1</v>
      </c>
      <c r="I53" s="62">
        <f>$F53*$H53</f>
        <v>18000000</v>
      </c>
      <c r="J53" s="61"/>
      <c r="K53" s="44"/>
      <c r="L53" s="44"/>
      <c r="M53" s="44"/>
      <c r="N53" s="44"/>
      <c r="O53" s="44"/>
      <c r="P53" s="44"/>
      <c r="Q53" s="44"/>
    </row>
    <row r="54" spans="2:17" s="66" customFormat="1" ht="15.5" customHeight="1" x14ac:dyDescent="0.35">
      <c r="B54" s="14">
        <v>45446</v>
      </c>
      <c r="C54" s="15">
        <v>14</v>
      </c>
      <c r="D54" s="18" t="s">
        <v>106</v>
      </c>
      <c r="E54" s="18" t="s">
        <v>93</v>
      </c>
      <c r="F54" s="176">
        <v>29640916</v>
      </c>
      <c r="G54" s="60" t="s">
        <v>21</v>
      </c>
      <c r="H54" s="60">
        <v>1</v>
      </c>
      <c r="I54" s="61"/>
      <c r="J54" s="61"/>
      <c r="K54" s="62">
        <f>$F54*$H54</f>
        <v>29640916</v>
      </c>
      <c r="L54" s="68"/>
      <c r="M54" s="44"/>
      <c r="N54" s="44"/>
      <c r="O54" s="44"/>
      <c r="P54" s="44"/>
      <c r="Q54" s="44"/>
    </row>
    <row r="55" spans="2:17" s="66" customFormat="1" ht="15.5" customHeight="1" x14ac:dyDescent="0.35">
      <c r="B55" s="14">
        <v>45446</v>
      </c>
      <c r="C55" s="15">
        <v>15</v>
      </c>
      <c r="D55" s="63" t="s">
        <v>107</v>
      </c>
      <c r="E55" s="63" t="s">
        <v>93</v>
      </c>
      <c r="F55" s="69">
        <v>300000000</v>
      </c>
      <c r="G55" s="60" t="s">
        <v>21</v>
      </c>
      <c r="H55" s="60">
        <v>1</v>
      </c>
      <c r="I55" s="62">
        <f>$F55*$H55</f>
        <v>300000000</v>
      </c>
      <c r="J55" s="61"/>
      <c r="K55" s="44"/>
      <c r="L55" s="44"/>
      <c r="M55" s="44"/>
      <c r="N55" s="44"/>
      <c r="O55" s="44"/>
      <c r="P55" s="44"/>
      <c r="Q55" s="44"/>
    </row>
    <row r="56" spans="2:17" s="66" customFormat="1" ht="15.5" customHeight="1" x14ac:dyDescent="0.35">
      <c r="B56" s="14">
        <v>45446</v>
      </c>
      <c r="C56" s="15">
        <v>16</v>
      </c>
      <c r="D56" s="63" t="s">
        <v>108</v>
      </c>
      <c r="E56" s="63" t="s">
        <v>93</v>
      </c>
      <c r="F56" s="69">
        <v>3000000</v>
      </c>
      <c r="G56" s="60" t="s">
        <v>21</v>
      </c>
      <c r="H56" s="60">
        <v>1</v>
      </c>
      <c r="I56" s="61">
        <v>3000000</v>
      </c>
      <c r="J56" s="61"/>
      <c r="K56" s="44"/>
      <c r="L56" s="44"/>
      <c r="M56" s="44"/>
      <c r="N56" s="44"/>
      <c r="O56" s="44"/>
      <c r="P56" s="44"/>
      <c r="Q56" s="68"/>
    </row>
    <row r="57" spans="2:17" s="66" customFormat="1" ht="15.5" customHeight="1" x14ac:dyDescent="0.35">
      <c r="B57" s="14">
        <v>45447</v>
      </c>
      <c r="C57" s="15">
        <v>17</v>
      </c>
      <c r="D57" s="18" t="s">
        <v>109</v>
      </c>
      <c r="E57" s="18" t="s">
        <v>93</v>
      </c>
      <c r="F57" s="21">
        <v>29640916</v>
      </c>
      <c r="G57" s="60" t="s">
        <v>21</v>
      </c>
      <c r="H57" s="60">
        <v>1</v>
      </c>
      <c r="I57" s="61"/>
      <c r="J57" s="61"/>
      <c r="K57" s="62">
        <f>$F57*$H57</f>
        <v>29640916</v>
      </c>
      <c r="L57" s="44"/>
      <c r="M57" s="44"/>
      <c r="N57" s="44"/>
      <c r="O57" s="44"/>
      <c r="P57" s="44"/>
      <c r="Q57" s="44"/>
    </row>
    <row r="58" spans="2:17" s="66" customFormat="1" ht="15.5" customHeight="1" x14ac:dyDescent="0.35">
      <c r="B58" s="14">
        <v>45473</v>
      </c>
      <c r="C58" s="15">
        <v>18</v>
      </c>
      <c r="D58" s="63" t="s">
        <v>110</v>
      </c>
      <c r="E58" s="63" t="s">
        <v>93</v>
      </c>
      <c r="F58" s="69">
        <v>3000000</v>
      </c>
      <c r="G58" s="60" t="s">
        <v>21</v>
      </c>
      <c r="H58" s="60">
        <v>1</v>
      </c>
      <c r="I58" s="61">
        <v>3000000</v>
      </c>
      <c r="J58" s="61"/>
      <c r="K58" s="44"/>
      <c r="L58" s="44"/>
      <c r="M58" s="44"/>
      <c r="N58" s="44"/>
      <c r="O58" s="44"/>
      <c r="P58" s="44"/>
      <c r="Q58" s="44"/>
    </row>
    <row r="59" spans="2:17" s="66" customFormat="1" ht="15.5" customHeight="1" x14ac:dyDescent="0.35">
      <c r="B59" s="14">
        <v>45473</v>
      </c>
      <c r="C59" s="15">
        <v>19</v>
      </c>
      <c r="D59" s="63" t="s">
        <v>111</v>
      </c>
      <c r="E59" s="63" t="s">
        <v>93</v>
      </c>
      <c r="F59" s="69">
        <v>39800000</v>
      </c>
      <c r="G59" s="60" t="s">
        <v>21</v>
      </c>
      <c r="H59" s="60">
        <v>1</v>
      </c>
      <c r="I59" s="61"/>
      <c r="J59" s="61"/>
      <c r="K59" s="44"/>
      <c r="L59" s="44"/>
      <c r="M59" s="44"/>
      <c r="N59" s="68">
        <v>3980000</v>
      </c>
      <c r="O59" s="44"/>
      <c r="P59" s="44"/>
      <c r="Q59" s="44"/>
    </row>
    <row r="60" spans="2:17" s="66" customFormat="1" ht="15.5" customHeight="1" x14ac:dyDescent="0.35">
      <c r="B60" s="14">
        <v>45476</v>
      </c>
      <c r="C60" s="15">
        <v>20</v>
      </c>
      <c r="D60" s="63" t="s">
        <v>112</v>
      </c>
      <c r="E60" s="63" t="s">
        <v>93</v>
      </c>
      <c r="F60" s="69">
        <v>3582000</v>
      </c>
      <c r="G60" s="60" t="s">
        <v>21</v>
      </c>
      <c r="H60" s="60">
        <v>1</v>
      </c>
      <c r="I60" s="61"/>
      <c r="J60" s="61"/>
      <c r="K60" s="44"/>
      <c r="L60" s="44"/>
      <c r="M60" s="44"/>
      <c r="N60" s="68">
        <v>3582000</v>
      </c>
      <c r="O60" s="44"/>
      <c r="P60" s="44"/>
      <c r="Q60" s="44"/>
    </row>
    <row r="61" spans="2:17" s="66" customFormat="1" ht="15.5" customHeight="1" x14ac:dyDescent="0.35">
      <c r="B61" s="14">
        <v>45478</v>
      </c>
      <c r="C61" s="15">
        <v>21</v>
      </c>
      <c r="D61" s="70" t="s">
        <v>113</v>
      </c>
      <c r="E61" s="63" t="s">
        <v>97</v>
      </c>
      <c r="F61" s="21">
        <v>25000000</v>
      </c>
      <c r="G61" s="64" t="s">
        <v>21</v>
      </c>
      <c r="H61" s="60">
        <v>1</v>
      </c>
      <c r="I61" s="61">
        <f>$F61</f>
        <v>25000000</v>
      </c>
      <c r="J61" s="62"/>
      <c r="K61" s="65"/>
      <c r="L61" s="44"/>
      <c r="M61" s="44"/>
      <c r="N61" s="44"/>
      <c r="O61" s="44"/>
      <c r="P61" s="44"/>
      <c r="Q61" s="44"/>
    </row>
    <row r="62" spans="2:17" s="66" customFormat="1" ht="15.5" customHeight="1" x14ac:dyDescent="0.35">
      <c r="B62" s="14">
        <v>45480</v>
      </c>
      <c r="C62" s="15">
        <v>22</v>
      </c>
      <c r="D62" s="63" t="s">
        <v>107</v>
      </c>
      <c r="E62" s="63" t="s">
        <v>93</v>
      </c>
      <c r="F62" s="69">
        <v>25000000</v>
      </c>
      <c r="G62" s="60" t="s">
        <v>21</v>
      </c>
      <c r="H62" s="60">
        <v>1</v>
      </c>
      <c r="I62" s="62">
        <f>$F62*$H62</f>
        <v>25000000</v>
      </c>
      <c r="J62" s="61"/>
      <c r="K62" s="44"/>
      <c r="L62" s="44"/>
      <c r="M62" s="44"/>
      <c r="N62" s="44"/>
      <c r="O62" s="44"/>
      <c r="P62" s="44"/>
      <c r="Q62" s="44"/>
    </row>
    <row r="63" spans="2:17" s="66" customFormat="1" ht="15.5" customHeight="1" x14ac:dyDescent="0.35">
      <c r="B63" s="14">
        <v>45483</v>
      </c>
      <c r="C63" s="15">
        <v>23</v>
      </c>
      <c r="D63" s="63" t="s">
        <v>114</v>
      </c>
      <c r="E63" s="63" t="s">
        <v>93</v>
      </c>
      <c r="F63" s="69">
        <v>16650000</v>
      </c>
      <c r="G63" s="60" t="s">
        <v>21</v>
      </c>
      <c r="H63" s="60">
        <v>1</v>
      </c>
      <c r="I63" s="61"/>
      <c r="J63" s="61"/>
      <c r="K63" s="44"/>
      <c r="L63" s="44"/>
      <c r="M63" s="44"/>
      <c r="N63" s="44"/>
      <c r="O63" s="44"/>
      <c r="P63" s="44"/>
      <c r="Q63" s="62">
        <f>$F63*$H63</f>
        <v>16650000</v>
      </c>
    </row>
    <row r="64" spans="2:17" s="66" customFormat="1" ht="15.5" customHeight="1" x14ac:dyDescent="0.35">
      <c r="B64" s="14">
        <v>45492</v>
      </c>
      <c r="C64" s="15">
        <v>24</v>
      </c>
      <c r="D64" s="63" t="s">
        <v>107</v>
      </c>
      <c r="E64" s="63" t="s">
        <v>93</v>
      </c>
      <c r="F64" s="69">
        <v>25000000</v>
      </c>
      <c r="G64" s="60" t="s">
        <v>21</v>
      </c>
      <c r="H64" s="60">
        <v>1</v>
      </c>
      <c r="I64" s="62">
        <f>$F64*$H64</f>
        <v>25000000</v>
      </c>
      <c r="J64" s="61"/>
      <c r="K64" s="44"/>
      <c r="L64" s="44"/>
      <c r="M64" s="44"/>
      <c r="N64" s="44"/>
      <c r="O64" s="44"/>
      <c r="P64" s="44"/>
      <c r="Q64" s="44"/>
    </row>
    <row r="65" spans="1:17" s="66" customFormat="1" ht="15.5" customHeight="1" x14ac:dyDescent="0.35">
      <c r="B65" s="14">
        <v>45493</v>
      </c>
      <c r="C65" s="15">
        <v>25</v>
      </c>
      <c r="D65" s="70" t="s">
        <v>115</v>
      </c>
      <c r="E65" s="63" t="s">
        <v>93</v>
      </c>
      <c r="F65" s="69">
        <v>20000000</v>
      </c>
      <c r="G65" s="60" t="s">
        <v>21</v>
      </c>
      <c r="H65" s="60">
        <v>1</v>
      </c>
      <c r="I65" s="61">
        <f>$F65</f>
        <v>20000000</v>
      </c>
      <c r="J65" s="61"/>
      <c r="K65" s="44"/>
      <c r="L65" s="44"/>
      <c r="M65" s="44"/>
      <c r="N65" s="44"/>
      <c r="O65" s="44"/>
      <c r="P65" s="44"/>
      <c r="Q65" s="68"/>
    </row>
    <row r="66" spans="1:17" s="66" customFormat="1" ht="15.5" customHeight="1" x14ac:dyDescent="0.35">
      <c r="B66" s="14">
        <v>45501</v>
      </c>
      <c r="C66" s="15">
        <v>26</v>
      </c>
      <c r="D66" s="63" t="s">
        <v>116</v>
      </c>
      <c r="E66" s="63" t="s">
        <v>93</v>
      </c>
      <c r="F66" s="69">
        <v>3000000</v>
      </c>
      <c r="G66" s="60" t="s">
        <v>21</v>
      </c>
      <c r="H66" s="60">
        <v>1</v>
      </c>
      <c r="I66" s="61">
        <v>3000000</v>
      </c>
      <c r="J66" s="61"/>
      <c r="K66" s="44"/>
      <c r="L66" s="44"/>
      <c r="M66" s="44"/>
      <c r="N66" s="68"/>
      <c r="O66" s="44"/>
      <c r="P66" s="44"/>
      <c r="Q66" s="44"/>
    </row>
    <row r="67" spans="1:17" ht="15.5" customHeight="1" x14ac:dyDescent="0.35">
      <c r="B67" s="14">
        <v>45501</v>
      </c>
      <c r="C67" s="15">
        <v>27</v>
      </c>
      <c r="D67" s="63" t="s">
        <v>117</v>
      </c>
      <c r="E67" s="63" t="s">
        <v>93</v>
      </c>
      <c r="F67" s="69">
        <v>2600000</v>
      </c>
      <c r="G67" s="60" t="s">
        <v>21</v>
      </c>
      <c r="H67" s="60">
        <v>1</v>
      </c>
      <c r="I67" s="61"/>
      <c r="J67" s="61"/>
      <c r="K67" s="44"/>
      <c r="L67" s="44"/>
      <c r="M67" s="44"/>
      <c r="N67" s="68">
        <v>2600000</v>
      </c>
      <c r="O67" s="44"/>
      <c r="P67" s="44"/>
      <c r="Q67" s="44"/>
    </row>
    <row r="68" spans="1:17" ht="15.5" customHeight="1" x14ac:dyDescent="0.35">
      <c r="A68" s="66"/>
      <c r="B68" s="14">
        <v>45502</v>
      </c>
      <c r="C68" s="15">
        <v>28</v>
      </c>
      <c r="D68" s="63" t="s">
        <v>118</v>
      </c>
      <c r="E68" s="63" t="s">
        <v>97</v>
      </c>
      <c r="F68" s="21">
        <v>100000000</v>
      </c>
      <c r="G68" s="60" t="s">
        <v>21</v>
      </c>
      <c r="H68" s="60">
        <v>1</v>
      </c>
      <c r="I68" s="61"/>
      <c r="J68" s="62">
        <f>$F68*$H68</f>
        <v>100000000</v>
      </c>
      <c r="K68" s="44"/>
      <c r="L68" s="44"/>
      <c r="M68" s="44"/>
      <c r="N68" s="44"/>
      <c r="O68" s="44"/>
      <c r="P68" s="44"/>
      <c r="Q68" s="44"/>
    </row>
    <row r="69" spans="1:17" ht="15.5" customHeight="1" x14ac:dyDescent="0.35">
      <c r="A69" s="66"/>
      <c r="B69" s="14">
        <v>45519</v>
      </c>
      <c r="C69" s="15">
        <v>29</v>
      </c>
      <c r="D69" s="63" t="s">
        <v>119</v>
      </c>
      <c r="E69" s="63" t="s">
        <v>93</v>
      </c>
      <c r="F69" s="69">
        <v>11270000</v>
      </c>
      <c r="G69" s="60" t="s">
        <v>21</v>
      </c>
      <c r="H69" s="60">
        <v>1</v>
      </c>
      <c r="I69" s="61"/>
      <c r="J69" s="61"/>
      <c r="K69" s="44"/>
      <c r="L69" s="44"/>
      <c r="M69" s="44"/>
      <c r="N69" s="44"/>
      <c r="O69" s="62"/>
      <c r="P69" s="44"/>
      <c r="Q69" s="62">
        <f>$F69*$H69</f>
        <v>11270000</v>
      </c>
    </row>
    <row r="70" spans="1:17" ht="15.5" customHeight="1" x14ac:dyDescent="0.35">
      <c r="B70" s="14">
        <v>45519</v>
      </c>
      <c r="C70" s="15">
        <v>30</v>
      </c>
      <c r="D70" s="63" t="s">
        <v>120</v>
      </c>
      <c r="E70" s="63" t="s">
        <v>93</v>
      </c>
      <c r="F70" s="69">
        <v>53835000</v>
      </c>
      <c r="G70" s="60" t="s">
        <v>21</v>
      </c>
      <c r="H70" s="60">
        <v>1</v>
      </c>
      <c r="I70" s="61"/>
      <c r="J70" s="61"/>
      <c r="K70" s="44"/>
      <c r="L70" s="44"/>
      <c r="M70" s="44"/>
      <c r="N70" s="71">
        <f>F70</f>
        <v>53835000</v>
      </c>
      <c r="O70" s="44"/>
      <c r="P70" s="44"/>
      <c r="Q70" s="44"/>
    </row>
    <row r="71" spans="1:17" ht="15.5" customHeight="1" x14ac:dyDescent="0.35">
      <c r="B71" s="14">
        <v>45525</v>
      </c>
      <c r="C71" s="15">
        <v>31</v>
      </c>
      <c r="D71" s="63" t="s">
        <v>121</v>
      </c>
      <c r="E71" s="63" t="s">
        <v>93</v>
      </c>
      <c r="F71" s="69">
        <v>101120000</v>
      </c>
      <c r="G71" s="60" t="s">
        <v>21</v>
      </c>
      <c r="H71" s="60">
        <v>1</v>
      </c>
      <c r="I71" s="61"/>
      <c r="J71" s="61"/>
      <c r="K71" s="44"/>
      <c r="L71" s="71">
        <f>F71</f>
        <v>101120000</v>
      </c>
      <c r="M71" s="44"/>
      <c r="N71" s="44"/>
      <c r="O71" s="44"/>
      <c r="P71" s="44"/>
      <c r="Q71" s="44"/>
    </row>
    <row r="72" spans="1:17" ht="15.5" customHeight="1" x14ac:dyDescent="0.35">
      <c r="B72" s="14">
        <v>45535</v>
      </c>
      <c r="C72" s="15">
        <v>32</v>
      </c>
      <c r="D72" s="63" t="s">
        <v>122</v>
      </c>
      <c r="E72" s="63" t="s">
        <v>93</v>
      </c>
      <c r="F72" s="69">
        <v>3000000</v>
      </c>
      <c r="G72" s="60" t="s">
        <v>21</v>
      </c>
      <c r="H72" s="60">
        <v>1</v>
      </c>
      <c r="I72" s="61">
        <f>F72</f>
        <v>3000000</v>
      </c>
      <c r="J72" s="61"/>
      <c r="K72" s="44"/>
      <c r="L72" s="44"/>
      <c r="M72" s="44"/>
      <c r="N72" s="44"/>
      <c r="O72" s="44"/>
      <c r="P72" s="44"/>
      <c r="Q72" s="44"/>
    </row>
    <row r="73" spans="1:17" ht="15.5" customHeight="1" x14ac:dyDescent="0.35">
      <c r="B73" s="14">
        <v>45537</v>
      </c>
      <c r="C73" s="15">
        <v>33</v>
      </c>
      <c r="D73" s="18" t="s">
        <v>123</v>
      </c>
      <c r="E73" s="18" t="s">
        <v>93</v>
      </c>
      <c r="F73" s="21">
        <v>29640916</v>
      </c>
      <c r="G73" s="60" t="s">
        <v>21</v>
      </c>
      <c r="H73" s="60">
        <v>1</v>
      </c>
      <c r="I73" s="61"/>
      <c r="J73" s="61"/>
      <c r="K73" s="62">
        <f>$F73*$H73</f>
        <v>29640916</v>
      </c>
      <c r="L73" s="44"/>
      <c r="M73" s="44"/>
      <c r="N73" s="44"/>
      <c r="O73" s="44"/>
      <c r="P73" s="44"/>
      <c r="Q73" s="44"/>
    </row>
    <row r="74" spans="1:17" ht="15.5" customHeight="1" x14ac:dyDescent="0.35">
      <c r="A74" s="66"/>
      <c r="B74" s="14">
        <v>45539</v>
      </c>
      <c r="C74" s="15">
        <v>34</v>
      </c>
      <c r="D74" s="63" t="s">
        <v>124</v>
      </c>
      <c r="E74" s="63" t="s">
        <v>97</v>
      </c>
      <c r="F74" s="21">
        <v>100000000</v>
      </c>
      <c r="G74" s="60" t="s">
        <v>21</v>
      </c>
      <c r="H74" s="60">
        <v>1</v>
      </c>
      <c r="I74" s="61"/>
      <c r="J74" s="61"/>
      <c r="K74" s="44"/>
      <c r="L74" s="44"/>
      <c r="M74" s="44"/>
      <c r="N74" s="44"/>
      <c r="O74" s="44"/>
      <c r="P74" s="44"/>
      <c r="Q74" s="62">
        <f>$F74*$H74</f>
        <v>100000000</v>
      </c>
    </row>
    <row r="75" spans="1:17" ht="15.5" customHeight="1" x14ac:dyDescent="0.35">
      <c r="A75" s="66"/>
      <c r="B75" s="14">
        <v>45548</v>
      </c>
      <c r="C75" s="15">
        <v>35</v>
      </c>
      <c r="D75" s="63" t="s">
        <v>125</v>
      </c>
      <c r="E75" s="63" t="s">
        <v>97</v>
      </c>
      <c r="F75" s="21">
        <v>150000000</v>
      </c>
      <c r="G75" s="60" t="s">
        <v>21</v>
      </c>
      <c r="H75" s="60">
        <v>1</v>
      </c>
      <c r="I75" s="61"/>
      <c r="J75" s="62">
        <f>$F75*$H75</f>
        <v>150000000</v>
      </c>
      <c r="K75" s="44"/>
      <c r="L75" s="44"/>
      <c r="M75" s="44"/>
      <c r="N75" s="44"/>
      <c r="O75" s="44"/>
      <c r="P75" s="44"/>
      <c r="Q75" s="44"/>
    </row>
    <row r="76" spans="1:17" ht="15.5" customHeight="1" x14ac:dyDescent="0.35">
      <c r="B76" s="14">
        <v>45556</v>
      </c>
      <c r="C76" s="15">
        <v>36</v>
      </c>
      <c r="D76" s="63" t="s">
        <v>126</v>
      </c>
      <c r="E76" s="63" t="s">
        <v>93</v>
      </c>
      <c r="F76" s="69">
        <v>34299000</v>
      </c>
      <c r="G76" s="60" t="s">
        <v>21</v>
      </c>
      <c r="H76" s="60">
        <v>1</v>
      </c>
      <c r="I76" s="61"/>
      <c r="J76" s="61"/>
      <c r="K76" s="44"/>
      <c r="L76" s="44"/>
      <c r="M76" s="44"/>
      <c r="N76" s="71">
        <f>F76</f>
        <v>34299000</v>
      </c>
      <c r="O76" s="44"/>
      <c r="P76" s="44"/>
      <c r="Q76" s="44"/>
    </row>
    <row r="77" spans="1:17" ht="15.5" customHeight="1" x14ac:dyDescent="0.35">
      <c r="B77" s="14">
        <v>45568</v>
      </c>
      <c r="C77" s="15">
        <v>37</v>
      </c>
      <c r="D77" s="63" t="s">
        <v>127</v>
      </c>
      <c r="E77" s="63" t="s">
        <v>97</v>
      </c>
      <c r="F77" s="21">
        <v>3000000</v>
      </c>
      <c r="G77" s="64" t="s">
        <v>21</v>
      </c>
      <c r="H77" s="60">
        <v>1</v>
      </c>
      <c r="I77" s="61">
        <f>F77</f>
        <v>3000000</v>
      </c>
      <c r="J77" s="44"/>
      <c r="K77" s="65"/>
      <c r="L77" s="44"/>
      <c r="M77" s="44"/>
      <c r="N77" s="44"/>
      <c r="O77" s="44"/>
      <c r="P77" s="44"/>
      <c r="Q77" s="44"/>
    </row>
    <row r="78" spans="1:17" ht="15.5" customHeight="1" x14ac:dyDescent="0.35">
      <c r="B78" s="14">
        <v>45568</v>
      </c>
      <c r="C78" s="15">
        <v>38</v>
      </c>
      <c r="D78" s="63" t="s">
        <v>128</v>
      </c>
      <c r="E78" s="63" t="s">
        <v>97</v>
      </c>
      <c r="F78" s="21">
        <v>3000000</v>
      </c>
      <c r="G78" s="64" t="s">
        <v>21</v>
      </c>
      <c r="H78" s="60">
        <v>1</v>
      </c>
      <c r="I78" s="61">
        <f>F78</f>
        <v>3000000</v>
      </c>
      <c r="J78" s="44"/>
      <c r="K78" s="65"/>
      <c r="L78" s="44"/>
      <c r="M78" s="44"/>
      <c r="N78" s="44"/>
      <c r="O78" s="44"/>
      <c r="P78" s="44"/>
      <c r="Q78" s="44"/>
    </row>
    <row r="79" spans="1:17" ht="15.5" customHeight="1" x14ac:dyDescent="0.35">
      <c r="B79" s="14">
        <v>45569</v>
      </c>
      <c r="C79" s="15">
        <v>41</v>
      </c>
      <c r="D79" s="18" t="s">
        <v>129</v>
      </c>
      <c r="E79" s="18" t="s">
        <v>93</v>
      </c>
      <c r="F79" s="19">
        <v>16165271</v>
      </c>
      <c r="G79" s="60" t="s">
        <v>21</v>
      </c>
      <c r="H79" s="60">
        <v>1</v>
      </c>
      <c r="I79" s="61"/>
      <c r="J79" s="61"/>
      <c r="K79" s="62">
        <f>$F79*$H79</f>
        <v>16165271</v>
      </c>
      <c r="L79" s="44"/>
      <c r="M79" s="44"/>
      <c r="N79" s="44"/>
      <c r="O79" s="44"/>
      <c r="P79" s="44"/>
      <c r="Q79" s="68"/>
    </row>
    <row r="80" spans="1:17" ht="15.5" customHeight="1" x14ac:dyDescent="0.35">
      <c r="B80" s="14">
        <v>45569</v>
      </c>
      <c r="C80" s="15">
        <v>39</v>
      </c>
      <c r="D80" s="18" t="s">
        <v>130</v>
      </c>
      <c r="E80" s="18" t="s">
        <v>93</v>
      </c>
      <c r="F80" s="21">
        <v>25967616</v>
      </c>
      <c r="G80" s="60" t="s">
        <v>21</v>
      </c>
      <c r="H80" s="60">
        <v>1</v>
      </c>
      <c r="I80" s="61"/>
      <c r="J80" s="61"/>
      <c r="K80" s="62">
        <f>$F80*$H80</f>
        <v>25967616</v>
      </c>
      <c r="L80" s="44"/>
      <c r="M80" s="44"/>
      <c r="N80" s="44"/>
      <c r="O80" s="44"/>
      <c r="P80" s="44"/>
      <c r="Q80" s="44"/>
    </row>
    <row r="81" spans="1:17" ht="15.5" customHeight="1" x14ac:dyDescent="0.35">
      <c r="B81" s="14">
        <v>45569</v>
      </c>
      <c r="C81" s="15">
        <v>40</v>
      </c>
      <c r="D81" s="18" t="s">
        <v>131</v>
      </c>
      <c r="E81" s="18" t="s">
        <v>93</v>
      </c>
      <c r="F81" s="177">
        <v>32101247</v>
      </c>
      <c r="G81" s="60" t="s">
        <v>21</v>
      </c>
      <c r="H81" s="60">
        <v>1</v>
      </c>
      <c r="I81" s="61"/>
      <c r="J81" s="61"/>
      <c r="K81" s="62">
        <f>$F81*$H81</f>
        <v>32101247</v>
      </c>
      <c r="L81" s="44"/>
      <c r="M81" s="44"/>
      <c r="N81" s="44"/>
      <c r="O81" s="44"/>
      <c r="P81" s="44"/>
      <c r="Q81" s="68"/>
    </row>
    <row r="82" spans="1:17" ht="15.5" customHeight="1" x14ac:dyDescent="0.35">
      <c r="B82" s="14">
        <v>45572</v>
      </c>
      <c r="C82" s="15">
        <v>42</v>
      </c>
      <c r="D82" s="18" t="s">
        <v>132</v>
      </c>
      <c r="E82" s="18" t="s">
        <v>93</v>
      </c>
      <c r="F82" s="21">
        <v>29640916</v>
      </c>
      <c r="G82" s="60" t="s">
        <v>21</v>
      </c>
      <c r="H82" s="60">
        <v>1</v>
      </c>
      <c r="I82" s="61"/>
      <c r="J82" s="61"/>
      <c r="K82" s="62">
        <f>$F82*$H82</f>
        <v>29640916</v>
      </c>
      <c r="L82" s="68"/>
      <c r="M82" s="44"/>
      <c r="N82" s="44"/>
      <c r="O82" s="44"/>
      <c r="P82" s="44"/>
      <c r="Q82" s="44"/>
    </row>
    <row r="83" spans="1:17" ht="15.5" customHeight="1" x14ac:dyDescent="0.35">
      <c r="B83" s="14">
        <v>45576</v>
      </c>
      <c r="C83" s="15">
        <v>43</v>
      </c>
      <c r="D83" s="18" t="s">
        <v>133</v>
      </c>
      <c r="E83" s="18" t="s">
        <v>93</v>
      </c>
      <c r="F83" s="19">
        <v>74291457</v>
      </c>
      <c r="G83" s="60" t="s">
        <v>21</v>
      </c>
      <c r="H83" s="60">
        <v>1</v>
      </c>
      <c r="I83" s="61"/>
      <c r="J83" s="61"/>
      <c r="K83" s="62">
        <f>$F83*$H83</f>
        <v>74291457</v>
      </c>
      <c r="L83" s="44"/>
      <c r="M83" s="44"/>
      <c r="N83" s="44"/>
      <c r="O83" s="44"/>
      <c r="P83" s="44"/>
      <c r="Q83" s="44"/>
    </row>
    <row r="84" spans="1:17" ht="15.5" customHeight="1" x14ac:dyDescent="0.35">
      <c r="A84" s="66"/>
      <c r="B84" s="14">
        <v>45581</v>
      </c>
      <c r="C84" s="15">
        <v>44</v>
      </c>
      <c r="D84" s="63" t="s">
        <v>134</v>
      </c>
      <c r="E84" s="63" t="s">
        <v>97</v>
      </c>
      <c r="F84" s="21">
        <v>100000000</v>
      </c>
      <c r="G84" s="60" t="s">
        <v>21</v>
      </c>
      <c r="H84" s="60">
        <v>1</v>
      </c>
      <c r="I84" s="62">
        <f>$F84*$H84</f>
        <v>100000000</v>
      </c>
      <c r="J84" s="61"/>
      <c r="K84" s="44"/>
      <c r="L84" s="44"/>
      <c r="M84" s="44"/>
      <c r="N84" s="44"/>
      <c r="O84" s="44"/>
      <c r="P84" s="44"/>
      <c r="Q84" s="44"/>
    </row>
    <row r="85" spans="1:17" ht="15.5" customHeight="1" x14ac:dyDescent="0.35">
      <c r="B85" s="14">
        <v>45589</v>
      </c>
      <c r="C85" s="15">
        <v>45</v>
      </c>
      <c r="D85" s="63" t="s">
        <v>135</v>
      </c>
      <c r="E85" s="63" t="s">
        <v>97</v>
      </c>
      <c r="F85" s="21">
        <v>144000000</v>
      </c>
      <c r="G85" s="64" t="s">
        <v>21</v>
      </c>
      <c r="H85" s="60">
        <v>1</v>
      </c>
      <c r="I85" s="61"/>
      <c r="J85" s="44"/>
      <c r="K85" s="65"/>
      <c r="L85" s="62">
        <f>F85</f>
        <v>144000000</v>
      </c>
      <c r="M85" s="44"/>
      <c r="N85" s="44"/>
      <c r="O85" s="44"/>
      <c r="P85" s="44"/>
      <c r="Q85" s="44"/>
    </row>
    <row r="86" spans="1:17" ht="15.5" customHeight="1" x14ac:dyDescent="0.35">
      <c r="B86" s="14">
        <v>45601</v>
      </c>
      <c r="C86" s="15">
        <v>46</v>
      </c>
      <c r="D86" s="63" t="s">
        <v>136</v>
      </c>
      <c r="E86" s="63" t="s">
        <v>97</v>
      </c>
      <c r="F86" s="21">
        <v>38838700</v>
      </c>
      <c r="G86" s="64" t="s">
        <v>21</v>
      </c>
      <c r="H86" s="60">
        <v>1</v>
      </c>
      <c r="I86" s="62">
        <f>$F86*$H86</f>
        <v>38838700</v>
      </c>
      <c r="J86" s="44"/>
      <c r="K86" s="65"/>
      <c r="L86" s="44"/>
      <c r="M86" s="44"/>
      <c r="N86" s="44"/>
      <c r="O86" s="44"/>
      <c r="P86" s="44"/>
      <c r="Q86" s="44"/>
    </row>
    <row r="87" spans="1:17" ht="15.5" customHeight="1" x14ac:dyDescent="0.35">
      <c r="A87" s="66"/>
      <c r="B87" s="14">
        <v>45625</v>
      </c>
      <c r="C87" s="15">
        <v>47</v>
      </c>
      <c r="D87" s="63" t="s">
        <v>137</v>
      </c>
      <c r="E87" s="63" t="s">
        <v>97</v>
      </c>
      <c r="F87" s="21">
        <v>75000000</v>
      </c>
      <c r="G87" s="60" t="s">
        <v>21</v>
      </c>
      <c r="H87" s="60">
        <v>1</v>
      </c>
      <c r="I87" s="61"/>
      <c r="J87" s="61"/>
      <c r="K87" s="44"/>
      <c r="L87" s="44"/>
      <c r="M87" s="44"/>
      <c r="N87" s="44"/>
      <c r="O87" s="44"/>
      <c r="P87" s="44"/>
      <c r="Q87" s="62">
        <f>$F87*$H87</f>
        <v>75000000</v>
      </c>
    </row>
    <row r="88" spans="1:17" ht="15.5" customHeight="1" x14ac:dyDescent="0.35">
      <c r="B88" s="14">
        <v>45625</v>
      </c>
      <c r="C88" s="15">
        <v>48</v>
      </c>
      <c r="D88" s="63" t="s">
        <v>138</v>
      </c>
      <c r="E88" s="63" t="s">
        <v>97</v>
      </c>
      <c r="F88" s="21">
        <v>3000000</v>
      </c>
      <c r="G88" s="60" t="s">
        <v>21</v>
      </c>
      <c r="H88" s="60">
        <v>1</v>
      </c>
      <c r="I88" s="61">
        <f>F88</f>
        <v>3000000</v>
      </c>
      <c r="J88" s="44"/>
      <c r="K88" s="65"/>
      <c r="L88" s="44"/>
      <c r="M88" s="44"/>
      <c r="N88" s="44"/>
      <c r="O88" s="44"/>
      <c r="P88" s="44"/>
      <c r="Q88" s="44"/>
    </row>
    <row r="89" spans="1:17" ht="15.5" customHeight="1" x14ac:dyDescent="0.35">
      <c r="B89" s="14">
        <v>45630</v>
      </c>
      <c r="C89" s="15">
        <v>49</v>
      </c>
      <c r="D89" s="63" t="s">
        <v>139</v>
      </c>
      <c r="E89" s="63" t="s">
        <v>97</v>
      </c>
      <c r="F89" s="21">
        <v>777246</v>
      </c>
      <c r="G89" s="60" t="s">
        <v>21</v>
      </c>
      <c r="H89" s="60">
        <v>1</v>
      </c>
      <c r="I89" s="61"/>
      <c r="J89" s="44"/>
      <c r="K89" s="65"/>
      <c r="L89" s="44"/>
      <c r="M89" s="44"/>
      <c r="N89" s="62">
        <f>F89</f>
        <v>777246</v>
      </c>
      <c r="O89" s="44"/>
      <c r="P89" s="44"/>
      <c r="Q89" s="44"/>
    </row>
    <row r="90" spans="1:17" ht="15.5" customHeight="1" x14ac:dyDescent="0.35">
      <c r="A90" s="66"/>
      <c r="B90" s="14">
        <v>45631</v>
      </c>
      <c r="C90" s="15">
        <v>50</v>
      </c>
      <c r="D90" s="63" t="s">
        <v>118</v>
      </c>
      <c r="E90" s="63" t="s">
        <v>97</v>
      </c>
      <c r="F90" s="21">
        <v>400000000</v>
      </c>
      <c r="G90" s="60" t="s">
        <v>21</v>
      </c>
      <c r="H90" s="60">
        <v>1</v>
      </c>
      <c r="I90" s="61"/>
      <c r="J90" s="62">
        <f>$F90*$H90</f>
        <v>400000000</v>
      </c>
      <c r="K90" s="44"/>
      <c r="L90" s="44"/>
      <c r="M90" s="44"/>
      <c r="N90" s="44"/>
      <c r="O90" s="44"/>
      <c r="P90" s="44"/>
      <c r="Q90" s="44"/>
    </row>
    <row r="91" spans="1:17" ht="15.5" customHeight="1" x14ac:dyDescent="0.35">
      <c r="B91" s="14">
        <v>45632</v>
      </c>
      <c r="C91" s="15">
        <v>51</v>
      </c>
      <c r="D91" s="63" t="s">
        <v>140</v>
      </c>
      <c r="E91" s="63" t="s">
        <v>93</v>
      </c>
      <c r="F91" s="69">
        <v>4995000</v>
      </c>
      <c r="G91" s="60" t="s">
        <v>21</v>
      </c>
      <c r="H91" s="60">
        <v>1</v>
      </c>
      <c r="I91" s="61"/>
      <c r="J91" s="61"/>
      <c r="K91" s="44"/>
      <c r="L91" s="44"/>
      <c r="M91" s="44"/>
      <c r="N91" s="44"/>
      <c r="O91" s="71">
        <f>F91</f>
        <v>4995000</v>
      </c>
      <c r="P91" s="44"/>
      <c r="Q91" s="44"/>
    </row>
    <row r="92" spans="1:17" ht="15.5" customHeight="1" x14ac:dyDescent="0.35">
      <c r="B92" s="14">
        <v>45644</v>
      </c>
      <c r="C92" s="15">
        <v>52</v>
      </c>
      <c r="D92" s="63" t="s">
        <v>141</v>
      </c>
      <c r="E92" s="63" t="s">
        <v>93</v>
      </c>
      <c r="F92" s="69">
        <v>39201350</v>
      </c>
      <c r="G92" s="60" t="s">
        <v>21</v>
      </c>
      <c r="H92" s="60">
        <v>1</v>
      </c>
      <c r="I92" s="62">
        <f>$F92*$H92</f>
        <v>39201350</v>
      </c>
      <c r="J92" s="61"/>
      <c r="K92" s="44"/>
      <c r="L92" s="44"/>
      <c r="M92" s="44"/>
      <c r="N92" s="44"/>
      <c r="O92" s="44"/>
      <c r="P92" s="44"/>
      <c r="Q92" s="44"/>
    </row>
    <row r="93" spans="1:17" ht="15.5" customHeight="1" x14ac:dyDescent="0.35">
      <c r="B93" s="14">
        <v>45651</v>
      </c>
      <c r="C93" s="15">
        <v>53</v>
      </c>
      <c r="D93" s="63" t="s">
        <v>142</v>
      </c>
      <c r="E93" s="63" t="s">
        <v>93</v>
      </c>
      <c r="F93" s="69">
        <v>15000000</v>
      </c>
      <c r="G93" s="60" t="s">
        <v>21</v>
      </c>
      <c r="H93" s="60">
        <v>1</v>
      </c>
      <c r="I93" s="61">
        <f>F93</f>
        <v>15000000</v>
      </c>
      <c r="J93" s="61"/>
      <c r="K93" s="44"/>
      <c r="L93" s="44"/>
      <c r="M93" s="44"/>
      <c r="N93" s="44"/>
      <c r="O93" s="44"/>
      <c r="P93" s="44"/>
      <c r="Q93" s="44"/>
    </row>
    <row r="94" spans="1:17" ht="15.5" customHeight="1" x14ac:dyDescent="0.35">
      <c r="A94" s="66"/>
      <c r="B94" s="14">
        <v>45653</v>
      </c>
      <c r="C94" s="15">
        <v>54</v>
      </c>
      <c r="D94" s="63" t="s">
        <v>143</v>
      </c>
      <c r="E94" s="63" t="s">
        <v>93</v>
      </c>
      <c r="F94" s="69">
        <v>141500000</v>
      </c>
      <c r="G94" s="60" t="s">
        <v>21</v>
      </c>
      <c r="H94" s="60">
        <v>1</v>
      </c>
      <c r="I94" s="61"/>
      <c r="J94" s="62">
        <f>$F94*$H94</f>
        <v>141500000</v>
      </c>
      <c r="K94" s="44"/>
      <c r="L94" s="44"/>
      <c r="M94" s="44"/>
      <c r="N94" s="44"/>
      <c r="O94" s="44"/>
      <c r="P94" s="44"/>
      <c r="Q94" s="44"/>
    </row>
    <row r="95" spans="1:17" ht="15.5" customHeight="1" x14ac:dyDescent="0.35">
      <c r="B95" s="72"/>
      <c r="C95" s="73"/>
      <c r="D95" s="74" t="s">
        <v>144</v>
      </c>
      <c r="E95" s="74"/>
      <c r="F95" s="75"/>
      <c r="G95" s="76"/>
      <c r="H95" s="76"/>
      <c r="I95" s="77"/>
      <c r="J95" s="77"/>
      <c r="K95" s="77"/>
      <c r="L95" s="77"/>
      <c r="M95" s="78"/>
      <c r="N95" s="78"/>
      <c r="O95" s="78"/>
      <c r="P95" s="78"/>
      <c r="Q95" s="78"/>
    </row>
    <row r="96" spans="1:17" ht="15.5" customHeight="1" x14ac:dyDescent="0.35">
      <c r="B96" s="14">
        <v>45657</v>
      </c>
      <c r="C96" s="64">
        <v>1</v>
      </c>
      <c r="D96" s="63" t="s">
        <v>145</v>
      </c>
      <c r="E96" s="63"/>
      <c r="F96" s="69">
        <v>1998587</v>
      </c>
      <c r="G96" s="60" t="s">
        <v>21</v>
      </c>
      <c r="H96" s="60">
        <v>1</v>
      </c>
      <c r="I96" s="61"/>
      <c r="J96" s="44"/>
      <c r="K96" s="61"/>
      <c r="L96" s="44"/>
      <c r="M96" s="62">
        <f>$F96*$H96</f>
        <v>1998587</v>
      </c>
      <c r="N96" s="44"/>
      <c r="O96" s="44"/>
      <c r="P96" s="44"/>
      <c r="Q96" s="44"/>
    </row>
    <row r="97" spans="2:17" ht="15.5" customHeight="1" x14ac:dyDescent="0.35">
      <c r="B97" s="79"/>
      <c r="C97" s="80"/>
      <c r="D97" s="80" t="s">
        <v>146</v>
      </c>
      <c r="E97" s="80"/>
      <c r="F97" s="81"/>
      <c r="G97" s="82"/>
      <c r="H97" s="83"/>
      <c r="I97" s="84"/>
      <c r="J97" s="84"/>
      <c r="K97" s="84"/>
      <c r="L97" s="84"/>
      <c r="M97" s="84"/>
      <c r="N97" s="84"/>
      <c r="O97" s="84"/>
      <c r="P97" s="84"/>
      <c r="Q97" s="84"/>
    </row>
    <row r="98" spans="2:17" ht="15.5" customHeight="1" x14ac:dyDescent="0.35">
      <c r="B98" s="78" t="s">
        <v>147</v>
      </c>
      <c r="C98" s="85" t="s">
        <v>2</v>
      </c>
      <c r="D98" s="86" t="s">
        <v>148</v>
      </c>
      <c r="E98" s="86"/>
      <c r="F98" s="87"/>
      <c r="G98" s="88"/>
      <c r="H98" s="89"/>
      <c r="I98" s="90"/>
      <c r="J98" s="90"/>
      <c r="K98" s="90"/>
      <c r="L98" s="90"/>
      <c r="M98" s="90"/>
      <c r="N98" s="90"/>
      <c r="O98" s="90"/>
      <c r="P98" s="90"/>
      <c r="Q98" s="90"/>
    </row>
    <row r="99" spans="2:17" ht="15.5" customHeight="1" x14ac:dyDescent="0.35">
      <c r="B99" s="24"/>
      <c r="C99" s="91"/>
      <c r="D99" s="92" t="s">
        <v>149</v>
      </c>
      <c r="E99" s="92"/>
      <c r="F99" s="93"/>
      <c r="G99" s="91"/>
      <c r="H99" s="91"/>
      <c r="I99" s="62"/>
      <c r="J99" s="62"/>
      <c r="K99" s="44"/>
      <c r="L99" s="44"/>
      <c r="M99" s="44"/>
      <c r="N99" s="44"/>
      <c r="O99" s="44"/>
      <c r="P99" s="44"/>
      <c r="Q99" s="44"/>
    </row>
    <row r="100" spans="2:17" ht="15.5" customHeight="1" x14ac:dyDescent="0.35">
      <c r="B100" s="24"/>
      <c r="C100" s="91"/>
      <c r="D100" s="94" t="s">
        <v>149</v>
      </c>
      <c r="E100" s="94"/>
      <c r="F100" s="93"/>
      <c r="G100" s="91"/>
      <c r="H100" s="91"/>
      <c r="I100" s="44"/>
      <c r="J100" s="62"/>
      <c r="K100" s="44"/>
      <c r="L100" s="44"/>
      <c r="M100" s="44"/>
      <c r="N100" s="44"/>
      <c r="O100" s="44"/>
      <c r="P100" s="44"/>
      <c r="Q100" s="44"/>
    </row>
    <row r="101" spans="2:17" ht="15.5" customHeight="1" x14ac:dyDescent="0.35">
      <c r="B101" s="67">
        <v>45329</v>
      </c>
      <c r="C101" s="91">
        <v>2</v>
      </c>
      <c r="D101" s="95" t="s">
        <v>150</v>
      </c>
      <c r="E101" s="95"/>
      <c r="F101" s="93">
        <v>1608000</v>
      </c>
      <c r="G101" s="91" t="s">
        <v>21</v>
      </c>
      <c r="H101" s="91">
        <v>1</v>
      </c>
      <c r="I101" s="61">
        <f>$H101*$F101</f>
        <v>1608000</v>
      </c>
      <c r="J101" s="62"/>
      <c r="K101" s="44"/>
      <c r="L101" s="44"/>
      <c r="M101" s="44"/>
      <c r="N101" s="44"/>
      <c r="O101" s="44"/>
      <c r="P101" s="44"/>
      <c r="Q101" s="44"/>
    </row>
    <row r="102" spans="2:17" ht="15.5" customHeight="1" x14ac:dyDescent="0.35">
      <c r="B102" s="67">
        <v>45355</v>
      </c>
      <c r="C102" s="91">
        <v>3</v>
      </c>
      <c r="D102" s="95" t="s">
        <v>151</v>
      </c>
      <c r="E102" s="95"/>
      <c r="F102" s="93">
        <v>1119500</v>
      </c>
      <c r="G102" s="91" t="s">
        <v>21</v>
      </c>
      <c r="H102" s="91">
        <v>1</v>
      </c>
      <c r="I102" s="61">
        <f>$H102*$F102</f>
        <v>1119500</v>
      </c>
      <c r="J102" s="62"/>
      <c r="K102" s="44"/>
      <c r="L102" s="44"/>
      <c r="M102" s="44"/>
      <c r="N102" s="44"/>
      <c r="O102" s="44"/>
      <c r="P102" s="44"/>
      <c r="Q102" s="44"/>
    </row>
    <row r="103" spans="2:17" ht="15.5" customHeight="1" x14ac:dyDescent="0.35">
      <c r="B103" s="67"/>
      <c r="C103" s="91"/>
      <c r="D103" s="94" t="s">
        <v>149</v>
      </c>
      <c r="E103" s="94"/>
      <c r="F103" s="93"/>
      <c r="G103" s="91"/>
      <c r="H103" s="91"/>
      <c r="I103" s="44"/>
      <c r="J103" s="62"/>
      <c r="K103" s="44"/>
      <c r="L103" s="44"/>
      <c r="M103" s="44"/>
      <c r="N103" s="44"/>
      <c r="O103" s="44"/>
      <c r="P103" s="44"/>
      <c r="Q103" s="44"/>
    </row>
    <row r="104" spans="2:17" ht="15.5" customHeight="1" x14ac:dyDescent="0.35">
      <c r="B104" s="67">
        <v>45329</v>
      </c>
      <c r="C104" s="91">
        <v>4</v>
      </c>
      <c r="D104" s="95" t="s">
        <v>152</v>
      </c>
      <c r="E104" s="95"/>
      <c r="F104" s="93">
        <v>250000</v>
      </c>
      <c r="G104" s="91" t="s">
        <v>21</v>
      </c>
      <c r="H104" s="91">
        <v>1</v>
      </c>
      <c r="I104" s="61">
        <f t="shared" ref="I104:I109" si="2">$H104*$F104</f>
        <v>250000</v>
      </c>
      <c r="J104" s="62"/>
      <c r="K104" s="44"/>
      <c r="L104" s="44"/>
      <c r="M104" s="44"/>
      <c r="N104" s="44"/>
      <c r="O104" s="44"/>
      <c r="P104" s="44"/>
      <c r="Q104" s="44"/>
    </row>
    <row r="105" spans="2:17" ht="15.5" customHeight="1" x14ac:dyDescent="0.35">
      <c r="B105" s="67">
        <v>45330</v>
      </c>
      <c r="C105" s="91">
        <v>5</v>
      </c>
      <c r="D105" s="95" t="s">
        <v>153</v>
      </c>
      <c r="E105" s="95"/>
      <c r="F105" s="93">
        <v>900000</v>
      </c>
      <c r="G105" s="91" t="s">
        <v>21</v>
      </c>
      <c r="H105" s="91">
        <v>1</v>
      </c>
      <c r="I105" s="61">
        <f t="shared" si="2"/>
        <v>900000</v>
      </c>
      <c r="J105" s="62"/>
      <c r="K105" s="44"/>
      <c r="L105" s="44"/>
      <c r="M105" s="44"/>
      <c r="N105" s="44"/>
      <c r="O105" s="44"/>
      <c r="P105" s="44"/>
      <c r="Q105" s="44"/>
    </row>
    <row r="106" spans="2:17" ht="15.5" customHeight="1" x14ac:dyDescent="0.35">
      <c r="B106" s="67">
        <v>45330</v>
      </c>
      <c r="C106" s="91">
        <v>6</v>
      </c>
      <c r="D106" s="95" t="s">
        <v>154</v>
      </c>
      <c r="E106" s="95"/>
      <c r="F106" s="93">
        <v>18000000</v>
      </c>
      <c r="G106" s="91" t="s">
        <v>21</v>
      </c>
      <c r="H106" s="91">
        <v>1</v>
      </c>
      <c r="I106" s="61">
        <f t="shared" si="2"/>
        <v>18000000</v>
      </c>
      <c r="J106" s="62"/>
      <c r="K106" s="44"/>
      <c r="L106" s="44"/>
      <c r="M106" s="44"/>
      <c r="N106" s="44"/>
      <c r="O106" s="44"/>
      <c r="P106" s="44"/>
      <c r="Q106" s="44"/>
    </row>
    <row r="107" spans="2:17" ht="15.5" customHeight="1" x14ac:dyDescent="0.35">
      <c r="B107" s="67">
        <v>45355</v>
      </c>
      <c r="C107" s="91">
        <v>7</v>
      </c>
      <c r="D107" s="95" t="s">
        <v>155</v>
      </c>
      <c r="E107" s="95"/>
      <c r="F107" s="93">
        <v>250000</v>
      </c>
      <c r="G107" s="91" t="s">
        <v>21</v>
      </c>
      <c r="H107" s="91">
        <v>1</v>
      </c>
      <c r="I107" s="61">
        <f t="shared" si="2"/>
        <v>250000</v>
      </c>
      <c r="J107" s="62"/>
      <c r="K107" s="44"/>
      <c r="L107" s="44"/>
      <c r="M107" s="44"/>
      <c r="N107" s="44"/>
      <c r="O107" s="44"/>
      <c r="P107" s="44"/>
      <c r="Q107" s="44"/>
    </row>
    <row r="108" spans="2:17" ht="15.5" customHeight="1" x14ac:dyDescent="0.35">
      <c r="B108" s="67">
        <v>45355</v>
      </c>
      <c r="C108" s="91">
        <v>8</v>
      </c>
      <c r="D108" s="95" t="s">
        <v>156</v>
      </c>
      <c r="E108" s="95"/>
      <c r="F108" s="96">
        <v>1498484</v>
      </c>
      <c r="G108" s="91" t="s">
        <v>21</v>
      </c>
      <c r="H108" s="91">
        <v>1</v>
      </c>
      <c r="I108" s="61">
        <f t="shared" si="2"/>
        <v>1498484</v>
      </c>
      <c r="J108" s="62"/>
      <c r="K108" s="44"/>
      <c r="L108" s="44"/>
      <c r="M108" s="44"/>
      <c r="N108" s="44"/>
      <c r="O108" s="44"/>
      <c r="P108" s="44"/>
      <c r="Q108" s="44"/>
    </row>
    <row r="109" spans="2:17" ht="15.5" customHeight="1" x14ac:dyDescent="0.35">
      <c r="B109" s="67">
        <v>45355</v>
      </c>
      <c r="C109" s="91">
        <v>9</v>
      </c>
      <c r="D109" s="95" t="s">
        <v>157</v>
      </c>
      <c r="E109" s="95"/>
      <c r="F109" s="96">
        <v>378000</v>
      </c>
      <c r="G109" s="91" t="s">
        <v>21</v>
      </c>
      <c r="H109" s="91">
        <v>1</v>
      </c>
      <c r="I109" s="61">
        <f t="shared" si="2"/>
        <v>378000</v>
      </c>
      <c r="J109" s="62"/>
      <c r="K109" s="44"/>
      <c r="L109" s="44"/>
      <c r="M109" s="61"/>
      <c r="N109" s="44"/>
      <c r="O109" s="44"/>
      <c r="P109" s="44"/>
      <c r="Q109" s="44"/>
    </row>
    <row r="110" spans="2:17" ht="15.5" customHeight="1" x14ac:dyDescent="0.35">
      <c r="B110" s="67"/>
      <c r="C110" s="91"/>
      <c r="D110" s="97" t="s">
        <v>158</v>
      </c>
      <c r="E110" s="97"/>
      <c r="F110" s="93"/>
      <c r="G110" s="91"/>
      <c r="H110" s="91"/>
      <c r="I110" s="62"/>
      <c r="J110" s="62"/>
      <c r="K110" s="44"/>
      <c r="L110" s="44"/>
      <c r="M110" s="44"/>
      <c r="N110" s="44"/>
      <c r="O110" s="44"/>
      <c r="P110" s="44"/>
      <c r="Q110" s="44"/>
    </row>
    <row r="111" spans="2:17" ht="15.5" customHeight="1" x14ac:dyDescent="0.35">
      <c r="B111" s="67">
        <v>45329</v>
      </c>
      <c r="C111" s="91">
        <v>10</v>
      </c>
      <c r="D111" s="95" t="s">
        <v>159</v>
      </c>
      <c r="E111" s="95"/>
      <c r="F111" s="93">
        <v>200000</v>
      </c>
      <c r="G111" s="91" t="s">
        <v>21</v>
      </c>
      <c r="H111" s="91">
        <v>1</v>
      </c>
      <c r="I111" s="61">
        <f>F111</f>
        <v>200000</v>
      </c>
      <c r="J111" s="62"/>
      <c r="K111" s="44"/>
      <c r="L111" s="44"/>
      <c r="M111" s="44"/>
      <c r="N111" s="61"/>
      <c r="O111" s="44"/>
      <c r="P111" s="44"/>
      <c r="Q111" s="44"/>
    </row>
    <row r="112" spans="2:17" ht="15.5" customHeight="1" x14ac:dyDescent="0.35">
      <c r="B112" s="67">
        <v>45329</v>
      </c>
      <c r="C112" s="91">
        <v>11</v>
      </c>
      <c r="D112" s="95" t="s">
        <v>160</v>
      </c>
      <c r="E112" s="95"/>
      <c r="F112" s="93">
        <v>3300000</v>
      </c>
      <c r="G112" s="91" t="s">
        <v>21</v>
      </c>
      <c r="H112" s="91">
        <v>1</v>
      </c>
      <c r="I112" s="61">
        <f>F112</f>
        <v>3300000</v>
      </c>
      <c r="J112" s="62"/>
      <c r="K112" s="44"/>
      <c r="L112" s="44"/>
      <c r="M112" s="44"/>
      <c r="N112" s="61"/>
      <c r="O112" s="44"/>
      <c r="P112" s="44"/>
      <c r="Q112" s="44"/>
    </row>
    <row r="113" spans="2:17" ht="15.5" customHeight="1" x14ac:dyDescent="0.35">
      <c r="B113" s="67">
        <v>45355</v>
      </c>
      <c r="C113" s="91">
        <v>12</v>
      </c>
      <c r="D113" s="95" t="s">
        <v>161</v>
      </c>
      <c r="E113" s="95"/>
      <c r="F113" s="93">
        <v>1350000</v>
      </c>
      <c r="G113" s="91" t="s">
        <v>21</v>
      </c>
      <c r="H113" s="91">
        <v>1</v>
      </c>
      <c r="I113" s="61">
        <f>F113</f>
        <v>1350000</v>
      </c>
      <c r="J113" s="62"/>
      <c r="K113" s="44"/>
      <c r="L113" s="44"/>
      <c r="M113" s="44"/>
      <c r="N113" s="61"/>
      <c r="O113" s="44"/>
      <c r="P113" s="44"/>
      <c r="Q113" s="44"/>
    </row>
    <row r="114" spans="2:17" ht="15.5" customHeight="1" x14ac:dyDescent="0.35">
      <c r="B114" s="67"/>
      <c r="C114" s="91"/>
      <c r="D114" s="97" t="s">
        <v>162</v>
      </c>
      <c r="E114" s="97"/>
      <c r="F114" s="93"/>
      <c r="G114" s="91"/>
      <c r="H114" s="91"/>
      <c r="I114" s="61"/>
      <c r="J114" s="62"/>
      <c r="K114" s="44"/>
      <c r="L114" s="44"/>
      <c r="M114" s="44"/>
      <c r="N114" s="61"/>
      <c r="O114" s="44"/>
      <c r="P114" s="44"/>
      <c r="Q114" s="44"/>
    </row>
    <row r="115" spans="2:17" ht="15.5" customHeight="1" x14ac:dyDescent="0.35">
      <c r="B115" s="67">
        <v>45329</v>
      </c>
      <c r="C115" s="91">
        <v>13</v>
      </c>
      <c r="D115" s="98" t="s">
        <v>163</v>
      </c>
      <c r="E115" s="98"/>
      <c r="F115" s="93">
        <v>58500</v>
      </c>
      <c r="G115" s="91" t="s">
        <v>21</v>
      </c>
      <c r="H115" s="91">
        <v>1</v>
      </c>
      <c r="I115" s="61"/>
      <c r="J115" s="62"/>
      <c r="K115" s="44"/>
      <c r="L115" s="44"/>
      <c r="M115" s="44"/>
      <c r="N115" s="61">
        <f t="shared" ref="N115:N120" si="3">F115</f>
        <v>58500</v>
      </c>
      <c r="O115" s="44"/>
      <c r="P115" s="44"/>
      <c r="Q115" s="44"/>
    </row>
    <row r="116" spans="2:17" ht="15.5" customHeight="1" x14ac:dyDescent="0.35">
      <c r="B116" s="67">
        <v>45341</v>
      </c>
      <c r="C116" s="91">
        <v>14</v>
      </c>
      <c r="D116" s="98" t="s">
        <v>164</v>
      </c>
      <c r="E116" s="98"/>
      <c r="F116" s="93">
        <v>82100</v>
      </c>
      <c r="G116" s="91" t="s">
        <v>21</v>
      </c>
      <c r="H116" s="91">
        <v>1</v>
      </c>
      <c r="I116" s="61"/>
      <c r="J116" s="62"/>
      <c r="K116" s="44"/>
      <c r="L116" s="44"/>
      <c r="M116" s="44"/>
      <c r="N116" s="61">
        <f t="shared" si="3"/>
        <v>82100</v>
      </c>
      <c r="O116" s="44"/>
      <c r="P116" s="44"/>
      <c r="Q116" s="44"/>
    </row>
    <row r="117" spans="2:17" ht="15.5" customHeight="1" x14ac:dyDescent="0.35">
      <c r="B117" s="67">
        <v>45341</v>
      </c>
      <c r="C117" s="91">
        <v>15</v>
      </c>
      <c r="D117" s="98" t="s">
        <v>165</v>
      </c>
      <c r="E117" s="98"/>
      <c r="F117" s="93">
        <v>14000</v>
      </c>
      <c r="G117" s="91" t="s">
        <v>21</v>
      </c>
      <c r="H117" s="91">
        <v>1</v>
      </c>
      <c r="I117" s="61"/>
      <c r="J117" s="62"/>
      <c r="K117" s="44"/>
      <c r="L117" s="44"/>
      <c r="M117" s="44"/>
      <c r="N117" s="61">
        <f t="shared" si="3"/>
        <v>14000</v>
      </c>
      <c r="O117" s="44"/>
      <c r="P117" s="44"/>
      <c r="Q117" s="44"/>
    </row>
    <row r="118" spans="2:17" ht="15.5" customHeight="1" x14ac:dyDescent="0.35">
      <c r="B118" s="67">
        <v>45344</v>
      </c>
      <c r="C118" s="91">
        <v>16</v>
      </c>
      <c r="D118" s="98" t="s">
        <v>163</v>
      </c>
      <c r="E118" s="98"/>
      <c r="F118" s="93">
        <v>65000</v>
      </c>
      <c r="G118" s="91" t="s">
        <v>21</v>
      </c>
      <c r="H118" s="91">
        <v>1</v>
      </c>
      <c r="I118" s="61"/>
      <c r="J118" s="62"/>
      <c r="K118" s="44"/>
      <c r="L118" s="44"/>
      <c r="M118" s="44"/>
      <c r="N118" s="61">
        <f t="shared" si="3"/>
        <v>65000</v>
      </c>
      <c r="O118" s="44"/>
      <c r="P118" s="44"/>
      <c r="Q118" s="44"/>
    </row>
    <row r="119" spans="2:17" ht="15.5" customHeight="1" x14ac:dyDescent="0.35">
      <c r="B119" s="67">
        <v>45347</v>
      </c>
      <c r="C119" s="91">
        <v>17</v>
      </c>
      <c r="D119" s="98" t="s">
        <v>166</v>
      </c>
      <c r="E119" s="98"/>
      <c r="F119" s="93">
        <v>19000</v>
      </c>
      <c r="G119" s="91" t="s">
        <v>21</v>
      </c>
      <c r="H119" s="91">
        <v>1</v>
      </c>
      <c r="I119" s="62"/>
      <c r="J119" s="62"/>
      <c r="K119" s="44"/>
      <c r="L119" s="44"/>
      <c r="M119" s="44"/>
      <c r="N119" s="61">
        <f t="shared" si="3"/>
        <v>19000</v>
      </c>
      <c r="O119" s="44"/>
      <c r="P119" s="44"/>
      <c r="Q119" s="44"/>
    </row>
    <row r="120" spans="2:17" ht="15.5" customHeight="1" x14ac:dyDescent="0.35">
      <c r="B120" s="67">
        <v>45350</v>
      </c>
      <c r="C120" s="91">
        <v>18</v>
      </c>
      <c r="D120" s="98" t="s">
        <v>167</v>
      </c>
      <c r="E120" s="98"/>
      <c r="F120" s="93">
        <v>87000</v>
      </c>
      <c r="G120" s="91" t="s">
        <v>21</v>
      </c>
      <c r="H120" s="91">
        <v>1</v>
      </c>
      <c r="I120" s="44"/>
      <c r="J120" s="62"/>
      <c r="K120" s="44"/>
      <c r="L120" s="44"/>
      <c r="M120" s="61"/>
      <c r="N120" s="61">
        <f t="shared" si="3"/>
        <v>87000</v>
      </c>
      <c r="O120" s="44"/>
      <c r="P120" s="44"/>
      <c r="Q120" s="44"/>
    </row>
    <row r="121" spans="2:17" ht="15.5" customHeight="1" x14ac:dyDescent="0.35">
      <c r="B121" s="67"/>
      <c r="C121" s="91"/>
      <c r="D121" s="97" t="s">
        <v>168</v>
      </c>
      <c r="E121" s="97"/>
      <c r="F121" s="93"/>
      <c r="G121" s="91"/>
      <c r="H121" s="91"/>
      <c r="I121" s="62"/>
      <c r="J121" s="62"/>
      <c r="K121" s="62"/>
      <c r="L121" s="62"/>
      <c r="M121" s="62"/>
      <c r="N121" s="62"/>
      <c r="O121" s="62"/>
      <c r="P121" s="62"/>
      <c r="Q121" s="62"/>
    </row>
    <row r="122" spans="2:17" ht="15.5" customHeight="1" x14ac:dyDescent="0.35">
      <c r="B122" s="67">
        <v>45355</v>
      </c>
      <c r="C122" s="91">
        <v>19</v>
      </c>
      <c r="D122" s="95" t="s">
        <v>169</v>
      </c>
      <c r="E122" s="95"/>
      <c r="F122" s="99">
        <v>1966300</v>
      </c>
      <c r="G122" s="91" t="s">
        <v>21</v>
      </c>
      <c r="H122" s="91">
        <v>1</v>
      </c>
      <c r="I122" s="62">
        <f>F122</f>
        <v>1966300</v>
      </c>
      <c r="J122" s="62"/>
      <c r="K122" s="44"/>
      <c r="L122" s="44"/>
      <c r="M122" s="44"/>
      <c r="N122" s="44"/>
      <c r="O122" s="44"/>
      <c r="P122" s="44"/>
      <c r="Q122" s="44"/>
    </row>
    <row r="123" spans="2:17" ht="15.5" customHeight="1" x14ac:dyDescent="0.35">
      <c r="B123" s="67"/>
      <c r="C123" s="91"/>
      <c r="D123" s="97" t="s">
        <v>168</v>
      </c>
      <c r="E123" s="97"/>
      <c r="F123" s="93"/>
      <c r="G123" s="91"/>
      <c r="H123" s="91"/>
      <c r="I123" s="62"/>
      <c r="J123" s="62"/>
      <c r="K123" s="44"/>
      <c r="L123" s="44"/>
      <c r="M123" s="62"/>
      <c r="N123" s="44"/>
      <c r="O123" s="44"/>
      <c r="P123" s="44"/>
      <c r="Q123" s="44"/>
    </row>
    <row r="124" spans="2:17" ht="15.5" customHeight="1" x14ac:dyDescent="0.35">
      <c r="B124" s="67">
        <v>45355</v>
      </c>
      <c r="C124" s="91">
        <v>20</v>
      </c>
      <c r="D124" s="95" t="s">
        <v>170</v>
      </c>
      <c r="E124" s="95"/>
      <c r="F124" s="93">
        <v>4050000</v>
      </c>
      <c r="G124" s="91" t="s">
        <v>21</v>
      </c>
      <c r="H124" s="91">
        <v>1</v>
      </c>
      <c r="I124" s="61">
        <f>F124</f>
        <v>4050000</v>
      </c>
      <c r="J124" s="62"/>
      <c r="K124" s="44"/>
      <c r="L124" s="44"/>
      <c r="M124" s="62"/>
      <c r="N124" s="44"/>
      <c r="O124" s="44"/>
      <c r="P124" s="44"/>
      <c r="Q124" s="44"/>
    </row>
    <row r="125" spans="2:17" ht="15.5" customHeight="1" x14ac:dyDescent="0.35">
      <c r="B125" s="67"/>
      <c r="C125" s="91"/>
      <c r="D125" s="97" t="s">
        <v>171</v>
      </c>
      <c r="E125" s="97"/>
      <c r="F125" s="93"/>
      <c r="G125" s="91"/>
      <c r="H125" s="91"/>
      <c r="I125" s="62"/>
      <c r="J125" s="62"/>
      <c r="K125" s="44"/>
      <c r="L125" s="44"/>
      <c r="M125" s="62"/>
      <c r="N125" s="44"/>
      <c r="O125" s="44"/>
      <c r="P125" s="44"/>
      <c r="Q125" s="44"/>
    </row>
    <row r="126" spans="2:17" ht="15.5" customHeight="1" x14ac:dyDescent="0.35">
      <c r="B126" s="67">
        <v>45355</v>
      </c>
      <c r="C126" s="91">
        <v>21</v>
      </c>
      <c r="D126" s="95" t="s">
        <v>172</v>
      </c>
      <c r="E126" s="95"/>
      <c r="F126" s="93">
        <v>2700</v>
      </c>
      <c r="G126" s="91" t="s">
        <v>173</v>
      </c>
      <c r="H126" s="100">
        <v>15774</v>
      </c>
      <c r="I126" s="62">
        <f>H126*F126</f>
        <v>42589800</v>
      </c>
      <c r="J126" s="62"/>
      <c r="K126" s="44"/>
      <c r="L126" s="44"/>
      <c r="M126" s="44"/>
      <c r="N126" s="44"/>
      <c r="O126" s="44"/>
      <c r="P126" s="44"/>
      <c r="Q126" s="44"/>
    </row>
    <row r="127" spans="2:17" ht="15.5" customHeight="1" x14ac:dyDescent="0.35">
      <c r="B127" s="78" t="s">
        <v>174</v>
      </c>
      <c r="C127" s="85" t="s">
        <v>2</v>
      </c>
      <c r="D127" s="86" t="s">
        <v>175</v>
      </c>
      <c r="E127" s="86"/>
      <c r="F127" s="87"/>
      <c r="G127" s="73"/>
      <c r="H127" s="73"/>
      <c r="I127" s="101"/>
      <c r="J127" s="90"/>
      <c r="K127" s="78"/>
      <c r="L127" s="78"/>
      <c r="M127" s="101"/>
      <c r="N127" s="78"/>
      <c r="O127" s="78"/>
      <c r="P127" s="78"/>
      <c r="Q127" s="78"/>
    </row>
    <row r="128" spans="2:17" ht="15.5" customHeight="1" x14ac:dyDescent="0.35">
      <c r="B128" s="24"/>
      <c r="C128" s="91"/>
      <c r="D128" s="94" t="s">
        <v>149</v>
      </c>
      <c r="E128" s="94"/>
      <c r="F128" s="93"/>
      <c r="G128" s="91"/>
      <c r="H128" s="91"/>
      <c r="I128" s="61"/>
      <c r="J128" s="62"/>
      <c r="K128" s="44"/>
      <c r="L128" s="44"/>
      <c r="M128" s="61"/>
      <c r="N128" s="44"/>
      <c r="O128" s="44"/>
      <c r="P128" s="44"/>
      <c r="Q128" s="44"/>
    </row>
    <row r="129" spans="2:17" ht="15.5" customHeight="1" x14ac:dyDescent="0.35">
      <c r="B129" s="67">
        <v>45357</v>
      </c>
      <c r="C129" s="91">
        <v>1</v>
      </c>
      <c r="D129" s="95" t="s">
        <v>151</v>
      </c>
      <c r="E129" s="95"/>
      <c r="F129" s="93">
        <v>1000106</v>
      </c>
      <c r="G129" s="91" t="s">
        <v>21</v>
      </c>
      <c r="H129" s="91">
        <v>1</v>
      </c>
      <c r="I129" s="61">
        <f>$H129*$F129</f>
        <v>1000106</v>
      </c>
      <c r="J129" s="44"/>
      <c r="K129" s="44"/>
      <c r="L129" s="44"/>
      <c r="M129" s="44"/>
      <c r="N129" s="44"/>
      <c r="O129" s="44"/>
      <c r="P129" s="44"/>
      <c r="Q129" s="44"/>
    </row>
    <row r="130" spans="2:17" ht="15.5" customHeight="1" x14ac:dyDescent="0.35">
      <c r="B130" s="67"/>
      <c r="C130" s="91"/>
      <c r="D130" s="94" t="s">
        <v>149</v>
      </c>
      <c r="E130" s="94"/>
      <c r="F130" s="93"/>
      <c r="G130" s="91"/>
      <c r="H130" s="91"/>
      <c r="I130" s="61"/>
      <c r="J130" s="62"/>
      <c r="K130" s="44"/>
      <c r="L130" s="44"/>
      <c r="M130" s="61"/>
      <c r="N130" s="44"/>
      <c r="O130" s="44"/>
      <c r="P130" s="44"/>
      <c r="Q130" s="44"/>
    </row>
    <row r="131" spans="2:17" ht="15.5" customHeight="1" x14ac:dyDescent="0.35">
      <c r="B131" s="67">
        <v>45329</v>
      </c>
      <c r="C131" s="91">
        <v>2</v>
      </c>
      <c r="D131" s="95" t="s">
        <v>176</v>
      </c>
      <c r="E131" s="95"/>
      <c r="F131" s="93">
        <v>250000</v>
      </c>
      <c r="G131" s="91" t="s">
        <v>21</v>
      </c>
      <c r="H131" s="91">
        <v>1</v>
      </c>
      <c r="I131" s="61">
        <f>$H131*$F131</f>
        <v>250000</v>
      </c>
      <c r="J131" s="62"/>
      <c r="K131" s="44"/>
      <c r="L131" s="44"/>
      <c r="M131" s="44"/>
      <c r="N131" s="44"/>
      <c r="O131" s="44"/>
      <c r="P131" s="44"/>
      <c r="Q131" s="44"/>
    </row>
    <row r="132" spans="2:17" ht="15.5" customHeight="1" x14ac:dyDescent="0.35">
      <c r="B132" s="67">
        <v>45358</v>
      </c>
      <c r="C132" s="91">
        <v>3</v>
      </c>
      <c r="D132" s="95" t="s">
        <v>177</v>
      </c>
      <c r="E132" s="95"/>
      <c r="F132" s="93">
        <v>250000</v>
      </c>
      <c r="G132" s="91" t="s">
        <v>21</v>
      </c>
      <c r="H132" s="91">
        <v>1</v>
      </c>
      <c r="I132" s="61">
        <f>$H132*$F132</f>
        <v>250000</v>
      </c>
      <c r="J132" s="62"/>
      <c r="K132" s="44"/>
      <c r="L132" s="44"/>
      <c r="M132" s="44"/>
      <c r="N132" s="61"/>
      <c r="O132" s="44"/>
      <c r="P132" s="44"/>
      <c r="Q132" s="44"/>
    </row>
    <row r="133" spans="2:17" ht="15.5" customHeight="1" x14ac:dyDescent="0.35">
      <c r="B133" s="67">
        <v>45355</v>
      </c>
      <c r="C133" s="91">
        <v>4</v>
      </c>
      <c r="D133" s="95" t="s">
        <v>156</v>
      </c>
      <c r="E133" s="95"/>
      <c r="F133" s="96">
        <v>200000</v>
      </c>
      <c r="G133" s="91" t="s">
        <v>21</v>
      </c>
      <c r="H133" s="91">
        <v>1</v>
      </c>
      <c r="I133" s="61">
        <f>$H133*$F133</f>
        <v>200000</v>
      </c>
      <c r="J133" s="62"/>
      <c r="K133" s="44"/>
      <c r="L133" s="44"/>
      <c r="M133" s="44"/>
      <c r="N133" s="61"/>
      <c r="O133" s="44"/>
      <c r="P133" s="44"/>
      <c r="Q133" s="44"/>
    </row>
    <row r="134" spans="2:17" ht="15.5" customHeight="1" x14ac:dyDescent="0.35">
      <c r="B134" s="67">
        <v>45358</v>
      </c>
      <c r="C134" s="91">
        <v>5</v>
      </c>
      <c r="D134" s="95" t="s">
        <v>157</v>
      </c>
      <c r="E134" s="95"/>
      <c r="F134" s="96">
        <v>105000</v>
      </c>
      <c r="G134" s="91" t="s">
        <v>21</v>
      </c>
      <c r="H134" s="91">
        <v>1</v>
      </c>
      <c r="I134" s="61">
        <f>$H134*$F134</f>
        <v>105000</v>
      </c>
      <c r="J134" s="62"/>
      <c r="K134" s="44"/>
      <c r="L134" s="44"/>
      <c r="M134" s="44"/>
      <c r="N134" s="61"/>
      <c r="O134" s="44"/>
      <c r="P134" s="44"/>
      <c r="Q134" s="44"/>
    </row>
    <row r="135" spans="2:17" ht="15.5" customHeight="1" x14ac:dyDescent="0.35">
      <c r="B135" s="67"/>
      <c r="C135" s="91"/>
      <c r="D135" s="97" t="s">
        <v>158</v>
      </c>
      <c r="E135" s="97"/>
      <c r="F135" s="93"/>
      <c r="G135" s="91"/>
      <c r="H135" s="91"/>
      <c r="I135" s="61"/>
      <c r="J135" s="62"/>
      <c r="K135" s="44"/>
      <c r="L135" s="44"/>
      <c r="M135" s="44"/>
      <c r="N135" s="61"/>
      <c r="O135" s="44"/>
      <c r="P135" s="44"/>
      <c r="Q135" s="44"/>
    </row>
    <row r="136" spans="2:17" ht="15.5" customHeight="1" x14ac:dyDescent="0.35">
      <c r="B136" s="67">
        <v>45358</v>
      </c>
      <c r="C136" s="91">
        <v>6</v>
      </c>
      <c r="D136" s="95" t="s">
        <v>178</v>
      </c>
      <c r="E136" s="95"/>
      <c r="F136" s="93">
        <v>1500000</v>
      </c>
      <c r="G136" s="91" t="s">
        <v>21</v>
      </c>
      <c r="H136" s="91">
        <v>1</v>
      </c>
      <c r="I136" s="61">
        <f>F136</f>
        <v>1500000</v>
      </c>
      <c r="J136" s="62"/>
      <c r="K136" s="44"/>
      <c r="L136" s="44"/>
      <c r="M136" s="44"/>
      <c r="N136" s="44"/>
      <c r="O136" s="44"/>
      <c r="P136" s="44"/>
      <c r="Q136" s="44"/>
    </row>
    <row r="137" spans="2:17" ht="15.5" customHeight="1" x14ac:dyDescent="0.35">
      <c r="B137" s="67"/>
      <c r="C137" s="91"/>
      <c r="D137" s="97" t="s">
        <v>162</v>
      </c>
      <c r="E137" s="97"/>
      <c r="F137" s="93"/>
      <c r="G137" s="91"/>
      <c r="H137" s="91"/>
      <c r="I137" s="61"/>
      <c r="J137" s="62"/>
      <c r="K137" s="44"/>
      <c r="L137" s="44"/>
      <c r="M137" s="44"/>
      <c r="N137" s="44"/>
      <c r="O137" s="44"/>
      <c r="P137" s="44"/>
      <c r="Q137" s="44"/>
    </row>
    <row r="138" spans="2:17" ht="15.5" customHeight="1" x14ac:dyDescent="0.35">
      <c r="B138" s="67">
        <v>45324</v>
      </c>
      <c r="C138" s="91">
        <v>7</v>
      </c>
      <c r="D138" s="98" t="s">
        <v>179</v>
      </c>
      <c r="E138" s="98"/>
      <c r="F138" s="93">
        <v>499940</v>
      </c>
      <c r="G138" s="91" t="s">
        <v>21</v>
      </c>
      <c r="H138" s="91">
        <v>1</v>
      </c>
      <c r="I138" s="61"/>
      <c r="J138" s="62"/>
      <c r="K138" s="44"/>
      <c r="L138" s="44"/>
      <c r="M138" s="44"/>
      <c r="N138" s="62">
        <f>F138</f>
        <v>499940</v>
      </c>
      <c r="O138" s="44"/>
      <c r="P138" s="44"/>
      <c r="Q138" s="44"/>
    </row>
    <row r="139" spans="2:17" ht="15.5" customHeight="1" x14ac:dyDescent="0.35">
      <c r="B139" s="67">
        <v>45354</v>
      </c>
      <c r="C139" s="91">
        <v>8</v>
      </c>
      <c r="D139" s="98" t="s">
        <v>167</v>
      </c>
      <c r="E139" s="98"/>
      <c r="F139" s="93">
        <v>70000</v>
      </c>
      <c r="G139" s="91" t="s">
        <v>21</v>
      </c>
      <c r="H139" s="91">
        <v>1</v>
      </c>
      <c r="I139" s="44"/>
      <c r="J139" s="62"/>
      <c r="K139" s="44"/>
      <c r="L139" s="44"/>
      <c r="M139" s="61"/>
      <c r="N139" s="62">
        <f>F139</f>
        <v>70000</v>
      </c>
      <c r="O139" s="44"/>
      <c r="P139" s="44"/>
      <c r="Q139" s="44"/>
    </row>
    <row r="140" spans="2:17" ht="15.5" customHeight="1" x14ac:dyDescent="0.35">
      <c r="B140" s="67">
        <v>45358</v>
      </c>
      <c r="C140" s="91"/>
      <c r="D140" s="98" t="s">
        <v>180</v>
      </c>
      <c r="E140" s="98"/>
      <c r="F140" s="93">
        <v>540000</v>
      </c>
      <c r="G140" s="91" t="s">
        <v>21</v>
      </c>
      <c r="H140" s="91">
        <v>1</v>
      </c>
      <c r="I140" s="62"/>
      <c r="J140" s="62"/>
      <c r="K140" s="62"/>
      <c r="L140" s="62"/>
      <c r="M140" s="62"/>
      <c r="N140" s="62">
        <f>F140</f>
        <v>540000</v>
      </c>
      <c r="O140" s="62"/>
      <c r="P140" s="62"/>
      <c r="Q140" s="62"/>
    </row>
    <row r="141" spans="2:17" ht="15.5" customHeight="1" x14ac:dyDescent="0.35">
      <c r="B141" s="67"/>
      <c r="C141" s="91">
        <v>9</v>
      </c>
      <c r="D141" s="97" t="s">
        <v>168</v>
      </c>
      <c r="E141" s="97"/>
      <c r="F141" s="93"/>
      <c r="G141" s="91"/>
      <c r="H141" s="91"/>
      <c r="I141" s="62"/>
      <c r="J141" s="62"/>
      <c r="K141" s="44"/>
      <c r="L141" s="44"/>
      <c r="M141" s="44"/>
      <c r="N141" s="44"/>
      <c r="O141" s="44"/>
      <c r="P141" s="44"/>
      <c r="Q141" s="44"/>
    </row>
    <row r="142" spans="2:17" ht="15.5" customHeight="1" x14ac:dyDescent="0.35">
      <c r="B142" s="67">
        <v>45358</v>
      </c>
      <c r="C142" s="91">
        <v>10</v>
      </c>
      <c r="D142" s="95" t="s">
        <v>181</v>
      </c>
      <c r="E142" s="95"/>
      <c r="F142" s="93">
        <v>4500000</v>
      </c>
      <c r="G142" s="91" t="s">
        <v>21</v>
      </c>
      <c r="H142" s="91">
        <v>1</v>
      </c>
      <c r="I142" s="61">
        <f>F142</f>
        <v>4500000</v>
      </c>
      <c r="J142" s="62"/>
      <c r="K142" s="44"/>
      <c r="L142" s="44"/>
      <c r="M142" s="44"/>
      <c r="N142" s="44"/>
      <c r="O142" s="44"/>
      <c r="P142" s="44"/>
      <c r="Q142" s="44"/>
    </row>
    <row r="143" spans="2:17" ht="15.5" customHeight="1" x14ac:dyDescent="0.35">
      <c r="B143" s="67"/>
      <c r="C143" s="91"/>
      <c r="D143" s="97" t="s">
        <v>171</v>
      </c>
      <c r="E143" s="97"/>
      <c r="F143" s="93"/>
      <c r="G143" s="91"/>
      <c r="H143" s="91"/>
      <c r="I143" s="62"/>
      <c r="J143" s="62"/>
      <c r="K143" s="44"/>
      <c r="L143" s="44"/>
      <c r="M143" s="44"/>
      <c r="N143" s="44"/>
      <c r="O143" s="44"/>
      <c r="P143" s="44"/>
      <c r="Q143" s="44"/>
    </row>
    <row r="144" spans="2:17" ht="15.5" customHeight="1" x14ac:dyDescent="0.35">
      <c r="B144" s="67">
        <v>45358</v>
      </c>
      <c r="C144" s="91">
        <v>11</v>
      </c>
      <c r="D144" s="95" t="s">
        <v>182</v>
      </c>
      <c r="E144" s="95"/>
      <c r="F144" s="93">
        <v>750</v>
      </c>
      <c r="G144" s="91" t="s">
        <v>173</v>
      </c>
      <c r="H144" s="100">
        <v>15607</v>
      </c>
      <c r="I144" s="62">
        <f>H144*F144</f>
        <v>11705250</v>
      </c>
      <c r="J144" s="62"/>
      <c r="K144" s="44"/>
      <c r="L144" s="44"/>
      <c r="M144" s="61"/>
      <c r="N144" s="44"/>
      <c r="O144" s="44"/>
      <c r="P144" s="44"/>
      <c r="Q144" s="44"/>
    </row>
    <row r="145" spans="2:17" ht="15.5" customHeight="1" x14ac:dyDescent="0.35">
      <c r="B145" s="78" t="s">
        <v>183</v>
      </c>
      <c r="C145" s="85" t="s">
        <v>2</v>
      </c>
      <c r="D145" s="86" t="s">
        <v>184</v>
      </c>
      <c r="E145" s="86"/>
      <c r="F145" s="87"/>
      <c r="G145" s="73"/>
      <c r="H145" s="73"/>
      <c r="I145" s="90"/>
      <c r="J145" s="90"/>
      <c r="K145" s="78"/>
      <c r="L145" s="78"/>
      <c r="M145" s="101"/>
      <c r="N145" s="78"/>
      <c r="O145" s="78"/>
      <c r="P145" s="78"/>
      <c r="Q145" s="78"/>
    </row>
    <row r="146" spans="2:17" ht="15.5" customHeight="1" x14ac:dyDescent="0.35">
      <c r="B146" s="67"/>
      <c r="C146" s="91"/>
      <c r="D146" s="94" t="s">
        <v>149</v>
      </c>
      <c r="E146" s="94"/>
      <c r="F146" s="93"/>
      <c r="G146" s="91"/>
      <c r="H146" s="91"/>
      <c r="I146" s="62"/>
      <c r="J146" s="62"/>
      <c r="K146" s="44"/>
      <c r="L146" s="44"/>
      <c r="M146" s="61"/>
      <c r="N146" s="44"/>
      <c r="O146" s="44"/>
      <c r="P146" s="44"/>
      <c r="Q146" s="44"/>
    </row>
    <row r="147" spans="2:17" ht="15.5" customHeight="1" x14ac:dyDescent="0.35">
      <c r="B147" s="67">
        <v>45370</v>
      </c>
      <c r="C147" s="91">
        <v>4</v>
      </c>
      <c r="D147" s="95" t="s">
        <v>152</v>
      </c>
      <c r="E147" s="95"/>
      <c r="F147" s="93">
        <v>250000</v>
      </c>
      <c r="G147" s="91" t="s">
        <v>21</v>
      </c>
      <c r="H147" s="91">
        <v>1</v>
      </c>
      <c r="I147" s="61">
        <f>$H147*$F147</f>
        <v>250000</v>
      </c>
      <c r="J147" s="62"/>
      <c r="K147" s="44"/>
      <c r="L147" s="44"/>
      <c r="M147" s="61"/>
      <c r="N147" s="44"/>
      <c r="O147" s="44"/>
      <c r="P147" s="44"/>
      <c r="Q147" s="44"/>
    </row>
    <row r="148" spans="2:17" ht="15.5" customHeight="1" x14ac:dyDescent="0.35">
      <c r="B148" s="67">
        <v>45375</v>
      </c>
      <c r="C148" s="91">
        <v>7</v>
      </c>
      <c r="D148" s="95" t="s">
        <v>155</v>
      </c>
      <c r="E148" s="95"/>
      <c r="F148" s="93">
        <v>250000</v>
      </c>
      <c r="G148" s="91" t="s">
        <v>21</v>
      </c>
      <c r="H148" s="91">
        <v>1</v>
      </c>
      <c r="I148" s="61">
        <f>$H148*$F148</f>
        <v>250000</v>
      </c>
      <c r="J148" s="62"/>
      <c r="K148" s="44"/>
      <c r="L148" s="44"/>
      <c r="M148" s="44"/>
      <c r="N148" s="44"/>
      <c r="O148" s="44"/>
      <c r="P148" s="44"/>
      <c r="Q148" s="44"/>
    </row>
    <row r="149" spans="2:17" ht="15.5" customHeight="1" x14ac:dyDescent="0.35">
      <c r="B149" s="67"/>
      <c r="C149" s="91"/>
      <c r="D149" s="97" t="s">
        <v>158</v>
      </c>
      <c r="E149" s="97"/>
      <c r="F149" s="93"/>
      <c r="G149" s="91"/>
      <c r="H149" s="91"/>
      <c r="I149" s="62"/>
      <c r="J149" s="62"/>
      <c r="K149" s="44"/>
      <c r="L149" s="44"/>
      <c r="M149" s="44"/>
      <c r="N149" s="44"/>
      <c r="O149" s="44"/>
      <c r="P149" s="44"/>
      <c r="Q149" s="44"/>
    </row>
    <row r="150" spans="2:17" ht="15.5" customHeight="1" x14ac:dyDescent="0.35">
      <c r="B150" s="67">
        <v>45375</v>
      </c>
      <c r="C150" s="91">
        <v>12</v>
      </c>
      <c r="D150" s="95" t="s">
        <v>185</v>
      </c>
      <c r="E150" s="95"/>
      <c r="F150" s="93">
        <v>300000</v>
      </c>
      <c r="G150" s="91" t="s">
        <v>21</v>
      </c>
      <c r="H150" s="91">
        <v>1</v>
      </c>
      <c r="I150" s="62">
        <f>F150</f>
        <v>300000</v>
      </c>
      <c r="J150" s="62"/>
      <c r="K150" s="44"/>
      <c r="L150" s="44"/>
      <c r="M150" s="44"/>
      <c r="N150" s="44"/>
      <c r="O150" s="44"/>
      <c r="P150" s="44"/>
      <c r="Q150" s="44"/>
    </row>
    <row r="151" spans="2:17" ht="15.5" customHeight="1" x14ac:dyDescent="0.35">
      <c r="B151" s="67"/>
      <c r="C151" s="91"/>
      <c r="D151" s="97" t="s">
        <v>168</v>
      </c>
      <c r="E151" s="97"/>
      <c r="F151" s="93"/>
      <c r="G151" s="91"/>
      <c r="H151" s="91"/>
      <c r="I151" s="62"/>
      <c r="J151" s="62"/>
      <c r="K151" s="44"/>
      <c r="L151" s="44"/>
      <c r="M151" s="44"/>
      <c r="N151" s="44"/>
      <c r="O151" s="44"/>
      <c r="P151" s="44"/>
      <c r="Q151" s="44"/>
    </row>
    <row r="152" spans="2:17" ht="15.5" customHeight="1" x14ac:dyDescent="0.35">
      <c r="B152" s="67">
        <v>45375</v>
      </c>
      <c r="C152" s="91">
        <v>20</v>
      </c>
      <c r="D152" s="95" t="s">
        <v>186</v>
      </c>
      <c r="E152" s="95"/>
      <c r="F152" s="93">
        <v>900000</v>
      </c>
      <c r="G152" s="91" t="s">
        <v>21</v>
      </c>
      <c r="H152" s="91">
        <v>1</v>
      </c>
      <c r="I152" s="62">
        <f>F152</f>
        <v>900000</v>
      </c>
      <c r="J152" s="62"/>
      <c r="K152" s="44"/>
      <c r="L152" s="44"/>
      <c r="M152" s="44"/>
      <c r="N152" s="44"/>
      <c r="O152" s="44"/>
      <c r="P152" s="44"/>
      <c r="Q152" s="44"/>
    </row>
    <row r="153" spans="2:17" ht="15.5" customHeight="1" x14ac:dyDescent="0.35">
      <c r="B153" s="67"/>
      <c r="C153" s="91"/>
      <c r="D153" s="97" t="s">
        <v>171</v>
      </c>
      <c r="E153" s="97"/>
      <c r="F153" s="93"/>
      <c r="G153" s="91"/>
      <c r="H153" s="91"/>
      <c r="I153" s="44"/>
      <c r="J153" s="62"/>
      <c r="K153" s="44"/>
      <c r="L153" s="44"/>
      <c r="M153" s="61"/>
      <c r="N153" s="44"/>
      <c r="O153" s="44"/>
      <c r="P153" s="44"/>
      <c r="Q153" s="44"/>
    </row>
    <row r="154" spans="2:17" ht="15.5" customHeight="1" x14ac:dyDescent="0.35">
      <c r="B154" s="67">
        <v>45375</v>
      </c>
      <c r="C154" s="91">
        <v>21</v>
      </c>
      <c r="D154" s="95" t="s">
        <v>187</v>
      </c>
      <c r="E154" s="95"/>
      <c r="F154" s="93">
        <v>600</v>
      </c>
      <c r="G154" s="91" t="s">
        <v>173</v>
      </c>
      <c r="H154" s="100">
        <v>15835</v>
      </c>
      <c r="I154" s="62">
        <f>H154*F154</f>
        <v>9501000</v>
      </c>
      <c r="J154" s="62"/>
      <c r="K154" s="44"/>
      <c r="L154" s="44"/>
      <c r="M154" s="44"/>
      <c r="N154" s="44"/>
      <c r="O154" s="44"/>
      <c r="P154" s="44"/>
      <c r="Q154" s="44"/>
    </row>
    <row r="155" spans="2:17" ht="15.5" customHeight="1" x14ac:dyDescent="0.35">
      <c r="B155" s="78" t="s">
        <v>188</v>
      </c>
      <c r="C155" s="85" t="s">
        <v>2</v>
      </c>
      <c r="D155" s="86" t="s">
        <v>189</v>
      </c>
      <c r="E155" s="86"/>
      <c r="F155" s="87"/>
      <c r="G155" s="73"/>
      <c r="H155" s="73"/>
      <c r="I155" s="90"/>
      <c r="J155" s="90"/>
      <c r="K155" s="78"/>
      <c r="L155" s="78"/>
      <c r="M155" s="101"/>
      <c r="N155" s="78"/>
      <c r="O155" s="78"/>
      <c r="P155" s="78"/>
      <c r="Q155" s="78"/>
    </row>
    <row r="156" spans="2:17" ht="15.5" customHeight="1" x14ac:dyDescent="0.35">
      <c r="B156" s="102">
        <v>45369</v>
      </c>
      <c r="C156" s="15">
        <v>1</v>
      </c>
      <c r="D156" s="63" t="s">
        <v>190</v>
      </c>
      <c r="E156" s="63"/>
      <c r="F156" s="96">
        <v>69009</v>
      </c>
      <c r="G156" s="15" t="s">
        <v>21</v>
      </c>
      <c r="H156" s="15">
        <v>1</v>
      </c>
      <c r="I156" s="62"/>
      <c r="J156" s="62"/>
      <c r="K156" s="44"/>
      <c r="L156" s="44"/>
      <c r="M156" s="61"/>
      <c r="N156" s="62">
        <f t="shared" ref="N156:N163" si="4">F156</f>
        <v>69009</v>
      </c>
      <c r="O156" s="44"/>
      <c r="P156" s="44"/>
      <c r="Q156" s="44"/>
    </row>
    <row r="157" spans="2:17" ht="15.5" customHeight="1" x14ac:dyDescent="0.35">
      <c r="B157" s="102">
        <v>45369</v>
      </c>
      <c r="C157" s="15">
        <v>1</v>
      </c>
      <c r="D157" s="63" t="s">
        <v>191</v>
      </c>
      <c r="E157" s="63"/>
      <c r="F157" s="96">
        <v>145800</v>
      </c>
      <c r="G157" s="15" t="s">
        <v>21</v>
      </c>
      <c r="H157" s="15">
        <v>1</v>
      </c>
      <c r="I157" s="62"/>
      <c r="J157" s="62"/>
      <c r="K157" s="44"/>
      <c r="L157" s="44"/>
      <c r="M157" s="61"/>
      <c r="N157" s="62">
        <f t="shared" si="4"/>
        <v>145800</v>
      </c>
      <c r="O157" s="44"/>
      <c r="P157" s="44"/>
      <c r="Q157" s="44"/>
    </row>
    <row r="158" spans="2:17" ht="15.5" customHeight="1" x14ac:dyDescent="0.35">
      <c r="B158" s="102">
        <v>45369</v>
      </c>
      <c r="C158" s="15">
        <v>2</v>
      </c>
      <c r="D158" s="63" t="s">
        <v>192</v>
      </c>
      <c r="E158" s="63"/>
      <c r="F158" s="96">
        <v>20891</v>
      </c>
      <c r="G158" s="15" t="s">
        <v>21</v>
      </c>
      <c r="H158" s="15">
        <v>1</v>
      </c>
      <c r="I158" s="62"/>
      <c r="J158" s="62"/>
      <c r="K158" s="44"/>
      <c r="L158" s="44"/>
      <c r="M158" s="61"/>
      <c r="N158" s="62">
        <f t="shared" si="4"/>
        <v>20891</v>
      </c>
      <c r="O158" s="44"/>
      <c r="P158" s="44"/>
      <c r="Q158" s="44"/>
    </row>
    <row r="159" spans="2:17" ht="15.5" customHeight="1" x14ac:dyDescent="0.35">
      <c r="B159" s="102">
        <v>45369</v>
      </c>
      <c r="C159" s="15">
        <v>3</v>
      </c>
      <c r="D159" s="63" t="s">
        <v>193</v>
      </c>
      <c r="E159" s="63"/>
      <c r="F159" s="96">
        <v>3325760</v>
      </c>
      <c r="G159" s="15" t="s">
        <v>21</v>
      </c>
      <c r="H159" s="15">
        <v>1</v>
      </c>
      <c r="I159" s="62"/>
      <c r="J159" s="62"/>
      <c r="K159" s="44"/>
      <c r="L159" s="44"/>
      <c r="M159" s="61"/>
      <c r="N159" s="62">
        <f t="shared" si="4"/>
        <v>3325760</v>
      </c>
      <c r="O159" s="44"/>
      <c r="P159" s="44"/>
      <c r="Q159" s="44"/>
    </row>
    <row r="160" spans="2:17" ht="15.5" customHeight="1" x14ac:dyDescent="0.35">
      <c r="B160" s="102">
        <v>45369</v>
      </c>
      <c r="C160" s="15">
        <v>4</v>
      </c>
      <c r="D160" s="63" t="s">
        <v>194</v>
      </c>
      <c r="E160" s="63"/>
      <c r="F160" s="96">
        <v>4332000</v>
      </c>
      <c r="G160" s="15" t="s">
        <v>21</v>
      </c>
      <c r="H160" s="15">
        <v>1</v>
      </c>
      <c r="I160" s="62"/>
      <c r="J160" s="62"/>
      <c r="K160" s="44"/>
      <c r="L160" s="44"/>
      <c r="M160" s="44"/>
      <c r="N160" s="62">
        <f t="shared" si="4"/>
        <v>4332000</v>
      </c>
      <c r="O160" s="44"/>
      <c r="P160" s="44"/>
      <c r="Q160" s="44"/>
    </row>
    <row r="161" spans="2:17" ht="15.5" customHeight="1" x14ac:dyDescent="0.35">
      <c r="B161" s="102">
        <v>45369</v>
      </c>
      <c r="C161" s="15">
        <v>5</v>
      </c>
      <c r="D161" s="63" t="s">
        <v>195</v>
      </c>
      <c r="E161" s="63"/>
      <c r="F161" s="96">
        <v>455600</v>
      </c>
      <c r="G161" s="15" t="s">
        <v>21</v>
      </c>
      <c r="H161" s="15">
        <v>1</v>
      </c>
      <c r="I161" s="62"/>
      <c r="J161" s="62"/>
      <c r="K161" s="44"/>
      <c r="L161" s="44"/>
      <c r="M161" s="61"/>
      <c r="N161" s="62">
        <f t="shared" si="4"/>
        <v>455600</v>
      </c>
      <c r="O161" s="44"/>
      <c r="P161" s="44"/>
      <c r="Q161" s="44"/>
    </row>
    <row r="162" spans="2:17" ht="15.5" customHeight="1" x14ac:dyDescent="0.35">
      <c r="B162" s="102">
        <v>45370</v>
      </c>
      <c r="C162" s="15">
        <v>6</v>
      </c>
      <c r="D162" s="63" t="s">
        <v>196</v>
      </c>
      <c r="E162" s="63"/>
      <c r="F162" s="96">
        <v>168732</v>
      </c>
      <c r="G162" s="15" t="s">
        <v>21</v>
      </c>
      <c r="H162" s="15">
        <v>1</v>
      </c>
      <c r="I162" s="62"/>
      <c r="J162" s="62"/>
      <c r="K162" s="62"/>
      <c r="L162" s="62"/>
      <c r="M162" s="62"/>
      <c r="N162" s="62">
        <f t="shared" si="4"/>
        <v>168732</v>
      </c>
      <c r="O162" s="62"/>
      <c r="P162" s="62"/>
      <c r="Q162" s="62"/>
    </row>
    <row r="163" spans="2:17" ht="15.5" customHeight="1" x14ac:dyDescent="0.35">
      <c r="B163" s="102">
        <v>45354</v>
      </c>
      <c r="C163" s="15">
        <v>6</v>
      </c>
      <c r="D163" s="63" t="s">
        <v>197</v>
      </c>
      <c r="E163" s="63"/>
      <c r="F163" s="96">
        <v>168732</v>
      </c>
      <c r="G163" s="15" t="s">
        <v>21</v>
      </c>
      <c r="H163" s="15">
        <v>1</v>
      </c>
      <c r="I163" s="62"/>
      <c r="J163" s="62"/>
      <c r="K163" s="44"/>
      <c r="L163" s="44"/>
      <c r="M163" s="44"/>
      <c r="N163" s="62">
        <f t="shared" si="4"/>
        <v>168732</v>
      </c>
      <c r="O163" s="44"/>
      <c r="P163" s="44"/>
      <c r="Q163" s="44"/>
    </row>
    <row r="164" spans="2:17" ht="15.5" customHeight="1" x14ac:dyDescent="0.35">
      <c r="B164" s="78" t="s">
        <v>198</v>
      </c>
      <c r="C164" s="85" t="s">
        <v>2</v>
      </c>
      <c r="D164" s="86" t="s">
        <v>199</v>
      </c>
      <c r="E164" s="86"/>
      <c r="F164" s="87"/>
      <c r="G164" s="73"/>
      <c r="H164" s="73"/>
      <c r="I164" s="90"/>
      <c r="J164" s="90"/>
      <c r="K164" s="78"/>
      <c r="L164" s="78"/>
      <c r="M164" s="78"/>
      <c r="N164" s="78"/>
      <c r="O164" s="78"/>
      <c r="P164" s="78"/>
      <c r="Q164" s="78"/>
    </row>
    <row r="165" spans="2:17" ht="15.5" customHeight="1" x14ac:dyDescent="0.35">
      <c r="B165" s="67">
        <v>45384</v>
      </c>
      <c r="C165" s="91">
        <v>1</v>
      </c>
      <c r="D165" s="95" t="s">
        <v>200</v>
      </c>
      <c r="E165" s="95"/>
      <c r="F165" s="103">
        <v>5407000</v>
      </c>
      <c r="G165" s="91" t="s">
        <v>21</v>
      </c>
      <c r="H165" s="91">
        <v>1</v>
      </c>
      <c r="I165" s="62"/>
      <c r="J165" s="62"/>
      <c r="K165" s="44"/>
      <c r="L165" s="44"/>
      <c r="M165" s="44"/>
      <c r="N165" s="44"/>
      <c r="O165" s="44"/>
      <c r="P165" s="62">
        <f>F165</f>
        <v>5407000</v>
      </c>
      <c r="Q165" s="44"/>
    </row>
    <row r="166" spans="2:17" ht="15.5" customHeight="1" x14ac:dyDescent="0.35">
      <c r="B166" s="78" t="s">
        <v>201</v>
      </c>
      <c r="C166" s="85" t="s">
        <v>2</v>
      </c>
      <c r="D166" s="86" t="s">
        <v>202</v>
      </c>
      <c r="E166" s="86"/>
      <c r="F166" s="87"/>
      <c r="G166" s="73"/>
      <c r="H166" s="73"/>
      <c r="I166" s="90"/>
      <c r="J166" s="90"/>
      <c r="K166" s="78"/>
      <c r="L166" s="78"/>
      <c r="M166" s="90"/>
      <c r="N166" s="78"/>
      <c r="O166" s="78"/>
      <c r="P166" s="78"/>
      <c r="Q166" s="78"/>
    </row>
    <row r="167" spans="2:17" ht="15.5" customHeight="1" x14ac:dyDescent="0.35">
      <c r="B167" s="67"/>
      <c r="C167" s="91"/>
      <c r="D167" s="94" t="s">
        <v>149</v>
      </c>
      <c r="E167" s="94"/>
      <c r="F167" s="93"/>
      <c r="G167" s="91"/>
      <c r="H167" s="91"/>
      <c r="I167" s="62"/>
      <c r="J167" s="62"/>
      <c r="K167" s="44"/>
      <c r="L167" s="44"/>
      <c r="M167" s="62"/>
      <c r="N167" s="44"/>
      <c r="O167" s="44"/>
      <c r="P167" s="44"/>
      <c r="Q167" s="44"/>
    </row>
    <row r="168" spans="2:17" ht="15.5" customHeight="1" x14ac:dyDescent="0.35">
      <c r="B168" s="67">
        <v>45398</v>
      </c>
      <c r="C168" s="91">
        <v>1</v>
      </c>
      <c r="D168" s="95" t="s">
        <v>152</v>
      </c>
      <c r="E168" s="95"/>
      <c r="F168" s="93">
        <v>250000</v>
      </c>
      <c r="G168" s="91" t="s">
        <v>21</v>
      </c>
      <c r="H168" s="91">
        <v>1</v>
      </c>
      <c r="I168" s="61">
        <f>$H168*$F168</f>
        <v>250000</v>
      </c>
      <c r="J168" s="62"/>
      <c r="K168" s="44"/>
      <c r="L168" s="44"/>
      <c r="M168" s="62"/>
      <c r="N168" s="44"/>
      <c r="O168" s="44"/>
      <c r="P168" s="44"/>
      <c r="Q168" s="44"/>
    </row>
    <row r="169" spans="2:17" ht="15.5" customHeight="1" x14ac:dyDescent="0.35">
      <c r="B169" s="67">
        <v>45402</v>
      </c>
      <c r="C169" s="91">
        <v>2</v>
      </c>
      <c r="D169" s="95" t="s">
        <v>155</v>
      </c>
      <c r="E169" s="95"/>
      <c r="F169" s="93">
        <v>250000</v>
      </c>
      <c r="G169" s="91" t="s">
        <v>21</v>
      </c>
      <c r="H169" s="91">
        <v>1</v>
      </c>
      <c r="I169" s="61">
        <f>$H169*$F169</f>
        <v>250000</v>
      </c>
      <c r="J169" s="62"/>
      <c r="K169" s="44"/>
      <c r="L169" s="44"/>
      <c r="M169" s="62"/>
      <c r="N169" s="44"/>
      <c r="O169" s="44"/>
      <c r="P169" s="44"/>
      <c r="Q169" s="44"/>
    </row>
    <row r="170" spans="2:17" ht="15.5" customHeight="1" x14ac:dyDescent="0.35">
      <c r="B170" s="67"/>
      <c r="C170" s="91"/>
      <c r="D170" s="97" t="s">
        <v>158</v>
      </c>
      <c r="E170" s="97"/>
      <c r="F170" s="93"/>
      <c r="G170" s="91"/>
      <c r="H170" s="91"/>
      <c r="I170" s="62"/>
      <c r="J170" s="62"/>
      <c r="K170" s="44"/>
      <c r="L170" s="44"/>
      <c r="M170" s="62"/>
      <c r="N170" s="44"/>
      <c r="O170" s="44"/>
      <c r="P170" s="44"/>
      <c r="Q170" s="44"/>
    </row>
    <row r="171" spans="2:17" ht="15.5" customHeight="1" x14ac:dyDescent="0.35">
      <c r="B171" s="67">
        <v>45402</v>
      </c>
      <c r="C171" s="91">
        <v>3</v>
      </c>
      <c r="D171" s="95" t="s">
        <v>203</v>
      </c>
      <c r="E171" s="95"/>
      <c r="F171" s="93">
        <v>250000</v>
      </c>
      <c r="G171" s="91" t="s">
        <v>21</v>
      </c>
      <c r="H171" s="91">
        <v>1</v>
      </c>
      <c r="I171" s="62">
        <f>F171</f>
        <v>250000</v>
      </c>
      <c r="J171" s="62"/>
      <c r="K171" s="44"/>
      <c r="L171" s="44"/>
      <c r="M171" s="62"/>
      <c r="N171" s="44"/>
      <c r="O171" s="44"/>
      <c r="P171" s="44"/>
      <c r="Q171" s="44"/>
    </row>
    <row r="172" spans="2:17" ht="15.5" customHeight="1" x14ac:dyDescent="0.35">
      <c r="B172" s="67"/>
      <c r="C172" s="91"/>
      <c r="D172" s="97" t="s">
        <v>168</v>
      </c>
      <c r="E172" s="97"/>
      <c r="F172" s="93"/>
      <c r="G172" s="91"/>
      <c r="H172" s="91"/>
      <c r="I172" s="62"/>
      <c r="J172" s="62"/>
      <c r="K172" s="44"/>
      <c r="L172" s="44"/>
      <c r="M172" s="62"/>
      <c r="N172" s="44"/>
      <c r="O172" s="44"/>
      <c r="P172" s="44"/>
      <c r="Q172" s="44"/>
    </row>
    <row r="173" spans="2:17" ht="15.5" customHeight="1" x14ac:dyDescent="0.35">
      <c r="B173" s="67">
        <v>45402</v>
      </c>
      <c r="C173" s="91">
        <v>4</v>
      </c>
      <c r="D173" s="95" t="s">
        <v>204</v>
      </c>
      <c r="E173" s="95"/>
      <c r="F173" s="93">
        <v>750000</v>
      </c>
      <c r="G173" s="91" t="s">
        <v>21</v>
      </c>
      <c r="H173" s="91">
        <v>1</v>
      </c>
      <c r="I173" s="62">
        <f>F173</f>
        <v>750000</v>
      </c>
      <c r="J173" s="62"/>
      <c r="K173" s="44"/>
      <c r="L173" s="44"/>
      <c r="M173" s="62"/>
      <c r="N173" s="44"/>
      <c r="O173" s="44"/>
      <c r="P173" s="44"/>
      <c r="Q173" s="44"/>
    </row>
    <row r="174" spans="2:17" ht="15.5" customHeight="1" x14ac:dyDescent="0.35">
      <c r="B174" s="67"/>
      <c r="C174" s="91"/>
      <c r="D174" s="97" t="s">
        <v>205</v>
      </c>
      <c r="E174" s="97"/>
      <c r="F174" s="93"/>
      <c r="G174" s="91"/>
      <c r="H174" s="91"/>
      <c r="I174" s="62"/>
      <c r="J174" s="62"/>
      <c r="K174" s="44"/>
      <c r="L174" s="44"/>
      <c r="M174" s="62"/>
      <c r="N174" s="44"/>
      <c r="O174" s="44"/>
      <c r="P174" s="44"/>
      <c r="Q174" s="44"/>
    </row>
    <row r="175" spans="2:17" ht="15.5" customHeight="1" x14ac:dyDescent="0.35">
      <c r="B175" s="67">
        <v>45385</v>
      </c>
      <c r="C175" s="91">
        <v>5</v>
      </c>
      <c r="D175" s="95" t="s">
        <v>206</v>
      </c>
      <c r="E175" s="95"/>
      <c r="F175" s="93">
        <v>38121</v>
      </c>
      <c r="G175" s="91" t="s">
        <v>21</v>
      </c>
      <c r="H175" s="91">
        <v>1</v>
      </c>
      <c r="I175" s="61">
        <f t="shared" ref="I175:I180" si="5">$H175*$F175</f>
        <v>38121</v>
      </c>
      <c r="J175" s="62"/>
      <c r="K175" s="44"/>
      <c r="L175" s="44"/>
      <c r="M175" s="61"/>
      <c r="N175" s="44"/>
      <c r="O175" s="44"/>
      <c r="P175" s="44"/>
      <c r="Q175" s="44"/>
    </row>
    <row r="176" spans="2:17" ht="15.5" customHeight="1" x14ac:dyDescent="0.35">
      <c r="B176" s="67">
        <v>45398</v>
      </c>
      <c r="C176" s="91">
        <v>6</v>
      </c>
      <c r="D176" s="95" t="s">
        <v>207</v>
      </c>
      <c r="E176" s="95"/>
      <c r="F176" s="93">
        <v>105879</v>
      </c>
      <c r="G176" s="91" t="s">
        <v>21</v>
      </c>
      <c r="H176" s="91">
        <v>1</v>
      </c>
      <c r="I176" s="61">
        <f t="shared" si="5"/>
        <v>105879</v>
      </c>
      <c r="J176" s="62"/>
      <c r="K176" s="44"/>
      <c r="L176" s="44"/>
      <c r="M176" s="61"/>
      <c r="N176" s="44"/>
      <c r="O176" s="44"/>
      <c r="P176" s="44"/>
      <c r="Q176" s="44"/>
    </row>
    <row r="177" spans="2:17" ht="15.5" customHeight="1" x14ac:dyDescent="0.35">
      <c r="B177" s="67">
        <v>45403</v>
      </c>
      <c r="C177" s="91">
        <v>7</v>
      </c>
      <c r="D177" s="95" t="s">
        <v>208</v>
      </c>
      <c r="E177" s="95"/>
      <c r="F177" s="93">
        <v>39654</v>
      </c>
      <c r="G177" s="91" t="s">
        <v>21</v>
      </c>
      <c r="H177" s="91">
        <v>1</v>
      </c>
      <c r="I177" s="61">
        <f t="shared" si="5"/>
        <v>39654</v>
      </c>
      <c r="J177" s="62"/>
      <c r="K177" s="44"/>
      <c r="L177" s="44"/>
      <c r="M177" s="44"/>
      <c r="N177" s="44"/>
      <c r="O177" s="44"/>
      <c r="P177" s="44"/>
      <c r="Q177" s="44"/>
    </row>
    <row r="178" spans="2:17" ht="15.5" customHeight="1" x14ac:dyDescent="0.35">
      <c r="B178" s="67">
        <v>45403</v>
      </c>
      <c r="C178" s="91">
        <v>8</v>
      </c>
      <c r="D178" s="95" t="s">
        <v>209</v>
      </c>
      <c r="E178" s="95"/>
      <c r="F178" s="93">
        <v>39654</v>
      </c>
      <c r="G178" s="91" t="s">
        <v>21</v>
      </c>
      <c r="H178" s="91">
        <v>1</v>
      </c>
      <c r="I178" s="61">
        <f t="shared" si="5"/>
        <v>39654</v>
      </c>
      <c r="J178" s="62"/>
      <c r="K178" s="44"/>
      <c r="L178" s="44"/>
      <c r="M178" s="61"/>
      <c r="N178" s="44"/>
      <c r="O178" s="44"/>
      <c r="P178" s="44"/>
      <c r="Q178" s="44"/>
    </row>
    <row r="179" spans="2:17" ht="15.5" customHeight="1" x14ac:dyDescent="0.35">
      <c r="B179" s="67">
        <v>45405</v>
      </c>
      <c r="C179" s="91">
        <v>9</v>
      </c>
      <c r="D179" s="95" t="s">
        <v>210</v>
      </c>
      <c r="E179" s="95"/>
      <c r="F179" s="93">
        <v>18000</v>
      </c>
      <c r="G179" s="91" t="s">
        <v>21</v>
      </c>
      <c r="H179" s="91">
        <v>1</v>
      </c>
      <c r="I179" s="61">
        <f t="shared" si="5"/>
        <v>18000</v>
      </c>
      <c r="J179" s="62"/>
      <c r="K179" s="44"/>
      <c r="L179" s="44"/>
      <c r="M179" s="44"/>
      <c r="N179" s="44"/>
      <c r="O179" s="44"/>
      <c r="P179" s="44"/>
      <c r="Q179" s="44"/>
    </row>
    <row r="180" spans="2:17" ht="15.5" customHeight="1" x14ac:dyDescent="0.35">
      <c r="B180" s="67">
        <v>45407</v>
      </c>
      <c r="C180" s="91">
        <v>6</v>
      </c>
      <c r="D180" s="95" t="s">
        <v>211</v>
      </c>
      <c r="E180" s="95"/>
      <c r="F180" s="93">
        <v>167297</v>
      </c>
      <c r="G180" s="91" t="s">
        <v>21</v>
      </c>
      <c r="H180" s="91">
        <v>1</v>
      </c>
      <c r="I180" s="61">
        <f t="shared" si="5"/>
        <v>167297</v>
      </c>
      <c r="J180" s="62"/>
      <c r="K180" s="44"/>
      <c r="L180" s="44"/>
      <c r="M180" s="44"/>
      <c r="N180" s="61"/>
      <c r="O180" s="44"/>
      <c r="P180" s="44"/>
      <c r="Q180" s="44"/>
    </row>
    <row r="181" spans="2:17" ht="15.5" customHeight="1" x14ac:dyDescent="0.35">
      <c r="B181" s="67"/>
      <c r="C181" s="91"/>
      <c r="D181" s="97" t="s">
        <v>168</v>
      </c>
      <c r="E181" s="97"/>
      <c r="F181" s="93"/>
      <c r="G181" s="91"/>
      <c r="H181" s="91"/>
      <c r="I181" s="44"/>
      <c r="J181" s="44"/>
      <c r="K181" s="44"/>
      <c r="L181" s="44"/>
      <c r="M181" s="44"/>
      <c r="N181" s="44"/>
      <c r="O181" s="44"/>
      <c r="P181" s="44"/>
      <c r="Q181" s="44"/>
    </row>
    <row r="182" spans="2:17" ht="15.5" customHeight="1" x14ac:dyDescent="0.35">
      <c r="B182" s="67">
        <v>45402</v>
      </c>
      <c r="C182" s="91">
        <v>10</v>
      </c>
      <c r="D182" s="95" t="s">
        <v>212</v>
      </c>
      <c r="E182" s="95"/>
      <c r="F182" s="93">
        <v>160000</v>
      </c>
      <c r="G182" s="91" t="s">
        <v>21</v>
      </c>
      <c r="H182" s="91">
        <v>1</v>
      </c>
      <c r="I182" s="61">
        <f>F182</f>
        <v>160000</v>
      </c>
      <c r="J182" s="44"/>
      <c r="K182" s="44"/>
      <c r="L182" s="44"/>
      <c r="M182" s="44"/>
      <c r="N182" s="44"/>
      <c r="O182" s="44"/>
      <c r="P182" s="44"/>
      <c r="Q182" s="44"/>
    </row>
    <row r="183" spans="2:17" ht="15.5" customHeight="1" x14ac:dyDescent="0.35">
      <c r="B183" s="67"/>
      <c r="C183" s="91"/>
      <c r="D183" s="97" t="s">
        <v>171</v>
      </c>
      <c r="E183" s="97"/>
      <c r="F183" s="93"/>
      <c r="G183" s="91"/>
      <c r="H183" s="91"/>
      <c r="I183" s="104"/>
      <c r="J183" s="44"/>
      <c r="K183" s="44"/>
      <c r="L183" s="44"/>
      <c r="M183" s="44"/>
      <c r="N183" s="44"/>
      <c r="O183" s="44"/>
      <c r="P183" s="44"/>
      <c r="Q183" s="44"/>
    </row>
    <row r="184" spans="2:17" ht="15.5" customHeight="1" x14ac:dyDescent="0.35">
      <c r="B184" s="67"/>
      <c r="C184" s="91">
        <v>1</v>
      </c>
      <c r="D184" s="95" t="s">
        <v>213</v>
      </c>
      <c r="E184" s="95"/>
      <c r="F184" s="93">
        <v>500</v>
      </c>
      <c r="G184" s="91" t="s">
        <v>173</v>
      </c>
      <c r="H184" s="100">
        <v>16207</v>
      </c>
      <c r="I184" s="62">
        <f>H184*F184</f>
        <v>8103500</v>
      </c>
      <c r="J184" s="44"/>
      <c r="K184" s="44"/>
      <c r="L184" s="44"/>
      <c r="M184" s="44"/>
      <c r="N184" s="44"/>
      <c r="O184" s="44"/>
      <c r="P184" s="44"/>
      <c r="Q184" s="44"/>
    </row>
    <row r="185" spans="2:17" ht="15.5" customHeight="1" x14ac:dyDescent="0.35">
      <c r="B185" s="78" t="s">
        <v>214</v>
      </c>
      <c r="C185" s="85" t="s">
        <v>2</v>
      </c>
      <c r="D185" s="86" t="s">
        <v>215</v>
      </c>
      <c r="E185" s="86"/>
      <c r="F185" s="87"/>
      <c r="G185" s="73"/>
      <c r="H185" s="73"/>
      <c r="I185" s="90"/>
      <c r="J185" s="90"/>
      <c r="K185" s="78"/>
      <c r="L185" s="78"/>
      <c r="M185" s="78"/>
      <c r="N185" s="78"/>
      <c r="O185" s="78"/>
      <c r="P185" s="78"/>
      <c r="Q185" s="78"/>
    </row>
    <row r="186" spans="2:17" ht="15.5" customHeight="1" x14ac:dyDescent="0.35">
      <c r="B186" s="24"/>
      <c r="C186" s="91"/>
      <c r="D186" s="92" t="s">
        <v>149</v>
      </c>
      <c r="E186" s="92"/>
      <c r="F186" s="93"/>
      <c r="G186" s="91"/>
      <c r="H186" s="91"/>
      <c r="I186" s="105"/>
      <c r="J186" s="62"/>
      <c r="K186" s="44"/>
      <c r="L186" s="44"/>
      <c r="M186" s="61"/>
      <c r="N186" s="44"/>
      <c r="O186" s="44"/>
      <c r="P186" s="44"/>
      <c r="Q186" s="44"/>
    </row>
    <row r="187" spans="2:17" ht="15.5" customHeight="1" x14ac:dyDescent="0.35">
      <c r="B187" s="67">
        <v>45408</v>
      </c>
      <c r="C187" s="91">
        <v>1</v>
      </c>
      <c r="D187" s="95" t="s">
        <v>216</v>
      </c>
      <c r="E187" s="95"/>
      <c r="F187" s="93">
        <v>284308</v>
      </c>
      <c r="G187" s="91" t="s">
        <v>21</v>
      </c>
      <c r="H187" s="91">
        <v>1</v>
      </c>
      <c r="I187" s="61">
        <f>$H187*$F187</f>
        <v>284308</v>
      </c>
      <c r="J187" s="62"/>
      <c r="K187" s="44"/>
      <c r="L187" s="44"/>
      <c r="M187" s="61"/>
      <c r="N187" s="44"/>
      <c r="O187" s="44"/>
      <c r="P187" s="44"/>
      <c r="Q187" s="44"/>
    </row>
    <row r="188" spans="2:17" ht="15.5" customHeight="1" x14ac:dyDescent="0.35">
      <c r="B188" s="67">
        <v>45410</v>
      </c>
      <c r="C188" s="91">
        <v>2</v>
      </c>
      <c r="D188" s="95" t="s">
        <v>217</v>
      </c>
      <c r="E188" s="95"/>
      <c r="F188" s="93">
        <v>298000</v>
      </c>
      <c r="G188" s="91" t="s">
        <v>21</v>
      </c>
      <c r="H188" s="91">
        <v>1</v>
      </c>
      <c r="I188" s="61">
        <f>$H188*$F188</f>
        <v>298000</v>
      </c>
      <c r="J188" s="62"/>
      <c r="K188" s="44"/>
      <c r="L188" s="44"/>
      <c r="M188" s="44"/>
      <c r="N188" s="44"/>
      <c r="O188" s="44"/>
      <c r="P188" s="44"/>
      <c r="Q188" s="44"/>
    </row>
    <row r="189" spans="2:17" ht="15.5" customHeight="1" x14ac:dyDescent="0.35">
      <c r="B189" s="67"/>
      <c r="C189" s="91"/>
      <c r="D189" s="97" t="s">
        <v>158</v>
      </c>
      <c r="E189" s="97"/>
      <c r="F189" s="93"/>
      <c r="G189" s="91"/>
      <c r="H189" s="91"/>
      <c r="I189" s="62"/>
      <c r="J189" s="62"/>
      <c r="K189" s="44"/>
      <c r="L189" s="44"/>
      <c r="M189" s="44"/>
      <c r="N189" s="61"/>
      <c r="O189" s="44"/>
      <c r="P189" s="44"/>
      <c r="Q189" s="44"/>
    </row>
    <row r="190" spans="2:17" ht="15.5" customHeight="1" x14ac:dyDescent="0.35">
      <c r="B190" s="67">
        <v>45410</v>
      </c>
      <c r="C190" s="91">
        <v>3</v>
      </c>
      <c r="D190" s="95" t="s">
        <v>218</v>
      </c>
      <c r="E190" s="95"/>
      <c r="F190" s="93">
        <v>1357481</v>
      </c>
      <c r="G190" s="91" t="s">
        <v>21</v>
      </c>
      <c r="H190" s="91">
        <v>1</v>
      </c>
      <c r="I190" s="61">
        <f>F190</f>
        <v>1357481</v>
      </c>
      <c r="J190" s="62"/>
      <c r="K190" s="44"/>
      <c r="L190" s="44"/>
      <c r="M190" s="44"/>
      <c r="N190" s="61"/>
      <c r="O190" s="44"/>
      <c r="P190" s="44"/>
      <c r="Q190" s="44"/>
    </row>
    <row r="191" spans="2:17" ht="15.5" customHeight="1" x14ac:dyDescent="0.35">
      <c r="B191" s="67">
        <v>45410</v>
      </c>
      <c r="C191" s="91">
        <v>4</v>
      </c>
      <c r="D191" s="95" t="s">
        <v>219</v>
      </c>
      <c r="E191" s="95"/>
      <c r="F191" s="93">
        <v>100000</v>
      </c>
      <c r="G191" s="91" t="s">
        <v>21</v>
      </c>
      <c r="H191" s="91">
        <v>1</v>
      </c>
      <c r="I191" s="61">
        <f>F191</f>
        <v>100000</v>
      </c>
      <c r="J191" s="62"/>
      <c r="K191" s="44"/>
      <c r="L191" s="44"/>
      <c r="M191" s="44"/>
      <c r="N191" s="61"/>
      <c r="O191" s="44"/>
      <c r="P191" s="44"/>
      <c r="Q191" s="44"/>
    </row>
    <row r="192" spans="2:17" ht="15.5" customHeight="1" x14ac:dyDescent="0.35">
      <c r="B192" s="67"/>
      <c r="C192" s="91"/>
      <c r="D192" s="97" t="s">
        <v>168</v>
      </c>
      <c r="E192" s="97"/>
      <c r="F192" s="93"/>
      <c r="G192" s="91"/>
      <c r="H192" s="91"/>
      <c r="I192" s="61"/>
      <c r="J192" s="62"/>
      <c r="K192" s="44"/>
      <c r="L192" s="44"/>
      <c r="M192" s="44"/>
      <c r="N192" s="61"/>
      <c r="O192" s="44"/>
      <c r="P192" s="44"/>
      <c r="Q192" s="44"/>
    </row>
    <row r="193" spans="2:17" ht="15.5" customHeight="1" x14ac:dyDescent="0.35">
      <c r="B193" s="67">
        <v>45410</v>
      </c>
      <c r="C193" s="91">
        <v>6</v>
      </c>
      <c r="D193" s="95" t="s">
        <v>220</v>
      </c>
      <c r="E193" s="95"/>
      <c r="F193" s="93">
        <v>300000</v>
      </c>
      <c r="G193" s="91" t="s">
        <v>21</v>
      </c>
      <c r="H193" s="91">
        <v>1</v>
      </c>
      <c r="I193" s="61">
        <f>F193</f>
        <v>300000</v>
      </c>
      <c r="J193" s="62"/>
      <c r="K193" s="44"/>
      <c r="L193" s="44"/>
      <c r="M193" s="44"/>
      <c r="N193" s="61"/>
      <c r="O193" s="44"/>
      <c r="P193" s="44"/>
      <c r="Q193" s="44"/>
    </row>
    <row r="194" spans="2:17" ht="15.5" customHeight="1" x14ac:dyDescent="0.35">
      <c r="B194" s="67"/>
      <c r="C194" s="91"/>
      <c r="D194" s="97" t="s">
        <v>171</v>
      </c>
      <c r="E194" s="97"/>
      <c r="F194" s="93"/>
      <c r="G194" s="91"/>
      <c r="H194" s="91"/>
      <c r="I194" s="44"/>
      <c r="J194" s="62"/>
      <c r="K194" s="44"/>
      <c r="L194" s="44"/>
      <c r="M194" s="44"/>
      <c r="N194" s="44"/>
      <c r="O194" s="44"/>
      <c r="P194" s="44"/>
      <c r="Q194" s="44"/>
    </row>
    <row r="195" spans="2:17" ht="15.5" customHeight="1" x14ac:dyDescent="0.35">
      <c r="B195" s="67">
        <v>45410</v>
      </c>
      <c r="C195" s="91">
        <v>7</v>
      </c>
      <c r="D195" s="95" t="s">
        <v>221</v>
      </c>
      <c r="E195" s="95"/>
      <c r="F195" s="93">
        <v>200</v>
      </c>
      <c r="G195" s="91" t="s">
        <v>173</v>
      </c>
      <c r="H195" s="100">
        <v>16257</v>
      </c>
      <c r="I195" s="62">
        <f>H195*F195</f>
        <v>3251400</v>
      </c>
      <c r="J195" s="62"/>
      <c r="K195" s="44"/>
      <c r="L195" s="44"/>
      <c r="M195" s="44"/>
      <c r="N195" s="44"/>
      <c r="O195" s="44"/>
      <c r="P195" s="44"/>
      <c r="Q195" s="44"/>
    </row>
    <row r="196" spans="2:17" ht="15.5" customHeight="1" x14ac:dyDescent="0.35">
      <c r="B196" s="78" t="s">
        <v>222</v>
      </c>
      <c r="C196" s="85" t="s">
        <v>2</v>
      </c>
      <c r="D196" s="86" t="s">
        <v>223</v>
      </c>
      <c r="E196" s="86"/>
      <c r="F196" s="87"/>
      <c r="G196" s="73"/>
      <c r="H196" s="73"/>
      <c r="I196" s="78"/>
      <c r="J196" s="90"/>
      <c r="K196" s="78"/>
      <c r="L196" s="78"/>
      <c r="M196" s="101"/>
      <c r="N196" s="78"/>
      <c r="O196" s="78"/>
      <c r="P196" s="78"/>
      <c r="Q196" s="78"/>
    </row>
    <row r="197" spans="2:17" ht="15.5" customHeight="1" x14ac:dyDescent="0.35">
      <c r="B197" s="14"/>
      <c r="C197" s="15"/>
      <c r="D197" s="106" t="s">
        <v>149</v>
      </c>
      <c r="E197" s="106"/>
      <c r="F197" s="21"/>
      <c r="G197" s="15"/>
      <c r="H197" s="15"/>
      <c r="I197" s="62"/>
      <c r="J197" s="62"/>
      <c r="K197" s="44"/>
      <c r="L197" s="44"/>
      <c r="M197" s="62"/>
      <c r="N197" s="44"/>
      <c r="O197" s="44"/>
      <c r="P197" s="44"/>
      <c r="Q197" s="44"/>
    </row>
    <row r="198" spans="2:17" ht="15.5" customHeight="1" x14ac:dyDescent="0.35">
      <c r="B198" s="102">
        <v>45418</v>
      </c>
      <c r="C198" s="15">
        <v>1</v>
      </c>
      <c r="D198" s="18" t="s">
        <v>224</v>
      </c>
      <c r="E198" s="18"/>
      <c r="F198" s="21">
        <v>1387800</v>
      </c>
      <c r="G198" s="15" t="s">
        <v>21</v>
      </c>
      <c r="H198" s="15">
        <v>1</v>
      </c>
      <c r="I198" s="61">
        <f>$H198*$F198</f>
        <v>1387800</v>
      </c>
      <c r="J198" s="62"/>
      <c r="K198" s="44"/>
      <c r="L198" s="44"/>
      <c r="M198" s="61"/>
      <c r="N198" s="44"/>
      <c r="O198" s="44"/>
      <c r="P198" s="44"/>
      <c r="Q198" s="44"/>
    </row>
    <row r="199" spans="2:17" ht="15.5" customHeight="1" x14ac:dyDescent="0.35">
      <c r="B199" s="102"/>
      <c r="C199" s="15"/>
      <c r="D199" s="106" t="s">
        <v>149</v>
      </c>
      <c r="E199" s="106"/>
      <c r="F199" s="21"/>
      <c r="G199" s="15"/>
      <c r="H199" s="15"/>
      <c r="I199" s="62"/>
      <c r="J199" s="62"/>
      <c r="K199" s="44"/>
      <c r="L199" s="44"/>
      <c r="M199" s="62"/>
      <c r="N199" s="44"/>
      <c r="O199" s="44"/>
      <c r="P199" s="44"/>
      <c r="Q199" s="44"/>
    </row>
    <row r="200" spans="2:17" ht="15.5" customHeight="1" x14ac:dyDescent="0.35">
      <c r="B200" s="107">
        <v>45419</v>
      </c>
      <c r="C200" s="15">
        <v>2</v>
      </c>
      <c r="D200" s="63" t="s">
        <v>225</v>
      </c>
      <c r="E200" s="63"/>
      <c r="F200" s="21">
        <f>55000+179140</f>
        <v>234140</v>
      </c>
      <c r="G200" s="15" t="s">
        <v>21</v>
      </c>
      <c r="H200" s="15">
        <v>1</v>
      </c>
      <c r="I200" s="61">
        <f>$H200*$F200</f>
        <v>234140</v>
      </c>
      <c r="J200" s="62"/>
      <c r="K200" s="44"/>
      <c r="L200" s="44"/>
      <c r="M200" s="61"/>
      <c r="N200" s="44"/>
      <c r="O200" s="44"/>
      <c r="P200" s="44"/>
      <c r="Q200" s="44"/>
    </row>
    <row r="201" spans="2:17" ht="15.5" customHeight="1" x14ac:dyDescent="0.35">
      <c r="B201" s="102">
        <v>45419</v>
      </c>
      <c r="C201" s="15">
        <v>3</v>
      </c>
      <c r="D201" s="63" t="s">
        <v>226</v>
      </c>
      <c r="E201" s="63"/>
      <c r="F201" s="21">
        <f>5000+200000+27000</f>
        <v>232000</v>
      </c>
      <c r="G201" s="15" t="s">
        <v>21</v>
      </c>
      <c r="H201" s="15">
        <v>1</v>
      </c>
      <c r="I201" s="61">
        <f>$H201*$F201</f>
        <v>232000</v>
      </c>
      <c r="J201" s="44"/>
      <c r="K201" s="44"/>
      <c r="L201" s="44"/>
      <c r="M201" s="44"/>
      <c r="N201" s="44"/>
      <c r="O201" s="44"/>
      <c r="P201" s="44"/>
      <c r="Q201" s="44"/>
    </row>
    <row r="202" spans="2:17" ht="15.5" customHeight="1" x14ac:dyDescent="0.35">
      <c r="B202" s="102">
        <v>45420</v>
      </c>
      <c r="C202" s="15">
        <v>4</v>
      </c>
      <c r="D202" s="63" t="s">
        <v>227</v>
      </c>
      <c r="E202" s="63"/>
      <c r="F202" s="21">
        <f>1.5*400000</f>
        <v>600000</v>
      </c>
      <c r="G202" s="15" t="s">
        <v>21</v>
      </c>
      <c r="H202" s="15">
        <v>1</v>
      </c>
      <c r="I202" s="61">
        <f>$H202*$F202</f>
        <v>600000</v>
      </c>
      <c r="J202" s="62"/>
      <c r="K202" s="44"/>
      <c r="L202" s="44"/>
      <c r="M202" s="44"/>
      <c r="N202" s="44"/>
      <c r="O202" s="44"/>
      <c r="P202" s="44"/>
      <c r="Q202" s="44"/>
    </row>
    <row r="203" spans="2:17" ht="15.5" customHeight="1" x14ac:dyDescent="0.35">
      <c r="B203" s="102">
        <v>45420</v>
      </c>
      <c r="C203" s="15">
        <v>5</v>
      </c>
      <c r="D203" s="63" t="s">
        <v>228</v>
      </c>
      <c r="E203" s="63"/>
      <c r="F203" s="21">
        <v>27000</v>
      </c>
      <c r="G203" s="15" t="s">
        <v>21</v>
      </c>
      <c r="H203" s="15">
        <v>1</v>
      </c>
      <c r="I203" s="61">
        <f>$H203*$F203</f>
        <v>27000</v>
      </c>
      <c r="J203" s="62"/>
      <c r="K203" s="44"/>
      <c r="L203" s="44"/>
      <c r="M203" s="44"/>
      <c r="N203" s="44"/>
      <c r="O203" s="44"/>
      <c r="P203" s="44"/>
      <c r="Q203" s="44"/>
    </row>
    <row r="204" spans="2:17" ht="15.5" customHeight="1" x14ac:dyDescent="0.35">
      <c r="B204" s="102">
        <v>45421</v>
      </c>
      <c r="C204" s="15">
        <v>6</v>
      </c>
      <c r="D204" s="63" t="s">
        <v>229</v>
      </c>
      <c r="E204" s="63"/>
      <c r="F204" s="21">
        <f>55000+221900</f>
        <v>276900</v>
      </c>
      <c r="G204" s="15" t="s">
        <v>21</v>
      </c>
      <c r="H204" s="15">
        <v>1</v>
      </c>
      <c r="I204" s="61">
        <f>$H204*$F204</f>
        <v>276900</v>
      </c>
      <c r="J204" s="62"/>
      <c r="K204" s="44"/>
      <c r="L204" s="44"/>
      <c r="M204" s="44"/>
      <c r="N204" s="44"/>
      <c r="O204" s="44"/>
      <c r="P204" s="44"/>
      <c r="Q204" s="44"/>
    </row>
    <row r="205" spans="2:17" ht="15.5" customHeight="1" x14ac:dyDescent="0.35">
      <c r="B205" s="102"/>
      <c r="C205" s="15"/>
      <c r="D205" s="108" t="s">
        <v>158</v>
      </c>
      <c r="E205" s="108"/>
      <c r="F205" s="21"/>
      <c r="G205" s="15"/>
      <c r="H205" s="15"/>
      <c r="I205" s="61"/>
      <c r="J205" s="62"/>
      <c r="K205" s="44"/>
      <c r="L205" s="44"/>
      <c r="M205" s="44"/>
      <c r="N205" s="44"/>
      <c r="O205" s="44"/>
      <c r="P205" s="44"/>
      <c r="Q205" s="44"/>
    </row>
    <row r="206" spans="2:17" ht="15.5" customHeight="1" x14ac:dyDescent="0.35">
      <c r="B206" s="102">
        <v>45420</v>
      </c>
      <c r="C206" s="15">
        <v>7</v>
      </c>
      <c r="D206" s="63" t="s">
        <v>230</v>
      </c>
      <c r="E206" s="63"/>
      <c r="F206" s="21">
        <f>3*120000</f>
        <v>360000</v>
      </c>
      <c r="G206" s="15" t="s">
        <v>21</v>
      </c>
      <c r="H206" s="15">
        <v>1</v>
      </c>
      <c r="I206" s="109">
        <f>F206</f>
        <v>360000</v>
      </c>
      <c r="J206" s="62"/>
      <c r="K206" s="44"/>
      <c r="L206" s="44"/>
      <c r="M206" s="44"/>
      <c r="N206" s="44"/>
      <c r="O206" s="44"/>
      <c r="P206" s="44"/>
      <c r="Q206" s="44"/>
    </row>
    <row r="207" spans="2:17" ht="15.5" customHeight="1" x14ac:dyDescent="0.35">
      <c r="B207" s="102"/>
      <c r="C207" s="15"/>
      <c r="D207" s="108" t="s">
        <v>168</v>
      </c>
      <c r="E207" s="108"/>
      <c r="F207" s="21"/>
      <c r="G207" s="15"/>
      <c r="H207" s="15"/>
      <c r="I207" s="109"/>
      <c r="J207" s="62"/>
      <c r="K207" s="44"/>
      <c r="L207" s="44"/>
      <c r="M207" s="44"/>
      <c r="N207" s="44"/>
      <c r="O207" s="44"/>
      <c r="P207" s="44"/>
      <c r="Q207" s="44"/>
    </row>
    <row r="208" spans="2:17" ht="15.5" customHeight="1" x14ac:dyDescent="0.35">
      <c r="B208" s="102">
        <v>45419</v>
      </c>
      <c r="C208" s="15">
        <v>8</v>
      </c>
      <c r="D208" s="63" t="s">
        <v>231</v>
      </c>
      <c r="E208" s="63"/>
      <c r="F208" s="21">
        <v>103400</v>
      </c>
      <c r="G208" s="15" t="s">
        <v>21</v>
      </c>
      <c r="H208" s="15">
        <v>1</v>
      </c>
      <c r="I208" s="62">
        <f>F208</f>
        <v>103400</v>
      </c>
      <c r="J208" s="62"/>
      <c r="K208" s="44"/>
      <c r="L208" s="44"/>
      <c r="M208" s="44"/>
      <c r="N208" s="44"/>
      <c r="O208" s="44"/>
      <c r="P208" s="44"/>
      <c r="Q208" s="44"/>
    </row>
    <row r="209" spans="2:17" ht="15.5" customHeight="1" x14ac:dyDescent="0.35">
      <c r="B209" s="78" t="s">
        <v>232</v>
      </c>
      <c r="C209" s="85" t="s">
        <v>2</v>
      </c>
      <c r="D209" s="86" t="s">
        <v>233</v>
      </c>
      <c r="E209" s="86"/>
      <c r="F209" s="110"/>
      <c r="G209" s="73"/>
      <c r="H209" s="73"/>
      <c r="I209" s="78"/>
      <c r="J209" s="78"/>
      <c r="K209" s="78"/>
      <c r="L209" s="78"/>
      <c r="M209" s="78"/>
      <c r="N209" s="78"/>
      <c r="O209" s="78"/>
      <c r="P209" s="78"/>
      <c r="Q209" s="78"/>
    </row>
    <row r="210" spans="2:17" ht="15.5" customHeight="1" x14ac:dyDescent="0.35">
      <c r="B210" s="102"/>
      <c r="C210" s="15"/>
      <c r="D210" s="106" t="s">
        <v>149</v>
      </c>
      <c r="E210" s="106"/>
      <c r="F210" s="21"/>
      <c r="G210" s="15"/>
      <c r="H210" s="15"/>
      <c r="I210" s="44"/>
      <c r="J210" s="44"/>
      <c r="K210" s="44"/>
      <c r="L210" s="44"/>
      <c r="M210" s="44"/>
      <c r="N210" s="44"/>
      <c r="O210" s="44"/>
      <c r="P210" s="44"/>
      <c r="Q210" s="44"/>
    </row>
    <row r="211" spans="2:17" ht="15.5" customHeight="1" x14ac:dyDescent="0.35">
      <c r="B211" s="102">
        <v>45403</v>
      </c>
      <c r="C211" s="15">
        <v>1</v>
      </c>
      <c r="D211" s="63" t="s">
        <v>234</v>
      </c>
      <c r="E211" s="63"/>
      <c r="F211" s="21">
        <v>255500</v>
      </c>
      <c r="G211" s="15" t="s">
        <v>21</v>
      </c>
      <c r="H211" s="15">
        <v>1</v>
      </c>
      <c r="I211" s="61">
        <f>$H211*$F211</f>
        <v>255500</v>
      </c>
      <c r="J211" s="62"/>
      <c r="K211" s="44"/>
      <c r="L211" s="44"/>
      <c r="M211" s="44"/>
      <c r="N211" s="44"/>
      <c r="O211" s="44"/>
      <c r="P211" s="44"/>
      <c r="Q211" s="44"/>
    </row>
    <row r="212" spans="2:17" ht="15.5" customHeight="1" x14ac:dyDescent="0.35">
      <c r="B212" s="102">
        <v>45403</v>
      </c>
      <c r="C212" s="15">
        <v>2</v>
      </c>
      <c r="D212" s="63" t="s">
        <v>235</v>
      </c>
      <c r="E212" s="63"/>
      <c r="F212" s="21">
        <v>150000</v>
      </c>
      <c r="G212" s="15" t="s">
        <v>21</v>
      </c>
      <c r="H212" s="15">
        <v>1</v>
      </c>
      <c r="I212" s="61">
        <f>$H212*$F212</f>
        <v>150000</v>
      </c>
      <c r="J212" s="62"/>
      <c r="K212" s="44"/>
      <c r="L212" s="44"/>
      <c r="M212" s="44"/>
      <c r="N212" s="44"/>
      <c r="O212" s="44"/>
      <c r="P212" s="44"/>
      <c r="Q212" s="44"/>
    </row>
    <row r="213" spans="2:17" ht="15.5" customHeight="1" x14ac:dyDescent="0.35">
      <c r="B213" s="102"/>
      <c r="C213" s="15"/>
      <c r="D213" s="108" t="s">
        <v>158</v>
      </c>
      <c r="E213" s="108"/>
      <c r="F213" s="21"/>
      <c r="G213" s="15"/>
      <c r="H213" s="15"/>
      <c r="I213" s="62"/>
      <c r="J213" s="62"/>
      <c r="K213" s="44"/>
      <c r="L213" s="44"/>
      <c r="M213" s="44"/>
      <c r="N213" s="44"/>
      <c r="O213" s="44"/>
      <c r="P213" s="44"/>
      <c r="Q213" s="44"/>
    </row>
    <row r="214" spans="2:17" ht="15.5" customHeight="1" x14ac:dyDescent="0.35">
      <c r="B214" s="102">
        <v>45403</v>
      </c>
      <c r="C214" s="15">
        <v>3</v>
      </c>
      <c r="D214" s="63" t="s">
        <v>236</v>
      </c>
      <c r="E214" s="63"/>
      <c r="F214" s="21">
        <v>150000</v>
      </c>
      <c r="G214" s="15" t="s">
        <v>21</v>
      </c>
      <c r="H214" s="15">
        <v>1</v>
      </c>
      <c r="I214" s="62">
        <f>F214</f>
        <v>150000</v>
      </c>
      <c r="J214" s="62"/>
      <c r="K214" s="44"/>
      <c r="L214" s="44"/>
      <c r="M214" s="44"/>
      <c r="N214" s="44"/>
      <c r="O214" s="44"/>
      <c r="P214" s="44"/>
      <c r="Q214" s="44"/>
    </row>
    <row r="215" spans="2:17" ht="15.5" customHeight="1" x14ac:dyDescent="0.35">
      <c r="B215" s="102"/>
      <c r="C215" s="15"/>
      <c r="D215" s="108" t="s">
        <v>171</v>
      </c>
      <c r="E215" s="108"/>
      <c r="F215" s="21"/>
      <c r="G215" s="15"/>
      <c r="H215" s="15"/>
      <c r="I215" s="62"/>
      <c r="J215" s="62"/>
      <c r="K215" s="44"/>
      <c r="L215" s="44"/>
      <c r="M215" s="44"/>
      <c r="N215" s="44"/>
      <c r="O215" s="44"/>
      <c r="P215" s="44"/>
      <c r="Q215" s="44"/>
    </row>
    <row r="216" spans="2:17" ht="15.5" customHeight="1" x14ac:dyDescent="0.35">
      <c r="B216" s="102">
        <v>45403</v>
      </c>
      <c r="C216" s="15">
        <v>4</v>
      </c>
      <c r="D216" s="63" t="s">
        <v>237</v>
      </c>
      <c r="E216" s="63"/>
      <c r="F216" s="21">
        <f>150000*3</f>
        <v>450000</v>
      </c>
      <c r="G216" s="15" t="s">
        <v>21</v>
      </c>
      <c r="H216" s="15">
        <v>1</v>
      </c>
      <c r="I216" s="62">
        <f>F216</f>
        <v>450000</v>
      </c>
      <c r="J216" s="62"/>
      <c r="K216" s="44"/>
      <c r="L216" s="44"/>
      <c r="M216" s="44"/>
      <c r="N216" s="44"/>
      <c r="O216" s="44"/>
      <c r="P216" s="44"/>
      <c r="Q216" s="44"/>
    </row>
    <row r="217" spans="2:17" ht="15.5" customHeight="1" x14ac:dyDescent="0.35">
      <c r="B217" s="102"/>
      <c r="C217" s="15"/>
      <c r="D217" s="108" t="s">
        <v>171</v>
      </c>
      <c r="E217" s="108"/>
      <c r="F217" s="21"/>
      <c r="G217" s="15"/>
      <c r="H217" s="15"/>
      <c r="I217" s="62"/>
      <c r="J217" s="62"/>
      <c r="K217" s="44"/>
      <c r="L217" s="44"/>
      <c r="M217" s="44"/>
      <c r="N217" s="44"/>
      <c r="O217" s="44"/>
      <c r="P217" s="44"/>
      <c r="Q217" s="44"/>
    </row>
    <row r="218" spans="2:17" ht="15.5" customHeight="1" x14ac:dyDescent="0.35">
      <c r="B218" s="102">
        <v>45403</v>
      </c>
      <c r="C218" s="15">
        <v>5</v>
      </c>
      <c r="D218" s="63" t="s">
        <v>238</v>
      </c>
      <c r="E218" s="63"/>
      <c r="F218" s="21">
        <v>300</v>
      </c>
      <c r="G218" s="15" t="s">
        <v>173</v>
      </c>
      <c r="H218" s="15">
        <v>16051</v>
      </c>
      <c r="I218" s="62">
        <f>H218*F218</f>
        <v>4815300</v>
      </c>
      <c r="J218" s="62"/>
      <c r="K218" s="44"/>
      <c r="L218" s="44"/>
      <c r="M218" s="44"/>
      <c r="N218" s="44"/>
      <c r="O218" s="44"/>
      <c r="P218" s="44"/>
      <c r="Q218" s="44"/>
    </row>
    <row r="219" spans="2:17" ht="15.5" customHeight="1" x14ac:dyDescent="0.35">
      <c r="B219" s="102">
        <v>45420</v>
      </c>
      <c r="C219" s="15">
        <v>9</v>
      </c>
      <c r="D219" s="63" t="s">
        <v>231</v>
      </c>
      <c r="E219" s="63"/>
      <c r="F219" s="21">
        <v>128000</v>
      </c>
      <c r="G219" s="15" t="s">
        <v>21</v>
      </c>
      <c r="H219" s="15">
        <v>1</v>
      </c>
      <c r="I219" s="62">
        <f>F219</f>
        <v>128000</v>
      </c>
      <c r="J219" s="62"/>
      <c r="K219" s="44"/>
      <c r="L219" s="44"/>
      <c r="M219" s="44"/>
      <c r="N219" s="44"/>
      <c r="O219" s="44"/>
      <c r="P219" s="44"/>
      <c r="Q219" s="44"/>
    </row>
    <row r="220" spans="2:17" ht="15.5" customHeight="1" x14ac:dyDescent="0.35">
      <c r="B220" s="78" t="s">
        <v>239</v>
      </c>
      <c r="C220" s="85" t="s">
        <v>2</v>
      </c>
      <c r="D220" s="86" t="s">
        <v>240</v>
      </c>
      <c r="E220" s="86"/>
      <c r="F220" s="110"/>
      <c r="G220" s="73"/>
      <c r="H220" s="73"/>
      <c r="I220" s="78"/>
      <c r="J220" s="78"/>
      <c r="K220" s="78"/>
      <c r="L220" s="78"/>
      <c r="M220" s="78"/>
      <c r="N220" s="78"/>
      <c r="O220" s="78"/>
      <c r="P220" s="78"/>
      <c r="Q220" s="78"/>
    </row>
    <row r="221" spans="2:17" ht="15.5" customHeight="1" x14ac:dyDescent="0.35">
      <c r="B221" s="67"/>
      <c r="C221" s="91"/>
      <c r="D221" s="97" t="s">
        <v>158</v>
      </c>
      <c r="E221" s="97"/>
      <c r="F221" s="103"/>
      <c r="G221" s="98"/>
      <c r="H221" s="98"/>
      <c r="I221" s="44"/>
      <c r="J221" s="44"/>
      <c r="K221" s="44"/>
      <c r="L221" s="44"/>
      <c r="M221" s="44"/>
      <c r="N221" s="44"/>
      <c r="O221" s="44"/>
      <c r="P221" s="44"/>
      <c r="Q221" s="44"/>
    </row>
    <row r="222" spans="2:17" ht="15.5" customHeight="1" x14ac:dyDescent="0.35">
      <c r="B222" s="67">
        <v>45407</v>
      </c>
      <c r="C222" s="91">
        <v>1</v>
      </c>
      <c r="D222" s="95" t="s">
        <v>241</v>
      </c>
      <c r="E222" s="95"/>
      <c r="F222" s="103">
        <v>3292802</v>
      </c>
      <c r="G222" s="98" t="s">
        <v>21</v>
      </c>
      <c r="H222" s="91">
        <v>1</v>
      </c>
      <c r="I222" s="61">
        <f>$F222*$H222</f>
        <v>3292802</v>
      </c>
      <c r="J222" s="62"/>
      <c r="K222" s="44"/>
      <c r="L222" s="44"/>
      <c r="M222" s="44"/>
      <c r="N222" s="44"/>
      <c r="O222" s="44"/>
      <c r="P222" s="44"/>
      <c r="Q222" s="44"/>
    </row>
    <row r="223" spans="2:17" ht="15.5" customHeight="1" x14ac:dyDescent="0.35">
      <c r="B223" s="67">
        <v>45407</v>
      </c>
      <c r="C223" s="91">
        <v>2</v>
      </c>
      <c r="D223" s="95" t="s">
        <v>242</v>
      </c>
      <c r="E223" s="95"/>
      <c r="F223" s="103">
        <v>350000</v>
      </c>
      <c r="G223" s="98" t="s">
        <v>21</v>
      </c>
      <c r="H223" s="91">
        <v>1</v>
      </c>
      <c r="I223" s="61">
        <f>$F223*$H223</f>
        <v>350000</v>
      </c>
      <c r="J223" s="62"/>
      <c r="K223" s="44"/>
      <c r="L223" s="44"/>
      <c r="M223" s="44"/>
      <c r="N223" s="44"/>
      <c r="O223" s="44"/>
      <c r="P223" s="44"/>
      <c r="Q223" s="44"/>
    </row>
    <row r="224" spans="2:17" ht="15.5" customHeight="1" x14ac:dyDescent="0.35">
      <c r="B224" s="67"/>
      <c r="C224" s="91"/>
      <c r="D224" s="97" t="s">
        <v>162</v>
      </c>
      <c r="E224" s="97"/>
      <c r="F224" s="103"/>
      <c r="G224" s="98"/>
      <c r="H224" s="91"/>
      <c r="I224" s="62"/>
      <c r="J224" s="62"/>
      <c r="K224" s="44"/>
      <c r="L224" s="44"/>
      <c r="M224" s="44"/>
      <c r="N224" s="44"/>
      <c r="O224" s="44"/>
      <c r="P224" s="44"/>
      <c r="Q224" s="44"/>
    </row>
    <row r="225" spans="2:17" ht="15.5" customHeight="1" x14ac:dyDescent="0.35">
      <c r="B225" s="67">
        <v>45401</v>
      </c>
      <c r="C225" s="91">
        <v>3</v>
      </c>
      <c r="D225" s="98" t="s">
        <v>243</v>
      </c>
      <c r="E225" s="98"/>
      <c r="F225" s="103">
        <v>349000</v>
      </c>
      <c r="G225" s="98" t="s">
        <v>21</v>
      </c>
      <c r="H225" s="91">
        <v>1</v>
      </c>
      <c r="I225" s="62"/>
      <c r="J225" s="62"/>
      <c r="K225" s="44"/>
      <c r="L225" s="44"/>
      <c r="M225" s="44"/>
      <c r="N225" s="61">
        <f>$F225*$H225</f>
        <v>349000</v>
      </c>
      <c r="O225" s="44"/>
      <c r="P225" s="44"/>
      <c r="Q225" s="44"/>
    </row>
    <row r="226" spans="2:17" ht="15.5" customHeight="1" x14ac:dyDescent="0.35">
      <c r="B226" s="67">
        <v>45411</v>
      </c>
      <c r="C226" s="91">
        <v>4</v>
      </c>
      <c r="D226" s="98" t="s">
        <v>167</v>
      </c>
      <c r="E226" s="98"/>
      <c r="F226" s="103">
        <v>75000</v>
      </c>
      <c r="G226" s="98" t="s">
        <v>21</v>
      </c>
      <c r="H226" s="91">
        <v>1</v>
      </c>
      <c r="I226" s="61">
        <f>$F226*$H226</f>
        <v>75000</v>
      </c>
      <c r="J226" s="62"/>
      <c r="K226" s="44"/>
      <c r="L226" s="44"/>
      <c r="M226" s="44"/>
      <c r="N226" s="44"/>
      <c r="O226" s="44"/>
      <c r="P226" s="44"/>
      <c r="Q226" s="44"/>
    </row>
    <row r="227" spans="2:17" ht="15.5" customHeight="1" x14ac:dyDescent="0.35">
      <c r="B227" s="67"/>
      <c r="C227" s="91"/>
      <c r="D227" s="97" t="s">
        <v>168</v>
      </c>
      <c r="E227" s="97"/>
      <c r="F227" s="103"/>
      <c r="G227" s="98"/>
      <c r="H227" s="91"/>
      <c r="I227" s="62"/>
      <c r="J227" s="62"/>
      <c r="K227" s="44"/>
      <c r="L227" s="44"/>
      <c r="M227" s="44"/>
      <c r="N227" s="44"/>
      <c r="O227" s="44"/>
      <c r="P227" s="44"/>
      <c r="Q227" s="44"/>
    </row>
    <row r="228" spans="2:17" ht="15.5" customHeight="1" x14ac:dyDescent="0.35">
      <c r="B228" s="67">
        <v>45407</v>
      </c>
      <c r="C228" s="91">
        <v>5</v>
      </c>
      <c r="D228" s="95" t="s">
        <v>244</v>
      </c>
      <c r="E228" s="95"/>
      <c r="F228" s="99">
        <v>657000</v>
      </c>
      <c r="G228" s="98" t="s">
        <v>21</v>
      </c>
      <c r="H228" s="91">
        <v>1</v>
      </c>
      <c r="I228" s="61">
        <f>$F228*$H228</f>
        <v>657000</v>
      </c>
      <c r="J228" s="62"/>
      <c r="K228" s="44"/>
      <c r="L228" s="44"/>
      <c r="M228" s="44"/>
      <c r="N228" s="44"/>
      <c r="O228" s="44"/>
      <c r="P228" s="44"/>
      <c r="Q228" s="44"/>
    </row>
    <row r="229" spans="2:17" ht="15.5" customHeight="1" x14ac:dyDescent="0.35">
      <c r="B229" s="67"/>
      <c r="C229" s="91"/>
      <c r="D229" s="97" t="s">
        <v>168</v>
      </c>
      <c r="E229" s="97"/>
      <c r="F229" s="103"/>
      <c r="G229" s="98"/>
      <c r="H229" s="91"/>
      <c r="I229" s="62"/>
      <c r="J229" s="62"/>
      <c r="K229" s="44"/>
      <c r="L229" s="44"/>
      <c r="M229" s="44"/>
      <c r="N229" s="44"/>
      <c r="O229" s="44"/>
      <c r="P229" s="44"/>
      <c r="Q229" s="44"/>
    </row>
    <row r="230" spans="2:17" ht="15.5" customHeight="1" x14ac:dyDescent="0.35">
      <c r="B230" s="67">
        <v>45407</v>
      </c>
      <c r="C230" s="91">
        <v>6</v>
      </c>
      <c r="D230" s="95" t="s">
        <v>245</v>
      </c>
      <c r="E230" s="95"/>
      <c r="F230" s="103">
        <v>1050000</v>
      </c>
      <c r="G230" s="98" t="s">
        <v>21</v>
      </c>
      <c r="H230" s="91">
        <v>1</v>
      </c>
      <c r="I230" s="61">
        <f>$F230*$H230</f>
        <v>1050000</v>
      </c>
      <c r="J230" s="44"/>
      <c r="K230" s="44"/>
      <c r="L230" s="44"/>
      <c r="M230" s="44"/>
      <c r="N230" s="44"/>
      <c r="O230" s="44"/>
      <c r="P230" s="44"/>
      <c r="Q230" s="44"/>
    </row>
    <row r="231" spans="2:17" ht="15.5" customHeight="1" x14ac:dyDescent="0.35">
      <c r="B231" s="67"/>
      <c r="C231" s="91"/>
      <c r="D231" s="97" t="s">
        <v>171</v>
      </c>
      <c r="E231" s="97"/>
      <c r="F231" s="103"/>
      <c r="G231" s="98"/>
      <c r="H231" s="91"/>
      <c r="I231" s="62"/>
      <c r="J231" s="62"/>
      <c r="K231" s="44"/>
      <c r="L231" s="44"/>
      <c r="M231" s="44"/>
      <c r="N231" s="44"/>
      <c r="O231" s="44"/>
      <c r="P231" s="44"/>
      <c r="Q231" s="44"/>
    </row>
    <row r="232" spans="2:17" ht="15.5" customHeight="1" x14ac:dyDescent="0.35">
      <c r="B232" s="67">
        <v>45407</v>
      </c>
      <c r="C232" s="91">
        <v>7</v>
      </c>
      <c r="D232" s="95" t="s">
        <v>246</v>
      </c>
      <c r="E232" s="95"/>
      <c r="F232" s="103">
        <v>75</v>
      </c>
      <c r="G232" s="98" t="s">
        <v>173</v>
      </c>
      <c r="H232" s="100">
        <v>16050.85</v>
      </c>
      <c r="I232" s="61"/>
      <c r="J232" s="62"/>
      <c r="K232" s="44"/>
      <c r="L232" s="44"/>
      <c r="M232" s="44"/>
      <c r="N232" s="44"/>
      <c r="O232" s="44"/>
      <c r="P232" s="44"/>
      <c r="Q232" s="44"/>
    </row>
    <row r="233" spans="2:17" ht="15.5" customHeight="1" x14ac:dyDescent="0.35">
      <c r="B233" s="67">
        <v>45407</v>
      </c>
      <c r="C233" s="91">
        <v>8</v>
      </c>
      <c r="D233" s="95" t="s">
        <v>247</v>
      </c>
      <c r="E233" s="95"/>
      <c r="F233" s="103">
        <v>400</v>
      </c>
      <c r="G233" s="98" t="s">
        <v>173</v>
      </c>
      <c r="H233" s="100">
        <v>16050.85</v>
      </c>
      <c r="I233" s="61">
        <f>$F233*$H233</f>
        <v>6420340</v>
      </c>
      <c r="J233" s="62"/>
      <c r="K233" s="44"/>
      <c r="L233" s="44"/>
      <c r="M233" s="44"/>
      <c r="N233" s="44"/>
      <c r="O233" s="44"/>
      <c r="P233" s="44"/>
      <c r="Q233" s="44"/>
    </row>
    <row r="234" spans="2:17" ht="15.5" customHeight="1" x14ac:dyDescent="0.35">
      <c r="B234" s="78" t="s">
        <v>248</v>
      </c>
      <c r="C234" s="85" t="s">
        <v>2</v>
      </c>
      <c r="D234" s="86" t="s">
        <v>249</v>
      </c>
      <c r="E234" s="86"/>
      <c r="F234" s="110"/>
      <c r="G234" s="73"/>
      <c r="H234" s="73"/>
      <c r="I234" s="78"/>
      <c r="J234" s="78"/>
      <c r="K234" s="78"/>
      <c r="L234" s="78"/>
      <c r="M234" s="78"/>
      <c r="N234" s="78"/>
      <c r="O234" s="78"/>
      <c r="P234" s="78"/>
      <c r="Q234" s="78"/>
    </row>
    <row r="235" spans="2:17" ht="15.5" customHeight="1" x14ac:dyDescent="0.35">
      <c r="B235" s="67"/>
      <c r="C235" s="91"/>
      <c r="D235" s="97" t="s">
        <v>158</v>
      </c>
      <c r="E235" s="97"/>
      <c r="F235" s="103"/>
      <c r="G235" s="98"/>
      <c r="H235" s="98"/>
      <c r="I235" s="44"/>
      <c r="J235" s="44"/>
      <c r="K235" s="44"/>
      <c r="L235" s="44"/>
      <c r="M235" s="44"/>
      <c r="N235" s="44"/>
      <c r="O235" s="44"/>
      <c r="P235" s="44"/>
      <c r="Q235" s="44"/>
    </row>
    <row r="236" spans="2:17" ht="15.5" customHeight="1" x14ac:dyDescent="0.35">
      <c r="B236" s="67">
        <v>45401</v>
      </c>
      <c r="C236" s="91">
        <v>1</v>
      </c>
      <c r="D236" s="95" t="s">
        <v>250</v>
      </c>
      <c r="E236" s="95"/>
      <c r="F236" s="103">
        <f>650000*3</f>
        <v>1950000</v>
      </c>
      <c r="G236" s="98" t="s">
        <v>21</v>
      </c>
      <c r="H236" s="98">
        <v>1</v>
      </c>
      <c r="I236" s="61">
        <f>$F236*$H236</f>
        <v>1950000</v>
      </c>
      <c r="J236" s="62"/>
      <c r="K236" s="44"/>
      <c r="L236" s="44"/>
      <c r="M236" s="44"/>
      <c r="N236" s="44"/>
      <c r="O236" s="44"/>
      <c r="P236" s="44"/>
      <c r="Q236" s="44"/>
    </row>
    <row r="237" spans="2:17" ht="15.5" customHeight="1" x14ac:dyDescent="0.35">
      <c r="B237" s="67">
        <v>45401</v>
      </c>
      <c r="C237" s="91">
        <v>2</v>
      </c>
      <c r="D237" s="95" t="s">
        <v>251</v>
      </c>
      <c r="E237" s="95"/>
      <c r="F237" s="103">
        <f>4*50000</f>
        <v>200000</v>
      </c>
      <c r="G237" s="98" t="s">
        <v>21</v>
      </c>
      <c r="H237" s="98">
        <v>1</v>
      </c>
      <c r="I237" s="61">
        <f>$F237*$H237</f>
        <v>200000</v>
      </c>
      <c r="J237" s="62"/>
      <c r="K237" s="44"/>
      <c r="L237" s="44"/>
      <c r="M237" s="44"/>
      <c r="N237" s="44"/>
      <c r="O237" s="44"/>
      <c r="P237" s="44"/>
      <c r="Q237" s="44"/>
    </row>
    <row r="238" spans="2:17" ht="15.5" customHeight="1" x14ac:dyDescent="0.35">
      <c r="B238" s="67"/>
      <c r="C238" s="91"/>
      <c r="D238" s="97" t="s">
        <v>162</v>
      </c>
      <c r="E238" s="97"/>
      <c r="F238" s="103"/>
      <c r="G238" s="98"/>
      <c r="H238" s="98"/>
      <c r="I238" s="62"/>
      <c r="J238" s="62"/>
      <c r="K238" s="44"/>
      <c r="L238" s="44"/>
      <c r="M238" s="44"/>
      <c r="N238" s="44"/>
      <c r="O238" s="44"/>
      <c r="P238" s="44"/>
      <c r="Q238" s="44"/>
    </row>
    <row r="239" spans="2:17" ht="15.5" customHeight="1" x14ac:dyDescent="0.35">
      <c r="B239" s="67">
        <v>45401</v>
      </c>
      <c r="C239" s="91">
        <v>3</v>
      </c>
      <c r="D239" s="98" t="s">
        <v>252</v>
      </c>
      <c r="E239" s="98"/>
      <c r="F239" s="103">
        <v>101800</v>
      </c>
      <c r="G239" s="98" t="s">
        <v>21</v>
      </c>
      <c r="H239" s="98">
        <v>1</v>
      </c>
      <c r="I239" s="61">
        <f t="shared" ref="I239:I244" si="6">$F239*$H239</f>
        <v>101800</v>
      </c>
      <c r="J239" s="62"/>
      <c r="K239" s="44"/>
      <c r="L239" s="44"/>
      <c r="M239" s="44"/>
      <c r="N239" s="61"/>
      <c r="O239" s="44"/>
      <c r="P239" s="44"/>
      <c r="Q239" s="44"/>
    </row>
    <row r="240" spans="2:17" ht="15.5" customHeight="1" x14ac:dyDescent="0.35">
      <c r="B240" s="67"/>
      <c r="C240" s="91"/>
      <c r="D240" s="97" t="s">
        <v>168</v>
      </c>
      <c r="E240" s="97"/>
      <c r="F240" s="103"/>
      <c r="G240" s="98"/>
      <c r="H240" s="98"/>
      <c r="I240" s="61">
        <f t="shared" si="6"/>
        <v>0</v>
      </c>
      <c r="J240" s="62"/>
      <c r="K240" s="44"/>
      <c r="L240" s="44"/>
      <c r="M240" s="44"/>
      <c r="N240" s="44"/>
      <c r="O240" s="44"/>
      <c r="P240" s="44"/>
      <c r="Q240" s="44"/>
    </row>
    <row r="241" spans="2:17" ht="15.5" customHeight="1" x14ac:dyDescent="0.35">
      <c r="B241" s="67">
        <v>45401</v>
      </c>
      <c r="C241" s="91">
        <v>4</v>
      </c>
      <c r="D241" s="95" t="s">
        <v>244</v>
      </c>
      <c r="E241" s="95"/>
      <c r="F241" s="99">
        <v>481900</v>
      </c>
      <c r="G241" s="98" t="s">
        <v>21</v>
      </c>
      <c r="H241" s="98">
        <v>1</v>
      </c>
      <c r="I241" s="61">
        <f t="shared" si="6"/>
        <v>481900</v>
      </c>
      <c r="J241" s="62"/>
      <c r="K241" s="44"/>
      <c r="L241" s="44"/>
      <c r="M241" s="44"/>
      <c r="N241" s="44"/>
      <c r="O241" s="44"/>
      <c r="P241" s="44"/>
      <c r="Q241" s="44"/>
    </row>
    <row r="242" spans="2:17" ht="15.5" customHeight="1" x14ac:dyDescent="0.35">
      <c r="B242" s="67"/>
      <c r="C242" s="91"/>
      <c r="D242" s="97" t="s">
        <v>168</v>
      </c>
      <c r="E242" s="97"/>
      <c r="F242" s="103"/>
      <c r="G242" s="98"/>
      <c r="H242" s="98"/>
      <c r="I242" s="61">
        <f t="shared" si="6"/>
        <v>0</v>
      </c>
      <c r="J242" s="62"/>
      <c r="K242" s="44"/>
      <c r="L242" s="44"/>
      <c r="M242" s="44"/>
      <c r="N242" s="44"/>
      <c r="O242" s="44"/>
      <c r="P242" s="44"/>
      <c r="Q242" s="44"/>
    </row>
    <row r="243" spans="2:17" ht="15.5" customHeight="1" x14ac:dyDescent="0.35">
      <c r="B243" s="67">
        <v>45401</v>
      </c>
      <c r="C243" s="91">
        <v>5</v>
      </c>
      <c r="D243" s="95" t="s">
        <v>253</v>
      </c>
      <c r="E243" s="95"/>
      <c r="F243" s="103">
        <f>4*150000</f>
        <v>600000</v>
      </c>
      <c r="G243" s="98" t="s">
        <v>21</v>
      </c>
      <c r="H243" s="98">
        <v>1</v>
      </c>
      <c r="I243" s="61">
        <f t="shared" si="6"/>
        <v>600000</v>
      </c>
      <c r="J243" s="62"/>
      <c r="K243" s="44"/>
      <c r="L243" s="44"/>
      <c r="M243" s="44"/>
      <c r="N243" s="44"/>
      <c r="O243" s="44"/>
      <c r="P243" s="44"/>
      <c r="Q243" s="44"/>
    </row>
    <row r="244" spans="2:17" ht="15.5" customHeight="1" x14ac:dyDescent="0.35">
      <c r="B244" s="67"/>
      <c r="C244" s="91"/>
      <c r="D244" s="97" t="s">
        <v>149</v>
      </c>
      <c r="E244" s="97"/>
      <c r="F244" s="103"/>
      <c r="G244" s="98"/>
      <c r="H244" s="98"/>
      <c r="I244" s="61">
        <f t="shared" si="6"/>
        <v>0</v>
      </c>
      <c r="J244" s="44"/>
      <c r="K244" s="44"/>
      <c r="L244" s="44"/>
      <c r="M244" s="44"/>
      <c r="N244" s="44"/>
      <c r="O244" s="44"/>
      <c r="P244" s="44"/>
      <c r="Q244" s="44"/>
    </row>
    <row r="245" spans="2:17" ht="15.5" customHeight="1" x14ac:dyDescent="0.35">
      <c r="B245" s="67">
        <v>45404</v>
      </c>
      <c r="C245" s="91">
        <v>6</v>
      </c>
      <c r="D245" s="95" t="s">
        <v>254</v>
      </c>
      <c r="E245" s="95"/>
      <c r="F245" s="103">
        <v>78500</v>
      </c>
      <c r="G245" s="98" t="s">
        <v>21</v>
      </c>
      <c r="H245" s="98">
        <v>1</v>
      </c>
      <c r="I245" s="61">
        <f>$H245*$F245</f>
        <v>78500</v>
      </c>
      <c r="J245" s="62"/>
      <c r="K245" s="44"/>
      <c r="L245" s="44"/>
      <c r="M245" s="44"/>
      <c r="N245" s="44"/>
      <c r="O245" s="44"/>
      <c r="P245" s="44"/>
      <c r="Q245" s="44"/>
    </row>
    <row r="246" spans="2:17" ht="15.5" customHeight="1" x14ac:dyDescent="0.35">
      <c r="B246" s="67"/>
      <c r="C246" s="91"/>
      <c r="D246" s="97" t="s">
        <v>171</v>
      </c>
      <c r="E246" s="97"/>
      <c r="F246" s="103"/>
      <c r="G246" s="98"/>
      <c r="H246" s="98"/>
      <c r="I246" s="61"/>
      <c r="J246" s="62"/>
      <c r="K246" s="44"/>
      <c r="L246" s="44"/>
      <c r="M246" s="44"/>
      <c r="N246" s="44"/>
      <c r="O246" s="44"/>
      <c r="P246" s="44"/>
      <c r="Q246" s="44"/>
    </row>
    <row r="247" spans="2:17" ht="15.5" customHeight="1" x14ac:dyDescent="0.35">
      <c r="B247" s="67">
        <v>45401</v>
      </c>
      <c r="C247" s="91">
        <v>7</v>
      </c>
      <c r="D247" s="95" t="s">
        <v>255</v>
      </c>
      <c r="E247" s="95"/>
      <c r="F247" s="103">
        <f>4*25</f>
        <v>100</v>
      </c>
      <c r="G247" s="98" t="s">
        <v>173</v>
      </c>
      <c r="H247" s="111">
        <v>16050.85</v>
      </c>
      <c r="I247" s="61">
        <f>$F247*$H247</f>
        <v>1605085</v>
      </c>
      <c r="J247" s="62"/>
      <c r="K247" s="44"/>
      <c r="L247" s="44"/>
      <c r="M247" s="44"/>
      <c r="N247" s="44"/>
      <c r="O247" s="44"/>
      <c r="P247" s="44"/>
      <c r="Q247" s="44"/>
    </row>
    <row r="248" spans="2:17" ht="15.5" customHeight="1" x14ac:dyDescent="0.35">
      <c r="B248" s="78" t="s">
        <v>256</v>
      </c>
      <c r="C248" s="85" t="s">
        <v>2</v>
      </c>
      <c r="D248" s="86" t="s">
        <v>257</v>
      </c>
      <c r="E248" s="86"/>
      <c r="F248" s="87"/>
      <c r="G248" s="73"/>
      <c r="H248" s="73"/>
      <c r="I248" s="90"/>
      <c r="J248" s="90"/>
      <c r="K248" s="78"/>
      <c r="L248" s="78"/>
      <c r="M248" s="78"/>
      <c r="N248" s="78"/>
      <c r="O248" s="78"/>
      <c r="P248" s="78"/>
      <c r="Q248" s="78"/>
    </row>
    <row r="249" spans="2:17" ht="15.5" customHeight="1" x14ac:dyDescent="0.35">
      <c r="B249" s="67" t="s">
        <v>258</v>
      </c>
      <c r="C249" s="91">
        <v>1</v>
      </c>
      <c r="D249" s="95" t="s">
        <v>259</v>
      </c>
      <c r="E249" s="95"/>
      <c r="F249" s="103">
        <v>9693878</v>
      </c>
      <c r="G249" s="91" t="s">
        <v>21</v>
      </c>
      <c r="H249" s="91">
        <v>1</v>
      </c>
      <c r="I249" s="61">
        <f>$F249*$H249</f>
        <v>9693878</v>
      </c>
      <c r="J249" s="62"/>
      <c r="K249" s="44"/>
      <c r="L249" s="44"/>
      <c r="M249" s="44"/>
      <c r="N249" s="44"/>
      <c r="O249" s="44"/>
      <c r="P249" s="44"/>
      <c r="Q249" s="44"/>
    </row>
    <row r="250" spans="2:17" ht="15.5" customHeight="1" x14ac:dyDescent="0.35">
      <c r="B250" s="78" t="s">
        <v>260</v>
      </c>
      <c r="C250" s="85" t="s">
        <v>2</v>
      </c>
      <c r="D250" s="86" t="s">
        <v>261</v>
      </c>
      <c r="E250" s="86"/>
      <c r="F250" s="87"/>
      <c r="G250" s="73"/>
      <c r="H250" s="73"/>
      <c r="I250" s="90"/>
      <c r="J250" s="90"/>
      <c r="K250" s="78"/>
      <c r="L250" s="78"/>
      <c r="M250" s="78"/>
      <c r="N250" s="78"/>
      <c r="O250" s="78"/>
      <c r="P250" s="78"/>
      <c r="Q250" s="78"/>
    </row>
    <row r="251" spans="2:17" ht="15.5" customHeight="1" x14ac:dyDescent="0.35">
      <c r="B251" s="14">
        <v>45432</v>
      </c>
      <c r="C251" s="15">
        <v>1</v>
      </c>
      <c r="D251" s="18" t="s">
        <v>262</v>
      </c>
      <c r="E251" s="18"/>
      <c r="F251" s="21">
        <v>5322000</v>
      </c>
      <c r="G251" s="15" t="s">
        <v>21</v>
      </c>
      <c r="H251" s="15">
        <v>1</v>
      </c>
      <c r="I251" s="62"/>
      <c r="J251" s="62"/>
      <c r="K251" s="44"/>
      <c r="L251" s="44"/>
      <c r="M251" s="44"/>
      <c r="N251" s="44"/>
      <c r="O251" s="44"/>
      <c r="P251" s="62">
        <f>F251</f>
        <v>5322000</v>
      </c>
      <c r="Q251" s="44"/>
    </row>
    <row r="252" spans="2:17" ht="15.5" customHeight="1" x14ac:dyDescent="0.35">
      <c r="B252" s="14">
        <v>45433</v>
      </c>
      <c r="C252" s="15">
        <v>2</v>
      </c>
      <c r="D252" s="18" t="s">
        <v>263</v>
      </c>
      <c r="E252" s="18"/>
      <c r="F252" s="21">
        <v>2402000</v>
      </c>
      <c r="G252" s="15" t="s">
        <v>21</v>
      </c>
      <c r="H252" s="15">
        <v>1</v>
      </c>
      <c r="I252" s="62"/>
      <c r="J252" s="62"/>
      <c r="K252" s="44"/>
      <c r="L252" s="44"/>
      <c r="M252" s="44"/>
      <c r="N252" s="62">
        <f>F252</f>
        <v>2402000</v>
      </c>
      <c r="O252" s="44"/>
      <c r="P252" s="44"/>
      <c r="Q252" s="44"/>
    </row>
    <row r="253" spans="2:17" ht="15.5" customHeight="1" x14ac:dyDescent="0.35">
      <c r="B253" s="78" t="s">
        <v>264</v>
      </c>
      <c r="C253" s="85" t="s">
        <v>2</v>
      </c>
      <c r="D253" s="112" t="s">
        <v>265</v>
      </c>
      <c r="E253" s="112"/>
      <c r="F253" s="87"/>
      <c r="G253" s="73"/>
      <c r="H253" s="73"/>
      <c r="I253" s="78"/>
      <c r="J253" s="78"/>
      <c r="K253" s="78"/>
      <c r="L253" s="78"/>
      <c r="M253" s="78"/>
      <c r="N253" s="78"/>
      <c r="O253" s="78"/>
      <c r="P253" s="78"/>
      <c r="Q253" s="78"/>
    </row>
    <row r="254" spans="2:17" ht="15.5" customHeight="1" x14ac:dyDescent="0.35">
      <c r="B254" s="14">
        <v>45432</v>
      </c>
      <c r="C254" s="15">
        <v>1</v>
      </c>
      <c r="D254" s="18" t="s">
        <v>266</v>
      </c>
      <c r="E254" s="18"/>
      <c r="F254" s="21">
        <v>5407000</v>
      </c>
      <c r="G254" s="15" t="s">
        <v>21</v>
      </c>
      <c r="H254" s="15">
        <v>1</v>
      </c>
      <c r="I254" s="61"/>
      <c r="J254" s="62"/>
      <c r="K254" s="44"/>
      <c r="L254" s="44"/>
      <c r="M254" s="44"/>
      <c r="N254" s="44"/>
      <c r="O254" s="44"/>
      <c r="P254" s="62">
        <f>F254</f>
        <v>5407000</v>
      </c>
      <c r="Q254" s="44"/>
    </row>
    <row r="255" spans="2:17" ht="15.5" customHeight="1" x14ac:dyDescent="0.35">
      <c r="B255" s="78" t="s">
        <v>267</v>
      </c>
      <c r="C255" s="85" t="s">
        <v>2</v>
      </c>
      <c r="D255" s="86" t="s">
        <v>268</v>
      </c>
      <c r="E255" s="86"/>
      <c r="F255" s="87"/>
      <c r="G255" s="73"/>
      <c r="H255" s="73"/>
      <c r="I255" s="101"/>
      <c r="J255" s="90"/>
      <c r="K255" s="78"/>
      <c r="L255" s="78"/>
      <c r="M255" s="78"/>
      <c r="N255" s="78"/>
      <c r="O255" s="78"/>
      <c r="P255" s="78"/>
      <c r="Q255" s="78"/>
    </row>
    <row r="256" spans="2:17" ht="15.5" customHeight="1" x14ac:dyDescent="0.35">
      <c r="B256" s="102">
        <v>45433</v>
      </c>
      <c r="C256" s="15"/>
      <c r="D256" s="63" t="s">
        <v>269</v>
      </c>
      <c r="E256" s="63"/>
      <c r="F256" s="21">
        <v>773238</v>
      </c>
      <c r="G256" s="15" t="s">
        <v>21</v>
      </c>
      <c r="H256" s="15">
        <v>1</v>
      </c>
      <c r="I256" s="61">
        <f>$H256*$F256</f>
        <v>773238</v>
      </c>
      <c r="J256" s="62"/>
      <c r="K256" s="44"/>
      <c r="L256" s="44"/>
      <c r="M256" s="44"/>
      <c r="N256" s="44"/>
      <c r="O256" s="44"/>
      <c r="P256" s="44"/>
      <c r="Q256" s="44"/>
    </row>
    <row r="257" spans="2:17" ht="15.5" customHeight="1" x14ac:dyDescent="0.35">
      <c r="B257" s="102">
        <v>45436</v>
      </c>
      <c r="C257" s="15"/>
      <c r="D257" s="113" t="s">
        <v>270</v>
      </c>
      <c r="E257" s="113"/>
      <c r="F257" s="21">
        <v>296853</v>
      </c>
      <c r="G257" s="15" t="s">
        <v>21</v>
      </c>
      <c r="H257" s="15">
        <v>1</v>
      </c>
      <c r="I257" s="61">
        <f>$H257*$F257</f>
        <v>296853</v>
      </c>
      <c r="J257" s="62"/>
      <c r="K257" s="44"/>
      <c r="L257" s="44"/>
      <c r="M257" s="44"/>
      <c r="N257" s="44"/>
      <c r="O257" s="44"/>
      <c r="P257" s="44"/>
      <c r="Q257" s="44"/>
    </row>
    <row r="258" spans="2:17" ht="15.5" customHeight="1" x14ac:dyDescent="0.35">
      <c r="B258" s="102">
        <v>45436</v>
      </c>
      <c r="C258" s="15"/>
      <c r="D258" s="63" t="s">
        <v>271</v>
      </c>
      <c r="E258" s="63"/>
      <c r="F258" s="21">
        <v>250000</v>
      </c>
      <c r="G258" s="15" t="s">
        <v>21</v>
      </c>
      <c r="H258" s="15">
        <v>1</v>
      </c>
      <c r="I258" s="61">
        <f>$H258*$F258</f>
        <v>250000</v>
      </c>
      <c r="J258" s="62"/>
      <c r="K258" s="44"/>
      <c r="L258" s="44"/>
      <c r="M258" s="44"/>
      <c r="N258" s="44"/>
      <c r="O258" s="44"/>
      <c r="P258" s="44"/>
      <c r="Q258" s="44"/>
    </row>
    <row r="259" spans="2:17" ht="15.5" customHeight="1" x14ac:dyDescent="0.35">
      <c r="B259" s="102"/>
      <c r="C259" s="15"/>
      <c r="D259" s="114" t="s">
        <v>171</v>
      </c>
      <c r="E259" s="114"/>
      <c r="F259" s="21"/>
      <c r="G259" s="15"/>
      <c r="H259" s="15"/>
      <c r="I259" s="62"/>
      <c r="J259" s="62"/>
      <c r="K259" s="44"/>
      <c r="L259" s="44"/>
      <c r="M259" s="44"/>
      <c r="N259" s="44"/>
      <c r="O259" s="44"/>
      <c r="P259" s="44"/>
      <c r="Q259" s="44"/>
    </row>
    <row r="260" spans="2:17" ht="15.5" customHeight="1" x14ac:dyDescent="0.35">
      <c r="B260" s="102">
        <v>45437</v>
      </c>
      <c r="C260" s="15"/>
      <c r="D260" s="63" t="s">
        <v>272</v>
      </c>
      <c r="E260" s="63"/>
      <c r="F260" s="21">
        <v>900000</v>
      </c>
      <c r="G260" s="15" t="s">
        <v>21</v>
      </c>
      <c r="H260" s="15">
        <v>1</v>
      </c>
      <c r="I260" s="61">
        <f>F260</f>
        <v>900000</v>
      </c>
      <c r="J260" s="62"/>
      <c r="K260" s="44"/>
      <c r="L260" s="44"/>
      <c r="M260" s="61"/>
      <c r="N260" s="44"/>
      <c r="O260" s="44"/>
      <c r="P260" s="44"/>
      <c r="Q260" s="44"/>
    </row>
    <row r="261" spans="2:17" ht="15.5" customHeight="1" x14ac:dyDescent="0.35">
      <c r="B261" s="102"/>
      <c r="C261" s="15"/>
      <c r="D261" s="63" t="s">
        <v>273</v>
      </c>
      <c r="E261" s="63"/>
      <c r="F261" s="21">
        <v>300000</v>
      </c>
      <c r="G261" s="15" t="s">
        <v>21</v>
      </c>
      <c r="H261" s="15">
        <v>1</v>
      </c>
      <c r="I261" s="61">
        <f>F261</f>
        <v>300000</v>
      </c>
      <c r="J261" s="62"/>
      <c r="K261" s="44"/>
      <c r="L261" s="44"/>
      <c r="M261" s="61"/>
      <c r="N261" s="44"/>
      <c r="O261" s="44"/>
      <c r="P261" s="44"/>
      <c r="Q261" s="44"/>
    </row>
    <row r="262" spans="2:17" ht="15.5" customHeight="1" x14ac:dyDescent="0.35">
      <c r="B262" s="102"/>
      <c r="C262" s="15"/>
      <c r="D262" s="114" t="s">
        <v>171</v>
      </c>
      <c r="E262" s="114"/>
      <c r="F262" s="21"/>
      <c r="G262" s="15"/>
      <c r="H262" s="15"/>
      <c r="I262" s="61"/>
      <c r="J262" s="62"/>
      <c r="K262" s="44"/>
      <c r="L262" s="44"/>
      <c r="M262" s="61"/>
      <c r="N262" s="44"/>
      <c r="O262" s="44"/>
      <c r="P262" s="44"/>
      <c r="Q262" s="44"/>
    </row>
    <row r="263" spans="2:17" ht="15.5" customHeight="1" x14ac:dyDescent="0.35">
      <c r="B263" s="102">
        <v>45437</v>
      </c>
      <c r="C263" s="15"/>
      <c r="D263" s="113" t="s">
        <v>274</v>
      </c>
      <c r="E263" s="113"/>
      <c r="F263" s="115">
        <f>25*6</f>
        <v>150</v>
      </c>
      <c r="G263" s="60" t="s">
        <v>275</v>
      </c>
      <c r="H263" s="60">
        <v>16200</v>
      </c>
      <c r="I263" s="62">
        <f>H263*F263</f>
        <v>2430000</v>
      </c>
      <c r="J263" s="62"/>
      <c r="K263" s="44"/>
      <c r="L263" s="44"/>
      <c r="M263" s="44"/>
      <c r="N263" s="44"/>
      <c r="O263" s="44"/>
      <c r="P263" s="44"/>
      <c r="Q263" s="44"/>
    </row>
    <row r="264" spans="2:17" ht="15.5" customHeight="1" x14ac:dyDescent="0.35">
      <c r="B264" s="78" t="s">
        <v>276</v>
      </c>
      <c r="C264" s="85" t="s">
        <v>2</v>
      </c>
      <c r="D264" s="86" t="s">
        <v>277</v>
      </c>
      <c r="E264" s="86"/>
      <c r="F264" s="87"/>
      <c r="G264" s="73"/>
      <c r="H264" s="73"/>
      <c r="I264" s="78"/>
      <c r="J264" s="90"/>
      <c r="K264" s="78"/>
      <c r="L264" s="78"/>
      <c r="M264" s="101"/>
      <c r="N264" s="78"/>
      <c r="O264" s="78"/>
      <c r="P264" s="78"/>
      <c r="Q264" s="78"/>
    </row>
    <row r="265" spans="2:17" ht="15.5" customHeight="1" x14ac:dyDescent="0.35">
      <c r="B265" s="102"/>
      <c r="C265" s="15"/>
      <c r="D265" s="106" t="s">
        <v>149</v>
      </c>
      <c r="E265" s="106"/>
      <c r="F265" s="21"/>
      <c r="G265" s="15"/>
      <c r="H265" s="15"/>
      <c r="I265" s="116"/>
      <c r="J265" s="62"/>
      <c r="K265" s="44"/>
      <c r="L265" s="44"/>
      <c r="M265" s="44"/>
      <c r="N265" s="44"/>
      <c r="O265" s="44"/>
      <c r="P265" s="44"/>
      <c r="Q265" s="44"/>
    </row>
    <row r="266" spans="2:17" ht="15.5" customHeight="1" x14ac:dyDescent="0.35">
      <c r="B266" s="107">
        <v>45437</v>
      </c>
      <c r="C266" s="15">
        <v>1</v>
      </c>
      <c r="D266" s="63" t="s">
        <v>225</v>
      </c>
      <c r="E266" s="63"/>
      <c r="F266" s="21">
        <f>48000+7000+177520</f>
        <v>232520</v>
      </c>
      <c r="G266" s="15" t="s">
        <v>21</v>
      </c>
      <c r="H266" s="15">
        <v>1</v>
      </c>
      <c r="I266" s="61">
        <f>$H266*$F266</f>
        <v>232520</v>
      </c>
      <c r="J266" s="62"/>
      <c r="K266" s="44"/>
      <c r="L266" s="44"/>
      <c r="M266" s="44"/>
      <c r="N266" s="61"/>
      <c r="O266" s="44"/>
      <c r="P266" s="44"/>
      <c r="Q266" s="44"/>
    </row>
    <row r="267" spans="2:17" ht="15.5" customHeight="1" x14ac:dyDescent="0.35">
      <c r="B267" s="102">
        <v>45437</v>
      </c>
      <c r="C267" s="15">
        <v>2</v>
      </c>
      <c r="D267" s="63" t="s">
        <v>278</v>
      </c>
      <c r="E267" s="63"/>
      <c r="F267" s="21">
        <f>200000+112000</f>
        <v>312000</v>
      </c>
      <c r="G267" s="15" t="s">
        <v>21</v>
      </c>
      <c r="H267" s="15">
        <v>1</v>
      </c>
      <c r="I267" s="61">
        <f>$H267*$F267</f>
        <v>312000</v>
      </c>
      <c r="J267" s="62"/>
      <c r="K267" s="44"/>
      <c r="L267" s="44"/>
      <c r="M267" s="44"/>
      <c r="N267" s="61"/>
      <c r="O267" s="44"/>
      <c r="P267" s="44"/>
      <c r="Q267" s="44"/>
    </row>
    <row r="268" spans="2:17" ht="15.5" customHeight="1" x14ac:dyDescent="0.35">
      <c r="B268" s="102">
        <v>45442</v>
      </c>
      <c r="C268" s="15">
        <v>4</v>
      </c>
      <c r="D268" s="63" t="s">
        <v>279</v>
      </c>
      <c r="E268" s="63"/>
      <c r="F268" s="21"/>
      <c r="G268" s="15"/>
      <c r="H268" s="15"/>
      <c r="I268" s="61"/>
      <c r="J268" s="62"/>
      <c r="K268" s="44"/>
      <c r="L268" s="44"/>
      <c r="M268" s="44"/>
      <c r="N268" s="61"/>
      <c r="O268" s="44"/>
      <c r="P268" s="44"/>
      <c r="Q268" s="44"/>
    </row>
    <row r="269" spans="2:17" ht="15.5" customHeight="1" x14ac:dyDescent="0.35">
      <c r="B269" s="102"/>
      <c r="C269" s="15"/>
      <c r="D269" s="108" t="s">
        <v>280</v>
      </c>
      <c r="E269" s="108"/>
      <c r="F269" s="21"/>
      <c r="G269" s="15"/>
      <c r="H269" s="15"/>
      <c r="I269" s="61"/>
      <c r="J269" s="62"/>
      <c r="K269" s="44"/>
      <c r="L269" s="44"/>
      <c r="M269" s="44"/>
      <c r="N269" s="61"/>
      <c r="O269" s="44"/>
      <c r="P269" s="44"/>
      <c r="Q269" s="44"/>
    </row>
    <row r="270" spans="2:17" ht="15.5" customHeight="1" x14ac:dyDescent="0.35">
      <c r="B270" s="102">
        <v>45443</v>
      </c>
      <c r="C270" s="15"/>
      <c r="D270" s="18" t="s">
        <v>281</v>
      </c>
      <c r="E270" s="18"/>
      <c r="F270" s="21">
        <v>268000</v>
      </c>
      <c r="G270" s="15" t="s">
        <v>21</v>
      </c>
      <c r="H270" s="15">
        <v>1</v>
      </c>
      <c r="I270" s="61"/>
      <c r="J270" s="62"/>
      <c r="K270" s="44"/>
      <c r="L270" s="44"/>
      <c r="M270" s="44"/>
      <c r="N270" s="61">
        <f>F270</f>
        <v>268000</v>
      </c>
      <c r="O270" s="44"/>
      <c r="P270" s="44"/>
      <c r="Q270" s="44"/>
    </row>
    <row r="271" spans="2:17" ht="15.5" customHeight="1" x14ac:dyDescent="0.35">
      <c r="B271" s="102"/>
      <c r="C271" s="15"/>
      <c r="D271" s="108" t="s">
        <v>162</v>
      </c>
      <c r="E271" s="108"/>
      <c r="F271" s="21"/>
      <c r="G271" s="15"/>
      <c r="H271" s="15"/>
      <c r="I271" s="61"/>
      <c r="J271" s="62"/>
      <c r="K271" s="44"/>
      <c r="L271" s="44"/>
      <c r="M271" s="44"/>
      <c r="N271" s="61"/>
      <c r="O271" s="44"/>
      <c r="P271" s="44"/>
      <c r="Q271" s="44"/>
    </row>
    <row r="272" spans="2:17" ht="15.5" customHeight="1" x14ac:dyDescent="0.35">
      <c r="B272" s="102">
        <v>45437</v>
      </c>
      <c r="C272" s="15">
        <v>3</v>
      </c>
      <c r="D272" s="16" t="s">
        <v>282</v>
      </c>
      <c r="E272" s="16"/>
      <c r="F272" s="21">
        <v>80000</v>
      </c>
      <c r="G272" s="15" t="s">
        <v>21</v>
      </c>
      <c r="H272" s="15">
        <v>1</v>
      </c>
      <c r="I272" s="61"/>
      <c r="J272" s="62"/>
      <c r="K272" s="44"/>
      <c r="L272" s="44"/>
      <c r="M272" s="44"/>
      <c r="N272" s="61">
        <f>F272</f>
        <v>80000</v>
      </c>
      <c r="O272" s="44"/>
      <c r="P272" s="44"/>
      <c r="Q272" s="44"/>
    </row>
    <row r="273" spans="2:17" ht="15.5" customHeight="1" x14ac:dyDescent="0.35">
      <c r="B273" s="102">
        <v>45439</v>
      </c>
      <c r="C273" s="15">
        <v>5</v>
      </c>
      <c r="D273" s="63" t="s">
        <v>283</v>
      </c>
      <c r="E273" s="63"/>
      <c r="F273" s="21">
        <v>21900</v>
      </c>
      <c r="G273" s="15" t="s">
        <v>21</v>
      </c>
      <c r="H273" s="15">
        <v>1</v>
      </c>
      <c r="I273" s="116"/>
      <c r="J273" s="62"/>
      <c r="K273" s="44"/>
      <c r="L273" s="44"/>
      <c r="M273" s="44"/>
      <c r="N273" s="61">
        <f>F273</f>
        <v>21900</v>
      </c>
      <c r="O273" s="44"/>
      <c r="P273" s="44"/>
      <c r="Q273" s="44"/>
    </row>
    <row r="274" spans="2:17" ht="15.5" customHeight="1" x14ac:dyDescent="0.35">
      <c r="B274" s="102"/>
      <c r="C274" s="15"/>
      <c r="D274" s="108" t="s">
        <v>171</v>
      </c>
      <c r="E274" s="108"/>
      <c r="F274" s="21"/>
      <c r="G274" s="15"/>
      <c r="H274" s="15"/>
      <c r="I274" s="62"/>
      <c r="J274" s="62"/>
      <c r="K274" s="44"/>
      <c r="L274" s="44"/>
      <c r="M274" s="61"/>
      <c r="N274" s="61">
        <f>F274</f>
        <v>0</v>
      </c>
      <c r="O274" s="44"/>
      <c r="P274" s="44"/>
      <c r="Q274" s="44"/>
    </row>
    <row r="275" spans="2:17" ht="15.5" customHeight="1" x14ac:dyDescent="0.35">
      <c r="B275" s="102">
        <v>45437</v>
      </c>
      <c r="C275" s="15"/>
      <c r="D275" s="63" t="s">
        <v>284</v>
      </c>
      <c r="E275" s="63"/>
      <c r="F275" s="21">
        <f>900000</f>
        <v>900000</v>
      </c>
      <c r="G275" s="15" t="s">
        <v>21</v>
      </c>
      <c r="H275" s="15">
        <v>1</v>
      </c>
      <c r="I275" s="62">
        <f>F275</f>
        <v>900000</v>
      </c>
      <c r="J275" s="62"/>
      <c r="K275" s="44"/>
      <c r="L275" s="44"/>
      <c r="M275" s="61"/>
      <c r="N275" s="44"/>
      <c r="O275" s="44"/>
      <c r="P275" s="44"/>
      <c r="Q275" s="44"/>
    </row>
    <row r="276" spans="2:17" ht="15.5" customHeight="1" x14ac:dyDescent="0.35">
      <c r="B276" s="102"/>
      <c r="C276" s="15"/>
      <c r="D276" s="108" t="s">
        <v>285</v>
      </c>
      <c r="E276" s="108"/>
      <c r="F276" s="21"/>
      <c r="G276" s="15"/>
      <c r="H276" s="15"/>
      <c r="I276" s="62"/>
      <c r="J276" s="62"/>
      <c r="K276" s="44"/>
      <c r="L276" s="44"/>
      <c r="M276" s="61"/>
      <c r="N276" s="44"/>
      <c r="O276" s="44"/>
      <c r="P276" s="44"/>
      <c r="Q276" s="44"/>
    </row>
    <row r="277" spans="2:17" ht="15.5" customHeight="1" x14ac:dyDescent="0.35">
      <c r="B277" s="102">
        <v>45437</v>
      </c>
      <c r="C277" s="15"/>
      <c r="D277" s="63" t="s">
        <v>273</v>
      </c>
      <c r="E277" s="63"/>
      <c r="F277" s="21">
        <v>300000</v>
      </c>
      <c r="G277" s="15" t="s">
        <v>21</v>
      </c>
      <c r="H277" s="15">
        <v>1</v>
      </c>
      <c r="I277" s="62">
        <f>F277</f>
        <v>300000</v>
      </c>
      <c r="J277" s="62"/>
      <c r="K277" s="44"/>
      <c r="L277" s="44"/>
      <c r="M277" s="116"/>
      <c r="N277" s="44"/>
      <c r="O277" s="44"/>
      <c r="P277" s="44"/>
      <c r="Q277" s="44"/>
    </row>
    <row r="278" spans="2:17" ht="15.5" customHeight="1" x14ac:dyDescent="0.35">
      <c r="B278" s="102"/>
      <c r="C278" s="15"/>
      <c r="D278" s="108" t="s">
        <v>171</v>
      </c>
      <c r="E278" s="108"/>
      <c r="F278" s="21"/>
      <c r="G278" s="15"/>
      <c r="H278" s="15"/>
      <c r="I278" s="62"/>
      <c r="J278" s="62"/>
      <c r="K278" s="44"/>
      <c r="L278" s="44"/>
      <c r="M278" s="61"/>
      <c r="N278" s="44"/>
      <c r="O278" s="44"/>
      <c r="P278" s="44"/>
      <c r="Q278" s="44"/>
    </row>
    <row r="279" spans="2:17" ht="15.5" customHeight="1" x14ac:dyDescent="0.35">
      <c r="B279" s="102">
        <v>45437</v>
      </c>
      <c r="C279" s="15"/>
      <c r="D279" s="113" t="s">
        <v>286</v>
      </c>
      <c r="E279" s="113"/>
      <c r="F279" s="21">
        <f>25*6</f>
        <v>150</v>
      </c>
      <c r="G279" s="15" t="s">
        <v>21</v>
      </c>
      <c r="H279" s="15">
        <v>16200</v>
      </c>
      <c r="I279" s="62">
        <f>H279*F279</f>
        <v>2430000</v>
      </c>
      <c r="J279" s="62"/>
      <c r="K279" s="44"/>
      <c r="L279" s="44"/>
      <c r="M279" s="116"/>
      <c r="N279" s="44"/>
      <c r="O279" s="44"/>
      <c r="P279" s="44"/>
      <c r="Q279" s="44"/>
    </row>
    <row r="280" spans="2:17" ht="15.5" customHeight="1" x14ac:dyDescent="0.35">
      <c r="B280" s="78" t="s">
        <v>287</v>
      </c>
      <c r="C280" s="85" t="s">
        <v>2</v>
      </c>
      <c r="D280" s="112" t="s">
        <v>288</v>
      </c>
      <c r="E280" s="112"/>
      <c r="F280" s="87"/>
      <c r="G280" s="73"/>
      <c r="H280" s="73"/>
      <c r="I280" s="90"/>
      <c r="J280" s="90"/>
      <c r="K280" s="78"/>
      <c r="L280" s="78"/>
      <c r="M280" s="78"/>
      <c r="N280" s="78"/>
      <c r="O280" s="78"/>
      <c r="P280" s="78"/>
      <c r="Q280" s="78"/>
    </row>
    <row r="281" spans="2:17" ht="15.5" customHeight="1" x14ac:dyDescent="0.35">
      <c r="B281" s="67"/>
      <c r="C281" s="91"/>
      <c r="D281" s="97" t="s">
        <v>158</v>
      </c>
      <c r="E281" s="97"/>
      <c r="F281" s="93"/>
      <c r="G281" s="91"/>
      <c r="H281" s="91"/>
      <c r="I281" s="62"/>
      <c r="J281" s="62"/>
      <c r="K281" s="44"/>
      <c r="L281" s="44"/>
      <c r="M281" s="44"/>
      <c r="N281" s="44"/>
      <c r="O281" s="44"/>
      <c r="P281" s="44"/>
      <c r="Q281" s="44"/>
    </row>
    <row r="282" spans="2:17" ht="15.5" customHeight="1" x14ac:dyDescent="0.35">
      <c r="B282" s="67">
        <v>45437</v>
      </c>
      <c r="C282" s="91">
        <v>1</v>
      </c>
      <c r="D282" s="95" t="s">
        <v>289</v>
      </c>
      <c r="E282" s="95"/>
      <c r="F282" s="93">
        <v>1650000</v>
      </c>
      <c r="G282" s="91" t="s">
        <v>21</v>
      </c>
      <c r="H282" s="91">
        <v>1</v>
      </c>
      <c r="I282" s="62">
        <f>F282</f>
        <v>1650000</v>
      </c>
      <c r="J282" s="62"/>
      <c r="K282" s="44"/>
      <c r="L282" s="44"/>
      <c r="M282" s="44"/>
      <c r="N282" s="44"/>
      <c r="O282" s="44"/>
      <c r="P282" s="44"/>
      <c r="Q282" s="44"/>
    </row>
    <row r="283" spans="2:17" ht="15.5" customHeight="1" x14ac:dyDescent="0.35">
      <c r="B283" s="67">
        <v>45437</v>
      </c>
      <c r="C283" s="91">
        <v>2</v>
      </c>
      <c r="D283" s="95" t="s">
        <v>185</v>
      </c>
      <c r="E283" s="95"/>
      <c r="F283" s="93">
        <v>300000</v>
      </c>
      <c r="G283" s="91" t="s">
        <v>21</v>
      </c>
      <c r="H283" s="91">
        <v>1</v>
      </c>
      <c r="I283" s="62">
        <f>F283</f>
        <v>300000</v>
      </c>
      <c r="J283" s="62"/>
      <c r="K283" s="44"/>
      <c r="L283" s="44"/>
      <c r="M283" s="44"/>
      <c r="N283" s="44"/>
      <c r="O283" s="44"/>
      <c r="P283" s="44"/>
      <c r="Q283" s="44"/>
    </row>
    <row r="284" spans="2:17" ht="15.5" customHeight="1" x14ac:dyDescent="0.35">
      <c r="B284" s="67"/>
      <c r="C284" s="91"/>
      <c r="D284" s="97" t="s">
        <v>149</v>
      </c>
      <c r="E284" s="97"/>
      <c r="F284" s="93"/>
      <c r="G284" s="91"/>
      <c r="H284" s="91"/>
      <c r="I284" s="62"/>
      <c r="J284" s="62"/>
      <c r="K284" s="44"/>
      <c r="L284" s="44"/>
      <c r="M284" s="44"/>
      <c r="N284" s="44"/>
      <c r="O284" s="44"/>
      <c r="P284" s="44"/>
      <c r="Q284" s="44"/>
    </row>
    <row r="285" spans="2:17" ht="15.5" customHeight="1" x14ac:dyDescent="0.35">
      <c r="B285" s="67">
        <v>45437</v>
      </c>
      <c r="C285" s="91">
        <v>3</v>
      </c>
      <c r="D285" s="95" t="s">
        <v>290</v>
      </c>
      <c r="E285" s="95"/>
      <c r="F285" s="93">
        <v>1418800</v>
      </c>
      <c r="G285" s="91" t="s">
        <v>21</v>
      </c>
      <c r="H285" s="91">
        <v>1</v>
      </c>
      <c r="I285" s="61">
        <f t="shared" ref="I285:I291" si="7">$H285*$F285</f>
        <v>1418800</v>
      </c>
      <c r="J285" s="62"/>
      <c r="K285" s="44"/>
      <c r="L285" s="44"/>
      <c r="M285" s="44"/>
      <c r="N285" s="44"/>
      <c r="O285" s="44"/>
      <c r="P285" s="44"/>
      <c r="Q285" s="44"/>
    </row>
    <row r="286" spans="2:17" ht="15.5" customHeight="1" x14ac:dyDescent="0.35">
      <c r="B286" s="67">
        <v>45437</v>
      </c>
      <c r="C286" s="91">
        <v>4</v>
      </c>
      <c r="D286" s="95" t="s">
        <v>176</v>
      </c>
      <c r="E286" s="95"/>
      <c r="F286" s="93">
        <v>166000</v>
      </c>
      <c r="G286" s="91" t="s">
        <v>21</v>
      </c>
      <c r="H286" s="91">
        <v>1</v>
      </c>
      <c r="I286" s="61">
        <f t="shared" si="7"/>
        <v>166000</v>
      </c>
      <c r="J286" s="62"/>
      <c r="K286" s="44"/>
      <c r="L286" s="44"/>
      <c r="M286" s="44"/>
      <c r="N286" s="44"/>
      <c r="O286" s="44"/>
      <c r="P286" s="44"/>
      <c r="Q286" s="44"/>
    </row>
    <row r="287" spans="2:17" ht="15.5" customHeight="1" x14ac:dyDescent="0.35">
      <c r="B287" s="67">
        <v>45437</v>
      </c>
      <c r="C287" s="91">
        <v>5</v>
      </c>
      <c r="D287" s="95" t="s">
        <v>291</v>
      </c>
      <c r="E287" s="95"/>
      <c r="F287" s="93">
        <v>60000</v>
      </c>
      <c r="G287" s="91" t="s">
        <v>21</v>
      </c>
      <c r="H287" s="91">
        <v>1</v>
      </c>
      <c r="I287" s="61">
        <f t="shared" si="7"/>
        <v>60000</v>
      </c>
      <c r="J287" s="62"/>
      <c r="K287" s="44"/>
      <c r="L287" s="44"/>
      <c r="M287" s="44"/>
      <c r="N287" s="44"/>
      <c r="O287" s="44"/>
      <c r="P287" s="44"/>
      <c r="Q287" s="44"/>
    </row>
    <row r="288" spans="2:17" ht="15.5" customHeight="1" x14ac:dyDescent="0.35">
      <c r="B288" s="67">
        <v>45437</v>
      </c>
      <c r="C288" s="91">
        <v>6</v>
      </c>
      <c r="D288" s="95" t="s">
        <v>292</v>
      </c>
      <c r="E288" s="95"/>
      <c r="F288" s="93">
        <v>2900000</v>
      </c>
      <c r="G288" s="91" t="s">
        <v>21</v>
      </c>
      <c r="H288" s="91">
        <v>1</v>
      </c>
      <c r="I288" s="61">
        <f t="shared" si="7"/>
        <v>2900000</v>
      </c>
      <c r="J288" s="62"/>
      <c r="K288" s="44"/>
      <c r="L288" s="44"/>
      <c r="M288" s="44"/>
      <c r="N288" s="44"/>
      <c r="O288" s="44"/>
      <c r="P288" s="44"/>
      <c r="Q288" s="44"/>
    </row>
    <row r="289" spans="2:17" ht="15.5" customHeight="1" x14ac:dyDescent="0.35">
      <c r="B289" s="67">
        <v>45437</v>
      </c>
      <c r="C289" s="91">
        <v>7</v>
      </c>
      <c r="D289" s="98" t="s">
        <v>293</v>
      </c>
      <c r="E289" s="98"/>
      <c r="F289" s="93">
        <v>400000</v>
      </c>
      <c r="G289" s="91" t="s">
        <v>21</v>
      </c>
      <c r="H289" s="91">
        <v>1</v>
      </c>
      <c r="I289" s="61">
        <f t="shared" si="7"/>
        <v>400000</v>
      </c>
      <c r="J289" s="62"/>
      <c r="K289" s="44"/>
      <c r="L289" s="44"/>
      <c r="M289" s="44"/>
      <c r="N289" s="44"/>
      <c r="O289" s="44"/>
      <c r="P289" s="44"/>
      <c r="Q289" s="44"/>
    </row>
    <row r="290" spans="2:17" ht="15.5" customHeight="1" x14ac:dyDescent="0.35">
      <c r="B290" s="67">
        <v>45442</v>
      </c>
      <c r="C290" s="91">
        <v>8</v>
      </c>
      <c r="D290" s="98" t="s">
        <v>294</v>
      </c>
      <c r="E290" s="98"/>
      <c r="F290" s="93">
        <v>300000</v>
      </c>
      <c r="G290" s="91" t="s">
        <v>21</v>
      </c>
      <c r="H290" s="91">
        <v>1</v>
      </c>
      <c r="I290" s="61">
        <f t="shared" si="7"/>
        <v>300000</v>
      </c>
      <c r="J290" s="62"/>
      <c r="K290" s="44"/>
      <c r="L290" s="44"/>
      <c r="M290" s="44"/>
      <c r="N290" s="44"/>
      <c r="O290" s="44"/>
      <c r="P290" s="44"/>
      <c r="Q290" s="44"/>
    </row>
    <row r="291" spans="2:17" ht="15.5" customHeight="1" x14ac:dyDescent="0.35">
      <c r="B291" s="67">
        <v>45442</v>
      </c>
      <c r="C291" s="91">
        <v>9</v>
      </c>
      <c r="D291" s="95" t="s">
        <v>295</v>
      </c>
      <c r="E291" s="95"/>
      <c r="F291" s="93">
        <v>1326410</v>
      </c>
      <c r="G291" s="91" t="s">
        <v>21</v>
      </c>
      <c r="H291" s="91">
        <v>1</v>
      </c>
      <c r="I291" s="61">
        <f t="shared" si="7"/>
        <v>1326410</v>
      </c>
      <c r="J291" s="62"/>
      <c r="K291" s="44"/>
      <c r="L291" s="44"/>
      <c r="M291" s="44"/>
      <c r="N291" s="44"/>
      <c r="O291" s="44"/>
      <c r="P291" s="44"/>
      <c r="Q291" s="44"/>
    </row>
    <row r="292" spans="2:17" ht="15.5" customHeight="1" x14ac:dyDescent="0.35">
      <c r="B292" s="67"/>
      <c r="C292" s="117"/>
      <c r="D292" s="97" t="s">
        <v>168</v>
      </c>
      <c r="E292" s="97"/>
      <c r="F292" s="93"/>
      <c r="G292" s="91"/>
      <c r="H292" s="91"/>
      <c r="I292" s="62"/>
      <c r="J292" s="62"/>
      <c r="K292" s="44"/>
      <c r="L292" s="44"/>
      <c r="M292" s="44"/>
      <c r="N292" s="44"/>
      <c r="O292" s="44"/>
      <c r="P292" s="44"/>
      <c r="Q292" s="44"/>
    </row>
    <row r="293" spans="2:17" ht="15.5" customHeight="1" x14ac:dyDescent="0.35">
      <c r="B293" s="67">
        <v>45437</v>
      </c>
      <c r="C293" s="91">
        <v>9</v>
      </c>
      <c r="D293" s="95" t="s">
        <v>169</v>
      </c>
      <c r="E293" s="95"/>
      <c r="F293" s="99">
        <v>709300</v>
      </c>
      <c r="G293" s="91" t="s">
        <v>21</v>
      </c>
      <c r="H293" s="91">
        <v>1</v>
      </c>
      <c r="I293" s="62">
        <f>F293</f>
        <v>709300</v>
      </c>
      <c r="J293" s="62"/>
      <c r="K293" s="44"/>
      <c r="L293" s="44"/>
      <c r="M293" s="44"/>
      <c r="N293" s="44"/>
      <c r="O293" s="44"/>
      <c r="P293" s="44"/>
      <c r="Q293" s="44"/>
    </row>
    <row r="294" spans="2:17" ht="15.5" customHeight="1" x14ac:dyDescent="0.35">
      <c r="B294" s="67"/>
      <c r="C294" s="117"/>
      <c r="D294" s="97" t="s">
        <v>168</v>
      </c>
      <c r="E294" s="97"/>
      <c r="F294" s="93"/>
      <c r="G294" s="91"/>
      <c r="H294" s="91"/>
      <c r="I294" s="62"/>
      <c r="J294" s="62"/>
      <c r="K294" s="44"/>
      <c r="L294" s="44"/>
      <c r="M294" s="61"/>
      <c r="N294" s="44"/>
      <c r="O294" s="44"/>
      <c r="P294" s="44"/>
      <c r="Q294" s="44"/>
    </row>
    <row r="295" spans="2:17" ht="15.5" customHeight="1" x14ac:dyDescent="0.35">
      <c r="B295" s="67">
        <v>45437</v>
      </c>
      <c r="C295" s="91">
        <v>10</v>
      </c>
      <c r="D295" s="95" t="s">
        <v>245</v>
      </c>
      <c r="E295" s="95"/>
      <c r="F295" s="93">
        <v>900000</v>
      </c>
      <c r="G295" s="91" t="s">
        <v>21</v>
      </c>
      <c r="H295" s="91">
        <v>1</v>
      </c>
      <c r="I295" s="62">
        <f>F295</f>
        <v>900000</v>
      </c>
      <c r="J295" s="62"/>
      <c r="K295" s="44"/>
      <c r="L295" s="44"/>
      <c r="M295" s="61"/>
      <c r="N295" s="44"/>
      <c r="O295" s="44"/>
      <c r="P295" s="44"/>
      <c r="Q295" s="44"/>
    </row>
    <row r="296" spans="2:17" ht="15.5" customHeight="1" x14ac:dyDescent="0.35">
      <c r="B296" s="67"/>
      <c r="C296" s="117"/>
      <c r="D296" s="97" t="s">
        <v>171</v>
      </c>
      <c r="E296" s="97"/>
      <c r="F296" s="93"/>
      <c r="G296" s="91"/>
      <c r="H296" s="91"/>
      <c r="I296" s="62"/>
      <c r="J296" s="62"/>
      <c r="K296" s="44"/>
      <c r="L296" s="44"/>
      <c r="M296" s="61"/>
      <c r="N296" s="44"/>
      <c r="O296" s="44"/>
      <c r="P296" s="44"/>
      <c r="Q296" s="44"/>
    </row>
    <row r="297" spans="2:17" ht="15.5" customHeight="1" x14ac:dyDescent="0.35">
      <c r="B297" s="67">
        <v>45437</v>
      </c>
      <c r="C297" s="117">
        <v>11</v>
      </c>
      <c r="D297" s="95" t="s">
        <v>296</v>
      </c>
      <c r="E297" s="95"/>
      <c r="F297" s="93">
        <v>600</v>
      </c>
      <c r="G297" s="91" t="s">
        <v>173</v>
      </c>
      <c r="H297" s="100">
        <v>16196</v>
      </c>
      <c r="I297" s="62">
        <f>H297*F297</f>
        <v>9717600</v>
      </c>
      <c r="J297" s="62"/>
      <c r="K297" s="44"/>
      <c r="L297" s="44"/>
      <c r="M297" s="61"/>
      <c r="N297" s="44"/>
      <c r="O297" s="44"/>
      <c r="P297" s="44"/>
      <c r="Q297" s="44"/>
    </row>
    <row r="298" spans="2:17" ht="15.5" customHeight="1" x14ac:dyDescent="0.35">
      <c r="B298" s="78" t="s">
        <v>297</v>
      </c>
      <c r="C298" s="85" t="s">
        <v>2</v>
      </c>
      <c r="D298" s="86" t="s">
        <v>298</v>
      </c>
      <c r="E298" s="86"/>
      <c r="F298" s="87"/>
      <c r="G298" s="73"/>
      <c r="H298" s="73"/>
      <c r="I298" s="78"/>
      <c r="J298" s="90"/>
      <c r="K298" s="78"/>
      <c r="L298" s="78"/>
      <c r="M298" s="101"/>
      <c r="N298" s="78"/>
      <c r="O298" s="78"/>
      <c r="P298" s="78"/>
      <c r="Q298" s="78"/>
    </row>
    <row r="299" spans="2:17" ht="15.5" customHeight="1" x14ac:dyDescent="0.35">
      <c r="B299" s="14"/>
      <c r="C299" s="15"/>
      <c r="D299" s="106" t="s">
        <v>299</v>
      </c>
      <c r="E299" s="106"/>
      <c r="F299" s="21"/>
      <c r="G299" s="15"/>
      <c r="H299" s="15"/>
      <c r="I299" s="62"/>
      <c r="J299" s="62"/>
      <c r="K299" s="44"/>
      <c r="L299" s="44"/>
      <c r="M299" s="62"/>
      <c r="N299" s="44"/>
      <c r="O299" s="44"/>
      <c r="P299" s="44"/>
      <c r="Q299" s="44"/>
    </row>
    <row r="300" spans="2:17" ht="15.5" customHeight="1" x14ac:dyDescent="0.35">
      <c r="B300" s="14">
        <v>45450</v>
      </c>
      <c r="C300" s="15">
        <v>1</v>
      </c>
      <c r="D300" s="18" t="s">
        <v>300</v>
      </c>
      <c r="E300" s="18"/>
      <c r="F300" s="21">
        <v>9693878</v>
      </c>
      <c r="G300" s="15" t="s">
        <v>21</v>
      </c>
      <c r="H300" s="15">
        <v>1</v>
      </c>
      <c r="I300" s="61">
        <f>$F300*$H300</f>
        <v>9693878</v>
      </c>
      <c r="J300" s="62"/>
      <c r="K300" s="44"/>
      <c r="L300" s="44"/>
      <c r="M300" s="61"/>
      <c r="N300" s="44"/>
      <c r="O300" s="44"/>
      <c r="P300" s="44"/>
      <c r="Q300" s="44"/>
    </row>
    <row r="301" spans="2:17" ht="15.5" customHeight="1" x14ac:dyDescent="0.35">
      <c r="B301" s="102"/>
      <c r="C301" s="15"/>
      <c r="D301" s="106" t="s">
        <v>149</v>
      </c>
      <c r="E301" s="106"/>
      <c r="F301" s="21"/>
      <c r="G301" s="15"/>
      <c r="H301" s="15"/>
      <c r="I301" s="62"/>
      <c r="J301" s="62"/>
      <c r="K301" s="44"/>
      <c r="L301" s="44"/>
      <c r="M301" s="62"/>
      <c r="N301" s="44"/>
      <c r="O301" s="44"/>
      <c r="P301" s="44"/>
      <c r="Q301" s="44"/>
    </row>
    <row r="302" spans="2:17" ht="15.5" customHeight="1" x14ac:dyDescent="0.35">
      <c r="B302" s="107">
        <v>45448</v>
      </c>
      <c r="C302" s="15">
        <v>2</v>
      </c>
      <c r="D302" s="113" t="s">
        <v>301</v>
      </c>
      <c r="E302" s="113"/>
      <c r="F302" s="21">
        <f>120000+113000</f>
        <v>233000</v>
      </c>
      <c r="G302" s="15" t="s">
        <v>21</v>
      </c>
      <c r="H302" s="15">
        <v>1</v>
      </c>
      <c r="I302" s="61">
        <f>$H302*$F302</f>
        <v>233000</v>
      </c>
      <c r="J302" s="62"/>
      <c r="K302" s="44"/>
      <c r="L302" s="44"/>
      <c r="M302" s="61"/>
      <c r="N302" s="44"/>
      <c r="O302" s="44"/>
      <c r="P302" s="44"/>
      <c r="Q302" s="44"/>
    </row>
    <row r="303" spans="2:17" ht="15.5" customHeight="1" x14ac:dyDescent="0.35">
      <c r="B303" s="107">
        <v>45449</v>
      </c>
      <c r="C303" s="15">
        <v>3</v>
      </c>
      <c r="D303" s="113" t="s">
        <v>302</v>
      </c>
      <c r="E303" s="113"/>
      <c r="F303" s="21">
        <f>25000+10000+25000+3000+10000</f>
        <v>73000</v>
      </c>
      <c r="G303" s="15" t="s">
        <v>21</v>
      </c>
      <c r="H303" s="15">
        <v>1</v>
      </c>
      <c r="I303" s="61">
        <f>$H303*$F303</f>
        <v>73000</v>
      </c>
      <c r="J303" s="62"/>
      <c r="K303" s="44"/>
      <c r="L303" s="44"/>
      <c r="M303" s="44"/>
      <c r="N303" s="44"/>
      <c r="O303" s="44"/>
      <c r="P303" s="44"/>
      <c r="Q303" s="44"/>
    </row>
    <row r="304" spans="2:17" ht="15.5" customHeight="1" x14ac:dyDescent="0.35">
      <c r="B304" s="102">
        <v>45450</v>
      </c>
      <c r="C304" s="15">
        <v>4</v>
      </c>
      <c r="D304" s="63" t="s">
        <v>303</v>
      </c>
      <c r="E304" s="63"/>
      <c r="F304" s="21">
        <f>25000+10000+16000+3000+5000</f>
        <v>59000</v>
      </c>
      <c r="G304" s="15" t="s">
        <v>21</v>
      </c>
      <c r="H304" s="15">
        <v>1</v>
      </c>
      <c r="I304" s="61">
        <f>$H304*$F304</f>
        <v>59000</v>
      </c>
      <c r="J304" s="62"/>
      <c r="K304" s="44"/>
      <c r="L304" s="44"/>
      <c r="M304" s="61"/>
      <c r="N304" s="44"/>
      <c r="O304" s="44"/>
      <c r="P304" s="44"/>
      <c r="Q304" s="44"/>
    </row>
    <row r="305" spans="2:17" ht="15.5" customHeight="1" x14ac:dyDescent="0.35">
      <c r="B305" s="78" t="s">
        <v>304</v>
      </c>
      <c r="C305" s="85" t="s">
        <v>2</v>
      </c>
      <c r="D305" s="86" t="s">
        <v>305</v>
      </c>
      <c r="E305" s="86"/>
      <c r="F305" s="87"/>
      <c r="G305" s="73"/>
      <c r="H305" s="73"/>
      <c r="I305" s="78"/>
      <c r="J305" s="90"/>
      <c r="K305" s="78"/>
      <c r="L305" s="78"/>
      <c r="M305" s="78"/>
      <c r="N305" s="101"/>
      <c r="O305" s="78"/>
      <c r="P305" s="78"/>
      <c r="Q305" s="78"/>
    </row>
    <row r="306" spans="2:17" ht="15.5" customHeight="1" x14ac:dyDescent="0.35">
      <c r="B306" s="67"/>
      <c r="C306" s="91"/>
      <c r="D306" s="97" t="s">
        <v>158</v>
      </c>
      <c r="E306" s="97"/>
      <c r="F306" s="103"/>
      <c r="G306" s="91"/>
      <c r="H306" s="91"/>
      <c r="I306" s="104"/>
      <c r="J306" s="62"/>
      <c r="K306" s="62"/>
      <c r="L306" s="62"/>
      <c r="M306" s="62"/>
      <c r="N306" s="62"/>
      <c r="O306" s="62"/>
      <c r="P306" s="62"/>
      <c r="Q306" s="62"/>
    </row>
    <row r="307" spans="2:17" ht="15.5" customHeight="1" x14ac:dyDescent="0.35">
      <c r="B307" s="67">
        <v>45428</v>
      </c>
      <c r="C307" s="91">
        <v>1</v>
      </c>
      <c r="D307" s="95" t="s">
        <v>306</v>
      </c>
      <c r="E307" s="95"/>
      <c r="F307" s="103">
        <v>720000</v>
      </c>
      <c r="G307" s="91" t="s">
        <v>21</v>
      </c>
      <c r="H307" s="91">
        <v>1</v>
      </c>
      <c r="I307" s="104">
        <f>F307</f>
        <v>720000</v>
      </c>
      <c r="J307" s="62"/>
      <c r="K307" s="44"/>
      <c r="L307" s="44"/>
      <c r="M307" s="44"/>
      <c r="N307" s="44"/>
      <c r="O307" s="44"/>
      <c r="P307" s="44"/>
      <c r="Q307" s="44"/>
    </row>
    <row r="308" spans="2:17" ht="15.5" customHeight="1" x14ac:dyDescent="0.35">
      <c r="B308" s="67">
        <v>45428</v>
      </c>
      <c r="C308" s="91">
        <v>2</v>
      </c>
      <c r="D308" s="95" t="s">
        <v>251</v>
      </c>
      <c r="E308" s="95"/>
      <c r="F308" s="103">
        <f>4*50000</f>
        <v>200000</v>
      </c>
      <c r="G308" s="91" t="s">
        <v>21</v>
      </c>
      <c r="H308" s="91">
        <v>1</v>
      </c>
      <c r="I308" s="61">
        <f>F308</f>
        <v>200000</v>
      </c>
      <c r="J308" s="62"/>
      <c r="K308" s="44"/>
      <c r="L308" s="44"/>
      <c r="M308" s="44"/>
      <c r="N308" s="44"/>
      <c r="O308" s="44"/>
      <c r="P308" s="44"/>
      <c r="Q308" s="44"/>
    </row>
    <row r="309" spans="2:17" ht="15.5" customHeight="1" x14ac:dyDescent="0.35">
      <c r="B309" s="67"/>
      <c r="C309" s="91"/>
      <c r="D309" s="97" t="s">
        <v>149</v>
      </c>
      <c r="E309" s="97"/>
      <c r="F309" s="103"/>
      <c r="G309" s="91"/>
      <c r="H309" s="91"/>
      <c r="I309" s="104"/>
      <c r="J309" s="62"/>
      <c r="K309" s="44"/>
      <c r="L309" s="44"/>
      <c r="M309" s="44"/>
      <c r="N309" s="44"/>
      <c r="O309" s="44"/>
      <c r="P309" s="44"/>
      <c r="Q309" s="44"/>
    </row>
    <row r="310" spans="2:17" ht="15.5" customHeight="1" x14ac:dyDescent="0.35">
      <c r="B310" s="67">
        <v>45428</v>
      </c>
      <c r="C310" s="91">
        <v>3</v>
      </c>
      <c r="D310" s="95" t="s">
        <v>307</v>
      </c>
      <c r="E310" s="95"/>
      <c r="F310" s="103">
        <v>995500</v>
      </c>
      <c r="G310" s="91" t="s">
        <v>21</v>
      </c>
      <c r="H310" s="91">
        <v>1</v>
      </c>
      <c r="I310" s="61">
        <f t="shared" ref="I310:I316" si="8">$H310*$F310</f>
        <v>995500</v>
      </c>
      <c r="J310" s="62"/>
      <c r="K310" s="44"/>
      <c r="L310" s="44"/>
      <c r="M310" s="44"/>
      <c r="N310" s="44"/>
      <c r="O310" s="44"/>
      <c r="P310" s="44"/>
      <c r="Q310" s="44"/>
    </row>
    <row r="311" spans="2:17" ht="15.5" customHeight="1" x14ac:dyDescent="0.35">
      <c r="B311" s="67">
        <v>45428</v>
      </c>
      <c r="C311" s="91">
        <v>4</v>
      </c>
      <c r="D311" s="95" t="s">
        <v>176</v>
      </c>
      <c r="E311" s="95"/>
      <c r="F311" s="103">
        <v>273500</v>
      </c>
      <c r="G311" s="91" t="s">
        <v>21</v>
      </c>
      <c r="H311" s="91">
        <v>1</v>
      </c>
      <c r="I311" s="61">
        <f t="shared" si="8"/>
        <v>273500</v>
      </c>
      <c r="J311" s="62"/>
      <c r="K311" s="44"/>
      <c r="L311" s="44"/>
      <c r="M311" s="61"/>
      <c r="N311" s="44"/>
      <c r="O311" s="44"/>
      <c r="P311" s="44"/>
      <c r="Q311" s="44"/>
    </row>
    <row r="312" spans="2:17" ht="15.5" customHeight="1" x14ac:dyDescent="0.35">
      <c r="B312" s="67">
        <v>45428</v>
      </c>
      <c r="C312" s="91">
        <v>5</v>
      </c>
      <c r="D312" s="95" t="s">
        <v>308</v>
      </c>
      <c r="E312" s="95"/>
      <c r="F312" s="103">
        <v>224000</v>
      </c>
      <c r="G312" s="91" t="s">
        <v>21</v>
      </c>
      <c r="H312" s="91">
        <v>1</v>
      </c>
      <c r="I312" s="61">
        <f t="shared" si="8"/>
        <v>224000</v>
      </c>
      <c r="J312" s="62"/>
      <c r="K312" s="44"/>
      <c r="L312" s="44"/>
      <c r="M312" s="61"/>
      <c r="N312" s="44"/>
      <c r="O312" s="44"/>
      <c r="P312" s="44"/>
      <c r="Q312" s="44"/>
    </row>
    <row r="313" spans="2:17" ht="15.5" customHeight="1" x14ac:dyDescent="0.35">
      <c r="B313" s="67">
        <v>45428</v>
      </c>
      <c r="C313" s="91">
        <v>6</v>
      </c>
      <c r="D313" s="95" t="s">
        <v>309</v>
      </c>
      <c r="E313" s="95"/>
      <c r="F313" s="103">
        <v>2000000</v>
      </c>
      <c r="G313" s="91" t="s">
        <v>21</v>
      </c>
      <c r="H313" s="91">
        <v>1</v>
      </c>
      <c r="I313" s="61">
        <f t="shared" si="8"/>
        <v>2000000</v>
      </c>
      <c r="J313" s="62"/>
      <c r="K313" s="44"/>
      <c r="L313" s="44"/>
      <c r="M313" s="62"/>
      <c r="N313" s="44"/>
      <c r="O313" s="44"/>
      <c r="P313" s="44"/>
      <c r="Q313" s="44"/>
    </row>
    <row r="314" spans="2:17" ht="15.5" customHeight="1" x14ac:dyDescent="0.35">
      <c r="B314" s="67">
        <v>45428</v>
      </c>
      <c r="C314" s="91">
        <v>7</v>
      </c>
      <c r="D314" s="98" t="s">
        <v>293</v>
      </c>
      <c r="E314" s="98"/>
      <c r="F314" s="103">
        <v>330000</v>
      </c>
      <c r="G314" s="91" t="s">
        <v>21</v>
      </c>
      <c r="H314" s="91">
        <v>1</v>
      </c>
      <c r="I314" s="61">
        <f t="shared" si="8"/>
        <v>330000</v>
      </c>
      <c r="J314" s="62"/>
      <c r="K314" s="44"/>
      <c r="L314" s="44"/>
      <c r="M314" s="61"/>
      <c r="N314" s="44"/>
      <c r="O314" s="44"/>
      <c r="P314" s="44"/>
      <c r="Q314" s="44"/>
    </row>
    <row r="315" spans="2:17" ht="15.5" customHeight="1" x14ac:dyDescent="0.35">
      <c r="B315" s="67">
        <v>45428</v>
      </c>
      <c r="C315" s="91">
        <v>8</v>
      </c>
      <c r="D315" s="98" t="s">
        <v>310</v>
      </c>
      <c r="E315" s="98"/>
      <c r="F315" s="103">
        <v>270000</v>
      </c>
      <c r="G315" s="91" t="s">
        <v>21</v>
      </c>
      <c r="H315" s="91">
        <v>1</v>
      </c>
      <c r="I315" s="61">
        <f t="shared" si="8"/>
        <v>270000</v>
      </c>
      <c r="J315" s="62"/>
      <c r="K315" s="44"/>
      <c r="L315" s="44"/>
      <c r="M315" s="61"/>
      <c r="N315" s="44"/>
      <c r="O315" s="44"/>
      <c r="P315" s="44"/>
      <c r="Q315" s="44"/>
    </row>
    <row r="316" spans="2:17" ht="15.5" customHeight="1" x14ac:dyDescent="0.35">
      <c r="B316" s="67">
        <v>45428</v>
      </c>
      <c r="C316" s="91">
        <v>9</v>
      </c>
      <c r="D316" s="95" t="s">
        <v>311</v>
      </c>
      <c r="E316" s="95"/>
      <c r="F316" s="103">
        <v>1004000</v>
      </c>
      <c r="G316" s="91" t="s">
        <v>21</v>
      </c>
      <c r="H316" s="91">
        <v>1</v>
      </c>
      <c r="I316" s="61">
        <f t="shared" si="8"/>
        <v>1004000</v>
      </c>
      <c r="J316" s="62"/>
      <c r="K316" s="44"/>
      <c r="L316" s="44"/>
      <c r="M316" s="61"/>
      <c r="N316" s="44"/>
      <c r="O316" s="44"/>
      <c r="P316" s="44"/>
      <c r="Q316" s="44"/>
    </row>
    <row r="317" spans="2:17" ht="15.5" customHeight="1" x14ac:dyDescent="0.35">
      <c r="B317" s="67"/>
      <c r="C317" s="117"/>
      <c r="D317" s="97" t="s">
        <v>162</v>
      </c>
      <c r="E317" s="97"/>
      <c r="F317" s="103"/>
      <c r="G317" s="91"/>
      <c r="H317" s="91"/>
      <c r="I317" s="62"/>
      <c r="J317" s="62"/>
      <c r="K317" s="44"/>
      <c r="L317" s="44"/>
      <c r="M317" s="61"/>
      <c r="N317" s="44"/>
      <c r="O317" s="44"/>
      <c r="P317" s="44"/>
      <c r="Q317" s="44"/>
    </row>
    <row r="318" spans="2:17" ht="15.5" customHeight="1" x14ac:dyDescent="0.35">
      <c r="B318" s="67">
        <v>45428</v>
      </c>
      <c r="C318" s="91">
        <v>9</v>
      </c>
      <c r="D318" s="95" t="s">
        <v>312</v>
      </c>
      <c r="E318" s="95"/>
      <c r="F318" s="99">
        <v>2371000</v>
      </c>
      <c r="G318" s="91" t="s">
        <v>21</v>
      </c>
      <c r="H318" s="91">
        <v>1</v>
      </c>
      <c r="I318" s="62"/>
      <c r="J318" s="62"/>
      <c r="K318" s="44"/>
      <c r="L318" s="44"/>
      <c r="M318" s="61"/>
      <c r="N318" s="62">
        <f>F318</f>
        <v>2371000</v>
      </c>
      <c r="O318" s="44"/>
      <c r="P318" s="44"/>
      <c r="Q318" s="44"/>
    </row>
    <row r="319" spans="2:17" ht="15.5" customHeight="1" x14ac:dyDescent="0.35">
      <c r="B319" s="67"/>
      <c r="C319" s="117"/>
      <c r="D319" s="97" t="s">
        <v>168</v>
      </c>
      <c r="E319" s="97"/>
      <c r="F319" s="103"/>
      <c r="G319" s="91"/>
      <c r="H319" s="91"/>
      <c r="I319" s="62"/>
      <c r="J319" s="62"/>
      <c r="K319" s="44"/>
      <c r="L319" s="44"/>
      <c r="M319" s="61"/>
      <c r="N319" s="44"/>
      <c r="O319" s="44"/>
      <c r="P319" s="44"/>
      <c r="Q319" s="44"/>
    </row>
    <row r="320" spans="2:17" ht="15.5" customHeight="1" x14ac:dyDescent="0.35">
      <c r="B320" s="67">
        <v>45428</v>
      </c>
      <c r="C320" s="91">
        <v>10</v>
      </c>
      <c r="D320" s="95" t="s">
        <v>253</v>
      </c>
      <c r="E320" s="95"/>
      <c r="F320" s="103">
        <f>4*150000</f>
        <v>600000</v>
      </c>
      <c r="G320" s="91" t="s">
        <v>21</v>
      </c>
      <c r="H320" s="91">
        <v>1</v>
      </c>
      <c r="I320" s="62">
        <f>F320</f>
        <v>600000</v>
      </c>
      <c r="J320" s="62"/>
      <c r="K320" s="44"/>
      <c r="L320" s="44"/>
      <c r="M320" s="61"/>
      <c r="N320" s="44"/>
      <c r="O320" s="44"/>
      <c r="P320" s="44"/>
      <c r="Q320" s="44"/>
    </row>
    <row r="321" spans="2:17" ht="15.5" customHeight="1" x14ac:dyDescent="0.35">
      <c r="B321" s="67"/>
      <c r="C321" s="117"/>
      <c r="D321" s="97" t="s">
        <v>171</v>
      </c>
      <c r="E321" s="97"/>
      <c r="F321" s="103"/>
      <c r="G321" s="91"/>
      <c r="H321" s="91"/>
      <c r="I321" s="62"/>
      <c r="J321" s="62"/>
      <c r="K321" s="44"/>
      <c r="L321" s="44"/>
      <c r="M321" s="62"/>
      <c r="N321" s="44"/>
      <c r="O321" s="44"/>
      <c r="P321" s="44"/>
      <c r="Q321" s="44"/>
    </row>
    <row r="322" spans="2:17" ht="15.5" customHeight="1" x14ac:dyDescent="0.35">
      <c r="B322" s="67">
        <v>45428</v>
      </c>
      <c r="C322" s="117">
        <v>11</v>
      </c>
      <c r="D322" s="95" t="s">
        <v>313</v>
      </c>
      <c r="E322" s="95"/>
      <c r="F322" s="103">
        <f>4*100</f>
        <v>400</v>
      </c>
      <c r="G322" s="91" t="s">
        <v>173</v>
      </c>
      <c r="H322" s="100">
        <v>16378</v>
      </c>
      <c r="I322" s="62">
        <f>H322*F322</f>
        <v>6551200</v>
      </c>
      <c r="J322" s="62"/>
      <c r="K322" s="44"/>
      <c r="L322" s="44"/>
      <c r="M322" s="61"/>
      <c r="N322" s="44"/>
      <c r="O322" s="44"/>
      <c r="P322" s="44"/>
      <c r="Q322" s="44"/>
    </row>
    <row r="323" spans="2:17" ht="15.5" customHeight="1" x14ac:dyDescent="0.35">
      <c r="B323" s="78" t="s">
        <v>314</v>
      </c>
      <c r="C323" s="85" t="s">
        <v>2</v>
      </c>
      <c r="D323" s="86" t="s">
        <v>315</v>
      </c>
      <c r="E323" s="86"/>
      <c r="F323" s="87"/>
      <c r="G323" s="73"/>
      <c r="H323" s="73"/>
      <c r="I323" s="78"/>
      <c r="J323" s="90"/>
      <c r="K323" s="78"/>
      <c r="L323" s="78"/>
      <c r="M323" s="90"/>
      <c r="N323" s="78"/>
      <c r="O323" s="78"/>
      <c r="P323" s="78"/>
      <c r="Q323" s="78"/>
    </row>
    <row r="324" spans="2:17" ht="15.5" customHeight="1" x14ac:dyDescent="0.35">
      <c r="B324" s="67"/>
      <c r="C324" s="91"/>
      <c r="D324" s="97" t="s">
        <v>149</v>
      </c>
      <c r="E324" s="97"/>
      <c r="F324" s="103"/>
      <c r="G324" s="91"/>
      <c r="H324" s="91"/>
      <c r="I324" s="62"/>
      <c r="J324" s="62"/>
      <c r="K324" s="44"/>
      <c r="L324" s="44"/>
      <c r="M324" s="61"/>
      <c r="N324" s="44"/>
      <c r="O324" s="44"/>
      <c r="P324" s="44"/>
      <c r="Q324" s="44"/>
    </row>
    <row r="325" spans="2:17" ht="15.5" customHeight="1" x14ac:dyDescent="0.35">
      <c r="B325" s="67">
        <v>45478</v>
      </c>
      <c r="C325" s="91">
        <v>1</v>
      </c>
      <c r="D325" s="95" t="s">
        <v>316</v>
      </c>
      <c r="E325" s="95"/>
      <c r="F325" s="103">
        <f>288715+306089</f>
        <v>594804</v>
      </c>
      <c r="G325" s="91" t="s">
        <v>21</v>
      </c>
      <c r="H325" s="91">
        <v>1</v>
      </c>
      <c r="I325" s="61">
        <f>$H325*$F325</f>
        <v>594804</v>
      </c>
      <c r="J325" s="62"/>
      <c r="K325" s="44"/>
      <c r="L325" s="44"/>
      <c r="M325" s="61"/>
      <c r="N325" s="44"/>
      <c r="O325" s="44"/>
      <c r="P325" s="44"/>
      <c r="Q325" s="44"/>
    </row>
    <row r="326" spans="2:17" ht="15.5" customHeight="1" x14ac:dyDescent="0.35">
      <c r="B326" s="67"/>
      <c r="C326" s="91"/>
      <c r="D326" s="97" t="s">
        <v>162</v>
      </c>
      <c r="E326" s="97"/>
      <c r="F326" s="103"/>
      <c r="G326" s="91"/>
      <c r="H326" s="91"/>
      <c r="I326" s="62"/>
      <c r="J326" s="62"/>
      <c r="K326" s="44"/>
      <c r="L326" s="44"/>
      <c r="M326" s="62"/>
      <c r="N326" s="44"/>
      <c r="O326" s="44"/>
      <c r="P326" s="44"/>
      <c r="Q326" s="44"/>
    </row>
    <row r="327" spans="2:17" ht="15.5" customHeight="1" x14ac:dyDescent="0.35">
      <c r="B327" s="67">
        <v>45483</v>
      </c>
      <c r="C327" s="91">
        <v>2</v>
      </c>
      <c r="D327" s="95" t="s">
        <v>317</v>
      </c>
      <c r="E327" s="95"/>
      <c r="F327" s="103">
        <v>381960</v>
      </c>
      <c r="G327" s="91" t="s">
        <v>21</v>
      </c>
      <c r="H327" s="91">
        <v>1</v>
      </c>
      <c r="I327" s="62"/>
      <c r="J327" s="62"/>
      <c r="K327" s="44"/>
      <c r="L327" s="44"/>
      <c r="M327" s="61"/>
      <c r="N327" s="61">
        <f>F327</f>
        <v>381960</v>
      </c>
      <c r="O327" s="44"/>
      <c r="P327" s="44"/>
      <c r="Q327" s="44"/>
    </row>
    <row r="328" spans="2:17" ht="15.5" customHeight="1" x14ac:dyDescent="0.35">
      <c r="B328" s="67">
        <v>45483</v>
      </c>
      <c r="C328" s="91">
        <v>3</v>
      </c>
      <c r="D328" s="95" t="s">
        <v>318</v>
      </c>
      <c r="E328" s="95"/>
      <c r="F328" s="103">
        <v>3595000</v>
      </c>
      <c r="G328" s="91" t="s">
        <v>21</v>
      </c>
      <c r="H328" s="91">
        <v>1</v>
      </c>
      <c r="I328" s="62"/>
      <c r="J328" s="62"/>
      <c r="K328" s="44"/>
      <c r="L328" s="44"/>
      <c r="M328" s="61"/>
      <c r="N328" s="61">
        <f>F328</f>
        <v>3595000</v>
      </c>
      <c r="O328" s="44"/>
      <c r="P328" s="44"/>
      <c r="Q328" s="44"/>
    </row>
    <row r="329" spans="2:17" ht="15.5" customHeight="1" x14ac:dyDescent="0.35">
      <c r="B329" s="78" t="s">
        <v>319</v>
      </c>
      <c r="C329" s="85" t="s">
        <v>2</v>
      </c>
      <c r="D329" s="86" t="s">
        <v>320</v>
      </c>
      <c r="E329" s="86"/>
      <c r="F329" s="87"/>
      <c r="G329" s="73"/>
      <c r="H329" s="73"/>
      <c r="I329" s="78"/>
      <c r="J329" s="90"/>
      <c r="K329" s="78"/>
      <c r="L329" s="78"/>
      <c r="M329" s="101"/>
      <c r="N329" s="78"/>
      <c r="O329" s="78"/>
      <c r="P329" s="78"/>
      <c r="Q329" s="78"/>
    </row>
    <row r="330" spans="2:17" ht="15.5" customHeight="1" x14ac:dyDescent="0.35">
      <c r="B330" s="67"/>
      <c r="C330" s="91"/>
      <c r="D330" s="97" t="s">
        <v>158</v>
      </c>
      <c r="E330" s="97"/>
      <c r="F330" s="93"/>
      <c r="G330" s="91"/>
      <c r="H330" s="91"/>
      <c r="I330" s="44"/>
      <c r="J330" s="44"/>
      <c r="K330" s="44"/>
      <c r="L330" s="44"/>
      <c r="M330" s="44"/>
      <c r="N330" s="44"/>
      <c r="O330" s="44"/>
      <c r="P330" s="44"/>
      <c r="Q330" s="44"/>
    </row>
    <row r="331" spans="2:17" ht="15.5" customHeight="1" x14ac:dyDescent="0.35">
      <c r="B331" s="67">
        <v>45481</v>
      </c>
      <c r="C331" s="91">
        <v>1</v>
      </c>
      <c r="D331" s="95" t="s">
        <v>321</v>
      </c>
      <c r="E331" s="95"/>
      <c r="F331" s="93">
        <v>344305</v>
      </c>
      <c r="G331" s="91" t="s">
        <v>21</v>
      </c>
      <c r="H331" s="91">
        <v>1</v>
      </c>
      <c r="I331" s="104">
        <f>F331</f>
        <v>344305</v>
      </c>
      <c r="J331" s="62"/>
      <c r="K331" s="44"/>
      <c r="L331" s="44"/>
      <c r="M331" s="44"/>
      <c r="N331" s="44"/>
      <c r="O331" s="44"/>
      <c r="P331" s="44"/>
      <c r="Q331" s="44"/>
    </row>
    <row r="332" spans="2:17" ht="15.5" customHeight="1" x14ac:dyDescent="0.35">
      <c r="B332" s="67">
        <v>45481</v>
      </c>
      <c r="C332" s="91">
        <v>2</v>
      </c>
      <c r="D332" s="98" t="s">
        <v>322</v>
      </c>
      <c r="E332" s="98"/>
      <c r="F332" s="93">
        <v>10</v>
      </c>
      <c r="G332" s="91" t="s">
        <v>323</v>
      </c>
      <c r="H332" s="91">
        <v>3462</v>
      </c>
      <c r="I332" s="61">
        <f>H332*F332</f>
        <v>34620</v>
      </c>
      <c r="J332" s="62"/>
      <c r="K332" s="44"/>
      <c r="L332" s="44"/>
      <c r="M332" s="44"/>
      <c r="N332" s="44"/>
      <c r="O332" s="44"/>
      <c r="P332" s="44"/>
      <c r="Q332" s="44"/>
    </row>
    <row r="333" spans="2:17" ht="15.5" customHeight="1" x14ac:dyDescent="0.35">
      <c r="B333" s="67"/>
      <c r="C333" s="91"/>
      <c r="D333" s="97" t="s">
        <v>149</v>
      </c>
      <c r="E333" s="97"/>
      <c r="F333" s="93"/>
      <c r="G333" s="91"/>
      <c r="H333" s="91"/>
      <c r="I333" s="62"/>
      <c r="J333" s="62"/>
      <c r="K333" s="44"/>
      <c r="L333" s="44"/>
      <c r="M333" s="44"/>
      <c r="N333" s="44"/>
      <c r="O333" s="44"/>
      <c r="P333" s="44"/>
      <c r="Q333" s="44"/>
    </row>
    <row r="334" spans="2:17" ht="15.5" customHeight="1" x14ac:dyDescent="0.35">
      <c r="B334" s="67">
        <v>45481</v>
      </c>
      <c r="C334" s="91">
        <v>3</v>
      </c>
      <c r="D334" s="95" t="s">
        <v>324</v>
      </c>
      <c r="E334" s="95"/>
      <c r="F334" s="93">
        <v>4912100</v>
      </c>
      <c r="G334" s="91" t="s">
        <v>21</v>
      </c>
      <c r="H334" s="91">
        <v>1</v>
      </c>
      <c r="I334" s="61">
        <f t="shared" ref="I334:I339" si="9">$H334*$F334</f>
        <v>4912100</v>
      </c>
      <c r="J334" s="62"/>
      <c r="K334" s="44"/>
      <c r="L334" s="44"/>
      <c r="M334" s="44"/>
      <c r="N334" s="44"/>
      <c r="O334" s="44"/>
      <c r="P334" s="44"/>
      <c r="Q334" s="44"/>
    </row>
    <row r="335" spans="2:17" ht="15.5" customHeight="1" x14ac:dyDescent="0.35">
      <c r="B335" s="67">
        <v>45481</v>
      </c>
      <c r="C335" s="91">
        <v>4</v>
      </c>
      <c r="D335" s="98" t="s">
        <v>325</v>
      </c>
      <c r="E335" s="98"/>
      <c r="F335" s="93">
        <v>250000</v>
      </c>
      <c r="G335" s="91" t="s">
        <v>21</v>
      </c>
      <c r="H335" s="91">
        <v>1</v>
      </c>
      <c r="I335" s="61">
        <f t="shared" si="9"/>
        <v>250000</v>
      </c>
      <c r="J335" s="62"/>
      <c r="K335" s="44"/>
      <c r="L335" s="44"/>
      <c r="M335" s="44"/>
      <c r="N335" s="44"/>
      <c r="O335" s="44"/>
      <c r="P335" s="44"/>
      <c r="Q335" s="44"/>
    </row>
    <row r="336" spans="2:17" ht="15.5" customHeight="1" x14ac:dyDescent="0.35">
      <c r="B336" s="67">
        <v>45481</v>
      </c>
      <c r="C336" s="91">
        <v>5</v>
      </c>
      <c r="D336" s="98" t="s">
        <v>326</v>
      </c>
      <c r="E336" s="98"/>
      <c r="F336" s="93">
        <v>72</v>
      </c>
      <c r="G336" s="91" t="s">
        <v>323</v>
      </c>
      <c r="H336" s="91">
        <v>3462</v>
      </c>
      <c r="I336" s="61">
        <f t="shared" si="9"/>
        <v>249264</v>
      </c>
      <c r="J336" s="62"/>
      <c r="K336" s="44"/>
      <c r="L336" s="44"/>
      <c r="M336" s="44"/>
      <c r="N336" s="44"/>
      <c r="O336" s="44"/>
      <c r="P336" s="44"/>
      <c r="Q336" s="44"/>
    </row>
    <row r="337" spans="2:17" ht="15.5" customHeight="1" x14ac:dyDescent="0.35">
      <c r="B337" s="67">
        <v>45482</v>
      </c>
      <c r="C337" s="91">
        <v>6</v>
      </c>
      <c r="D337" s="95" t="s">
        <v>327</v>
      </c>
      <c r="E337" s="95"/>
      <c r="F337" s="93">
        <v>8</v>
      </c>
      <c r="G337" s="91" t="s">
        <v>323</v>
      </c>
      <c r="H337" s="91">
        <v>3462</v>
      </c>
      <c r="I337" s="61">
        <f t="shared" si="9"/>
        <v>27696</v>
      </c>
      <c r="J337" s="62"/>
      <c r="K337" s="44"/>
      <c r="L337" s="44"/>
      <c r="M337" s="44"/>
      <c r="N337" s="44"/>
      <c r="O337" s="44"/>
      <c r="P337" s="44"/>
      <c r="Q337" s="44"/>
    </row>
    <row r="338" spans="2:17" ht="15.5" customHeight="1" x14ac:dyDescent="0.35">
      <c r="B338" s="67">
        <v>45482</v>
      </c>
      <c r="C338" s="91">
        <v>7</v>
      </c>
      <c r="D338" s="95" t="s">
        <v>328</v>
      </c>
      <c r="E338" s="95"/>
      <c r="F338" s="93">
        <v>82.03</v>
      </c>
      <c r="G338" s="91" t="s">
        <v>323</v>
      </c>
      <c r="H338" s="91">
        <v>3462</v>
      </c>
      <c r="I338" s="61">
        <f t="shared" si="9"/>
        <v>283987.86</v>
      </c>
      <c r="J338" s="62"/>
      <c r="K338" s="44"/>
      <c r="L338" s="44"/>
      <c r="M338" s="61"/>
      <c r="N338" s="44"/>
      <c r="O338" s="44"/>
      <c r="P338" s="44"/>
      <c r="Q338" s="44"/>
    </row>
    <row r="339" spans="2:17" ht="15.5" customHeight="1" x14ac:dyDescent="0.35">
      <c r="B339" s="67">
        <v>45482</v>
      </c>
      <c r="C339" s="91">
        <v>8</v>
      </c>
      <c r="D339" s="98" t="s">
        <v>329</v>
      </c>
      <c r="E339" s="98"/>
      <c r="F339" s="93">
        <v>259120</v>
      </c>
      <c r="G339" s="91" t="s">
        <v>21</v>
      </c>
      <c r="H339" s="91">
        <v>1</v>
      </c>
      <c r="I339" s="61">
        <f t="shared" si="9"/>
        <v>259120</v>
      </c>
      <c r="J339" s="62"/>
      <c r="K339" s="44"/>
      <c r="L339" s="44"/>
      <c r="M339" s="62"/>
      <c r="N339" s="44"/>
      <c r="O339" s="44"/>
      <c r="P339" s="44"/>
      <c r="Q339" s="44"/>
    </row>
    <row r="340" spans="2:17" ht="15.5" customHeight="1" x14ac:dyDescent="0.35">
      <c r="B340" s="67"/>
      <c r="C340" s="91"/>
      <c r="D340" s="97" t="s">
        <v>162</v>
      </c>
      <c r="E340" s="97"/>
      <c r="F340" s="93"/>
      <c r="G340" s="91"/>
      <c r="H340" s="91"/>
      <c r="I340" s="62"/>
      <c r="J340" s="62"/>
      <c r="K340" s="44"/>
      <c r="L340" s="44"/>
      <c r="M340" s="61"/>
      <c r="N340" s="44"/>
      <c r="O340" s="44"/>
      <c r="P340" s="44"/>
      <c r="Q340" s="44"/>
    </row>
    <row r="341" spans="2:17" ht="15.5" customHeight="1" x14ac:dyDescent="0.35">
      <c r="B341" s="102">
        <v>45483</v>
      </c>
      <c r="C341" s="15">
        <v>9</v>
      </c>
      <c r="D341" s="18" t="s">
        <v>330</v>
      </c>
      <c r="E341" s="18"/>
      <c r="F341" s="96">
        <v>9778400</v>
      </c>
      <c r="G341" s="91" t="s">
        <v>21</v>
      </c>
      <c r="H341" s="91">
        <v>1</v>
      </c>
      <c r="I341" s="62"/>
      <c r="J341" s="62"/>
      <c r="K341" s="62"/>
      <c r="L341" s="62"/>
      <c r="M341" s="62"/>
      <c r="N341" s="62">
        <f>F341</f>
        <v>9778400</v>
      </c>
      <c r="O341" s="62"/>
      <c r="P341" s="62"/>
      <c r="Q341" s="62"/>
    </row>
    <row r="342" spans="2:17" ht="15.5" customHeight="1" x14ac:dyDescent="0.35">
      <c r="B342" s="67">
        <v>45483</v>
      </c>
      <c r="C342" s="91">
        <v>10</v>
      </c>
      <c r="D342" s="98" t="s">
        <v>331</v>
      </c>
      <c r="E342" s="98"/>
      <c r="F342" s="93">
        <v>163100</v>
      </c>
      <c r="G342" s="91" t="s">
        <v>21</v>
      </c>
      <c r="H342" s="91">
        <v>1</v>
      </c>
      <c r="I342" s="62"/>
      <c r="J342" s="44"/>
      <c r="K342" s="44"/>
      <c r="L342" s="44"/>
      <c r="M342" s="44"/>
      <c r="N342" s="62">
        <f>F342</f>
        <v>163100</v>
      </c>
      <c r="O342" s="44"/>
      <c r="P342" s="44"/>
      <c r="Q342" s="44"/>
    </row>
    <row r="343" spans="2:17" ht="15.5" customHeight="1" x14ac:dyDescent="0.35">
      <c r="B343" s="78" t="s">
        <v>332</v>
      </c>
      <c r="C343" s="85" t="s">
        <v>2</v>
      </c>
      <c r="D343" s="112" t="s">
        <v>333</v>
      </c>
      <c r="E343" s="112"/>
      <c r="F343" s="87"/>
      <c r="G343" s="73"/>
      <c r="H343" s="73"/>
      <c r="I343" s="78"/>
      <c r="J343" s="78"/>
      <c r="K343" s="78"/>
      <c r="L343" s="78"/>
      <c r="M343" s="101"/>
      <c r="N343" s="78"/>
      <c r="O343" s="78"/>
      <c r="P343" s="78"/>
      <c r="Q343" s="78"/>
    </row>
    <row r="344" spans="2:17" ht="15.5" customHeight="1" x14ac:dyDescent="0.35">
      <c r="B344" s="14"/>
      <c r="C344" s="15"/>
      <c r="D344" s="44" t="s">
        <v>334</v>
      </c>
      <c r="E344" s="44"/>
      <c r="F344" s="21"/>
      <c r="G344" s="15"/>
      <c r="H344" s="15"/>
      <c r="I344" s="44"/>
      <c r="J344" s="44"/>
      <c r="K344" s="44"/>
      <c r="L344" s="44"/>
      <c r="M344" s="61"/>
      <c r="N344" s="44"/>
      <c r="O344" s="44"/>
      <c r="P344" s="44"/>
      <c r="Q344" s="44"/>
    </row>
    <row r="345" spans="2:17" ht="15.5" customHeight="1" x14ac:dyDescent="0.35">
      <c r="B345" s="14">
        <v>45446</v>
      </c>
      <c r="C345" s="15">
        <v>1</v>
      </c>
      <c r="D345" s="18" t="s">
        <v>335</v>
      </c>
      <c r="E345" s="18"/>
      <c r="F345" s="21">
        <v>206000</v>
      </c>
      <c r="G345" s="15" t="s">
        <v>21</v>
      </c>
      <c r="H345" s="15">
        <v>1</v>
      </c>
      <c r="I345" s="44"/>
      <c r="J345" s="44"/>
      <c r="K345" s="44"/>
      <c r="L345" s="44"/>
      <c r="M345" s="62"/>
      <c r="N345" s="44"/>
      <c r="O345" s="44"/>
      <c r="P345" s="62">
        <f>F345</f>
        <v>206000</v>
      </c>
      <c r="Q345" s="44"/>
    </row>
    <row r="346" spans="2:17" ht="15.5" customHeight="1" x14ac:dyDescent="0.35">
      <c r="B346" s="14">
        <v>45446</v>
      </c>
      <c r="C346" s="15">
        <v>2</v>
      </c>
      <c r="D346" s="18" t="s">
        <v>336</v>
      </c>
      <c r="E346" s="18"/>
      <c r="F346" s="21">
        <v>1474000</v>
      </c>
      <c r="G346" s="15" t="s">
        <v>21</v>
      </c>
      <c r="H346" s="15">
        <v>1</v>
      </c>
      <c r="I346" s="44"/>
      <c r="J346" s="44"/>
      <c r="K346" s="44"/>
      <c r="L346" s="44"/>
      <c r="M346" s="61"/>
      <c r="N346" s="44"/>
      <c r="O346" s="44"/>
      <c r="P346" s="62">
        <f>F346</f>
        <v>1474000</v>
      </c>
      <c r="Q346" s="44"/>
    </row>
    <row r="347" spans="2:17" ht="15.5" customHeight="1" x14ac:dyDescent="0.35">
      <c r="B347" s="14">
        <v>45453</v>
      </c>
      <c r="C347" s="15">
        <v>3</v>
      </c>
      <c r="D347" s="18" t="s">
        <v>335</v>
      </c>
      <c r="E347" s="18"/>
      <c r="F347" s="21">
        <v>206000</v>
      </c>
      <c r="G347" s="15" t="s">
        <v>21</v>
      </c>
      <c r="H347" s="15">
        <v>1</v>
      </c>
      <c r="I347" s="44"/>
      <c r="J347" s="44"/>
      <c r="K347" s="44"/>
      <c r="L347" s="44"/>
      <c r="M347" s="61"/>
      <c r="N347" s="44"/>
      <c r="O347" s="44"/>
      <c r="P347" s="62">
        <f>F347</f>
        <v>206000</v>
      </c>
      <c r="Q347" s="44"/>
    </row>
    <row r="348" spans="2:17" ht="15.5" customHeight="1" x14ac:dyDescent="0.35">
      <c r="B348" s="14">
        <v>45453</v>
      </c>
      <c r="C348" s="15">
        <v>4</v>
      </c>
      <c r="D348" s="18" t="s">
        <v>337</v>
      </c>
      <c r="E348" s="18"/>
      <c r="F348" s="21">
        <v>109000</v>
      </c>
      <c r="G348" s="15" t="s">
        <v>21</v>
      </c>
      <c r="H348" s="15">
        <v>1</v>
      </c>
      <c r="I348" s="44"/>
      <c r="J348" s="44"/>
      <c r="K348" s="44"/>
      <c r="L348" s="44"/>
      <c r="M348" s="61"/>
      <c r="N348" s="44"/>
      <c r="O348" s="44"/>
      <c r="P348" s="62">
        <f>F348</f>
        <v>109000</v>
      </c>
      <c r="Q348" s="44"/>
    </row>
    <row r="349" spans="2:17" ht="15.5" customHeight="1" x14ac:dyDescent="0.35">
      <c r="B349" s="78" t="s">
        <v>338</v>
      </c>
      <c r="C349" s="85" t="s">
        <v>2</v>
      </c>
      <c r="D349" s="86" t="s">
        <v>339</v>
      </c>
      <c r="E349" s="86"/>
      <c r="F349" s="87"/>
      <c r="G349" s="73"/>
      <c r="H349" s="73"/>
      <c r="I349" s="101"/>
      <c r="J349" s="78"/>
      <c r="K349" s="78"/>
      <c r="L349" s="78"/>
      <c r="M349" s="101"/>
      <c r="N349" s="78"/>
      <c r="O349" s="78"/>
      <c r="P349" s="78"/>
      <c r="Q349" s="78"/>
    </row>
    <row r="350" spans="2:17" ht="15.5" customHeight="1" x14ac:dyDescent="0.35">
      <c r="B350" s="14"/>
      <c r="C350" s="15"/>
      <c r="D350" s="106" t="s">
        <v>149</v>
      </c>
      <c r="E350" s="106"/>
      <c r="F350" s="21"/>
      <c r="G350" s="15"/>
      <c r="H350" s="15"/>
      <c r="I350" s="61"/>
      <c r="J350" s="44"/>
      <c r="K350" s="44"/>
      <c r="L350" s="44"/>
      <c r="M350" s="61"/>
      <c r="N350" s="44"/>
      <c r="O350" s="44"/>
      <c r="P350" s="44"/>
      <c r="Q350" s="44"/>
    </row>
    <row r="351" spans="2:17" ht="15.5" customHeight="1" x14ac:dyDescent="0.35">
      <c r="B351" s="102">
        <v>45494</v>
      </c>
      <c r="C351" s="15"/>
      <c r="D351" s="18" t="s">
        <v>340</v>
      </c>
      <c r="E351" s="18"/>
      <c r="F351" s="21">
        <v>985367</v>
      </c>
      <c r="G351" s="15" t="s">
        <v>21</v>
      </c>
      <c r="H351" s="15">
        <v>1</v>
      </c>
      <c r="I351" s="61">
        <f>$H351*$F351</f>
        <v>985367</v>
      </c>
      <c r="J351" s="44"/>
      <c r="K351" s="44"/>
      <c r="L351" s="44"/>
      <c r="M351" s="61"/>
      <c r="N351" s="44"/>
      <c r="O351" s="44"/>
      <c r="P351" s="44"/>
      <c r="Q351" s="44"/>
    </row>
    <row r="352" spans="2:17" ht="15.5" customHeight="1" x14ac:dyDescent="0.35">
      <c r="B352" s="102">
        <v>45500</v>
      </c>
      <c r="C352" s="15"/>
      <c r="D352" s="18" t="s">
        <v>341</v>
      </c>
      <c r="E352" s="18"/>
      <c r="F352" s="21">
        <v>1175717</v>
      </c>
      <c r="G352" s="15" t="s">
        <v>21</v>
      </c>
      <c r="H352" s="15">
        <v>1</v>
      </c>
      <c r="I352" s="61">
        <f>$H352*$F352</f>
        <v>1175717</v>
      </c>
      <c r="J352" s="44"/>
      <c r="K352" s="44"/>
      <c r="L352" s="44"/>
      <c r="M352" s="61"/>
      <c r="N352" s="44"/>
      <c r="O352" s="44"/>
      <c r="P352" s="44"/>
      <c r="Q352" s="44"/>
    </row>
    <row r="353" spans="2:17" ht="15.5" customHeight="1" x14ac:dyDescent="0.35">
      <c r="B353" s="102"/>
      <c r="C353" s="15"/>
      <c r="D353" s="106" t="s">
        <v>149</v>
      </c>
      <c r="E353" s="106"/>
      <c r="F353" s="21"/>
      <c r="G353" s="15"/>
      <c r="H353" s="15"/>
      <c r="I353" s="61"/>
      <c r="J353" s="44"/>
      <c r="K353" s="44"/>
      <c r="L353" s="44"/>
      <c r="M353" s="44"/>
      <c r="N353" s="44"/>
      <c r="O353" s="44"/>
      <c r="P353" s="44"/>
      <c r="Q353" s="44"/>
    </row>
    <row r="354" spans="2:17" ht="15.5" customHeight="1" x14ac:dyDescent="0.35">
      <c r="B354" s="107">
        <v>45494</v>
      </c>
      <c r="C354" s="15"/>
      <c r="D354" s="63" t="s">
        <v>225</v>
      </c>
      <c r="E354" s="63"/>
      <c r="F354" s="21">
        <f>48000+177520</f>
        <v>225520</v>
      </c>
      <c r="G354" s="15" t="s">
        <v>21</v>
      </c>
      <c r="H354" s="15">
        <v>1</v>
      </c>
      <c r="I354" s="61">
        <f t="shared" ref="I354:I359" si="10">$H354*$F354</f>
        <v>225520</v>
      </c>
      <c r="J354" s="44"/>
      <c r="K354" s="44"/>
      <c r="L354" s="44"/>
      <c r="M354" s="44"/>
      <c r="N354" s="44"/>
      <c r="O354" s="44"/>
      <c r="P354" s="44"/>
      <c r="Q354" s="44"/>
    </row>
    <row r="355" spans="2:17" ht="15.5" customHeight="1" x14ac:dyDescent="0.35">
      <c r="B355" s="102">
        <v>45494</v>
      </c>
      <c r="C355" s="15"/>
      <c r="D355" s="63" t="s">
        <v>278</v>
      </c>
      <c r="E355" s="63"/>
      <c r="F355" s="21">
        <f>180060+112000</f>
        <v>292060</v>
      </c>
      <c r="G355" s="15" t="s">
        <v>21</v>
      </c>
      <c r="H355" s="15">
        <v>1</v>
      </c>
      <c r="I355" s="61">
        <f t="shared" si="10"/>
        <v>292060</v>
      </c>
      <c r="J355" s="44"/>
      <c r="K355" s="44"/>
      <c r="L355" s="44"/>
      <c r="M355" s="44"/>
      <c r="N355" s="44"/>
      <c r="O355" s="44"/>
      <c r="P355" s="44"/>
      <c r="Q355" s="44"/>
    </row>
    <row r="356" spans="2:17" ht="15.5" customHeight="1" x14ac:dyDescent="0.35">
      <c r="B356" s="102">
        <v>45497</v>
      </c>
      <c r="C356" s="15"/>
      <c r="D356" s="63" t="s">
        <v>342</v>
      </c>
      <c r="E356" s="63"/>
      <c r="F356" s="21">
        <v>190430</v>
      </c>
      <c r="G356" s="15" t="s">
        <v>21</v>
      </c>
      <c r="H356" s="15">
        <v>1</v>
      </c>
      <c r="I356" s="61">
        <f t="shared" si="10"/>
        <v>190430</v>
      </c>
      <c r="J356" s="44"/>
      <c r="K356" s="44"/>
      <c r="L356" s="44"/>
      <c r="M356" s="44"/>
      <c r="N356" s="44"/>
      <c r="O356" s="44"/>
      <c r="P356" s="44"/>
      <c r="Q356" s="44"/>
    </row>
    <row r="357" spans="2:17" ht="15.5" customHeight="1" x14ac:dyDescent="0.35">
      <c r="B357" s="102">
        <v>45500</v>
      </c>
      <c r="C357" s="15"/>
      <c r="D357" s="63" t="s">
        <v>343</v>
      </c>
      <c r="E357" s="63"/>
      <c r="F357" s="21">
        <f>112000+150000</f>
        <v>262000</v>
      </c>
      <c r="G357" s="15" t="s">
        <v>21</v>
      </c>
      <c r="H357" s="15">
        <v>1</v>
      </c>
      <c r="I357" s="61">
        <f t="shared" si="10"/>
        <v>262000</v>
      </c>
      <c r="J357" s="44"/>
      <c r="K357" s="44"/>
      <c r="L357" s="44"/>
      <c r="M357" s="61"/>
      <c r="N357" s="44"/>
      <c r="O357" s="44"/>
      <c r="P357" s="44"/>
      <c r="Q357" s="44"/>
    </row>
    <row r="358" spans="2:17" ht="15.5" customHeight="1" x14ac:dyDescent="0.35">
      <c r="B358" s="102">
        <v>45500</v>
      </c>
      <c r="C358" s="15"/>
      <c r="D358" s="63" t="s">
        <v>229</v>
      </c>
      <c r="E358" s="63"/>
      <c r="F358" s="21">
        <f>180000+55000</f>
        <v>235000</v>
      </c>
      <c r="G358" s="15" t="s">
        <v>21</v>
      </c>
      <c r="H358" s="15">
        <v>1</v>
      </c>
      <c r="I358" s="61">
        <f t="shared" si="10"/>
        <v>235000</v>
      </c>
      <c r="J358" s="44"/>
      <c r="K358" s="44"/>
      <c r="L358" s="44"/>
      <c r="M358" s="44"/>
      <c r="N358" s="61"/>
      <c r="O358" s="44"/>
      <c r="P358" s="44"/>
      <c r="Q358" s="44"/>
    </row>
    <row r="359" spans="2:17" ht="15.5" customHeight="1" x14ac:dyDescent="0.35">
      <c r="B359" s="102">
        <v>45500</v>
      </c>
      <c r="C359" s="15"/>
      <c r="D359" s="63" t="s">
        <v>344</v>
      </c>
      <c r="E359" s="63"/>
      <c r="F359" s="21">
        <f>7*500000</f>
        <v>3500000</v>
      </c>
      <c r="G359" s="15" t="s">
        <v>21</v>
      </c>
      <c r="H359" s="15">
        <v>1</v>
      </c>
      <c r="I359" s="61">
        <f t="shared" si="10"/>
        <v>3500000</v>
      </c>
      <c r="J359" s="44"/>
      <c r="K359" s="44"/>
      <c r="L359" s="44"/>
      <c r="M359" s="44"/>
      <c r="N359" s="61"/>
      <c r="O359" s="44"/>
      <c r="P359" s="44"/>
      <c r="Q359" s="44"/>
    </row>
    <row r="360" spans="2:17" ht="15.5" customHeight="1" x14ac:dyDescent="0.35">
      <c r="B360" s="102"/>
      <c r="C360" s="15"/>
      <c r="D360" s="118" t="s">
        <v>149</v>
      </c>
      <c r="E360" s="118"/>
      <c r="F360" s="21"/>
      <c r="G360" s="15"/>
      <c r="H360" s="15"/>
      <c r="I360" s="61"/>
      <c r="J360" s="44"/>
      <c r="K360" s="44"/>
      <c r="L360" s="44"/>
      <c r="M360" s="44"/>
      <c r="N360" s="61"/>
      <c r="O360" s="44"/>
      <c r="P360" s="44"/>
      <c r="Q360" s="44"/>
    </row>
    <row r="361" spans="2:17" ht="15.5" customHeight="1" x14ac:dyDescent="0.35">
      <c r="B361" s="102">
        <v>45494</v>
      </c>
      <c r="C361" s="15"/>
      <c r="D361" s="18" t="s">
        <v>340</v>
      </c>
      <c r="E361" s="18"/>
      <c r="F361" s="21">
        <v>400000</v>
      </c>
      <c r="G361" s="15" t="s">
        <v>21</v>
      </c>
      <c r="H361" s="15">
        <v>1</v>
      </c>
      <c r="I361" s="61">
        <f>$H361*$F361</f>
        <v>400000</v>
      </c>
      <c r="J361" s="44"/>
      <c r="K361" s="44"/>
      <c r="L361" s="44"/>
      <c r="M361" s="44"/>
      <c r="N361" s="61"/>
      <c r="O361" s="44"/>
      <c r="P361" s="44"/>
      <c r="Q361" s="44"/>
    </row>
    <row r="362" spans="2:17" ht="15.5" customHeight="1" x14ac:dyDescent="0.35">
      <c r="B362" s="102"/>
      <c r="C362" s="15"/>
      <c r="D362" s="108" t="s">
        <v>158</v>
      </c>
      <c r="E362" s="108"/>
      <c r="F362" s="21"/>
      <c r="G362" s="15"/>
      <c r="H362" s="15"/>
      <c r="I362" s="62"/>
      <c r="J362" s="44"/>
      <c r="K362" s="44"/>
      <c r="L362" s="44"/>
      <c r="M362" s="44"/>
      <c r="N362" s="44"/>
      <c r="O362" s="44"/>
      <c r="P362" s="44"/>
      <c r="Q362" s="44"/>
    </row>
    <row r="363" spans="2:17" ht="15.5" customHeight="1" x14ac:dyDescent="0.35">
      <c r="B363" s="102">
        <v>45500</v>
      </c>
      <c r="C363" s="15"/>
      <c r="D363" s="63" t="s">
        <v>345</v>
      </c>
      <c r="E363" s="63"/>
      <c r="F363" s="21">
        <f>6*3*120000</f>
        <v>2160000</v>
      </c>
      <c r="G363" s="15" t="s">
        <v>21</v>
      </c>
      <c r="H363" s="15">
        <v>1</v>
      </c>
      <c r="I363" s="62">
        <f>F363</f>
        <v>2160000</v>
      </c>
      <c r="J363" s="44"/>
      <c r="K363" s="44"/>
      <c r="L363" s="44"/>
      <c r="M363" s="61"/>
      <c r="N363" s="44"/>
      <c r="O363" s="44"/>
      <c r="P363" s="44"/>
      <c r="Q363" s="44"/>
    </row>
    <row r="364" spans="2:17" ht="15.5" customHeight="1" x14ac:dyDescent="0.35">
      <c r="B364" s="102"/>
      <c r="C364" s="15"/>
      <c r="D364" s="108" t="s">
        <v>171</v>
      </c>
      <c r="E364" s="108"/>
      <c r="F364" s="21"/>
      <c r="G364" s="15"/>
      <c r="H364" s="15"/>
      <c r="I364" s="104"/>
      <c r="J364" s="44"/>
      <c r="K364" s="44"/>
      <c r="L364" s="44"/>
      <c r="M364" s="44"/>
      <c r="N364" s="44"/>
      <c r="O364" s="44"/>
      <c r="P364" s="44"/>
      <c r="Q364" s="44"/>
    </row>
    <row r="365" spans="2:17" ht="15.5" customHeight="1" x14ac:dyDescent="0.35">
      <c r="B365" s="102">
        <v>45500</v>
      </c>
      <c r="C365" s="15"/>
      <c r="D365" s="63" t="s">
        <v>346</v>
      </c>
      <c r="E365" s="63"/>
      <c r="F365" s="21">
        <f>7*150000</f>
        <v>1050000</v>
      </c>
      <c r="G365" s="15" t="s">
        <v>21</v>
      </c>
      <c r="H365" s="15">
        <v>1</v>
      </c>
      <c r="I365" s="104">
        <f>F365</f>
        <v>1050000</v>
      </c>
      <c r="J365" s="44"/>
      <c r="K365" s="44"/>
      <c r="L365" s="44"/>
      <c r="M365" s="44"/>
      <c r="N365" s="44"/>
      <c r="O365" s="44"/>
      <c r="P365" s="44"/>
      <c r="Q365" s="44"/>
    </row>
    <row r="366" spans="2:17" ht="15.5" customHeight="1" x14ac:dyDescent="0.35">
      <c r="B366" s="102"/>
      <c r="C366" s="15"/>
      <c r="D366" s="108" t="s">
        <v>285</v>
      </c>
      <c r="E366" s="108"/>
      <c r="F366" s="21"/>
      <c r="G366" s="15"/>
      <c r="H366" s="15"/>
      <c r="I366" s="44"/>
      <c r="J366" s="44"/>
      <c r="K366" s="44"/>
      <c r="L366" s="44"/>
      <c r="M366" s="44"/>
      <c r="N366" s="44"/>
      <c r="O366" s="44"/>
      <c r="P366" s="44"/>
      <c r="Q366" s="44"/>
    </row>
    <row r="367" spans="2:17" ht="15.5" customHeight="1" x14ac:dyDescent="0.35">
      <c r="B367" s="102">
        <v>45500</v>
      </c>
      <c r="C367" s="15"/>
      <c r="D367" s="63" t="s">
        <v>347</v>
      </c>
      <c r="E367" s="63"/>
      <c r="F367" s="21">
        <f>7*50000</f>
        <v>350000</v>
      </c>
      <c r="G367" s="15" t="s">
        <v>21</v>
      </c>
      <c r="H367" s="15">
        <v>1</v>
      </c>
      <c r="I367" s="62">
        <f>F367</f>
        <v>350000</v>
      </c>
      <c r="J367" s="44"/>
      <c r="K367" s="44"/>
      <c r="L367" s="44"/>
      <c r="M367" s="44"/>
      <c r="N367" s="44"/>
      <c r="O367" s="44"/>
      <c r="P367" s="44"/>
      <c r="Q367" s="44"/>
    </row>
    <row r="368" spans="2:17" ht="15.5" customHeight="1" x14ac:dyDescent="0.35">
      <c r="B368" s="102"/>
      <c r="C368" s="15"/>
      <c r="D368" s="108" t="s">
        <v>171</v>
      </c>
      <c r="E368" s="108"/>
      <c r="F368" s="21"/>
      <c r="G368" s="15"/>
      <c r="H368" s="15"/>
      <c r="I368" s="62"/>
      <c r="J368" s="44"/>
      <c r="K368" s="44"/>
      <c r="L368" s="44"/>
      <c r="M368" s="44"/>
      <c r="N368" s="44"/>
      <c r="O368" s="44"/>
      <c r="P368" s="44"/>
      <c r="Q368" s="44"/>
    </row>
    <row r="369" spans="2:17" ht="15.5" customHeight="1" x14ac:dyDescent="0.35">
      <c r="B369" s="102">
        <v>45500</v>
      </c>
      <c r="C369" s="15"/>
      <c r="D369" s="113" t="s">
        <v>348</v>
      </c>
      <c r="E369" s="113"/>
      <c r="F369" s="21">
        <f>7*100</f>
        <v>700</v>
      </c>
      <c r="G369" s="15" t="s">
        <v>21</v>
      </c>
      <c r="H369" s="15">
        <v>16200</v>
      </c>
      <c r="I369" s="62">
        <f>H369*F369</f>
        <v>11340000</v>
      </c>
      <c r="J369" s="44"/>
      <c r="K369" s="44"/>
      <c r="L369" s="44"/>
      <c r="M369" s="44"/>
      <c r="N369" s="44"/>
      <c r="O369" s="44"/>
      <c r="P369" s="44"/>
      <c r="Q369" s="44"/>
    </row>
    <row r="370" spans="2:17" ht="15.5" customHeight="1" x14ac:dyDescent="0.35">
      <c r="B370" s="102"/>
      <c r="C370" s="15"/>
      <c r="D370" s="119" t="s">
        <v>349</v>
      </c>
      <c r="E370" s="119"/>
      <c r="F370" s="21"/>
      <c r="G370" s="15"/>
      <c r="H370" s="15"/>
      <c r="I370" s="44"/>
      <c r="J370" s="44"/>
      <c r="K370" s="44"/>
      <c r="L370" s="44"/>
      <c r="M370" s="44"/>
      <c r="N370" s="44"/>
      <c r="O370" s="44"/>
      <c r="P370" s="44"/>
      <c r="Q370" s="44"/>
    </row>
    <row r="371" spans="2:17" ht="15.5" customHeight="1" x14ac:dyDescent="0.35">
      <c r="B371" s="102">
        <v>45495</v>
      </c>
      <c r="C371" s="15"/>
      <c r="D371" s="113" t="s">
        <v>350</v>
      </c>
      <c r="E371" s="113"/>
      <c r="F371" s="21">
        <v>70000</v>
      </c>
      <c r="G371" s="15" t="s">
        <v>21</v>
      </c>
      <c r="H371" s="15">
        <v>1</v>
      </c>
      <c r="I371" s="44"/>
      <c r="J371" s="44"/>
      <c r="K371" s="44"/>
      <c r="L371" s="44"/>
      <c r="M371" s="44"/>
      <c r="N371" s="62">
        <f>F371</f>
        <v>70000</v>
      </c>
      <c r="O371" s="44"/>
      <c r="P371" s="44"/>
      <c r="Q371" s="44"/>
    </row>
    <row r="372" spans="2:17" ht="15.5" customHeight="1" x14ac:dyDescent="0.35">
      <c r="B372" s="102">
        <v>45498</v>
      </c>
      <c r="C372" s="15"/>
      <c r="D372" s="113" t="s">
        <v>351</v>
      </c>
      <c r="E372" s="113"/>
      <c r="F372" s="21">
        <v>195000</v>
      </c>
      <c r="G372" s="15" t="s">
        <v>21</v>
      </c>
      <c r="H372" s="15">
        <v>1</v>
      </c>
      <c r="I372" s="44"/>
      <c r="J372" s="44"/>
      <c r="K372" s="44"/>
      <c r="L372" s="44"/>
      <c r="M372" s="44"/>
      <c r="N372" s="62">
        <f>F372</f>
        <v>195000</v>
      </c>
      <c r="O372" s="44"/>
      <c r="P372" s="44"/>
      <c r="Q372" s="44"/>
    </row>
    <row r="373" spans="2:17" ht="15.5" customHeight="1" x14ac:dyDescent="0.35">
      <c r="B373" s="102">
        <v>45498</v>
      </c>
      <c r="C373" s="15"/>
      <c r="D373" s="113" t="s">
        <v>352</v>
      </c>
      <c r="E373" s="113"/>
      <c r="F373" s="21">
        <v>38900</v>
      </c>
      <c r="G373" s="15" t="s">
        <v>21</v>
      </c>
      <c r="H373" s="15">
        <v>1</v>
      </c>
      <c r="I373" s="44"/>
      <c r="J373" s="44"/>
      <c r="K373" s="44"/>
      <c r="L373" s="44"/>
      <c r="M373" s="61"/>
      <c r="N373" s="62">
        <f>F373</f>
        <v>38900</v>
      </c>
      <c r="O373" s="44"/>
      <c r="P373" s="44"/>
      <c r="Q373" s="44"/>
    </row>
    <row r="374" spans="2:17" ht="15.5" customHeight="1" x14ac:dyDescent="0.35">
      <c r="B374" s="78" t="s">
        <v>353</v>
      </c>
      <c r="C374" s="85" t="s">
        <v>2</v>
      </c>
      <c r="D374" s="86" t="s">
        <v>354</v>
      </c>
      <c r="E374" s="86"/>
      <c r="F374" s="87"/>
      <c r="G374" s="73"/>
      <c r="H374" s="73"/>
      <c r="I374" s="78"/>
      <c r="J374" s="78"/>
      <c r="K374" s="78"/>
      <c r="L374" s="78"/>
      <c r="M374" s="90"/>
      <c r="N374" s="78"/>
      <c r="O374" s="78"/>
      <c r="P374" s="78"/>
      <c r="Q374" s="78"/>
    </row>
    <row r="375" spans="2:17" ht="15.5" customHeight="1" x14ac:dyDescent="0.35">
      <c r="B375" s="102"/>
      <c r="C375" s="15"/>
      <c r="D375" s="118" t="s">
        <v>171</v>
      </c>
      <c r="E375" s="118"/>
      <c r="F375" s="21"/>
      <c r="G375" s="15"/>
      <c r="H375" s="15"/>
      <c r="I375" s="44"/>
      <c r="J375" s="44"/>
      <c r="K375" s="44"/>
      <c r="L375" s="44"/>
      <c r="M375" s="61"/>
      <c r="N375" s="44"/>
      <c r="O375" s="44"/>
      <c r="P375" s="44"/>
      <c r="Q375" s="44"/>
    </row>
    <row r="376" spans="2:17" ht="15.5" customHeight="1" x14ac:dyDescent="0.35">
      <c r="B376" s="102">
        <v>45463</v>
      </c>
      <c r="C376" s="15">
        <v>1</v>
      </c>
      <c r="D376" s="63" t="s">
        <v>355</v>
      </c>
      <c r="E376" s="63"/>
      <c r="F376" s="21">
        <f>150000*4</f>
        <v>600000</v>
      </c>
      <c r="G376" s="15" t="s">
        <v>21</v>
      </c>
      <c r="H376" s="15">
        <v>1</v>
      </c>
      <c r="I376" s="62">
        <f>F376</f>
        <v>600000</v>
      </c>
      <c r="J376" s="44"/>
      <c r="K376" s="44"/>
      <c r="L376" s="44"/>
      <c r="M376" s="61"/>
      <c r="N376" s="44"/>
      <c r="O376" s="44"/>
      <c r="P376" s="44"/>
      <c r="Q376" s="44"/>
    </row>
    <row r="377" spans="2:17" ht="15.5" customHeight="1" x14ac:dyDescent="0.35">
      <c r="B377" s="102">
        <v>45463</v>
      </c>
      <c r="C377" s="15">
        <v>2</v>
      </c>
      <c r="D377" s="63" t="s">
        <v>356</v>
      </c>
      <c r="E377" s="63"/>
      <c r="F377" s="21">
        <f>50000*4</f>
        <v>200000</v>
      </c>
      <c r="G377" s="15" t="s">
        <v>21</v>
      </c>
      <c r="H377" s="15">
        <v>1</v>
      </c>
      <c r="I377" s="62">
        <f>F377</f>
        <v>200000</v>
      </c>
      <c r="J377" s="44"/>
      <c r="K377" s="44"/>
      <c r="L377" s="44"/>
      <c r="M377" s="61"/>
      <c r="N377" s="44"/>
      <c r="O377" s="44"/>
      <c r="P377" s="44"/>
      <c r="Q377" s="44"/>
    </row>
    <row r="378" spans="2:17" ht="15.5" customHeight="1" x14ac:dyDescent="0.35">
      <c r="B378" s="102">
        <v>45501</v>
      </c>
      <c r="C378" s="15">
        <v>4</v>
      </c>
      <c r="D378" s="63" t="s">
        <v>357</v>
      </c>
      <c r="E378" s="63"/>
      <c r="F378" s="21">
        <f>150000*7</f>
        <v>1050000</v>
      </c>
      <c r="G378" s="15" t="s">
        <v>21</v>
      </c>
      <c r="H378" s="15">
        <v>1</v>
      </c>
      <c r="I378" s="62">
        <f>F378</f>
        <v>1050000</v>
      </c>
      <c r="J378" s="44"/>
      <c r="K378" s="44"/>
      <c r="L378" s="44"/>
      <c r="M378" s="61"/>
      <c r="N378" s="44"/>
      <c r="O378" s="44"/>
      <c r="P378" s="44"/>
      <c r="Q378" s="44"/>
    </row>
    <row r="379" spans="2:17" ht="15.5" customHeight="1" x14ac:dyDescent="0.35">
      <c r="B379" s="102">
        <v>45501</v>
      </c>
      <c r="C379" s="15">
        <v>5</v>
      </c>
      <c r="D379" s="63" t="s">
        <v>347</v>
      </c>
      <c r="E379" s="63"/>
      <c r="F379" s="21">
        <f>50000*7</f>
        <v>350000</v>
      </c>
      <c r="G379" s="15" t="s">
        <v>21</v>
      </c>
      <c r="H379" s="15">
        <v>1</v>
      </c>
      <c r="I379" s="62">
        <f>F379</f>
        <v>350000</v>
      </c>
      <c r="J379" s="44"/>
      <c r="K379" s="44"/>
      <c r="L379" s="44"/>
      <c r="M379" s="62"/>
      <c r="N379" s="44"/>
      <c r="O379" s="44"/>
      <c r="P379" s="44"/>
      <c r="Q379" s="44"/>
    </row>
    <row r="380" spans="2:17" ht="15.5" customHeight="1" x14ac:dyDescent="0.35">
      <c r="B380" s="102"/>
      <c r="C380" s="15"/>
      <c r="D380" s="118" t="s">
        <v>171</v>
      </c>
      <c r="E380" s="118"/>
      <c r="F380" s="21"/>
      <c r="G380" s="15"/>
      <c r="H380" s="15"/>
      <c r="I380" s="44"/>
      <c r="J380" s="44"/>
      <c r="K380" s="44"/>
      <c r="L380" s="44"/>
      <c r="M380" s="61"/>
      <c r="N380" s="44"/>
      <c r="O380" s="44"/>
      <c r="P380" s="44"/>
      <c r="Q380" s="44"/>
    </row>
    <row r="381" spans="2:17" s="122" customFormat="1" ht="15.5" customHeight="1" x14ac:dyDescent="0.35">
      <c r="B381" s="102">
        <v>45463</v>
      </c>
      <c r="C381" s="60">
        <v>3</v>
      </c>
      <c r="D381" s="113" t="s">
        <v>358</v>
      </c>
      <c r="E381" s="113"/>
      <c r="F381" s="115">
        <v>100</v>
      </c>
      <c r="G381" s="60" t="s">
        <v>275</v>
      </c>
      <c r="H381" s="60">
        <v>16300</v>
      </c>
      <c r="I381" s="120">
        <f>H381*F381</f>
        <v>1630000</v>
      </c>
      <c r="J381" s="121"/>
      <c r="K381" s="121"/>
      <c r="L381" s="121"/>
      <c r="M381" s="120"/>
      <c r="N381" s="121"/>
      <c r="O381" s="121"/>
      <c r="P381" s="121"/>
      <c r="Q381" s="121"/>
    </row>
    <row r="382" spans="2:17" ht="15.5" customHeight="1" x14ac:dyDescent="0.35">
      <c r="B382" s="102">
        <v>45501</v>
      </c>
      <c r="C382" s="15">
        <v>6</v>
      </c>
      <c r="D382" s="63" t="s">
        <v>359</v>
      </c>
      <c r="E382" s="63"/>
      <c r="F382" s="21">
        <v>175</v>
      </c>
      <c r="G382" s="15" t="s">
        <v>275</v>
      </c>
      <c r="H382" s="15">
        <v>16300</v>
      </c>
      <c r="I382" s="62">
        <f>H382*F382</f>
        <v>2852500</v>
      </c>
      <c r="J382" s="44"/>
      <c r="K382" s="44"/>
      <c r="L382" s="44"/>
      <c r="M382" s="61"/>
      <c r="N382" s="44"/>
      <c r="O382" s="44"/>
      <c r="P382" s="44"/>
      <c r="Q382" s="44"/>
    </row>
    <row r="383" spans="2:17" ht="15.5" customHeight="1" x14ac:dyDescent="0.35">
      <c r="B383" s="123" t="s">
        <v>360</v>
      </c>
      <c r="C383" s="73" t="s">
        <v>2</v>
      </c>
      <c r="D383" s="74" t="s">
        <v>361</v>
      </c>
      <c r="E383" s="74"/>
      <c r="F383" s="75"/>
      <c r="G383" s="73"/>
      <c r="H383" s="73"/>
      <c r="I383" s="78"/>
      <c r="J383" s="78"/>
      <c r="K383" s="78"/>
      <c r="L383" s="78"/>
      <c r="M383" s="78"/>
      <c r="N383" s="78"/>
      <c r="O383" s="78"/>
      <c r="P383" s="78"/>
      <c r="Q383" s="78"/>
    </row>
    <row r="384" spans="2:17" ht="15.5" customHeight="1" x14ac:dyDescent="0.35">
      <c r="B384" s="67"/>
      <c r="C384" s="91"/>
      <c r="D384" s="97" t="s">
        <v>285</v>
      </c>
      <c r="E384" s="97"/>
      <c r="F384" s="93"/>
      <c r="G384" s="91"/>
      <c r="H384" s="91"/>
      <c r="I384" s="44"/>
      <c r="J384" s="44"/>
      <c r="K384" s="44"/>
      <c r="L384" s="44"/>
      <c r="M384" s="44"/>
      <c r="N384" s="44"/>
      <c r="O384" s="44"/>
      <c r="P384" s="44"/>
      <c r="Q384" s="44"/>
    </row>
    <row r="385" spans="2:17" ht="15.5" customHeight="1" x14ac:dyDescent="0.35">
      <c r="B385" s="67">
        <v>45511</v>
      </c>
      <c r="C385" s="91">
        <v>1</v>
      </c>
      <c r="D385" s="95" t="s">
        <v>362</v>
      </c>
      <c r="E385" s="95"/>
      <c r="F385" s="93">
        <v>500000</v>
      </c>
      <c r="G385" s="91" t="s">
        <v>21</v>
      </c>
      <c r="H385" s="91">
        <v>1</v>
      </c>
      <c r="I385" s="62">
        <f>F385</f>
        <v>500000</v>
      </c>
      <c r="J385" s="44"/>
      <c r="K385" s="44"/>
      <c r="L385" s="44"/>
      <c r="M385" s="44"/>
      <c r="N385" s="44"/>
      <c r="O385" s="44"/>
      <c r="P385" s="44"/>
      <c r="Q385" s="44"/>
    </row>
    <row r="386" spans="2:17" ht="15.5" customHeight="1" x14ac:dyDescent="0.35">
      <c r="B386" s="67"/>
      <c r="C386" s="91"/>
      <c r="D386" s="97" t="s">
        <v>168</v>
      </c>
      <c r="E386" s="97"/>
      <c r="F386" s="93"/>
      <c r="G386" s="91"/>
      <c r="H386" s="91"/>
      <c r="I386" s="44"/>
      <c r="J386" s="44"/>
      <c r="K386" s="44"/>
      <c r="L386" s="44"/>
      <c r="M386" s="44"/>
      <c r="N386" s="44"/>
      <c r="O386" s="44"/>
      <c r="P386" s="44"/>
      <c r="Q386" s="44"/>
    </row>
    <row r="387" spans="2:17" ht="15.5" customHeight="1" x14ac:dyDescent="0.35">
      <c r="B387" s="67">
        <v>45511</v>
      </c>
      <c r="C387" s="91">
        <v>2</v>
      </c>
      <c r="D387" s="95" t="s">
        <v>363</v>
      </c>
      <c r="E387" s="95"/>
      <c r="F387" s="93">
        <v>1500000</v>
      </c>
      <c r="G387" s="91" t="s">
        <v>21</v>
      </c>
      <c r="H387" s="91">
        <v>1</v>
      </c>
      <c r="I387" s="62">
        <f>F387</f>
        <v>1500000</v>
      </c>
      <c r="J387" s="44"/>
      <c r="K387" s="44"/>
      <c r="L387" s="44"/>
      <c r="M387" s="44"/>
      <c r="N387" s="44"/>
      <c r="O387" s="44"/>
      <c r="P387" s="44"/>
      <c r="Q387" s="44"/>
    </row>
    <row r="388" spans="2:17" ht="15.5" customHeight="1" x14ac:dyDescent="0.35">
      <c r="B388" s="67"/>
      <c r="C388" s="91"/>
      <c r="D388" s="97" t="s">
        <v>162</v>
      </c>
      <c r="E388" s="97"/>
      <c r="F388" s="93"/>
      <c r="G388" s="91"/>
      <c r="H388" s="91"/>
      <c r="I388" s="44"/>
      <c r="J388" s="44"/>
      <c r="K388" s="44"/>
      <c r="L388" s="44"/>
      <c r="M388" s="44"/>
      <c r="N388" s="44"/>
      <c r="O388" s="44"/>
      <c r="P388" s="44"/>
      <c r="Q388" s="44"/>
    </row>
    <row r="389" spans="2:17" ht="15.5" customHeight="1" x14ac:dyDescent="0.35">
      <c r="B389" s="67">
        <v>45516</v>
      </c>
      <c r="C389" s="91">
        <v>3</v>
      </c>
      <c r="D389" s="95" t="s">
        <v>364</v>
      </c>
      <c r="E389" s="95"/>
      <c r="F389" s="93">
        <v>15166600</v>
      </c>
      <c r="G389" s="91" t="s">
        <v>21</v>
      </c>
      <c r="H389" s="91">
        <v>1</v>
      </c>
      <c r="I389" s="44"/>
      <c r="J389" s="44"/>
      <c r="K389" s="44"/>
      <c r="L389" s="44"/>
      <c r="M389" s="44"/>
      <c r="N389" s="62">
        <f>F389</f>
        <v>15166600</v>
      </c>
      <c r="O389" s="44"/>
      <c r="P389" s="44"/>
      <c r="Q389" s="44"/>
    </row>
    <row r="390" spans="2:17" ht="15.5" customHeight="1" x14ac:dyDescent="0.35">
      <c r="B390" s="67"/>
      <c r="C390" s="91"/>
      <c r="D390" s="97" t="s">
        <v>171</v>
      </c>
      <c r="E390" s="97"/>
      <c r="F390" s="93"/>
      <c r="G390" s="91"/>
      <c r="H390" s="91"/>
      <c r="I390" s="44"/>
      <c r="J390" s="44"/>
      <c r="K390" s="44"/>
      <c r="L390" s="44"/>
      <c r="M390" s="44"/>
      <c r="N390" s="44"/>
      <c r="O390" s="44"/>
      <c r="P390" s="44"/>
      <c r="Q390" s="44"/>
    </row>
    <row r="391" spans="2:17" ht="15.5" customHeight="1" x14ac:dyDescent="0.35">
      <c r="B391" s="67">
        <v>45512</v>
      </c>
      <c r="C391" s="91">
        <v>4</v>
      </c>
      <c r="D391" s="95" t="s">
        <v>365</v>
      </c>
      <c r="E391" s="95"/>
      <c r="F391" s="93">
        <v>1000</v>
      </c>
      <c r="G391" s="91" t="s">
        <v>173</v>
      </c>
      <c r="H391" s="100">
        <v>16100</v>
      </c>
      <c r="I391" s="62">
        <f>H391*F391</f>
        <v>16100000</v>
      </c>
      <c r="J391" s="44"/>
      <c r="K391" s="44"/>
      <c r="L391" s="44"/>
      <c r="M391" s="44"/>
      <c r="N391" s="44"/>
      <c r="O391" s="44"/>
      <c r="P391" s="44"/>
      <c r="Q391" s="44"/>
    </row>
    <row r="392" spans="2:17" ht="15.5" customHeight="1" x14ac:dyDescent="0.35">
      <c r="B392" s="78" t="s">
        <v>366</v>
      </c>
      <c r="C392" s="85" t="s">
        <v>2</v>
      </c>
      <c r="D392" s="86" t="s">
        <v>367</v>
      </c>
      <c r="E392" s="86"/>
      <c r="F392" s="87"/>
      <c r="G392" s="73"/>
      <c r="H392" s="73"/>
      <c r="I392" s="78"/>
      <c r="J392" s="78"/>
      <c r="K392" s="78"/>
      <c r="L392" s="78"/>
      <c r="M392" s="101"/>
      <c r="N392" s="78"/>
      <c r="O392" s="78"/>
      <c r="P392" s="78"/>
      <c r="Q392" s="78"/>
    </row>
    <row r="393" spans="2:17" ht="15.5" customHeight="1" x14ac:dyDescent="0.35">
      <c r="B393" s="14"/>
      <c r="C393" s="15"/>
      <c r="D393" s="106" t="s">
        <v>149</v>
      </c>
      <c r="E393" s="106"/>
      <c r="F393" s="96"/>
      <c r="G393" s="15"/>
      <c r="H393" s="15"/>
      <c r="I393" s="44"/>
      <c r="J393" s="44"/>
      <c r="K393" s="44"/>
      <c r="L393" s="44"/>
      <c r="M393" s="62"/>
      <c r="N393" s="44"/>
      <c r="O393" s="44"/>
      <c r="P393" s="44"/>
      <c r="Q393" s="44"/>
    </row>
    <row r="394" spans="2:17" ht="15.5" customHeight="1" x14ac:dyDescent="0.35">
      <c r="B394" s="102">
        <v>45507</v>
      </c>
      <c r="C394" s="15"/>
      <c r="D394" s="18" t="s">
        <v>368</v>
      </c>
      <c r="E394" s="18"/>
      <c r="F394" s="96">
        <v>673500</v>
      </c>
      <c r="G394" s="15" t="s">
        <v>21</v>
      </c>
      <c r="H394" s="15">
        <v>1</v>
      </c>
      <c r="I394" s="61">
        <f>$H394*$F394</f>
        <v>673500</v>
      </c>
      <c r="J394" s="44"/>
      <c r="K394" s="44"/>
      <c r="L394" s="44"/>
      <c r="M394" s="61"/>
      <c r="N394" s="61"/>
      <c r="O394" s="44"/>
      <c r="P394" s="44"/>
      <c r="Q394" s="44"/>
    </row>
    <row r="395" spans="2:17" ht="15.5" customHeight="1" x14ac:dyDescent="0.35">
      <c r="B395" s="102"/>
      <c r="C395" s="15"/>
      <c r="D395" s="106" t="s">
        <v>149</v>
      </c>
      <c r="E395" s="106"/>
      <c r="F395" s="96"/>
      <c r="G395" s="15"/>
      <c r="H395" s="15"/>
      <c r="I395" s="44"/>
      <c r="J395" s="44"/>
      <c r="K395" s="44"/>
      <c r="L395" s="44"/>
      <c r="M395" s="62"/>
      <c r="N395" s="44"/>
      <c r="O395" s="44"/>
      <c r="P395" s="44"/>
      <c r="Q395" s="44"/>
    </row>
    <row r="396" spans="2:17" ht="15.5" customHeight="1" x14ac:dyDescent="0.35">
      <c r="B396" s="107">
        <v>45507</v>
      </c>
      <c r="C396" s="15"/>
      <c r="D396" s="63" t="s">
        <v>369</v>
      </c>
      <c r="E396" s="63"/>
      <c r="F396" s="96">
        <v>154000</v>
      </c>
      <c r="G396" s="15" t="s">
        <v>21</v>
      </c>
      <c r="H396" s="15">
        <v>1</v>
      </c>
      <c r="I396" s="61">
        <f>$H396*$F396</f>
        <v>154000</v>
      </c>
      <c r="J396" s="44"/>
      <c r="K396" s="44"/>
      <c r="L396" s="44"/>
      <c r="M396" s="61"/>
      <c r="N396" s="44"/>
      <c r="O396" s="44"/>
      <c r="P396" s="44"/>
      <c r="Q396" s="44"/>
    </row>
    <row r="397" spans="2:17" ht="15.5" customHeight="1" x14ac:dyDescent="0.35">
      <c r="B397" s="107">
        <v>45507</v>
      </c>
      <c r="C397" s="15"/>
      <c r="D397" s="63" t="s">
        <v>370</v>
      </c>
      <c r="E397" s="63"/>
      <c r="F397" s="96">
        <v>129000</v>
      </c>
      <c r="G397" s="15" t="s">
        <v>21</v>
      </c>
      <c r="H397" s="15">
        <v>1</v>
      </c>
      <c r="I397" s="61">
        <f>$H397*$F397</f>
        <v>129000</v>
      </c>
      <c r="J397" s="44"/>
      <c r="K397" s="44"/>
      <c r="L397" s="44"/>
      <c r="M397" s="62"/>
      <c r="N397" s="44"/>
      <c r="O397" s="44"/>
      <c r="P397" s="44"/>
      <c r="Q397" s="44"/>
    </row>
    <row r="398" spans="2:17" ht="15.5" customHeight="1" x14ac:dyDescent="0.35">
      <c r="B398" s="102">
        <v>45511</v>
      </c>
      <c r="C398" s="15"/>
      <c r="D398" s="63" t="s">
        <v>371</v>
      </c>
      <c r="E398" s="63"/>
      <c r="F398" s="96">
        <v>45000</v>
      </c>
      <c r="G398" s="15" t="s">
        <v>21</v>
      </c>
      <c r="H398" s="15">
        <v>1</v>
      </c>
      <c r="I398" s="61">
        <f>$H398*$F398</f>
        <v>45000</v>
      </c>
      <c r="J398" s="44"/>
      <c r="K398" s="44"/>
      <c r="L398" s="44"/>
      <c r="M398" s="61"/>
      <c r="N398" s="44"/>
      <c r="O398" s="44"/>
      <c r="P398" s="44"/>
      <c r="Q398" s="44"/>
    </row>
    <row r="399" spans="2:17" ht="15.5" customHeight="1" x14ac:dyDescent="0.35">
      <c r="B399" s="102"/>
      <c r="C399" s="15"/>
      <c r="D399" s="108" t="s">
        <v>158</v>
      </c>
      <c r="E399" s="108"/>
      <c r="F399" s="96"/>
      <c r="G399" s="15"/>
      <c r="H399" s="15"/>
      <c r="I399" s="44"/>
      <c r="J399" s="44"/>
      <c r="K399" s="44"/>
      <c r="L399" s="44"/>
      <c r="M399" s="44"/>
      <c r="N399" s="44"/>
      <c r="O399" s="44"/>
      <c r="P399" s="44"/>
      <c r="Q399" s="44"/>
    </row>
    <row r="400" spans="2:17" ht="15.5" customHeight="1" x14ac:dyDescent="0.35">
      <c r="B400" s="102">
        <v>45507</v>
      </c>
      <c r="C400" s="15"/>
      <c r="D400" s="63" t="s">
        <v>372</v>
      </c>
      <c r="E400" s="63"/>
      <c r="F400" s="96">
        <v>1591200</v>
      </c>
      <c r="G400" s="15" t="s">
        <v>21</v>
      </c>
      <c r="H400" s="15">
        <v>1</v>
      </c>
      <c r="I400" s="62">
        <f>F400</f>
        <v>1591200</v>
      </c>
      <c r="J400" s="44"/>
      <c r="K400" s="44"/>
      <c r="L400" s="44"/>
      <c r="M400" s="44"/>
      <c r="N400" s="44"/>
      <c r="O400" s="44"/>
      <c r="P400" s="44"/>
      <c r="Q400" s="44"/>
    </row>
    <row r="401" spans="2:17" ht="15.5" customHeight="1" x14ac:dyDescent="0.35">
      <c r="B401" s="102">
        <v>45509</v>
      </c>
      <c r="C401" s="15"/>
      <c r="D401" s="63" t="s">
        <v>373</v>
      </c>
      <c r="E401" s="63"/>
      <c r="F401" s="96">
        <v>795600</v>
      </c>
      <c r="G401" s="15" t="s">
        <v>21</v>
      </c>
      <c r="H401" s="15">
        <v>1</v>
      </c>
      <c r="I401" s="62">
        <f>F401</f>
        <v>795600</v>
      </c>
      <c r="J401" s="62"/>
      <c r="K401" s="44"/>
      <c r="L401" s="61"/>
      <c r="M401" s="44"/>
      <c r="N401" s="44"/>
      <c r="O401" s="44"/>
      <c r="P401" s="44"/>
      <c r="Q401" s="44"/>
    </row>
    <row r="402" spans="2:17" ht="15.5" customHeight="1" x14ac:dyDescent="0.35">
      <c r="B402" s="102"/>
      <c r="C402" s="15"/>
      <c r="D402" s="108" t="s">
        <v>171</v>
      </c>
      <c r="E402" s="108"/>
      <c r="F402" s="96"/>
      <c r="G402" s="15"/>
      <c r="H402" s="15"/>
      <c r="I402" s="44"/>
      <c r="J402" s="44"/>
      <c r="K402" s="44"/>
      <c r="L402" s="44"/>
      <c r="M402" s="44"/>
      <c r="N402" s="44"/>
      <c r="O402" s="44"/>
      <c r="P402" s="44"/>
      <c r="Q402" s="44"/>
    </row>
    <row r="403" spans="2:17" ht="15.5" customHeight="1" x14ac:dyDescent="0.35">
      <c r="B403" s="102">
        <v>45511</v>
      </c>
      <c r="C403" s="15"/>
      <c r="D403" s="63" t="s">
        <v>374</v>
      </c>
      <c r="E403" s="63"/>
      <c r="F403" s="96">
        <v>750000</v>
      </c>
      <c r="G403" s="15" t="s">
        <v>21</v>
      </c>
      <c r="H403" s="15">
        <v>1</v>
      </c>
      <c r="I403" s="62">
        <f>F403</f>
        <v>750000</v>
      </c>
      <c r="J403" s="44"/>
      <c r="K403" s="44"/>
      <c r="L403" s="44"/>
      <c r="M403" s="44"/>
      <c r="N403" s="44"/>
      <c r="O403" s="44"/>
      <c r="P403" s="44"/>
      <c r="Q403" s="44"/>
    </row>
    <row r="404" spans="2:17" ht="15.5" customHeight="1" x14ac:dyDescent="0.35">
      <c r="B404" s="102"/>
      <c r="C404" s="15"/>
      <c r="D404" s="108" t="s">
        <v>285</v>
      </c>
      <c r="E404" s="108"/>
      <c r="F404" s="96"/>
      <c r="G404" s="15"/>
      <c r="H404" s="15"/>
      <c r="I404" s="44"/>
      <c r="J404" s="44"/>
      <c r="K404" s="44"/>
      <c r="L404" s="44"/>
      <c r="M404" s="44"/>
      <c r="N404" s="44"/>
      <c r="O404" s="44"/>
      <c r="P404" s="44"/>
      <c r="Q404" s="44"/>
    </row>
    <row r="405" spans="2:17" ht="15.5" customHeight="1" x14ac:dyDescent="0.35">
      <c r="B405" s="102">
        <v>45511</v>
      </c>
      <c r="C405" s="15"/>
      <c r="D405" s="63" t="s">
        <v>375</v>
      </c>
      <c r="E405" s="63"/>
      <c r="F405" s="96">
        <v>250000</v>
      </c>
      <c r="G405" s="15" t="s">
        <v>21</v>
      </c>
      <c r="H405" s="15">
        <v>1</v>
      </c>
      <c r="I405" s="62">
        <f>F405</f>
        <v>250000</v>
      </c>
      <c r="J405" s="44"/>
      <c r="K405" s="44"/>
      <c r="L405" s="44"/>
      <c r="M405" s="44"/>
      <c r="N405" s="44"/>
      <c r="O405" s="44"/>
      <c r="P405" s="44"/>
      <c r="Q405" s="44"/>
    </row>
    <row r="406" spans="2:17" ht="15.5" customHeight="1" x14ac:dyDescent="0.35">
      <c r="B406" s="102"/>
      <c r="C406" s="15"/>
      <c r="D406" s="108" t="s">
        <v>171</v>
      </c>
      <c r="E406" s="108"/>
      <c r="F406" s="96"/>
      <c r="G406" s="15"/>
      <c r="H406" s="15"/>
      <c r="I406" s="44"/>
      <c r="J406" s="44"/>
      <c r="K406" s="44"/>
      <c r="L406" s="44"/>
      <c r="M406" s="44"/>
      <c r="N406" s="44"/>
      <c r="O406" s="44"/>
      <c r="P406" s="44"/>
      <c r="Q406" s="44"/>
    </row>
    <row r="407" spans="2:17" ht="15.5" customHeight="1" x14ac:dyDescent="0.35">
      <c r="B407" s="102">
        <v>45511</v>
      </c>
      <c r="C407" s="15"/>
      <c r="D407" s="113" t="s">
        <v>376</v>
      </c>
      <c r="E407" s="113"/>
      <c r="F407" s="96">
        <v>500</v>
      </c>
      <c r="G407" s="15" t="s">
        <v>21</v>
      </c>
      <c r="H407" s="15">
        <v>15900</v>
      </c>
      <c r="I407" s="62">
        <f>H407*F407</f>
        <v>7950000</v>
      </c>
      <c r="J407" s="44"/>
      <c r="K407" s="44"/>
      <c r="L407" s="44"/>
      <c r="M407" s="44"/>
      <c r="N407" s="44"/>
      <c r="O407" s="44"/>
      <c r="P407" s="44"/>
      <c r="Q407" s="44"/>
    </row>
    <row r="408" spans="2:17" ht="15.5" customHeight="1" x14ac:dyDescent="0.35">
      <c r="B408" s="78" t="s">
        <v>377</v>
      </c>
      <c r="C408" s="85" t="s">
        <v>2</v>
      </c>
      <c r="D408" s="86" t="s">
        <v>378</v>
      </c>
      <c r="E408" s="86"/>
      <c r="F408" s="87"/>
      <c r="G408" s="73"/>
      <c r="H408" s="73"/>
      <c r="I408" s="78"/>
      <c r="J408" s="78"/>
      <c r="K408" s="78"/>
      <c r="L408" s="78"/>
      <c r="M408" s="101"/>
      <c r="N408" s="78"/>
      <c r="O408" s="78"/>
      <c r="P408" s="78"/>
      <c r="Q408" s="78"/>
    </row>
    <row r="409" spans="2:17" ht="15.5" customHeight="1" x14ac:dyDescent="0.35">
      <c r="B409" s="14"/>
      <c r="C409" s="15"/>
      <c r="D409" s="44" t="s">
        <v>334</v>
      </c>
      <c r="E409" s="44"/>
      <c r="F409" s="21"/>
      <c r="G409" s="15"/>
      <c r="H409" s="15"/>
      <c r="I409" s="44"/>
      <c r="J409" s="44"/>
      <c r="K409" s="44"/>
      <c r="L409" s="44"/>
      <c r="M409" s="61"/>
      <c r="N409" s="44"/>
      <c r="O409" s="44"/>
      <c r="P409" s="44"/>
      <c r="Q409" s="44"/>
    </row>
    <row r="410" spans="2:17" ht="15.5" customHeight="1" x14ac:dyDescent="0.35">
      <c r="B410" s="14">
        <v>45474</v>
      </c>
      <c r="C410" s="15">
        <v>1</v>
      </c>
      <c r="D410" s="18" t="s">
        <v>379</v>
      </c>
      <c r="E410" s="18"/>
      <c r="F410" s="21">
        <v>5630000</v>
      </c>
      <c r="G410" s="15" t="s">
        <v>21</v>
      </c>
      <c r="H410" s="15">
        <v>1</v>
      </c>
      <c r="I410" s="44"/>
      <c r="J410" s="44"/>
      <c r="K410" s="44"/>
      <c r="L410" s="44"/>
      <c r="M410" s="61"/>
      <c r="N410" s="44"/>
      <c r="O410" s="44"/>
      <c r="P410" s="62">
        <f t="shared" ref="P410:P416" si="11">F410</f>
        <v>5630000</v>
      </c>
      <c r="Q410" s="44"/>
    </row>
    <row r="411" spans="2:17" ht="15.5" customHeight="1" x14ac:dyDescent="0.35">
      <c r="B411" s="14">
        <v>45476</v>
      </c>
      <c r="C411" s="15">
        <v>2</v>
      </c>
      <c r="D411" s="18" t="s">
        <v>380</v>
      </c>
      <c r="E411" s="18"/>
      <c r="F411" s="21">
        <v>460000</v>
      </c>
      <c r="G411" s="15" t="s">
        <v>21</v>
      </c>
      <c r="H411" s="15">
        <v>1</v>
      </c>
      <c r="I411" s="44"/>
      <c r="J411" s="44"/>
      <c r="K411" s="44"/>
      <c r="L411" s="44"/>
      <c r="M411" s="62"/>
      <c r="N411" s="44"/>
      <c r="O411" s="44"/>
      <c r="P411" s="62">
        <f t="shared" si="11"/>
        <v>460000</v>
      </c>
      <c r="Q411" s="44"/>
    </row>
    <row r="412" spans="2:17" ht="15.5" customHeight="1" x14ac:dyDescent="0.35">
      <c r="B412" s="14">
        <v>45476</v>
      </c>
      <c r="C412" s="15">
        <v>3</v>
      </c>
      <c r="D412" s="18" t="s">
        <v>381</v>
      </c>
      <c r="E412" s="18"/>
      <c r="F412" s="21">
        <v>2108000</v>
      </c>
      <c r="G412" s="15" t="s">
        <v>21</v>
      </c>
      <c r="H412" s="15">
        <v>1</v>
      </c>
      <c r="I412" s="44"/>
      <c r="J412" s="44"/>
      <c r="K412" s="44"/>
      <c r="L412" s="44"/>
      <c r="M412" s="61"/>
      <c r="N412" s="44"/>
      <c r="O412" s="44"/>
      <c r="P412" s="62">
        <f t="shared" si="11"/>
        <v>2108000</v>
      </c>
      <c r="Q412" s="44"/>
    </row>
    <row r="413" spans="2:17" ht="15.5" customHeight="1" x14ac:dyDescent="0.35">
      <c r="B413" s="14">
        <v>45483</v>
      </c>
      <c r="C413" s="15">
        <v>4</v>
      </c>
      <c r="D413" s="18" t="s">
        <v>382</v>
      </c>
      <c r="E413" s="18"/>
      <c r="F413" s="21">
        <v>149850</v>
      </c>
      <c r="G413" s="15" t="s">
        <v>21</v>
      </c>
      <c r="H413" s="15">
        <v>1</v>
      </c>
      <c r="I413" s="44"/>
      <c r="J413" s="44"/>
      <c r="K413" s="44"/>
      <c r="L413" s="44"/>
      <c r="M413" s="61"/>
      <c r="N413" s="44"/>
      <c r="O413" s="44"/>
      <c r="P413" s="62">
        <f t="shared" si="11"/>
        <v>149850</v>
      </c>
      <c r="Q413" s="44"/>
    </row>
    <row r="414" spans="2:17" ht="15.5" customHeight="1" x14ac:dyDescent="0.35">
      <c r="B414" s="14">
        <v>45482</v>
      </c>
      <c r="C414" s="15">
        <v>5</v>
      </c>
      <c r="D414" s="18" t="s">
        <v>383</v>
      </c>
      <c r="E414" s="18"/>
      <c r="F414" s="21">
        <v>285000</v>
      </c>
      <c r="G414" s="15" t="s">
        <v>21</v>
      </c>
      <c r="H414" s="15">
        <v>1</v>
      </c>
      <c r="I414" s="44"/>
      <c r="J414" s="44"/>
      <c r="K414" s="44"/>
      <c r="L414" s="44"/>
      <c r="M414" s="61"/>
      <c r="N414" s="44"/>
      <c r="O414" s="44"/>
      <c r="P414" s="62">
        <f t="shared" si="11"/>
        <v>285000</v>
      </c>
      <c r="Q414" s="44"/>
    </row>
    <row r="415" spans="2:17" ht="15.5" customHeight="1" x14ac:dyDescent="0.35">
      <c r="B415" s="14">
        <v>45483</v>
      </c>
      <c r="C415" s="15">
        <v>6</v>
      </c>
      <c r="D415" s="18" t="s">
        <v>384</v>
      </c>
      <c r="E415" s="18"/>
      <c r="F415" s="21">
        <v>285000</v>
      </c>
      <c r="G415" s="15" t="s">
        <v>21</v>
      </c>
      <c r="H415" s="15">
        <v>1</v>
      </c>
      <c r="I415" s="44"/>
      <c r="J415" s="44"/>
      <c r="K415" s="44"/>
      <c r="L415" s="44"/>
      <c r="M415" s="62"/>
      <c r="N415" s="44"/>
      <c r="O415" s="44"/>
      <c r="P415" s="62">
        <f t="shared" si="11"/>
        <v>285000</v>
      </c>
      <c r="Q415" s="44"/>
    </row>
    <row r="416" spans="2:17" ht="15.5" customHeight="1" x14ac:dyDescent="0.35">
      <c r="B416" s="14">
        <v>45484</v>
      </c>
      <c r="C416" s="15">
        <v>7</v>
      </c>
      <c r="D416" s="18" t="s">
        <v>385</v>
      </c>
      <c r="E416" s="18"/>
      <c r="F416" s="21">
        <v>285000</v>
      </c>
      <c r="G416" s="15" t="s">
        <v>21</v>
      </c>
      <c r="H416" s="15">
        <v>1</v>
      </c>
      <c r="I416" s="44"/>
      <c r="J416" s="44"/>
      <c r="K416" s="44"/>
      <c r="L416" s="44"/>
      <c r="M416" s="61"/>
      <c r="N416" s="44"/>
      <c r="O416" s="44"/>
      <c r="P416" s="62">
        <f t="shared" si="11"/>
        <v>285000</v>
      </c>
      <c r="Q416" s="44"/>
    </row>
    <row r="417" spans="2:17" ht="15.5" customHeight="1" x14ac:dyDescent="0.35">
      <c r="B417" s="102"/>
      <c r="C417" s="15"/>
      <c r="D417" s="106" t="s">
        <v>205</v>
      </c>
      <c r="E417" s="106"/>
      <c r="F417" s="21"/>
      <c r="G417" s="15"/>
      <c r="H417" s="15"/>
      <c r="I417" s="44"/>
      <c r="J417" s="44"/>
      <c r="K417" s="44"/>
      <c r="L417" s="44"/>
      <c r="M417" s="44"/>
      <c r="N417" s="44"/>
      <c r="O417" s="44"/>
      <c r="P417" s="44"/>
      <c r="Q417" s="44"/>
    </row>
    <row r="418" spans="2:17" ht="15.5" customHeight="1" x14ac:dyDescent="0.35">
      <c r="B418" s="102">
        <v>45110</v>
      </c>
      <c r="C418" s="15">
        <v>8</v>
      </c>
      <c r="D418" s="63" t="s">
        <v>386</v>
      </c>
      <c r="E418" s="63"/>
      <c r="F418" s="21">
        <v>106000</v>
      </c>
      <c r="G418" s="15" t="s">
        <v>21</v>
      </c>
      <c r="H418" s="15">
        <v>1</v>
      </c>
      <c r="I418" s="61">
        <f>$H418*$F418</f>
        <v>106000</v>
      </c>
      <c r="J418" s="44"/>
      <c r="K418" s="44"/>
      <c r="L418" s="44"/>
      <c r="M418" s="44"/>
      <c r="N418" s="44"/>
      <c r="O418" s="44"/>
      <c r="P418" s="44"/>
      <c r="Q418" s="44"/>
    </row>
    <row r="419" spans="2:17" ht="15.5" customHeight="1" x14ac:dyDescent="0.35">
      <c r="B419" s="102"/>
      <c r="C419" s="15"/>
      <c r="D419" s="108" t="s">
        <v>149</v>
      </c>
      <c r="E419" s="108"/>
      <c r="F419" s="21"/>
      <c r="G419" s="15"/>
      <c r="H419" s="15"/>
      <c r="I419" s="44"/>
      <c r="J419" s="44"/>
      <c r="K419" s="44"/>
      <c r="L419" s="44"/>
      <c r="M419" s="44"/>
      <c r="N419" s="44"/>
      <c r="O419" s="44"/>
      <c r="P419" s="44"/>
      <c r="Q419" s="44"/>
    </row>
    <row r="420" spans="2:17" ht="15.5" customHeight="1" x14ac:dyDescent="0.35">
      <c r="B420" s="14">
        <v>45484</v>
      </c>
      <c r="C420" s="15">
        <v>9</v>
      </c>
      <c r="D420" s="63" t="s">
        <v>387</v>
      </c>
      <c r="E420" s="63"/>
      <c r="F420" s="21">
        <v>164100</v>
      </c>
      <c r="G420" s="15" t="s">
        <v>21</v>
      </c>
      <c r="H420" s="15">
        <v>1</v>
      </c>
      <c r="I420" s="61">
        <f>$H420*$F420</f>
        <v>164100</v>
      </c>
      <c r="J420" s="44"/>
      <c r="K420" s="44"/>
      <c r="L420" s="44"/>
      <c r="M420" s="44"/>
      <c r="N420" s="44"/>
      <c r="O420" s="44"/>
      <c r="P420" s="44"/>
      <c r="Q420" s="44"/>
    </row>
    <row r="421" spans="2:17" ht="15.5" customHeight="1" x14ac:dyDescent="0.35">
      <c r="B421" s="14">
        <v>45484</v>
      </c>
      <c r="C421" s="15">
        <v>10</v>
      </c>
      <c r="D421" s="63" t="s">
        <v>388</v>
      </c>
      <c r="E421" s="63"/>
      <c r="F421" s="21">
        <v>291000</v>
      </c>
      <c r="G421" s="15" t="s">
        <v>21</v>
      </c>
      <c r="H421" s="15">
        <v>1</v>
      </c>
      <c r="I421" s="61">
        <f>$H421*$F421</f>
        <v>291000</v>
      </c>
      <c r="J421" s="44"/>
      <c r="K421" s="44"/>
      <c r="L421" s="44"/>
      <c r="M421" s="44"/>
      <c r="N421" s="44"/>
      <c r="O421" s="44"/>
      <c r="P421" s="44"/>
      <c r="Q421" s="44"/>
    </row>
    <row r="422" spans="2:17" ht="15.5" customHeight="1" x14ac:dyDescent="0.35">
      <c r="B422" s="14">
        <v>45490</v>
      </c>
      <c r="C422" s="15">
        <v>11</v>
      </c>
      <c r="D422" s="63" t="s">
        <v>388</v>
      </c>
      <c r="E422" s="63"/>
      <c r="F422" s="21">
        <v>177350</v>
      </c>
      <c r="G422" s="15" t="s">
        <v>21</v>
      </c>
      <c r="H422" s="15">
        <v>1</v>
      </c>
      <c r="I422" s="61">
        <f>$H422*$F422</f>
        <v>177350</v>
      </c>
      <c r="J422" s="44"/>
      <c r="K422" s="44"/>
      <c r="L422" s="44"/>
      <c r="M422" s="61"/>
      <c r="N422" s="44"/>
      <c r="O422" s="44"/>
      <c r="P422" s="44"/>
      <c r="Q422" s="44"/>
    </row>
    <row r="423" spans="2:17" ht="15.5" customHeight="1" x14ac:dyDescent="0.35">
      <c r="B423" s="14">
        <v>45498</v>
      </c>
      <c r="C423" s="15">
        <v>12</v>
      </c>
      <c r="D423" s="63" t="s">
        <v>389</v>
      </c>
      <c r="E423" s="63"/>
      <c r="F423" s="21">
        <v>319700</v>
      </c>
      <c r="G423" s="15" t="s">
        <v>21</v>
      </c>
      <c r="H423" s="15">
        <v>1</v>
      </c>
      <c r="I423" s="61">
        <f>$H423*$F423</f>
        <v>319700</v>
      </c>
      <c r="J423" s="44"/>
      <c r="K423" s="44"/>
      <c r="L423" s="44"/>
      <c r="M423" s="62"/>
      <c r="N423" s="44"/>
      <c r="O423" s="44"/>
      <c r="P423" s="44"/>
      <c r="Q423" s="44"/>
    </row>
    <row r="424" spans="2:17" ht="15.5" customHeight="1" x14ac:dyDescent="0.35">
      <c r="B424" s="14">
        <v>45501</v>
      </c>
      <c r="C424" s="15">
        <v>13</v>
      </c>
      <c r="D424" s="63" t="s">
        <v>390</v>
      </c>
      <c r="E424" s="63"/>
      <c r="F424" s="21">
        <v>217350</v>
      </c>
      <c r="G424" s="15" t="s">
        <v>21</v>
      </c>
      <c r="H424" s="15">
        <v>1</v>
      </c>
      <c r="I424" s="61">
        <f>$H424*$F424</f>
        <v>217350</v>
      </c>
      <c r="J424" s="44"/>
      <c r="K424" s="44"/>
      <c r="L424" s="44"/>
      <c r="M424" s="44"/>
      <c r="N424" s="44"/>
      <c r="O424" s="44"/>
      <c r="P424" s="44"/>
      <c r="Q424" s="44"/>
    </row>
    <row r="425" spans="2:17" ht="15.5" customHeight="1" x14ac:dyDescent="0.35">
      <c r="B425" s="14"/>
      <c r="C425" s="15"/>
      <c r="D425" s="63" t="s">
        <v>162</v>
      </c>
      <c r="E425" s="63"/>
      <c r="F425" s="21"/>
      <c r="G425" s="15"/>
      <c r="H425" s="15"/>
      <c r="I425" s="44"/>
      <c r="J425" s="44"/>
      <c r="K425" s="44"/>
      <c r="L425" s="44"/>
      <c r="M425" s="62"/>
      <c r="N425" s="44"/>
      <c r="O425" s="44"/>
      <c r="P425" s="44"/>
      <c r="Q425" s="44"/>
    </row>
    <row r="426" spans="2:17" ht="15.5" customHeight="1" x14ac:dyDescent="0.35">
      <c r="B426" s="14">
        <v>45497</v>
      </c>
      <c r="C426" s="15">
        <v>14</v>
      </c>
      <c r="D426" s="63" t="s">
        <v>391</v>
      </c>
      <c r="E426" s="63"/>
      <c r="F426" s="21">
        <v>75000</v>
      </c>
      <c r="G426" s="15" t="s">
        <v>21</v>
      </c>
      <c r="H426" s="15">
        <v>1</v>
      </c>
      <c r="I426" s="44"/>
      <c r="J426" s="44"/>
      <c r="K426" s="44"/>
      <c r="L426" s="44"/>
      <c r="M426" s="61"/>
      <c r="N426" s="62">
        <f t="shared" ref="N426:N433" si="12">F426</f>
        <v>75000</v>
      </c>
      <c r="O426" s="44"/>
      <c r="P426" s="44"/>
      <c r="Q426" s="44"/>
    </row>
    <row r="427" spans="2:17" ht="15.5" customHeight="1" x14ac:dyDescent="0.35">
      <c r="B427" s="14">
        <v>45498</v>
      </c>
      <c r="C427" s="15">
        <v>15</v>
      </c>
      <c r="D427" s="63" t="s">
        <v>392</v>
      </c>
      <c r="E427" s="63"/>
      <c r="F427" s="21">
        <v>133000</v>
      </c>
      <c r="G427" s="15" t="s">
        <v>21</v>
      </c>
      <c r="H427" s="15">
        <v>1</v>
      </c>
      <c r="I427" s="44"/>
      <c r="J427" s="44"/>
      <c r="K427" s="44"/>
      <c r="L427" s="44"/>
      <c r="M427" s="62"/>
      <c r="N427" s="62">
        <f t="shared" si="12"/>
        <v>133000</v>
      </c>
      <c r="O427" s="44"/>
      <c r="P427" s="44"/>
      <c r="Q427" s="44"/>
    </row>
    <row r="428" spans="2:17" ht="15.5" customHeight="1" x14ac:dyDescent="0.35">
      <c r="B428" s="14">
        <v>45498</v>
      </c>
      <c r="C428" s="15">
        <v>16</v>
      </c>
      <c r="D428" s="63" t="s">
        <v>393</v>
      </c>
      <c r="E428" s="63"/>
      <c r="F428" s="21">
        <v>700000</v>
      </c>
      <c r="G428" s="15" t="s">
        <v>21</v>
      </c>
      <c r="H428" s="15">
        <v>1</v>
      </c>
      <c r="I428" s="44"/>
      <c r="J428" s="44"/>
      <c r="K428" s="44"/>
      <c r="L428" s="44"/>
      <c r="M428" s="61"/>
      <c r="N428" s="62">
        <f t="shared" si="12"/>
        <v>700000</v>
      </c>
      <c r="O428" s="44"/>
      <c r="P428" s="44"/>
      <c r="Q428" s="44"/>
    </row>
    <row r="429" spans="2:17" ht="15.5" customHeight="1" x14ac:dyDescent="0.35">
      <c r="B429" s="14">
        <v>45499</v>
      </c>
      <c r="C429" s="15">
        <v>17</v>
      </c>
      <c r="D429" s="63" t="s">
        <v>394</v>
      </c>
      <c r="E429" s="63"/>
      <c r="F429" s="21">
        <v>20000</v>
      </c>
      <c r="G429" s="15" t="s">
        <v>21</v>
      </c>
      <c r="H429" s="15">
        <v>1</v>
      </c>
      <c r="I429" s="68"/>
      <c r="J429" s="68"/>
      <c r="K429" s="68"/>
      <c r="L429" s="68"/>
      <c r="M429" s="68"/>
      <c r="N429" s="62">
        <f t="shared" si="12"/>
        <v>20000</v>
      </c>
      <c r="O429" s="68"/>
      <c r="P429" s="68"/>
      <c r="Q429" s="68"/>
    </row>
    <row r="430" spans="2:17" ht="15.5" customHeight="1" x14ac:dyDescent="0.35">
      <c r="B430" s="14">
        <v>45500</v>
      </c>
      <c r="C430" s="15">
        <v>18</v>
      </c>
      <c r="D430" s="63" t="s">
        <v>392</v>
      </c>
      <c r="E430" s="63"/>
      <c r="F430" s="21">
        <v>155000</v>
      </c>
      <c r="G430" s="15" t="s">
        <v>21</v>
      </c>
      <c r="H430" s="15">
        <v>1</v>
      </c>
      <c r="I430" s="44"/>
      <c r="J430" s="44"/>
      <c r="K430" s="44"/>
      <c r="L430" s="44"/>
      <c r="M430" s="44"/>
      <c r="N430" s="62">
        <f t="shared" si="12"/>
        <v>155000</v>
      </c>
      <c r="O430" s="44"/>
      <c r="P430" s="44"/>
      <c r="Q430" s="44"/>
    </row>
    <row r="431" spans="2:17" ht="15.5" customHeight="1" x14ac:dyDescent="0.35">
      <c r="B431" s="14">
        <v>45500</v>
      </c>
      <c r="C431" s="15">
        <v>19</v>
      </c>
      <c r="D431" s="63" t="s">
        <v>393</v>
      </c>
      <c r="E431" s="63"/>
      <c r="F431" s="21">
        <v>660000</v>
      </c>
      <c r="G431" s="15" t="s">
        <v>21</v>
      </c>
      <c r="H431" s="15">
        <v>1</v>
      </c>
      <c r="I431" s="44"/>
      <c r="J431" s="44"/>
      <c r="K431" s="44"/>
      <c r="L431" s="44"/>
      <c r="M431" s="44"/>
      <c r="N431" s="62">
        <f t="shared" si="12"/>
        <v>660000</v>
      </c>
      <c r="O431" s="44"/>
      <c r="P431" s="44"/>
      <c r="Q431" s="44"/>
    </row>
    <row r="432" spans="2:17" ht="15.5" customHeight="1" x14ac:dyDescent="0.35">
      <c r="B432" s="14">
        <v>45500</v>
      </c>
      <c r="C432" s="15">
        <v>20</v>
      </c>
      <c r="D432" s="63" t="s">
        <v>395</v>
      </c>
      <c r="E432" s="63"/>
      <c r="F432" s="21">
        <v>1760000</v>
      </c>
      <c r="G432" s="15" t="s">
        <v>21</v>
      </c>
      <c r="H432" s="15">
        <v>1</v>
      </c>
      <c r="I432" s="44"/>
      <c r="J432" s="44"/>
      <c r="K432" s="44"/>
      <c r="L432" s="44"/>
      <c r="M432" s="44"/>
      <c r="N432" s="62">
        <f t="shared" si="12"/>
        <v>1760000</v>
      </c>
      <c r="O432" s="44"/>
      <c r="P432" s="44"/>
      <c r="Q432" s="44"/>
    </row>
    <row r="433" spans="2:17" ht="15.5" customHeight="1" x14ac:dyDescent="0.35">
      <c r="B433" s="14">
        <v>45501</v>
      </c>
      <c r="C433" s="15">
        <v>21</v>
      </c>
      <c r="D433" s="63" t="s">
        <v>396</v>
      </c>
      <c r="E433" s="63"/>
      <c r="F433" s="21">
        <v>2636800</v>
      </c>
      <c r="G433" s="15" t="s">
        <v>21</v>
      </c>
      <c r="H433" s="15">
        <v>1</v>
      </c>
      <c r="I433" s="44"/>
      <c r="J433" s="44"/>
      <c r="K433" s="44"/>
      <c r="L433" s="44"/>
      <c r="M433" s="44"/>
      <c r="N433" s="62">
        <f t="shared" si="12"/>
        <v>2636800</v>
      </c>
      <c r="O433" s="44"/>
      <c r="P433" s="44"/>
      <c r="Q433" s="44"/>
    </row>
    <row r="434" spans="2:17" ht="15.5" customHeight="1" x14ac:dyDescent="0.35">
      <c r="B434" s="102"/>
      <c r="C434" s="15"/>
      <c r="D434" s="108" t="s">
        <v>168</v>
      </c>
      <c r="E434" s="108"/>
      <c r="F434" s="21"/>
      <c r="G434" s="15"/>
      <c r="H434" s="15"/>
      <c r="I434" s="44"/>
      <c r="J434" s="44"/>
      <c r="K434" s="44"/>
      <c r="L434" s="44"/>
      <c r="M434" s="44"/>
      <c r="N434" s="44"/>
      <c r="O434" s="44"/>
      <c r="P434" s="44"/>
      <c r="Q434" s="44"/>
    </row>
    <row r="435" spans="2:17" ht="15.5" customHeight="1" x14ac:dyDescent="0.35">
      <c r="B435" s="14">
        <v>45476</v>
      </c>
      <c r="C435" s="15"/>
      <c r="D435" s="63" t="s">
        <v>397</v>
      </c>
      <c r="E435" s="63"/>
      <c r="F435" s="21">
        <v>144100</v>
      </c>
      <c r="G435" s="15" t="s">
        <v>21</v>
      </c>
      <c r="H435" s="15">
        <v>1</v>
      </c>
      <c r="I435" s="62">
        <f>F435</f>
        <v>144100</v>
      </c>
      <c r="J435" s="44"/>
      <c r="K435" s="44"/>
      <c r="L435" s="44"/>
      <c r="M435" s="44"/>
      <c r="N435" s="44"/>
      <c r="O435" s="44"/>
      <c r="P435" s="44"/>
      <c r="Q435" s="44"/>
    </row>
    <row r="436" spans="2:17" ht="15.5" customHeight="1" x14ac:dyDescent="0.35">
      <c r="B436" s="14">
        <v>45477</v>
      </c>
      <c r="C436" s="15"/>
      <c r="D436" s="63" t="s">
        <v>398</v>
      </c>
      <c r="E436" s="63"/>
      <c r="F436" s="21">
        <v>157000</v>
      </c>
      <c r="G436" s="15" t="s">
        <v>21</v>
      </c>
      <c r="H436" s="15">
        <v>1</v>
      </c>
      <c r="I436" s="62">
        <f>F436</f>
        <v>157000</v>
      </c>
      <c r="J436" s="44"/>
      <c r="K436" s="44"/>
      <c r="L436" s="44"/>
      <c r="M436" s="44"/>
      <c r="N436" s="44"/>
      <c r="O436" s="44"/>
      <c r="P436" s="44"/>
      <c r="Q436" s="44"/>
    </row>
    <row r="437" spans="2:17" ht="15.5" customHeight="1" x14ac:dyDescent="0.35">
      <c r="B437" s="14">
        <v>45484</v>
      </c>
      <c r="C437" s="15"/>
      <c r="D437" s="63" t="s">
        <v>399</v>
      </c>
      <c r="E437" s="63"/>
      <c r="F437" s="21">
        <v>81000</v>
      </c>
      <c r="G437" s="15" t="s">
        <v>21</v>
      </c>
      <c r="H437" s="15">
        <v>1</v>
      </c>
      <c r="I437" s="62">
        <f>F437</f>
        <v>81000</v>
      </c>
      <c r="J437" s="44"/>
      <c r="K437" s="44"/>
      <c r="L437" s="44"/>
      <c r="M437" s="44"/>
      <c r="N437" s="44"/>
      <c r="O437" s="44"/>
      <c r="P437" s="44"/>
      <c r="Q437" s="44"/>
    </row>
    <row r="438" spans="2:17" ht="15.5" customHeight="1" x14ac:dyDescent="0.35">
      <c r="B438" s="78" t="s">
        <v>400</v>
      </c>
      <c r="C438" s="85" t="s">
        <v>2</v>
      </c>
      <c r="D438" s="86" t="s">
        <v>401</v>
      </c>
      <c r="E438" s="86"/>
      <c r="F438" s="87"/>
      <c r="G438" s="73"/>
      <c r="H438" s="73"/>
      <c r="I438" s="78"/>
      <c r="J438" s="78"/>
      <c r="K438" s="78"/>
      <c r="L438" s="78"/>
      <c r="M438" s="78"/>
      <c r="N438" s="78"/>
      <c r="O438" s="78"/>
      <c r="P438" s="78"/>
      <c r="Q438" s="78"/>
    </row>
    <row r="439" spans="2:17" ht="15.5" customHeight="1" x14ac:dyDescent="0.35">
      <c r="B439" s="14"/>
      <c r="C439" s="15"/>
      <c r="D439" s="124" t="s">
        <v>149</v>
      </c>
      <c r="E439" s="124"/>
      <c r="F439" s="21"/>
      <c r="G439" s="15"/>
      <c r="H439" s="15"/>
      <c r="I439" s="44"/>
      <c r="J439" s="44"/>
      <c r="K439" s="44"/>
      <c r="L439" s="44"/>
      <c r="M439" s="44"/>
      <c r="N439" s="44"/>
      <c r="O439" s="44"/>
      <c r="P439" s="44"/>
      <c r="Q439" s="44"/>
    </row>
    <row r="440" spans="2:17" ht="15.5" customHeight="1" x14ac:dyDescent="0.35">
      <c r="B440" s="102">
        <v>45511</v>
      </c>
      <c r="C440" s="15">
        <v>1</v>
      </c>
      <c r="D440" s="63" t="s">
        <v>402</v>
      </c>
      <c r="E440" s="63"/>
      <c r="F440" s="21">
        <v>11000000</v>
      </c>
      <c r="G440" s="15" t="s">
        <v>21</v>
      </c>
      <c r="H440" s="15">
        <v>1</v>
      </c>
      <c r="I440" s="61">
        <f>$H440*$F440</f>
        <v>11000000</v>
      </c>
      <c r="J440" s="44"/>
      <c r="K440" s="44"/>
      <c r="L440" s="44"/>
      <c r="M440" s="44"/>
      <c r="N440" s="44"/>
      <c r="O440" s="44"/>
      <c r="P440" s="44"/>
      <c r="Q440" s="44"/>
    </row>
    <row r="441" spans="2:17" ht="15.5" customHeight="1" x14ac:dyDescent="0.35">
      <c r="B441" s="102">
        <v>45502</v>
      </c>
      <c r="C441" s="15">
        <v>2</v>
      </c>
      <c r="D441" s="63" t="s">
        <v>403</v>
      </c>
      <c r="E441" s="63"/>
      <c r="F441" s="21">
        <f>15000+27000+400000+8000+27500+5500</f>
        <v>483000</v>
      </c>
      <c r="G441" s="15" t="s">
        <v>21</v>
      </c>
      <c r="H441" s="15">
        <v>1</v>
      </c>
      <c r="I441" s="61">
        <f>$H441*$F441</f>
        <v>483000</v>
      </c>
      <c r="J441" s="44"/>
      <c r="K441" s="44"/>
      <c r="L441" s="44"/>
      <c r="M441" s="61"/>
      <c r="N441" s="44"/>
      <c r="O441" s="44"/>
      <c r="P441" s="44"/>
      <c r="Q441" s="44"/>
    </row>
    <row r="442" spans="2:17" ht="15.5" customHeight="1" x14ac:dyDescent="0.35">
      <c r="B442" s="102">
        <v>45511</v>
      </c>
      <c r="C442" s="15">
        <v>3</v>
      </c>
      <c r="D442" s="63" t="s">
        <v>404</v>
      </c>
      <c r="E442" s="63"/>
      <c r="F442" s="21">
        <f>5500+59500+20500+5500+405000</f>
        <v>496000</v>
      </c>
      <c r="G442" s="15" t="s">
        <v>21</v>
      </c>
      <c r="H442" s="15">
        <v>1</v>
      </c>
      <c r="I442" s="61">
        <f>$H442*$F442</f>
        <v>496000</v>
      </c>
      <c r="J442" s="44"/>
      <c r="K442" s="44"/>
      <c r="L442" s="44"/>
      <c r="M442" s="62"/>
      <c r="N442" s="44"/>
      <c r="O442" s="44"/>
      <c r="P442" s="44"/>
      <c r="Q442" s="44"/>
    </row>
    <row r="443" spans="2:17" ht="15.5" customHeight="1" x14ac:dyDescent="0.35">
      <c r="B443" s="102"/>
      <c r="C443" s="15"/>
      <c r="D443" s="108" t="s">
        <v>158</v>
      </c>
      <c r="E443" s="108"/>
      <c r="F443" s="21"/>
      <c r="G443" s="15"/>
      <c r="H443" s="15"/>
      <c r="I443" s="44"/>
      <c r="J443" s="44"/>
      <c r="K443" s="44"/>
      <c r="L443" s="44"/>
      <c r="M443" s="61"/>
      <c r="N443" s="61"/>
      <c r="O443" s="44"/>
      <c r="P443" s="44"/>
      <c r="Q443" s="44"/>
    </row>
    <row r="444" spans="2:17" ht="15.5" customHeight="1" x14ac:dyDescent="0.35">
      <c r="B444" s="102">
        <v>45511</v>
      </c>
      <c r="C444" s="15">
        <v>4</v>
      </c>
      <c r="D444" s="63" t="s">
        <v>405</v>
      </c>
      <c r="E444" s="63"/>
      <c r="F444" s="21">
        <v>500000</v>
      </c>
      <c r="G444" s="15" t="s">
        <v>21</v>
      </c>
      <c r="H444" s="15">
        <v>1</v>
      </c>
      <c r="I444" s="62">
        <f>F444</f>
        <v>500000</v>
      </c>
      <c r="J444" s="44"/>
      <c r="K444" s="44"/>
      <c r="L444" s="44"/>
      <c r="M444" s="62"/>
      <c r="N444" s="44"/>
      <c r="O444" s="44"/>
      <c r="P444" s="44"/>
      <c r="Q444" s="44"/>
    </row>
    <row r="445" spans="2:17" ht="15.5" customHeight="1" x14ac:dyDescent="0.35">
      <c r="B445" s="102">
        <v>45507</v>
      </c>
      <c r="C445" s="15">
        <v>5</v>
      </c>
      <c r="D445" s="63" t="s">
        <v>406</v>
      </c>
      <c r="E445" s="63"/>
      <c r="F445" s="21">
        <v>2700000</v>
      </c>
      <c r="G445" s="15" t="s">
        <v>21</v>
      </c>
      <c r="H445" s="15">
        <v>1</v>
      </c>
      <c r="I445" s="62">
        <f>F445</f>
        <v>2700000</v>
      </c>
      <c r="J445" s="44"/>
      <c r="K445" s="44"/>
      <c r="L445" s="44"/>
      <c r="M445" s="61"/>
      <c r="N445" s="44"/>
      <c r="O445" s="44"/>
      <c r="P445" s="44"/>
      <c r="Q445" s="44"/>
    </row>
    <row r="446" spans="2:17" ht="15.5" customHeight="1" x14ac:dyDescent="0.35">
      <c r="B446" s="102"/>
      <c r="C446" s="15"/>
      <c r="D446" s="108" t="s">
        <v>162</v>
      </c>
      <c r="E446" s="108"/>
      <c r="F446" s="21"/>
      <c r="G446" s="15"/>
      <c r="H446" s="15"/>
      <c r="I446" s="44"/>
      <c r="J446" s="44"/>
      <c r="K446" s="44"/>
      <c r="L446" s="44"/>
      <c r="M446" s="62"/>
      <c r="N446" s="44"/>
      <c r="O446" s="44"/>
      <c r="P446" s="44"/>
      <c r="Q446" s="44"/>
    </row>
    <row r="447" spans="2:17" ht="15.5" customHeight="1" x14ac:dyDescent="0.35">
      <c r="B447" s="102">
        <v>45502</v>
      </c>
      <c r="C447" s="15">
        <v>6</v>
      </c>
      <c r="D447" s="63" t="s">
        <v>407</v>
      </c>
      <c r="E447" s="63"/>
      <c r="F447" s="21">
        <v>34200</v>
      </c>
      <c r="G447" s="15" t="s">
        <v>21</v>
      </c>
      <c r="H447" s="15">
        <v>1</v>
      </c>
      <c r="I447" s="44"/>
      <c r="J447" s="44"/>
      <c r="K447" s="44"/>
      <c r="L447" s="44"/>
      <c r="M447" s="61"/>
      <c r="N447" s="44"/>
      <c r="O447" s="44"/>
      <c r="P447" s="62">
        <f>F447</f>
        <v>34200</v>
      </c>
      <c r="Q447" s="44"/>
    </row>
    <row r="448" spans="2:17" ht="15.5" customHeight="1" x14ac:dyDescent="0.35">
      <c r="B448" s="102">
        <v>45502</v>
      </c>
      <c r="C448" s="15">
        <v>7</v>
      </c>
      <c r="D448" s="63" t="s">
        <v>408</v>
      </c>
      <c r="E448" s="63"/>
      <c r="F448" s="21">
        <v>199900</v>
      </c>
      <c r="G448" s="15" t="s">
        <v>21</v>
      </c>
      <c r="H448" s="15">
        <v>1</v>
      </c>
      <c r="I448" s="62">
        <f>F448</f>
        <v>199900</v>
      </c>
      <c r="J448" s="44"/>
      <c r="K448" s="44"/>
      <c r="L448" s="44"/>
      <c r="M448" s="44"/>
      <c r="N448" s="44"/>
      <c r="O448" s="44"/>
      <c r="P448" s="44"/>
      <c r="Q448" s="44"/>
    </row>
    <row r="449" spans="2:17" ht="15.5" customHeight="1" x14ac:dyDescent="0.35">
      <c r="B449" s="102">
        <v>45504</v>
      </c>
      <c r="C449" s="15">
        <v>8</v>
      </c>
      <c r="D449" s="63" t="s">
        <v>408</v>
      </c>
      <c r="E449" s="63"/>
      <c r="F449" s="21">
        <v>69000</v>
      </c>
      <c r="G449" s="15" t="s">
        <v>21</v>
      </c>
      <c r="H449" s="15">
        <v>1</v>
      </c>
      <c r="I449" s="62">
        <f>F449</f>
        <v>69000</v>
      </c>
      <c r="J449" s="44"/>
      <c r="K449" s="44"/>
      <c r="L449" s="44"/>
      <c r="M449" s="44"/>
      <c r="N449" s="44"/>
      <c r="O449" s="44"/>
      <c r="P449" s="44"/>
      <c r="Q449" s="44"/>
    </row>
    <row r="450" spans="2:17" ht="15.5" customHeight="1" x14ac:dyDescent="0.35">
      <c r="B450" s="102">
        <v>45476</v>
      </c>
      <c r="C450" s="15">
        <v>9</v>
      </c>
      <c r="D450" s="63" t="s">
        <v>408</v>
      </c>
      <c r="E450" s="63"/>
      <c r="F450" s="21">
        <v>98000</v>
      </c>
      <c r="G450" s="15" t="s">
        <v>21</v>
      </c>
      <c r="H450" s="15">
        <v>1</v>
      </c>
      <c r="I450" s="62">
        <f>F450</f>
        <v>98000</v>
      </c>
      <c r="J450" s="44"/>
      <c r="K450" s="44"/>
      <c r="L450" s="44"/>
      <c r="M450" s="44"/>
      <c r="N450" s="44"/>
      <c r="O450" s="44"/>
      <c r="P450" s="44"/>
      <c r="Q450" s="44"/>
    </row>
    <row r="451" spans="2:17" ht="15.5" customHeight="1" x14ac:dyDescent="0.35">
      <c r="B451" s="102">
        <v>45505</v>
      </c>
      <c r="C451" s="15">
        <v>10</v>
      </c>
      <c r="D451" s="63" t="s">
        <v>409</v>
      </c>
      <c r="E451" s="63"/>
      <c r="F451" s="21">
        <v>65000</v>
      </c>
      <c r="G451" s="15" t="s">
        <v>21</v>
      </c>
      <c r="H451" s="15">
        <v>1</v>
      </c>
      <c r="I451" s="44"/>
      <c r="J451" s="44"/>
      <c r="K451" s="44"/>
      <c r="L451" s="44"/>
      <c r="M451" s="44"/>
      <c r="N451" s="62">
        <f>F451</f>
        <v>65000</v>
      </c>
      <c r="O451" s="44"/>
      <c r="P451" s="44"/>
      <c r="Q451" s="44"/>
    </row>
    <row r="452" spans="2:17" ht="15.5" customHeight="1" x14ac:dyDescent="0.35">
      <c r="B452" s="102">
        <v>45505</v>
      </c>
      <c r="C452" s="15">
        <v>11</v>
      </c>
      <c r="D452" s="63" t="s">
        <v>408</v>
      </c>
      <c r="E452" s="63"/>
      <c r="F452" s="21">
        <v>109800</v>
      </c>
      <c r="G452" s="15" t="s">
        <v>21</v>
      </c>
      <c r="H452" s="15">
        <v>1</v>
      </c>
      <c r="I452" s="62">
        <f>F452</f>
        <v>109800</v>
      </c>
      <c r="J452" s="44"/>
      <c r="K452" s="44"/>
      <c r="L452" s="44"/>
      <c r="M452" s="44"/>
      <c r="N452" s="44"/>
      <c r="O452" s="44"/>
      <c r="P452" s="44"/>
      <c r="Q452" s="44"/>
    </row>
    <row r="453" spans="2:17" ht="15.5" customHeight="1" x14ac:dyDescent="0.35">
      <c r="B453" s="102">
        <v>45507</v>
      </c>
      <c r="C453" s="15">
        <v>12</v>
      </c>
      <c r="D453" s="63" t="s">
        <v>408</v>
      </c>
      <c r="E453" s="63"/>
      <c r="F453" s="21">
        <v>96600</v>
      </c>
      <c r="G453" s="15" t="s">
        <v>21</v>
      </c>
      <c r="H453" s="15">
        <v>1</v>
      </c>
      <c r="I453" s="62">
        <f>F453</f>
        <v>96600</v>
      </c>
      <c r="J453" s="44"/>
      <c r="K453" s="44"/>
      <c r="L453" s="44"/>
      <c r="M453" s="44"/>
      <c r="N453" s="44"/>
      <c r="O453" s="44"/>
      <c r="P453" s="44"/>
      <c r="Q453" s="44"/>
    </row>
    <row r="454" spans="2:17" ht="15.5" customHeight="1" x14ac:dyDescent="0.35">
      <c r="B454" s="102">
        <v>45508</v>
      </c>
      <c r="C454" s="15">
        <v>13</v>
      </c>
      <c r="D454" s="63" t="s">
        <v>408</v>
      </c>
      <c r="E454" s="63"/>
      <c r="F454" s="21">
        <v>56600</v>
      </c>
      <c r="G454" s="15" t="s">
        <v>21</v>
      </c>
      <c r="H454" s="15">
        <v>1</v>
      </c>
      <c r="I454" s="62">
        <f>F454</f>
        <v>56600</v>
      </c>
      <c r="J454" s="44"/>
      <c r="K454" s="44"/>
      <c r="L454" s="44"/>
      <c r="M454" s="44"/>
      <c r="N454" s="44"/>
      <c r="O454" s="44"/>
      <c r="P454" s="44"/>
      <c r="Q454" s="44"/>
    </row>
    <row r="455" spans="2:17" ht="15.5" customHeight="1" x14ac:dyDescent="0.35">
      <c r="B455" s="102">
        <v>45509</v>
      </c>
      <c r="C455" s="15">
        <v>14</v>
      </c>
      <c r="D455" s="63" t="s">
        <v>410</v>
      </c>
      <c r="E455" s="63"/>
      <c r="F455" s="21">
        <v>72500</v>
      </c>
      <c r="G455" s="15" t="s">
        <v>21</v>
      </c>
      <c r="H455" s="15">
        <v>1</v>
      </c>
      <c r="I455" s="44"/>
      <c r="J455" s="44"/>
      <c r="K455" s="44"/>
      <c r="L455" s="44"/>
      <c r="M455" s="44"/>
      <c r="N455" s="62">
        <f>F455</f>
        <v>72500</v>
      </c>
      <c r="O455" s="44"/>
      <c r="P455" s="44"/>
      <c r="Q455" s="44"/>
    </row>
    <row r="456" spans="2:17" ht="15.5" customHeight="1" x14ac:dyDescent="0.35">
      <c r="B456" s="102">
        <v>45509</v>
      </c>
      <c r="C456" s="15">
        <v>15</v>
      </c>
      <c r="D456" s="63" t="s">
        <v>411</v>
      </c>
      <c r="E456" s="63"/>
      <c r="F456" s="21">
        <v>400000</v>
      </c>
      <c r="G456" s="15" t="s">
        <v>21</v>
      </c>
      <c r="H456" s="15">
        <v>1</v>
      </c>
      <c r="I456" s="44"/>
      <c r="J456" s="44"/>
      <c r="K456" s="44"/>
      <c r="L456" s="44"/>
      <c r="M456" s="44"/>
      <c r="N456" s="62">
        <f>F456</f>
        <v>400000</v>
      </c>
      <c r="O456" s="44"/>
      <c r="P456" s="44"/>
      <c r="Q456" s="44"/>
    </row>
    <row r="457" spans="2:17" ht="15.5" customHeight="1" x14ac:dyDescent="0.35">
      <c r="B457" s="102">
        <v>45510</v>
      </c>
      <c r="C457" s="15">
        <v>16</v>
      </c>
      <c r="D457" s="63" t="s">
        <v>412</v>
      </c>
      <c r="E457" s="63"/>
      <c r="F457" s="21">
        <v>60000</v>
      </c>
      <c r="G457" s="15" t="s">
        <v>21</v>
      </c>
      <c r="H457" s="15">
        <v>1</v>
      </c>
      <c r="I457" s="44"/>
      <c r="J457" s="44"/>
      <c r="K457" s="44"/>
      <c r="L457" s="44"/>
      <c r="M457" s="61"/>
      <c r="N457" s="62">
        <f>F457</f>
        <v>60000</v>
      </c>
      <c r="O457" s="44"/>
      <c r="P457" s="44"/>
      <c r="Q457" s="44"/>
    </row>
    <row r="458" spans="2:17" ht="15.5" customHeight="1" x14ac:dyDescent="0.35">
      <c r="B458" s="102">
        <v>45510</v>
      </c>
      <c r="C458" s="15">
        <v>17</v>
      </c>
      <c r="D458" s="63" t="s">
        <v>408</v>
      </c>
      <c r="E458" s="63"/>
      <c r="F458" s="21">
        <v>118100</v>
      </c>
      <c r="G458" s="15" t="s">
        <v>21</v>
      </c>
      <c r="H458" s="15">
        <v>1</v>
      </c>
      <c r="I458" s="62">
        <f>F458</f>
        <v>118100</v>
      </c>
      <c r="J458" s="44"/>
      <c r="K458" s="44"/>
      <c r="L458" s="44"/>
      <c r="M458" s="62"/>
      <c r="N458" s="44"/>
      <c r="O458" s="44"/>
      <c r="P458" s="44"/>
      <c r="Q458" s="44"/>
    </row>
    <row r="459" spans="2:17" ht="15.5" customHeight="1" x14ac:dyDescent="0.35">
      <c r="B459" s="102"/>
      <c r="C459" s="15"/>
      <c r="D459" s="108" t="s">
        <v>168</v>
      </c>
      <c r="E459" s="108"/>
      <c r="F459" s="21"/>
      <c r="G459" s="15"/>
      <c r="H459" s="15"/>
      <c r="I459" s="44"/>
      <c r="J459" s="44"/>
      <c r="K459" s="44"/>
      <c r="L459" s="44"/>
      <c r="M459" s="61"/>
      <c r="N459" s="44"/>
      <c r="O459" s="44"/>
      <c r="P459" s="44"/>
      <c r="Q459" s="44"/>
    </row>
    <row r="460" spans="2:17" ht="15.5" customHeight="1" x14ac:dyDescent="0.35">
      <c r="B460" s="102">
        <v>45502</v>
      </c>
      <c r="C460" s="15">
        <v>18</v>
      </c>
      <c r="D460" s="63" t="s">
        <v>413</v>
      </c>
      <c r="E460" s="63"/>
      <c r="F460" s="21">
        <v>275000</v>
      </c>
      <c r="G460" s="15" t="s">
        <v>21</v>
      </c>
      <c r="H460" s="15">
        <v>1</v>
      </c>
      <c r="I460" s="62">
        <f>$F460*$H460</f>
        <v>275000</v>
      </c>
      <c r="J460" s="44"/>
      <c r="K460" s="44"/>
      <c r="L460" s="44"/>
      <c r="M460" s="61"/>
      <c r="N460" s="44"/>
      <c r="O460" s="44"/>
      <c r="P460" s="44"/>
      <c r="Q460" s="44"/>
    </row>
    <row r="461" spans="2:17" ht="15.5" customHeight="1" x14ac:dyDescent="0.35">
      <c r="B461" s="102">
        <v>45505</v>
      </c>
      <c r="C461" s="15">
        <v>19</v>
      </c>
      <c r="D461" s="63" t="s">
        <v>414</v>
      </c>
      <c r="E461" s="63"/>
      <c r="F461" s="21">
        <v>157000</v>
      </c>
      <c r="G461" s="15" t="s">
        <v>21</v>
      </c>
      <c r="H461" s="15">
        <v>1</v>
      </c>
      <c r="I461" s="62">
        <f>$F461*$H461</f>
        <v>157000</v>
      </c>
      <c r="J461" s="44"/>
      <c r="K461" s="44"/>
      <c r="L461" s="44"/>
      <c r="M461" s="61"/>
      <c r="N461" s="44"/>
      <c r="O461" s="44"/>
      <c r="P461" s="44"/>
      <c r="Q461" s="44"/>
    </row>
    <row r="462" spans="2:17" ht="15.5" customHeight="1" x14ac:dyDescent="0.35">
      <c r="B462" s="102">
        <v>45506</v>
      </c>
      <c r="C462" s="15">
        <v>20</v>
      </c>
      <c r="D462" s="63" t="s">
        <v>415</v>
      </c>
      <c r="E462" s="63"/>
      <c r="F462" s="21">
        <v>80000</v>
      </c>
      <c r="G462" s="15" t="s">
        <v>21</v>
      </c>
      <c r="H462" s="15">
        <v>1</v>
      </c>
      <c r="I462" s="62">
        <f>$F462*$H462</f>
        <v>80000</v>
      </c>
      <c r="J462" s="44"/>
      <c r="K462" s="44"/>
      <c r="L462" s="44"/>
      <c r="M462" s="62"/>
      <c r="N462" s="44"/>
      <c r="O462" s="44"/>
      <c r="P462" s="44"/>
      <c r="Q462" s="44"/>
    </row>
    <row r="463" spans="2:17" ht="15.5" customHeight="1" x14ac:dyDescent="0.35">
      <c r="B463" s="102">
        <v>45507</v>
      </c>
      <c r="C463" s="15">
        <v>21</v>
      </c>
      <c r="D463" s="63" t="s">
        <v>416</v>
      </c>
      <c r="E463" s="63"/>
      <c r="F463" s="21">
        <f>251350 +19000</f>
        <v>270350</v>
      </c>
      <c r="G463" s="15" t="s">
        <v>21</v>
      </c>
      <c r="H463" s="15">
        <v>1</v>
      </c>
      <c r="I463" s="62">
        <f>$F463*$H463</f>
        <v>270350</v>
      </c>
      <c r="J463" s="44"/>
      <c r="K463" s="44"/>
      <c r="L463" s="44"/>
      <c r="M463" s="61"/>
      <c r="N463" s="44"/>
      <c r="O463" s="44"/>
      <c r="P463" s="44"/>
      <c r="Q463" s="44"/>
    </row>
    <row r="464" spans="2:17" ht="15.5" customHeight="1" x14ac:dyDescent="0.35">
      <c r="B464" s="102">
        <v>45507</v>
      </c>
      <c r="C464" s="15">
        <v>22</v>
      </c>
      <c r="D464" s="63" t="s">
        <v>417</v>
      </c>
      <c r="E464" s="63"/>
      <c r="F464" s="21">
        <v>401000</v>
      </c>
      <c r="G464" s="15" t="s">
        <v>21</v>
      </c>
      <c r="H464" s="15">
        <v>1</v>
      </c>
      <c r="I464" s="62">
        <f>$F464*$H464</f>
        <v>401000</v>
      </c>
      <c r="J464" s="44"/>
      <c r="K464" s="44"/>
      <c r="L464" s="44"/>
      <c r="M464" s="62"/>
      <c r="N464" s="44"/>
      <c r="O464" s="44"/>
      <c r="P464" s="44"/>
      <c r="Q464" s="44"/>
    </row>
    <row r="465" spans="2:17" ht="15.5" customHeight="1" x14ac:dyDescent="0.35">
      <c r="B465" s="102"/>
      <c r="C465" s="15"/>
      <c r="D465" s="108" t="s">
        <v>171</v>
      </c>
      <c r="E465" s="108"/>
      <c r="F465" s="21"/>
      <c r="G465" s="15"/>
      <c r="H465" s="15"/>
      <c r="I465" s="44"/>
      <c r="J465" s="44"/>
      <c r="K465" s="44"/>
      <c r="L465" s="44"/>
      <c r="M465" s="61"/>
      <c r="N465" s="44"/>
      <c r="O465" s="44"/>
      <c r="P465" s="44"/>
      <c r="Q465" s="44"/>
    </row>
    <row r="466" spans="2:17" ht="15.5" customHeight="1" x14ac:dyDescent="0.35">
      <c r="B466" s="102">
        <v>45511</v>
      </c>
      <c r="C466" s="15">
        <v>23</v>
      </c>
      <c r="D466" s="63" t="s">
        <v>418</v>
      </c>
      <c r="E466" s="63"/>
      <c r="F466" s="21">
        <v>1500000</v>
      </c>
      <c r="G466" s="15" t="s">
        <v>21</v>
      </c>
      <c r="H466" s="15">
        <v>1</v>
      </c>
      <c r="I466" s="62">
        <f>F466</f>
        <v>1500000</v>
      </c>
      <c r="J466" s="44"/>
      <c r="K466" s="44"/>
      <c r="L466" s="44"/>
      <c r="M466" s="44"/>
      <c r="N466" s="44"/>
      <c r="O466" s="44"/>
      <c r="P466" s="44"/>
      <c r="Q466" s="44"/>
    </row>
    <row r="467" spans="2:17" ht="15.5" customHeight="1" x14ac:dyDescent="0.35">
      <c r="B467" s="102"/>
      <c r="C467" s="15"/>
      <c r="D467" s="108" t="s">
        <v>171</v>
      </c>
      <c r="E467" s="108"/>
      <c r="F467" s="21"/>
      <c r="G467" s="15"/>
      <c r="H467" s="15"/>
      <c r="I467" s="44"/>
      <c r="J467" s="44"/>
      <c r="K467" s="44"/>
      <c r="L467" s="44"/>
      <c r="M467" s="44"/>
      <c r="N467" s="44"/>
      <c r="O467" s="44"/>
      <c r="P467" s="44"/>
      <c r="Q467" s="44"/>
    </row>
    <row r="468" spans="2:17" ht="15.5" customHeight="1" x14ac:dyDescent="0.35">
      <c r="B468" s="102">
        <v>45511</v>
      </c>
      <c r="C468" s="15">
        <v>24</v>
      </c>
      <c r="D468" s="63" t="s">
        <v>419</v>
      </c>
      <c r="E468" s="63"/>
      <c r="F468" s="21">
        <v>1000</v>
      </c>
      <c r="G468" s="15" t="s">
        <v>173</v>
      </c>
      <c r="H468" s="15">
        <v>16100</v>
      </c>
      <c r="I468" s="62">
        <f>H468*F468</f>
        <v>16100000</v>
      </c>
      <c r="J468" s="44"/>
      <c r="K468" s="44"/>
      <c r="L468" s="44"/>
      <c r="M468" s="44"/>
      <c r="N468" s="44"/>
      <c r="O468" s="44"/>
      <c r="P468" s="44"/>
      <c r="Q468" s="44"/>
    </row>
    <row r="469" spans="2:17" ht="15.5" customHeight="1" x14ac:dyDescent="0.35">
      <c r="B469" s="78" t="s">
        <v>420</v>
      </c>
      <c r="C469" s="85" t="s">
        <v>2</v>
      </c>
      <c r="D469" s="86" t="s">
        <v>421</v>
      </c>
      <c r="E469" s="86"/>
      <c r="F469" s="87"/>
      <c r="G469" s="73"/>
      <c r="H469" s="73"/>
      <c r="I469" s="78"/>
      <c r="J469" s="78"/>
      <c r="K469" s="78"/>
      <c r="L469" s="78"/>
      <c r="M469" s="78"/>
      <c r="N469" s="78"/>
      <c r="O469" s="78"/>
      <c r="P469" s="78"/>
      <c r="Q469" s="78"/>
    </row>
    <row r="470" spans="2:17" ht="15.5" customHeight="1" x14ac:dyDescent="0.35">
      <c r="B470" s="67"/>
      <c r="C470" s="91"/>
      <c r="D470" s="97" t="s">
        <v>158</v>
      </c>
      <c r="E470" s="97"/>
      <c r="F470" s="93"/>
      <c r="G470" s="91"/>
      <c r="H470" s="91"/>
      <c r="I470" s="44"/>
      <c r="J470" s="44"/>
      <c r="K470" s="44"/>
      <c r="L470" s="44"/>
      <c r="M470" s="44"/>
      <c r="N470" s="44"/>
      <c r="O470" s="44"/>
      <c r="P470" s="44"/>
      <c r="Q470" s="44"/>
    </row>
    <row r="471" spans="2:17" ht="15.5" customHeight="1" x14ac:dyDescent="0.35">
      <c r="B471" s="67">
        <v>45502</v>
      </c>
      <c r="C471" s="91">
        <v>1</v>
      </c>
      <c r="D471" s="95" t="s">
        <v>422</v>
      </c>
      <c r="E471" s="95"/>
      <c r="F471" s="93">
        <v>159682</v>
      </c>
      <c r="G471" s="91" t="s">
        <v>21</v>
      </c>
      <c r="H471" s="91">
        <v>1</v>
      </c>
      <c r="I471" s="62">
        <f>F471</f>
        <v>159682</v>
      </c>
      <c r="J471" s="44"/>
      <c r="K471" s="44"/>
      <c r="L471" s="44"/>
      <c r="M471" s="44"/>
      <c r="N471" s="44"/>
      <c r="O471" s="44"/>
      <c r="P471" s="44"/>
      <c r="Q471" s="44"/>
    </row>
    <row r="472" spans="2:17" ht="15.5" customHeight="1" x14ac:dyDescent="0.35">
      <c r="B472" s="67">
        <v>45502</v>
      </c>
      <c r="C472" s="91">
        <v>2</v>
      </c>
      <c r="D472" s="95" t="s">
        <v>362</v>
      </c>
      <c r="E472" s="95"/>
      <c r="F472" s="93">
        <v>500000</v>
      </c>
      <c r="G472" s="91" t="s">
        <v>21</v>
      </c>
      <c r="H472" s="91">
        <v>1</v>
      </c>
      <c r="I472" s="62">
        <f>F472</f>
        <v>500000</v>
      </c>
      <c r="J472" s="44"/>
      <c r="K472" s="44"/>
      <c r="L472" s="44"/>
      <c r="M472" s="44"/>
      <c r="N472" s="44"/>
      <c r="O472" s="44"/>
      <c r="P472" s="44"/>
      <c r="Q472" s="44"/>
    </row>
    <row r="473" spans="2:17" ht="15.5" customHeight="1" x14ac:dyDescent="0.35">
      <c r="B473" s="67"/>
      <c r="C473" s="91"/>
      <c r="D473" s="97" t="s">
        <v>149</v>
      </c>
      <c r="E473" s="97"/>
      <c r="F473" s="93"/>
      <c r="G473" s="91"/>
      <c r="H473" s="91"/>
      <c r="I473" s="44"/>
      <c r="J473" s="44"/>
      <c r="K473" s="44"/>
      <c r="L473" s="44"/>
      <c r="M473" s="61"/>
      <c r="N473" s="44"/>
      <c r="O473" s="44"/>
      <c r="P473" s="44"/>
      <c r="Q473" s="44"/>
    </row>
    <row r="474" spans="2:17" ht="15.5" customHeight="1" x14ac:dyDescent="0.35">
      <c r="B474" s="67">
        <v>45499</v>
      </c>
      <c r="C474" s="91">
        <v>3</v>
      </c>
      <c r="D474" s="95" t="s">
        <v>423</v>
      </c>
      <c r="E474" s="95"/>
      <c r="F474" s="93">
        <v>276500</v>
      </c>
      <c r="G474" s="91" t="s">
        <v>21</v>
      </c>
      <c r="H474" s="91">
        <v>1</v>
      </c>
      <c r="I474" s="61">
        <f>$H474*$F474</f>
        <v>276500</v>
      </c>
      <c r="J474" s="44"/>
      <c r="K474" s="44"/>
      <c r="L474" s="44"/>
      <c r="M474" s="62"/>
      <c r="N474" s="44"/>
      <c r="O474" s="44"/>
      <c r="P474" s="44"/>
      <c r="Q474" s="44"/>
    </row>
    <row r="475" spans="2:17" ht="15.5" customHeight="1" x14ac:dyDescent="0.35">
      <c r="B475" s="67">
        <v>45499</v>
      </c>
      <c r="C475" s="91">
        <v>4</v>
      </c>
      <c r="D475" s="95" t="s">
        <v>424</v>
      </c>
      <c r="E475" s="95"/>
      <c r="F475" s="93">
        <v>63568</v>
      </c>
      <c r="G475" s="91" t="s">
        <v>21</v>
      </c>
      <c r="H475" s="91">
        <v>1</v>
      </c>
      <c r="I475" s="61">
        <f>$H475*$F475</f>
        <v>63568</v>
      </c>
      <c r="J475" s="44"/>
      <c r="K475" s="44"/>
      <c r="L475" s="44"/>
      <c r="M475" s="61"/>
      <c r="N475" s="44"/>
      <c r="O475" s="44"/>
      <c r="P475" s="44"/>
      <c r="Q475" s="44"/>
    </row>
    <row r="476" spans="2:17" ht="15.5" customHeight="1" x14ac:dyDescent="0.35">
      <c r="B476" s="67">
        <v>45517</v>
      </c>
      <c r="C476" s="91">
        <v>5</v>
      </c>
      <c r="D476" s="95" t="s">
        <v>425</v>
      </c>
      <c r="E476" s="95"/>
      <c r="F476" s="93">
        <v>161885</v>
      </c>
      <c r="G476" s="91" t="s">
        <v>21</v>
      </c>
      <c r="H476" s="91">
        <v>1</v>
      </c>
      <c r="I476" s="61">
        <f>$H476*$F476</f>
        <v>161885</v>
      </c>
      <c r="J476" s="44"/>
      <c r="K476" s="44"/>
      <c r="L476" s="44"/>
      <c r="M476" s="62"/>
      <c r="N476" s="44"/>
      <c r="O476" s="44"/>
      <c r="P476" s="44"/>
      <c r="Q476" s="44"/>
    </row>
    <row r="477" spans="2:17" ht="15.5" customHeight="1" x14ac:dyDescent="0.35">
      <c r="B477" s="67"/>
      <c r="C477" s="91"/>
      <c r="D477" s="97" t="s">
        <v>349</v>
      </c>
      <c r="E477" s="97"/>
      <c r="F477" s="93"/>
      <c r="G477" s="91"/>
      <c r="H477" s="91"/>
      <c r="I477" s="44"/>
      <c r="J477" s="44"/>
      <c r="K477" s="44"/>
      <c r="L477" s="44"/>
      <c r="M477" s="61"/>
      <c r="N477" s="44"/>
      <c r="O477" s="44"/>
      <c r="P477" s="44"/>
      <c r="Q477" s="44"/>
    </row>
    <row r="478" spans="2:17" ht="15.5" customHeight="1" x14ac:dyDescent="0.35">
      <c r="B478" s="67">
        <v>45499</v>
      </c>
      <c r="C478" s="91">
        <v>6</v>
      </c>
      <c r="D478" s="95" t="s">
        <v>426</v>
      </c>
      <c r="E478" s="95"/>
      <c r="F478" s="93">
        <v>144900</v>
      </c>
      <c r="G478" s="91" t="s">
        <v>21</v>
      </c>
      <c r="H478" s="91">
        <v>1</v>
      </c>
      <c r="I478" s="44"/>
      <c r="J478" s="44"/>
      <c r="K478" s="44"/>
      <c r="L478" s="44"/>
      <c r="M478" s="62"/>
      <c r="N478" s="62">
        <f>F478</f>
        <v>144900</v>
      </c>
      <c r="O478" s="44"/>
      <c r="P478" s="44"/>
      <c r="Q478" s="44"/>
    </row>
    <row r="479" spans="2:17" ht="15.5" customHeight="1" x14ac:dyDescent="0.35">
      <c r="B479" s="67"/>
      <c r="C479" s="117"/>
      <c r="D479" s="97" t="s">
        <v>168</v>
      </c>
      <c r="E479" s="97"/>
      <c r="F479" s="93"/>
      <c r="G479" s="91"/>
      <c r="H479" s="91"/>
      <c r="I479" s="44"/>
      <c r="J479" s="44"/>
      <c r="K479" s="44"/>
      <c r="L479" s="44"/>
      <c r="M479" s="61"/>
      <c r="N479" s="44"/>
      <c r="O479" s="44"/>
      <c r="P479" s="44"/>
      <c r="Q479" s="44"/>
    </row>
    <row r="480" spans="2:17" ht="15.5" customHeight="1" x14ac:dyDescent="0.35">
      <c r="B480" s="67">
        <v>45502</v>
      </c>
      <c r="C480" s="91">
        <v>7</v>
      </c>
      <c r="D480" s="95" t="s">
        <v>169</v>
      </c>
      <c r="E480" s="95"/>
      <c r="F480" s="99">
        <v>263200</v>
      </c>
      <c r="G480" s="91" t="s">
        <v>21</v>
      </c>
      <c r="H480" s="91">
        <v>1</v>
      </c>
      <c r="I480" s="62">
        <f>F480</f>
        <v>263200</v>
      </c>
      <c r="J480" s="44"/>
      <c r="K480" s="44"/>
      <c r="L480" s="44"/>
      <c r="M480" s="44"/>
      <c r="N480" s="44"/>
      <c r="O480" s="44"/>
      <c r="P480" s="44"/>
      <c r="Q480" s="44"/>
    </row>
    <row r="481" spans="2:17" ht="15.5" customHeight="1" x14ac:dyDescent="0.35">
      <c r="B481" s="67"/>
      <c r="C481" s="117"/>
      <c r="D481" s="97" t="s">
        <v>168</v>
      </c>
      <c r="E481" s="97"/>
      <c r="F481" s="93"/>
      <c r="G481" s="91"/>
      <c r="H481" s="91"/>
      <c r="I481" s="44"/>
      <c r="J481" s="44"/>
      <c r="K481" s="44"/>
      <c r="L481" s="44"/>
      <c r="M481" s="44"/>
      <c r="N481" s="44"/>
      <c r="O481" s="44"/>
      <c r="P481" s="44"/>
      <c r="Q481" s="44"/>
    </row>
    <row r="482" spans="2:17" ht="15.5" customHeight="1" x14ac:dyDescent="0.35">
      <c r="B482" s="67">
        <v>45502</v>
      </c>
      <c r="C482" s="91">
        <v>8</v>
      </c>
      <c r="D482" s="95" t="s">
        <v>363</v>
      </c>
      <c r="E482" s="95"/>
      <c r="F482" s="93">
        <v>1500000</v>
      </c>
      <c r="G482" s="91" t="s">
        <v>21</v>
      </c>
      <c r="H482" s="91">
        <v>1</v>
      </c>
      <c r="I482" s="62">
        <f>F482</f>
        <v>1500000</v>
      </c>
      <c r="J482" s="44"/>
      <c r="K482" s="44"/>
      <c r="L482" s="44"/>
      <c r="M482" s="44"/>
      <c r="N482" s="61"/>
      <c r="O482" s="44"/>
      <c r="P482" s="44"/>
      <c r="Q482" s="44"/>
    </row>
    <row r="483" spans="2:17" ht="15.5" customHeight="1" x14ac:dyDescent="0.35">
      <c r="B483" s="67"/>
      <c r="C483" s="117"/>
      <c r="D483" s="97" t="s">
        <v>171</v>
      </c>
      <c r="E483" s="97"/>
      <c r="F483" s="93"/>
      <c r="G483" s="91"/>
      <c r="H483" s="91"/>
      <c r="I483" s="44"/>
      <c r="J483" s="44"/>
      <c r="K483" s="44"/>
      <c r="L483" s="44"/>
      <c r="M483" s="44"/>
      <c r="N483" s="44"/>
      <c r="O483" s="44"/>
      <c r="P483" s="44"/>
      <c r="Q483" s="44"/>
    </row>
    <row r="484" spans="2:17" ht="15.5" customHeight="1" x14ac:dyDescent="0.35">
      <c r="B484" s="67">
        <v>45502</v>
      </c>
      <c r="C484" s="91">
        <v>9</v>
      </c>
      <c r="D484" s="95" t="s">
        <v>427</v>
      </c>
      <c r="E484" s="95"/>
      <c r="F484" s="93">
        <v>1000</v>
      </c>
      <c r="G484" s="91" t="s">
        <v>173</v>
      </c>
      <c r="H484" s="100">
        <v>15513</v>
      </c>
      <c r="I484" s="62">
        <f>H484*F484</f>
        <v>15513000</v>
      </c>
      <c r="J484" s="44"/>
      <c r="K484" s="44"/>
      <c r="L484" s="44"/>
      <c r="M484" s="61"/>
      <c r="N484" s="44"/>
      <c r="O484" s="44"/>
      <c r="P484" s="44"/>
      <c r="Q484" s="44"/>
    </row>
    <row r="485" spans="2:17" ht="15.5" customHeight="1" x14ac:dyDescent="0.35">
      <c r="B485" s="78" t="s">
        <v>428</v>
      </c>
      <c r="C485" s="85" t="s">
        <v>2</v>
      </c>
      <c r="D485" s="86" t="s">
        <v>429</v>
      </c>
      <c r="E485" s="86"/>
      <c r="F485" s="87"/>
      <c r="G485" s="73"/>
      <c r="H485" s="73"/>
      <c r="I485" s="78"/>
      <c r="J485" s="78"/>
      <c r="K485" s="78"/>
      <c r="L485" s="78"/>
      <c r="M485" s="78"/>
      <c r="N485" s="101"/>
      <c r="O485" s="78"/>
      <c r="P485" s="78"/>
      <c r="Q485" s="78"/>
    </row>
    <row r="486" spans="2:17" s="126" customFormat="1" ht="15.5" customHeight="1" x14ac:dyDescent="0.35">
      <c r="B486" s="102"/>
      <c r="C486" s="15"/>
      <c r="D486" s="114" t="s">
        <v>171</v>
      </c>
      <c r="E486" s="114"/>
      <c r="F486" s="21"/>
      <c r="G486" s="15"/>
      <c r="H486" s="15"/>
      <c r="I486" s="125"/>
      <c r="J486" s="125"/>
      <c r="K486" s="125"/>
      <c r="L486" s="125"/>
      <c r="M486" s="125"/>
      <c r="N486" s="125"/>
      <c r="O486" s="125"/>
      <c r="P486" s="125"/>
      <c r="Q486" s="125"/>
    </row>
    <row r="487" spans="2:17" ht="15.5" customHeight="1" x14ac:dyDescent="0.35">
      <c r="B487" s="102">
        <v>45548</v>
      </c>
      <c r="C487" s="15">
        <v>1</v>
      </c>
      <c r="D487" s="63" t="s">
        <v>430</v>
      </c>
      <c r="E487" s="63"/>
      <c r="F487" s="21">
        <f>150000*6</f>
        <v>900000</v>
      </c>
      <c r="G487" s="15" t="s">
        <v>21</v>
      </c>
      <c r="H487" s="15">
        <v>1</v>
      </c>
      <c r="I487" s="62">
        <f>H487*F487</f>
        <v>900000</v>
      </c>
      <c r="J487" s="44"/>
      <c r="K487" s="44"/>
      <c r="L487" s="44"/>
      <c r="M487" s="44"/>
      <c r="N487" s="61"/>
      <c r="O487" s="44"/>
      <c r="P487" s="44"/>
      <c r="Q487" s="44"/>
    </row>
    <row r="488" spans="2:17" ht="15.5" customHeight="1" x14ac:dyDescent="0.35">
      <c r="B488" s="102">
        <v>45548</v>
      </c>
      <c r="C488" s="15">
        <v>2</v>
      </c>
      <c r="D488" s="63" t="s">
        <v>431</v>
      </c>
      <c r="E488" s="63"/>
      <c r="F488" s="21">
        <f>50000*6</f>
        <v>300000</v>
      </c>
      <c r="G488" s="15" t="s">
        <v>21</v>
      </c>
      <c r="H488" s="15">
        <v>1</v>
      </c>
      <c r="I488" s="62">
        <f>H488*F488</f>
        <v>300000</v>
      </c>
      <c r="J488" s="44"/>
      <c r="K488" s="44"/>
      <c r="L488" s="44"/>
      <c r="M488" s="61"/>
      <c r="N488" s="44"/>
      <c r="O488" s="44"/>
      <c r="P488" s="44"/>
      <c r="Q488" s="44"/>
    </row>
    <row r="489" spans="2:17" ht="15.5" customHeight="1" x14ac:dyDescent="0.35">
      <c r="B489" s="102"/>
      <c r="C489" s="15"/>
      <c r="D489" s="114" t="s">
        <v>171</v>
      </c>
      <c r="E489" s="114"/>
      <c r="F489" s="21"/>
      <c r="G489" s="15"/>
      <c r="H489" s="15"/>
      <c r="I489" s="44"/>
      <c r="J489" s="44"/>
      <c r="K489" s="44"/>
      <c r="L489" s="44"/>
      <c r="M489" s="44"/>
      <c r="N489" s="61"/>
      <c r="O489" s="44"/>
      <c r="P489" s="44"/>
      <c r="Q489" s="44"/>
    </row>
    <row r="490" spans="2:17" ht="15.5" customHeight="1" x14ac:dyDescent="0.35">
      <c r="B490" s="102">
        <v>45548</v>
      </c>
      <c r="C490" s="15">
        <v>3</v>
      </c>
      <c r="D490" s="63" t="s">
        <v>432</v>
      </c>
      <c r="E490" s="63"/>
      <c r="F490" s="21">
        <v>150</v>
      </c>
      <c r="G490" s="15" t="s">
        <v>275</v>
      </c>
      <c r="H490" s="15">
        <v>15450</v>
      </c>
      <c r="I490" s="62">
        <f>H490*F490</f>
        <v>2317500</v>
      </c>
      <c r="J490" s="44"/>
      <c r="K490" s="44"/>
      <c r="L490" s="44"/>
      <c r="M490" s="44"/>
      <c r="N490" s="61"/>
      <c r="O490" s="44"/>
      <c r="P490" s="44"/>
      <c r="Q490" s="44"/>
    </row>
    <row r="491" spans="2:17" ht="15.5" customHeight="1" x14ac:dyDescent="0.35">
      <c r="B491" s="78" t="s">
        <v>433</v>
      </c>
      <c r="C491" s="85" t="s">
        <v>2</v>
      </c>
      <c r="D491" s="86" t="s">
        <v>434</v>
      </c>
      <c r="E491" s="86"/>
      <c r="F491" s="87"/>
      <c r="G491" s="73"/>
      <c r="H491" s="73"/>
      <c r="I491" s="178"/>
      <c r="J491" s="78"/>
      <c r="K491" s="78"/>
      <c r="L491" s="78"/>
      <c r="M491" s="78"/>
      <c r="N491" s="78"/>
      <c r="O491" s="78"/>
      <c r="P491" s="78"/>
      <c r="Q491" s="78"/>
    </row>
    <row r="492" spans="2:17" ht="15.5" customHeight="1" x14ac:dyDescent="0.35">
      <c r="B492" s="67"/>
      <c r="C492" s="91"/>
      <c r="D492" s="127" t="s">
        <v>158</v>
      </c>
      <c r="E492" s="127"/>
      <c r="F492" s="93"/>
      <c r="G492" s="91"/>
      <c r="H492" s="91"/>
      <c r="I492" s="61"/>
      <c r="J492" s="44"/>
      <c r="K492" s="44"/>
      <c r="L492" s="44"/>
      <c r="M492" s="44"/>
      <c r="N492" s="44"/>
      <c r="O492" s="44"/>
      <c r="P492" s="44"/>
      <c r="Q492" s="44"/>
    </row>
    <row r="493" spans="2:17" ht="15.5" customHeight="1" x14ac:dyDescent="0.35">
      <c r="B493" s="67">
        <v>45541</v>
      </c>
      <c r="C493" s="91">
        <v>1</v>
      </c>
      <c r="D493" s="95" t="s">
        <v>435</v>
      </c>
      <c r="E493" s="95"/>
      <c r="F493" s="93">
        <v>1800000</v>
      </c>
      <c r="G493" s="91" t="s">
        <v>21</v>
      </c>
      <c r="H493" s="91">
        <v>1</v>
      </c>
      <c r="I493" s="104">
        <f>F493</f>
        <v>1800000</v>
      </c>
      <c r="J493" s="44"/>
      <c r="K493" s="44"/>
      <c r="L493" s="44"/>
      <c r="M493" s="44"/>
      <c r="N493" s="44"/>
      <c r="O493" s="44"/>
      <c r="P493" s="44"/>
      <c r="Q493" s="44"/>
    </row>
    <row r="494" spans="2:17" ht="15.5" customHeight="1" x14ac:dyDescent="0.35">
      <c r="B494" s="67">
        <v>45541</v>
      </c>
      <c r="C494" s="91">
        <v>2</v>
      </c>
      <c r="D494" s="95" t="s">
        <v>185</v>
      </c>
      <c r="E494" s="95"/>
      <c r="F494" s="93">
        <v>300000</v>
      </c>
      <c r="G494" s="91" t="s">
        <v>21</v>
      </c>
      <c r="H494" s="91">
        <v>1</v>
      </c>
      <c r="I494" s="62">
        <f>F494</f>
        <v>300000</v>
      </c>
      <c r="J494" s="44"/>
      <c r="K494" s="44"/>
      <c r="L494" s="44"/>
      <c r="M494" s="44"/>
      <c r="N494" s="44"/>
      <c r="O494" s="44"/>
      <c r="P494" s="44"/>
      <c r="Q494" s="44"/>
    </row>
    <row r="495" spans="2:17" ht="15.5" customHeight="1" x14ac:dyDescent="0.35">
      <c r="B495" s="67"/>
      <c r="C495" s="91"/>
      <c r="D495" s="127" t="s">
        <v>149</v>
      </c>
      <c r="E495" s="127"/>
      <c r="F495" s="93"/>
      <c r="G495" s="91"/>
      <c r="H495" s="91"/>
      <c r="I495" s="44"/>
      <c r="J495" s="44"/>
      <c r="K495" s="44"/>
      <c r="L495" s="44"/>
      <c r="M495" s="44"/>
      <c r="N495" s="44"/>
      <c r="O495" s="44"/>
      <c r="P495" s="44"/>
      <c r="Q495" s="44"/>
    </row>
    <row r="496" spans="2:17" ht="15.5" customHeight="1" x14ac:dyDescent="0.35">
      <c r="B496" s="67">
        <v>45541</v>
      </c>
      <c r="C496" s="91">
        <v>3</v>
      </c>
      <c r="D496" s="95" t="s">
        <v>150</v>
      </c>
      <c r="E496" s="95"/>
      <c r="F496" s="93">
        <v>904682</v>
      </c>
      <c r="G496" s="91" t="s">
        <v>21</v>
      </c>
      <c r="H496" s="91">
        <v>1</v>
      </c>
      <c r="I496" s="61">
        <f t="shared" ref="I496:I502" si="13">$H496*$F496</f>
        <v>904682</v>
      </c>
      <c r="J496" s="44"/>
      <c r="K496" s="44"/>
      <c r="L496" s="44"/>
      <c r="M496" s="44"/>
      <c r="N496" s="44"/>
      <c r="O496" s="44"/>
      <c r="P496" s="44"/>
      <c r="Q496" s="44"/>
    </row>
    <row r="497" spans="2:17" ht="15.5" customHeight="1" x14ac:dyDescent="0.35">
      <c r="B497" s="67">
        <v>45541</v>
      </c>
      <c r="C497" s="91">
        <v>4</v>
      </c>
      <c r="D497" s="95" t="s">
        <v>436</v>
      </c>
      <c r="E497" s="95"/>
      <c r="F497" s="93">
        <v>256500</v>
      </c>
      <c r="G497" s="91" t="s">
        <v>21</v>
      </c>
      <c r="H497" s="91">
        <v>1</v>
      </c>
      <c r="I497" s="61">
        <f t="shared" si="13"/>
        <v>256500</v>
      </c>
      <c r="J497" s="44"/>
      <c r="K497" s="44"/>
      <c r="L497" s="44"/>
      <c r="M497" s="44"/>
      <c r="N497" s="44"/>
      <c r="O497" s="44"/>
      <c r="P497" s="44"/>
      <c r="Q497" s="44"/>
    </row>
    <row r="498" spans="2:17" ht="15.5" customHeight="1" x14ac:dyDescent="0.35">
      <c r="B498" s="67">
        <v>45541</v>
      </c>
      <c r="C498" s="91">
        <v>5</v>
      </c>
      <c r="D498" s="95" t="s">
        <v>437</v>
      </c>
      <c r="E498" s="95"/>
      <c r="F498" s="93">
        <v>224000</v>
      </c>
      <c r="G498" s="91" t="s">
        <v>21</v>
      </c>
      <c r="H498" s="91">
        <v>1</v>
      </c>
      <c r="I498" s="61">
        <f t="shared" si="13"/>
        <v>224000</v>
      </c>
      <c r="J498" s="44"/>
      <c r="K498" s="44"/>
      <c r="L498" s="44"/>
      <c r="M498" s="44"/>
      <c r="N498" s="44"/>
      <c r="O498" s="44"/>
      <c r="P498" s="44"/>
      <c r="Q498" s="44"/>
    </row>
    <row r="499" spans="2:17" ht="15.5" customHeight="1" x14ac:dyDescent="0.35">
      <c r="B499" s="67">
        <v>45541</v>
      </c>
      <c r="C499" s="91">
        <v>6</v>
      </c>
      <c r="D499" s="95" t="s">
        <v>292</v>
      </c>
      <c r="E499" s="95"/>
      <c r="F499" s="93">
        <v>3000000</v>
      </c>
      <c r="G499" s="91" t="s">
        <v>21</v>
      </c>
      <c r="H499" s="91">
        <v>1</v>
      </c>
      <c r="I499" s="61">
        <f t="shared" si="13"/>
        <v>3000000</v>
      </c>
      <c r="J499" s="44"/>
      <c r="K499" s="44"/>
      <c r="L499" s="44"/>
      <c r="M499" s="44"/>
      <c r="N499" s="44"/>
      <c r="O499" s="44"/>
      <c r="P499" s="44"/>
      <c r="Q499" s="44"/>
    </row>
    <row r="500" spans="2:17" ht="15.5" customHeight="1" x14ac:dyDescent="0.35">
      <c r="B500" s="67">
        <v>45541</v>
      </c>
      <c r="C500" s="91">
        <v>7</v>
      </c>
      <c r="D500" s="98" t="s">
        <v>293</v>
      </c>
      <c r="E500" s="98"/>
      <c r="F500" s="93">
        <v>400000</v>
      </c>
      <c r="G500" s="91" t="s">
        <v>21</v>
      </c>
      <c r="H500" s="91">
        <v>1</v>
      </c>
      <c r="I500" s="61">
        <f t="shared" si="13"/>
        <v>400000</v>
      </c>
      <c r="J500" s="44"/>
      <c r="K500" s="44"/>
      <c r="L500" s="44"/>
      <c r="M500" s="44"/>
      <c r="N500" s="44"/>
      <c r="O500" s="44"/>
      <c r="P500" s="44"/>
      <c r="Q500" s="44"/>
    </row>
    <row r="501" spans="2:17" ht="15.5" customHeight="1" x14ac:dyDescent="0.35">
      <c r="B501" s="67">
        <v>45541</v>
      </c>
      <c r="C501" s="91">
        <v>8</v>
      </c>
      <c r="D501" s="98" t="s">
        <v>294</v>
      </c>
      <c r="E501" s="98"/>
      <c r="F501" s="93">
        <v>310660</v>
      </c>
      <c r="G501" s="91" t="s">
        <v>21</v>
      </c>
      <c r="H501" s="91">
        <v>1</v>
      </c>
      <c r="I501" s="61">
        <f t="shared" si="13"/>
        <v>310660</v>
      </c>
      <c r="J501" s="44"/>
      <c r="K501" s="44"/>
      <c r="L501" s="44"/>
      <c r="M501" s="44"/>
      <c r="N501" s="44"/>
      <c r="O501" s="44"/>
      <c r="P501" s="44"/>
      <c r="Q501" s="44"/>
    </row>
    <row r="502" spans="2:17" ht="15.5" customHeight="1" x14ac:dyDescent="0.35">
      <c r="B502" s="67">
        <v>45543</v>
      </c>
      <c r="C502" s="91">
        <v>9</v>
      </c>
      <c r="D502" s="95" t="s">
        <v>151</v>
      </c>
      <c r="E502" s="95"/>
      <c r="F502" s="93">
        <v>836100</v>
      </c>
      <c r="G502" s="91" t="s">
        <v>21</v>
      </c>
      <c r="H502" s="91">
        <v>1</v>
      </c>
      <c r="I502" s="61">
        <f t="shared" si="13"/>
        <v>836100</v>
      </c>
      <c r="J502" s="44"/>
      <c r="K502" s="44"/>
      <c r="L502" s="44"/>
      <c r="M502" s="44"/>
      <c r="N502" s="44"/>
      <c r="O502" s="44"/>
      <c r="P502" s="44"/>
      <c r="Q502" s="44"/>
    </row>
    <row r="503" spans="2:17" ht="15.5" customHeight="1" x14ac:dyDescent="0.35">
      <c r="B503" s="67"/>
      <c r="C503" s="117"/>
      <c r="D503" s="127" t="s">
        <v>171</v>
      </c>
      <c r="E503" s="127"/>
      <c r="F503" s="93"/>
      <c r="G503" s="91"/>
      <c r="H503" s="91"/>
      <c r="I503" s="44"/>
      <c r="J503" s="44"/>
      <c r="K503" s="44"/>
      <c r="L503" s="44"/>
      <c r="M503" s="44"/>
      <c r="N503" s="44"/>
      <c r="O503" s="44"/>
      <c r="P503" s="44"/>
      <c r="Q503" s="44"/>
    </row>
    <row r="504" spans="2:17" ht="15.5" customHeight="1" x14ac:dyDescent="0.35">
      <c r="B504" s="67">
        <v>45541</v>
      </c>
      <c r="C504" s="91">
        <v>10</v>
      </c>
      <c r="D504" s="95" t="s">
        <v>438</v>
      </c>
      <c r="E504" s="95"/>
      <c r="F504" s="93">
        <v>600</v>
      </c>
      <c r="G504" s="91" t="s">
        <v>173</v>
      </c>
      <c r="H504" s="100">
        <v>15438</v>
      </c>
      <c r="I504" s="62">
        <f>H504*F504</f>
        <v>9262800</v>
      </c>
      <c r="J504" s="44"/>
      <c r="K504" s="44"/>
      <c r="L504" s="44"/>
      <c r="M504" s="61"/>
      <c r="N504" s="44"/>
      <c r="O504" s="44"/>
      <c r="P504" s="44"/>
      <c r="Q504" s="44"/>
    </row>
    <row r="505" spans="2:17" ht="15.5" customHeight="1" x14ac:dyDescent="0.35">
      <c r="B505" s="67">
        <v>45541</v>
      </c>
      <c r="C505" s="91">
        <v>11</v>
      </c>
      <c r="D505" s="95" t="s">
        <v>439</v>
      </c>
      <c r="E505" s="95"/>
      <c r="F505" s="93">
        <v>900000</v>
      </c>
      <c r="G505" s="91" t="s">
        <v>21</v>
      </c>
      <c r="H505" s="91">
        <v>1</v>
      </c>
      <c r="I505" s="62">
        <f>F505</f>
        <v>900000</v>
      </c>
      <c r="J505" s="44"/>
      <c r="K505" s="44"/>
      <c r="L505" s="44"/>
      <c r="M505" s="44"/>
      <c r="N505" s="44"/>
      <c r="O505" s="44"/>
      <c r="P505" s="44"/>
      <c r="Q505" s="44"/>
    </row>
    <row r="506" spans="2:17" ht="15.5" customHeight="1" x14ac:dyDescent="0.35">
      <c r="B506" s="78" t="s">
        <v>440</v>
      </c>
      <c r="C506" s="85" t="s">
        <v>2</v>
      </c>
      <c r="D506" s="86" t="s">
        <v>434</v>
      </c>
      <c r="E506" s="86"/>
      <c r="F506" s="87"/>
      <c r="G506" s="73"/>
      <c r="H506" s="73"/>
      <c r="I506" s="178"/>
      <c r="J506" s="78"/>
      <c r="K506" s="78"/>
      <c r="L506" s="78"/>
      <c r="M506" s="78"/>
      <c r="N506" s="78"/>
      <c r="O506" s="78"/>
      <c r="P506" s="78"/>
      <c r="Q506" s="78"/>
    </row>
    <row r="507" spans="2:17" ht="15.5" customHeight="1" x14ac:dyDescent="0.35">
      <c r="B507" s="128"/>
      <c r="C507" s="129"/>
      <c r="D507" s="130" t="s">
        <v>149</v>
      </c>
      <c r="E507" s="130"/>
      <c r="F507" s="25"/>
      <c r="G507" s="131"/>
      <c r="H507" s="132"/>
      <c r="I507" s="61"/>
      <c r="J507" s="44"/>
      <c r="K507" s="44"/>
      <c r="L507" s="44"/>
      <c r="M507" s="44"/>
      <c r="N507" s="44"/>
      <c r="O507" s="44"/>
      <c r="P507" s="44"/>
      <c r="Q507" s="44"/>
    </row>
    <row r="508" spans="2:17" ht="15.5" customHeight="1" x14ac:dyDescent="0.35">
      <c r="B508" s="107">
        <v>45557</v>
      </c>
      <c r="C508" s="15">
        <v>1</v>
      </c>
      <c r="D508" s="63" t="s">
        <v>369</v>
      </c>
      <c r="E508" s="63"/>
      <c r="F508" s="21">
        <v>241280</v>
      </c>
      <c r="G508" s="18" t="s">
        <v>21</v>
      </c>
      <c r="H508" s="133">
        <v>1</v>
      </c>
      <c r="I508" s="61">
        <f>$H508*$F508</f>
        <v>241280</v>
      </c>
      <c r="J508" s="44"/>
      <c r="K508" s="44"/>
      <c r="L508" s="44"/>
      <c r="M508" s="44"/>
      <c r="N508" s="44"/>
      <c r="O508" s="44"/>
      <c r="P508" s="44"/>
      <c r="Q508" s="44"/>
    </row>
    <row r="509" spans="2:17" ht="15.5" customHeight="1" x14ac:dyDescent="0.35">
      <c r="B509" s="107">
        <v>45558</v>
      </c>
      <c r="C509" s="15">
        <v>2</v>
      </c>
      <c r="D509" s="63" t="s">
        <v>441</v>
      </c>
      <c r="E509" s="63"/>
      <c r="F509" s="21">
        <v>250000</v>
      </c>
      <c r="G509" s="18" t="s">
        <v>21</v>
      </c>
      <c r="H509" s="133">
        <v>1</v>
      </c>
      <c r="I509" s="61">
        <f>$H509*$F509</f>
        <v>250000</v>
      </c>
      <c r="J509" s="44"/>
      <c r="K509" s="44"/>
      <c r="L509" s="44"/>
      <c r="M509" s="44"/>
      <c r="N509" s="44"/>
      <c r="O509" s="44"/>
      <c r="P509" s="44"/>
      <c r="Q509" s="44"/>
    </row>
    <row r="510" spans="2:17" ht="15.5" customHeight="1" x14ac:dyDescent="0.35">
      <c r="B510" s="102">
        <v>45561</v>
      </c>
      <c r="C510" s="15">
        <v>3</v>
      </c>
      <c r="D510" s="63" t="s">
        <v>442</v>
      </c>
      <c r="E510" s="63"/>
      <c r="F510" s="21">
        <f>206000+34000</f>
        <v>240000</v>
      </c>
      <c r="G510" s="18" t="s">
        <v>21</v>
      </c>
      <c r="H510" s="133">
        <v>1</v>
      </c>
      <c r="I510" s="61">
        <f>$H510*$F510</f>
        <v>240000</v>
      </c>
      <c r="J510" s="44"/>
      <c r="K510" s="44"/>
      <c r="L510" s="44"/>
      <c r="M510" s="44"/>
      <c r="N510" s="44"/>
      <c r="O510" s="44"/>
      <c r="P510" s="44"/>
      <c r="Q510" s="44"/>
    </row>
    <row r="511" spans="2:17" ht="15.5" customHeight="1" x14ac:dyDescent="0.35">
      <c r="B511" s="128"/>
      <c r="C511" s="129"/>
      <c r="D511" s="134" t="s">
        <v>171</v>
      </c>
      <c r="E511" s="134"/>
      <c r="F511" s="25"/>
      <c r="G511" s="131"/>
      <c r="H511" s="132"/>
      <c r="I511" s="62"/>
      <c r="J511" s="44"/>
      <c r="K511" s="44"/>
      <c r="L511" s="44"/>
      <c r="M511" s="44"/>
      <c r="N511" s="44"/>
      <c r="O511" s="44"/>
      <c r="P511" s="44"/>
      <c r="Q511" s="44"/>
    </row>
    <row r="512" spans="2:17" ht="15.5" customHeight="1" x14ac:dyDescent="0.35">
      <c r="B512" s="102">
        <v>45561</v>
      </c>
      <c r="C512" s="15">
        <v>4</v>
      </c>
      <c r="D512" s="63" t="s">
        <v>443</v>
      </c>
      <c r="E512" s="63"/>
      <c r="F512" s="21">
        <f>5*150000</f>
        <v>750000</v>
      </c>
      <c r="G512" s="18" t="s">
        <v>21</v>
      </c>
      <c r="H512" s="133">
        <v>1</v>
      </c>
      <c r="I512" s="104">
        <f>$F512*$H512</f>
        <v>750000</v>
      </c>
      <c r="J512" s="44"/>
      <c r="K512" s="44"/>
      <c r="L512" s="44"/>
      <c r="M512" s="44"/>
      <c r="N512" s="44"/>
      <c r="O512" s="44"/>
      <c r="P512" s="44"/>
      <c r="Q512" s="44"/>
    </row>
    <row r="513" spans="2:17" ht="15.5" customHeight="1" x14ac:dyDescent="0.35">
      <c r="B513" s="128"/>
      <c r="C513" s="129"/>
      <c r="D513" s="134" t="s">
        <v>285</v>
      </c>
      <c r="E513" s="134"/>
      <c r="F513" s="25"/>
      <c r="G513" s="131"/>
      <c r="H513" s="132"/>
      <c r="I513" s="44"/>
      <c r="J513" s="44"/>
      <c r="K513" s="44"/>
      <c r="L513" s="44"/>
      <c r="M513" s="44"/>
      <c r="N513" s="44"/>
      <c r="O513" s="44"/>
      <c r="P513" s="44"/>
      <c r="Q513" s="44"/>
    </row>
    <row r="514" spans="2:17" ht="15.5" customHeight="1" x14ac:dyDescent="0.35">
      <c r="B514" s="102">
        <v>45561</v>
      </c>
      <c r="C514" s="15">
        <v>5</v>
      </c>
      <c r="D514" s="63" t="s">
        <v>444</v>
      </c>
      <c r="E514" s="63"/>
      <c r="F514" s="21">
        <f>5*50000</f>
        <v>250000</v>
      </c>
      <c r="G514" s="18" t="s">
        <v>21</v>
      </c>
      <c r="H514" s="133">
        <v>1</v>
      </c>
      <c r="I514" s="104">
        <f>$F514*$H514</f>
        <v>250000</v>
      </c>
      <c r="J514" s="44"/>
      <c r="K514" s="44"/>
      <c r="L514" s="44"/>
      <c r="M514" s="44"/>
      <c r="N514" s="44"/>
      <c r="O514" s="44"/>
      <c r="P514" s="44"/>
      <c r="Q514" s="44"/>
    </row>
    <row r="515" spans="2:17" ht="15.5" customHeight="1" x14ac:dyDescent="0.35">
      <c r="B515" s="102"/>
      <c r="C515" s="15"/>
      <c r="D515" s="108" t="s">
        <v>171</v>
      </c>
      <c r="E515" s="108"/>
      <c r="F515" s="21"/>
      <c r="G515" s="18"/>
      <c r="H515" s="133"/>
      <c r="I515" s="44"/>
      <c r="J515" s="44"/>
      <c r="K515" s="44"/>
      <c r="L515" s="44"/>
      <c r="M515" s="44"/>
      <c r="N515" s="44"/>
      <c r="O515" s="44"/>
      <c r="P515" s="44"/>
      <c r="Q515" s="44"/>
    </row>
    <row r="516" spans="2:17" ht="15.5" customHeight="1" x14ac:dyDescent="0.35">
      <c r="B516" s="102">
        <v>45561</v>
      </c>
      <c r="C516" s="15">
        <v>6</v>
      </c>
      <c r="D516" s="113" t="s">
        <v>445</v>
      </c>
      <c r="E516" s="113"/>
      <c r="F516" s="21">
        <f>5*100</f>
        <v>500</v>
      </c>
      <c r="G516" s="18" t="s">
        <v>21</v>
      </c>
      <c r="H516" s="133">
        <v>15100</v>
      </c>
      <c r="I516" s="104">
        <f>$F516*$H516</f>
        <v>7550000</v>
      </c>
      <c r="J516" s="44"/>
      <c r="K516" s="44"/>
      <c r="L516" s="44"/>
      <c r="M516" s="44"/>
      <c r="N516" s="44"/>
      <c r="O516" s="44"/>
      <c r="P516" s="44"/>
      <c r="Q516" s="44"/>
    </row>
    <row r="517" spans="2:17" ht="15.5" customHeight="1" x14ac:dyDescent="0.35">
      <c r="B517" s="78" t="s">
        <v>446</v>
      </c>
      <c r="C517" s="85" t="s">
        <v>2</v>
      </c>
      <c r="D517" s="86" t="s">
        <v>447</v>
      </c>
      <c r="E517" s="86"/>
      <c r="F517" s="87"/>
      <c r="G517" s="73"/>
      <c r="H517" s="73"/>
      <c r="I517" s="101"/>
      <c r="J517" s="78"/>
      <c r="K517" s="78"/>
      <c r="L517" s="78"/>
      <c r="M517" s="78"/>
      <c r="N517" s="78"/>
      <c r="O517" s="78"/>
      <c r="P517" s="78"/>
      <c r="Q517" s="78"/>
    </row>
    <row r="518" spans="2:17" ht="15.5" customHeight="1" x14ac:dyDescent="0.35">
      <c r="B518" s="67"/>
      <c r="C518" s="91"/>
      <c r="D518" s="97" t="s">
        <v>158</v>
      </c>
      <c r="E518" s="97"/>
      <c r="F518" s="93"/>
      <c r="G518" s="91"/>
      <c r="H518" s="91"/>
      <c r="I518" s="61"/>
      <c r="J518" s="44"/>
      <c r="K518" s="44"/>
      <c r="L518" s="44"/>
      <c r="M518" s="44"/>
      <c r="N518" s="44"/>
      <c r="O518" s="44"/>
      <c r="P518" s="44"/>
      <c r="Q518" s="44"/>
    </row>
    <row r="519" spans="2:17" ht="15.5" customHeight="1" x14ac:dyDescent="0.35">
      <c r="B519" s="67">
        <v>45563</v>
      </c>
      <c r="C519" s="91">
        <v>1</v>
      </c>
      <c r="D519" s="95" t="s">
        <v>448</v>
      </c>
      <c r="E519" s="95"/>
      <c r="F519" s="93">
        <v>1680000</v>
      </c>
      <c r="G519" s="91" t="s">
        <v>21</v>
      </c>
      <c r="H519" s="91">
        <v>1</v>
      </c>
      <c r="I519" s="61">
        <f>F519</f>
        <v>1680000</v>
      </c>
      <c r="J519" s="44"/>
      <c r="K519" s="44"/>
      <c r="L519" s="44"/>
      <c r="M519" s="44"/>
      <c r="N519" s="44"/>
      <c r="O519" s="44"/>
      <c r="P519" s="44"/>
      <c r="Q519" s="44"/>
    </row>
    <row r="520" spans="2:17" ht="15.5" customHeight="1" x14ac:dyDescent="0.35">
      <c r="B520" s="67">
        <v>45563</v>
      </c>
      <c r="C520" s="91">
        <v>2</v>
      </c>
      <c r="D520" s="95" t="s">
        <v>449</v>
      </c>
      <c r="E520" s="95"/>
      <c r="F520" s="93">
        <v>350000</v>
      </c>
      <c r="G520" s="91" t="s">
        <v>21</v>
      </c>
      <c r="H520" s="91">
        <v>1</v>
      </c>
      <c r="I520" s="62">
        <f>F520</f>
        <v>350000</v>
      </c>
      <c r="J520" s="44"/>
      <c r="K520" s="44"/>
      <c r="L520" s="44"/>
      <c r="M520" s="44"/>
      <c r="N520" s="44"/>
      <c r="O520" s="44"/>
      <c r="P520" s="44"/>
      <c r="Q520" s="44"/>
    </row>
    <row r="521" spans="2:17" ht="15.5" customHeight="1" x14ac:dyDescent="0.35">
      <c r="B521" s="67"/>
      <c r="C521" s="91"/>
      <c r="D521" s="97" t="s">
        <v>149</v>
      </c>
      <c r="E521" s="97"/>
      <c r="F521" s="93"/>
      <c r="G521" s="91"/>
      <c r="H521" s="91"/>
      <c r="I521" s="61"/>
      <c r="J521" s="44"/>
      <c r="K521" s="44"/>
      <c r="L521" s="44"/>
      <c r="M521" s="61"/>
      <c r="N521" s="44"/>
      <c r="O521" s="44"/>
      <c r="P521" s="44"/>
      <c r="Q521" s="44"/>
    </row>
    <row r="522" spans="2:17" ht="15.5" customHeight="1" x14ac:dyDescent="0.35">
      <c r="B522" s="67">
        <v>45563</v>
      </c>
      <c r="C522" s="91"/>
      <c r="D522" s="95" t="s">
        <v>293</v>
      </c>
      <c r="E522" s="95"/>
      <c r="F522" s="93">
        <v>200000</v>
      </c>
      <c r="G522" s="91" t="s">
        <v>21</v>
      </c>
      <c r="H522" s="91">
        <v>1</v>
      </c>
      <c r="I522" s="61">
        <f t="shared" ref="I522:I529" si="14">$H522*$F522</f>
        <v>200000</v>
      </c>
      <c r="J522" s="44"/>
      <c r="K522" s="44"/>
      <c r="L522" s="44"/>
      <c r="M522" s="61"/>
      <c r="N522" s="44"/>
      <c r="O522" s="44"/>
      <c r="P522" s="44"/>
      <c r="Q522" s="44"/>
    </row>
    <row r="523" spans="2:17" ht="15.5" customHeight="1" x14ac:dyDescent="0.35">
      <c r="B523" s="67">
        <v>45563</v>
      </c>
      <c r="C523" s="91"/>
      <c r="D523" s="95" t="s">
        <v>293</v>
      </c>
      <c r="E523" s="95"/>
      <c r="F523" s="93">
        <v>215000</v>
      </c>
      <c r="G523" s="91" t="s">
        <v>21</v>
      </c>
      <c r="H523" s="91">
        <v>1</v>
      </c>
      <c r="I523" s="61">
        <f t="shared" si="14"/>
        <v>215000</v>
      </c>
      <c r="J523" s="44"/>
      <c r="K523" s="44"/>
      <c r="L523" s="44"/>
      <c r="M523" s="61"/>
      <c r="N523" s="44"/>
      <c r="O523" s="44"/>
      <c r="P523" s="44"/>
      <c r="Q523" s="44"/>
    </row>
    <row r="524" spans="2:17" ht="15.5" customHeight="1" x14ac:dyDescent="0.35">
      <c r="B524" s="67">
        <v>45563</v>
      </c>
      <c r="C524" s="91"/>
      <c r="D524" s="95" t="s">
        <v>293</v>
      </c>
      <c r="E524" s="95"/>
      <c r="F524" s="93">
        <v>197000</v>
      </c>
      <c r="G524" s="91" t="s">
        <v>21</v>
      </c>
      <c r="H524" s="91">
        <v>1</v>
      </c>
      <c r="I524" s="61">
        <f t="shared" si="14"/>
        <v>197000</v>
      </c>
      <c r="J524" s="44"/>
      <c r="K524" s="44"/>
      <c r="L524" s="44"/>
      <c r="M524" s="44"/>
      <c r="N524" s="61"/>
      <c r="O524" s="44"/>
      <c r="P524" s="44"/>
      <c r="Q524" s="44"/>
    </row>
    <row r="525" spans="2:17" ht="15.5" customHeight="1" x14ac:dyDescent="0.35">
      <c r="B525" s="67">
        <v>45563</v>
      </c>
      <c r="C525" s="91"/>
      <c r="D525" s="95" t="s">
        <v>293</v>
      </c>
      <c r="E525" s="95"/>
      <c r="F525" s="93">
        <v>200000</v>
      </c>
      <c r="G525" s="91" t="s">
        <v>21</v>
      </c>
      <c r="H525" s="91">
        <v>1</v>
      </c>
      <c r="I525" s="61">
        <f t="shared" si="14"/>
        <v>200000</v>
      </c>
      <c r="J525" s="44"/>
      <c r="K525" s="44"/>
      <c r="L525" s="44"/>
      <c r="M525" s="44"/>
      <c r="N525" s="61"/>
      <c r="O525" s="44"/>
      <c r="P525" s="44"/>
      <c r="Q525" s="44"/>
    </row>
    <row r="526" spans="2:17" ht="15.5" customHeight="1" x14ac:dyDescent="0.35">
      <c r="B526" s="67">
        <v>45563</v>
      </c>
      <c r="C526" s="91"/>
      <c r="D526" s="95" t="s">
        <v>293</v>
      </c>
      <c r="E526" s="95"/>
      <c r="F526" s="93">
        <v>220000</v>
      </c>
      <c r="G526" s="91" t="s">
        <v>21</v>
      </c>
      <c r="H526" s="91">
        <v>1</v>
      </c>
      <c r="I526" s="61">
        <f t="shared" si="14"/>
        <v>220000</v>
      </c>
      <c r="J526" s="44"/>
      <c r="K526" s="44"/>
      <c r="L526" s="44"/>
      <c r="M526" s="44"/>
      <c r="N526" s="44"/>
      <c r="O526" s="44"/>
      <c r="P526" s="44"/>
      <c r="Q526" s="44"/>
    </row>
    <row r="527" spans="2:17" ht="15.5" customHeight="1" x14ac:dyDescent="0.35">
      <c r="B527" s="67">
        <v>45563</v>
      </c>
      <c r="C527" s="91"/>
      <c r="D527" s="95" t="s">
        <v>450</v>
      </c>
      <c r="E527" s="95"/>
      <c r="F527" s="93">
        <v>112000</v>
      </c>
      <c r="G527" s="91" t="s">
        <v>21</v>
      </c>
      <c r="H527" s="91">
        <v>1</v>
      </c>
      <c r="I527" s="61">
        <f t="shared" si="14"/>
        <v>112000</v>
      </c>
      <c r="J527" s="44"/>
      <c r="K527" s="44"/>
      <c r="L527" s="44"/>
      <c r="M527" s="44"/>
      <c r="N527" s="44"/>
      <c r="O527" s="44"/>
      <c r="P527" s="44"/>
      <c r="Q527" s="44"/>
    </row>
    <row r="528" spans="2:17" ht="15.5" customHeight="1" x14ac:dyDescent="0.35">
      <c r="B528" s="67">
        <v>45563</v>
      </c>
      <c r="C528" s="91"/>
      <c r="D528" s="95" t="s">
        <v>451</v>
      </c>
      <c r="E528" s="95"/>
      <c r="F528" s="93">
        <v>117000</v>
      </c>
      <c r="G528" s="91" t="s">
        <v>21</v>
      </c>
      <c r="H528" s="91">
        <v>1</v>
      </c>
      <c r="I528" s="61">
        <f t="shared" si="14"/>
        <v>117000</v>
      </c>
      <c r="J528" s="44"/>
      <c r="K528" s="44"/>
      <c r="L528" s="44"/>
      <c r="M528" s="44"/>
      <c r="N528" s="44"/>
      <c r="O528" s="44"/>
      <c r="P528" s="44"/>
      <c r="Q528" s="44"/>
    </row>
    <row r="529" spans="2:17" ht="15.5" customHeight="1" x14ac:dyDescent="0.35">
      <c r="B529" s="67">
        <v>45563</v>
      </c>
      <c r="C529" s="91"/>
      <c r="D529" s="95" t="s">
        <v>452</v>
      </c>
      <c r="E529" s="95"/>
      <c r="F529" s="93">
        <v>40000</v>
      </c>
      <c r="G529" s="91" t="s">
        <v>21</v>
      </c>
      <c r="H529" s="91">
        <v>1</v>
      </c>
      <c r="I529" s="61">
        <f t="shared" si="14"/>
        <v>40000</v>
      </c>
      <c r="J529" s="44"/>
      <c r="K529" s="44"/>
      <c r="L529" s="44"/>
      <c r="M529" s="44"/>
      <c r="N529" s="44"/>
      <c r="O529" s="44"/>
      <c r="P529" s="44"/>
      <c r="Q529" s="44"/>
    </row>
    <row r="530" spans="2:17" ht="15.5" customHeight="1" x14ac:dyDescent="0.35">
      <c r="B530" s="67"/>
      <c r="C530" s="91"/>
      <c r="D530" s="97" t="s">
        <v>349</v>
      </c>
      <c r="E530" s="97"/>
      <c r="F530" s="93"/>
      <c r="G530" s="91"/>
      <c r="H530" s="91"/>
      <c r="I530" s="62"/>
      <c r="J530" s="44"/>
      <c r="K530" s="44"/>
      <c r="L530" s="44"/>
      <c r="M530" s="44"/>
      <c r="N530" s="44"/>
      <c r="O530" s="44"/>
      <c r="P530" s="44"/>
      <c r="Q530" s="44"/>
    </row>
    <row r="531" spans="2:17" ht="15.5" customHeight="1" x14ac:dyDescent="0.35">
      <c r="B531" s="67">
        <v>45563</v>
      </c>
      <c r="C531" s="91"/>
      <c r="D531" s="98" t="s">
        <v>453</v>
      </c>
      <c r="E531" s="98"/>
      <c r="F531" s="93">
        <v>65000</v>
      </c>
      <c r="G531" s="91" t="s">
        <v>21</v>
      </c>
      <c r="H531" s="91">
        <v>1</v>
      </c>
      <c r="I531" s="62">
        <f t="shared" ref="I531:I541" si="15">F531</f>
        <v>65000</v>
      </c>
      <c r="J531" s="44"/>
      <c r="K531" s="44"/>
      <c r="L531" s="44"/>
      <c r="M531" s="44"/>
      <c r="N531" s="44"/>
      <c r="O531" s="44"/>
      <c r="P531" s="44"/>
      <c r="Q531" s="44"/>
    </row>
    <row r="532" spans="2:17" ht="15.5" customHeight="1" x14ac:dyDescent="0.35">
      <c r="B532" s="67">
        <v>45563</v>
      </c>
      <c r="C532" s="91"/>
      <c r="D532" s="98" t="s">
        <v>454</v>
      </c>
      <c r="E532" s="98"/>
      <c r="F532" s="93">
        <v>150000</v>
      </c>
      <c r="G532" s="91" t="s">
        <v>21</v>
      </c>
      <c r="H532" s="91">
        <v>1</v>
      </c>
      <c r="I532" s="62">
        <f t="shared" si="15"/>
        <v>150000</v>
      </c>
      <c r="J532" s="44"/>
      <c r="K532" s="44"/>
      <c r="L532" s="44"/>
      <c r="M532" s="44"/>
      <c r="N532" s="44"/>
      <c r="O532" s="44"/>
      <c r="P532" s="44"/>
      <c r="Q532" s="44"/>
    </row>
    <row r="533" spans="2:17" ht="15.5" customHeight="1" x14ac:dyDescent="0.35">
      <c r="B533" s="67">
        <v>45563</v>
      </c>
      <c r="C533" s="91"/>
      <c r="D533" s="98" t="s">
        <v>455</v>
      </c>
      <c r="E533" s="98"/>
      <c r="F533" s="93">
        <v>120000</v>
      </c>
      <c r="G533" s="91" t="s">
        <v>21</v>
      </c>
      <c r="H533" s="91">
        <v>1</v>
      </c>
      <c r="I533" s="62">
        <f t="shared" si="15"/>
        <v>120000</v>
      </c>
      <c r="J533" s="44"/>
      <c r="K533" s="44"/>
      <c r="L533" s="44"/>
      <c r="M533" s="44"/>
      <c r="N533" s="44"/>
      <c r="O533" s="44"/>
      <c r="P533" s="44"/>
      <c r="Q533" s="44"/>
    </row>
    <row r="534" spans="2:17" ht="15.5" customHeight="1" x14ac:dyDescent="0.35">
      <c r="B534" s="67">
        <v>45563</v>
      </c>
      <c r="C534" s="91"/>
      <c r="D534" s="98" t="s">
        <v>456</v>
      </c>
      <c r="E534" s="98"/>
      <c r="F534" s="93">
        <v>172000</v>
      </c>
      <c r="G534" s="91" t="s">
        <v>21</v>
      </c>
      <c r="H534" s="91">
        <v>1</v>
      </c>
      <c r="I534" s="62">
        <f t="shared" si="15"/>
        <v>172000</v>
      </c>
      <c r="J534" s="44"/>
      <c r="K534" s="44"/>
      <c r="L534" s="44"/>
      <c r="M534" s="61"/>
      <c r="N534" s="44"/>
      <c r="O534" s="44"/>
      <c r="P534" s="44"/>
      <c r="Q534" s="44"/>
    </row>
    <row r="535" spans="2:17" ht="15.5" customHeight="1" x14ac:dyDescent="0.35">
      <c r="B535" s="67">
        <v>45563</v>
      </c>
      <c r="C535" s="91"/>
      <c r="D535" s="98" t="s">
        <v>457</v>
      </c>
      <c r="E535" s="98"/>
      <c r="F535" s="93">
        <v>300000</v>
      </c>
      <c r="G535" s="91" t="s">
        <v>21</v>
      </c>
      <c r="H535" s="91">
        <v>1</v>
      </c>
      <c r="I535" s="62">
        <f t="shared" si="15"/>
        <v>300000</v>
      </c>
      <c r="J535" s="44"/>
      <c r="K535" s="44"/>
      <c r="L535" s="44"/>
      <c r="M535" s="62"/>
      <c r="N535" s="44"/>
      <c r="O535" s="44"/>
      <c r="P535" s="44"/>
      <c r="Q535" s="44"/>
    </row>
    <row r="536" spans="2:17" ht="15.5" customHeight="1" x14ac:dyDescent="0.35">
      <c r="B536" s="67">
        <v>45563</v>
      </c>
      <c r="C536" s="91"/>
      <c r="D536" s="98" t="s">
        <v>458</v>
      </c>
      <c r="E536" s="98"/>
      <c r="F536" s="93">
        <v>65000</v>
      </c>
      <c r="G536" s="91" t="s">
        <v>21</v>
      </c>
      <c r="H536" s="91">
        <v>1</v>
      </c>
      <c r="I536" s="62">
        <f t="shared" si="15"/>
        <v>65000</v>
      </c>
      <c r="J536" s="44"/>
      <c r="K536" s="44"/>
      <c r="L536" s="44"/>
      <c r="M536" s="61"/>
      <c r="N536" s="44"/>
      <c r="O536" s="44"/>
      <c r="P536" s="44"/>
      <c r="Q536" s="44"/>
    </row>
    <row r="537" spans="2:17" ht="15.5" customHeight="1" x14ac:dyDescent="0.35">
      <c r="B537" s="67">
        <v>45563</v>
      </c>
      <c r="C537" s="91"/>
      <c r="D537" s="98" t="s">
        <v>459</v>
      </c>
      <c r="E537" s="98"/>
      <c r="F537" s="93">
        <v>200000</v>
      </c>
      <c r="G537" s="91" t="s">
        <v>21</v>
      </c>
      <c r="H537" s="91">
        <v>1</v>
      </c>
      <c r="I537" s="62">
        <f t="shared" si="15"/>
        <v>200000</v>
      </c>
      <c r="J537" s="44"/>
      <c r="K537" s="44"/>
      <c r="L537" s="44"/>
      <c r="M537" s="61"/>
      <c r="N537" s="44"/>
      <c r="O537" s="44"/>
      <c r="P537" s="44"/>
      <c r="Q537" s="44"/>
    </row>
    <row r="538" spans="2:17" ht="15.5" customHeight="1" x14ac:dyDescent="0.35">
      <c r="B538" s="67">
        <v>45563</v>
      </c>
      <c r="C538" s="91"/>
      <c r="D538" s="98" t="s">
        <v>456</v>
      </c>
      <c r="E538" s="98"/>
      <c r="F538" s="93">
        <v>240000</v>
      </c>
      <c r="G538" s="91" t="s">
        <v>21</v>
      </c>
      <c r="H538" s="91">
        <v>1</v>
      </c>
      <c r="I538" s="62">
        <f t="shared" si="15"/>
        <v>240000</v>
      </c>
      <c r="J538" s="44"/>
      <c r="K538" s="44"/>
      <c r="L538" s="44"/>
      <c r="M538" s="62"/>
      <c r="N538" s="44"/>
      <c r="O538" s="44"/>
      <c r="P538" s="44"/>
      <c r="Q538" s="44"/>
    </row>
    <row r="539" spans="2:17" ht="15.5" customHeight="1" x14ac:dyDescent="0.35">
      <c r="B539" s="67">
        <v>45563</v>
      </c>
      <c r="C539" s="91"/>
      <c r="D539" s="98" t="s">
        <v>457</v>
      </c>
      <c r="E539" s="98"/>
      <c r="F539" s="93">
        <v>230000</v>
      </c>
      <c r="G539" s="91" t="s">
        <v>21</v>
      </c>
      <c r="H539" s="91">
        <v>1</v>
      </c>
      <c r="I539" s="62">
        <f t="shared" si="15"/>
        <v>230000</v>
      </c>
      <c r="J539" s="44"/>
      <c r="K539" s="44"/>
      <c r="L539" s="44"/>
      <c r="M539" s="61"/>
      <c r="N539" s="44"/>
      <c r="O539" s="44"/>
      <c r="P539" s="44"/>
      <c r="Q539" s="44"/>
    </row>
    <row r="540" spans="2:17" ht="15.5" customHeight="1" x14ac:dyDescent="0.35">
      <c r="B540" s="67">
        <v>45563</v>
      </c>
      <c r="C540" s="91"/>
      <c r="D540" s="98" t="s">
        <v>460</v>
      </c>
      <c r="E540" s="98"/>
      <c r="F540" s="93">
        <v>110000</v>
      </c>
      <c r="G540" s="91" t="s">
        <v>21</v>
      </c>
      <c r="H540" s="91">
        <v>1</v>
      </c>
      <c r="I540" s="62">
        <f t="shared" si="15"/>
        <v>110000</v>
      </c>
      <c r="J540" s="44"/>
      <c r="K540" s="44"/>
      <c r="L540" s="44"/>
      <c r="M540" s="61"/>
      <c r="N540" s="44"/>
      <c r="O540" s="44"/>
      <c r="P540" s="44"/>
      <c r="Q540" s="44"/>
    </row>
    <row r="541" spans="2:17" ht="15.5" customHeight="1" x14ac:dyDescent="0.35">
      <c r="B541" s="67">
        <v>45563</v>
      </c>
      <c r="C541" s="91"/>
      <c r="D541" s="98" t="s">
        <v>461</v>
      </c>
      <c r="E541" s="98"/>
      <c r="F541" s="93">
        <v>47000</v>
      </c>
      <c r="G541" s="91" t="s">
        <v>21</v>
      </c>
      <c r="H541" s="91">
        <v>1</v>
      </c>
      <c r="I541" s="62">
        <f t="shared" si="15"/>
        <v>47000</v>
      </c>
      <c r="J541" s="44"/>
      <c r="K541" s="44"/>
      <c r="L541" s="44"/>
      <c r="M541" s="62"/>
      <c r="N541" s="44"/>
      <c r="O541" s="44"/>
      <c r="P541" s="44"/>
      <c r="Q541" s="44"/>
    </row>
    <row r="542" spans="2:17" ht="15.5" customHeight="1" x14ac:dyDescent="0.35">
      <c r="B542" s="67"/>
      <c r="C542" s="117"/>
      <c r="D542" s="97" t="s">
        <v>171</v>
      </c>
      <c r="E542" s="97"/>
      <c r="F542" s="93"/>
      <c r="G542" s="91"/>
      <c r="H542" s="91"/>
      <c r="I542" s="44"/>
      <c r="J542" s="44"/>
      <c r="K542" s="44"/>
      <c r="L542" s="44"/>
      <c r="M542" s="61"/>
      <c r="N542" s="44"/>
      <c r="O542" s="44"/>
      <c r="P542" s="44"/>
      <c r="Q542" s="44"/>
    </row>
    <row r="543" spans="2:17" ht="15.5" customHeight="1" x14ac:dyDescent="0.35">
      <c r="B543" s="67">
        <v>45563</v>
      </c>
      <c r="C543" s="117"/>
      <c r="D543" s="95" t="s">
        <v>462</v>
      </c>
      <c r="E543" s="95"/>
      <c r="F543" s="93">
        <v>175</v>
      </c>
      <c r="G543" s="91" t="s">
        <v>173</v>
      </c>
      <c r="H543" s="100">
        <v>15250</v>
      </c>
      <c r="I543" s="62">
        <f>H543*F543</f>
        <v>2668750</v>
      </c>
      <c r="J543" s="44"/>
      <c r="K543" s="44"/>
      <c r="L543" s="44"/>
      <c r="M543" s="62"/>
      <c r="N543" s="44"/>
      <c r="O543" s="44"/>
      <c r="P543" s="44"/>
      <c r="Q543" s="44"/>
    </row>
    <row r="544" spans="2:17" ht="15.5" customHeight="1" x14ac:dyDescent="0.35">
      <c r="B544" s="67">
        <v>45563</v>
      </c>
      <c r="C544" s="91"/>
      <c r="D544" s="95" t="s">
        <v>463</v>
      </c>
      <c r="E544" s="95"/>
      <c r="F544" s="93">
        <f>150000*7</f>
        <v>1050000</v>
      </c>
      <c r="G544" s="91" t="s">
        <v>21</v>
      </c>
      <c r="H544" s="91">
        <v>1</v>
      </c>
      <c r="I544" s="62">
        <f>F544</f>
        <v>1050000</v>
      </c>
      <c r="J544" s="44"/>
      <c r="K544" s="44"/>
      <c r="L544" s="44"/>
      <c r="M544" s="61"/>
      <c r="N544" s="44"/>
      <c r="O544" s="44"/>
      <c r="P544" s="44"/>
      <c r="Q544" s="44"/>
    </row>
    <row r="545" spans="2:17" ht="15.5" customHeight="1" x14ac:dyDescent="0.35">
      <c r="B545" s="78" t="s">
        <v>464</v>
      </c>
      <c r="C545" s="85" t="s">
        <v>2</v>
      </c>
      <c r="D545" s="86" t="s">
        <v>465</v>
      </c>
      <c r="E545" s="86"/>
      <c r="F545" s="87"/>
      <c r="G545" s="73"/>
      <c r="H545" s="73"/>
      <c r="I545" s="78"/>
      <c r="J545" s="78"/>
      <c r="K545" s="78"/>
      <c r="L545" s="78"/>
      <c r="M545" s="78"/>
      <c r="N545" s="78"/>
      <c r="O545" s="78"/>
      <c r="P545" s="78"/>
      <c r="Q545" s="78"/>
    </row>
    <row r="546" spans="2:17" ht="15.5" customHeight="1" x14ac:dyDescent="0.35">
      <c r="B546" s="14"/>
      <c r="C546" s="15"/>
      <c r="D546" s="106" t="s">
        <v>149</v>
      </c>
      <c r="E546" s="106"/>
      <c r="F546" s="21"/>
      <c r="G546" s="15"/>
      <c r="H546" s="15"/>
      <c r="I546" s="44"/>
      <c r="J546" s="44"/>
      <c r="K546" s="44"/>
      <c r="L546" s="44"/>
      <c r="M546" s="44"/>
      <c r="N546" s="44"/>
      <c r="O546" s="44"/>
      <c r="P546" s="44"/>
      <c r="Q546" s="44"/>
    </row>
    <row r="547" spans="2:17" ht="15.5" customHeight="1" x14ac:dyDescent="0.35">
      <c r="B547" s="102">
        <v>45556</v>
      </c>
      <c r="C547" s="15">
        <v>1</v>
      </c>
      <c r="D547" s="18" t="s">
        <v>466</v>
      </c>
      <c r="E547" s="18"/>
      <c r="F547" s="21">
        <v>796800</v>
      </c>
      <c r="G547" s="15" t="s">
        <v>21</v>
      </c>
      <c r="H547" s="15">
        <v>1</v>
      </c>
      <c r="I547" s="61">
        <f>$H547*$F547</f>
        <v>796800</v>
      </c>
      <c r="J547" s="44"/>
      <c r="K547" s="44"/>
      <c r="L547" s="44"/>
      <c r="M547" s="44"/>
      <c r="N547" s="44"/>
      <c r="O547" s="44"/>
      <c r="P547" s="44"/>
      <c r="Q547" s="44"/>
    </row>
    <row r="548" spans="2:17" ht="15.5" customHeight="1" x14ac:dyDescent="0.35">
      <c r="B548" s="102">
        <v>45564</v>
      </c>
      <c r="C548" s="15">
        <v>2</v>
      </c>
      <c r="D548" s="18" t="s">
        <v>467</v>
      </c>
      <c r="E548" s="18"/>
      <c r="F548" s="21">
        <v>804500</v>
      </c>
      <c r="G548" s="15" t="s">
        <v>21</v>
      </c>
      <c r="H548" s="15">
        <v>1</v>
      </c>
      <c r="I548" s="61">
        <f>$H548*$F548</f>
        <v>804500</v>
      </c>
      <c r="J548" s="44"/>
      <c r="K548" s="44"/>
      <c r="L548" s="44"/>
      <c r="M548" s="44"/>
      <c r="N548" s="44"/>
      <c r="O548" s="44"/>
      <c r="P548" s="44"/>
      <c r="Q548" s="44"/>
    </row>
    <row r="549" spans="2:17" ht="15.5" customHeight="1" x14ac:dyDescent="0.35">
      <c r="B549" s="102"/>
      <c r="C549" s="15"/>
      <c r="D549" s="106" t="s">
        <v>149</v>
      </c>
      <c r="E549" s="106"/>
      <c r="F549" s="21"/>
      <c r="G549" s="15"/>
      <c r="H549" s="15"/>
      <c r="I549" s="61"/>
      <c r="J549" s="44"/>
      <c r="K549" s="44"/>
      <c r="L549" s="44"/>
      <c r="M549" s="44"/>
      <c r="N549" s="44"/>
      <c r="O549" s="44"/>
      <c r="P549" s="44"/>
      <c r="Q549" s="44"/>
    </row>
    <row r="550" spans="2:17" ht="15.5" customHeight="1" x14ac:dyDescent="0.35">
      <c r="B550" s="102">
        <v>45556</v>
      </c>
      <c r="C550" s="15">
        <v>3</v>
      </c>
      <c r="D550" s="63" t="s">
        <v>468</v>
      </c>
      <c r="E550" s="63"/>
      <c r="F550" s="21">
        <v>250000</v>
      </c>
      <c r="G550" s="15" t="s">
        <v>21</v>
      </c>
      <c r="H550" s="15">
        <v>1</v>
      </c>
      <c r="I550" s="61">
        <f>$H550*$F550</f>
        <v>250000</v>
      </c>
      <c r="J550" s="44"/>
      <c r="K550" s="44"/>
      <c r="L550" s="44"/>
      <c r="M550" s="44"/>
      <c r="N550" s="61"/>
      <c r="O550" s="44"/>
      <c r="P550" s="44"/>
      <c r="Q550" s="44"/>
    </row>
    <row r="551" spans="2:17" ht="15.5" customHeight="1" x14ac:dyDescent="0.35">
      <c r="B551" s="102">
        <v>45564</v>
      </c>
      <c r="C551" s="15">
        <v>4</v>
      </c>
      <c r="D551" s="63" t="s">
        <v>469</v>
      </c>
      <c r="E551" s="63"/>
      <c r="F551" s="21">
        <v>250000</v>
      </c>
      <c r="G551" s="15" t="s">
        <v>21</v>
      </c>
      <c r="H551" s="15">
        <v>1</v>
      </c>
      <c r="I551" s="61">
        <f>$H551*$F551</f>
        <v>250000</v>
      </c>
      <c r="J551" s="44"/>
      <c r="K551" s="44"/>
      <c r="L551" s="44"/>
      <c r="M551" s="44"/>
      <c r="N551" s="44"/>
      <c r="O551" s="44"/>
      <c r="P551" s="44"/>
      <c r="Q551" s="44"/>
    </row>
    <row r="552" spans="2:17" ht="15.5" customHeight="1" x14ac:dyDescent="0.35">
      <c r="B552" s="102">
        <v>45564</v>
      </c>
      <c r="C552" s="15">
        <v>5</v>
      </c>
      <c r="D552" s="63" t="s">
        <v>470</v>
      </c>
      <c r="E552" s="63"/>
      <c r="F552" s="21">
        <v>4000000</v>
      </c>
      <c r="G552" s="15" t="s">
        <v>21</v>
      </c>
      <c r="H552" s="15">
        <v>1</v>
      </c>
      <c r="I552" s="61">
        <f>$H552*$F552</f>
        <v>4000000</v>
      </c>
      <c r="J552" s="44"/>
      <c r="K552" s="44"/>
      <c r="L552" s="44"/>
      <c r="M552" s="44"/>
      <c r="N552" s="61"/>
      <c r="O552" s="44"/>
      <c r="P552" s="44"/>
      <c r="Q552" s="44"/>
    </row>
    <row r="553" spans="2:17" ht="15.5" customHeight="1" x14ac:dyDescent="0.35">
      <c r="B553" s="102"/>
      <c r="C553" s="15"/>
      <c r="D553" s="118" t="s">
        <v>149</v>
      </c>
      <c r="E553" s="118"/>
      <c r="F553" s="21"/>
      <c r="G553" s="15"/>
      <c r="H553" s="15"/>
      <c r="I553" s="61"/>
      <c r="J553" s="44"/>
      <c r="K553" s="44"/>
      <c r="L553" s="44"/>
      <c r="M553" s="44"/>
      <c r="N553" s="61"/>
      <c r="O553" s="44"/>
      <c r="P553" s="44"/>
      <c r="Q553" s="44"/>
    </row>
    <row r="554" spans="2:17" ht="15.5" customHeight="1" x14ac:dyDescent="0.35">
      <c r="B554" s="102"/>
      <c r="C554" s="15"/>
      <c r="D554" s="108" t="s">
        <v>158</v>
      </c>
      <c r="E554" s="108"/>
      <c r="F554" s="21"/>
      <c r="G554" s="15"/>
      <c r="H554" s="15"/>
      <c r="I554" s="61"/>
      <c r="J554" s="44"/>
      <c r="K554" s="44"/>
      <c r="L554" s="44"/>
      <c r="M554" s="44"/>
      <c r="N554" s="61"/>
      <c r="O554" s="44"/>
      <c r="P554" s="44"/>
      <c r="Q554" s="44"/>
    </row>
    <row r="555" spans="2:17" ht="15.5" customHeight="1" x14ac:dyDescent="0.35">
      <c r="B555" s="102">
        <v>45564</v>
      </c>
      <c r="C555" s="15">
        <v>6</v>
      </c>
      <c r="D555" s="63" t="s">
        <v>471</v>
      </c>
      <c r="E555" s="63"/>
      <c r="F555" s="21">
        <v>400000</v>
      </c>
      <c r="G555" s="15" t="s">
        <v>21</v>
      </c>
      <c r="H555" s="15">
        <v>1</v>
      </c>
      <c r="I555" s="61">
        <f>F555</f>
        <v>400000</v>
      </c>
      <c r="J555" s="44"/>
      <c r="K555" s="44"/>
      <c r="L555" s="44"/>
      <c r="M555" s="44"/>
      <c r="N555" s="61"/>
      <c r="O555" s="44"/>
      <c r="P555" s="44"/>
      <c r="Q555" s="44"/>
    </row>
    <row r="556" spans="2:17" ht="15.5" customHeight="1" x14ac:dyDescent="0.35">
      <c r="B556" s="102"/>
      <c r="C556" s="15"/>
      <c r="D556" s="108" t="s">
        <v>171</v>
      </c>
      <c r="E556" s="108"/>
      <c r="F556" s="21"/>
      <c r="G556" s="15"/>
      <c r="H556" s="15"/>
      <c r="I556" s="44"/>
      <c r="J556" s="44"/>
      <c r="K556" s="44"/>
      <c r="L556" s="44"/>
      <c r="M556" s="44"/>
      <c r="N556" s="44"/>
      <c r="O556" s="44"/>
      <c r="P556" s="44"/>
      <c r="Q556" s="44"/>
    </row>
    <row r="557" spans="2:17" ht="15.5" customHeight="1" x14ac:dyDescent="0.35">
      <c r="B557" s="102">
        <v>45564</v>
      </c>
      <c r="C557" s="15">
        <v>7</v>
      </c>
      <c r="D557" s="63" t="s">
        <v>472</v>
      </c>
      <c r="E557" s="63"/>
      <c r="F557" s="21">
        <v>900000</v>
      </c>
      <c r="G557" s="15" t="s">
        <v>21</v>
      </c>
      <c r="H557" s="15">
        <v>1</v>
      </c>
      <c r="I557" s="62">
        <f>F557</f>
        <v>900000</v>
      </c>
      <c r="J557" s="44"/>
      <c r="K557" s="44"/>
      <c r="L557" s="44"/>
      <c r="M557" s="61"/>
      <c r="N557" s="44"/>
      <c r="O557" s="44"/>
      <c r="P557" s="44"/>
      <c r="Q557" s="44"/>
    </row>
    <row r="558" spans="2:17" ht="15.5" customHeight="1" x14ac:dyDescent="0.35">
      <c r="B558" s="102"/>
      <c r="C558" s="15"/>
      <c r="D558" s="108" t="s">
        <v>171</v>
      </c>
      <c r="E558" s="108"/>
      <c r="F558" s="21"/>
      <c r="G558" s="15"/>
      <c r="H558" s="15"/>
      <c r="I558" s="44"/>
      <c r="J558" s="44"/>
      <c r="K558" s="44"/>
      <c r="L558" s="44"/>
      <c r="M558" s="44"/>
      <c r="N558" s="44"/>
      <c r="O558" s="44"/>
      <c r="P558" s="44"/>
      <c r="Q558" s="44"/>
    </row>
    <row r="559" spans="2:17" ht="15.5" customHeight="1" x14ac:dyDescent="0.35">
      <c r="B559" s="102">
        <v>45565</v>
      </c>
      <c r="C559" s="15">
        <v>8</v>
      </c>
      <c r="D559" s="63" t="s">
        <v>473</v>
      </c>
      <c r="E559" s="63"/>
      <c r="F559" s="21">
        <v>800</v>
      </c>
      <c r="G559" s="15" t="s">
        <v>173</v>
      </c>
      <c r="H559" s="15">
        <v>15200</v>
      </c>
      <c r="I559" s="104">
        <f>H559*F559</f>
        <v>12160000</v>
      </c>
      <c r="J559" s="44"/>
      <c r="K559" s="44"/>
      <c r="L559" s="44"/>
      <c r="M559" s="44"/>
      <c r="N559" s="44"/>
      <c r="O559" s="44"/>
      <c r="P559" s="44"/>
      <c r="Q559" s="44"/>
    </row>
    <row r="560" spans="2:17" ht="15.5" customHeight="1" x14ac:dyDescent="0.35">
      <c r="B560" s="78" t="s">
        <v>474</v>
      </c>
      <c r="C560" s="85" t="s">
        <v>2</v>
      </c>
      <c r="D560" s="86" t="s">
        <v>475</v>
      </c>
      <c r="E560" s="86"/>
      <c r="F560" s="87"/>
      <c r="G560" s="73"/>
      <c r="H560" s="73"/>
      <c r="I560" s="78"/>
      <c r="J560" s="78"/>
      <c r="K560" s="78"/>
      <c r="L560" s="78"/>
      <c r="M560" s="78"/>
      <c r="N560" s="78"/>
      <c r="O560" s="78"/>
      <c r="P560" s="78"/>
      <c r="Q560" s="78"/>
    </row>
    <row r="561" spans="2:17" ht="15.5" customHeight="1" x14ac:dyDescent="0.35">
      <c r="B561" s="102"/>
      <c r="C561" s="15"/>
      <c r="D561" s="108" t="s">
        <v>149</v>
      </c>
      <c r="E561" s="108"/>
      <c r="F561" s="21"/>
      <c r="G561" s="18"/>
      <c r="H561" s="18"/>
      <c r="I561" s="44"/>
      <c r="J561" s="44"/>
      <c r="K561" s="44"/>
      <c r="L561" s="44"/>
      <c r="M561" s="44"/>
      <c r="N561" s="44"/>
      <c r="O561" s="44"/>
      <c r="P561" s="44"/>
      <c r="Q561" s="44"/>
    </row>
    <row r="562" spans="2:17" ht="15.5" customHeight="1" x14ac:dyDescent="0.35">
      <c r="B562" s="14">
        <v>45526</v>
      </c>
      <c r="C562" s="15">
        <v>1</v>
      </c>
      <c r="D562" s="63" t="s">
        <v>476</v>
      </c>
      <c r="E562" s="63"/>
      <c r="F562" s="21">
        <v>274000</v>
      </c>
      <c r="G562" s="18" t="s">
        <v>21</v>
      </c>
      <c r="H562" s="18">
        <v>1</v>
      </c>
      <c r="I562" s="61">
        <f t="shared" ref="I562:I571" si="16">$H562*$F562</f>
        <v>274000</v>
      </c>
      <c r="J562" s="44"/>
      <c r="K562" s="44"/>
      <c r="L562" s="44"/>
      <c r="M562" s="44"/>
      <c r="N562" s="44"/>
      <c r="O562" s="44"/>
      <c r="P562" s="62"/>
      <c r="Q562" s="44"/>
    </row>
    <row r="563" spans="2:17" ht="15.5" customHeight="1" x14ac:dyDescent="0.35">
      <c r="B563" s="14">
        <v>45544</v>
      </c>
      <c r="C563" s="15">
        <v>2</v>
      </c>
      <c r="D563" s="63" t="s">
        <v>477</v>
      </c>
      <c r="E563" s="63"/>
      <c r="F563" s="21">
        <v>144500</v>
      </c>
      <c r="G563" s="18" t="s">
        <v>21</v>
      </c>
      <c r="H563" s="18">
        <v>1</v>
      </c>
      <c r="I563" s="61">
        <f t="shared" si="16"/>
        <v>144500</v>
      </c>
      <c r="J563" s="44"/>
      <c r="K563" s="44"/>
      <c r="L563" s="44"/>
      <c r="M563" s="44"/>
      <c r="N563" s="44"/>
      <c r="O563" s="44"/>
      <c r="P563" s="62"/>
      <c r="Q563" s="44"/>
    </row>
    <row r="564" spans="2:17" ht="15.5" customHeight="1" x14ac:dyDescent="0.35">
      <c r="B564" s="14">
        <v>45544</v>
      </c>
      <c r="C564" s="15">
        <v>3</v>
      </c>
      <c r="D564" s="63" t="s">
        <v>478</v>
      </c>
      <c r="E564" s="63"/>
      <c r="F564" s="21">
        <v>160000</v>
      </c>
      <c r="G564" s="18" t="s">
        <v>21</v>
      </c>
      <c r="H564" s="18">
        <v>1</v>
      </c>
      <c r="I564" s="61">
        <f t="shared" si="16"/>
        <v>160000</v>
      </c>
      <c r="J564" s="44"/>
      <c r="K564" s="44"/>
      <c r="L564" s="44"/>
      <c r="M564" s="44"/>
      <c r="N564" s="44"/>
      <c r="O564" s="44"/>
      <c r="P564" s="62"/>
      <c r="Q564" s="44"/>
    </row>
    <row r="565" spans="2:17" ht="15.5" customHeight="1" x14ac:dyDescent="0.35">
      <c r="B565" s="14">
        <v>45545</v>
      </c>
      <c r="C565" s="15">
        <v>4</v>
      </c>
      <c r="D565" s="63" t="s">
        <v>479</v>
      </c>
      <c r="E565" s="63"/>
      <c r="F565" s="21">
        <v>232500</v>
      </c>
      <c r="G565" s="18" t="s">
        <v>21</v>
      </c>
      <c r="H565" s="18">
        <v>1</v>
      </c>
      <c r="I565" s="61">
        <f t="shared" si="16"/>
        <v>232500</v>
      </c>
      <c r="J565" s="44"/>
      <c r="K565" s="44"/>
      <c r="L565" s="44"/>
      <c r="M565" s="44"/>
      <c r="N565" s="44"/>
      <c r="O565" s="44"/>
      <c r="P565" s="62"/>
      <c r="Q565" s="44"/>
    </row>
    <row r="566" spans="2:17" ht="15.5" customHeight="1" x14ac:dyDescent="0.35">
      <c r="B566" s="14">
        <v>45548</v>
      </c>
      <c r="C566" s="15">
        <v>5</v>
      </c>
      <c r="D566" s="63" t="s">
        <v>480</v>
      </c>
      <c r="E566" s="63"/>
      <c r="F566" s="21">
        <v>256800</v>
      </c>
      <c r="G566" s="18" t="s">
        <v>21</v>
      </c>
      <c r="H566" s="18">
        <v>1</v>
      </c>
      <c r="I566" s="61">
        <f t="shared" si="16"/>
        <v>256800</v>
      </c>
      <c r="J566" s="44"/>
      <c r="K566" s="44"/>
      <c r="L566" s="44"/>
      <c r="M566" s="44"/>
      <c r="N566" s="44"/>
      <c r="O566" s="44"/>
      <c r="P566" s="62"/>
      <c r="Q566" s="44"/>
    </row>
    <row r="567" spans="2:17" ht="15.5" customHeight="1" x14ac:dyDescent="0.35">
      <c r="B567" s="14">
        <v>45544</v>
      </c>
      <c r="C567" s="15">
        <v>6</v>
      </c>
      <c r="D567" s="63" t="s">
        <v>481</v>
      </c>
      <c r="E567" s="63"/>
      <c r="F567" s="21">
        <f>42000+5500+17000</f>
        <v>64500</v>
      </c>
      <c r="G567" s="18" t="s">
        <v>21</v>
      </c>
      <c r="H567" s="18">
        <v>1</v>
      </c>
      <c r="I567" s="61">
        <f t="shared" si="16"/>
        <v>64500</v>
      </c>
      <c r="J567" s="44"/>
      <c r="K567" s="44"/>
      <c r="L567" s="44"/>
      <c r="M567" s="44"/>
      <c r="N567" s="44"/>
      <c r="O567" s="44"/>
      <c r="P567" s="62"/>
      <c r="Q567" s="44"/>
    </row>
    <row r="568" spans="2:17" ht="15.5" customHeight="1" x14ac:dyDescent="0.35">
      <c r="B568" s="14">
        <v>45544</v>
      </c>
      <c r="C568" s="15">
        <v>7</v>
      </c>
      <c r="D568" s="63" t="s">
        <v>482</v>
      </c>
      <c r="E568" s="63"/>
      <c r="F568" s="21">
        <f>42000+5500+17000</f>
        <v>64500</v>
      </c>
      <c r="G568" s="18" t="s">
        <v>21</v>
      </c>
      <c r="H568" s="18">
        <v>1</v>
      </c>
      <c r="I568" s="61">
        <f t="shared" si="16"/>
        <v>64500</v>
      </c>
      <c r="J568" s="44"/>
      <c r="K568" s="44"/>
      <c r="L568" s="44"/>
      <c r="M568" s="44"/>
      <c r="N568" s="44"/>
      <c r="O568" s="44"/>
      <c r="P568" s="62"/>
      <c r="Q568" s="44"/>
    </row>
    <row r="569" spans="2:17" ht="15.5" customHeight="1" x14ac:dyDescent="0.35">
      <c r="B569" s="14">
        <v>45545</v>
      </c>
      <c r="C569" s="15">
        <v>8</v>
      </c>
      <c r="D569" s="63" t="s">
        <v>483</v>
      </c>
      <c r="E569" s="63"/>
      <c r="F569" s="21">
        <f>42000+5500+48500+16500</f>
        <v>112500</v>
      </c>
      <c r="G569" s="18" t="s">
        <v>21</v>
      </c>
      <c r="H569" s="18">
        <v>1</v>
      </c>
      <c r="I569" s="61">
        <f t="shared" si="16"/>
        <v>112500</v>
      </c>
      <c r="J569" s="44"/>
      <c r="K569" s="44"/>
      <c r="L569" s="44"/>
      <c r="M569" s="44"/>
      <c r="N569" s="44"/>
      <c r="O569" s="44"/>
      <c r="P569" s="62"/>
      <c r="Q569" s="44"/>
    </row>
    <row r="570" spans="2:17" ht="15.5" customHeight="1" x14ac:dyDescent="0.35">
      <c r="B570" s="14">
        <v>45545</v>
      </c>
      <c r="C570" s="15">
        <v>8</v>
      </c>
      <c r="D570" s="63" t="s">
        <v>484</v>
      </c>
      <c r="E570" s="63"/>
      <c r="F570" s="21">
        <f>17000+17000+16500</f>
        <v>50500</v>
      </c>
      <c r="G570" s="18" t="s">
        <v>21</v>
      </c>
      <c r="H570" s="18">
        <v>1</v>
      </c>
      <c r="I570" s="61">
        <f t="shared" si="16"/>
        <v>50500</v>
      </c>
      <c r="J570" s="44"/>
      <c r="K570" s="44"/>
      <c r="L570" s="44"/>
      <c r="M570" s="44"/>
      <c r="N570" s="44"/>
      <c r="O570" s="44"/>
      <c r="P570" s="62"/>
      <c r="Q570" s="44"/>
    </row>
    <row r="571" spans="2:17" ht="15.5" customHeight="1" x14ac:dyDescent="0.35">
      <c r="B571" s="14">
        <v>45546</v>
      </c>
      <c r="C571" s="15">
        <v>9</v>
      </c>
      <c r="D571" s="63" t="s">
        <v>485</v>
      </c>
      <c r="E571" s="63"/>
      <c r="F571" s="21">
        <f>42000+17000</f>
        <v>59000</v>
      </c>
      <c r="G571" s="18" t="s">
        <v>21</v>
      </c>
      <c r="H571" s="18">
        <v>1</v>
      </c>
      <c r="I571" s="61">
        <f t="shared" si="16"/>
        <v>59000</v>
      </c>
      <c r="J571" s="44"/>
      <c r="K571" s="44"/>
      <c r="L571" s="44"/>
      <c r="M571" s="44"/>
      <c r="N571" s="44"/>
      <c r="O571" s="44"/>
      <c r="P571" s="44"/>
      <c r="Q571" s="44"/>
    </row>
    <row r="572" spans="2:17" ht="15.5" customHeight="1" x14ac:dyDescent="0.35">
      <c r="B572" s="135"/>
      <c r="C572" s="136"/>
      <c r="D572" s="137" t="s">
        <v>486</v>
      </c>
      <c r="E572" s="138"/>
      <c r="F572" s="25"/>
      <c r="G572" s="131"/>
      <c r="H572" s="28"/>
      <c r="I572" s="44"/>
      <c r="J572" s="44"/>
      <c r="K572" s="44"/>
      <c r="L572" s="44"/>
      <c r="M572" s="44"/>
      <c r="N572" s="44"/>
      <c r="O572" s="44"/>
      <c r="P572" s="44"/>
      <c r="Q572" s="44"/>
    </row>
    <row r="573" spans="2:17" ht="15.5" customHeight="1" x14ac:dyDescent="0.35">
      <c r="B573" s="102">
        <v>45552</v>
      </c>
      <c r="C573" s="15"/>
      <c r="D573" s="63" t="s">
        <v>487</v>
      </c>
      <c r="E573" s="63"/>
      <c r="F573" s="21">
        <f>42000+5500+48500+27000+122000</f>
        <v>245000</v>
      </c>
      <c r="G573" s="18" t="s">
        <v>21</v>
      </c>
      <c r="H573" s="18">
        <v>1</v>
      </c>
      <c r="I573" s="61">
        <f>$H573*$F573</f>
        <v>245000</v>
      </c>
      <c r="J573" s="44"/>
      <c r="K573" s="44"/>
      <c r="L573" s="44"/>
      <c r="M573" s="44"/>
      <c r="N573" s="44"/>
      <c r="O573" s="44"/>
      <c r="P573" s="44"/>
      <c r="Q573" s="44"/>
    </row>
    <row r="574" spans="2:17" ht="15.5" customHeight="1" x14ac:dyDescent="0.35">
      <c r="B574" s="102">
        <v>45552</v>
      </c>
      <c r="C574" s="129"/>
      <c r="D574" s="63" t="s">
        <v>488</v>
      </c>
      <c r="E574" s="139"/>
      <c r="F574" s="25">
        <v>180000</v>
      </c>
      <c r="G574" s="18" t="s">
        <v>21</v>
      </c>
      <c r="H574" s="18">
        <v>1</v>
      </c>
      <c r="I574" s="61">
        <f>$H574*$F574</f>
        <v>180000</v>
      </c>
      <c r="J574" s="44"/>
      <c r="K574" s="44"/>
      <c r="L574" s="44"/>
      <c r="M574" s="44"/>
      <c r="N574" s="44"/>
      <c r="O574" s="44"/>
      <c r="P574" s="44"/>
      <c r="Q574" s="44"/>
    </row>
    <row r="575" spans="2:17" ht="15.5" customHeight="1" x14ac:dyDescent="0.35">
      <c r="B575" s="102">
        <v>45553</v>
      </c>
      <c r="C575" s="129"/>
      <c r="D575" s="63" t="s">
        <v>489</v>
      </c>
      <c r="E575" s="139"/>
      <c r="F575" s="25">
        <f>17000+149000</f>
        <v>166000</v>
      </c>
      <c r="G575" s="18" t="s">
        <v>21</v>
      </c>
      <c r="H575" s="18">
        <v>1</v>
      </c>
      <c r="I575" s="61">
        <f>$H575*$F575</f>
        <v>166000</v>
      </c>
      <c r="J575" s="44"/>
      <c r="K575" s="44"/>
      <c r="L575" s="44"/>
      <c r="M575" s="44"/>
      <c r="N575" s="44"/>
      <c r="O575" s="44"/>
      <c r="P575" s="44"/>
      <c r="Q575" s="44"/>
    </row>
    <row r="576" spans="2:17" ht="15.5" customHeight="1" x14ac:dyDescent="0.35">
      <c r="B576" s="102">
        <v>45553</v>
      </c>
      <c r="C576" s="129"/>
      <c r="D576" s="63" t="s">
        <v>488</v>
      </c>
      <c r="E576" s="139"/>
      <c r="F576" s="25">
        <v>222650</v>
      </c>
      <c r="G576" s="18" t="s">
        <v>21</v>
      </c>
      <c r="H576" s="18">
        <v>1</v>
      </c>
      <c r="I576" s="61">
        <f>$H576*$F576</f>
        <v>222650</v>
      </c>
      <c r="J576" s="44"/>
      <c r="K576" s="44"/>
      <c r="L576" s="44"/>
      <c r="M576" s="44"/>
      <c r="N576" s="44"/>
      <c r="O576" s="44"/>
      <c r="P576" s="44"/>
      <c r="Q576" s="44"/>
    </row>
    <row r="577" spans="2:17" ht="15.5" customHeight="1" x14ac:dyDescent="0.35">
      <c r="B577" s="128"/>
      <c r="C577" s="129"/>
      <c r="D577" s="134" t="s">
        <v>158</v>
      </c>
      <c r="E577" s="134"/>
      <c r="F577" s="25"/>
      <c r="G577" s="131"/>
      <c r="H577" s="131"/>
      <c r="I577" s="44"/>
      <c r="J577" s="44"/>
      <c r="K577" s="44"/>
      <c r="L577" s="44"/>
      <c r="M577" s="44"/>
      <c r="N577" s="44"/>
      <c r="O577" s="44"/>
      <c r="P577" s="62"/>
      <c r="Q577" s="44"/>
    </row>
    <row r="578" spans="2:17" ht="15.5" customHeight="1" x14ac:dyDescent="0.35">
      <c r="B578" s="102">
        <v>45552</v>
      </c>
      <c r="C578" s="15"/>
      <c r="D578" s="63" t="s">
        <v>321</v>
      </c>
      <c r="E578" s="63"/>
      <c r="F578" s="21">
        <v>700000</v>
      </c>
      <c r="G578" s="18" t="s">
        <v>21</v>
      </c>
      <c r="H578" s="18">
        <v>1</v>
      </c>
      <c r="I578" s="62">
        <f>$H578*$F578</f>
        <v>700000</v>
      </c>
      <c r="J578" s="44"/>
      <c r="K578" s="44"/>
      <c r="L578" s="44"/>
      <c r="M578" s="44"/>
      <c r="N578" s="44"/>
      <c r="O578" s="44"/>
      <c r="P578" s="62"/>
      <c r="Q578" s="44"/>
    </row>
    <row r="579" spans="2:17" ht="15.5" customHeight="1" x14ac:dyDescent="0.35">
      <c r="B579" s="102">
        <v>45553</v>
      </c>
      <c r="C579" s="129"/>
      <c r="D579" s="63" t="s">
        <v>490</v>
      </c>
      <c r="E579" s="139"/>
      <c r="F579" s="25">
        <v>100000</v>
      </c>
      <c r="G579" s="18" t="s">
        <v>21</v>
      </c>
      <c r="H579" s="18">
        <v>1</v>
      </c>
      <c r="I579" s="62">
        <f>$H579*$F579</f>
        <v>100000</v>
      </c>
      <c r="J579" s="44"/>
      <c r="K579" s="44"/>
      <c r="L579" s="44"/>
      <c r="M579" s="44"/>
      <c r="N579" s="44"/>
      <c r="O579" s="44"/>
      <c r="P579" s="62"/>
      <c r="Q579" s="44"/>
    </row>
    <row r="580" spans="2:17" ht="15.5" customHeight="1" x14ac:dyDescent="0.35">
      <c r="B580" s="128"/>
      <c r="C580" s="129"/>
      <c r="D580" s="134" t="s">
        <v>168</v>
      </c>
      <c r="E580" s="134"/>
      <c r="F580" s="25"/>
      <c r="G580" s="131"/>
      <c r="H580" s="28"/>
      <c r="I580" s="44"/>
      <c r="J580" s="44"/>
      <c r="K580" s="44"/>
      <c r="L580" s="44"/>
      <c r="M580" s="44"/>
      <c r="N580" s="44"/>
      <c r="O580" s="44"/>
      <c r="P580" s="62"/>
      <c r="Q580" s="44"/>
    </row>
    <row r="581" spans="2:17" ht="15.5" customHeight="1" x14ac:dyDescent="0.35">
      <c r="B581" s="14">
        <v>45546</v>
      </c>
      <c r="C581" s="15">
        <v>1</v>
      </c>
      <c r="D581" s="63" t="s">
        <v>491</v>
      </c>
      <c r="E581" s="63"/>
      <c r="F581" s="21">
        <v>171000</v>
      </c>
      <c r="G581" s="18" t="s">
        <v>21</v>
      </c>
      <c r="H581" s="18">
        <v>1</v>
      </c>
      <c r="I581" s="62">
        <f>$H581*$F581</f>
        <v>171000</v>
      </c>
      <c r="J581" s="44"/>
      <c r="K581" s="44"/>
      <c r="L581" s="44"/>
      <c r="M581" s="44"/>
      <c r="N581" s="44"/>
      <c r="O581" s="44"/>
      <c r="P581" s="62"/>
      <c r="Q581" s="44"/>
    </row>
    <row r="582" spans="2:17" ht="15.5" customHeight="1" x14ac:dyDescent="0.35">
      <c r="B582" s="102">
        <v>45553</v>
      </c>
      <c r="C582" s="15">
        <v>2</v>
      </c>
      <c r="D582" s="63" t="s">
        <v>492</v>
      </c>
      <c r="E582" s="63"/>
      <c r="F582" s="21">
        <f>150000*2</f>
        <v>300000</v>
      </c>
      <c r="G582" s="18" t="s">
        <v>21</v>
      </c>
      <c r="H582" s="18">
        <v>1</v>
      </c>
      <c r="I582" s="62">
        <f>$H582*$F582</f>
        <v>300000</v>
      </c>
      <c r="J582" s="44"/>
      <c r="K582" s="44"/>
      <c r="L582" s="44"/>
      <c r="M582" s="44"/>
      <c r="N582" s="44"/>
      <c r="O582" s="44"/>
      <c r="P582" s="62"/>
      <c r="Q582" s="44"/>
    </row>
    <row r="583" spans="2:17" ht="15.5" customHeight="1" x14ac:dyDescent="0.35">
      <c r="B583" s="78" t="s">
        <v>493</v>
      </c>
      <c r="C583" s="85" t="s">
        <v>2</v>
      </c>
      <c r="D583" s="86" t="s">
        <v>494</v>
      </c>
      <c r="E583" s="86"/>
      <c r="F583" s="87"/>
      <c r="G583" s="73"/>
      <c r="H583" s="73"/>
      <c r="I583" s="78"/>
      <c r="J583" s="78"/>
      <c r="K583" s="78"/>
      <c r="L583" s="78"/>
      <c r="M583" s="78"/>
      <c r="N583" s="78"/>
      <c r="O583" s="78"/>
      <c r="P583" s="78"/>
      <c r="Q583" s="78"/>
    </row>
    <row r="584" spans="2:17" ht="15.5" customHeight="1" x14ac:dyDescent="0.35">
      <c r="B584" s="14"/>
      <c r="C584" s="15"/>
      <c r="D584" s="124" t="s">
        <v>334</v>
      </c>
      <c r="E584" s="124"/>
      <c r="F584" s="21"/>
      <c r="G584" s="15"/>
      <c r="H584" s="15"/>
      <c r="I584" s="44"/>
      <c r="J584" s="44"/>
      <c r="K584" s="44"/>
      <c r="L584" s="44"/>
      <c r="M584" s="44"/>
      <c r="N584" s="44"/>
      <c r="O584" s="44"/>
      <c r="P584" s="44"/>
      <c r="Q584" s="44"/>
    </row>
    <row r="585" spans="2:17" ht="15.5" customHeight="1" x14ac:dyDescent="0.35">
      <c r="B585" s="14">
        <v>45530</v>
      </c>
      <c r="C585" s="15">
        <v>1</v>
      </c>
      <c r="D585" s="18" t="s">
        <v>495</v>
      </c>
      <c r="E585" s="18"/>
      <c r="F585" s="21">
        <v>854100</v>
      </c>
      <c r="G585" s="15" t="s">
        <v>21</v>
      </c>
      <c r="H585" s="15">
        <v>1</v>
      </c>
      <c r="I585" s="44"/>
      <c r="J585" s="44"/>
      <c r="K585" s="44"/>
      <c r="L585" s="44"/>
      <c r="M585" s="44"/>
      <c r="N585" s="44"/>
      <c r="O585" s="44"/>
      <c r="P585" s="62">
        <f t="shared" ref="P585:P593" si="17">F585</f>
        <v>854100</v>
      </c>
      <c r="Q585" s="44"/>
    </row>
    <row r="586" spans="2:17" ht="15.5" customHeight="1" x14ac:dyDescent="0.35">
      <c r="B586" s="14">
        <v>45532</v>
      </c>
      <c r="C586" s="15">
        <v>2</v>
      </c>
      <c r="D586" s="18" t="s">
        <v>383</v>
      </c>
      <c r="E586" s="18"/>
      <c r="F586" s="21">
        <v>285000</v>
      </c>
      <c r="G586" s="15" t="s">
        <v>21</v>
      </c>
      <c r="H586" s="15">
        <v>1</v>
      </c>
      <c r="I586" s="44"/>
      <c r="J586" s="44"/>
      <c r="K586" s="44"/>
      <c r="L586" s="44"/>
      <c r="M586" s="44"/>
      <c r="N586" s="44"/>
      <c r="O586" s="44"/>
      <c r="P586" s="62">
        <f t="shared" si="17"/>
        <v>285000</v>
      </c>
      <c r="Q586" s="44"/>
    </row>
    <row r="587" spans="2:17" ht="15.5" customHeight="1" x14ac:dyDescent="0.35">
      <c r="B587" s="14">
        <v>45533</v>
      </c>
      <c r="C587" s="15">
        <v>3</v>
      </c>
      <c r="D587" s="18" t="s">
        <v>384</v>
      </c>
      <c r="E587" s="18"/>
      <c r="F587" s="21">
        <v>285000</v>
      </c>
      <c r="G587" s="15" t="s">
        <v>21</v>
      </c>
      <c r="H587" s="15">
        <v>1</v>
      </c>
      <c r="I587" s="44"/>
      <c r="J587" s="44"/>
      <c r="K587" s="44"/>
      <c r="L587" s="44"/>
      <c r="M587" s="44"/>
      <c r="N587" s="44"/>
      <c r="O587" s="44"/>
      <c r="P587" s="62">
        <f t="shared" si="17"/>
        <v>285000</v>
      </c>
      <c r="Q587" s="44"/>
    </row>
    <row r="588" spans="2:17" ht="15.5" customHeight="1" x14ac:dyDescent="0.35">
      <c r="B588" s="14">
        <v>45534</v>
      </c>
      <c r="C588" s="15">
        <v>4</v>
      </c>
      <c r="D588" s="18" t="s">
        <v>385</v>
      </c>
      <c r="E588" s="18"/>
      <c r="F588" s="21">
        <v>285000</v>
      </c>
      <c r="G588" s="15" t="s">
        <v>21</v>
      </c>
      <c r="H588" s="15">
        <v>1</v>
      </c>
      <c r="I588" s="44"/>
      <c r="J588" s="44"/>
      <c r="K588" s="44"/>
      <c r="L588" s="44"/>
      <c r="M588" s="44"/>
      <c r="N588" s="44"/>
      <c r="O588" s="44"/>
      <c r="P588" s="62">
        <f t="shared" si="17"/>
        <v>285000</v>
      </c>
      <c r="Q588" s="44"/>
    </row>
    <row r="589" spans="2:17" ht="15.5" customHeight="1" x14ac:dyDescent="0.35">
      <c r="B589" s="14">
        <v>45537</v>
      </c>
      <c r="C589" s="15">
        <v>5</v>
      </c>
      <c r="D589" s="18" t="s">
        <v>496</v>
      </c>
      <c r="E589" s="18"/>
      <c r="F589" s="21">
        <f>871650+2035000</f>
        <v>2906650</v>
      </c>
      <c r="G589" s="15" t="s">
        <v>21</v>
      </c>
      <c r="H589" s="15">
        <v>1</v>
      </c>
      <c r="I589" s="44"/>
      <c r="J589" s="44"/>
      <c r="K589" s="44"/>
      <c r="L589" s="44"/>
      <c r="M589" s="44"/>
      <c r="N589" s="44"/>
      <c r="O589" s="44"/>
      <c r="P589" s="62">
        <f t="shared" si="17"/>
        <v>2906650</v>
      </c>
      <c r="Q589" s="44"/>
    </row>
    <row r="590" spans="2:17" ht="15.5" customHeight="1" x14ac:dyDescent="0.35">
      <c r="B590" s="14">
        <v>45528</v>
      </c>
      <c r="C590" s="15">
        <v>6</v>
      </c>
      <c r="D590" s="18" t="s">
        <v>497</v>
      </c>
      <c r="E590" s="18"/>
      <c r="F590" s="21">
        <v>36000</v>
      </c>
      <c r="G590" s="15" t="s">
        <v>21</v>
      </c>
      <c r="H590" s="15">
        <v>1</v>
      </c>
      <c r="I590" s="44"/>
      <c r="J590" s="44"/>
      <c r="K590" s="44"/>
      <c r="L590" s="44"/>
      <c r="M590" s="44"/>
      <c r="N590" s="44"/>
      <c r="O590" s="44"/>
      <c r="P590" s="62">
        <f t="shared" si="17"/>
        <v>36000</v>
      </c>
      <c r="Q590" s="44"/>
    </row>
    <row r="591" spans="2:17" ht="15.5" customHeight="1" x14ac:dyDescent="0.35">
      <c r="B591" s="14">
        <v>45536</v>
      </c>
      <c r="C591" s="15">
        <v>7</v>
      </c>
      <c r="D591" s="18" t="s">
        <v>498</v>
      </c>
      <c r="E591" s="18"/>
      <c r="F591" s="21">
        <v>45000</v>
      </c>
      <c r="G591" s="15" t="s">
        <v>21</v>
      </c>
      <c r="H591" s="15">
        <v>1</v>
      </c>
      <c r="I591" s="44"/>
      <c r="J591" s="44"/>
      <c r="K591" s="44"/>
      <c r="L591" s="44"/>
      <c r="M591" s="44"/>
      <c r="N591" s="44"/>
      <c r="O591" s="44"/>
      <c r="P591" s="62">
        <f t="shared" si="17"/>
        <v>45000</v>
      </c>
      <c r="Q591" s="44"/>
    </row>
    <row r="592" spans="2:17" ht="15.5" customHeight="1" x14ac:dyDescent="0.35">
      <c r="B592" s="14">
        <v>45547</v>
      </c>
      <c r="C592" s="15">
        <v>8</v>
      </c>
      <c r="D592" s="18" t="s">
        <v>497</v>
      </c>
      <c r="E592" s="18"/>
      <c r="F592" s="21">
        <v>241100</v>
      </c>
      <c r="G592" s="15" t="s">
        <v>21</v>
      </c>
      <c r="H592" s="15">
        <v>1</v>
      </c>
      <c r="I592" s="44"/>
      <c r="J592" s="44"/>
      <c r="K592" s="44"/>
      <c r="L592" s="44"/>
      <c r="M592" s="44"/>
      <c r="N592" s="44"/>
      <c r="O592" s="44"/>
      <c r="P592" s="62">
        <f t="shared" si="17"/>
        <v>241100</v>
      </c>
      <c r="Q592" s="44"/>
    </row>
    <row r="593" spans="2:17" ht="15.5" customHeight="1" x14ac:dyDescent="0.35">
      <c r="B593" s="14">
        <v>45566</v>
      </c>
      <c r="C593" s="15">
        <v>5</v>
      </c>
      <c r="D593" s="18" t="s">
        <v>499</v>
      </c>
      <c r="E593" s="18"/>
      <c r="F593" s="21">
        <f>799000+571000</f>
        <v>1370000</v>
      </c>
      <c r="G593" s="15" t="s">
        <v>21</v>
      </c>
      <c r="H593" s="15">
        <v>1</v>
      </c>
      <c r="I593" s="44"/>
      <c r="J593" s="44"/>
      <c r="K593" s="44"/>
      <c r="L593" s="44"/>
      <c r="M593" s="44"/>
      <c r="N593" s="44"/>
      <c r="O593" s="44"/>
      <c r="P593" s="62">
        <f t="shared" si="17"/>
        <v>1370000</v>
      </c>
      <c r="Q593" s="44"/>
    </row>
    <row r="594" spans="2:17" ht="15.5" customHeight="1" x14ac:dyDescent="0.35">
      <c r="B594" s="102"/>
      <c r="C594" s="15"/>
      <c r="D594" s="106" t="s">
        <v>205</v>
      </c>
      <c r="E594" s="106"/>
      <c r="F594" s="21"/>
      <c r="G594" s="15"/>
      <c r="H594" s="15"/>
      <c r="I594" s="44"/>
      <c r="J594" s="44"/>
      <c r="K594" s="44"/>
      <c r="L594" s="44"/>
      <c r="M594" s="44"/>
      <c r="N594" s="44"/>
      <c r="O594" s="44"/>
      <c r="P594" s="44"/>
      <c r="Q594" s="44"/>
    </row>
    <row r="595" spans="2:17" ht="15.5" customHeight="1" x14ac:dyDescent="0.35">
      <c r="B595" s="102">
        <v>45537</v>
      </c>
      <c r="C595" s="15">
        <v>1</v>
      </c>
      <c r="D595" s="63" t="s">
        <v>500</v>
      </c>
      <c r="E595" s="63"/>
      <c r="F595" s="21">
        <v>10000</v>
      </c>
      <c r="G595" s="15" t="s">
        <v>21</v>
      </c>
      <c r="H595" s="15">
        <v>1</v>
      </c>
      <c r="I595" s="61">
        <f>$H595*$F595</f>
        <v>10000</v>
      </c>
      <c r="J595" s="44"/>
      <c r="K595" s="44"/>
      <c r="L595" s="44"/>
      <c r="M595" s="44"/>
      <c r="N595" s="44"/>
      <c r="O595" s="44"/>
      <c r="P595" s="44"/>
      <c r="Q595" s="44"/>
    </row>
    <row r="596" spans="2:17" ht="15.5" customHeight="1" x14ac:dyDescent="0.35">
      <c r="B596" s="102">
        <v>45520</v>
      </c>
      <c r="C596" s="15">
        <v>2</v>
      </c>
      <c r="D596" s="63" t="s">
        <v>501</v>
      </c>
      <c r="E596" s="63"/>
      <c r="F596" s="21">
        <v>18000</v>
      </c>
      <c r="G596" s="15" t="s">
        <v>21</v>
      </c>
      <c r="H596" s="15">
        <v>1</v>
      </c>
      <c r="I596" s="61">
        <f>$H596*$F596</f>
        <v>18000</v>
      </c>
      <c r="J596" s="44"/>
      <c r="K596" s="44"/>
      <c r="L596" s="44"/>
      <c r="M596" s="44"/>
      <c r="N596" s="44"/>
      <c r="O596" s="44"/>
      <c r="P596" s="44"/>
      <c r="Q596" s="44"/>
    </row>
    <row r="597" spans="2:17" ht="15.5" customHeight="1" x14ac:dyDescent="0.35">
      <c r="B597" s="102">
        <v>45537</v>
      </c>
      <c r="C597" s="15">
        <v>3</v>
      </c>
      <c r="D597" s="63" t="s">
        <v>386</v>
      </c>
      <c r="E597" s="63"/>
      <c r="F597" s="21">
        <v>18000</v>
      </c>
      <c r="G597" s="15" t="s">
        <v>21</v>
      </c>
      <c r="H597" s="15">
        <v>1</v>
      </c>
      <c r="I597" s="61">
        <f>$H597*$F597</f>
        <v>18000</v>
      </c>
      <c r="J597" s="44"/>
      <c r="K597" s="44"/>
      <c r="L597" s="44"/>
      <c r="M597" s="44"/>
      <c r="N597" s="44"/>
      <c r="O597" s="44"/>
      <c r="P597" s="44"/>
      <c r="Q597" s="44"/>
    </row>
    <row r="598" spans="2:17" ht="15.5" customHeight="1" x14ac:dyDescent="0.35">
      <c r="B598" s="102">
        <v>45436</v>
      </c>
      <c r="C598" s="15">
        <v>4</v>
      </c>
      <c r="D598" s="63" t="s">
        <v>502</v>
      </c>
      <c r="E598" s="63"/>
      <c r="F598" s="21">
        <v>25000</v>
      </c>
      <c r="G598" s="15" t="s">
        <v>21</v>
      </c>
      <c r="H598" s="15">
        <v>1</v>
      </c>
      <c r="I598" s="61">
        <f>$H598*$F598</f>
        <v>25000</v>
      </c>
      <c r="J598" s="44"/>
      <c r="K598" s="44"/>
      <c r="L598" s="44"/>
      <c r="M598" s="44"/>
      <c r="N598" s="44"/>
      <c r="O598" s="44"/>
      <c r="P598" s="44"/>
      <c r="Q598" s="44"/>
    </row>
    <row r="599" spans="2:17" ht="15.5" customHeight="1" x14ac:dyDescent="0.35">
      <c r="B599" s="102">
        <v>45530</v>
      </c>
      <c r="C599" s="15">
        <v>5</v>
      </c>
      <c r="D599" s="63" t="s">
        <v>503</v>
      </c>
      <c r="E599" s="63"/>
      <c r="F599" s="21">
        <v>31000</v>
      </c>
      <c r="G599" s="15" t="s">
        <v>21</v>
      </c>
      <c r="H599" s="15">
        <v>1</v>
      </c>
      <c r="I599" s="61">
        <f>$H599*$F599</f>
        <v>31000</v>
      </c>
      <c r="J599" s="44"/>
      <c r="K599" s="44"/>
      <c r="L599" s="44"/>
      <c r="M599" s="44"/>
      <c r="N599" s="44"/>
      <c r="O599" s="44"/>
      <c r="P599" s="44"/>
      <c r="Q599" s="44"/>
    </row>
    <row r="600" spans="2:17" ht="15.5" customHeight="1" x14ac:dyDescent="0.35">
      <c r="B600" s="78" t="s">
        <v>504</v>
      </c>
      <c r="C600" s="85" t="s">
        <v>2</v>
      </c>
      <c r="D600" s="86" t="s">
        <v>505</v>
      </c>
      <c r="E600" s="86"/>
      <c r="F600" s="87"/>
      <c r="G600" s="73"/>
      <c r="H600" s="73"/>
      <c r="I600" s="78"/>
      <c r="J600" s="78"/>
      <c r="K600" s="78"/>
      <c r="L600" s="78"/>
      <c r="M600" s="78"/>
      <c r="N600" s="78"/>
      <c r="O600" s="78"/>
      <c r="P600" s="78"/>
      <c r="Q600" s="78"/>
    </row>
    <row r="601" spans="2:17" ht="15.5" customHeight="1" x14ac:dyDescent="0.35">
      <c r="B601" s="67"/>
      <c r="C601" s="91"/>
      <c r="D601" s="97" t="s">
        <v>158</v>
      </c>
      <c r="E601" s="97"/>
      <c r="F601" s="103"/>
      <c r="G601" s="91"/>
      <c r="H601" s="91"/>
      <c r="I601" s="44"/>
      <c r="J601" s="44"/>
      <c r="K601" s="44"/>
      <c r="L601" s="44"/>
      <c r="M601" s="44"/>
      <c r="N601" s="44"/>
      <c r="O601" s="44"/>
      <c r="P601" s="44"/>
      <c r="Q601" s="44"/>
    </row>
    <row r="602" spans="2:17" ht="15.5" customHeight="1" x14ac:dyDescent="0.35">
      <c r="B602" s="67">
        <v>45558</v>
      </c>
      <c r="C602" s="91">
        <v>1</v>
      </c>
      <c r="D602" s="95" t="s">
        <v>506</v>
      </c>
      <c r="E602" s="95"/>
      <c r="F602" s="103">
        <f>1175684+408500</f>
        <v>1584184</v>
      </c>
      <c r="G602" s="91" t="s">
        <v>21</v>
      </c>
      <c r="H602" s="91">
        <v>1</v>
      </c>
      <c r="I602" s="62">
        <f>F602</f>
        <v>1584184</v>
      </c>
      <c r="J602" s="44"/>
      <c r="K602" s="44"/>
      <c r="L602" s="44"/>
      <c r="M602" s="44"/>
      <c r="N602" s="44"/>
      <c r="O602" s="44"/>
      <c r="P602" s="44"/>
      <c r="Q602" s="44"/>
    </row>
    <row r="603" spans="2:17" ht="15.5" customHeight="1" x14ac:dyDescent="0.35">
      <c r="B603" s="67">
        <v>45558</v>
      </c>
      <c r="C603" s="91">
        <v>2</v>
      </c>
      <c r="D603" s="95" t="s">
        <v>185</v>
      </c>
      <c r="E603" s="95"/>
      <c r="F603" s="103">
        <f>5*50000</f>
        <v>250000</v>
      </c>
      <c r="G603" s="91" t="s">
        <v>21</v>
      </c>
      <c r="H603" s="91">
        <v>1</v>
      </c>
      <c r="I603" s="62">
        <f>F603</f>
        <v>250000</v>
      </c>
      <c r="J603" s="44"/>
      <c r="K603" s="44"/>
      <c r="L603" s="44"/>
      <c r="M603" s="44"/>
      <c r="N603" s="44"/>
      <c r="O603" s="44"/>
      <c r="P603" s="44"/>
      <c r="Q603" s="44"/>
    </row>
    <row r="604" spans="2:17" ht="15.5" customHeight="1" x14ac:dyDescent="0.35">
      <c r="B604" s="67"/>
      <c r="C604" s="91"/>
      <c r="D604" s="97" t="s">
        <v>149</v>
      </c>
      <c r="E604" s="97"/>
      <c r="F604" s="103"/>
      <c r="G604" s="91"/>
      <c r="H604" s="91"/>
      <c r="I604" s="44"/>
      <c r="J604" s="44"/>
      <c r="K604" s="44"/>
      <c r="L604" s="44"/>
      <c r="M604" s="44"/>
      <c r="N604" s="44"/>
      <c r="O604" s="44"/>
      <c r="P604" s="44"/>
      <c r="Q604" s="44"/>
    </row>
    <row r="605" spans="2:17" ht="15.5" customHeight="1" x14ac:dyDescent="0.35">
      <c r="B605" s="67">
        <v>45558</v>
      </c>
      <c r="C605" s="91">
        <v>3</v>
      </c>
      <c r="D605" s="95" t="s">
        <v>507</v>
      </c>
      <c r="E605" s="95"/>
      <c r="F605" s="103">
        <v>1213500</v>
      </c>
      <c r="G605" s="91" t="s">
        <v>21</v>
      </c>
      <c r="H605" s="91">
        <v>1</v>
      </c>
      <c r="I605" s="61">
        <f t="shared" ref="I605:I610" si="18">$H605*$F605</f>
        <v>1213500</v>
      </c>
      <c r="J605" s="44"/>
      <c r="K605" s="44"/>
      <c r="L605" s="44"/>
      <c r="M605" s="44"/>
      <c r="N605" s="44"/>
      <c r="O605" s="44"/>
      <c r="P605" s="44"/>
      <c r="Q605" s="44"/>
    </row>
    <row r="606" spans="2:17" ht="15.5" customHeight="1" x14ac:dyDescent="0.35">
      <c r="B606" s="67">
        <v>45558</v>
      </c>
      <c r="C606" s="91">
        <v>4</v>
      </c>
      <c r="D606" s="95" t="s">
        <v>508</v>
      </c>
      <c r="E606" s="95"/>
      <c r="F606" s="103">
        <v>132500</v>
      </c>
      <c r="G606" s="91" t="s">
        <v>21</v>
      </c>
      <c r="H606" s="91">
        <v>1</v>
      </c>
      <c r="I606" s="61">
        <f t="shared" si="18"/>
        <v>132500</v>
      </c>
      <c r="J606" s="44"/>
      <c r="K606" s="44"/>
      <c r="L606" s="44"/>
      <c r="M606" s="44"/>
      <c r="N606" s="44"/>
      <c r="O606" s="44"/>
      <c r="P606" s="44"/>
      <c r="Q606" s="44"/>
    </row>
    <row r="607" spans="2:17" ht="15.5" customHeight="1" x14ac:dyDescent="0.35">
      <c r="B607" s="67">
        <v>45558</v>
      </c>
      <c r="C607" s="91">
        <v>5</v>
      </c>
      <c r="D607" s="95" t="s">
        <v>509</v>
      </c>
      <c r="E607" s="95"/>
      <c r="F607" s="103">
        <v>280400</v>
      </c>
      <c r="G607" s="91" t="s">
        <v>21</v>
      </c>
      <c r="H607" s="91">
        <v>1</v>
      </c>
      <c r="I607" s="61">
        <f t="shared" si="18"/>
        <v>280400</v>
      </c>
      <c r="J607" s="44"/>
      <c r="K607" s="44"/>
      <c r="L607" s="44"/>
      <c r="M607" s="61"/>
      <c r="N607" s="44"/>
      <c r="O607" s="44"/>
      <c r="P607" s="44"/>
      <c r="Q607" s="44"/>
    </row>
    <row r="608" spans="2:17" ht="15.5" customHeight="1" x14ac:dyDescent="0.35">
      <c r="B608" s="67">
        <v>45558</v>
      </c>
      <c r="C608" s="91">
        <v>6</v>
      </c>
      <c r="D608" s="98" t="s">
        <v>510</v>
      </c>
      <c r="E608" s="98"/>
      <c r="F608" s="103">
        <v>326600</v>
      </c>
      <c r="G608" s="91" t="s">
        <v>21</v>
      </c>
      <c r="H608" s="91">
        <v>1</v>
      </c>
      <c r="I608" s="61">
        <f t="shared" si="18"/>
        <v>326600</v>
      </c>
      <c r="J608" s="44"/>
      <c r="K608" s="44"/>
      <c r="L608" s="44"/>
      <c r="M608" s="61"/>
      <c r="N608" s="44"/>
      <c r="O608" s="44"/>
      <c r="P608" s="44"/>
      <c r="Q608" s="44"/>
    </row>
    <row r="609" spans="2:17" ht="15.5" customHeight="1" x14ac:dyDescent="0.35">
      <c r="B609" s="67">
        <v>45558</v>
      </c>
      <c r="C609" s="91">
        <v>7</v>
      </c>
      <c r="D609" s="95" t="s">
        <v>511</v>
      </c>
      <c r="E609" s="95"/>
      <c r="F609" s="103">
        <v>1653500</v>
      </c>
      <c r="G609" s="91" t="s">
        <v>21</v>
      </c>
      <c r="H609" s="91">
        <v>1</v>
      </c>
      <c r="I609" s="61">
        <f t="shared" si="18"/>
        <v>1653500</v>
      </c>
      <c r="J609" s="44"/>
      <c r="K609" s="44"/>
      <c r="L609" s="44"/>
      <c r="M609" s="62"/>
      <c r="N609" s="44"/>
      <c r="O609" s="44"/>
      <c r="P609" s="44"/>
      <c r="Q609" s="44"/>
    </row>
    <row r="610" spans="2:17" ht="15.5" customHeight="1" x14ac:dyDescent="0.35">
      <c r="B610" s="67">
        <v>45558</v>
      </c>
      <c r="C610" s="91">
        <v>8</v>
      </c>
      <c r="D610" s="95" t="s">
        <v>512</v>
      </c>
      <c r="E610" s="95"/>
      <c r="F610" s="103">
        <v>73584</v>
      </c>
      <c r="G610" s="91" t="s">
        <v>21</v>
      </c>
      <c r="H610" s="91">
        <v>1</v>
      </c>
      <c r="I610" s="61">
        <f t="shared" si="18"/>
        <v>73584</v>
      </c>
      <c r="J610" s="44"/>
      <c r="K610" s="44"/>
      <c r="L610" s="44"/>
      <c r="M610" s="61"/>
      <c r="N610" s="44"/>
      <c r="O610" s="44"/>
      <c r="P610" s="44"/>
      <c r="Q610" s="44"/>
    </row>
    <row r="611" spans="2:17" ht="15.5" customHeight="1" x14ac:dyDescent="0.35">
      <c r="B611" s="67"/>
      <c r="C611" s="117"/>
      <c r="D611" s="97" t="s">
        <v>171</v>
      </c>
      <c r="E611" s="97"/>
      <c r="F611" s="103"/>
      <c r="G611" s="91"/>
      <c r="H611" s="91"/>
      <c r="I611" s="44"/>
      <c r="J611" s="44"/>
      <c r="K611" s="44"/>
      <c r="L611" s="44"/>
      <c r="M611" s="61"/>
      <c r="N611" s="44"/>
      <c r="O611" s="44"/>
      <c r="P611" s="44"/>
      <c r="Q611" s="44"/>
    </row>
    <row r="612" spans="2:17" ht="15.5" customHeight="1" x14ac:dyDescent="0.35">
      <c r="B612" s="67">
        <v>45558</v>
      </c>
      <c r="C612" s="91">
        <v>9</v>
      </c>
      <c r="D612" s="95" t="s">
        <v>438</v>
      </c>
      <c r="E612" s="95"/>
      <c r="F612" s="103">
        <f>5*100</f>
        <v>500</v>
      </c>
      <c r="G612" s="91" t="s">
        <v>173</v>
      </c>
      <c r="H612" s="100">
        <v>15231</v>
      </c>
      <c r="I612" s="62">
        <f>H612*F612</f>
        <v>7615500</v>
      </c>
      <c r="J612" s="44"/>
      <c r="K612" s="44"/>
      <c r="L612" s="44"/>
      <c r="M612" s="61"/>
      <c r="N612" s="44"/>
      <c r="O612" s="44"/>
      <c r="P612" s="44"/>
      <c r="Q612" s="44"/>
    </row>
    <row r="613" spans="2:17" ht="15.5" customHeight="1" x14ac:dyDescent="0.35">
      <c r="B613" s="67">
        <v>45558</v>
      </c>
      <c r="C613" s="91">
        <v>10</v>
      </c>
      <c r="D613" s="95" t="s">
        <v>439</v>
      </c>
      <c r="E613" s="95"/>
      <c r="F613" s="103">
        <f>5*150000</f>
        <v>750000</v>
      </c>
      <c r="G613" s="91" t="s">
        <v>21</v>
      </c>
      <c r="H613" s="91">
        <v>1</v>
      </c>
      <c r="I613" s="62">
        <f>F613</f>
        <v>750000</v>
      </c>
      <c r="J613" s="44"/>
      <c r="K613" s="44"/>
      <c r="L613" s="44"/>
      <c r="M613" s="61"/>
      <c r="N613" s="44"/>
      <c r="O613" s="44"/>
      <c r="P613" s="44"/>
      <c r="Q613" s="44"/>
    </row>
    <row r="614" spans="2:17" ht="15.5" customHeight="1" x14ac:dyDescent="0.35">
      <c r="B614" s="78" t="s">
        <v>513</v>
      </c>
      <c r="C614" s="85" t="s">
        <v>2</v>
      </c>
      <c r="D614" s="86" t="s">
        <v>514</v>
      </c>
      <c r="E614" s="86"/>
      <c r="F614" s="87"/>
      <c r="G614" s="73"/>
      <c r="H614" s="73"/>
      <c r="I614" s="78"/>
      <c r="J614" s="78"/>
      <c r="K614" s="78"/>
      <c r="L614" s="78"/>
      <c r="M614" s="101"/>
      <c r="N614" s="78"/>
      <c r="O614" s="78"/>
      <c r="P614" s="78"/>
      <c r="Q614" s="78"/>
    </row>
    <row r="615" spans="2:17" ht="15.5" customHeight="1" x14ac:dyDescent="0.35">
      <c r="B615" s="102"/>
      <c r="C615" s="15"/>
      <c r="D615" s="106" t="s">
        <v>149</v>
      </c>
      <c r="E615" s="106"/>
      <c r="F615" s="21"/>
      <c r="G615" s="15"/>
      <c r="H615" s="15"/>
      <c r="I615" s="44"/>
      <c r="J615" s="44"/>
      <c r="K615" s="44"/>
      <c r="L615" s="44"/>
      <c r="M615" s="61"/>
      <c r="N615" s="44"/>
      <c r="O615" s="44"/>
      <c r="P615" s="44"/>
      <c r="Q615" s="44"/>
    </row>
    <row r="616" spans="2:17" ht="15.5" customHeight="1" x14ac:dyDescent="0.35">
      <c r="B616" s="102">
        <v>45568</v>
      </c>
      <c r="C616" s="15">
        <v>3</v>
      </c>
      <c r="D616" s="63" t="s">
        <v>468</v>
      </c>
      <c r="E616" s="63"/>
      <c r="F616" s="21">
        <v>250000</v>
      </c>
      <c r="G616" s="15" t="s">
        <v>21</v>
      </c>
      <c r="H616" s="15">
        <v>1</v>
      </c>
      <c r="I616" s="61">
        <f>$H616*$F616</f>
        <v>250000</v>
      </c>
      <c r="J616" s="44"/>
      <c r="K616" s="44"/>
      <c r="L616" s="44"/>
      <c r="M616" s="44"/>
      <c r="N616" s="61"/>
      <c r="O616" s="44"/>
      <c r="P616" s="44"/>
      <c r="Q616" s="44"/>
    </row>
    <row r="617" spans="2:17" ht="15.5" customHeight="1" x14ac:dyDescent="0.35">
      <c r="B617" s="102">
        <v>45585</v>
      </c>
      <c r="C617" s="15">
        <v>4</v>
      </c>
      <c r="D617" s="63" t="s">
        <v>469</v>
      </c>
      <c r="E617" s="63"/>
      <c r="F617" s="21">
        <v>250000</v>
      </c>
      <c r="G617" s="15" t="s">
        <v>21</v>
      </c>
      <c r="H617" s="15">
        <v>1</v>
      </c>
      <c r="I617" s="61">
        <f>$H617*$F617</f>
        <v>250000</v>
      </c>
      <c r="J617" s="44"/>
      <c r="K617" s="44"/>
      <c r="L617" s="44"/>
      <c r="M617" s="44"/>
      <c r="N617" s="44"/>
      <c r="O617" s="44"/>
      <c r="P617" s="44"/>
      <c r="Q617" s="44"/>
    </row>
    <row r="618" spans="2:17" ht="15.5" customHeight="1" x14ac:dyDescent="0.35">
      <c r="B618" s="102"/>
      <c r="C618" s="15"/>
      <c r="D618" s="118" t="s">
        <v>158</v>
      </c>
      <c r="E618" s="118"/>
      <c r="F618" s="21"/>
      <c r="G618" s="15"/>
      <c r="H618" s="15"/>
      <c r="I618" s="44"/>
      <c r="J618" s="44"/>
      <c r="K618" s="44"/>
      <c r="L618" s="44"/>
      <c r="M618" s="44"/>
      <c r="N618" s="44"/>
      <c r="O618" s="44"/>
      <c r="P618" s="44"/>
      <c r="Q618" s="44"/>
    </row>
    <row r="619" spans="2:17" ht="15.5" customHeight="1" x14ac:dyDescent="0.35">
      <c r="B619" s="102">
        <v>45585</v>
      </c>
      <c r="C619" s="15">
        <v>6</v>
      </c>
      <c r="D619" s="63" t="s">
        <v>515</v>
      </c>
      <c r="E619" s="63"/>
      <c r="F619" s="21">
        <f>50000*18</f>
        <v>900000</v>
      </c>
      <c r="G619" s="15" t="s">
        <v>21</v>
      </c>
      <c r="H619" s="15">
        <v>1</v>
      </c>
      <c r="I619" s="62">
        <f>F619</f>
        <v>900000</v>
      </c>
      <c r="J619" s="44"/>
      <c r="K619" s="44"/>
      <c r="L619" s="44"/>
      <c r="M619" s="61"/>
      <c r="N619" s="44"/>
      <c r="O619" s="44"/>
      <c r="P619" s="44"/>
      <c r="Q619" s="44"/>
    </row>
    <row r="620" spans="2:17" ht="15.5" customHeight="1" x14ac:dyDescent="0.35">
      <c r="B620" s="102"/>
      <c r="C620" s="15"/>
      <c r="D620" s="108" t="s">
        <v>162</v>
      </c>
      <c r="E620" s="108"/>
      <c r="F620" s="21"/>
      <c r="G620" s="15"/>
      <c r="H620" s="15"/>
      <c r="I620" s="44"/>
      <c r="J620" s="44"/>
      <c r="K620" s="44"/>
      <c r="L620" s="44"/>
      <c r="M620" s="61"/>
      <c r="N620" s="44"/>
      <c r="O620" s="44"/>
      <c r="P620" s="44"/>
      <c r="Q620" s="44"/>
    </row>
    <row r="621" spans="2:17" ht="15.5" customHeight="1" x14ac:dyDescent="0.35">
      <c r="B621" s="102"/>
      <c r="C621" s="15"/>
      <c r="D621" s="118" t="s">
        <v>168</v>
      </c>
      <c r="E621" s="118"/>
      <c r="F621" s="21"/>
      <c r="G621" s="15"/>
      <c r="H621" s="15"/>
      <c r="I621" s="44"/>
      <c r="J621" s="44"/>
      <c r="K621" s="44"/>
      <c r="L621" s="44"/>
      <c r="M621" s="62"/>
      <c r="N621" s="44"/>
      <c r="O621" s="44"/>
      <c r="P621" s="44"/>
      <c r="Q621" s="44"/>
    </row>
    <row r="622" spans="2:17" ht="15.5" customHeight="1" x14ac:dyDescent="0.35">
      <c r="B622" s="102">
        <v>45585</v>
      </c>
      <c r="C622" s="15"/>
      <c r="D622" s="63" t="s">
        <v>516</v>
      </c>
      <c r="E622" s="63"/>
      <c r="F622" s="21">
        <f>99000+288400+195700+108150+143000+267800</f>
        <v>1102050</v>
      </c>
      <c r="G622" s="15" t="s">
        <v>21</v>
      </c>
      <c r="H622" s="15">
        <v>1</v>
      </c>
      <c r="I622" s="62">
        <f>F622</f>
        <v>1102050</v>
      </c>
      <c r="J622" s="44"/>
      <c r="K622" s="44"/>
      <c r="L622" s="44"/>
      <c r="M622" s="61"/>
      <c r="N622" s="44"/>
      <c r="O622" s="44"/>
      <c r="P622" s="44"/>
      <c r="Q622" s="44"/>
    </row>
    <row r="623" spans="2:17" ht="15.5" customHeight="1" x14ac:dyDescent="0.35">
      <c r="B623" s="102"/>
      <c r="C623" s="15"/>
      <c r="D623" s="118" t="s">
        <v>171</v>
      </c>
      <c r="E623" s="118"/>
      <c r="F623" s="21"/>
      <c r="G623" s="15"/>
      <c r="H623" s="15"/>
      <c r="I623" s="44"/>
      <c r="J623" s="44"/>
      <c r="K623" s="44"/>
      <c r="L623" s="44"/>
      <c r="M623" s="62"/>
      <c r="N623" s="44"/>
      <c r="O623" s="44"/>
      <c r="P623" s="44"/>
      <c r="Q623" s="44"/>
    </row>
    <row r="624" spans="2:17" ht="15.5" customHeight="1" x14ac:dyDescent="0.35">
      <c r="B624" s="102">
        <v>45585</v>
      </c>
      <c r="C624" s="15"/>
      <c r="D624" s="63" t="s">
        <v>517</v>
      </c>
      <c r="E624" s="63"/>
      <c r="F624" s="21">
        <f>150000*18</f>
        <v>2700000</v>
      </c>
      <c r="G624" s="15" t="s">
        <v>21</v>
      </c>
      <c r="H624" s="15">
        <v>1</v>
      </c>
      <c r="I624" s="62">
        <f>F624</f>
        <v>2700000</v>
      </c>
      <c r="J624" s="44"/>
      <c r="K624" s="44"/>
      <c r="L624" s="44"/>
      <c r="M624" s="61"/>
      <c r="N624" s="44"/>
      <c r="O624" s="44"/>
      <c r="P624" s="44"/>
      <c r="Q624" s="44"/>
    </row>
    <row r="625" spans="2:17" ht="15.5" customHeight="1" x14ac:dyDescent="0.35">
      <c r="B625" s="102"/>
      <c r="C625" s="15"/>
      <c r="D625" s="108" t="s">
        <v>171</v>
      </c>
      <c r="E625" s="108"/>
      <c r="F625" s="21"/>
      <c r="G625" s="15"/>
      <c r="H625" s="15"/>
      <c r="I625" s="44"/>
      <c r="J625" s="44"/>
      <c r="K625" s="44"/>
      <c r="L625" s="44"/>
      <c r="M625" s="44"/>
      <c r="N625" s="44"/>
      <c r="O625" s="44"/>
      <c r="P625" s="44"/>
      <c r="Q625" s="44"/>
    </row>
    <row r="626" spans="2:17" ht="15.5" customHeight="1" x14ac:dyDescent="0.35">
      <c r="B626" s="102">
        <v>45585</v>
      </c>
      <c r="C626" s="15">
        <v>8</v>
      </c>
      <c r="D626" s="63" t="s">
        <v>518</v>
      </c>
      <c r="E626" s="63"/>
      <c r="F626" s="21">
        <v>1800</v>
      </c>
      <c r="G626" s="15" t="s">
        <v>173</v>
      </c>
      <c r="H626" s="15">
        <v>15849</v>
      </c>
      <c r="I626" s="104">
        <f>H626*F626</f>
        <v>28528200</v>
      </c>
      <c r="J626" s="44"/>
      <c r="K626" s="44"/>
      <c r="L626" s="44"/>
      <c r="M626" s="44"/>
      <c r="N626" s="44"/>
      <c r="O626" s="44"/>
      <c r="P626" s="44"/>
      <c r="Q626" s="44"/>
    </row>
    <row r="627" spans="2:17" ht="15.5" customHeight="1" x14ac:dyDescent="0.35">
      <c r="B627" s="78" t="s">
        <v>519</v>
      </c>
      <c r="C627" s="85" t="s">
        <v>2</v>
      </c>
      <c r="D627" s="86" t="s">
        <v>520</v>
      </c>
      <c r="E627" s="86"/>
      <c r="F627" s="87"/>
      <c r="G627" s="73"/>
      <c r="H627" s="73"/>
      <c r="I627" s="78"/>
      <c r="J627" s="78"/>
      <c r="K627" s="78"/>
      <c r="L627" s="78"/>
      <c r="M627" s="78"/>
      <c r="N627" s="78"/>
      <c r="O627" s="78"/>
      <c r="P627" s="78"/>
      <c r="Q627" s="78"/>
    </row>
    <row r="628" spans="2:17" ht="15.5" customHeight="1" x14ac:dyDescent="0.35">
      <c r="B628" s="67"/>
      <c r="C628" s="91"/>
      <c r="D628" s="97" t="s">
        <v>299</v>
      </c>
      <c r="E628" s="97"/>
      <c r="F628" s="103"/>
      <c r="G628" s="91"/>
      <c r="H628" s="91"/>
      <c r="I628" s="44"/>
      <c r="J628" s="44"/>
      <c r="K628" s="44"/>
      <c r="L628" s="44"/>
      <c r="M628" s="44"/>
      <c r="N628" s="44"/>
      <c r="O628" s="44"/>
      <c r="P628" s="44"/>
      <c r="Q628" s="44"/>
    </row>
    <row r="629" spans="2:17" ht="15.5" customHeight="1" x14ac:dyDescent="0.35">
      <c r="B629" s="67">
        <v>45622</v>
      </c>
      <c r="C629" s="91">
        <v>1</v>
      </c>
      <c r="D629" s="95" t="s">
        <v>521</v>
      </c>
      <c r="E629" s="95"/>
      <c r="F629" s="103">
        <v>2700000</v>
      </c>
      <c r="G629" s="91" t="s">
        <v>21</v>
      </c>
      <c r="H629" s="91">
        <v>1</v>
      </c>
      <c r="I629" s="61">
        <f>$F629*$H629</f>
        <v>2700000</v>
      </c>
      <c r="J629" s="44"/>
      <c r="K629" s="44"/>
      <c r="L629" s="44"/>
      <c r="M629" s="44"/>
      <c r="N629" s="44"/>
      <c r="O629" s="44"/>
      <c r="P629" s="44"/>
      <c r="Q629" s="44"/>
    </row>
    <row r="630" spans="2:17" ht="15.5" customHeight="1" x14ac:dyDescent="0.35">
      <c r="B630" s="67"/>
      <c r="C630" s="91"/>
      <c r="D630" s="97" t="s">
        <v>149</v>
      </c>
      <c r="E630" s="97"/>
      <c r="F630" s="103"/>
      <c r="G630" s="91"/>
      <c r="H630" s="91"/>
      <c r="I630" s="44"/>
      <c r="J630" s="44"/>
      <c r="K630" s="44"/>
      <c r="L630" s="44"/>
      <c r="M630" s="44"/>
      <c r="N630" s="44"/>
      <c r="O630" s="44"/>
      <c r="P630" s="44"/>
      <c r="Q630" s="44"/>
    </row>
    <row r="631" spans="2:17" ht="15.5" customHeight="1" x14ac:dyDescent="0.35">
      <c r="B631" s="67">
        <v>45622</v>
      </c>
      <c r="C631" s="91"/>
      <c r="D631" s="95" t="s">
        <v>522</v>
      </c>
      <c r="E631" s="95"/>
      <c r="F631" s="103">
        <v>15000</v>
      </c>
      <c r="G631" s="91" t="s">
        <v>21</v>
      </c>
      <c r="H631" s="91">
        <v>1</v>
      </c>
      <c r="I631" s="61">
        <f>$H631*$F631</f>
        <v>15000</v>
      </c>
      <c r="J631" s="44"/>
      <c r="K631" s="44"/>
      <c r="L631" s="44"/>
      <c r="M631" s="44"/>
      <c r="N631" s="44"/>
      <c r="O631" s="44"/>
      <c r="P631" s="44"/>
      <c r="Q631" s="44"/>
    </row>
    <row r="632" spans="2:17" ht="15.5" customHeight="1" x14ac:dyDescent="0.35">
      <c r="B632" s="67">
        <v>45622</v>
      </c>
      <c r="C632" s="91"/>
      <c r="D632" s="95" t="s">
        <v>523</v>
      </c>
      <c r="E632" s="95"/>
      <c r="F632" s="103">
        <v>15000</v>
      </c>
      <c r="G632" s="91" t="s">
        <v>21</v>
      </c>
      <c r="H632" s="91">
        <v>1</v>
      </c>
      <c r="I632" s="61">
        <f>$H632*$F632</f>
        <v>15000</v>
      </c>
      <c r="J632" s="44"/>
      <c r="K632" s="44"/>
      <c r="L632" s="44"/>
      <c r="M632" s="44"/>
      <c r="N632" s="44"/>
      <c r="O632" s="44"/>
      <c r="P632" s="44"/>
      <c r="Q632" s="44"/>
    </row>
    <row r="633" spans="2:17" ht="15.5" customHeight="1" x14ac:dyDescent="0.35">
      <c r="B633" s="67">
        <v>45622</v>
      </c>
      <c r="C633" s="91"/>
      <c r="D633" s="95" t="s">
        <v>524</v>
      </c>
      <c r="E633" s="95"/>
      <c r="F633" s="103">
        <v>15000</v>
      </c>
      <c r="G633" s="91" t="s">
        <v>21</v>
      </c>
      <c r="H633" s="91">
        <v>1</v>
      </c>
      <c r="I633" s="61">
        <f>$H633*$F633</f>
        <v>15000</v>
      </c>
      <c r="J633" s="44"/>
      <c r="K633" s="44"/>
      <c r="L633" s="44"/>
      <c r="M633" s="44"/>
      <c r="N633" s="44"/>
      <c r="O633" s="44"/>
      <c r="P633" s="44"/>
      <c r="Q633" s="44"/>
    </row>
    <row r="634" spans="2:17" ht="15.5" customHeight="1" x14ac:dyDescent="0.35">
      <c r="B634" s="67">
        <v>45622</v>
      </c>
      <c r="C634" s="91"/>
      <c r="D634" s="95" t="s">
        <v>525</v>
      </c>
      <c r="E634" s="95"/>
      <c r="F634" s="103">
        <v>14000</v>
      </c>
      <c r="G634" s="91" t="s">
        <v>21</v>
      </c>
      <c r="H634" s="91">
        <v>1</v>
      </c>
      <c r="I634" s="61">
        <f>$H634*$F634</f>
        <v>14000</v>
      </c>
      <c r="J634" s="44"/>
      <c r="K634" s="44"/>
      <c r="L634" s="44"/>
      <c r="M634" s="61"/>
      <c r="N634" s="44"/>
      <c r="O634" s="44"/>
      <c r="P634" s="44"/>
      <c r="Q634" s="44"/>
    </row>
    <row r="635" spans="2:17" ht="15.5" customHeight="1" x14ac:dyDescent="0.35">
      <c r="B635" s="67">
        <v>45622</v>
      </c>
      <c r="C635" s="91"/>
      <c r="D635" s="95" t="s">
        <v>526</v>
      </c>
      <c r="E635" s="95"/>
      <c r="F635" s="103">
        <v>3000</v>
      </c>
      <c r="G635" s="91" t="s">
        <v>21</v>
      </c>
      <c r="H635" s="91">
        <v>1</v>
      </c>
      <c r="I635" s="61">
        <f>$H635*$F635</f>
        <v>3000</v>
      </c>
      <c r="J635" s="44"/>
      <c r="K635" s="44"/>
      <c r="L635" s="44"/>
      <c r="M635" s="61"/>
      <c r="N635" s="44"/>
      <c r="O635" s="44"/>
      <c r="P635" s="44"/>
      <c r="Q635" s="44"/>
    </row>
    <row r="636" spans="2:17" ht="15.5" customHeight="1" x14ac:dyDescent="0.35">
      <c r="B636" s="78" t="s">
        <v>527</v>
      </c>
      <c r="C636" s="85" t="s">
        <v>2</v>
      </c>
      <c r="D636" s="86" t="s">
        <v>528</v>
      </c>
      <c r="E636" s="86"/>
      <c r="F636" s="87"/>
      <c r="G636" s="73"/>
      <c r="H636" s="73"/>
      <c r="I636" s="78"/>
      <c r="J636" s="78"/>
      <c r="K636" s="78"/>
      <c r="L636" s="78"/>
      <c r="M636" s="101"/>
      <c r="N636" s="78"/>
      <c r="O636" s="78"/>
      <c r="P636" s="78"/>
      <c r="Q636" s="78"/>
    </row>
    <row r="637" spans="2:17" ht="15.5" customHeight="1" x14ac:dyDescent="0.35">
      <c r="B637" s="140"/>
      <c r="C637" s="141"/>
      <c r="D637" s="142" t="s">
        <v>205</v>
      </c>
      <c r="E637" s="142"/>
      <c r="F637" s="143"/>
      <c r="G637" s="15"/>
      <c r="H637" s="15"/>
      <c r="I637" s="44"/>
      <c r="J637" s="44"/>
      <c r="K637" s="44"/>
      <c r="L637" s="44"/>
      <c r="M637" s="44"/>
      <c r="N637" s="61"/>
      <c r="O637" s="44"/>
      <c r="P637" s="44"/>
      <c r="Q637" s="44"/>
    </row>
    <row r="638" spans="2:17" ht="15.5" customHeight="1" x14ac:dyDescent="0.35">
      <c r="B638" s="144">
        <v>45071</v>
      </c>
      <c r="C638" s="141"/>
      <c r="D638" s="145" t="s">
        <v>529</v>
      </c>
      <c r="E638" s="145"/>
      <c r="F638" s="146">
        <v>150000</v>
      </c>
      <c r="G638" s="15" t="s">
        <v>21</v>
      </c>
      <c r="H638" s="15">
        <v>1</v>
      </c>
      <c r="I638" s="44"/>
      <c r="J638" s="44"/>
      <c r="K638" s="44"/>
      <c r="L638" s="44"/>
      <c r="M638" s="61">
        <f>$H638*$F638</f>
        <v>150000</v>
      </c>
      <c r="N638" s="44"/>
      <c r="O638" s="44"/>
      <c r="P638" s="44"/>
      <c r="Q638" s="44"/>
    </row>
    <row r="639" spans="2:17" ht="15.5" customHeight="1" x14ac:dyDescent="0.35">
      <c r="B639" s="144">
        <v>45085</v>
      </c>
      <c r="C639" s="141"/>
      <c r="D639" s="145" t="s">
        <v>530</v>
      </c>
      <c r="E639" s="145"/>
      <c r="F639" s="179">
        <v>35000</v>
      </c>
      <c r="G639" s="15" t="s">
        <v>21</v>
      </c>
      <c r="H639" s="15">
        <v>1</v>
      </c>
      <c r="I639" s="44"/>
      <c r="J639" s="44"/>
      <c r="K639" s="44"/>
      <c r="L639" s="44"/>
      <c r="M639" s="61">
        <f>$H639*$F639</f>
        <v>35000</v>
      </c>
      <c r="N639" s="44"/>
      <c r="O639" s="44"/>
      <c r="P639" s="44"/>
      <c r="Q639" s="44"/>
    </row>
    <row r="640" spans="2:17" ht="15.5" customHeight="1" x14ac:dyDescent="0.35">
      <c r="B640" s="144"/>
      <c r="C640" s="141"/>
      <c r="D640" s="145" t="s">
        <v>531</v>
      </c>
      <c r="E640" s="145"/>
      <c r="F640" s="147">
        <v>50000</v>
      </c>
      <c r="G640" s="15" t="s">
        <v>21</v>
      </c>
      <c r="H640" s="15">
        <v>1</v>
      </c>
      <c r="I640" s="61">
        <f>$H640*$F640</f>
        <v>50000</v>
      </c>
      <c r="J640" s="44"/>
      <c r="K640" s="44"/>
      <c r="L640" s="44"/>
      <c r="M640" s="61"/>
      <c r="N640" s="44"/>
      <c r="O640" s="44"/>
      <c r="P640" s="44"/>
      <c r="Q640" s="44"/>
    </row>
    <row r="641" spans="2:17" ht="15.5" customHeight="1" x14ac:dyDescent="0.35">
      <c r="B641" s="144">
        <v>45076</v>
      </c>
      <c r="C641" s="141"/>
      <c r="D641" s="145" t="s">
        <v>532</v>
      </c>
      <c r="E641" s="145"/>
      <c r="F641" s="147">
        <v>100000</v>
      </c>
      <c r="G641" s="15" t="s">
        <v>21</v>
      </c>
      <c r="H641" s="15">
        <v>1</v>
      </c>
      <c r="I641" s="61">
        <f>$H641*$F641</f>
        <v>100000</v>
      </c>
      <c r="J641" s="44"/>
      <c r="K641" s="44"/>
      <c r="L641" s="44"/>
      <c r="M641" s="61"/>
      <c r="N641" s="44"/>
      <c r="O641" s="44"/>
      <c r="P641" s="44"/>
      <c r="Q641" s="44"/>
    </row>
    <row r="642" spans="2:17" ht="15.5" customHeight="1" x14ac:dyDescent="0.35">
      <c r="B642" s="144">
        <v>45121</v>
      </c>
      <c r="C642" s="141"/>
      <c r="D642" s="145" t="s">
        <v>533</v>
      </c>
      <c r="E642" s="145"/>
      <c r="F642" s="147">
        <v>12000</v>
      </c>
      <c r="G642" s="15" t="s">
        <v>21</v>
      </c>
      <c r="H642" s="15">
        <v>1</v>
      </c>
      <c r="I642" s="44"/>
      <c r="J642" s="44"/>
      <c r="K642" s="44"/>
      <c r="L642" s="44"/>
      <c r="M642" s="61">
        <f>$H642*$F642</f>
        <v>12000</v>
      </c>
      <c r="N642" s="44"/>
      <c r="O642" s="44"/>
      <c r="P642" s="44"/>
      <c r="Q642" s="44"/>
    </row>
    <row r="643" spans="2:17" ht="15.5" customHeight="1" x14ac:dyDescent="0.35">
      <c r="B643" s="144">
        <v>45261</v>
      </c>
      <c r="C643" s="141"/>
      <c r="D643" s="145" t="s">
        <v>531</v>
      </c>
      <c r="E643" s="145"/>
      <c r="F643" s="147">
        <v>44000</v>
      </c>
      <c r="G643" s="15" t="s">
        <v>21</v>
      </c>
      <c r="H643" s="15">
        <v>1</v>
      </c>
      <c r="I643" s="61">
        <f>$H643*$F643</f>
        <v>44000</v>
      </c>
      <c r="J643" s="44"/>
      <c r="K643" s="44"/>
      <c r="L643" s="44"/>
      <c r="M643" s="61"/>
      <c r="N643" s="44"/>
      <c r="O643" s="44"/>
      <c r="P643" s="44"/>
      <c r="Q643" s="44"/>
    </row>
    <row r="644" spans="2:17" ht="15.5" customHeight="1" x14ac:dyDescent="0.35">
      <c r="B644" s="144">
        <v>45572</v>
      </c>
      <c r="C644" s="141"/>
      <c r="D644" s="145" t="s">
        <v>534</v>
      </c>
      <c r="E644" s="145"/>
      <c r="F644" s="147">
        <v>62000</v>
      </c>
      <c r="G644" s="15" t="s">
        <v>21</v>
      </c>
      <c r="H644" s="15">
        <v>1</v>
      </c>
      <c r="I644" s="44"/>
      <c r="J644" s="44"/>
      <c r="K644" s="44"/>
      <c r="L644" s="44"/>
      <c r="M644" s="61">
        <f>$H644*$F644</f>
        <v>62000</v>
      </c>
      <c r="N644" s="44"/>
      <c r="O644" s="44"/>
      <c r="P644" s="44"/>
      <c r="Q644" s="44"/>
    </row>
    <row r="645" spans="2:17" ht="15.5" customHeight="1" x14ac:dyDescent="0.35">
      <c r="B645" s="144">
        <v>45555</v>
      </c>
      <c r="C645" s="141"/>
      <c r="D645" s="145" t="s">
        <v>531</v>
      </c>
      <c r="E645" s="145"/>
      <c r="F645" s="147">
        <v>18000</v>
      </c>
      <c r="G645" s="15" t="s">
        <v>21</v>
      </c>
      <c r="H645" s="15">
        <v>1</v>
      </c>
      <c r="I645" s="61">
        <f>$H645*$F645</f>
        <v>18000</v>
      </c>
      <c r="J645" s="44"/>
      <c r="K645" s="44"/>
      <c r="L645" s="44"/>
      <c r="M645" s="61"/>
      <c r="N645" s="44"/>
      <c r="O645" s="44"/>
      <c r="P645" s="44"/>
      <c r="Q645" s="44"/>
    </row>
    <row r="646" spans="2:17" ht="15.5" customHeight="1" x14ac:dyDescent="0.35">
      <c r="B646" s="144">
        <v>45560</v>
      </c>
      <c r="C646" s="141"/>
      <c r="D646" s="145" t="s">
        <v>535</v>
      </c>
      <c r="E646" s="145"/>
      <c r="F646" s="147">
        <v>8000</v>
      </c>
      <c r="G646" s="15" t="s">
        <v>21</v>
      </c>
      <c r="H646" s="15">
        <v>1</v>
      </c>
      <c r="I646" s="61">
        <f>$H646*$F646</f>
        <v>8000</v>
      </c>
      <c r="J646" s="44"/>
      <c r="K646" s="44"/>
      <c r="L646" s="44"/>
      <c r="M646" s="61"/>
      <c r="N646" s="44"/>
      <c r="O646" s="44"/>
      <c r="P646" s="44"/>
      <c r="Q646" s="44"/>
    </row>
    <row r="647" spans="2:17" ht="15.5" customHeight="1" x14ac:dyDescent="0.35">
      <c r="B647" s="144">
        <v>45574</v>
      </c>
      <c r="C647" s="141"/>
      <c r="D647" s="145" t="s">
        <v>535</v>
      </c>
      <c r="E647" s="145"/>
      <c r="F647" s="147">
        <v>15000</v>
      </c>
      <c r="G647" s="15" t="s">
        <v>21</v>
      </c>
      <c r="H647" s="15">
        <v>1</v>
      </c>
      <c r="I647" s="61">
        <f>$H647*$F647</f>
        <v>15000</v>
      </c>
      <c r="J647" s="44"/>
      <c r="K647" s="44"/>
      <c r="L647" s="44"/>
      <c r="M647" s="61"/>
      <c r="N647" s="44"/>
      <c r="O647" s="44"/>
      <c r="P647" s="44"/>
      <c r="Q647" s="44"/>
    </row>
    <row r="648" spans="2:17" ht="15.5" customHeight="1" x14ac:dyDescent="0.35">
      <c r="B648" s="144">
        <v>45579</v>
      </c>
      <c r="C648" s="141"/>
      <c r="D648" s="145" t="s">
        <v>531</v>
      </c>
      <c r="E648" s="145"/>
      <c r="F648" s="147">
        <v>10000</v>
      </c>
      <c r="G648" s="15" t="s">
        <v>21</v>
      </c>
      <c r="H648" s="15">
        <v>1</v>
      </c>
      <c r="I648" s="61">
        <f>$H648*$F648</f>
        <v>10000</v>
      </c>
      <c r="J648" s="44"/>
      <c r="K648" s="44"/>
      <c r="L648" s="44"/>
      <c r="M648" s="44"/>
      <c r="N648" s="44"/>
      <c r="O648" s="44"/>
      <c r="P648" s="44"/>
      <c r="Q648" s="44"/>
    </row>
    <row r="649" spans="2:17" ht="15.5" customHeight="1" x14ac:dyDescent="0.35">
      <c r="B649" s="144">
        <v>45579</v>
      </c>
      <c r="C649" s="141"/>
      <c r="D649" s="145" t="s">
        <v>536</v>
      </c>
      <c r="E649" s="145"/>
      <c r="F649" s="147">
        <v>103000</v>
      </c>
      <c r="G649" s="15" t="s">
        <v>21</v>
      </c>
      <c r="H649" s="15">
        <v>1</v>
      </c>
      <c r="I649" s="44"/>
      <c r="J649" s="44"/>
      <c r="K649" s="44"/>
      <c r="L649" s="44"/>
      <c r="M649" s="61">
        <f>$H649*$F649</f>
        <v>103000</v>
      </c>
      <c r="N649" s="44"/>
      <c r="O649" s="44"/>
      <c r="P649" s="44"/>
      <c r="Q649" s="44"/>
    </row>
    <row r="650" spans="2:17" ht="15.5" customHeight="1" x14ac:dyDescent="0.35">
      <c r="B650" s="144">
        <v>45582</v>
      </c>
      <c r="C650" s="141"/>
      <c r="D650" s="145" t="s">
        <v>537</v>
      </c>
      <c r="E650" s="145"/>
      <c r="F650" s="147">
        <v>55000</v>
      </c>
      <c r="G650" s="15" t="s">
        <v>21</v>
      </c>
      <c r="H650" s="15">
        <v>1</v>
      </c>
      <c r="I650" s="62"/>
      <c r="J650" s="44"/>
      <c r="K650" s="44"/>
      <c r="L650" s="44"/>
      <c r="M650" s="61">
        <f>$H650*$F650</f>
        <v>55000</v>
      </c>
      <c r="N650" s="44"/>
      <c r="O650" s="44"/>
      <c r="P650" s="44"/>
      <c r="Q650" s="44"/>
    </row>
    <row r="651" spans="2:17" ht="15.5" customHeight="1" x14ac:dyDescent="0.35">
      <c r="B651" s="144">
        <v>45617</v>
      </c>
      <c r="C651" s="141"/>
      <c r="D651" s="145" t="s">
        <v>536</v>
      </c>
      <c r="E651" s="145"/>
      <c r="F651" s="147">
        <v>103000</v>
      </c>
      <c r="G651" s="15" t="s">
        <v>21</v>
      </c>
      <c r="H651" s="15">
        <v>1</v>
      </c>
      <c r="I651" s="44"/>
      <c r="J651" s="44"/>
      <c r="K651" s="44"/>
      <c r="L651" s="44"/>
      <c r="M651" s="61">
        <f>$H651*$F651</f>
        <v>103000</v>
      </c>
      <c r="N651" s="44"/>
      <c r="O651" s="44"/>
      <c r="P651" s="44"/>
      <c r="Q651" s="44"/>
    </row>
    <row r="652" spans="2:17" ht="15.5" customHeight="1" x14ac:dyDescent="0.35">
      <c r="B652" s="140"/>
      <c r="C652" s="141"/>
      <c r="D652" s="148" t="s">
        <v>149</v>
      </c>
      <c r="E652" s="148"/>
      <c r="F652" s="147"/>
      <c r="G652" s="15"/>
      <c r="H652" s="15"/>
      <c r="I652" s="120"/>
      <c r="J652" s="120"/>
      <c r="K652" s="120"/>
      <c r="L652" s="120"/>
      <c r="M652" s="120"/>
      <c r="N652" s="120"/>
      <c r="O652" s="120"/>
      <c r="P652" s="120"/>
      <c r="Q652" s="120"/>
    </row>
    <row r="653" spans="2:17" ht="15.5" customHeight="1" x14ac:dyDescent="0.35">
      <c r="B653" s="144">
        <v>45579</v>
      </c>
      <c r="C653" s="141"/>
      <c r="D653" s="145" t="s">
        <v>538</v>
      </c>
      <c r="E653" s="145"/>
      <c r="F653" s="147">
        <v>275000</v>
      </c>
      <c r="G653" s="15" t="s">
        <v>21</v>
      </c>
      <c r="H653" s="15">
        <v>1</v>
      </c>
      <c r="I653" s="61">
        <f t="shared" ref="I653:I660" si="19">$H653*$F653</f>
        <v>275000</v>
      </c>
      <c r="J653" s="120"/>
      <c r="K653" s="120"/>
      <c r="L653" s="120"/>
      <c r="M653" s="120"/>
      <c r="N653" s="120"/>
      <c r="O653" s="120"/>
      <c r="P653" s="120"/>
      <c r="Q653" s="120"/>
    </row>
    <row r="654" spans="2:17" ht="15.5" customHeight="1" x14ac:dyDescent="0.35">
      <c r="B654" s="144">
        <v>45579</v>
      </c>
      <c r="C654" s="141"/>
      <c r="D654" s="145" t="s">
        <v>539</v>
      </c>
      <c r="E654" s="145"/>
      <c r="F654" s="147">
        <v>31500</v>
      </c>
      <c r="G654" s="15" t="s">
        <v>21</v>
      </c>
      <c r="H654" s="15">
        <v>1</v>
      </c>
      <c r="I654" s="61">
        <f t="shared" si="19"/>
        <v>31500</v>
      </c>
      <c r="J654" s="120"/>
      <c r="K654" s="120"/>
      <c r="L654" s="120"/>
      <c r="M654" s="120"/>
      <c r="N654" s="120"/>
      <c r="O654" s="120"/>
      <c r="P654" s="120"/>
      <c r="Q654" s="120"/>
    </row>
    <row r="655" spans="2:17" ht="15.5" customHeight="1" x14ac:dyDescent="0.35">
      <c r="B655" s="144">
        <v>45582</v>
      </c>
      <c r="C655" s="141"/>
      <c r="D655" s="145" t="s">
        <v>538</v>
      </c>
      <c r="E655" s="145"/>
      <c r="F655" s="147">
        <v>266000</v>
      </c>
      <c r="G655" s="15" t="s">
        <v>21</v>
      </c>
      <c r="H655" s="15">
        <v>1</v>
      </c>
      <c r="I655" s="61">
        <f t="shared" si="19"/>
        <v>266000</v>
      </c>
      <c r="J655" s="120"/>
      <c r="K655" s="120"/>
      <c r="L655" s="120"/>
      <c r="M655" s="120"/>
      <c r="N655" s="120"/>
      <c r="O655" s="120"/>
      <c r="P655" s="120"/>
      <c r="Q655" s="120"/>
    </row>
    <row r="656" spans="2:17" ht="15.5" customHeight="1" x14ac:dyDescent="0.35">
      <c r="B656" s="144">
        <v>45582</v>
      </c>
      <c r="C656" s="141"/>
      <c r="D656" s="145" t="s">
        <v>539</v>
      </c>
      <c r="E656" s="145"/>
      <c r="F656" s="147">
        <v>53500</v>
      </c>
      <c r="G656" s="15" t="s">
        <v>21</v>
      </c>
      <c r="H656" s="15">
        <v>1</v>
      </c>
      <c r="I656" s="61">
        <f t="shared" si="19"/>
        <v>53500</v>
      </c>
      <c r="J656" s="120"/>
      <c r="K656" s="120"/>
      <c r="L656" s="120"/>
      <c r="M656" s="120"/>
      <c r="N656" s="120"/>
      <c r="O656" s="120"/>
      <c r="P656" s="120"/>
      <c r="Q656" s="120"/>
    </row>
    <row r="657" spans="2:17" ht="15.5" customHeight="1" x14ac:dyDescent="0.35">
      <c r="B657" s="144">
        <v>45617</v>
      </c>
      <c r="C657" s="141"/>
      <c r="D657" s="145" t="s">
        <v>538</v>
      </c>
      <c r="E657" s="145"/>
      <c r="F657" s="147">
        <v>269000</v>
      </c>
      <c r="G657" s="15" t="s">
        <v>21</v>
      </c>
      <c r="H657" s="15">
        <v>1</v>
      </c>
      <c r="I657" s="61">
        <f t="shared" si="19"/>
        <v>269000</v>
      </c>
      <c r="J657" s="120"/>
      <c r="K657" s="120"/>
      <c r="L657" s="120"/>
      <c r="M657" s="120"/>
      <c r="N657" s="120"/>
      <c r="O657" s="120"/>
      <c r="P657" s="120"/>
      <c r="Q657" s="120"/>
    </row>
    <row r="658" spans="2:17" ht="15.5" customHeight="1" x14ac:dyDescent="0.35">
      <c r="B658" s="144">
        <v>45617</v>
      </c>
      <c r="C658" s="141"/>
      <c r="D658" s="145" t="s">
        <v>539</v>
      </c>
      <c r="E658" s="145"/>
      <c r="F658" s="147">
        <v>43450</v>
      </c>
      <c r="G658" s="15" t="s">
        <v>21</v>
      </c>
      <c r="H658" s="15">
        <v>1</v>
      </c>
      <c r="I658" s="61">
        <f t="shared" si="19"/>
        <v>43450</v>
      </c>
      <c r="J658" s="120"/>
      <c r="K658" s="120"/>
      <c r="L658" s="120"/>
      <c r="M658" s="120"/>
      <c r="N658" s="120"/>
      <c r="O658" s="120"/>
      <c r="P658" s="120"/>
      <c r="Q658" s="120"/>
    </row>
    <row r="659" spans="2:17" ht="15.5" customHeight="1" x14ac:dyDescent="0.35">
      <c r="B659" s="144">
        <v>45636</v>
      </c>
      <c r="C659" s="141"/>
      <c r="D659" s="145" t="s">
        <v>538</v>
      </c>
      <c r="E659" s="145"/>
      <c r="F659" s="147">
        <v>290000</v>
      </c>
      <c r="G659" s="15" t="s">
        <v>21</v>
      </c>
      <c r="H659" s="15">
        <v>1</v>
      </c>
      <c r="I659" s="61">
        <f t="shared" si="19"/>
        <v>290000</v>
      </c>
      <c r="J659" s="120"/>
      <c r="K659" s="120"/>
      <c r="L659" s="120"/>
      <c r="M659" s="120"/>
      <c r="N659" s="120"/>
      <c r="O659" s="120"/>
      <c r="P659" s="120"/>
      <c r="Q659" s="120"/>
    </row>
    <row r="660" spans="2:17" ht="15.5" customHeight="1" x14ac:dyDescent="0.35">
      <c r="B660" s="144">
        <v>45636</v>
      </c>
      <c r="C660" s="141"/>
      <c r="D660" s="145" t="s">
        <v>539</v>
      </c>
      <c r="E660" s="145"/>
      <c r="F660" s="147">
        <v>48500</v>
      </c>
      <c r="G660" s="15" t="s">
        <v>21</v>
      </c>
      <c r="H660" s="15">
        <v>1</v>
      </c>
      <c r="I660" s="61">
        <f t="shared" si="19"/>
        <v>48500</v>
      </c>
      <c r="J660" s="120"/>
      <c r="K660" s="120"/>
      <c r="L660" s="120"/>
      <c r="M660" s="120"/>
      <c r="N660" s="120"/>
      <c r="O660" s="120"/>
      <c r="P660" s="120"/>
      <c r="Q660" s="120"/>
    </row>
    <row r="661" spans="2:17" ht="15.5" customHeight="1" x14ac:dyDescent="0.35">
      <c r="B661" s="149" t="s">
        <v>540</v>
      </c>
      <c r="C661" s="85" t="s">
        <v>2</v>
      </c>
      <c r="D661" s="150" t="s">
        <v>541</v>
      </c>
      <c r="E661" s="150"/>
      <c r="F661" s="151"/>
      <c r="G661" s="85"/>
      <c r="H661" s="85"/>
      <c r="I661" s="152"/>
      <c r="J661" s="152"/>
      <c r="K661" s="152"/>
      <c r="L661" s="152"/>
      <c r="M661" s="152"/>
      <c r="N661" s="152"/>
      <c r="O661" s="152"/>
      <c r="P661" s="152"/>
      <c r="Q661" s="152"/>
    </row>
    <row r="662" spans="2:17" ht="15.5" customHeight="1" x14ac:dyDescent="0.35">
      <c r="B662" s="14">
        <v>45607</v>
      </c>
      <c r="C662" s="15"/>
      <c r="D662" s="18" t="s">
        <v>542</v>
      </c>
      <c r="E662" s="18"/>
      <c r="F662" s="21">
        <v>5583200</v>
      </c>
      <c r="G662" s="18" t="s">
        <v>21</v>
      </c>
      <c r="H662" s="15">
        <v>1</v>
      </c>
      <c r="I662" s="120"/>
      <c r="J662" s="120"/>
      <c r="K662" s="120"/>
      <c r="L662" s="120"/>
      <c r="M662" s="120"/>
      <c r="N662" s="120">
        <f>F662</f>
        <v>5583200</v>
      </c>
      <c r="O662" s="120"/>
      <c r="P662" s="120"/>
      <c r="Q662" s="120"/>
    </row>
    <row r="663" spans="2:17" ht="15.5" customHeight="1" x14ac:dyDescent="0.35">
      <c r="B663" s="149" t="s">
        <v>543</v>
      </c>
      <c r="C663" s="85" t="s">
        <v>2</v>
      </c>
      <c r="D663" s="150" t="s">
        <v>544</v>
      </c>
      <c r="E663" s="150"/>
      <c r="F663" s="151"/>
      <c r="G663" s="85"/>
      <c r="H663" s="85"/>
      <c r="I663" s="152"/>
      <c r="J663" s="152"/>
      <c r="K663" s="152"/>
      <c r="L663" s="152"/>
      <c r="M663" s="152"/>
      <c r="N663" s="152"/>
      <c r="O663" s="152"/>
      <c r="P663" s="152"/>
      <c r="Q663" s="152"/>
    </row>
    <row r="664" spans="2:17" ht="15.5" customHeight="1" x14ac:dyDescent="0.35">
      <c r="B664" s="107">
        <v>45640</v>
      </c>
      <c r="C664" s="15">
        <v>1</v>
      </c>
      <c r="D664" s="153" t="s">
        <v>545</v>
      </c>
      <c r="E664" s="153"/>
      <c r="F664" s="154">
        <v>8156000</v>
      </c>
      <c r="G664" s="33" t="s">
        <v>21</v>
      </c>
      <c r="H664" s="33">
        <v>1</v>
      </c>
      <c r="I664" s="120"/>
      <c r="J664" s="120"/>
      <c r="K664" s="120"/>
      <c r="L664" s="120"/>
      <c r="M664" s="120"/>
      <c r="N664" s="120">
        <f>F664</f>
        <v>8156000</v>
      </c>
      <c r="O664" s="120"/>
      <c r="P664" s="120"/>
      <c r="Q664" s="120"/>
    </row>
    <row r="665" spans="2:17" ht="15.5" customHeight="1" x14ac:dyDescent="0.35">
      <c r="B665" s="78" t="s">
        <v>546</v>
      </c>
      <c r="C665" s="85" t="s">
        <v>2</v>
      </c>
      <c r="D665" s="86" t="s">
        <v>547</v>
      </c>
      <c r="E665" s="86"/>
      <c r="F665" s="151"/>
      <c r="G665" s="85"/>
      <c r="H665" s="85"/>
      <c r="I665" s="152"/>
      <c r="J665" s="152"/>
      <c r="K665" s="152"/>
      <c r="L665" s="152"/>
      <c r="M665" s="152"/>
      <c r="N665" s="152"/>
      <c r="O665" s="152"/>
      <c r="P665" s="152"/>
      <c r="Q665" s="152"/>
    </row>
    <row r="666" spans="2:17" ht="15.5" customHeight="1" x14ac:dyDescent="0.35">
      <c r="B666" s="31"/>
      <c r="C666" s="31"/>
      <c r="D666" s="153" t="s">
        <v>334</v>
      </c>
      <c r="E666" s="153"/>
      <c r="F666" s="31"/>
      <c r="G666" s="33"/>
      <c r="H666" s="33"/>
      <c r="I666" s="120"/>
      <c r="J666" s="120"/>
      <c r="K666" s="120"/>
      <c r="L666" s="120"/>
      <c r="M666" s="120"/>
      <c r="N666" s="120"/>
      <c r="O666" s="120"/>
      <c r="P666" s="120"/>
      <c r="Q666" s="120"/>
    </row>
    <row r="667" spans="2:17" ht="15.5" customHeight="1" x14ac:dyDescent="0.35">
      <c r="B667" s="14">
        <v>45596</v>
      </c>
      <c r="C667" s="15">
        <v>1</v>
      </c>
      <c r="D667" s="18" t="s">
        <v>548</v>
      </c>
      <c r="E667" s="18"/>
      <c r="F667" s="21">
        <v>604000</v>
      </c>
      <c r="G667" s="15" t="s">
        <v>21</v>
      </c>
      <c r="H667" s="15">
        <v>1</v>
      </c>
      <c r="I667" s="120"/>
      <c r="J667" s="120"/>
      <c r="K667" s="120"/>
      <c r="L667" s="120"/>
      <c r="M667" s="120"/>
      <c r="N667" s="120"/>
      <c r="O667" s="120"/>
      <c r="P667" s="120">
        <f t="shared" ref="P667:P674" si="20">F667</f>
        <v>604000</v>
      </c>
      <c r="Q667" s="120"/>
    </row>
    <row r="668" spans="2:17" ht="15.5" customHeight="1" x14ac:dyDescent="0.35">
      <c r="B668" s="14">
        <v>45628</v>
      </c>
      <c r="C668" s="15">
        <v>2</v>
      </c>
      <c r="D668" s="18" t="s">
        <v>549</v>
      </c>
      <c r="E668" s="18"/>
      <c r="F668" s="21">
        <v>799000</v>
      </c>
      <c r="G668" s="15" t="s">
        <v>21</v>
      </c>
      <c r="H668" s="15">
        <v>1</v>
      </c>
      <c r="I668" s="120"/>
      <c r="J668" s="120"/>
      <c r="K668" s="120"/>
      <c r="L668" s="120"/>
      <c r="M668" s="120"/>
      <c r="N668" s="120"/>
      <c r="O668" s="120"/>
      <c r="P668" s="120">
        <f t="shared" si="20"/>
        <v>799000</v>
      </c>
      <c r="Q668" s="120"/>
    </row>
    <row r="669" spans="2:17" ht="15.5" customHeight="1" x14ac:dyDescent="0.35">
      <c r="B669" s="14">
        <v>45627</v>
      </c>
      <c r="C669" s="15">
        <v>3</v>
      </c>
      <c r="D669" s="18" t="s">
        <v>550</v>
      </c>
      <c r="E669" s="18"/>
      <c r="F669" s="21">
        <v>1582141</v>
      </c>
      <c r="G669" s="15" t="s">
        <v>21</v>
      </c>
      <c r="H669" s="15">
        <v>1</v>
      </c>
      <c r="I669" s="120"/>
      <c r="J669" s="120"/>
      <c r="K669" s="120"/>
      <c r="L669" s="120"/>
      <c r="M669" s="120"/>
      <c r="N669" s="120"/>
      <c r="O669" s="120"/>
      <c r="P669" s="120">
        <f t="shared" si="20"/>
        <v>1582141</v>
      </c>
      <c r="Q669" s="120"/>
    </row>
    <row r="670" spans="2:17" ht="15.5" customHeight="1" x14ac:dyDescent="0.35">
      <c r="B670" s="14">
        <v>45627</v>
      </c>
      <c r="C670" s="15">
        <v>4</v>
      </c>
      <c r="D670" s="18" t="s">
        <v>551</v>
      </c>
      <c r="E670" s="18"/>
      <c r="F670" s="21">
        <v>970767</v>
      </c>
      <c r="G670" s="15" t="s">
        <v>21</v>
      </c>
      <c r="H670" s="15">
        <v>1</v>
      </c>
      <c r="I670" s="120"/>
      <c r="J670" s="120"/>
      <c r="K670" s="120"/>
      <c r="L670" s="120"/>
      <c r="M670" s="120"/>
      <c r="N670" s="120"/>
      <c r="O670" s="120"/>
      <c r="P670" s="120">
        <f t="shared" si="20"/>
        <v>970767</v>
      </c>
      <c r="Q670" s="120"/>
    </row>
    <row r="671" spans="2:17" ht="15.5" customHeight="1" x14ac:dyDescent="0.35">
      <c r="B671" s="14">
        <v>45627</v>
      </c>
      <c r="C671" s="15">
        <v>5</v>
      </c>
      <c r="D671" s="18" t="s">
        <v>548</v>
      </c>
      <c r="E671" s="18"/>
      <c r="F671" s="21">
        <v>157000</v>
      </c>
      <c r="G671" s="15" t="s">
        <v>21</v>
      </c>
      <c r="H671" s="15">
        <v>1</v>
      </c>
      <c r="I671" s="120"/>
      <c r="J671" s="120"/>
      <c r="K671" s="120"/>
      <c r="L671" s="120"/>
      <c r="M671" s="120"/>
      <c r="N671" s="120"/>
      <c r="O671" s="120"/>
      <c r="P671" s="120">
        <f t="shared" si="20"/>
        <v>157000</v>
      </c>
      <c r="Q671" s="120"/>
    </row>
    <row r="672" spans="2:17" ht="15.5" customHeight="1" x14ac:dyDescent="0.35">
      <c r="B672" s="14">
        <v>45627</v>
      </c>
      <c r="C672" s="15">
        <v>6</v>
      </c>
      <c r="D672" s="18" t="s">
        <v>548</v>
      </c>
      <c r="E672" s="18"/>
      <c r="F672" s="21">
        <v>152000</v>
      </c>
      <c r="G672" s="15" t="s">
        <v>21</v>
      </c>
      <c r="H672" s="15">
        <v>1</v>
      </c>
      <c r="I672" s="120"/>
      <c r="J672" s="120"/>
      <c r="K672" s="120"/>
      <c r="L672" s="120"/>
      <c r="M672" s="120"/>
      <c r="N672" s="120"/>
      <c r="O672" s="120"/>
      <c r="P672" s="120">
        <f t="shared" si="20"/>
        <v>152000</v>
      </c>
      <c r="Q672" s="120"/>
    </row>
    <row r="673" spans="2:17" ht="15.5" customHeight="1" x14ac:dyDescent="0.35">
      <c r="B673" s="14">
        <v>45628</v>
      </c>
      <c r="C673" s="15">
        <v>7</v>
      </c>
      <c r="D673" s="18" t="s">
        <v>552</v>
      </c>
      <c r="E673" s="18"/>
      <c r="F673" s="21">
        <v>190309.5</v>
      </c>
      <c r="G673" s="15" t="s">
        <v>21</v>
      </c>
      <c r="H673" s="15">
        <v>1</v>
      </c>
      <c r="I673" s="120"/>
      <c r="J673" s="120"/>
      <c r="K673" s="120"/>
      <c r="L673" s="120"/>
      <c r="M673" s="120"/>
      <c r="N673" s="120"/>
      <c r="O673" s="120"/>
      <c r="P673" s="120">
        <f t="shared" si="20"/>
        <v>190309.5</v>
      </c>
      <c r="Q673" s="120"/>
    </row>
    <row r="674" spans="2:17" ht="15.5" customHeight="1" x14ac:dyDescent="0.35">
      <c r="B674" s="14">
        <v>45637</v>
      </c>
      <c r="C674" s="15">
        <v>8</v>
      </c>
      <c r="D674" s="18" t="s">
        <v>552</v>
      </c>
      <c r="E674" s="18"/>
      <c r="F674" s="21">
        <v>417600</v>
      </c>
      <c r="G674" s="15" t="s">
        <v>21</v>
      </c>
      <c r="H674" s="15">
        <v>1</v>
      </c>
      <c r="I674" s="120"/>
      <c r="J674" s="120"/>
      <c r="K674" s="120"/>
      <c r="L674" s="120"/>
      <c r="M674" s="120"/>
      <c r="N674" s="120"/>
      <c r="O674" s="120"/>
      <c r="P674" s="120">
        <f t="shared" si="20"/>
        <v>417600</v>
      </c>
      <c r="Q674" s="120"/>
    </row>
    <row r="675" spans="2:17" ht="15.5" customHeight="1" x14ac:dyDescent="0.35">
      <c r="B675" s="102"/>
      <c r="C675" s="15"/>
      <c r="D675" s="106" t="s">
        <v>149</v>
      </c>
      <c r="E675" s="106"/>
      <c r="F675" s="21"/>
      <c r="G675" s="15"/>
      <c r="H675" s="15"/>
      <c r="I675" s="120"/>
      <c r="J675" s="120"/>
      <c r="K675" s="120"/>
      <c r="L675" s="120"/>
      <c r="M675" s="120"/>
      <c r="N675" s="120"/>
      <c r="O675" s="120"/>
      <c r="P675" s="120"/>
      <c r="Q675" s="120"/>
    </row>
    <row r="676" spans="2:17" ht="15.5" customHeight="1" x14ac:dyDescent="0.35">
      <c r="B676" s="102">
        <v>45607</v>
      </c>
      <c r="C676" s="15">
        <v>1</v>
      </c>
      <c r="D676" s="63" t="s">
        <v>553</v>
      </c>
      <c r="E676" s="63"/>
      <c r="F676" s="21">
        <v>276216</v>
      </c>
      <c r="G676" s="15" t="s">
        <v>21</v>
      </c>
      <c r="H676" s="15">
        <v>1</v>
      </c>
      <c r="I676" s="61">
        <f t="shared" ref="I676:I681" si="21">$H676*$F676</f>
        <v>276216</v>
      </c>
      <c r="J676" s="120"/>
      <c r="K676" s="120"/>
      <c r="L676" s="120"/>
      <c r="M676" s="120"/>
      <c r="N676" s="120"/>
      <c r="O676" s="120"/>
      <c r="P676" s="120"/>
      <c r="Q676" s="120"/>
    </row>
    <row r="677" spans="2:17" ht="15.5" customHeight="1" x14ac:dyDescent="0.35">
      <c r="B677" s="102">
        <v>45607</v>
      </c>
      <c r="C677" s="15">
        <v>2</v>
      </c>
      <c r="D677" s="63" t="s">
        <v>554</v>
      </c>
      <c r="E677" s="63"/>
      <c r="F677" s="21">
        <f>33500+6000+17000+9500+13500</f>
        <v>79500</v>
      </c>
      <c r="G677" s="15" t="s">
        <v>21</v>
      </c>
      <c r="H677" s="15">
        <v>1</v>
      </c>
      <c r="I677" s="61">
        <f t="shared" si="21"/>
        <v>79500</v>
      </c>
      <c r="J677" s="120"/>
      <c r="K677" s="120"/>
      <c r="L677" s="120"/>
      <c r="M677" s="120"/>
      <c r="N677" s="120"/>
      <c r="O677" s="120"/>
      <c r="P677" s="120"/>
      <c r="Q677" s="120"/>
    </row>
    <row r="678" spans="2:17" ht="15.5" customHeight="1" x14ac:dyDescent="0.35">
      <c r="B678" s="102">
        <v>45622</v>
      </c>
      <c r="C678" s="15">
        <v>3</v>
      </c>
      <c r="D678" s="63" t="s">
        <v>555</v>
      </c>
      <c r="E678" s="63"/>
      <c r="F678" s="21">
        <v>29000</v>
      </c>
      <c r="G678" s="15" t="s">
        <v>21</v>
      </c>
      <c r="H678" s="15">
        <v>1</v>
      </c>
      <c r="I678" s="61">
        <f t="shared" si="21"/>
        <v>29000</v>
      </c>
      <c r="J678" s="120"/>
      <c r="K678" s="120"/>
      <c r="L678" s="120"/>
      <c r="M678" s="120"/>
      <c r="N678" s="120"/>
      <c r="O678" s="120"/>
      <c r="P678" s="120"/>
      <c r="Q678" s="120"/>
    </row>
    <row r="679" spans="2:17" ht="15.5" customHeight="1" x14ac:dyDescent="0.35">
      <c r="B679" s="102">
        <v>45622</v>
      </c>
      <c r="C679" s="15">
        <v>4</v>
      </c>
      <c r="D679" s="63" t="s">
        <v>554</v>
      </c>
      <c r="E679" s="63"/>
      <c r="F679" s="21">
        <v>17000</v>
      </c>
      <c r="G679" s="15" t="s">
        <v>21</v>
      </c>
      <c r="H679" s="15">
        <v>1</v>
      </c>
      <c r="I679" s="61">
        <f t="shared" si="21"/>
        <v>17000</v>
      </c>
      <c r="J679" s="120"/>
      <c r="K679" s="120"/>
      <c r="L679" s="120"/>
      <c r="M679" s="120"/>
      <c r="N679" s="120"/>
      <c r="O679" s="120"/>
      <c r="P679" s="120"/>
      <c r="Q679" s="120"/>
    </row>
    <row r="680" spans="2:17" ht="15.5" customHeight="1" x14ac:dyDescent="0.35">
      <c r="B680" s="102">
        <v>45636</v>
      </c>
      <c r="C680" s="15">
        <v>5</v>
      </c>
      <c r="D680" s="63" t="s">
        <v>556</v>
      </c>
      <c r="E680" s="63"/>
      <c r="F680" s="21">
        <v>155680</v>
      </c>
      <c r="G680" s="15" t="s">
        <v>21</v>
      </c>
      <c r="H680" s="15">
        <v>1</v>
      </c>
      <c r="I680" s="61">
        <f t="shared" si="21"/>
        <v>155680</v>
      </c>
      <c r="J680" s="120"/>
      <c r="K680" s="120"/>
      <c r="L680" s="120"/>
      <c r="M680" s="120"/>
      <c r="N680" s="120"/>
      <c r="O680" s="120"/>
      <c r="P680" s="120"/>
      <c r="Q680" s="120"/>
    </row>
    <row r="681" spans="2:17" ht="15.5" customHeight="1" x14ac:dyDescent="0.35">
      <c r="B681" s="102">
        <v>45636</v>
      </c>
      <c r="C681" s="15">
        <v>5</v>
      </c>
      <c r="D681" s="63" t="s">
        <v>557</v>
      </c>
      <c r="E681" s="63"/>
      <c r="F681" s="21">
        <v>17000</v>
      </c>
      <c r="G681" s="15" t="s">
        <v>21</v>
      </c>
      <c r="H681" s="15">
        <v>1</v>
      </c>
      <c r="I681" s="61">
        <f t="shared" si="21"/>
        <v>17000</v>
      </c>
      <c r="J681" s="120"/>
      <c r="K681" s="120"/>
      <c r="L681" s="120"/>
      <c r="M681" s="120"/>
      <c r="N681" s="120"/>
      <c r="O681" s="120"/>
      <c r="P681" s="120"/>
      <c r="Q681" s="120"/>
    </row>
    <row r="682" spans="2:17" ht="15.5" customHeight="1" x14ac:dyDescent="0.35">
      <c r="B682" s="78" t="s">
        <v>558</v>
      </c>
      <c r="C682" s="85" t="s">
        <v>2</v>
      </c>
      <c r="D682" s="86" t="s">
        <v>559</v>
      </c>
      <c r="E682" s="86"/>
      <c r="F682" s="87"/>
      <c r="G682" s="73"/>
      <c r="H682" s="73"/>
      <c r="I682" s="152"/>
      <c r="J682" s="152"/>
      <c r="K682" s="152"/>
      <c r="L682" s="152"/>
      <c r="M682" s="152"/>
      <c r="N682" s="152"/>
      <c r="O682" s="152"/>
      <c r="P682" s="152"/>
      <c r="Q682" s="152"/>
    </row>
    <row r="683" spans="2:17" ht="15.5" customHeight="1" x14ac:dyDescent="0.35">
      <c r="B683" s="102"/>
      <c r="C683" s="15"/>
      <c r="D683" s="106" t="s">
        <v>149</v>
      </c>
      <c r="E683" s="106"/>
      <c r="F683" s="21"/>
      <c r="G683" s="15"/>
      <c r="H683" s="15"/>
      <c r="I683" s="120"/>
      <c r="J683" s="120"/>
      <c r="K683" s="120"/>
      <c r="L683" s="120"/>
      <c r="M683" s="120"/>
      <c r="N683" s="120"/>
      <c r="O683" s="120"/>
      <c r="P683" s="120"/>
      <c r="Q683" s="120"/>
    </row>
    <row r="684" spans="2:17" ht="15.5" customHeight="1" x14ac:dyDescent="0.35">
      <c r="B684" s="102">
        <v>45646</v>
      </c>
      <c r="C684" s="15">
        <v>1</v>
      </c>
      <c r="D684" s="63" t="s">
        <v>560</v>
      </c>
      <c r="E684" s="63"/>
      <c r="F684" s="21">
        <v>160000</v>
      </c>
      <c r="G684" s="15" t="s">
        <v>21</v>
      </c>
      <c r="H684" s="15">
        <v>1</v>
      </c>
      <c r="I684" s="61">
        <f>$H684*$F684</f>
        <v>160000</v>
      </c>
      <c r="J684" s="120"/>
      <c r="K684" s="120"/>
      <c r="L684" s="120"/>
      <c r="M684" s="120"/>
      <c r="N684" s="120"/>
      <c r="O684" s="120"/>
      <c r="P684" s="120"/>
      <c r="Q684" s="120"/>
    </row>
    <row r="685" spans="2:17" ht="15.5" customHeight="1" x14ac:dyDescent="0.35">
      <c r="B685" s="102">
        <v>45647</v>
      </c>
      <c r="C685" s="15">
        <v>2</v>
      </c>
      <c r="D685" s="63" t="s">
        <v>561</v>
      </c>
      <c r="E685" s="63"/>
      <c r="F685" s="21">
        <v>200000</v>
      </c>
      <c r="G685" s="15" t="s">
        <v>21</v>
      </c>
      <c r="H685" s="15">
        <v>1</v>
      </c>
      <c r="I685" s="61">
        <f>$H685*$F685</f>
        <v>200000</v>
      </c>
      <c r="J685" s="120"/>
      <c r="K685" s="120"/>
      <c r="L685" s="120"/>
      <c r="M685" s="120"/>
      <c r="N685" s="120"/>
      <c r="O685" s="120"/>
      <c r="P685" s="120"/>
      <c r="Q685" s="120"/>
    </row>
    <row r="686" spans="2:17" ht="15.5" customHeight="1" x14ac:dyDescent="0.35">
      <c r="B686" s="102">
        <v>45647</v>
      </c>
      <c r="C686" s="15">
        <v>3</v>
      </c>
      <c r="D686" s="63" t="s">
        <v>562</v>
      </c>
      <c r="E686" s="63"/>
      <c r="F686" s="21">
        <v>160000</v>
      </c>
      <c r="G686" s="15" t="s">
        <v>21</v>
      </c>
      <c r="H686" s="15">
        <v>1</v>
      </c>
      <c r="I686" s="61">
        <f>$H686*$F686</f>
        <v>160000</v>
      </c>
      <c r="J686" s="120"/>
      <c r="K686" s="120"/>
      <c r="L686" s="120"/>
      <c r="M686" s="120"/>
      <c r="N686" s="120"/>
      <c r="O686" s="120"/>
      <c r="P686" s="120"/>
      <c r="Q686" s="120"/>
    </row>
    <row r="687" spans="2:17" ht="15.5" customHeight="1" x14ac:dyDescent="0.35">
      <c r="B687" s="102"/>
      <c r="C687" s="15"/>
      <c r="D687" s="108" t="s">
        <v>168</v>
      </c>
      <c r="E687" s="108"/>
      <c r="F687" s="21"/>
      <c r="G687" s="15"/>
      <c r="H687" s="15"/>
      <c r="I687" s="120"/>
      <c r="J687" s="120"/>
      <c r="K687" s="120"/>
      <c r="L687" s="120"/>
      <c r="M687" s="120"/>
      <c r="N687" s="120"/>
      <c r="O687" s="120"/>
      <c r="P687" s="120"/>
      <c r="Q687" s="120"/>
    </row>
    <row r="688" spans="2:17" ht="15.5" customHeight="1" x14ac:dyDescent="0.35">
      <c r="B688" s="102">
        <v>45646</v>
      </c>
      <c r="C688" s="15">
        <v>4</v>
      </c>
      <c r="D688" s="63" t="s">
        <v>563</v>
      </c>
      <c r="E688" s="63"/>
      <c r="F688" s="21">
        <f>17000+124300+54285</f>
        <v>195585</v>
      </c>
      <c r="G688" s="15" t="s">
        <v>21</v>
      </c>
      <c r="H688" s="15">
        <v>1</v>
      </c>
      <c r="I688" s="120">
        <f>F688</f>
        <v>195585</v>
      </c>
      <c r="J688" s="120"/>
      <c r="K688" s="120"/>
      <c r="L688" s="120"/>
      <c r="M688" s="120"/>
      <c r="N688" s="120"/>
      <c r="O688" s="120"/>
      <c r="P688" s="120"/>
      <c r="Q688" s="120"/>
    </row>
    <row r="689" spans="2:17" ht="15.5" customHeight="1" x14ac:dyDescent="0.35">
      <c r="B689" s="102">
        <v>45647</v>
      </c>
      <c r="C689" s="15">
        <v>5</v>
      </c>
      <c r="D689" s="63" t="s">
        <v>563</v>
      </c>
      <c r="E689" s="63"/>
      <c r="F689" s="21">
        <f>190900+109000</f>
        <v>299900</v>
      </c>
      <c r="G689" s="15" t="s">
        <v>21</v>
      </c>
      <c r="H689" s="15">
        <v>1</v>
      </c>
      <c r="I689" s="120">
        <f>F689</f>
        <v>299900</v>
      </c>
      <c r="J689" s="120"/>
      <c r="K689" s="120"/>
      <c r="L689" s="120"/>
      <c r="M689" s="120"/>
      <c r="N689" s="120"/>
      <c r="O689" s="120"/>
      <c r="P689" s="120"/>
      <c r="Q689" s="120"/>
    </row>
    <row r="690" spans="2:17" ht="15.5" customHeight="1" x14ac:dyDescent="0.35">
      <c r="B690" s="102"/>
      <c r="C690" s="15"/>
      <c r="D690" s="108" t="s">
        <v>158</v>
      </c>
      <c r="E690" s="108"/>
      <c r="F690" s="21"/>
      <c r="G690" s="15"/>
      <c r="H690" s="15"/>
      <c r="I690" s="120"/>
      <c r="J690" s="120"/>
      <c r="K690" s="120"/>
      <c r="L690" s="120"/>
      <c r="M690" s="120"/>
      <c r="N690" s="120"/>
      <c r="O690" s="120"/>
      <c r="P690" s="120"/>
      <c r="Q690" s="120"/>
    </row>
    <row r="691" spans="2:17" ht="15.5" customHeight="1" x14ac:dyDescent="0.35">
      <c r="B691" s="102">
        <v>45650</v>
      </c>
      <c r="C691" s="15">
        <v>6</v>
      </c>
      <c r="D691" s="63" t="s">
        <v>564</v>
      </c>
      <c r="E691" s="63"/>
      <c r="F691" s="21">
        <v>4913283</v>
      </c>
      <c r="G691" s="15" t="s">
        <v>21</v>
      </c>
      <c r="H691" s="15">
        <v>1</v>
      </c>
      <c r="I691" s="120"/>
      <c r="J691" s="120"/>
      <c r="K691" s="120"/>
      <c r="L691" s="120"/>
      <c r="M691" s="120">
        <f>F691</f>
        <v>4913283</v>
      </c>
      <c r="N691" s="120"/>
      <c r="O691" s="120"/>
      <c r="P691" s="120"/>
      <c r="Q691" s="120"/>
    </row>
    <row r="692" spans="2:17" ht="15.5" customHeight="1" x14ac:dyDescent="0.35">
      <c r="B692" s="102"/>
      <c r="C692" s="15"/>
      <c r="D692" s="63" t="s">
        <v>280</v>
      </c>
      <c r="E692" s="63"/>
      <c r="F692" s="21"/>
      <c r="G692" s="15"/>
      <c r="H692" s="15"/>
      <c r="I692" s="120"/>
      <c r="J692" s="120"/>
      <c r="K692" s="120"/>
      <c r="L692" s="120"/>
      <c r="M692" s="120"/>
      <c r="N692" s="120"/>
      <c r="O692" s="120"/>
      <c r="P692" s="120"/>
      <c r="Q692" s="120"/>
    </row>
    <row r="693" spans="2:17" ht="15.5" customHeight="1" x14ac:dyDescent="0.35">
      <c r="B693" s="78" t="s">
        <v>565</v>
      </c>
      <c r="C693" s="73" t="s">
        <v>2</v>
      </c>
      <c r="D693" s="155" t="s">
        <v>566</v>
      </c>
      <c r="E693" s="155"/>
      <c r="F693" s="87"/>
      <c r="G693" s="73"/>
      <c r="H693" s="73"/>
      <c r="I693" s="152"/>
      <c r="J693" s="152"/>
      <c r="K693" s="152"/>
      <c r="L693" s="152"/>
      <c r="M693" s="152"/>
      <c r="N693" s="152"/>
      <c r="O693" s="152"/>
      <c r="P693" s="152"/>
      <c r="Q693" s="152"/>
    </row>
    <row r="694" spans="2:17" ht="15.5" customHeight="1" x14ac:dyDescent="0.35">
      <c r="B694" s="156"/>
      <c r="C694" s="15"/>
      <c r="D694" s="156" t="s">
        <v>486</v>
      </c>
      <c r="E694" s="156"/>
      <c r="F694" s="21"/>
      <c r="G694" s="15"/>
      <c r="H694" s="15"/>
      <c r="I694" s="120"/>
      <c r="J694" s="120"/>
      <c r="K694" s="120"/>
      <c r="L694" s="120"/>
      <c r="M694" s="120"/>
      <c r="N694" s="120"/>
      <c r="O694" s="120"/>
      <c r="P694" s="120"/>
      <c r="Q694" s="120"/>
    </row>
    <row r="695" spans="2:17" ht="15.5" customHeight="1" x14ac:dyDescent="0.35">
      <c r="B695" s="157">
        <v>45335</v>
      </c>
      <c r="C695" s="64">
        <v>1</v>
      </c>
      <c r="D695" s="158" t="s">
        <v>567</v>
      </c>
      <c r="E695" s="158"/>
      <c r="F695" s="159">
        <v>3629.8</v>
      </c>
      <c r="G695" s="64" t="s">
        <v>323</v>
      </c>
      <c r="H695" s="64">
        <v>3636.89</v>
      </c>
      <c r="I695" s="61">
        <f t="shared" ref="I695:I701" si="22">$H695*$F695</f>
        <v>13201183.322000001</v>
      </c>
      <c r="J695" s="120"/>
      <c r="K695" s="120"/>
      <c r="L695" s="120"/>
      <c r="M695" s="120"/>
      <c r="N695" s="120"/>
      <c r="O695" s="120"/>
      <c r="P695" s="120"/>
      <c r="Q695" s="120"/>
    </row>
    <row r="696" spans="2:17" ht="15.5" customHeight="1" x14ac:dyDescent="0.35">
      <c r="B696" s="157">
        <v>45362</v>
      </c>
      <c r="C696" s="64" t="s">
        <v>568</v>
      </c>
      <c r="D696" s="158" t="s">
        <v>569</v>
      </c>
      <c r="E696" s="158"/>
      <c r="F696" s="159">
        <v>200000</v>
      </c>
      <c r="G696" s="64" t="s">
        <v>21</v>
      </c>
      <c r="H696" s="64">
        <v>1</v>
      </c>
      <c r="I696" s="61">
        <f t="shared" si="22"/>
        <v>200000</v>
      </c>
      <c r="J696" s="120"/>
      <c r="K696" s="120"/>
      <c r="L696" s="120"/>
      <c r="M696" s="120"/>
      <c r="N696" s="120"/>
      <c r="O696" s="120"/>
      <c r="P696" s="120"/>
      <c r="Q696" s="120"/>
    </row>
    <row r="697" spans="2:17" ht="15.5" customHeight="1" x14ac:dyDescent="0.35">
      <c r="B697" s="157">
        <v>45362</v>
      </c>
      <c r="C697" s="64">
        <v>2</v>
      </c>
      <c r="D697" s="158" t="s">
        <v>570</v>
      </c>
      <c r="E697" s="158"/>
      <c r="F697" s="159">
        <v>1803353</v>
      </c>
      <c r="G697" s="64" t="s">
        <v>21</v>
      </c>
      <c r="H697" s="64">
        <v>1</v>
      </c>
      <c r="I697" s="61">
        <f t="shared" si="22"/>
        <v>1803353</v>
      </c>
      <c r="J697" s="120"/>
      <c r="K697" s="120"/>
      <c r="L697" s="120"/>
      <c r="M697" s="120"/>
      <c r="N697" s="120"/>
      <c r="O697" s="120"/>
      <c r="P697" s="120"/>
      <c r="Q697" s="120"/>
    </row>
    <row r="698" spans="2:17" ht="15.5" customHeight="1" x14ac:dyDescent="0.35">
      <c r="B698" s="157">
        <v>45362</v>
      </c>
      <c r="C698" s="64" t="s">
        <v>568</v>
      </c>
      <c r="D698" s="160" t="s">
        <v>571</v>
      </c>
      <c r="E698" s="160"/>
      <c r="F698" s="159">
        <v>50</v>
      </c>
      <c r="G698" s="64" t="s">
        <v>323</v>
      </c>
      <c r="H698" s="64">
        <f>H695</f>
        <v>3636.89</v>
      </c>
      <c r="I698" s="61">
        <f t="shared" si="22"/>
        <v>181844.5</v>
      </c>
      <c r="J698" s="120"/>
      <c r="K698" s="120"/>
      <c r="L698" s="120"/>
      <c r="M698" s="120"/>
      <c r="N698" s="120"/>
      <c r="O698" s="120"/>
      <c r="P698" s="120"/>
      <c r="Q698" s="120"/>
    </row>
    <row r="699" spans="2:17" ht="15.5" customHeight="1" x14ac:dyDescent="0.35">
      <c r="B699" s="157">
        <v>45363</v>
      </c>
      <c r="C699" s="64">
        <v>3</v>
      </c>
      <c r="D699" s="160" t="s">
        <v>572</v>
      </c>
      <c r="E699" s="160"/>
      <c r="F699" s="159">
        <v>1897983</v>
      </c>
      <c r="G699" s="64" t="s">
        <v>21</v>
      </c>
      <c r="H699" s="64">
        <v>1</v>
      </c>
      <c r="I699" s="61">
        <f t="shared" si="22"/>
        <v>1897983</v>
      </c>
      <c r="J699" s="120"/>
      <c r="K699" s="120"/>
      <c r="L699" s="120"/>
      <c r="M699" s="120"/>
      <c r="N699" s="120"/>
      <c r="O699" s="120"/>
      <c r="P699" s="120"/>
      <c r="Q699" s="120"/>
    </row>
    <row r="700" spans="2:17" ht="15.5" customHeight="1" x14ac:dyDescent="0.35">
      <c r="B700" s="157">
        <v>45363</v>
      </c>
      <c r="C700" s="64" t="s">
        <v>568</v>
      </c>
      <c r="D700" s="158" t="s">
        <v>573</v>
      </c>
      <c r="E700" s="158"/>
      <c r="F700" s="159">
        <v>50</v>
      </c>
      <c r="G700" s="64" t="s">
        <v>323</v>
      </c>
      <c r="H700" s="64">
        <f>H695</f>
        <v>3636.89</v>
      </c>
      <c r="I700" s="61">
        <f t="shared" si="22"/>
        <v>181844.5</v>
      </c>
      <c r="J700" s="120"/>
      <c r="K700" s="120"/>
      <c r="L700" s="120"/>
      <c r="M700" s="120"/>
      <c r="N700" s="120"/>
      <c r="O700" s="120"/>
      <c r="P700" s="120"/>
      <c r="Q700" s="120"/>
    </row>
    <row r="701" spans="2:17" ht="15.5" customHeight="1" x14ac:dyDescent="0.35">
      <c r="B701" s="157">
        <v>45363</v>
      </c>
      <c r="C701" s="64" t="s">
        <v>568</v>
      </c>
      <c r="D701" s="158" t="s">
        <v>574</v>
      </c>
      <c r="E701" s="158"/>
      <c r="F701" s="159">
        <v>200000</v>
      </c>
      <c r="G701" s="64" t="s">
        <v>21</v>
      </c>
      <c r="H701" s="64">
        <v>1</v>
      </c>
      <c r="I701" s="61">
        <f t="shared" si="22"/>
        <v>200000</v>
      </c>
      <c r="J701" s="120"/>
      <c r="K701" s="120"/>
      <c r="L701" s="120"/>
      <c r="M701" s="120"/>
      <c r="N701" s="120"/>
      <c r="O701" s="120"/>
      <c r="P701" s="120"/>
      <c r="Q701" s="120"/>
    </row>
    <row r="702" spans="2:17" ht="15.5" customHeight="1" x14ac:dyDescent="0.35">
      <c r="B702" s="157">
        <v>45363</v>
      </c>
      <c r="C702" s="64" t="s">
        <v>568</v>
      </c>
      <c r="D702" s="160" t="s">
        <v>575</v>
      </c>
      <c r="E702" s="160"/>
      <c r="F702" s="159">
        <v>600000</v>
      </c>
      <c r="G702" s="64" t="s">
        <v>21</v>
      </c>
      <c r="H702" s="64">
        <v>1</v>
      </c>
      <c r="I702" s="120">
        <f>F702</f>
        <v>600000</v>
      </c>
      <c r="J702" s="120"/>
      <c r="K702" s="120"/>
      <c r="L702" s="120"/>
      <c r="M702" s="120"/>
      <c r="N702" s="120"/>
      <c r="O702" s="120"/>
      <c r="P702" s="120"/>
      <c r="Q702" s="120"/>
    </row>
    <row r="703" spans="2:17" ht="15.5" customHeight="1" x14ac:dyDescent="0.35">
      <c r="B703" s="156"/>
      <c r="C703" s="64"/>
      <c r="D703" s="156" t="s">
        <v>486</v>
      </c>
      <c r="E703" s="156"/>
      <c r="F703" s="159"/>
      <c r="G703" s="64"/>
      <c r="H703" s="64"/>
      <c r="I703" s="120"/>
      <c r="J703" s="120"/>
      <c r="K703" s="120"/>
      <c r="L703" s="120"/>
      <c r="M703" s="120"/>
      <c r="N703" s="120"/>
      <c r="O703" s="120"/>
      <c r="P703" s="120"/>
      <c r="Q703" s="120"/>
    </row>
    <row r="704" spans="2:17" ht="15.5" customHeight="1" x14ac:dyDescent="0.35">
      <c r="B704" s="161">
        <v>45404</v>
      </c>
      <c r="C704" s="64" t="s">
        <v>568</v>
      </c>
      <c r="D704" s="158" t="s">
        <v>576</v>
      </c>
      <c r="E704" s="158"/>
      <c r="F704" s="159">
        <v>3000000</v>
      </c>
      <c r="G704" s="64" t="s">
        <v>21</v>
      </c>
      <c r="H704" s="64">
        <v>1</v>
      </c>
      <c r="I704" s="61">
        <f>$H704*$F704</f>
        <v>3000000</v>
      </c>
      <c r="J704" s="120"/>
      <c r="K704" s="120"/>
      <c r="L704" s="120"/>
      <c r="M704" s="120"/>
      <c r="N704" s="120"/>
      <c r="O704" s="120"/>
      <c r="P704" s="120"/>
      <c r="Q704" s="120"/>
    </row>
    <row r="705" spans="2:17" ht="15.5" customHeight="1" x14ac:dyDescent="0.35">
      <c r="B705" s="157">
        <v>45405</v>
      </c>
      <c r="C705" s="64" t="s">
        <v>568</v>
      </c>
      <c r="D705" s="158" t="s">
        <v>577</v>
      </c>
      <c r="E705" s="158"/>
      <c r="F705" s="159">
        <v>3000000</v>
      </c>
      <c r="G705" s="64" t="s">
        <v>21</v>
      </c>
      <c r="H705" s="64">
        <v>1</v>
      </c>
      <c r="I705" s="120">
        <f>F705</f>
        <v>3000000</v>
      </c>
      <c r="J705" s="120"/>
      <c r="K705" s="120"/>
      <c r="L705" s="120"/>
      <c r="M705" s="120"/>
      <c r="N705" s="120"/>
      <c r="O705" s="120"/>
      <c r="P705" s="120"/>
      <c r="Q705" s="120"/>
    </row>
    <row r="706" spans="2:17" ht="15.5" customHeight="1" x14ac:dyDescent="0.35">
      <c r="B706" s="157">
        <v>45405</v>
      </c>
      <c r="C706" s="64" t="s">
        <v>568</v>
      </c>
      <c r="D706" s="160" t="s">
        <v>578</v>
      </c>
      <c r="E706" s="160"/>
      <c r="F706" s="159">
        <v>300000</v>
      </c>
      <c r="G706" s="64" t="s">
        <v>21</v>
      </c>
      <c r="H706" s="64">
        <v>1</v>
      </c>
      <c r="I706" s="120">
        <f>F706</f>
        <v>300000</v>
      </c>
      <c r="J706" s="120"/>
      <c r="K706" s="120"/>
      <c r="L706" s="120"/>
      <c r="M706" s="120"/>
      <c r="N706" s="120"/>
      <c r="O706" s="120"/>
      <c r="P706" s="120"/>
      <c r="Q706" s="120"/>
    </row>
    <row r="707" spans="2:17" ht="15.5" customHeight="1" x14ac:dyDescent="0.35">
      <c r="B707" s="156"/>
      <c r="C707" s="64"/>
      <c r="D707" s="156" t="s">
        <v>486</v>
      </c>
      <c r="E707" s="156"/>
      <c r="F707" s="159"/>
      <c r="G707" s="64"/>
      <c r="H707" s="64"/>
      <c r="I707" s="120"/>
      <c r="J707" s="120"/>
      <c r="K707" s="120"/>
      <c r="L707" s="120"/>
      <c r="M707" s="120"/>
      <c r="N707" s="120"/>
      <c r="O707" s="120"/>
      <c r="P707" s="120"/>
      <c r="Q707" s="120"/>
    </row>
    <row r="708" spans="2:17" ht="15.5" customHeight="1" x14ac:dyDescent="0.35">
      <c r="B708" s="157">
        <v>45412</v>
      </c>
      <c r="C708" s="64" t="s">
        <v>568</v>
      </c>
      <c r="D708" s="158" t="s">
        <v>579</v>
      </c>
      <c r="E708" s="158"/>
      <c r="F708" s="159">
        <v>3000000</v>
      </c>
      <c r="G708" s="64" t="s">
        <v>21</v>
      </c>
      <c r="H708" s="64">
        <v>1</v>
      </c>
      <c r="I708" s="61">
        <f>$H708*$F708</f>
        <v>3000000</v>
      </c>
      <c r="J708" s="120"/>
      <c r="K708" s="120"/>
      <c r="L708" s="120"/>
      <c r="M708" s="120"/>
      <c r="N708" s="120"/>
      <c r="O708" s="120"/>
      <c r="P708" s="120"/>
      <c r="Q708" s="120"/>
    </row>
    <row r="709" spans="2:17" ht="15.5" customHeight="1" x14ac:dyDescent="0.35">
      <c r="B709" s="156"/>
      <c r="C709" s="64"/>
      <c r="D709" s="156" t="s">
        <v>299</v>
      </c>
      <c r="E709" s="156"/>
      <c r="F709" s="159"/>
      <c r="G709" s="64"/>
      <c r="H709" s="64"/>
      <c r="I709" s="120"/>
      <c r="J709" s="120"/>
      <c r="K709" s="120"/>
      <c r="L709" s="120"/>
      <c r="M709" s="120"/>
      <c r="N709" s="120"/>
      <c r="O709" s="120"/>
      <c r="P709" s="120"/>
      <c r="Q709" s="120"/>
    </row>
    <row r="710" spans="2:17" ht="15.5" customHeight="1" x14ac:dyDescent="0.35">
      <c r="B710" s="161">
        <v>45646</v>
      </c>
      <c r="C710" s="64" t="s">
        <v>568</v>
      </c>
      <c r="D710" s="158" t="s">
        <v>580</v>
      </c>
      <c r="E710" s="158"/>
      <c r="F710" s="159">
        <v>100000</v>
      </c>
      <c r="G710" s="64" t="s">
        <v>21</v>
      </c>
      <c r="H710" s="64">
        <v>1</v>
      </c>
      <c r="I710" s="61">
        <f>$H710*$F710</f>
        <v>100000</v>
      </c>
      <c r="J710" s="120"/>
      <c r="K710" s="120"/>
      <c r="L710" s="120"/>
      <c r="M710" s="120"/>
      <c r="N710" s="120"/>
      <c r="O710" s="120"/>
      <c r="P710" s="120"/>
      <c r="Q710" s="120"/>
    </row>
    <row r="711" spans="2:17" ht="15.5" customHeight="1" x14ac:dyDescent="0.35">
      <c r="B711" s="161">
        <v>45646</v>
      </c>
      <c r="C711" s="64" t="s">
        <v>568</v>
      </c>
      <c r="D711" s="158" t="s">
        <v>581</v>
      </c>
      <c r="E711" s="158"/>
      <c r="F711" s="159">
        <v>400000</v>
      </c>
      <c r="G711" s="64" t="s">
        <v>21</v>
      </c>
      <c r="H711" s="64">
        <v>1</v>
      </c>
      <c r="I711" s="61">
        <f>$H711*$F711</f>
        <v>400000</v>
      </c>
      <c r="J711" s="120"/>
      <c r="K711" s="120"/>
      <c r="L711" s="120"/>
      <c r="M711" s="120"/>
      <c r="N711" s="120"/>
      <c r="O711" s="120"/>
      <c r="P711" s="120"/>
      <c r="Q711" s="120"/>
    </row>
    <row r="712" spans="2:17" ht="15.5" customHeight="1" x14ac:dyDescent="0.35">
      <c r="B712" s="161">
        <v>45647</v>
      </c>
      <c r="C712" s="64">
        <v>4</v>
      </c>
      <c r="D712" s="160" t="s">
        <v>582</v>
      </c>
      <c r="E712" s="160"/>
      <c r="F712" s="159">
        <v>784000</v>
      </c>
      <c r="G712" s="64" t="s">
        <v>21</v>
      </c>
      <c r="H712" s="64">
        <v>1</v>
      </c>
      <c r="I712" s="120">
        <f>F712</f>
        <v>784000</v>
      </c>
      <c r="J712" s="120"/>
      <c r="K712" s="120"/>
      <c r="L712" s="120"/>
      <c r="M712" s="120"/>
      <c r="N712" s="120"/>
      <c r="O712" s="120"/>
      <c r="P712" s="120"/>
      <c r="Q712" s="120"/>
    </row>
    <row r="713" spans="2:17" ht="15.5" customHeight="1" x14ac:dyDescent="0.35">
      <c r="B713" s="161">
        <v>45647</v>
      </c>
      <c r="C713" s="64" t="s">
        <v>568</v>
      </c>
      <c r="D713" s="160" t="s">
        <v>583</v>
      </c>
      <c r="E713" s="160"/>
      <c r="F713" s="159">
        <v>100000</v>
      </c>
      <c r="G713" s="64" t="s">
        <v>21</v>
      </c>
      <c r="H713" s="64">
        <v>1</v>
      </c>
      <c r="I713" s="61">
        <f>$H713*$F713</f>
        <v>100000</v>
      </c>
      <c r="J713" s="120"/>
      <c r="K713" s="120"/>
      <c r="L713" s="120"/>
      <c r="M713" s="120"/>
      <c r="N713" s="120"/>
      <c r="O713" s="120"/>
      <c r="P713" s="120"/>
      <c r="Q713" s="120"/>
    </row>
    <row r="714" spans="2:17" ht="15.5" customHeight="1" x14ac:dyDescent="0.35">
      <c r="B714" s="161">
        <v>45647</v>
      </c>
      <c r="C714" s="64" t="s">
        <v>568</v>
      </c>
      <c r="D714" s="160" t="s">
        <v>578</v>
      </c>
      <c r="E714" s="160"/>
      <c r="F714" s="159">
        <v>300000</v>
      </c>
      <c r="G714" s="64" t="s">
        <v>21</v>
      </c>
      <c r="H714" s="64">
        <v>1</v>
      </c>
      <c r="I714" s="120">
        <f>F714</f>
        <v>300000</v>
      </c>
      <c r="J714" s="120"/>
      <c r="K714" s="120"/>
      <c r="L714" s="120"/>
      <c r="M714" s="120"/>
      <c r="N714" s="120"/>
      <c r="O714" s="120"/>
      <c r="P714" s="120"/>
      <c r="Q714" s="120"/>
    </row>
    <row r="715" spans="2:17" ht="15.5" customHeight="1" x14ac:dyDescent="0.35">
      <c r="B715" s="156"/>
      <c r="C715" s="64"/>
      <c r="D715" s="156" t="s">
        <v>584</v>
      </c>
      <c r="E715" s="156"/>
      <c r="F715" s="159"/>
      <c r="G715" s="64"/>
      <c r="H715" s="64"/>
      <c r="I715" s="120"/>
      <c r="J715" s="120"/>
      <c r="K715" s="120"/>
      <c r="L715" s="120"/>
      <c r="M715" s="120"/>
      <c r="N715" s="120"/>
      <c r="O715" s="120"/>
      <c r="P715" s="120"/>
      <c r="Q715" s="120"/>
    </row>
    <row r="716" spans="2:17" ht="15.5" customHeight="1" x14ac:dyDescent="0.35">
      <c r="B716" s="161">
        <v>44789</v>
      </c>
      <c r="C716" s="64">
        <v>5</v>
      </c>
      <c r="D716" s="158" t="s">
        <v>585</v>
      </c>
      <c r="E716" s="158"/>
      <c r="F716" s="159">
        <v>184182</v>
      </c>
      <c r="G716" s="64" t="s">
        <v>21</v>
      </c>
      <c r="H716" s="64">
        <v>1</v>
      </c>
      <c r="I716" s="120"/>
      <c r="J716" s="120"/>
      <c r="K716" s="120"/>
      <c r="L716" s="120"/>
      <c r="M716" s="120">
        <f t="shared" ref="M716:M737" si="23">F716</f>
        <v>184182</v>
      </c>
      <c r="N716" s="120"/>
      <c r="O716" s="120"/>
      <c r="P716" s="120"/>
      <c r="Q716" s="120"/>
    </row>
    <row r="717" spans="2:17" ht="15.5" customHeight="1" x14ac:dyDescent="0.35">
      <c r="B717" s="161">
        <v>44820</v>
      </c>
      <c r="C717" s="64">
        <v>6</v>
      </c>
      <c r="D717" s="158" t="s">
        <v>586</v>
      </c>
      <c r="E717" s="158"/>
      <c r="F717" s="159">
        <f>107437*1</f>
        <v>107437</v>
      </c>
      <c r="G717" s="64" t="s">
        <v>21</v>
      </c>
      <c r="H717" s="64">
        <v>1</v>
      </c>
      <c r="I717" s="120"/>
      <c r="J717" s="120"/>
      <c r="K717" s="120"/>
      <c r="L717" s="120"/>
      <c r="M717" s="120">
        <f t="shared" si="23"/>
        <v>107437</v>
      </c>
      <c r="N717" s="120"/>
      <c r="O717" s="120"/>
      <c r="P717" s="120"/>
      <c r="Q717" s="120"/>
    </row>
    <row r="718" spans="2:17" ht="15.5" customHeight="1" x14ac:dyDescent="0.35">
      <c r="B718" s="161">
        <v>44850</v>
      </c>
      <c r="C718" s="64">
        <v>7</v>
      </c>
      <c r="D718" s="158" t="s">
        <v>586</v>
      </c>
      <c r="E718" s="158"/>
      <c r="F718" s="159">
        <v>177258</v>
      </c>
      <c r="G718" s="64" t="s">
        <v>21</v>
      </c>
      <c r="H718" s="64">
        <v>1</v>
      </c>
      <c r="I718" s="120"/>
      <c r="J718" s="120"/>
      <c r="K718" s="120"/>
      <c r="L718" s="120"/>
      <c r="M718" s="120">
        <f t="shared" si="23"/>
        <v>177258</v>
      </c>
      <c r="N718" s="120"/>
      <c r="O718" s="120"/>
      <c r="P718" s="120"/>
      <c r="Q718" s="120"/>
    </row>
    <row r="719" spans="2:17" ht="15.5" customHeight="1" x14ac:dyDescent="0.35">
      <c r="B719" s="161">
        <v>44881</v>
      </c>
      <c r="C719" s="64">
        <v>8</v>
      </c>
      <c r="D719" s="158" t="s">
        <v>586</v>
      </c>
      <c r="E719" s="158"/>
      <c r="F719" s="159">
        <v>214896</v>
      </c>
      <c r="G719" s="64" t="s">
        <v>21</v>
      </c>
      <c r="H719" s="64">
        <v>1</v>
      </c>
      <c r="I719" s="120"/>
      <c r="J719" s="120"/>
      <c r="K719" s="120"/>
      <c r="L719" s="120"/>
      <c r="M719" s="120">
        <f t="shared" si="23"/>
        <v>214896</v>
      </c>
      <c r="N719" s="120"/>
      <c r="O719" s="120"/>
      <c r="P719" s="120"/>
      <c r="Q719" s="120"/>
    </row>
    <row r="720" spans="2:17" ht="15.5" customHeight="1" x14ac:dyDescent="0.35">
      <c r="B720" s="161">
        <v>44911</v>
      </c>
      <c r="C720" s="64">
        <v>9</v>
      </c>
      <c r="D720" s="158" t="s">
        <v>586</v>
      </c>
      <c r="E720" s="158"/>
      <c r="F720" s="159">
        <v>214896</v>
      </c>
      <c r="G720" s="64" t="s">
        <v>21</v>
      </c>
      <c r="H720" s="64">
        <v>1</v>
      </c>
      <c r="I720" s="120"/>
      <c r="J720" s="120"/>
      <c r="K720" s="120"/>
      <c r="L720" s="120"/>
      <c r="M720" s="120">
        <f t="shared" si="23"/>
        <v>214896</v>
      </c>
      <c r="N720" s="120"/>
      <c r="O720" s="120"/>
      <c r="P720" s="120"/>
      <c r="Q720" s="120"/>
    </row>
    <row r="721" spans="2:17" ht="15.5" customHeight="1" x14ac:dyDescent="0.35">
      <c r="B721" s="161">
        <v>44942</v>
      </c>
      <c r="C721" s="64">
        <v>10</v>
      </c>
      <c r="D721" s="158" t="s">
        <v>586</v>
      </c>
      <c r="E721" s="158"/>
      <c r="F721" s="159">
        <v>214896</v>
      </c>
      <c r="G721" s="64" t="s">
        <v>21</v>
      </c>
      <c r="H721" s="64">
        <v>1</v>
      </c>
      <c r="I721" s="120"/>
      <c r="J721" s="120"/>
      <c r="K721" s="120"/>
      <c r="L721" s="120"/>
      <c r="M721" s="120">
        <f t="shared" si="23"/>
        <v>214896</v>
      </c>
      <c r="N721" s="120"/>
      <c r="O721" s="120"/>
      <c r="P721" s="120"/>
      <c r="Q721" s="120"/>
    </row>
    <row r="722" spans="2:17" ht="15.5" customHeight="1" x14ac:dyDescent="0.35">
      <c r="B722" s="161">
        <v>44973</v>
      </c>
      <c r="C722" s="64">
        <v>11</v>
      </c>
      <c r="D722" s="158" t="s">
        <v>586</v>
      </c>
      <c r="E722" s="158"/>
      <c r="F722" s="159">
        <v>214896</v>
      </c>
      <c r="G722" s="64" t="s">
        <v>21</v>
      </c>
      <c r="H722" s="64">
        <v>1</v>
      </c>
      <c r="I722" s="120"/>
      <c r="J722" s="120"/>
      <c r="K722" s="120"/>
      <c r="L722" s="120"/>
      <c r="M722" s="120">
        <f t="shared" si="23"/>
        <v>214896</v>
      </c>
      <c r="N722" s="120"/>
      <c r="O722" s="120"/>
      <c r="P722" s="120"/>
      <c r="Q722" s="120"/>
    </row>
    <row r="723" spans="2:17" ht="15.5" customHeight="1" x14ac:dyDescent="0.35">
      <c r="B723" s="161">
        <v>45001</v>
      </c>
      <c r="C723" s="64">
        <v>12</v>
      </c>
      <c r="D723" s="158" t="s">
        <v>586</v>
      </c>
      <c r="E723" s="158"/>
      <c r="F723" s="159">
        <v>214896</v>
      </c>
      <c r="G723" s="64" t="s">
        <v>21</v>
      </c>
      <c r="H723" s="64">
        <v>1</v>
      </c>
      <c r="I723" s="120"/>
      <c r="J723" s="120"/>
      <c r="K723" s="120"/>
      <c r="L723" s="120"/>
      <c r="M723" s="120">
        <f t="shared" si="23"/>
        <v>214896</v>
      </c>
      <c r="N723" s="120"/>
      <c r="O723" s="120"/>
      <c r="P723" s="120"/>
      <c r="Q723" s="120"/>
    </row>
    <row r="724" spans="2:17" ht="15.5" customHeight="1" x14ac:dyDescent="0.35">
      <c r="B724" s="161">
        <v>45032</v>
      </c>
      <c r="C724" s="64">
        <v>13</v>
      </c>
      <c r="D724" s="158" t="s">
        <v>586</v>
      </c>
      <c r="E724" s="158"/>
      <c r="F724" s="159">
        <v>214896</v>
      </c>
      <c r="G724" s="64" t="s">
        <v>21</v>
      </c>
      <c r="H724" s="64">
        <v>1</v>
      </c>
      <c r="I724" s="120"/>
      <c r="J724" s="120"/>
      <c r="K724" s="120"/>
      <c r="L724" s="120"/>
      <c r="M724" s="120">
        <f t="shared" si="23"/>
        <v>214896</v>
      </c>
      <c r="N724" s="120"/>
      <c r="O724" s="120"/>
      <c r="P724" s="120"/>
      <c r="Q724" s="120"/>
    </row>
    <row r="725" spans="2:17" ht="15.5" customHeight="1" x14ac:dyDescent="0.35">
      <c r="B725" s="161">
        <v>45062</v>
      </c>
      <c r="C725" s="64">
        <v>14</v>
      </c>
      <c r="D725" s="158" t="s">
        <v>586</v>
      </c>
      <c r="E725" s="158"/>
      <c r="F725" s="159">
        <v>214896</v>
      </c>
      <c r="G725" s="64" t="s">
        <v>21</v>
      </c>
      <c r="H725" s="64">
        <v>1</v>
      </c>
      <c r="I725" s="120"/>
      <c r="J725" s="120"/>
      <c r="K725" s="120"/>
      <c r="L725" s="120"/>
      <c r="M725" s="120">
        <f t="shared" si="23"/>
        <v>214896</v>
      </c>
      <c r="N725" s="120"/>
      <c r="O725" s="120"/>
      <c r="P725" s="120"/>
      <c r="Q725" s="120"/>
    </row>
    <row r="726" spans="2:17" ht="15.5" customHeight="1" x14ac:dyDescent="0.35">
      <c r="B726" s="161">
        <v>45093</v>
      </c>
      <c r="C726" s="64">
        <v>15</v>
      </c>
      <c r="D726" s="158" t="s">
        <v>586</v>
      </c>
      <c r="E726" s="158"/>
      <c r="F726" s="159">
        <v>214896</v>
      </c>
      <c r="G726" s="64" t="s">
        <v>21</v>
      </c>
      <c r="H726" s="64">
        <v>1</v>
      </c>
      <c r="I726" s="120"/>
      <c r="J726" s="120"/>
      <c r="K726" s="120"/>
      <c r="L726" s="120"/>
      <c r="M726" s="120">
        <f t="shared" si="23"/>
        <v>214896</v>
      </c>
      <c r="N726" s="120"/>
      <c r="O726" s="120"/>
      <c r="P726" s="120"/>
      <c r="Q726" s="120"/>
    </row>
    <row r="727" spans="2:17" ht="15.5" customHeight="1" x14ac:dyDescent="0.35">
      <c r="B727" s="161">
        <v>45123</v>
      </c>
      <c r="C727" s="64">
        <v>16</v>
      </c>
      <c r="D727" s="158" t="s">
        <v>586</v>
      </c>
      <c r="E727" s="158"/>
      <c r="F727" s="159">
        <v>214896</v>
      </c>
      <c r="G727" s="64" t="s">
        <v>21</v>
      </c>
      <c r="H727" s="64">
        <v>1</v>
      </c>
      <c r="I727" s="120"/>
      <c r="J727" s="120"/>
      <c r="K727" s="120"/>
      <c r="L727" s="120"/>
      <c r="M727" s="120">
        <f t="shared" si="23"/>
        <v>214896</v>
      </c>
      <c r="N727" s="120"/>
      <c r="O727" s="120"/>
      <c r="P727" s="120"/>
      <c r="Q727" s="120"/>
    </row>
    <row r="728" spans="2:17" ht="15.5" customHeight="1" x14ac:dyDescent="0.35">
      <c r="B728" s="161">
        <v>45154</v>
      </c>
      <c r="C728" s="64">
        <v>17</v>
      </c>
      <c r="D728" s="158" t="s">
        <v>587</v>
      </c>
      <c r="E728" s="158"/>
      <c r="F728" s="159">
        <v>399078</v>
      </c>
      <c r="G728" s="64" t="s">
        <v>21</v>
      </c>
      <c r="H728" s="64">
        <v>1</v>
      </c>
      <c r="I728" s="120"/>
      <c r="J728" s="120"/>
      <c r="K728" s="120"/>
      <c r="L728" s="120"/>
      <c r="M728" s="120">
        <f t="shared" si="23"/>
        <v>399078</v>
      </c>
      <c r="N728" s="120"/>
      <c r="O728" s="120"/>
      <c r="P728" s="120"/>
      <c r="Q728" s="120"/>
    </row>
    <row r="729" spans="2:17" ht="15.5" customHeight="1" x14ac:dyDescent="0.35">
      <c r="B729" s="161">
        <v>45185</v>
      </c>
      <c r="C729" s="64">
        <v>18</v>
      </c>
      <c r="D729" s="158" t="s">
        <v>586</v>
      </c>
      <c r="E729" s="158"/>
      <c r="F729" s="159">
        <v>214896</v>
      </c>
      <c r="G729" s="64" t="s">
        <v>21</v>
      </c>
      <c r="H729" s="64">
        <v>1</v>
      </c>
      <c r="I729" s="120"/>
      <c r="J729" s="120"/>
      <c r="K729" s="120"/>
      <c r="L729" s="120"/>
      <c r="M729" s="120">
        <f t="shared" si="23"/>
        <v>214896</v>
      </c>
      <c r="N729" s="120"/>
      <c r="O729" s="120"/>
      <c r="P729" s="120"/>
      <c r="Q729" s="120"/>
    </row>
    <row r="730" spans="2:17" ht="15.5" customHeight="1" x14ac:dyDescent="0.35">
      <c r="B730" s="161">
        <v>45215</v>
      </c>
      <c r="C730" s="64">
        <v>19</v>
      </c>
      <c r="D730" s="158" t="s">
        <v>586</v>
      </c>
      <c r="E730" s="158"/>
      <c r="F730" s="159">
        <v>306982</v>
      </c>
      <c r="G730" s="64" t="s">
        <v>21</v>
      </c>
      <c r="H730" s="64">
        <v>1</v>
      </c>
      <c r="I730" s="120"/>
      <c r="J730" s="120"/>
      <c r="K730" s="120"/>
      <c r="L730" s="120"/>
      <c r="M730" s="120">
        <f t="shared" si="23"/>
        <v>306982</v>
      </c>
      <c r="N730" s="120"/>
      <c r="O730" s="120"/>
      <c r="P730" s="120"/>
      <c r="Q730" s="120"/>
    </row>
    <row r="731" spans="2:17" ht="15.5" customHeight="1" x14ac:dyDescent="0.35">
      <c r="B731" s="161">
        <v>45246</v>
      </c>
      <c r="C731" s="64">
        <v>20</v>
      </c>
      <c r="D731" s="158" t="s">
        <v>586</v>
      </c>
      <c r="E731" s="158"/>
      <c r="F731" s="159">
        <v>306982</v>
      </c>
      <c r="G731" s="64" t="s">
        <v>21</v>
      </c>
      <c r="H731" s="64">
        <v>1</v>
      </c>
      <c r="I731" s="120"/>
      <c r="J731" s="120"/>
      <c r="K731" s="120"/>
      <c r="L731" s="120"/>
      <c r="M731" s="120">
        <f t="shared" si="23"/>
        <v>306982</v>
      </c>
      <c r="N731" s="120"/>
      <c r="O731" s="120"/>
      <c r="P731" s="120"/>
      <c r="Q731" s="120"/>
    </row>
    <row r="732" spans="2:17" ht="15.5" customHeight="1" x14ac:dyDescent="0.35">
      <c r="B732" s="161">
        <v>45276</v>
      </c>
      <c r="C732" s="64">
        <v>21</v>
      </c>
      <c r="D732" s="158" t="s">
        <v>586</v>
      </c>
      <c r="E732" s="158"/>
      <c r="F732" s="159">
        <v>306982</v>
      </c>
      <c r="G732" s="64" t="s">
        <v>21</v>
      </c>
      <c r="H732" s="64">
        <v>1</v>
      </c>
      <c r="I732" s="120"/>
      <c r="J732" s="120"/>
      <c r="K732" s="120"/>
      <c r="L732" s="120"/>
      <c r="M732" s="120">
        <f t="shared" si="23"/>
        <v>306982</v>
      </c>
      <c r="N732" s="120"/>
      <c r="O732" s="120"/>
      <c r="P732" s="120"/>
      <c r="Q732" s="120"/>
    </row>
    <row r="733" spans="2:17" ht="15.5" customHeight="1" x14ac:dyDescent="0.35">
      <c r="B733" s="161">
        <v>45307</v>
      </c>
      <c r="C733" s="64">
        <v>22</v>
      </c>
      <c r="D733" s="158" t="s">
        <v>586</v>
      </c>
      <c r="E733" s="158"/>
      <c r="F733" s="159">
        <v>306982</v>
      </c>
      <c r="G733" s="64" t="s">
        <v>21</v>
      </c>
      <c r="H733" s="64">
        <v>1</v>
      </c>
      <c r="I733" s="120"/>
      <c r="J733" s="120"/>
      <c r="K733" s="120"/>
      <c r="L733" s="120"/>
      <c r="M733" s="120">
        <f t="shared" si="23"/>
        <v>306982</v>
      </c>
      <c r="N733" s="120"/>
      <c r="O733" s="120"/>
      <c r="P733" s="120"/>
      <c r="Q733" s="120"/>
    </row>
    <row r="734" spans="2:17" ht="15.5" customHeight="1" x14ac:dyDescent="0.35">
      <c r="B734" s="161">
        <v>45338</v>
      </c>
      <c r="C734" s="64">
        <v>23</v>
      </c>
      <c r="D734" s="158" t="s">
        <v>586</v>
      </c>
      <c r="E734" s="158"/>
      <c r="F734" s="159">
        <v>306982</v>
      </c>
      <c r="G734" s="64" t="s">
        <v>21</v>
      </c>
      <c r="H734" s="64">
        <v>1</v>
      </c>
      <c r="I734" s="120"/>
      <c r="J734" s="120"/>
      <c r="K734" s="120"/>
      <c r="L734" s="120"/>
      <c r="M734" s="120">
        <f t="shared" si="23"/>
        <v>306982</v>
      </c>
      <c r="N734" s="120"/>
      <c r="O734" s="120"/>
      <c r="P734" s="120"/>
      <c r="Q734" s="120"/>
    </row>
    <row r="735" spans="2:17" ht="15.5" customHeight="1" x14ac:dyDescent="0.35">
      <c r="B735" s="161">
        <v>45367</v>
      </c>
      <c r="C735" s="64">
        <v>24</v>
      </c>
      <c r="D735" s="158" t="s">
        <v>586</v>
      </c>
      <c r="E735" s="158"/>
      <c r="F735" s="159">
        <v>306982</v>
      </c>
      <c r="G735" s="64" t="s">
        <v>21</v>
      </c>
      <c r="H735" s="64">
        <v>1</v>
      </c>
      <c r="I735" s="120"/>
      <c r="J735" s="120"/>
      <c r="K735" s="120"/>
      <c r="L735" s="120"/>
      <c r="M735" s="120">
        <f t="shared" si="23"/>
        <v>306982</v>
      </c>
      <c r="N735" s="120"/>
      <c r="O735" s="120"/>
      <c r="P735" s="120"/>
      <c r="Q735" s="120"/>
    </row>
    <row r="736" spans="2:17" ht="15.5" customHeight="1" x14ac:dyDescent="0.35">
      <c r="B736" s="161">
        <v>45398</v>
      </c>
      <c r="C736" s="64">
        <v>25</v>
      </c>
      <c r="D736" s="158" t="s">
        <v>586</v>
      </c>
      <c r="E736" s="158"/>
      <c r="F736" s="159">
        <v>306982</v>
      </c>
      <c r="G736" s="64" t="s">
        <v>21</v>
      </c>
      <c r="H736" s="64">
        <v>1</v>
      </c>
      <c r="I736" s="120"/>
      <c r="J736" s="120"/>
      <c r="K736" s="120"/>
      <c r="L736" s="120"/>
      <c r="M736" s="120">
        <f t="shared" si="23"/>
        <v>306982</v>
      </c>
      <c r="N736" s="120"/>
      <c r="O736" s="120"/>
      <c r="P736" s="120"/>
      <c r="Q736" s="120"/>
    </row>
    <row r="737" spans="1:17" ht="15.5" customHeight="1" x14ac:dyDescent="0.35">
      <c r="B737" s="161">
        <v>45428</v>
      </c>
      <c r="C737" s="64">
        <v>26</v>
      </c>
      <c r="D737" s="158" t="s">
        <v>586</v>
      </c>
      <c r="E737" s="158"/>
      <c r="F737" s="159">
        <v>306982</v>
      </c>
      <c r="G737" s="64" t="s">
        <v>21</v>
      </c>
      <c r="H737" s="64">
        <v>1</v>
      </c>
      <c r="I737" s="120"/>
      <c r="J737" s="120"/>
      <c r="K737" s="120"/>
      <c r="L737" s="120"/>
      <c r="M737" s="120">
        <f t="shared" si="23"/>
        <v>306982</v>
      </c>
      <c r="N737" s="120"/>
      <c r="O737" s="120"/>
      <c r="P737" s="120"/>
      <c r="Q737" s="120"/>
    </row>
    <row r="738" spans="1:17" ht="15.5" customHeight="1" x14ac:dyDescent="0.35">
      <c r="A738" s="162"/>
      <c r="B738" s="78" t="s">
        <v>588</v>
      </c>
      <c r="C738" s="85" t="s">
        <v>2</v>
      </c>
      <c r="D738" s="112" t="s">
        <v>589</v>
      </c>
      <c r="E738" s="112"/>
      <c r="F738" s="87"/>
      <c r="G738" s="73"/>
      <c r="H738" s="73"/>
      <c r="I738" s="152"/>
      <c r="J738" s="152"/>
      <c r="K738" s="152"/>
      <c r="L738" s="152"/>
      <c r="M738" s="152"/>
      <c r="N738" s="152"/>
      <c r="O738" s="152"/>
      <c r="P738" s="152"/>
      <c r="Q738" s="152"/>
    </row>
    <row r="739" spans="1:17" ht="15.5" customHeight="1" x14ac:dyDescent="0.35">
      <c r="B739" s="14">
        <v>45636</v>
      </c>
      <c r="C739" s="15">
        <v>1</v>
      </c>
      <c r="D739" s="18" t="s">
        <v>590</v>
      </c>
      <c r="E739" s="18"/>
      <c r="F739" s="21">
        <v>2700000</v>
      </c>
      <c r="G739" s="15" t="s">
        <v>21</v>
      </c>
      <c r="H739" s="15">
        <v>1</v>
      </c>
      <c r="I739" s="61">
        <f>$F739*$H739</f>
        <v>2700000</v>
      </c>
      <c r="J739" s="120"/>
      <c r="K739" s="120"/>
      <c r="L739" s="120"/>
      <c r="M739" s="120"/>
      <c r="N739" s="120"/>
      <c r="O739" s="120"/>
      <c r="P739" s="120"/>
      <c r="Q739" s="120"/>
    </row>
    <row r="740" spans="1:17" ht="15.5" customHeight="1" x14ac:dyDescent="0.35">
      <c r="B740" s="78" t="s">
        <v>591</v>
      </c>
      <c r="C740" s="163"/>
      <c r="D740" s="164" t="s">
        <v>592</v>
      </c>
      <c r="E740" s="164"/>
      <c r="F740" s="163"/>
      <c r="G740" s="163"/>
      <c r="H740" s="163"/>
      <c r="I740" s="163"/>
      <c r="J740" s="163"/>
      <c r="K740" s="163"/>
      <c r="L740" s="163"/>
      <c r="M740" s="163"/>
      <c r="N740" s="163"/>
      <c r="O740" s="163"/>
      <c r="P740" s="152"/>
      <c r="Q740" s="152"/>
    </row>
    <row r="741" spans="1:17" ht="15.5" customHeight="1" x14ac:dyDescent="0.35">
      <c r="B741" s="165">
        <v>45655</v>
      </c>
      <c r="C741" s="60">
        <v>1</v>
      </c>
      <c r="D741" s="166" t="s">
        <v>593</v>
      </c>
      <c r="E741" s="166"/>
      <c r="F741" s="167">
        <v>200000</v>
      </c>
      <c r="G741" s="60" t="s">
        <v>21</v>
      </c>
      <c r="H741" s="60">
        <v>1</v>
      </c>
      <c r="I741" s="61">
        <f t="shared" ref="I741:I749" si="24">$H741*$F741</f>
        <v>200000</v>
      </c>
      <c r="J741" s="168"/>
      <c r="K741" s="168"/>
      <c r="L741" s="168"/>
      <c r="M741" s="168"/>
      <c r="N741" s="168"/>
      <c r="O741" s="168"/>
      <c r="P741" s="120"/>
      <c r="Q741" s="120"/>
    </row>
    <row r="742" spans="1:17" ht="15.5" customHeight="1" x14ac:dyDescent="0.35">
      <c r="B742" s="165">
        <v>45655</v>
      </c>
      <c r="C742" s="15">
        <v>2</v>
      </c>
      <c r="D742" s="166" t="s">
        <v>594</v>
      </c>
      <c r="E742" s="166"/>
      <c r="F742" s="180">
        <v>61500</v>
      </c>
      <c r="G742" s="15" t="s">
        <v>21</v>
      </c>
      <c r="H742" s="15">
        <v>1</v>
      </c>
      <c r="I742" s="61">
        <f t="shared" si="24"/>
        <v>61500</v>
      </c>
      <c r="J742" s="169"/>
      <c r="K742" s="169"/>
      <c r="L742" s="168"/>
      <c r="M742" s="169"/>
      <c r="N742" s="169"/>
      <c r="O742" s="168"/>
      <c r="P742" s="120"/>
      <c r="Q742" s="120"/>
    </row>
    <row r="743" spans="1:17" ht="15.5" customHeight="1" x14ac:dyDescent="0.35">
      <c r="B743" s="165">
        <v>45655</v>
      </c>
      <c r="C743" s="15">
        <v>3</v>
      </c>
      <c r="D743" s="166" t="s">
        <v>595</v>
      </c>
      <c r="E743" s="166"/>
      <c r="F743" s="180">
        <v>12500</v>
      </c>
      <c r="G743" s="15" t="s">
        <v>21</v>
      </c>
      <c r="H743" s="15">
        <v>1</v>
      </c>
      <c r="I743" s="61">
        <f t="shared" si="24"/>
        <v>12500</v>
      </c>
      <c r="J743" s="169"/>
      <c r="K743" s="169"/>
      <c r="L743" s="168"/>
      <c r="M743" s="169"/>
      <c r="N743" s="169"/>
      <c r="O743" s="168"/>
      <c r="P743" s="120"/>
      <c r="Q743" s="120"/>
    </row>
    <row r="744" spans="1:17" ht="15.5" customHeight="1" x14ac:dyDescent="0.35">
      <c r="B744" s="165">
        <v>45655</v>
      </c>
      <c r="C744" s="15">
        <v>4</v>
      </c>
      <c r="D744" s="166" t="s">
        <v>596</v>
      </c>
      <c r="E744" s="166"/>
      <c r="F744" s="180">
        <v>224000</v>
      </c>
      <c r="G744" s="15" t="s">
        <v>21</v>
      </c>
      <c r="H744" s="15">
        <v>1</v>
      </c>
      <c r="I744" s="61">
        <f t="shared" si="24"/>
        <v>224000</v>
      </c>
      <c r="J744" s="169"/>
      <c r="K744" s="169"/>
      <c r="L744" s="168"/>
      <c r="M744" s="169"/>
      <c r="N744" s="169"/>
      <c r="O744" s="168"/>
      <c r="P744" s="120"/>
      <c r="Q744" s="120"/>
    </row>
    <row r="745" spans="1:17" ht="15.5" customHeight="1" x14ac:dyDescent="0.35">
      <c r="B745" s="165">
        <v>45656</v>
      </c>
      <c r="C745" s="15">
        <v>6</v>
      </c>
      <c r="D745" s="166" t="s">
        <v>597</v>
      </c>
      <c r="E745" s="166"/>
      <c r="F745" s="180">
        <v>140000</v>
      </c>
      <c r="G745" s="15" t="s">
        <v>21</v>
      </c>
      <c r="H745" s="15">
        <v>1</v>
      </c>
      <c r="I745" s="61">
        <f t="shared" si="24"/>
        <v>140000</v>
      </c>
      <c r="J745" s="169"/>
      <c r="K745" s="169"/>
      <c r="L745" s="168"/>
      <c r="M745" s="169"/>
      <c r="N745" s="169"/>
      <c r="O745" s="168"/>
      <c r="P745" s="120"/>
      <c r="Q745" s="120"/>
    </row>
    <row r="746" spans="1:17" ht="15.5" customHeight="1" x14ac:dyDescent="0.35">
      <c r="B746" s="165">
        <v>45656</v>
      </c>
      <c r="C746" s="15">
        <v>7</v>
      </c>
      <c r="D746" s="166" t="s">
        <v>598</v>
      </c>
      <c r="E746" s="166"/>
      <c r="F746" s="180">
        <v>11000</v>
      </c>
      <c r="G746" s="15" t="s">
        <v>21</v>
      </c>
      <c r="H746" s="15">
        <v>1</v>
      </c>
      <c r="I746" s="61">
        <f t="shared" si="24"/>
        <v>11000</v>
      </c>
      <c r="J746" s="169"/>
      <c r="K746" s="169"/>
      <c r="L746" s="168"/>
      <c r="M746" s="169"/>
      <c r="N746" s="169"/>
      <c r="O746" s="168"/>
      <c r="P746" s="120"/>
      <c r="Q746" s="120"/>
    </row>
    <row r="747" spans="1:17" ht="15.5" customHeight="1" x14ac:dyDescent="0.35">
      <c r="B747" s="165">
        <v>45656</v>
      </c>
      <c r="C747" s="15">
        <v>8</v>
      </c>
      <c r="D747" s="166" t="s">
        <v>599</v>
      </c>
      <c r="E747" s="166"/>
      <c r="F747" s="180">
        <v>11000</v>
      </c>
      <c r="G747" s="15" t="s">
        <v>21</v>
      </c>
      <c r="H747" s="15">
        <v>1</v>
      </c>
      <c r="I747" s="61">
        <f t="shared" si="24"/>
        <v>11000</v>
      </c>
      <c r="J747" s="169"/>
      <c r="K747" s="169"/>
      <c r="L747" s="168"/>
      <c r="M747" s="169"/>
      <c r="N747" s="169"/>
      <c r="O747" s="168"/>
      <c r="P747" s="120"/>
      <c r="Q747" s="120"/>
    </row>
    <row r="748" spans="1:17" ht="15.5" customHeight="1" x14ac:dyDescent="0.35">
      <c r="B748" s="165">
        <v>45656</v>
      </c>
      <c r="C748" s="15">
        <v>9</v>
      </c>
      <c r="D748" s="166" t="s">
        <v>600</v>
      </c>
      <c r="E748" s="166"/>
      <c r="F748" s="180">
        <v>66000</v>
      </c>
      <c r="G748" s="15" t="s">
        <v>21</v>
      </c>
      <c r="H748" s="15">
        <v>1</v>
      </c>
      <c r="I748" s="61">
        <f t="shared" si="24"/>
        <v>66000</v>
      </c>
      <c r="J748" s="169"/>
      <c r="K748" s="169"/>
      <c r="L748" s="168"/>
      <c r="M748" s="169"/>
      <c r="N748" s="169"/>
      <c r="O748" s="168"/>
      <c r="P748" s="120"/>
      <c r="Q748" s="120"/>
    </row>
    <row r="749" spans="1:17" ht="15.5" customHeight="1" x14ac:dyDescent="0.35">
      <c r="B749" s="165">
        <v>45656</v>
      </c>
      <c r="C749" s="15">
        <v>10</v>
      </c>
      <c r="D749" s="166" t="s">
        <v>601</v>
      </c>
      <c r="E749" s="166"/>
      <c r="F749" s="180">
        <v>300000</v>
      </c>
      <c r="G749" s="15" t="s">
        <v>21</v>
      </c>
      <c r="H749" s="15">
        <v>1</v>
      </c>
      <c r="I749" s="61">
        <f t="shared" si="24"/>
        <v>300000</v>
      </c>
      <c r="J749" s="169"/>
      <c r="K749" s="169"/>
      <c r="L749" s="169"/>
      <c r="M749" s="169"/>
      <c r="N749" s="169"/>
      <c r="O749" s="168"/>
      <c r="P749" s="120"/>
      <c r="Q749" s="120"/>
    </row>
    <row r="750" spans="1:17" ht="15.5" customHeight="1" x14ac:dyDescent="0.35">
      <c r="B750" s="128"/>
      <c r="C750" s="277" t="s">
        <v>602</v>
      </c>
      <c r="D750" s="278"/>
      <c r="E750" s="278"/>
      <c r="F750" s="278"/>
      <c r="G750" s="278"/>
      <c r="H750" s="279"/>
      <c r="I750" s="120">
        <f t="shared" ref="I750:Q750" si="25">SUM(I41:I749)</f>
        <v>1201990983.1820002</v>
      </c>
      <c r="J750" s="120">
        <f t="shared" si="25"/>
        <v>991500000</v>
      </c>
      <c r="K750" s="120">
        <f t="shared" si="25"/>
        <v>356012003</v>
      </c>
      <c r="L750" s="120">
        <f t="shared" si="25"/>
        <v>367745000</v>
      </c>
      <c r="M750" s="120">
        <f t="shared" si="25"/>
        <v>12904641</v>
      </c>
      <c r="N750" s="120">
        <f t="shared" si="25"/>
        <v>164697570</v>
      </c>
      <c r="O750" s="120">
        <f t="shared" si="25"/>
        <v>4995000</v>
      </c>
      <c r="P750" s="120">
        <f t="shared" si="25"/>
        <v>38548717.5</v>
      </c>
      <c r="Q750" s="120">
        <f t="shared" si="25"/>
        <v>202920000</v>
      </c>
    </row>
  </sheetData>
  <mergeCells count="50">
    <mergeCell ref="D33:E33"/>
    <mergeCell ref="D29:E29"/>
    <mergeCell ref="B1:J1"/>
    <mergeCell ref="P6:P7"/>
    <mergeCell ref="J6:J7"/>
    <mergeCell ref="D36:E36"/>
    <mergeCell ref="D31:E31"/>
    <mergeCell ref="D21:E21"/>
    <mergeCell ref="D25:E26"/>
    <mergeCell ref="D11:E11"/>
    <mergeCell ref="I25:J25"/>
    <mergeCell ref="D27:E27"/>
    <mergeCell ref="C25:C26"/>
    <mergeCell ref="D13:E13"/>
    <mergeCell ref="G6:G7"/>
    <mergeCell ref="D32:E32"/>
    <mergeCell ref="B6:B7"/>
    <mergeCell ref="D20:E20"/>
    <mergeCell ref="M25:N25"/>
    <mergeCell ref="D16:E16"/>
    <mergeCell ref="O25:P25"/>
    <mergeCell ref="D6:E7"/>
    <mergeCell ref="D28:E28"/>
    <mergeCell ref="D18:E18"/>
    <mergeCell ref="G25:G26"/>
    <mergeCell ref="D9:E9"/>
    <mergeCell ref="K19:K20"/>
    <mergeCell ref="D12:E12"/>
    <mergeCell ref="D8:E8"/>
    <mergeCell ref="O19:O20"/>
    <mergeCell ref="D15:E15"/>
    <mergeCell ref="O6:O7"/>
    <mergeCell ref="L19:L20"/>
    <mergeCell ref="H6:H7"/>
    <mergeCell ref="C750:H750"/>
    <mergeCell ref="I6:I7"/>
    <mergeCell ref="B25:B26"/>
    <mergeCell ref="K6:K7"/>
    <mergeCell ref="D14:E14"/>
    <mergeCell ref="C6:C7"/>
    <mergeCell ref="H25:H26"/>
    <mergeCell ref="B37:H37"/>
    <mergeCell ref="D35:E35"/>
    <mergeCell ref="K25:L25"/>
    <mergeCell ref="D10:E10"/>
    <mergeCell ref="D19:E19"/>
    <mergeCell ref="D34:E34"/>
    <mergeCell ref="D17:E17"/>
    <mergeCell ref="B22:E22"/>
    <mergeCell ref="D30:E3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2D20-0F51-47C6-A633-71F72823CAD8}">
  <dimension ref="A1:J96"/>
  <sheetViews>
    <sheetView topLeftCell="A13" workbookViewId="0">
      <selection activeCell="E15" sqref="E15"/>
    </sheetView>
  </sheetViews>
  <sheetFormatPr defaultColWidth="9.08984375" defaultRowHeight="14.5" x14ac:dyDescent="0.35"/>
  <cols>
    <col min="1" max="1" width="1.08984375" style="183" customWidth="1"/>
    <col min="2" max="2" width="5.54296875" style="183" customWidth="1"/>
    <col min="3" max="3" width="38.36328125" style="183" customWidth="1"/>
    <col min="4" max="4" width="3.6328125" style="183" customWidth="1"/>
    <col min="5" max="5" width="30.08984375" style="183" customWidth="1"/>
    <col min="6" max="6" width="1.08984375" style="183" customWidth="1"/>
    <col min="7" max="7" width="5.54296875" style="183" customWidth="1"/>
    <col min="8" max="8" width="38.36328125" style="183" customWidth="1"/>
    <col min="9" max="9" width="3.6328125" style="183" customWidth="1"/>
    <col min="10" max="10" width="30.08984375" style="183" customWidth="1"/>
    <col min="11" max="16384" width="9.08984375" style="183"/>
  </cols>
  <sheetData>
    <row r="1" spans="1:10" ht="15" customHeight="1" x14ac:dyDescent="0.35">
      <c r="A1" s="181"/>
      <c r="B1" s="181"/>
      <c r="C1" s="181"/>
      <c r="D1" s="181"/>
      <c r="E1" s="182"/>
    </row>
    <row r="2" spans="1:10" ht="37.25" customHeight="1" x14ac:dyDescent="0.35">
      <c r="A2" s="181"/>
      <c r="B2" s="181"/>
      <c r="C2" s="181"/>
      <c r="D2" s="181"/>
      <c r="E2" s="182"/>
    </row>
    <row r="3" spans="1:10" ht="33.65" customHeight="1" x14ac:dyDescent="0.5">
      <c r="A3" s="181"/>
      <c r="B3" s="274" t="s">
        <v>603</v>
      </c>
      <c r="C3" s="305"/>
      <c r="D3" s="305"/>
      <c r="E3" s="305"/>
      <c r="F3" s="184"/>
      <c r="G3" s="185" t="s">
        <v>603</v>
      </c>
      <c r="H3" s="185"/>
      <c r="I3" s="185"/>
      <c r="J3" s="185"/>
    </row>
    <row r="4" spans="1:10" ht="20.5" customHeight="1" x14ac:dyDescent="0.45">
      <c r="A4" s="181"/>
      <c r="B4" s="275" t="s">
        <v>604</v>
      </c>
      <c r="C4" s="305"/>
      <c r="D4" s="305"/>
      <c r="E4" s="305"/>
      <c r="F4" s="184"/>
      <c r="G4" s="186" t="s">
        <v>605</v>
      </c>
      <c r="H4" s="186"/>
      <c r="I4" s="186"/>
      <c r="J4" s="186"/>
    </row>
    <row r="5" spans="1:10" ht="6" customHeight="1" x14ac:dyDescent="0.35">
      <c r="A5" s="181"/>
      <c r="B5" s="181"/>
      <c r="C5" s="181"/>
      <c r="D5" s="181"/>
      <c r="E5" s="182"/>
      <c r="F5" s="184"/>
      <c r="G5" s="184"/>
      <c r="H5" s="187"/>
      <c r="I5" s="187"/>
      <c r="J5" s="187"/>
    </row>
    <row r="6" spans="1:10" ht="15.5" customHeight="1" x14ac:dyDescent="0.35">
      <c r="A6" s="181"/>
      <c r="B6" s="188"/>
      <c r="C6" s="189"/>
      <c r="D6" s="307" t="s">
        <v>606</v>
      </c>
      <c r="E6" s="289"/>
      <c r="F6" s="184"/>
      <c r="G6" s="190"/>
      <c r="H6" s="191"/>
      <c r="I6" s="307" t="s">
        <v>606</v>
      </c>
      <c r="J6" s="289"/>
    </row>
    <row r="7" spans="1:10" ht="15.5" customHeight="1" x14ac:dyDescent="0.35">
      <c r="A7" s="181"/>
      <c r="B7" s="192"/>
      <c r="C7" s="193"/>
      <c r="D7" s="308" t="s">
        <v>607</v>
      </c>
      <c r="E7" s="290"/>
      <c r="F7" s="184"/>
      <c r="G7" s="194"/>
      <c r="H7" s="195"/>
      <c r="I7" s="308" t="s">
        <v>607</v>
      </c>
      <c r="J7" s="290"/>
    </row>
    <row r="8" spans="1:10" x14ac:dyDescent="0.35">
      <c r="A8" s="181"/>
      <c r="B8" s="196" t="s">
        <v>608</v>
      </c>
      <c r="C8" s="197"/>
      <c r="D8" s="198"/>
      <c r="E8" s="199"/>
      <c r="F8" s="184"/>
      <c r="G8" s="200" t="s">
        <v>609</v>
      </c>
      <c r="H8" s="201"/>
      <c r="I8" s="202"/>
      <c r="J8" s="203"/>
    </row>
    <row r="9" spans="1:10" x14ac:dyDescent="0.35">
      <c r="A9" s="181"/>
      <c r="B9" s="204"/>
      <c r="C9" s="197" t="s">
        <v>610</v>
      </c>
      <c r="D9" s="204" t="s">
        <v>611</v>
      </c>
      <c r="E9" s="205">
        <v>0</v>
      </c>
      <c r="F9" s="184"/>
      <c r="G9" s="206" t="s">
        <v>612</v>
      </c>
      <c r="H9" s="207"/>
      <c r="I9" s="206"/>
      <c r="J9" s="208"/>
    </row>
    <row r="10" spans="1:10" x14ac:dyDescent="0.35">
      <c r="A10" s="181"/>
      <c r="B10" s="204"/>
      <c r="C10" s="197" t="s">
        <v>613</v>
      </c>
      <c r="D10" s="204" t="s">
        <v>611</v>
      </c>
      <c r="E10" s="205">
        <v>0</v>
      </c>
      <c r="F10" s="184"/>
      <c r="G10" s="209"/>
      <c r="H10" s="210" t="s">
        <v>614</v>
      </c>
      <c r="I10" s="204" t="s">
        <v>611</v>
      </c>
      <c r="J10" s="211">
        <v>0</v>
      </c>
    </row>
    <row r="11" spans="1:10" x14ac:dyDescent="0.35">
      <c r="A11" s="181"/>
      <c r="B11" s="204"/>
      <c r="C11" s="197"/>
      <c r="D11" s="212"/>
      <c r="E11" s="213"/>
      <c r="F11" s="184"/>
      <c r="G11" s="209"/>
      <c r="H11" s="210" t="s">
        <v>615</v>
      </c>
      <c r="I11" s="204" t="s">
        <v>611</v>
      </c>
      <c r="J11" s="211">
        <f>E46-'[2]Business Summary'!E13</f>
        <v>0</v>
      </c>
    </row>
    <row r="12" spans="1:10" x14ac:dyDescent="0.35">
      <c r="A12" s="181"/>
      <c r="B12" s="214" t="s">
        <v>616</v>
      </c>
      <c r="C12" s="215"/>
      <c r="D12" s="216" t="s">
        <v>611</v>
      </c>
      <c r="E12" s="217">
        <v>0</v>
      </c>
      <c r="F12" s="184"/>
      <c r="G12" s="209"/>
      <c r="H12" s="210" t="s">
        <v>617</v>
      </c>
      <c r="I12" s="204" t="s">
        <v>611</v>
      </c>
      <c r="J12" s="211">
        <v>0</v>
      </c>
    </row>
    <row r="13" spans="1:10" x14ac:dyDescent="0.35">
      <c r="A13" s="181"/>
      <c r="B13" s="204"/>
      <c r="C13" s="197"/>
      <c r="D13" s="198"/>
      <c r="E13" s="218"/>
      <c r="F13" s="184"/>
      <c r="G13" s="209"/>
      <c r="H13" s="210" t="s">
        <v>618</v>
      </c>
      <c r="I13" s="204" t="s">
        <v>611</v>
      </c>
      <c r="J13" s="211">
        <v>0</v>
      </c>
    </row>
    <row r="14" spans="1:10" x14ac:dyDescent="0.35">
      <c r="A14" s="181"/>
      <c r="B14" s="219" t="s">
        <v>619</v>
      </c>
      <c r="C14" s="197"/>
      <c r="D14" s="204"/>
      <c r="E14" s="220"/>
      <c r="F14" s="184"/>
      <c r="G14" s="209"/>
      <c r="H14" s="210" t="s">
        <v>620</v>
      </c>
      <c r="I14" s="204" t="s">
        <v>611</v>
      </c>
      <c r="J14" s="211">
        <v>0</v>
      </c>
    </row>
    <row r="15" spans="1:10" x14ac:dyDescent="0.35">
      <c r="A15" s="181"/>
      <c r="B15" s="221"/>
      <c r="C15" s="197" t="s">
        <v>621</v>
      </c>
      <c r="D15" s="204" t="s">
        <v>611</v>
      </c>
      <c r="E15" s="220">
        <v>0</v>
      </c>
      <c r="F15" s="184"/>
      <c r="G15" s="222"/>
      <c r="H15" s="210" t="s">
        <v>622</v>
      </c>
      <c r="I15" s="204" t="s">
        <v>611</v>
      </c>
      <c r="J15" s="211">
        <v>0</v>
      </c>
    </row>
    <row r="16" spans="1:10" x14ac:dyDescent="0.35">
      <c r="A16" s="181"/>
      <c r="B16" s="221"/>
      <c r="C16" s="197" t="s">
        <v>623</v>
      </c>
      <c r="D16" s="204" t="s">
        <v>611</v>
      </c>
      <c r="E16" s="220">
        <v>0</v>
      </c>
      <c r="F16" s="184"/>
      <c r="G16" s="223"/>
      <c r="H16" s="224" t="s">
        <v>624</v>
      </c>
      <c r="I16" s="216" t="s">
        <v>611</v>
      </c>
      <c r="J16" s="225">
        <f>SUM(J10:J14)</f>
        <v>0</v>
      </c>
    </row>
    <row r="17" spans="1:10" x14ac:dyDescent="0.35">
      <c r="A17" s="181"/>
      <c r="B17" s="221"/>
      <c r="C17" s="197" t="s">
        <v>85</v>
      </c>
      <c r="D17" s="204" t="s">
        <v>611</v>
      </c>
      <c r="E17" s="220">
        <v>0</v>
      </c>
      <c r="F17" s="184"/>
      <c r="G17" s="209"/>
      <c r="H17" s="210"/>
      <c r="I17" s="226"/>
      <c r="J17" s="227"/>
    </row>
    <row r="18" spans="1:10" x14ac:dyDescent="0.35">
      <c r="A18" s="181"/>
      <c r="B18" s="221"/>
      <c r="C18" s="197" t="s">
        <v>625</v>
      </c>
      <c r="D18" s="204" t="s">
        <v>611</v>
      </c>
      <c r="E18" s="220">
        <v>0</v>
      </c>
      <c r="F18" s="184"/>
      <c r="G18" s="206" t="s">
        <v>626</v>
      </c>
      <c r="H18" s="228"/>
      <c r="I18" s="200"/>
      <c r="J18" s="211"/>
    </row>
    <row r="19" spans="1:10" x14ac:dyDescent="0.35">
      <c r="A19" s="181"/>
      <c r="B19" s="221"/>
      <c r="C19" s="197"/>
      <c r="D19" s="204"/>
      <c r="E19" s="220"/>
      <c r="F19" s="184"/>
      <c r="G19" s="206"/>
      <c r="H19" s="228"/>
      <c r="I19" s="200"/>
      <c r="J19" s="211"/>
    </row>
    <row r="20" spans="1:10" x14ac:dyDescent="0.35">
      <c r="A20" s="181"/>
      <c r="B20" s="221"/>
      <c r="C20" s="197"/>
      <c r="D20" s="212"/>
      <c r="E20" s="229"/>
      <c r="F20" s="184"/>
      <c r="G20" s="209"/>
      <c r="H20" s="210" t="s">
        <v>627</v>
      </c>
      <c r="I20" s="204" t="s">
        <v>611</v>
      </c>
      <c r="J20" s="211">
        <v>0</v>
      </c>
    </row>
    <row r="21" spans="1:10" x14ac:dyDescent="0.35">
      <c r="A21" s="181"/>
      <c r="B21" s="214" t="s">
        <v>628</v>
      </c>
      <c r="C21" s="215"/>
      <c r="D21" s="216" t="s">
        <v>611</v>
      </c>
      <c r="E21" s="230">
        <v>0</v>
      </c>
      <c r="F21" s="184"/>
      <c r="G21" s="209"/>
      <c r="H21" s="228"/>
      <c r="I21" s="231"/>
      <c r="J21" s="232"/>
    </row>
    <row r="22" spans="1:10" x14ac:dyDescent="0.35">
      <c r="A22" s="181"/>
      <c r="B22" s="204"/>
      <c r="C22" s="197"/>
      <c r="D22" s="198"/>
      <c r="E22" s="233"/>
      <c r="F22" s="184"/>
      <c r="G22" s="223"/>
      <c r="H22" s="224" t="s">
        <v>629</v>
      </c>
      <c r="I22" s="216" t="s">
        <v>611</v>
      </c>
      <c r="J22" s="225">
        <f>J20</f>
        <v>0</v>
      </c>
    </row>
    <row r="23" spans="1:10" x14ac:dyDescent="0.35">
      <c r="A23" s="181"/>
      <c r="B23" s="219" t="s">
        <v>630</v>
      </c>
      <c r="C23" s="197"/>
      <c r="D23" s="204"/>
      <c r="E23" s="220">
        <v>0</v>
      </c>
      <c r="F23" s="184"/>
      <c r="G23" s="209"/>
      <c r="H23" s="210"/>
      <c r="I23" s="226"/>
      <c r="J23" s="203"/>
    </row>
    <row r="24" spans="1:10" x14ac:dyDescent="0.35">
      <c r="A24" s="181"/>
      <c r="B24" s="204"/>
      <c r="C24" s="197"/>
      <c r="D24" s="204"/>
      <c r="E24" s="220"/>
      <c r="F24" s="184"/>
      <c r="G24" s="206" t="s">
        <v>631</v>
      </c>
      <c r="H24" s="228"/>
      <c r="I24" s="200"/>
      <c r="J24" s="211">
        <v>0</v>
      </c>
    </row>
    <row r="25" spans="1:10" x14ac:dyDescent="0.35">
      <c r="A25" s="181"/>
      <c r="B25" s="204"/>
      <c r="C25" s="197"/>
      <c r="D25" s="204" t="s">
        <v>611</v>
      </c>
      <c r="E25" s="220"/>
      <c r="F25" s="184"/>
      <c r="G25" s="209"/>
      <c r="H25" s="210"/>
      <c r="I25" s="234"/>
      <c r="J25" s="235"/>
    </row>
    <row r="26" spans="1:10" x14ac:dyDescent="0.35">
      <c r="A26" s="181"/>
      <c r="B26" s="204"/>
      <c r="C26" s="197"/>
      <c r="D26" s="212"/>
      <c r="E26" s="229"/>
      <c r="F26" s="184"/>
      <c r="G26" s="223"/>
      <c r="H26" s="224" t="s">
        <v>632</v>
      </c>
      <c r="I26" s="216" t="s">
        <v>611</v>
      </c>
      <c r="J26" s="225">
        <f>SUM(J25:J25)</f>
        <v>0</v>
      </c>
    </row>
    <row r="27" spans="1:10" x14ac:dyDescent="0.35">
      <c r="A27" s="181"/>
      <c r="B27" s="214" t="s">
        <v>633</v>
      </c>
      <c r="C27" s="215"/>
      <c r="D27" s="216" t="s">
        <v>611</v>
      </c>
      <c r="E27" s="230">
        <v>0</v>
      </c>
      <c r="F27" s="184"/>
      <c r="G27" s="209"/>
      <c r="H27" s="210"/>
      <c r="I27" s="236"/>
      <c r="J27" s="237"/>
    </row>
    <row r="28" spans="1:10" x14ac:dyDescent="0.35">
      <c r="A28" s="181"/>
      <c r="B28" s="204"/>
      <c r="C28" s="197"/>
      <c r="D28" s="198"/>
      <c r="E28" s="233"/>
      <c r="F28" s="184"/>
      <c r="G28" s="214" t="s">
        <v>634</v>
      </c>
      <c r="H28" s="215"/>
      <c r="I28" s="216" t="s">
        <v>611</v>
      </c>
      <c r="J28" s="238">
        <f>J26+J22+J16</f>
        <v>0</v>
      </c>
    </row>
    <row r="29" spans="1:10" x14ac:dyDescent="0.35">
      <c r="A29" s="181"/>
      <c r="B29" s="219" t="s">
        <v>635</v>
      </c>
      <c r="C29" s="197"/>
      <c r="D29" s="204"/>
      <c r="E29" s="220"/>
      <c r="F29" s="184"/>
      <c r="G29" s="239"/>
      <c r="H29" s="240"/>
      <c r="I29" s="239"/>
      <c r="J29" s="227"/>
    </row>
    <row r="30" spans="1:10" x14ac:dyDescent="0.35">
      <c r="A30" s="181"/>
      <c r="B30" s="221"/>
      <c r="C30" s="197" t="s">
        <v>636</v>
      </c>
      <c r="D30" s="204" t="s">
        <v>611</v>
      </c>
      <c r="E30" s="220">
        <v>0</v>
      </c>
      <c r="F30" s="184"/>
      <c r="G30" s="241" t="s">
        <v>637</v>
      </c>
      <c r="H30" s="201"/>
      <c r="I30" s="241"/>
      <c r="J30" s="242"/>
    </row>
    <row r="31" spans="1:10" x14ac:dyDescent="0.35">
      <c r="A31" s="181"/>
      <c r="B31" s="221"/>
      <c r="C31" s="197" t="s">
        <v>638</v>
      </c>
      <c r="D31" s="204" t="s">
        <v>611</v>
      </c>
      <c r="E31" s="220">
        <v>0</v>
      </c>
      <c r="F31" s="184"/>
      <c r="G31" s="241"/>
      <c r="H31" s="201"/>
      <c r="I31" s="241"/>
      <c r="J31" s="242"/>
    </row>
    <row r="32" spans="1:10" x14ac:dyDescent="0.35">
      <c r="A32" s="181"/>
      <c r="B32" s="221"/>
      <c r="C32" s="197" t="s">
        <v>639</v>
      </c>
      <c r="D32" s="204" t="s">
        <v>611</v>
      </c>
      <c r="E32" s="220">
        <v>0</v>
      </c>
      <c r="F32" s="184"/>
      <c r="G32" s="206" t="s">
        <v>640</v>
      </c>
      <c r="H32" s="207"/>
      <c r="I32" s="206"/>
      <c r="J32" s="208"/>
    </row>
    <row r="33" spans="1:10" x14ac:dyDescent="0.35">
      <c r="A33" s="181"/>
      <c r="B33" s="221"/>
      <c r="C33" s="197" t="s">
        <v>641</v>
      </c>
      <c r="D33" s="204" t="s">
        <v>611</v>
      </c>
      <c r="E33" s="220">
        <v>0</v>
      </c>
      <c r="F33" s="184"/>
      <c r="G33" s="209"/>
      <c r="H33" s="210" t="s">
        <v>642</v>
      </c>
      <c r="I33" s="204" t="s">
        <v>611</v>
      </c>
      <c r="J33" s="211">
        <v>0</v>
      </c>
    </row>
    <row r="34" spans="1:10" x14ac:dyDescent="0.35">
      <c r="A34" s="181"/>
      <c r="B34" s="221"/>
      <c r="C34" s="197"/>
      <c r="D34" s="212"/>
      <c r="E34" s="229"/>
      <c r="F34" s="184"/>
      <c r="G34" s="209"/>
      <c r="H34" s="243" t="s">
        <v>643</v>
      </c>
      <c r="I34" s="204" t="s">
        <v>611</v>
      </c>
      <c r="J34" s="244">
        <v>0</v>
      </c>
    </row>
    <row r="35" spans="1:10" x14ac:dyDescent="0.35">
      <c r="A35" s="181"/>
      <c r="B35" s="214" t="s">
        <v>644</v>
      </c>
      <c r="C35" s="215"/>
      <c r="D35" s="216" t="s">
        <v>611</v>
      </c>
      <c r="E35" s="217">
        <v>0</v>
      </c>
      <c r="F35" s="184"/>
      <c r="G35" s="209"/>
      <c r="H35" s="210" t="s">
        <v>645</v>
      </c>
      <c r="I35" s="204" t="s">
        <v>611</v>
      </c>
      <c r="J35" s="211">
        <v>0</v>
      </c>
    </row>
    <row r="36" spans="1:10" x14ac:dyDescent="0.35">
      <c r="A36" s="181"/>
      <c r="B36" s="221"/>
      <c r="C36" s="197"/>
      <c r="D36" s="216"/>
      <c r="E36" s="245"/>
      <c r="F36" s="184"/>
      <c r="G36" s="209"/>
      <c r="H36" s="210" t="s">
        <v>646</v>
      </c>
      <c r="I36" s="204" t="s">
        <v>611</v>
      </c>
      <c r="J36" s="211">
        <v>0</v>
      </c>
    </row>
    <row r="37" spans="1:10" x14ac:dyDescent="0.35">
      <c r="A37" s="181"/>
      <c r="B37" s="214" t="s">
        <v>647</v>
      </c>
      <c r="C37" s="215"/>
      <c r="D37" s="216" t="s">
        <v>611</v>
      </c>
      <c r="E37" s="217">
        <v>0</v>
      </c>
      <c r="F37" s="184"/>
      <c r="G37" s="246"/>
      <c r="H37" s="247"/>
      <c r="I37" s="246"/>
      <c r="J37" s="248"/>
    </row>
    <row r="38" spans="1:10" x14ac:dyDescent="0.35">
      <c r="A38" s="181"/>
      <c r="B38" s="196"/>
      <c r="C38" s="249"/>
      <c r="D38" s="198"/>
      <c r="E38" s="250"/>
      <c r="F38" s="184"/>
      <c r="G38" s="223"/>
      <c r="H38" s="224" t="s">
        <v>648</v>
      </c>
      <c r="I38" s="251"/>
      <c r="J38" s="225">
        <f>SUM(J33:J36)</f>
        <v>0</v>
      </c>
    </row>
    <row r="39" spans="1:10" x14ac:dyDescent="0.35">
      <c r="A39" s="181"/>
      <c r="B39" s="219" t="s">
        <v>649</v>
      </c>
      <c r="C39" s="197"/>
      <c r="D39" s="204" t="s">
        <v>611</v>
      </c>
      <c r="E39" s="252"/>
      <c r="F39" s="184"/>
      <c r="G39" s="209"/>
      <c r="H39" s="228"/>
      <c r="I39" s="253"/>
      <c r="J39" s="203"/>
    </row>
    <row r="40" spans="1:10" x14ac:dyDescent="0.35">
      <c r="A40" s="181"/>
      <c r="B40" s="219"/>
      <c r="C40" s="197" t="s">
        <v>650</v>
      </c>
      <c r="D40" s="204" t="s">
        <v>611</v>
      </c>
      <c r="E40" s="205">
        <v>0</v>
      </c>
      <c r="F40" s="184"/>
      <c r="G40" s="206" t="s">
        <v>651</v>
      </c>
      <c r="H40" s="207"/>
      <c r="I40" s="206"/>
      <c r="J40" s="208"/>
    </row>
    <row r="41" spans="1:10" x14ac:dyDescent="0.35">
      <c r="A41" s="181"/>
      <c r="B41" s="219"/>
      <c r="C41" s="197"/>
      <c r="D41" s="212"/>
      <c r="E41" s="254"/>
      <c r="F41" s="184"/>
      <c r="G41" s="209"/>
      <c r="H41" s="210" t="s">
        <v>652</v>
      </c>
      <c r="I41" s="204" t="s">
        <v>611</v>
      </c>
      <c r="J41" s="211">
        <v>0</v>
      </c>
    </row>
    <row r="42" spans="1:10" x14ac:dyDescent="0.35">
      <c r="A42" s="181"/>
      <c r="B42" s="214" t="s">
        <v>653</v>
      </c>
      <c r="C42" s="215"/>
      <c r="D42" s="216" t="s">
        <v>611</v>
      </c>
      <c r="E42" s="217">
        <v>0</v>
      </c>
      <c r="F42" s="184"/>
      <c r="G42" s="209"/>
      <c r="H42" s="210" t="s">
        <v>654</v>
      </c>
      <c r="I42" s="204" t="s">
        <v>611</v>
      </c>
      <c r="J42" s="211">
        <v>0</v>
      </c>
    </row>
    <row r="43" spans="1:10" x14ac:dyDescent="0.35">
      <c r="A43" s="181"/>
      <c r="B43" s="255"/>
      <c r="C43" s="249"/>
      <c r="D43" s="198"/>
      <c r="E43" s="218"/>
      <c r="F43" s="184"/>
      <c r="G43" s="206"/>
      <c r="H43" s="210" t="s">
        <v>655</v>
      </c>
      <c r="I43" s="212" t="s">
        <v>611</v>
      </c>
      <c r="J43" s="256">
        <f>J28</f>
        <v>0</v>
      </c>
    </row>
    <row r="44" spans="1:10" x14ac:dyDescent="0.35">
      <c r="A44" s="181"/>
      <c r="B44" s="219" t="s">
        <v>656</v>
      </c>
      <c r="D44" s="204" t="s">
        <v>611</v>
      </c>
      <c r="E44" s="205">
        <v>0</v>
      </c>
      <c r="F44" s="184"/>
      <c r="G44" s="223"/>
      <c r="H44" s="224" t="s">
        <v>657</v>
      </c>
      <c r="I44" s="216" t="s">
        <v>611</v>
      </c>
      <c r="J44" s="225">
        <f>SUM(J41:J43)</f>
        <v>0</v>
      </c>
    </row>
    <row r="45" spans="1:10" x14ac:dyDescent="0.35">
      <c r="A45" s="181"/>
      <c r="B45" s="219"/>
      <c r="C45" s="197"/>
      <c r="D45" s="212"/>
      <c r="E45" s="254"/>
      <c r="F45" s="184"/>
      <c r="G45" s="209"/>
      <c r="H45" s="210"/>
      <c r="I45" s="236"/>
      <c r="J45" s="237"/>
    </row>
    <row r="46" spans="1:10" ht="15" customHeight="1" thickBot="1" x14ac:dyDescent="0.4">
      <c r="A46" s="181"/>
      <c r="B46" s="302" t="s">
        <v>658</v>
      </c>
      <c r="C46" s="303"/>
      <c r="D46" s="257"/>
      <c r="E46" s="258">
        <v>0</v>
      </c>
      <c r="F46" s="184"/>
      <c r="G46" s="259" t="s">
        <v>659</v>
      </c>
      <c r="H46" s="260"/>
      <c r="I46" s="257" t="s">
        <v>611</v>
      </c>
      <c r="J46" s="261">
        <f>J44+J38</f>
        <v>0</v>
      </c>
    </row>
    <row r="47" spans="1:10" ht="4.5" customHeight="1" x14ac:dyDescent="0.35">
      <c r="A47" s="181"/>
      <c r="F47" s="184"/>
    </row>
    <row r="48" spans="1:10" ht="50.65" customHeight="1" x14ac:dyDescent="0.35">
      <c r="A48" s="181"/>
      <c r="F48" s="184"/>
      <c r="G48" s="262"/>
    </row>
    <row r="49" spans="1:10" ht="16.75" customHeight="1" x14ac:dyDescent="0.35">
      <c r="A49" s="181"/>
      <c r="B49" s="304"/>
      <c r="C49" s="305"/>
      <c r="D49" s="305"/>
      <c r="E49" s="305"/>
      <c r="F49" s="184"/>
      <c r="G49" s="304"/>
      <c r="H49" s="305"/>
      <c r="I49" s="305"/>
      <c r="J49" s="305"/>
    </row>
    <row r="50" spans="1:10" ht="15.65" customHeight="1" x14ac:dyDescent="0.35">
      <c r="A50" s="197"/>
      <c r="B50" s="306" t="s">
        <v>660</v>
      </c>
      <c r="C50" s="305"/>
      <c r="D50" s="305"/>
      <c r="E50" s="305"/>
      <c r="F50" s="184"/>
      <c r="G50" s="306" t="s">
        <v>660</v>
      </c>
      <c r="H50" s="305"/>
      <c r="I50" s="305"/>
      <c r="J50" s="305"/>
    </row>
    <row r="51" spans="1:10" x14ac:dyDescent="0.35">
      <c r="A51" s="197"/>
      <c r="F51" s="184"/>
    </row>
    <row r="52" spans="1:10" x14ac:dyDescent="0.35">
      <c r="A52" s="197"/>
      <c r="F52" s="184"/>
      <c r="J52" s="263"/>
    </row>
    <row r="96" s="183" customFormat="1" ht="64.5" customHeight="1" x14ac:dyDescent="0.35"/>
  </sheetData>
  <mergeCells count="11">
    <mergeCell ref="B3:E3"/>
    <mergeCell ref="B4:E4"/>
    <mergeCell ref="D6:E6"/>
    <mergeCell ref="I6:J6"/>
    <mergeCell ref="D7:E7"/>
    <mergeCell ref="I7:J7"/>
    <mergeCell ref="B46:C46"/>
    <mergeCell ref="B49:E49"/>
    <mergeCell ref="G49:J49"/>
    <mergeCell ref="B50:E50"/>
    <mergeCell ref="G50:J5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81890-59B1-4370-9E73-08107D83ACBD}">
  <dimension ref="A1:G63"/>
  <sheetViews>
    <sheetView tabSelected="1" workbookViewId="0">
      <selection activeCell="H21" sqref="H21"/>
    </sheetView>
  </sheetViews>
  <sheetFormatPr defaultColWidth="9.08984375" defaultRowHeight="14.5" x14ac:dyDescent="0.35"/>
  <cols>
    <col min="1" max="1" width="1.08984375" style="183" customWidth="1"/>
    <col min="2" max="2" width="5.54296875" style="183" customWidth="1"/>
    <col min="3" max="3" width="40.81640625" style="183" customWidth="1"/>
    <col min="4" max="4" width="3.6328125" style="183" customWidth="1"/>
    <col min="5" max="5" width="20.1796875" style="183" customWidth="1"/>
    <col min="6" max="6" width="1.08984375" style="183" customWidth="1"/>
    <col min="7" max="16384" width="9.08984375" style="183"/>
  </cols>
  <sheetData>
    <row r="1" spans="1:6" ht="15" customHeight="1" x14ac:dyDescent="0.35">
      <c r="A1" s="181"/>
      <c r="B1" s="181"/>
      <c r="C1" s="181"/>
      <c r="D1" s="181"/>
      <c r="E1" s="182"/>
    </row>
    <row r="2" spans="1:6" ht="37.25" customHeight="1" x14ac:dyDescent="0.35">
      <c r="A2" s="181"/>
      <c r="B2" s="181"/>
      <c r="C2" s="181"/>
      <c r="D2" s="181"/>
      <c r="E2" s="182"/>
    </row>
    <row r="3" spans="1:6" ht="33.65" customHeight="1" x14ac:dyDescent="0.5">
      <c r="A3" s="181"/>
      <c r="B3" s="274" t="s">
        <v>603</v>
      </c>
      <c r="C3" s="274"/>
      <c r="D3" s="274"/>
      <c r="E3" s="274"/>
      <c r="F3" s="184"/>
    </row>
    <row r="4" spans="1:6" ht="20.5" customHeight="1" x14ac:dyDescent="0.45">
      <c r="A4" s="181"/>
      <c r="B4" s="275" t="s">
        <v>661</v>
      </c>
      <c r="C4" s="275"/>
      <c r="D4" s="275"/>
      <c r="E4" s="275"/>
      <c r="F4" s="184"/>
    </row>
    <row r="5" spans="1:6" ht="6" customHeight="1" x14ac:dyDescent="0.35">
      <c r="A5" s="181"/>
      <c r="B5" s="181"/>
      <c r="C5" s="181"/>
      <c r="D5" s="181"/>
      <c r="E5" s="182"/>
      <c r="F5" s="184"/>
    </row>
    <row r="6" spans="1:6" ht="19" x14ac:dyDescent="0.45">
      <c r="A6" s="181"/>
      <c r="B6" s="264" t="s">
        <v>8</v>
      </c>
      <c r="C6" s="264" t="s">
        <v>662</v>
      </c>
      <c r="D6" s="276" t="s">
        <v>663</v>
      </c>
      <c r="E6" s="276"/>
      <c r="F6" s="184"/>
    </row>
    <row r="7" spans="1:6" ht="19" x14ac:dyDescent="0.45">
      <c r="A7" s="181"/>
      <c r="B7" s="265">
        <v>1</v>
      </c>
      <c r="C7" s="266" t="s">
        <v>664</v>
      </c>
      <c r="D7" s="267" t="s">
        <v>611</v>
      </c>
      <c r="E7" s="268">
        <f>'[1]Revenue-Cost_2024'!F22</f>
        <v>4255595425</v>
      </c>
      <c r="F7" s="184"/>
    </row>
    <row r="8" spans="1:6" ht="19" x14ac:dyDescent="0.45">
      <c r="A8" s="181"/>
      <c r="B8" s="265">
        <v>2</v>
      </c>
      <c r="C8" s="266" t="s">
        <v>665</v>
      </c>
      <c r="D8" s="267" t="s">
        <v>611</v>
      </c>
      <c r="E8" s="268">
        <f>E7-'[1]Revenue-Cost_2024'!N22</f>
        <v>4170622025</v>
      </c>
      <c r="F8" s="184"/>
    </row>
    <row r="9" spans="1:6" ht="19" x14ac:dyDescent="0.45">
      <c r="A9" s="181"/>
      <c r="B9" s="265">
        <v>3</v>
      </c>
      <c r="C9" s="266" t="s">
        <v>666</v>
      </c>
      <c r="D9" s="267" t="s">
        <v>611</v>
      </c>
      <c r="E9" s="268">
        <f>SUM('[1]Revenue-Cost_2024'!I750:Q750)</f>
        <v>3341313914.6820002</v>
      </c>
      <c r="F9" s="184"/>
    </row>
    <row r="10" spans="1:6" ht="19" x14ac:dyDescent="0.45">
      <c r="A10" s="181"/>
      <c r="B10" s="265">
        <v>4</v>
      </c>
      <c r="C10" s="266" t="s">
        <v>667</v>
      </c>
      <c r="D10" s="267" t="s">
        <v>611</v>
      </c>
      <c r="E10" s="268">
        <f>E7-E9</f>
        <v>914281510.31799984</v>
      </c>
      <c r="F10" s="184"/>
    </row>
    <row r="11" spans="1:6" ht="19" x14ac:dyDescent="0.45">
      <c r="A11" s="181"/>
      <c r="B11" s="265">
        <v>5</v>
      </c>
      <c r="C11" s="266" t="s">
        <v>668</v>
      </c>
      <c r="D11" s="267" t="s">
        <v>611</v>
      </c>
      <c r="E11" s="268">
        <f>E10*22%*50%</f>
        <v>100570966.13497998</v>
      </c>
      <c r="F11" s="184"/>
    </row>
    <row r="12" spans="1:6" ht="19" x14ac:dyDescent="0.45">
      <c r="A12" s="181"/>
      <c r="B12" s="265">
        <v>6</v>
      </c>
      <c r="C12" s="266" t="s">
        <v>669</v>
      </c>
      <c r="D12" s="267" t="s">
        <v>611</v>
      </c>
      <c r="E12" s="268">
        <f>'[1]Revenue-Cost_2024'!N22</f>
        <v>84973400</v>
      </c>
      <c r="F12" s="184"/>
    </row>
    <row r="13" spans="1:6" ht="19" x14ac:dyDescent="0.45">
      <c r="A13" s="181"/>
      <c r="B13" s="265">
        <v>7</v>
      </c>
      <c r="C13" s="266" t="s">
        <v>670</v>
      </c>
      <c r="D13" s="267" t="s">
        <v>611</v>
      </c>
      <c r="E13" s="269">
        <f>E11-E12</f>
        <v>15597566.134979978</v>
      </c>
      <c r="F13" s="184"/>
    </row>
    <row r="14" spans="1:6" ht="19" x14ac:dyDescent="0.45">
      <c r="A14" s="181"/>
      <c r="B14" s="265">
        <v>8</v>
      </c>
      <c r="C14" s="266" t="s">
        <v>671</v>
      </c>
      <c r="D14" s="267" t="s">
        <v>611</v>
      </c>
      <c r="E14" s="268">
        <f>E10-E13</f>
        <v>898683944.18301988</v>
      </c>
      <c r="F14" s="184"/>
    </row>
    <row r="15" spans="1:6" ht="19" x14ac:dyDescent="0.45">
      <c r="A15" s="181"/>
      <c r="B15" s="265">
        <v>9</v>
      </c>
      <c r="C15" s="266" t="s">
        <v>672</v>
      </c>
      <c r="D15" s="267" t="s">
        <v>611</v>
      </c>
      <c r="E15" s="268">
        <v>858000000</v>
      </c>
      <c r="F15" s="184"/>
    </row>
    <row r="16" spans="1:6" ht="19" x14ac:dyDescent="0.45">
      <c r="A16" s="181"/>
      <c r="B16" s="265">
        <v>10</v>
      </c>
      <c r="C16" s="266" t="s">
        <v>673</v>
      </c>
      <c r="D16" s="267" t="s">
        <v>611</v>
      </c>
      <c r="E16" s="268">
        <f>E14-E15</f>
        <v>40683944.183019876</v>
      </c>
      <c r="F16" s="184"/>
    </row>
    <row r="17" spans="1:7" x14ac:dyDescent="0.35">
      <c r="A17" s="181"/>
      <c r="B17" s="181"/>
      <c r="C17" s="181"/>
      <c r="D17" s="181"/>
      <c r="E17" s="182"/>
      <c r="F17" s="184"/>
    </row>
    <row r="18" spans="1:7" ht="18" x14ac:dyDescent="0.4">
      <c r="A18" s="181"/>
      <c r="B18" s="270" t="s">
        <v>674</v>
      </c>
      <c r="F18" s="184"/>
    </row>
    <row r="19" spans="1:7" ht="19" x14ac:dyDescent="0.45">
      <c r="A19" s="181"/>
      <c r="B19" s="271">
        <v>1</v>
      </c>
      <c r="C19" s="272" t="s">
        <v>675</v>
      </c>
      <c r="D19" s="266" t="s">
        <v>611</v>
      </c>
      <c r="E19" s="273">
        <f>E15/2</f>
        <v>429000000</v>
      </c>
      <c r="F19" s="184"/>
      <c r="G19" s="183" t="s">
        <v>676</v>
      </c>
    </row>
    <row r="20" spans="1:7" ht="19" x14ac:dyDescent="0.45">
      <c r="A20" s="181"/>
      <c r="B20" s="271">
        <v>2</v>
      </c>
      <c r="C20" s="272" t="s">
        <v>677</v>
      </c>
      <c r="D20" s="266" t="s">
        <v>611</v>
      </c>
      <c r="E20" s="273">
        <f>E15/2</f>
        <v>429000000</v>
      </c>
      <c r="F20" s="184"/>
      <c r="G20" s="183" t="s">
        <v>676</v>
      </c>
    </row>
    <row r="21" spans="1:7" ht="48.75" customHeight="1" x14ac:dyDescent="0.35">
      <c r="A21" s="197"/>
      <c r="F21" s="184"/>
    </row>
    <row r="22" spans="1:7" x14ac:dyDescent="0.35">
      <c r="A22" s="197"/>
      <c r="F22" s="184"/>
    </row>
    <row r="63" s="183" customFormat="1" ht="64.5" customHeight="1" x14ac:dyDescent="0.35"/>
  </sheetData>
  <mergeCells count="3">
    <mergeCell ref="B3:E3"/>
    <mergeCell ref="B4:E4"/>
    <mergeCell ref="D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Revenue-Cost_2024</vt:lpstr>
      <vt:lpstr>Laba rugi -2024</vt:lpstr>
      <vt:lpstr>Business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Diofavian - Student</dc:creator>
  <cp:lastModifiedBy>Diofavian - Student</cp:lastModifiedBy>
  <dcterms:created xsi:type="dcterms:W3CDTF">2026-02-22T22:22:44Z</dcterms:created>
  <dcterms:modified xsi:type="dcterms:W3CDTF">2026-03-11T02:28:54Z</dcterms:modified>
</cp:coreProperties>
</file>