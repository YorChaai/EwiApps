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xmlns:r="http://schemas.openxmlformats.org/officeDocument/2006/relationships" name="Revenue-Cost_2024" sheetId="1" state="visible" r:id="rId1"/>
    <sheet xmlns:r="http://schemas.openxmlformats.org/officeDocument/2006/relationships" name="Laba rugi -2024" sheetId="2" state="visible" r:id="rId2"/>
    <sheet xmlns:r="http://schemas.openxmlformats.org/officeDocument/2006/relationships" name="Business Summar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2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</numFmts>
  <fonts count="3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</fonts>
  <fills count="10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33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71" fontId="29" fillId="6" borderId="2" pivotButton="0" quotePrefix="0" xfId="9"/>
    <xf numFmtId="171" fontId="30" fillId="6" borderId="3" pivotButton="0" quotePrefix="0" xfId="9"/>
    <xf numFmtId="171" fontId="29" fillId="6" borderId="10" pivotButton="0" quotePrefix="0" xfId="9"/>
    <xf numFmtId="171" fontId="29" fillId="6" borderId="12" pivotButton="0" quotePrefix="0" xfId="9"/>
    <xf numFmtId="171" fontId="30" fillId="6" borderId="12" pivotButton="0" quotePrefix="0" xfId="9"/>
    <xf numFmtId="171" fontId="30" fillId="6" borderId="2" pivotButton="0" quotePrefix="0" xfId="9"/>
    <xf numFmtId="171" fontId="29" fillId="6" borderId="15" applyAlignment="1" pivotButton="0" quotePrefix="0" xfId="9">
      <alignment horizontal="left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161656" y="51470"/>
          <a:ext cx="2941698" cy="74718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>
        <f>SUM(F8:F21)</f>
        <v/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>
        <f>SUM(N8:N21)</f>
        <v/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E27" s="279" t="n"/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14" t="n">
        <v>45302</v>
      </c>
      <c r="C41" s="15" t="n">
        <v>1</v>
      </c>
      <c r="D41" s="18" t="inlineStr">
        <is>
          <t>ALFA Service PDP-075 Pertamina Zona#4 - Rental Tool</t>
        </is>
      </c>
      <c r="E41" s="18" t="inlineStr">
        <is>
          <t>BCA</t>
        </is>
      </c>
      <c r="F41" s="25" t="n">
        <v>29640916</v>
      </c>
      <c r="G41" s="60" t="inlineStr">
        <is>
          <t>IDR</t>
        </is>
      </c>
      <c r="H41" s="60" t="n">
        <v>1</v>
      </c>
      <c r="I41" s="61" t="n"/>
      <c r="J41" s="61" t="n"/>
      <c r="K41" s="62">
        <f>$F41*$H41</f>
        <v/>
      </c>
      <c r="L41" s="44" t="n"/>
      <c r="M41" s="44" t="n"/>
      <c r="N41" s="44" t="n"/>
      <c r="O41" s="44" t="n"/>
      <c r="P41" s="44" t="n"/>
      <c r="Q41" s="44" t="n"/>
    </row>
    <row r="42" ht="15.5" customHeight="1" s="297">
      <c r="B42" s="14" t="n">
        <v>45302</v>
      </c>
      <c r="C42" s="15" t="n">
        <v>2</v>
      </c>
      <c r="D42" s="18" t="inlineStr">
        <is>
          <t>ALFA Service PDS-01ST Pertamina Zona#4 - Rental Tool</t>
        </is>
      </c>
      <c r="E42" s="18" t="inlineStr">
        <is>
          <t>BCA</t>
        </is>
      </c>
      <c r="F42" s="25" t="n">
        <v>29640916</v>
      </c>
      <c r="G42" s="60" t="inlineStr">
        <is>
          <t>IDR</t>
        </is>
      </c>
      <c r="H42" s="60" t="n">
        <v>1</v>
      </c>
      <c r="I42" s="61" t="n"/>
      <c r="J42" s="61" t="n"/>
      <c r="K42" s="62">
        <f>$F42*$H42</f>
        <v/>
      </c>
      <c r="L42" s="44" t="n"/>
      <c r="M42" s="44" t="n"/>
      <c r="N42" s="44" t="n"/>
      <c r="O42" s="44" t="n"/>
      <c r="P42" s="44" t="n"/>
      <c r="Q42" s="44" t="n"/>
    </row>
    <row r="43" ht="15.5" customHeight="1" s="297">
      <c r="B43" s="14" t="n">
        <v>45302</v>
      </c>
      <c r="C43" s="15" t="n">
        <v>3</v>
      </c>
      <c r="D43" s="18" t="inlineStr">
        <is>
          <t>ALFA Service JRK-254 Pertamina Zona#4 - Rental Tool</t>
        </is>
      </c>
      <c r="E43" s="18" t="inlineStr">
        <is>
          <t>BCA</t>
        </is>
      </c>
      <c r="F43" s="25" t="n">
        <v>29640916</v>
      </c>
      <c r="G43" s="60" t="inlineStr">
        <is>
          <t>IDR</t>
        </is>
      </c>
      <c r="H43" s="60" t="n">
        <v>1</v>
      </c>
      <c r="I43" s="61" t="n"/>
      <c r="J43" s="61" t="n"/>
      <c r="K43" s="62">
        <f>$F43*$H43</f>
        <v/>
      </c>
      <c r="L43" s="44" t="n"/>
      <c r="M43" s="44" t="n"/>
      <c r="N43" s="44" t="n"/>
      <c r="O43" s="44" t="n"/>
      <c r="P43" s="44" t="n"/>
      <c r="Q43" s="44" t="n"/>
    </row>
    <row r="44" ht="15.5" customHeight="1" s="297">
      <c r="B44" s="14" t="n">
        <v>45304</v>
      </c>
      <c r="C44" s="15" t="n">
        <v>4</v>
      </c>
      <c r="D44" s="63" t="inlineStr">
        <is>
          <t>Sales cost 4 Well Integrity Pertamina Z.4</t>
        </is>
      </c>
      <c r="E44" s="63" t="inlineStr">
        <is>
          <t>BRI</t>
        </is>
      </c>
      <c r="F44" s="25" t="n">
        <v>77672400</v>
      </c>
      <c r="G44" s="64" t="inlineStr">
        <is>
          <t>IDR</t>
        </is>
      </c>
      <c r="H44" s="60" t="n">
        <v>1</v>
      </c>
      <c r="I44" s="62">
        <f>$F44*$H44</f>
        <v/>
      </c>
      <c r="J44" s="44" t="n"/>
      <c r="K44" s="310" t="n"/>
      <c r="L44" s="44" t="n"/>
      <c r="M44" s="44" t="n"/>
      <c r="N44" s="44" t="n"/>
      <c r="O44" s="44" t="n"/>
      <c r="P44" s="44" t="n"/>
      <c r="Q44" s="44" t="n"/>
    </row>
    <row r="45" ht="15.5" customHeight="1" s="297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311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t="15.5" customHeight="1" s="297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311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t="15.5" customHeight="1" s="297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312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t="15.5" customHeight="1" s="297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174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t="15.5" customHeight="1" s="297">
      <c r="B49" s="292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174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t="15.5" customHeight="1" s="297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313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t="15.5" customHeight="1" s="297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312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176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312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176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314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314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314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314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314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310" t="n"/>
      <c r="L61" s="44" t="n"/>
      <c r="M61" s="44" t="n"/>
      <c r="N61" s="44" t="n"/>
      <c r="O61" s="44" t="n"/>
      <c r="P61" s="44" t="n"/>
      <c r="Q61" s="44" t="n"/>
    </row>
    <row r="62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314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314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314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314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314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t="15.5" customHeight="1" s="297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314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t="15.5" customHeight="1" s="297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t="15.5" customHeight="1" s="297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314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t="15.5" customHeight="1" s="297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314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315">
        <f>F70</f>
        <v/>
      </c>
      <c r="O70" s="44" t="n"/>
      <c r="P70" s="44" t="n"/>
      <c r="Q70" s="44" t="n"/>
    </row>
    <row r="71" ht="15.5" customHeight="1" s="297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314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315">
        <f>F71</f>
        <v/>
      </c>
      <c r="M71" s="44" t="n"/>
      <c r="N71" s="44" t="n"/>
      <c r="O71" s="44" t="n"/>
      <c r="P71" s="44" t="n"/>
      <c r="Q71" s="44" t="n"/>
    </row>
    <row r="72" ht="15.5" customHeight="1" s="297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314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t="15.5" customHeight="1" s="297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t="15.5" customHeight="1" s="297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t="15.5" customHeight="1" s="297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t="15.5" customHeight="1" s="297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314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315">
        <f>F76</f>
        <v/>
      </c>
      <c r="O76" s="44" t="n"/>
      <c r="P76" s="44" t="n"/>
      <c r="Q76" s="44" t="n"/>
    </row>
    <row r="77" ht="15.5" customHeight="1" s="297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310" t="n"/>
      <c r="L77" s="44" t="n"/>
      <c r="M77" s="44" t="n"/>
      <c r="N77" s="44" t="n"/>
      <c r="O77" s="44" t="n"/>
      <c r="P77" s="44" t="n"/>
      <c r="Q77" s="44" t="n"/>
    </row>
    <row r="78" ht="15.5" customHeight="1" s="297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310" t="n"/>
      <c r="L78" s="44" t="n"/>
      <c r="M78" s="44" t="n"/>
      <c r="N78" s="44" t="n"/>
      <c r="O78" s="44" t="n"/>
      <c r="P78" s="44" t="n"/>
      <c r="Q78" s="44" t="n"/>
    </row>
    <row r="79" ht="15.5" customHeight="1" s="297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t="15.5" customHeight="1" s="297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t="15.5" customHeight="1" s="297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177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t="15.5" customHeight="1" s="297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t="15.5" customHeight="1" s="297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t="15.5" customHeight="1" s="297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t="15.5" customHeight="1" s="297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310" t="n"/>
      <c r="L85" s="62">
        <f>F85</f>
        <v/>
      </c>
      <c r="M85" s="44" t="n"/>
      <c r="N85" s="44" t="n"/>
      <c r="O85" s="44" t="n"/>
      <c r="P85" s="44" t="n"/>
      <c r="Q85" s="44" t="n"/>
    </row>
    <row r="86" ht="15.5" customHeight="1" s="297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310" t="n"/>
      <c r="L86" s="44" t="n"/>
      <c r="M86" s="44" t="n"/>
      <c r="N86" s="44" t="n"/>
      <c r="O86" s="44" t="n"/>
      <c r="P86" s="44" t="n"/>
      <c r="Q86" s="44" t="n"/>
    </row>
    <row r="87" ht="15.5" customHeight="1" s="297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t="15.5" customHeight="1" s="297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310" t="n"/>
      <c r="L88" s="44" t="n"/>
      <c r="M88" s="44" t="n"/>
      <c r="N88" s="44" t="n"/>
      <c r="O88" s="44" t="n"/>
      <c r="P88" s="44" t="n"/>
      <c r="Q88" s="44" t="n"/>
    </row>
    <row r="89" ht="15.5" customHeight="1" s="297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310" t="n"/>
      <c r="L89" s="44" t="n"/>
      <c r="M89" s="44" t="n"/>
      <c r="N89" s="62">
        <f>F89</f>
        <v/>
      </c>
      <c r="O89" s="44" t="n"/>
      <c r="P89" s="44" t="n"/>
      <c r="Q89" s="44" t="n"/>
    </row>
    <row r="90" ht="15.5" customHeight="1" s="297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t="15.5" customHeight="1" s="297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314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315">
        <f>F91</f>
        <v/>
      </c>
      <c r="P91" s="44" t="n"/>
      <c r="Q91" s="44" t="n"/>
    </row>
    <row r="92" ht="15.5" customHeight="1" s="297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314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t="15.5" customHeight="1" s="297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314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t="15.5" customHeight="1" s="297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314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t="15.5" customHeight="1" s="297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t="15.5" customHeight="1" s="297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314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t="15.5" customHeight="1" s="297">
      <c r="B97" s="79" t="n"/>
      <c r="C97" s="80" t="n"/>
      <c r="D97" s="80" t="inlineStr">
        <is>
          <t>OPERATION COST AND OFFICE - Expenses Report</t>
        </is>
      </c>
      <c r="E97" s="80" t="n"/>
      <c r="F97" s="316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92" t="inlineStr">
        <is>
          <t>Transportation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 s="297">
      <c r="B100" s="24" t="n"/>
      <c r="C100" s="91" t="n"/>
      <c r="D100" s="94" t="inlineStr">
        <is>
          <t>Transportation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t="15.5" customHeight="1" s="297">
      <c r="B101" s="292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t="15.5" customHeight="1" s="297">
      <c r="B102" s="292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t="15.5" customHeight="1" s="297">
      <c r="B103" s="292" t="n"/>
      <c r="C103" s="91" t="n"/>
      <c r="D103" s="94" t="inlineStr">
        <is>
          <t>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t="15.5" customHeight="1" s="297">
      <c r="B104" s="292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t="15.5" customHeight="1" s="297">
      <c r="B105" s="292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t="15.5" customHeight="1" s="297">
      <c r="B106" s="292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t="15.5" customHeight="1" s="297">
      <c r="B107" s="292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t="15.5" customHeight="1" s="297">
      <c r="B108" s="292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t="15.5" customHeight="1" s="297">
      <c r="B109" s="292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t="15.5" customHeight="1" s="297">
      <c r="B110" s="292" t="n"/>
      <c r="C110" s="91" t="n"/>
      <c r="D110" s="97" t="inlineStr">
        <is>
          <t>Accommodation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t="15.5" customHeight="1" s="297">
      <c r="B111" s="292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t="15.5" customHeight="1" s="297">
      <c r="B112" s="292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t="15.5" customHeight="1" s="297">
      <c r="B113" s="292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t="15.5" customHeight="1" s="297">
      <c r="B114" s="292" t="n"/>
      <c r="C114" s="91" t="n"/>
      <c r="D114" s="97" t="inlineStr">
        <is>
          <t>Logistic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t="15.5" customHeight="1" s="297">
      <c r="B115" s="292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t="15.5" customHeight="1" s="297">
      <c r="B116" s="292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t="15.5" customHeight="1" s="297">
      <c r="B117" s="292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t="15.5" customHeight="1" s="297">
      <c r="B118" s="292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t="15.5" customHeight="1" s="297">
      <c r="B119" s="292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t="15.5" customHeight="1" s="297">
      <c r="B120" s="292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t="15.5" customHeight="1" s="297">
      <c r="B121" s="292" t="n"/>
      <c r="C121" s="91" t="n"/>
      <c r="D121" s="97" t="inlineStr">
        <is>
          <t>Meal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t="15.5" customHeight="1" s="297">
      <c r="B122" s="292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/>
      <c r="C123" s="91" t="n"/>
      <c r="D123" s="97" t="inlineStr">
        <is>
          <t>Meal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t="15.5" customHeight="1" s="297">
      <c r="B125" s="292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94" t="inlineStr">
        <is>
          <t>Transportation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t="15.5" customHeight="1" s="297">
      <c r="B130" s="292" t="n"/>
      <c r="C130" s="91" t="n"/>
      <c r="D130" s="94" t="inlineStr">
        <is>
          <t>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297">
      <c r="B131" s="292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t="15.5" customHeight="1" s="297">
      <c r="B132" s="292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/>
      <c r="C135" s="91" t="n"/>
      <c r="D135" s="97" t="inlineStr">
        <is>
          <t>Accommodation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t="15.5" customHeight="1" s="297">
      <c r="B136" s="292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t="15.5" customHeight="1" s="297">
      <c r="B137" s="292" t="n"/>
      <c r="C137" s="91" t="n"/>
      <c r="D137" s="97" t="inlineStr">
        <is>
          <t>Logistic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t="15.5" customHeight="1" s="297">
      <c r="B138" s="292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t="15.5" customHeight="1" s="297">
      <c r="B139" s="292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t="15.5" customHeight="1" s="297">
      <c r="B140" s="292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t="15.5" customHeight="1" s="297">
      <c r="B141" s="292" t="n"/>
      <c r="C141" s="91" t="n">
        <v>9</v>
      </c>
      <c r="D141" s="97" t="inlineStr">
        <is>
          <t>Meal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t="15.5" customHeight="1" s="297">
      <c r="B142" s="292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t="15.5" customHeight="1" s="297">
      <c r="B143" s="292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t="15.5" customHeight="1" s="297">
      <c r="B144" s="292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94" t="inlineStr">
        <is>
          <t>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/>
      <c r="C149" s="91" t="n"/>
      <c r="D149" s="97" t="inlineStr">
        <is>
          <t>Accommodation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t="15.5" customHeight="1" s="297">
      <c r="B150" s="292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t="15.5" customHeight="1" s="297">
      <c r="B151" s="292" t="n"/>
      <c r="C151" s="91" t="n"/>
      <c r="D151" s="97" t="inlineStr">
        <is>
          <t>Meal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t="15.5" customHeight="1" s="297">
      <c r="B152" s="292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t="15.5" customHeight="1" s="297">
      <c r="B153" s="292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t="15.5" customHeight="1" s="297">
      <c r="B154" s="292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t="15.5" customHeight="1" s="297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t="15.5" customHeight="1" s="297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t="15.5" customHeight="1" s="297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t="15.5" customHeight="1" s="297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t="15.5" customHeight="1" s="297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t="15.5" customHeight="1" s="297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t="15.5" customHeight="1" s="297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t="15.5" customHeight="1" s="297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t="15.5" customHeight="1" s="297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94" t="inlineStr">
        <is>
          <t>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t="15.5" customHeight="1" s="297">
      <c r="B169" s="292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97" t="inlineStr">
        <is>
          <t>Accommodation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t="15.5" customHeight="1" s="297">
      <c r="B171" s="292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t="15.5" customHeight="1" s="297">
      <c r="B172" s="292" t="n"/>
      <c r="C172" s="91" t="n"/>
      <c r="D172" s="97" t="inlineStr">
        <is>
          <t>Meal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t="15.5" customHeight="1" s="297">
      <c r="B173" s="292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t="15.5" customHeight="1" s="297">
      <c r="B174" s="292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t="15.5" customHeight="1" s="297">
      <c r="B175" s="292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t="15.5" customHeight="1" s="297">
      <c r="B176" s="292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t="15.5" customHeight="1" s="297">
      <c r="B177" s="292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t="15.5" customHeight="1" s="297">
      <c r="B178" s="292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t="15.5" customHeight="1" s="297">
      <c r="B179" s="292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t="15.5" customHeight="1" s="297">
      <c r="B180" s="292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t="15.5" customHeight="1" s="297">
      <c r="B181" s="292" t="n"/>
      <c r="C181" s="91" t="n"/>
      <c r="D181" s="97" t="inlineStr">
        <is>
          <t>Meal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t="15.5" customHeight="1" s="297">
      <c r="B182" s="292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t="15.5" customHeight="1" s="297">
      <c r="B183" s="292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317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t="15.5" customHeight="1" s="297">
      <c r="B184" s="292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t="15.5" customHeight="1" s="297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t="15.5" customHeight="1" s="297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18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18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t="15.5" customHeight="1" s="297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t="15.5" customHeight="1" s="297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t="15.5" customHeight="1" s="297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t="15.5" customHeight="1" s="297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t="15.5" customHeight="1" s="297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t="15.5" customHeight="1" s="297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t="15.5" customHeight="1" s="297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17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17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17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t="15.5" customHeight="1" s="297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t="15.5" customHeight="1" s="297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17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t="15.5" customHeight="1" s="297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t="15.5" customHeight="1" s="297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17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17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t="15.5" customHeight="1" s="297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t="15.5" customHeight="1" s="297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t="15.5" customHeight="1" s="297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t="15.5" customHeight="1" s="297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t="15.5" customHeight="1" s="297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t="15.5" customHeight="1" s="297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t="15.5" customHeight="1" s="297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319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17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t="15.5" customHeight="1" s="297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319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17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17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17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t="15.5" customHeight="1" s="297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17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t="15.5" customHeight="1" s="297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t="15.5" customHeight="1" s="297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t="15.5" customHeight="1" s="297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17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t="15.5" customHeight="1" s="297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t="15.5" customHeight="1" s="297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t="15.5" customHeight="1" s="297">
      <c r="B638" s="320" t="n">
        <v>45071</v>
      </c>
      <c r="C638" s="141" t="n"/>
      <c r="D638" s="145" t="inlineStr">
        <is>
          <t>Materai 15 pcs</t>
        </is>
      </c>
      <c r="E638" s="145" t="n"/>
      <c r="F638" s="321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t="15.5" customHeight="1" s="297">
      <c r="B639" s="320" t="n">
        <v>45085</v>
      </c>
      <c r="C639" s="141" t="n"/>
      <c r="D639" s="145" t="inlineStr">
        <is>
          <t>Plastic folder 3 pcs</t>
        </is>
      </c>
      <c r="E639" s="145" t="n"/>
      <c r="F639" s="322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t="15.5" customHeight="1" s="297">
      <c r="B640" s="320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t="15.5" customHeight="1" s="297">
      <c r="B641" s="320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t="15.5" customHeight="1" s="297">
      <c r="B642" s="320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t="15.5" customHeight="1" s="297">
      <c r="B643" s="320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t="15.5" customHeight="1" s="297">
      <c r="B644" s="320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t="15.5" customHeight="1" s="297">
      <c r="B645" s="320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t="15.5" customHeight="1" s="297">
      <c r="B646" s="320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t="15.5" customHeight="1" s="297">
      <c r="B647" s="320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t="15.5" customHeight="1" s="297">
      <c r="B648" s="320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320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t="15.5" customHeight="1" s="297">
      <c r="B650" s="320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t="15.5" customHeight="1" s="297">
      <c r="B651" s="320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t="15.5" customHeight="1" s="297">
      <c r="B653" s="320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t="15.5" customHeight="1" s="297">
      <c r="B654" s="320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t="15.5" customHeight="1" s="297">
      <c r="B655" s="320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t="15.5" customHeight="1" s="297">
      <c r="B656" s="320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t="15.5" customHeight="1" s="297">
      <c r="B657" s="320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t="15.5" customHeight="1" s="297">
      <c r="B658" s="320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t="15.5" customHeight="1" s="297">
      <c r="B659" s="320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t="15.5" customHeight="1" s="297">
      <c r="B660" s="320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t="15.5" customHeight="1" s="297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t="15.5" customHeight="1" s="297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t="15.5" customHeight="1" s="297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t="15.5" customHeight="1" s="297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23" t="n"/>
      <c r="K741" s="323" t="n"/>
      <c r="L741" s="323" t="n"/>
      <c r="M741" s="323" t="n"/>
      <c r="N741" s="323" t="n"/>
      <c r="O741" s="323" t="n"/>
      <c r="P741" s="120" t="n"/>
      <c r="Q741" s="120" t="n"/>
    </row>
    <row r="742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24" t="n"/>
      <c r="K742" s="324" t="n"/>
      <c r="L742" s="323" t="n"/>
      <c r="M742" s="324" t="n"/>
      <c r="N742" s="324" t="n"/>
      <c r="O742" s="323" t="n"/>
      <c r="P742" s="120" t="n"/>
      <c r="Q742" s="120" t="n"/>
    </row>
    <row r="743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24" t="n"/>
      <c r="K743" s="324" t="n"/>
      <c r="L743" s="323" t="n"/>
      <c r="M743" s="324" t="n"/>
      <c r="N743" s="324" t="n"/>
      <c r="O743" s="323" t="n"/>
      <c r="P743" s="120" t="n"/>
      <c r="Q743" s="120" t="n"/>
    </row>
    <row r="744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24" t="n"/>
      <c r="K744" s="324" t="n"/>
      <c r="L744" s="323" t="n"/>
      <c r="M744" s="324" t="n"/>
      <c r="N744" s="324" t="n"/>
      <c r="O744" s="323" t="n"/>
      <c r="P744" s="120" t="n"/>
      <c r="Q744" s="120" t="n"/>
    </row>
    <row r="745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24" t="n"/>
      <c r="K745" s="324" t="n"/>
      <c r="L745" s="323" t="n"/>
      <c r="M745" s="324" t="n"/>
      <c r="N745" s="324" t="n"/>
      <c r="O745" s="323" t="n"/>
      <c r="P745" s="120" t="n"/>
      <c r="Q745" s="120" t="n"/>
    </row>
    <row r="746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24" t="n"/>
      <c r="K746" s="324" t="n"/>
      <c r="L746" s="323" t="n"/>
      <c r="M746" s="324" t="n"/>
      <c r="N746" s="324" t="n"/>
      <c r="O746" s="323" t="n"/>
      <c r="P746" s="120" t="n"/>
      <c r="Q746" s="120" t="n"/>
    </row>
    <row r="747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24" t="n"/>
      <c r="K747" s="324" t="n"/>
      <c r="L747" s="323" t="n"/>
      <c r="M747" s="324" t="n"/>
      <c r="N747" s="324" t="n"/>
      <c r="O747" s="323" t="n"/>
      <c r="P747" s="120" t="n"/>
      <c r="Q747" s="120" t="n"/>
    </row>
    <row r="748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24" t="n"/>
      <c r="K748" s="324" t="n"/>
      <c r="L748" s="323" t="n"/>
      <c r="M748" s="324" t="n"/>
      <c r="N748" s="324" t="n"/>
      <c r="O748" s="323" t="n"/>
      <c r="P748" s="120" t="n"/>
      <c r="Q748" s="120" t="n"/>
    </row>
    <row r="749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24" t="n"/>
      <c r="K749" s="324" t="n"/>
      <c r="L749" s="324" t="n"/>
      <c r="M749" s="324" t="n"/>
      <c r="N749" s="324" t="n"/>
      <c r="O749" s="323" t="n"/>
      <c r="P749" s="120" t="n"/>
      <c r="Q749" s="120" t="n"/>
    </row>
    <row r="750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topLeftCell="A13" workbookViewId="0">
      <selection activeCell="E15" sqref="E15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38.36328125" customWidth="1" style="305" min="3" max="3"/>
    <col width="3.6328125" customWidth="1" style="305" min="4" max="4"/>
    <col width="30.08984375" customWidth="1" style="305" min="5" max="5"/>
    <col width="1.08984375" customWidth="1" style="305" min="6" max="6"/>
    <col width="5.54296875" customWidth="1" style="305" min="7" max="7"/>
    <col width="38.36328125" customWidth="1" style="305" min="8" max="8"/>
    <col width="3.6328125" customWidth="1" style="305" min="9" max="9"/>
    <col width="30.08984375" customWidth="1" style="305" min="10" max="10"/>
    <col width="9.08984375" customWidth="1" style="305" min="11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  <c r="G3" s="185" t="inlineStr">
        <is>
          <t>PT. EXSPAN WIRELINE INDONESIA</t>
        </is>
      </c>
      <c r="H3" s="185" t="n"/>
      <c r="I3" s="185" t="n"/>
      <c r="J3" s="185" t="n"/>
    </row>
    <row r="4" ht="20.5" customHeight="1" s="297">
      <c r="A4" s="181" t="n"/>
      <c r="B4" s="275" t="inlineStr">
        <is>
          <t>LABA RUGI | TAHUN 2024</t>
        </is>
      </c>
      <c r="F4" s="184" t="n"/>
      <c r="G4" s="186" t="inlineStr">
        <is>
          <t>NERACA | TAHUN YANG BERAKHIR, 31 DESEMBER 2024</t>
        </is>
      </c>
      <c r="H4" s="186" t="n"/>
      <c r="I4" s="186" t="n"/>
      <c r="J4" s="186" t="n"/>
    </row>
    <row r="5" ht="6" customHeight="1" s="297">
      <c r="A5" s="181" t="n"/>
      <c r="B5" s="181" t="n"/>
      <c r="C5" s="181" t="n"/>
      <c r="D5" s="181" t="n"/>
      <c r="E5" s="182" t="n"/>
      <c r="F5" s="184" t="n"/>
      <c r="G5" s="184" t="n"/>
      <c r="H5" s="187" t="n"/>
      <c r="I5" s="187" t="n"/>
      <c r="J5" s="187" t="n"/>
    </row>
    <row r="6" ht="15.5" customHeight="1" s="297">
      <c r="A6" s="181" t="n"/>
      <c r="B6" s="188" t="n"/>
      <c r="C6" s="189" t="n"/>
      <c r="D6" s="307" t="inlineStr">
        <is>
          <t>PT. Exspan Wireline Indonesia</t>
        </is>
      </c>
      <c r="E6" s="289" t="n"/>
      <c r="F6" s="184" t="n"/>
      <c r="G6" s="190" t="n"/>
      <c r="H6" s="191" t="n"/>
      <c r="I6" s="307" t="inlineStr">
        <is>
          <t>PT. Exspan Wireline Indonesia</t>
        </is>
      </c>
      <c r="J6" s="289" t="n"/>
    </row>
    <row r="7" ht="15.5" customHeight="1" s="297">
      <c r="A7" s="181" t="n"/>
      <c r="B7" s="192" t="n"/>
      <c r="C7" s="193" t="n"/>
      <c r="D7" s="308" t="inlineStr">
        <is>
          <t>(Rp)</t>
        </is>
      </c>
      <c r="E7" s="290" t="n"/>
      <c r="F7" s="184" t="n"/>
      <c r="G7" s="194" t="n"/>
      <c r="H7" s="195" t="n"/>
      <c r="I7" s="308" t="inlineStr">
        <is>
          <t>(Rp)</t>
        </is>
      </c>
      <c r="J7" s="290" t="n"/>
    </row>
    <row r="8">
      <c r="A8" s="181" t="n"/>
      <c r="B8" s="325" t="inlineStr">
        <is>
          <t>PENDAPATAN</t>
        </is>
      </c>
      <c r="C8" s="197" t="n"/>
      <c r="D8" s="198" t="n"/>
      <c r="E8" s="326" t="n"/>
      <c r="F8" s="184" t="n"/>
      <c r="G8" s="200" t="inlineStr">
        <is>
          <t>AKTIVA</t>
        </is>
      </c>
      <c r="H8" s="201" t="n"/>
      <c r="I8" s="202" t="n"/>
      <c r="J8" s="203" t="n"/>
    </row>
    <row r="9">
      <c r="A9" s="181" t="n"/>
      <c r="B9" s="204" t="n"/>
      <c r="C9" s="197" t="inlineStr">
        <is>
          <t>PENDAPATAN LANGSUNG</t>
        </is>
      </c>
      <c r="D9" s="204" t="inlineStr">
        <is>
          <t>Rp</t>
        </is>
      </c>
      <c r="E9" s="205" t="n">
        <v>0</v>
      </c>
      <c r="F9" s="184" t="n"/>
      <c r="G9" s="206" t="inlineStr">
        <is>
          <t>AKTIVA LANCAR</t>
        </is>
      </c>
      <c r="H9" s="207" t="n"/>
      <c r="I9" s="206" t="n"/>
      <c r="J9" s="208" t="n"/>
    </row>
    <row r="10">
      <c r="A10" s="181" t="n"/>
      <c r="B10" s="204" t="n"/>
      <c r="C10" s="197" t="inlineStr">
        <is>
          <t>PENDAPATAN LAIN LAIN</t>
        </is>
      </c>
      <c r="D10" s="204" t="inlineStr">
        <is>
          <t>Rp</t>
        </is>
      </c>
      <c r="E10" s="205" t="n">
        <v>0</v>
      </c>
      <c r="F10" s="184" t="n"/>
      <c r="G10" s="209" t="n"/>
      <c r="H10" s="210" t="inlineStr">
        <is>
          <t>KAS DAN SETARA KAS TAHUN SEBELUMNYA</t>
        </is>
      </c>
      <c r="I10" s="204" t="inlineStr">
        <is>
          <t>Rp</t>
        </is>
      </c>
      <c r="J10" s="211" t="n">
        <v>0</v>
      </c>
    </row>
    <row r="11">
      <c r="A11" s="181" t="n"/>
      <c r="B11" s="204" t="n"/>
      <c r="C11" s="197" t="n"/>
      <c r="D11" s="212" t="n"/>
      <c r="E11" s="213" t="n"/>
      <c r="F11" s="184" t="n"/>
      <c r="G11" s="209" t="n"/>
      <c r="H11" s="210" t="inlineStr">
        <is>
          <t>KAS DAN SETARA KAS TAHUN LAPORAN</t>
        </is>
      </c>
      <c r="I11" s="204" t="inlineStr">
        <is>
          <t>Rp</t>
        </is>
      </c>
      <c r="J11" s="211">
        <f>E46-'[2]Business Summary'!E13</f>
        <v/>
      </c>
    </row>
    <row r="12">
      <c r="A12" s="181" t="n"/>
      <c r="B12" s="327" t="inlineStr">
        <is>
          <t>TOTALPENDAPATAN</t>
        </is>
      </c>
      <c r="C12" s="215" t="n"/>
      <c r="D12" s="216" t="inlineStr">
        <is>
          <t>Rp</t>
        </is>
      </c>
      <c r="E12" s="217" t="n">
        <v>0</v>
      </c>
      <c r="F12" s="184" t="n"/>
      <c r="G12" s="209" t="n"/>
      <c r="H12" s="210" t="inlineStr">
        <is>
          <t>PIUTANG USAHA</t>
        </is>
      </c>
      <c r="I12" s="204" t="inlineStr">
        <is>
          <t>Rp</t>
        </is>
      </c>
      <c r="J12" s="211" t="n">
        <v>0</v>
      </c>
    </row>
    <row r="13">
      <c r="A13" s="181" t="n"/>
      <c r="B13" s="204" t="n"/>
      <c r="C13" s="197" t="n"/>
      <c r="D13" s="198" t="n"/>
      <c r="E13" s="218" t="n"/>
      <c r="F13" s="184" t="n"/>
      <c r="G13" s="209" t="n"/>
      <c r="H13" s="210" t="inlineStr">
        <is>
          <t>PAJAK BAYAR DI MUKA (pph23)</t>
        </is>
      </c>
      <c r="I13" s="204" t="inlineStr">
        <is>
          <t>Rp</t>
        </is>
      </c>
      <c r="J13" s="211" t="n">
        <v>0</v>
      </c>
    </row>
    <row r="14">
      <c r="A14" s="181" t="n"/>
      <c r="B14" s="328" t="inlineStr">
        <is>
          <t>BEBAN LANGSUNG</t>
        </is>
      </c>
      <c r="C14" s="197" t="n"/>
      <c r="D14" s="204" t="n"/>
      <c r="E14" s="220" t="n"/>
      <c r="F14" s="184" t="n"/>
      <c r="G14" s="209" t="n"/>
      <c r="H14" s="210" t="inlineStr">
        <is>
          <t>BIAYA BAYAR DI MUKA</t>
        </is>
      </c>
      <c r="I14" s="204" t="inlineStr">
        <is>
          <t>Rp</t>
        </is>
      </c>
      <c r="J14" s="211" t="n">
        <v>0</v>
      </c>
    </row>
    <row r="15">
      <c r="A15" s="181" t="n"/>
      <c r="B15" s="329" t="n"/>
      <c r="C15" s="197" t="inlineStr">
        <is>
          <t xml:space="preserve">Biaya Operasi </t>
        </is>
      </c>
      <c r="D15" s="204" t="inlineStr">
        <is>
          <t>Rp</t>
        </is>
      </c>
      <c r="E15" s="220" t="n">
        <v>0</v>
      </c>
      <c r="F15" s="184" t="n"/>
      <c r="G15" s="222" t="n"/>
      <c r="H15" s="210" t="inlineStr">
        <is>
          <t>PIUTANG LAIN LAIN</t>
        </is>
      </c>
      <c r="I15" s="204" t="inlineStr">
        <is>
          <t>Rp</t>
        </is>
      </c>
      <c r="J15" s="211" t="n">
        <v>0</v>
      </c>
    </row>
    <row r="16">
      <c r="A16" s="181" t="n"/>
      <c r="B16" s="329" t="n"/>
      <c r="C16" s="197" t="inlineStr">
        <is>
          <t>Biaya research (R &amp; D)</t>
        </is>
      </c>
      <c r="D16" s="204" t="inlineStr">
        <is>
          <t>Rp</t>
        </is>
      </c>
      <c r="E16" s="220" t="n">
        <v>0</v>
      </c>
      <c r="F16" s="184" t="n"/>
      <c r="G16" s="223" t="n"/>
      <c r="H16" s="224" t="inlineStr">
        <is>
          <t>TOTAL AKTIVA LANCAR</t>
        </is>
      </c>
      <c r="I16" s="216" t="inlineStr">
        <is>
          <t>Rp</t>
        </is>
      </c>
      <c r="J16" s="225">
        <f>SUM(J10:J14)</f>
        <v/>
      </c>
    </row>
    <row r="17">
      <c r="A17" s="181" t="n"/>
      <c r="B17" s="329" t="n"/>
      <c r="C17" s="197" t="inlineStr">
        <is>
          <t>BIAYA SEWA PERALATAN</t>
        </is>
      </c>
      <c r="D17" s="204" t="inlineStr">
        <is>
          <t>Rp</t>
        </is>
      </c>
      <c r="E17" s="220" t="n">
        <v>0</v>
      </c>
      <c r="F17" s="184" t="n"/>
      <c r="G17" s="209" t="n"/>
      <c r="H17" s="210" t="n"/>
      <c r="I17" s="226" t="n"/>
      <c r="J17" s="227" t="n"/>
    </row>
    <row r="18">
      <c r="A18" s="181" t="n"/>
      <c r="B18" s="329" t="n"/>
      <c r="C18" s="197" t="inlineStr">
        <is>
          <t>BIAYA Data Processing</t>
        </is>
      </c>
      <c r="D18" s="204" t="inlineStr">
        <is>
          <t>Rp</t>
        </is>
      </c>
      <c r="E18" s="220" t="n">
        <v>0</v>
      </c>
      <c r="F18" s="184" t="n"/>
      <c r="G18" s="206" t="inlineStr">
        <is>
          <t>ACTIVA TETAP</t>
        </is>
      </c>
      <c r="H18" s="228" t="n"/>
      <c r="I18" s="200" t="n"/>
      <c r="J18" s="211" t="n"/>
    </row>
    <row r="19">
      <c r="A19" s="181" t="n"/>
      <c r="B19" s="329" t="n"/>
      <c r="C19" s="197" t="n"/>
      <c r="D19" s="204" t="n"/>
      <c r="E19" s="220" t="n"/>
      <c r="F19" s="184" t="n"/>
      <c r="G19" s="206" t="n"/>
      <c r="H19" s="228" t="n"/>
      <c r="I19" s="200" t="n"/>
      <c r="J19" s="211" t="n"/>
    </row>
    <row r="20">
      <c r="A20" s="181" t="n"/>
      <c r="B20" s="329" t="n"/>
      <c r="C20" s="197" t="n"/>
      <c r="D20" s="212" t="n"/>
      <c r="E20" s="229" t="n"/>
      <c r="F20" s="184" t="n"/>
      <c r="G20" s="209" t="n"/>
      <c r="H20" s="210" t="inlineStr">
        <is>
          <t>INVENTARIS KANTOR</t>
        </is>
      </c>
      <c r="I20" s="204" t="inlineStr">
        <is>
          <t>Rp</t>
        </is>
      </c>
      <c r="J20" s="211" t="n">
        <v>0</v>
      </c>
    </row>
    <row r="21">
      <c r="A21" s="181" t="n"/>
      <c r="B21" s="327" t="inlineStr">
        <is>
          <t>TOTAL BIAYA LANGSUNG</t>
        </is>
      </c>
      <c r="C21" s="215" t="n"/>
      <c r="D21" s="216" t="inlineStr">
        <is>
          <t>Rp</t>
        </is>
      </c>
      <c r="E21" s="230" t="n">
        <v>0</v>
      </c>
      <c r="F21" s="184" t="n"/>
      <c r="G21" s="209" t="n"/>
      <c r="H21" s="228" t="n"/>
      <c r="I21" s="231" t="n"/>
      <c r="J21" s="232" t="n"/>
    </row>
    <row r="22">
      <c r="A22" s="181" t="n"/>
      <c r="B22" s="204" t="n"/>
      <c r="C22" s="197" t="n"/>
      <c r="D22" s="198" t="n"/>
      <c r="E22" s="233" t="n"/>
      <c r="F22" s="184" t="n"/>
      <c r="G22" s="223" t="n"/>
      <c r="H22" s="224" t="inlineStr">
        <is>
          <t>TOTAL AKTIVA TETAP</t>
        </is>
      </c>
      <c r="I22" s="216" t="inlineStr">
        <is>
          <t>Rp</t>
        </is>
      </c>
      <c r="J22" s="225">
        <f>J20</f>
        <v/>
      </c>
    </row>
    <row r="23">
      <c r="A23" s="181" t="n"/>
      <c r="B23" s="328" t="inlineStr">
        <is>
          <t>BEBAN TIDAK LANGSUNG</t>
        </is>
      </c>
      <c r="C23" s="197" t="n"/>
      <c r="D23" s="204" t="n"/>
      <c r="E23" s="220" t="n">
        <v>0</v>
      </c>
      <c r="F23" s="184" t="n"/>
      <c r="G23" s="209" t="n"/>
      <c r="H23" s="210" t="n"/>
      <c r="I23" s="226" t="n"/>
      <c r="J23" s="203" t="n"/>
    </row>
    <row r="24">
      <c r="A24" s="181" t="n"/>
      <c r="B24" s="204" t="n"/>
      <c r="C24" s="197" t="n"/>
      <c r="D24" s="204" t="n"/>
      <c r="E24" s="220" t="n"/>
      <c r="F24" s="184" t="n"/>
      <c r="G24" s="206" t="inlineStr">
        <is>
          <t>ACTIVA LAIN LAIN</t>
        </is>
      </c>
      <c r="H24" s="228" t="n"/>
      <c r="I24" s="200" t="n"/>
      <c r="J24" s="211" t="n">
        <v>0</v>
      </c>
    </row>
    <row r="25">
      <c r="A25" s="181" t="n"/>
      <c r="B25" s="204" t="n"/>
      <c r="C25" s="197" t="n"/>
      <c r="D25" s="204" t="inlineStr">
        <is>
          <t>Rp</t>
        </is>
      </c>
      <c r="E25" s="220" t="n"/>
      <c r="F25" s="184" t="n"/>
      <c r="G25" s="209" t="n"/>
      <c r="H25" s="210" t="n"/>
      <c r="I25" s="234" t="n"/>
      <c r="J25" s="235" t="n"/>
    </row>
    <row r="26">
      <c r="A26" s="181" t="n"/>
      <c r="B26" s="204" t="n"/>
      <c r="C26" s="197" t="n"/>
      <c r="D26" s="212" t="n"/>
      <c r="E26" s="229" t="n"/>
      <c r="F26" s="184" t="n"/>
      <c r="G26" s="223" t="n"/>
      <c r="H26" s="224" t="inlineStr">
        <is>
          <t>TOTAL AKTIVA LAIN LAIN</t>
        </is>
      </c>
      <c r="I26" s="216" t="inlineStr">
        <is>
          <t>Rp</t>
        </is>
      </c>
      <c r="J26" s="225">
        <f>SUM(J25:J25)</f>
        <v/>
      </c>
    </row>
    <row r="27">
      <c r="A27" s="181" t="n"/>
      <c r="B27" s="327" t="inlineStr">
        <is>
          <t>TOTAL BIAYA TIDAK LANGSUNG</t>
        </is>
      </c>
      <c r="C27" s="215" t="n"/>
      <c r="D27" s="216" t="inlineStr">
        <is>
          <t>Rp</t>
        </is>
      </c>
      <c r="E27" s="230" t="n">
        <v>0</v>
      </c>
      <c r="F27" s="184" t="n"/>
      <c r="G27" s="209" t="n"/>
      <c r="H27" s="210" t="n"/>
      <c r="I27" s="236" t="n"/>
      <c r="J27" s="237" t="n"/>
    </row>
    <row r="28">
      <c r="A28" s="181" t="n"/>
      <c r="B28" s="204" t="n"/>
      <c r="C28" s="197" t="n"/>
      <c r="D28" s="198" t="n"/>
      <c r="E28" s="233" t="n"/>
      <c r="F28" s="184" t="n"/>
      <c r="G28" s="327" t="inlineStr">
        <is>
          <t>TOTAL AKTIVA</t>
        </is>
      </c>
      <c r="H28" s="215" t="n"/>
      <c r="I28" s="216" t="inlineStr">
        <is>
          <t>Rp</t>
        </is>
      </c>
      <c r="J28" s="238">
        <f>J26+J22+J16</f>
        <v/>
      </c>
    </row>
    <row r="29">
      <c r="A29" s="181" t="n"/>
      <c r="B29" s="328" t="inlineStr">
        <is>
          <t>BIAYA ADMINISTRASI DAN UMUM</t>
        </is>
      </c>
      <c r="C29" s="197" t="n"/>
      <c r="D29" s="204" t="n"/>
      <c r="E29" s="220" t="n"/>
      <c r="F29" s="184" t="n"/>
      <c r="G29" s="239" t="n"/>
      <c r="H29" s="240" t="n"/>
      <c r="I29" s="239" t="n"/>
      <c r="J29" s="227" t="n"/>
    </row>
    <row r="30">
      <c r="A30" s="181" t="n"/>
      <c r="B30" s="329" t="n"/>
      <c r="C30" s="197" t="inlineStr">
        <is>
          <t>BIAYA ADMINISTRASI</t>
        </is>
      </c>
      <c r="D30" s="204" t="inlineStr">
        <is>
          <t>Rp</t>
        </is>
      </c>
      <c r="E30" s="220" t="n">
        <v>0</v>
      </c>
      <c r="F30" s="184" t="n"/>
      <c r="G30" s="241" t="inlineStr">
        <is>
          <t>HUTANG DAN MODAL</t>
        </is>
      </c>
      <c r="H30" s="201" t="n"/>
      <c r="I30" s="241" t="n"/>
      <c r="J30" s="242" t="n"/>
    </row>
    <row r="31">
      <c r="A31" s="181" t="n"/>
      <c r="B31" s="329" t="n"/>
      <c r="C31" s="197" t="inlineStr">
        <is>
          <t>BIAYA PEMBELIAN Barang</t>
        </is>
      </c>
      <c r="D31" s="204" t="inlineStr">
        <is>
          <t>Rp</t>
        </is>
      </c>
      <c r="E31" s="220" t="n">
        <v>0</v>
      </c>
      <c r="F31" s="184" t="n"/>
      <c r="G31" s="241" t="n"/>
      <c r="H31" s="201" t="n"/>
      <c r="I31" s="241" t="n"/>
      <c r="J31" s="242" t="n"/>
    </row>
    <row r="32">
      <c r="A32" s="181" t="n"/>
      <c r="B32" s="329" t="n"/>
      <c r="C32" s="197" t="inlineStr">
        <is>
          <t>BIAYA SEWA KANTOR</t>
        </is>
      </c>
      <c r="D32" s="204" t="inlineStr">
        <is>
          <t>Rp</t>
        </is>
      </c>
      <c r="E32" s="220" t="n">
        <v>0</v>
      </c>
      <c r="F32" s="184" t="n"/>
      <c r="G32" s="206" t="inlineStr">
        <is>
          <t>HUTANG LANCAR</t>
        </is>
      </c>
      <c r="H32" s="207" t="n"/>
      <c r="I32" s="206" t="n"/>
      <c r="J32" s="208" t="n"/>
    </row>
    <row r="33">
      <c r="A33" s="181" t="n"/>
      <c r="B33" s="329" t="n"/>
      <c r="C33" s="197" t="inlineStr">
        <is>
          <t>BIAYA KESEHATAN</t>
        </is>
      </c>
      <c r="D33" s="204" t="inlineStr">
        <is>
          <t>Rp</t>
        </is>
      </c>
      <c r="E33" s="220" t="n">
        <v>0</v>
      </c>
      <c r="F33" s="184" t="n"/>
      <c r="G33" s="209" t="n"/>
      <c r="H33" s="210" t="inlineStr">
        <is>
          <t>HUTANG USAHA</t>
        </is>
      </c>
      <c r="I33" s="204" t="inlineStr">
        <is>
          <t>Rp</t>
        </is>
      </c>
      <c r="J33" s="211" t="n">
        <v>0</v>
      </c>
    </row>
    <row r="34">
      <c r="A34" s="181" t="n"/>
      <c r="B34" s="329" t="n"/>
      <c r="C34" s="197" t="n"/>
      <c r="D34" s="212" t="n"/>
      <c r="E34" s="229" t="n"/>
      <c r="F34" s="184" t="n"/>
      <c r="G34" s="209" t="n"/>
      <c r="H34" s="243" t="inlineStr">
        <is>
          <t>HUTANG GAJI</t>
        </is>
      </c>
      <c r="I34" s="204" t="inlineStr">
        <is>
          <t>Rp</t>
        </is>
      </c>
      <c r="J34" s="244" t="n">
        <v>0</v>
      </c>
    </row>
    <row r="35">
      <c r="A35" s="181" t="n"/>
      <c r="B35" s="327" t="inlineStr">
        <is>
          <t>TOTAL BIAYA ADMINISTRASI DAN UMUM</t>
        </is>
      </c>
      <c r="C35" s="215" t="n"/>
      <c r="D35" s="216" t="inlineStr">
        <is>
          <t>Rp</t>
        </is>
      </c>
      <c r="E35" s="217" t="n">
        <v>0</v>
      </c>
      <c r="F35" s="184" t="n"/>
      <c r="G35" s="209" t="n"/>
      <c r="H35" s="210" t="inlineStr">
        <is>
          <t>HUTANG PEMEGANG SAHAM</t>
        </is>
      </c>
      <c r="I35" s="204" t="inlineStr">
        <is>
          <t>Rp</t>
        </is>
      </c>
      <c r="J35" s="211" t="n">
        <v>0</v>
      </c>
    </row>
    <row r="36">
      <c r="A36" s="181" t="n"/>
      <c r="B36" s="329" t="n"/>
      <c r="C36" s="197" t="n"/>
      <c r="D36" s="216" t="n"/>
      <c r="E36" s="245" t="n"/>
      <c r="F36" s="184" t="n"/>
      <c r="G36" s="209" t="n"/>
      <c r="H36" s="210" t="inlineStr">
        <is>
          <t>BIAYA YANG MASIH HARUS DI BAYAR</t>
        </is>
      </c>
      <c r="I36" s="204" t="inlineStr">
        <is>
          <t>Rp</t>
        </is>
      </c>
      <c r="J36" s="211" t="n">
        <v>0</v>
      </c>
    </row>
    <row r="37">
      <c r="A37" s="181" t="n"/>
      <c r="B37" s="327" t="inlineStr">
        <is>
          <t>TOTAL BIAYA</t>
        </is>
      </c>
      <c r="C37" s="215" t="n"/>
      <c r="D37" s="216" t="inlineStr">
        <is>
          <t>Rp</t>
        </is>
      </c>
      <c r="E37" s="217" t="n">
        <v>0</v>
      </c>
      <c r="F37" s="184" t="n"/>
      <c r="G37" s="246" t="n"/>
      <c r="H37" s="247" t="n"/>
      <c r="I37" s="246" t="n"/>
      <c r="J37" s="248" t="n"/>
    </row>
    <row r="38">
      <c r="A38" s="181" t="n"/>
      <c r="B38" s="325" t="n"/>
      <c r="C38" s="249" t="n"/>
      <c r="D38" s="198" t="n"/>
      <c r="E38" s="250" t="n"/>
      <c r="F38" s="184" t="n"/>
      <c r="G38" s="223" t="n"/>
      <c r="H38" s="224" t="inlineStr">
        <is>
          <t>TOTAL HUTANG LANCAR</t>
        </is>
      </c>
      <c r="I38" s="251" t="n"/>
      <c r="J38" s="225">
        <f>SUM(J33:J36)</f>
        <v/>
      </c>
    </row>
    <row r="39">
      <c r="A39" s="181" t="n"/>
      <c r="B39" s="328" t="inlineStr">
        <is>
          <t xml:space="preserve">PENDAPATAN/BEBAN LAIN LAIN </t>
        </is>
      </c>
      <c r="C39" s="197" t="n"/>
      <c r="D39" s="204" t="inlineStr">
        <is>
          <t>Rp</t>
        </is>
      </c>
      <c r="E39" s="252" t="n"/>
      <c r="F39" s="184" t="n"/>
      <c r="G39" s="209" t="n"/>
      <c r="H39" s="228" t="n"/>
      <c r="I39" s="253" t="n"/>
      <c r="J39" s="203" t="n"/>
    </row>
    <row r="40">
      <c r="A40" s="181" t="n"/>
      <c r="B40" s="328" t="n"/>
      <c r="C40" s="197" t="inlineStr">
        <is>
          <t>PENDAPATAN LAINNYA</t>
        </is>
      </c>
      <c r="D40" s="204" t="inlineStr">
        <is>
          <t>Rp</t>
        </is>
      </c>
      <c r="E40" s="205" t="n">
        <v>0</v>
      </c>
      <c r="F40" s="184" t="n"/>
      <c r="G40" s="206" t="inlineStr">
        <is>
          <t>MODAL</t>
        </is>
      </c>
      <c r="H40" s="207" t="n"/>
      <c r="I40" s="206" t="n"/>
      <c r="J40" s="208" t="n"/>
    </row>
    <row r="41">
      <c r="A41" s="181" t="n"/>
      <c r="B41" s="328" t="n"/>
      <c r="C41" s="197" t="n"/>
      <c r="D41" s="212" t="n"/>
      <c r="E41" s="254" t="n"/>
      <c r="F41" s="184" t="n"/>
      <c r="G41" s="209" t="n"/>
      <c r="H41" s="210" t="inlineStr">
        <is>
          <t>MODAL SAHAM</t>
        </is>
      </c>
      <c r="I41" s="204" t="inlineStr">
        <is>
          <t>Rp</t>
        </is>
      </c>
      <c r="J41" s="211" t="n">
        <v>0</v>
      </c>
    </row>
    <row r="42">
      <c r="A42" s="181" t="n"/>
      <c r="B42" s="327" t="inlineStr">
        <is>
          <t>LABA RUGI SEBELUM PAJAK</t>
        </is>
      </c>
      <c r="C42" s="215" t="n"/>
      <c r="D42" s="216" t="inlineStr">
        <is>
          <t>Rp</t>
        </is>
      </c>
      <c r="E42" s="217" t="n">
        <v>0</v>
      </c>
      <c r="F42" s="184" t="n"/>
      <c r="G42" s="209" t="n"/>
      <c r="H42" s="210" t="inlineStr">
        <is>
          <t>LABA DI TAHAN</t>
        </is>
      </c>
      <c r="I42" s="204" t="inlineStr">
        <is>
          <t>Rp</t>
        </is>
      </c>
      <c r="J42" s="211" t="n">
        <v>0</v>
      </c>
    </row>
    <row r="43">
      <c r="A43" s="181" t="n"/>
      <c r="B43" s="330" t="n"/>
      <c r="C43" s="249" t="n"/>
      <c r="D43" s="198" t="n"/>
      <c r="E43" s="218" t="n"/>
      <c r="F43" s="184" t="n"/>
      <c r="G43" s="206" t="n"/>
      <c r="H43" s="210" t="inlineStr">
        <is>
          <t>TOTAL LABA (RUGI) DITAHAN</t>
        </is>
      </c>
      <c r="I43" s="212" t="inlineStr">
        <is>
          <t>Rp</t>
        </is>
      </c>
      <c r="J43" s="256">
        <f>J28</f>
        <v/>
      </c>
    </row>
    <row r="44">
      <c r="A44" s="181" t="n"/>
      <c r="B44" s="328" t="inlineStr">
        <is>
          <t>CORPORATE TAX (PPh 29)</t>
        </is>
      </c>
      <c r="D44" s="204" t="inlineStr">
        <is>
          <t>Rp</t>
        </is>
      </c>
      <c r="E44" s="205" t="n">
        <v>0</v>
      </c>
      <c r="F44" s="184" t="n"/>
      <c r="G44" s="223" t="n"/>
      <c r="H44" s="224" t="inlineStr">
        <is>
          <t>TOTAL MODAL</t>
        </is>
      </c>
      <c r="I44" s="216" t="inlineStr">
        <is>
          <t>Rp</t>
        </is>
      </c>
      <c r="J44" s="225">
        <f>SUM(J41:J43)</f>
        <v/>
      </c>
    </row>
    <row r="45">
      <c r="A45" s="181" t="n"/>
      <c r="B45" s="328" t="n"/>
      <c r="C45" s="197" t="n"/>
      <c r="D45" s="212" t="n"/>
      <c r="E45" s="254" t="n"/>
      <c r="F45" s="184" t="n"/>
      <c r="G45" s="209" t="n"/>
      <c r="H45" s="210" t="n"/>
      <c r="I45" s="236" t="n"/>
      <c r="J45" s="237" t="n"/>
    </row>
    <row r="46" ht="15" customHeight="1" s="297" thickBot="1">
      <c r="A46" s="181" t="n"/>
      <c r="B46" s="331" t="inlineStr">
        <is>
          <t>LABA / RUGI BERSIH</t>
        </is>
      </c>
      <c r="C46" s="303" t="n"/>
      <c r="D46" s="257" t="n"/>
      <c r="E46" s="258" t="n">
        <v>0</v>
      </c>
      <c r="F46" s="184" t="n"/>
      <c r="G46" s="259" t="inlineStr">
        <is>
          <t>TOTAL HUTANG DAN MODAL</t>
        </is>
      </c>
      <c r="H46" s="260" t="n"/>
      <c r="I46" s="257" t="inlineStr">
        <is>
          <t>Rp</t>
        </is>
      </c>
      <c r="J46" s="261">
        <f>J44+J38</f>
        <v/>
      </c>
    </row>
    <row r="47" ht="4.5" customHeight="1" s="297">
      <c r="A47" s="181" t="n"/>
      <c r="F47" s="184" t="n"/>
    </row>
    <row r="48" ht="50.65" customHeight="1" s="297">
      <c r="A48" s="181" t="n"/>
      <c r="F48" s="184" t="n"/>
      <c r="G48" s="262" t="n"/>
    </row>
    <row r="49" ht="16.75" customHeight="1" s="297">
      <c r="A49" s="181" t="n"/>
      <c r="B49" s="304" t="n"/>
      <c r="F49" s="184" t="n"/>
      <c r="G49" s="304" t="n"/>
    </row>
    <row r="50" ht="15.65" customHeight="1" s="297">
      <c r="A50" s="197" t="n"/>
      <c r="B50" s="306" t="inlineStr">
        <is>
          <t>Direktur</t>
        </is>
      </c>
      <c r="F50" s="184" t="n"/>
      <c r="G50" s="306" t="inlineStr">
        <is>
          <t>Direktur</t>
        </is>
      </c>
    </row>
    <row r="51">
      <c r="A51" s="197" t="n"/>
      <c r="F51" s="184" t="n"/>
    </row>
    <row r="52">
      <c r="A52" s="197" t="n"/>
      <c r="F52" s="184" t="n"/>
      <c r="J52" s="263" t="n"/>
    </row>
    <row r="96" ht="64.5" customFormat="1" customHeight="1" s="305"/>
  </sheetData>
  <mergeCells count="11">
    <mergeCell ref="D6:E6"/>
    <mergeCell ref="B49:E49"/>
    <mergeCell ref="I6:J6"/>
    <mergeCell ref="D7:E7"/>
    <mergeCell ref="B4:E4"/>
    <mergeCell ref="B50:E50"/>
    <mergeCell ref="I7:J7"/>
    <mergeCell ref="G49:J49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H21" sqref="H21"/>
    </sheetView>
  </sheetViews>
  <sheetFormatPr baseColWidth="8" defaultColWidth="9.08984375" defaultRowHeight="14.5"/>
  <cols>
    <col width="1.08984375" customWidth="1" style="305" min="1" max="1"/>
    <col width="5.54296875" customWidth="1" style="305" min="2" max="2"/>
    <col width="40.81640625" customWidth="1" style="305" min="3" max="3"/>
    <col width="3.6328125" customWidth="1" style="305" min="4" max="4"/>
    <col width="20.1796875" customWidth="1" style="305" min="5" max="5"/>
    <col width="1.08984375" customWidth="1" style="305" min="6" max="6"/>
    <col width="9.08984375" customWidth="1" style="305" min="7" max="16384"/>
  </cols>
  <sheetData>
    <row r="1" ht="15" customHeight="1" s="297">
      <c r="A1" s="181" t="n"/>
      <c r="B1" s="181" t="n"/>
      <c r="C1" s="181" t="n"/>
      <c r="D1" s="181" t="n"/>
      <c r="E1" s="182" t="n"/>
    </row>
    <row r="2" ht="37.25" customHeight="1" s="297">
      <c r="A2" s="181" t="n"/>
      <c r="B2" s="181" t="n"/>
      <c r="C2" s="181" t="n"/>
      <c r="D2" s="181" t="n"/>
      <c r="E2" s="182" t="n"/>
    </row>
    <row r="3" ht="33.65" customHeight="1" s="297">
      <c r="A3" s="181" t="n"/>
      <c r="B3" s="274" t="inlineStr">
        <is>
          <t>PT. EXSPAN WIRELINE INDONESIA</t>
        </is>
      </c>
      <c r="F3" s="184" t="n"/>
    </row>
    <row r="4" ht="20.5" customHeight="1" s="297">
      <c r="A4" s="181" t="n"/>
      <c r="B4" s="275" t="inlineStr">
        <is>
          <t>BUSINESS SUMMARY | TAHUN 2024</t>
        </is>
      </c>
      <c r="F4" s="184" t="n"/>
    </row>
    <row r="5" ht="6" customHeight="1" s="297">
      <c r="A5" s="181" t="n"/>
      <c r="B5" s="181" t="n"/>
      <c r="C5" s="181" t="n"/>
      <c r="D5" s="181" t="n"/>
      <c r="E5" s="182" t="n"/>
      <c r="F5" s="184" t="n"/>
    </row>
    <row r="6" ht="19" customHeight="1" s="297">
      <c r="A6" s="181" t="n"/>
      <c r="B6" s="264" t="inlineStr">
        <is>
          <t>#</t>
        </is>
      </c>
      <c r="C6" s="264" t="inlineStr">
        <is>
          <t>Items</t>
        </is>
      </c>
      <c r="D6" s="276" t="inlineStr">
        <is>
          <t>Amount</t>
        </is>
      </c>
      <c r="E6" s="279" t="n"/>
      <c r="F6" s="184" t="n"/>
    </row>
    <row r="7" ht="19" customHeight="1" s="297">
      <c r="A7" s="181" t="n"/>
      <c r="B7" s="265" t="n">
        <v>1</v>
      </c>
      <c r="C7" s="266" t="inlineStr">
        <is>
          <t>Revenue</t>
        </is>
      </c>
      <c r="D7" s="267" t="inlineStr">
        <is>
          <t>Rp</t>
        </is>
      </c>
      <c r="E7" s="268">
        <f>'[1]Revenue-Cost_2024'!F22</f>
        <v/>
      </c>
      <c r="F7" s="184" t="n"/>
    </row>
    <row r="8" ht="19" customHeight="1" s="297">
      <c r="A8" s="181" t="n"/>
      <c r="B8" s="265" t="n">
        <v>2</v>
      </c>
      <c r="C8" s="266" t="inlineStr">
        <is>
          <t>Revenue Diterima (Setelah Pajak)</t>
        </is>
      </c>
      <c r="D8" s="267" t="inlineStr">
        <is>
          <t>Rp</t>
        </is>
      </c>
      <c r="E8" s="268">
        <f>E7-'[1]Revenue-Cost_2024'!N22</f>
        <v/>
      </c>
      <c r="F8" s="184" t="n"/>
    </row>
    <row r="9" ht="19" customHeight="1" s="297">
      <c r="A9" s="181" t="n"/>
      <c r="B9" s="265" t="n">
        <v>3</v>
      </c>
      <c r="C9" s="266" t="inlineStr">
        <is>
          <t>Biaya</t>
        </is>
      </c>
      <c r="D9" s="267" t="inlineStr">
        <is>
          <t>Rp</t>
        </is>
      </c>
      <c r="E9" s="268">
        <f>SUM('[1]Revenue-Cost_2024'!I750:Q750)</f>
        <v/>
      </c>
      <c r="F9" s="184" t="n"/>
    </row>
    <row r="10" ht="19" customHeight="1" s="297">
      <c r="A10" s="181" t="n"/>
      <c r="B10" s="265" t="n">
        <v>4</v>
      </c>
      <c r="C10" s="266" t="inlineStr">
        <is>
          <t>Profit SebelumTax</t>
        </is>
      </c>
      <c r="D10" s="267" t="inlineStr">
        <is>
          <t>Rp</t>
        </is>
      </c>
      <c r="E10" s="268">
        <f>E7-E9</f>
        <v/>
      </c>
      <c r="F10" s="184" t="n"/>
    </row>
    <row r="11" ht="19" customHeight="1" s="297">
      <c r="A11" s="181" t="n"/>
      <c r="B11" s="265" t="n">
        <v>5</v>
      </c>
      <c r="C11" s="266" t="inlineStr">
        <is>
          <t>PPh Badan (22%*50%)</t>
        </is>
      </c>
      <c r="D11" s="267" t="inlineStr">
        <is>
          <t>Rp</t>
        </is>
      </c>
      <c r="E11" s="268">
        <f>E10*22%*50%</f>
        <v/>
      </c>
      <c r="F11" s="184" t="n"/>
    </row>
    <row r="12" ht="19" customHeight="1" s="297">
      <c r="A12" s="181" t="n"/>
      <c r="B12" s="265" t="n">
        <v>6</v>
      </c>
      <c r="C12" s="266" t="inlineStr">
        <is>
          <t>PPh 23 Dipotong oleh client</t>
        </is>
      </c>
      <c r="D12" s="267" t="inlineStr">
        <is>
          <t>Rp</t>
        </is>
      </c>
      <c r="E12" s="268">
        <f>'[1]Revenue-Cost_2024'!N22</f>
        <v/>
      </c>
      <c r="F12" s="184" t="n"/>
    </row>
    <row r="13" ht="19" customHeight="1" s="297">
      <c r="A13" s="181" t="n"/>
      <c r="B13" s="265" t="n">
        <v>7</v>
      </c>
      <c r="C13" s="266" t="inlineStr">
        <is>
          <t>Kekurangan Bayar PPh Badan</t>
        </is>
      </c>
      <c r="D13" s="267" t="inlineStr">
        <is>
          <t>Rp</t>
        </is>
      </c>
      <c r="E13" s="269">
        <f>E11-E12</f>
        <v/>
      </c>
      <c r="F13" s="184" t="n"/>
    </row>
    <row r="14" ht="19" customHeight="1" s="297">
      <c r="A14" s="181" t="n"/>
      <c r="B14" s="265" t="n">
        <v>8</v>
      </c>
      <c r="C14" s="266" t="inlineStr">
        <is>
          <t>Profit After Tax</t>
        </is>
      </c>
      <c r="D14" s="267" t="inlineStr">
        <is>
          <t>Rp</t>
        </is>
      </c>
      <c r="E14" s="268">
        <f>E10-E13</f>
        <v/>
      </c>
      <c r="F14" s="184" t="n"/>
    </row>
    <row r="15" ht="19" customHeight="1" s="297">
      <c r="A15" s="181" t="n"/>
      <c r="B15" s="265" t="n">
        <v>9</v>
      </c>
      <c r="C15" s="266" t="inlineStr">
        <is>
          <t>Deviden Dibagi</t>
        </is>
      </c>
      <c r="D15" s="267" t="inlineStr">
        <is>
          <t>Rp</t>
        </is>
      </c>
      <c r="E15" s="268" t="n">
        <v>858000000</v>
      </c>
      <c r="F15" s="184" t="n"/>
    </row>
    <row r="16" ht="19" customHeight="1" s="297">
      <c r="A16" s="181" t="n"/>
      <c r="B16" s="265" t="n">
        <v>10</v>
      </c>
      <c r="C16" s="266" t="inlineStr">
        <is>
          <t>Profit Ditahan</t>
        </is>
      </c>
      <c r="D16" s="267" t="inlineStr">
        <is>
          <t>Rp</t>
        </is>
      </c>
      <c r="E16" s="268">
        <f>E14-E15</f>
        <v/>
      </c>
      <c r="F16" s="184" t="n"/>
    </row>
    <row r="17">
      <c r="A17" s="181" t="n"/>
      <c r="B17" s="181" t="n"/>
      <c r="C17" s="181" t="n"/>
      <c r="D17" s="181" t="n"/>
      <c r="E17" s="182" t="n"/>
      <c r="F17" s="184" t="n"/>
    </row>
    <row r="18" ht="18" customHeight="1" s="297">
      <c r="A18" s="181" t="n"/>
      <c r="B18" s="270" t="inlineStr">
        <is>
          <t>DEVIDEN</t>
        </is>
      </c>
      <c r="F18" s="184" t="n"/>
    </row>
    <row r="19" ht="19" customHeight="1" s="297">
      <c r="A19" s="181" t="n"/>
      <c r="B19" s="271" t="n">
        <v>1</v>
      </c>
      <c r="C19" s="272" t="inlineStr">
        <is>
          <t>Alan Muhadjir</t>
        </is>
      </c>
      <c r="D19" s="266" t="inlineStr">
        <is>
          <t>Rp</t>
        </is>
      </c>
      <c r="E19" s="273">
        <f>E15/2</f>
        <v/>
      </c>
      <c r="F19" s="184" t="n"/>
      <c r="G19" s="305" t="inlineStr">
        <is>
          <t>Pajak 10%</t>
        </is>
      </c>
    </row>
    <row r="20" ht="19" customHeight="1" s="297">
      <c r="A20" s="181" t="n"/>
      <c r="B20" s="271" t="n">
        <v>2</v>
      </c>
      <c r="C20" s="272" t="inlineStr">
        <is>
          <t>Anevril Chairulsyah</t>
        </is>
      </c>
      <c r="D20" s="266" t="inlineStr">
        <is>
          <t>Rp</t>
        </is>
      </c>
      <c r="E20" s="273">
        <f>E15/2</f>
        <v/>
      </c>
      <c r="F20" s="184" t="n"/>
      <c r="G20" s="305" t="inlineStr">
        <is>
          <t>Pajak 10%</t>
        </is>
      </c>
    </row>
    <row r="21" ht="48.75" customHeight="1" s="297">
      <c r="A21" s="197" t="n"/>
      <c r="F21" s="184" t="n"/>
    </row>
    <row r="22">
      <c r="A22" s="197" t="n"/>
      <c r="F22" s="184" t="n"/>
    </row>
    <row r="63" ht="64.5" customFormat="1" customHeight="1" s="305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Diofavian - Student</dc:creator>
  <dcterms:created xmlns:dcterms="http://purl.org/dc/terms/" xmlns:xsi="http://www.w3.org/2001/XMLSchema-instance" xsi:type="dcterms:W3CDTF">2026-02-22T22:22:44Z</dcterms:created>
  <dcterms:modified xmlns:dcterms="http://purl.org/dc/terms/" xmlns:xsi="http://www.w3.org/2001/XMLSchema-instance" xsi:type="dcterms:W3CDTF">2026-04-02T16:12:35Z</dcterms:modified>
  <cp:lastModifiedBy>Diofavian - Student</cp:lastModifiedBy>
</cp:coreProperties>
</file>