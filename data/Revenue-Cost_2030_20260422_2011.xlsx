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164" fontId="29" fillId="5" borderId="4" applyAlignment="1" pivotButton="0" quotePrefix="0" xfId="0">
      <alignment horizontal="right"/>
    </xf>
    <xf numFmtId="0" fontId="26" fillId="6" borderId="4" applyAlignment="1" pivotButton="0" quotePrefix="0" xfId="0">
      <alignment horizontal="right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29" fillId="0" borderId="21" applyAlignment="1" pivotButton="0" quotePrefix="0" xfId="0">
      <alignment horizontal="right"/>
    </xf>
    <xf numFmtId="0" fontId="29" fillId="0" borderId="0" applyAlignment="1" pivotButton="0" quotePrefix="0" xfId="0">
      <alignment horizontal="right"/>
    </xf>
    <xf numFmtId="0" fontId="26" fillId="0" borderId="21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11</col>
      <colOff>0</colOff>
      <row>1</row>
      <rowOff>0</rowOff>
    </from>
    <ext cx="1905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7145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1714500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331" t="inlineStr">
        <is>
          <t>Nama Lengkap</t>
        </is>
      </c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332" t="inlineStr">
        <is>
          <t>Direktur</t>
        </is>
      </c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51" t="n"/>
      <c r="C54" s="380" t="inlineStr">
        <is>
          <t>Direktur</t>
        </is>
      </c>
      <c r="D54" s="351" t="n"/>
      <c r="E54" s="381" t="inlineStr">
        <is>
          <t>Nama Lengkap</t>
        </is>
      </c>
      <c r="F54" s="351" t="n"/>
      <c r="G54" s="351" t="n"/>
      <c r="H54" s="380" t="inlineStr">
        <is>
          <t>Direktur</t>
        </is>
      </c>
      <c r="J54" s="382" t="inlineStr">
        <is>
          <t>Nama Lengkap</t>
        </is>
      </c>
    </row>
    <row r="55">
      <c r="A55" s="351" t="n"/>
      <c r="B55" s="351" t="n"/>
      <c r="C55" s="351" t="n"/>
      <c r="D55" s="351" t="n"/>
      <c r="E55" s="383" t="inlineStr">
        <is>
          <t>Direktur</t>
        </is>
      </c>
      <c r="F55" s="351" t="n"/>
      <c r="G55" s="351" t="n"/>
      <c r="H55" s="351" t="n"/>
      <c r="J55" s="384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5" t="inlineStr">
        <is>
          <t>#</t>
        </is>
      </c>
      <c r="C6" s="385" t="inlineStr">
        <is>
          <t>Items</t>
        </is>
      </c>
      <c r="D6" s="386" t="inlineStr">
        <is>
          <t>Amount</t>
        </is>
      </c>
      <c r="E6" s="227" t="n"/>
      <c r="F6" s="336" t="n"/>
    </row>
    <row r="7" ht="20" customHeight="1">
      <c r="A7" s="333" t="n"/>
      <c r="B7" s="387" t="n">
        <v>1</v>
      </c>
      <c r="C7" s="388" t="inlineStr">
        <is>
          <t>Revenue</t>
        </is>
      </c>
      <c r="D7" s="389" t="inlineStr">
        <is>
          <t>Rp</t>
        </is>
      </c>
      <c r="E7" s="390">
        <f>SUM('Revenue-Cost_2030'!L8:L8)</f>
        <v/>
      </c>
      <c r="F7" s="336" t="n"/>
    </row>
    <row r="8" ht="20" customHeight="1">
      <c r="A8" s="333" t="n"/>
      <c r="B8" s="387" t="n">
        <v>2</v>
      </c>
      <c r="C8" s="388" t="inlineStr">
        <is>
          <t>Revenue Diterima (Setelah Pajak)</t>
        </is>
      </c>
      <c r="D8" s="389" t="inlineStr">
        <is>
          <t>Rp</t>
        </is>
      </c>
      <c r="E8" s="390">
        <f>E7-SUM('Revenue-Cost_2030'!N8:N8)</f>
        <v/>
      </c>
      <c r="F8" s="336" t="n"/>
    </row>
    <row r="9" ht="20" customHeight="1">
      <c r="A9" s="333" t="n"/>
      <c r="B9" s="387" t="n">
        <v>3</v>
      </c>
      <c r="C9" s="388" t="inlineStr">
        <is>
          <t>Biaya</t>
        </is>
      </c>
      <c r="D9" s="389" t="inlineStr">
        <is>
          <t>Rp</t>
        </is>
      </c>
      <c r="E9" s="390">
        <f>SUM('Revenue-Cost_2030'!I94:Y94)</f>
        <v/>
      </c>
      <c r="F9" s="336" t="n"/>
    </row>
    <row r="10" ht="20" customHeight="1">
      <c r="A10" s="333" t="n"/>
      <c r="B10" s="387" t="n">
        <v>4</v>
      </c>
      <c r="C10" s="388" t="inlineStr">
        <is>
          <t>Profit SebelumTax</t>
        </is>
      </c>
      <c r="D10" s="389" t="inlineStr">
        <is>
          <t>Rp</t>
        </is>
      </c>
      <c r="E10" s="390">
        <f>E7-E9</f>
        <v/>
      </c>
      <c r="F10" s="336" t="n"/>
    </row>
    <row r="11" ht="20" customHeight="1">
      <c r="A11" s="333" t="n"/>
      <c r="B11" s="387" t="n">
        <v>5</v>
      </c>
      <c r="C11" s="388" t="inlineStr">
        <is>
          <t>PPh Badan (22%*50%)</t>
        </is>
      </c>
      <c r="D11" s="389" t="inlineStr">
        <is>
          <t>Rp</t>
        </is>
      </c>
      <c r="E11" s="390">
        <f>E10*22%*50%</f>
        <v/>
      </c>
      <c r="F11" s="336" t="n"/>
    </row>
    <row r="12" ht="20" customHeight="1">
      <c r="A12" s="333" t="n"/>
      <c r="B12" s="387" t="n">
        <v>6</v>
      </c>
      <c r="C12" s="388" t="inlineStr">
        <is>
          <t>PPh 23 Dipotong oleh client</t>
        </is>
      </c>
      <c r="D12" s="389" t="inlineStr">
        <is>
          <t>Rp</t>
        </is>
      </c>
      <c r="E12" s="390">
        <f>SUM('Revenue-Cost_2030'!N8:N8)</f>
        <v/>
      </c>
      <c r="F12" s="336" t="n"/>
    </row>
    <row r="13" ht="20" customHeight="1">
      <c r="A13" s="333" t="n"/>
      <c r="B13" s="387" t="n">
        <v>7</v>
      </c>
      <c r="C13" s="388" t="inlineStr">
        <is>
          <t>Kekurangan Bayar PPh Badan</t>
        </is>
      </c>
      <c r="D13" s="389" t="inlineStr">
        <is>
          <t>Rp</t>
        </is>
      </c>
      <c r="E13" s="391">
        <f>E11-E12</f>
        <v/>
      </c>
      <c r="F13" s="336" t="n"/>
    </row>
    <row r="14" ht="20" customHeight="1">
      <c r="A14" s="333" t="n"/>
      <c r="B14" s="387" t="n">
        <v>8</v>
      </c>
      <c r="C14" s="388" t="inlineStr">
        <is>
          <t>Profit After Tax</t>
        </is>
      </c>
      <c r="D14" s="389" t="inlineStr">
        <is>
          <t>Rp</t>
        </is>
      </c>
      <c r="E14" s="390">
        <f>E10-E13</f>
        <v/>
      </c>
      <c r="F14" s="336" t="n"/>
    </row>
    <row r="15" ht="20" customHeight="1">
      <c r="A15" s="333" t="n"/>
      <c r="B15" s="387" t="n">
        <v>9</v>
      </c>
      <c r="C15" s="388" t="inlineStr">
        <is>
          <t>Deviden Dibagi</t>
        </is>
      </c>
      <c r="D15" s="389" t="inlineStr">
        <is>
          <t>Rp</t>
        </is>
      </c>
      <c r="E15" s="390">
        <f>E14-E16</f>
        <v/>
      </c>
      <c r="F15" s="336" t="n"/>
    </row>
    <row r="16" ht="20" customHeight="1">
      <c r="A16" s="333" t="n"/>
      <c r="B16" s="387" t="n">
        <v>10</v>
      </c>
      <c r="C16" s="388" t="inlineStr">
        <is>
          <t>Profit Ditahan</t>
        </is>
      </c>
      <c r="D16" s="389" t="inlineStr">
        <is>
          <t>Rp</t>
        </is>
      </c>
      <c r="E16" s="390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92" t="inlineStr">
        <is>
          <t>DEVIDEN</t>
        </is>
      </c>
      <c r="F18" s="336" t="n"/>
    </row>
    <row r="19" ht="20" customHeight="1">
      <c r="A19" s="333" t="n"/>
      <c r="B19" s="393" t="inlineStr">
        <is>
          <t>#</t>
        </is>
      </c>
      <c r="C19" s="393" t="inlineStr">
        <is>
          <t>Nama Lengkap</t>
        </is>
      </c>
      <c r="D19" s="394" t="inlineStr"/>
      <c r="E19" s="395" t="inlineStr">
        <is>
          <t>Amount</t>
        </is>
      </c>
      <c r="F19" s="336" t="inlineStr"/>
      <c r="G19" s="396" t="inlineStr">
        <is>
          <t>Pajak</t>
        </is>
      </c>
    </row>
    <row r="20" ht="18" customHeight="1">
      <c r="A20" s="333" t="n"/>
      <c r="B20" s="397" t="n"/>
      <c r="C20" s="398" t="n"/>
      <c r="D20" s="388" t="n"/>
      <c r="E20" s="399" t="n"/>
      <c r="F20" s="336" t="n"/>
      <c r="G20" s="400" t="n"/>
    </row>
    <row r="21" ht="48.75" customHeight="1">
      <c r="A21" s="401" t="n"/>
      <c r="F21" s="336" t="n"/>
    </row>
    <row r="22" ht="14.25" customHeight="1">
      <c r="A22" s="401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2026-04-22T13:11:52Z</dcterms:modified>
  <cp:lastModifiedBy>Diofavian - Student</cp:lastModifiedBy>
</cp:coreProperties>
</file>