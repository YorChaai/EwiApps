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0" fontId="25" fillId="6" borderId="0" pivotButton="0" quotePrefix="0" xfId="0"/>
    <xf numFmtId="0" fontId="33" fillId="6" borderId="12" pivotButton="0" quotePrefix="0" xfId="0"/>
    <xf numFmtId="0" fontId="34" fillId="0" borderId="14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0" fontId="34" fillId="0" borderId="7" pivotButton="0" quotePrefix="0" xfId="0"/>
    <xf numFmtId="0" fontId="33" fillId="6" borderId="10" pivotButton="0" quotePrefix="0" xfId="0"/>
    <xf numFmtId="0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0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33" fillId="6" borderId="8" pivotButton="0" quotePrefix="0" xfId="0"/>
    <xf numFmtId="0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2" pivotButton="0" quotePrefix="0" xfId="0"/>
    <xf numFmtId="0" fontId="34" fillId="6" borderId="11" pivotButton="0" quotePrefix="0" xfId="0"/>
    <xf numFmtId="0" fontId="33" fillId="6" borderId="3" pivotButton="0" quotePrefix="0" xfId="0"/>
    <xf numFmtId="2" fontId="33" fillId="13" borderId="10" applyAlignment="1" pivotButton="0" quotePrefix="0" xfId="0">
      <alignment horizontal="left"/>
    </xf>
    <xf numFmtId="0" fontId="33" fillId="6" borderId="14" pivotButton="0" quotePrefix="0" xfId="0"/>
    <xf numFmtId="2" fontId="33" fillId="13" borderId="2" applyAlignment="1" pivotButton="0" quotePrefix="0" xfId="0">
      <alignment horizontal="left"/>
    </xf>
    <xf numFmtId="0" fontId="34" fillId="6" borderId="14" pivotButton="0" quotePrefix="0" xfId="0"/>
    <xf numFmtId="0" fontId="33" fillId="6" borderId="7" pivotButton="0" quotePrefix="0" xfId="0"/>
    <xf numFmtId="0" fontId="34" fillId="6" borderId="3" pivotButton="0" quotePrefix="0" xfId="0"/>
    <xf numFmtId="0" fontId="33" fillId="6" borderId="17" applyAlignment="1" pivotButton="0" quotePrefix="0" xfId="0">
      <alignment horizontal="left"/>
    </xf>
    <xf numFmtId="0" fontId="34" fillId="6" borderId="19" pivotButton="0" quotePrefix="0" xfId="0"/>
    <xf numFmtId="0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25" fillId="0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E50-'Business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91" t="inlineStr">
        <is>
          <t>BEBAN LANGSUNG</t>
        </is>
      </c>
      <c r="B14" s="392" t="n"/>
      <c r="C14" s="369" t="n"/>
      <c r="D14" s="376" t="n"/>
      <c r="E14" s="393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76" t="n"/>
      <c r="C15" s="369" t="inlineStr">
        <is>
          <t>BIAYA RESEARCH (R&amp;D)</t>
        </is>
      </c>
      <c r="D15" s="376" t="n"/>
      <c r="E15" s="393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76" t="n"/>
      <c r="C16" s="369" t="inlineStr">
        <is>
          <t>BIAYA OPERASI</t>
        </is>
      </c>
      <c r="D16" s="376" t="n"/>
      <c r="E16" s="393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76" t="n"/>
      <c r="C17" s="369" t="inlineStr">
        <is>
          <t>BIAYA SEWA PERALATAN</t>
        </is>
      </c>
      <c r="D17" s="376" t="n"/>
      <c r="E17" s="393">
        <f>'Revenue-Cost_2024'!L639</f>
        <v/>
      </c>
      <c r="F17" s="353" t="n"/>
      <c r="G17" s="381" t="n"/>
      <c r="H17" s="382" t="n"/>
      <c r="I17" s="398" t="n"/>
      <c r="J17" s="399" t="n"/>
    </row>
    <row r="18">
      <c r="A18" s="350" t="n"/>
      <c r="B18" s="376" t="n"/>
      <c r="C18" s="369" t="inlineStr">
        <is>
          <t>BIAYA INTERPRETASI LOG DATA</t>
        </is>
      </c>
      <c r="D18" s="376" t="n"/>
      <c r="E18" s="393">
        <f>'Revenue-Cost_2024'!M639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91" t="inlineStr">
        <is>
          <t>TOTAL BIAYA LANGSUNG</t>
        </is>
      </c>
      <c r="B19" s="376" t="n"/>
      <c r="C19" s="369" t="n"/>
      <c r="D19" s="376" t="n"/>
      <c r="E19" s="393">
        <f>SUM(E15:E18)</f>
        <v/>
      </c>
      <c r="F19" s="353" t="n"/>
      <c r="G19" s="378" t="n"/>
      <c r="H19" s="400" t="n"/>
      <c r="I19" s="372" t="n"/>
      <c r="J19" s="383" t="n"/>
    </row>
    <row r="20">
      <c r="A20" s="350" t="n"/>
      <c r="B20" s="376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91" t="inlineStr">
        <is>
          <t>BEBAN TIDAK LANGSUNG</t>
        </is>
      </c>
      <c r="B21" s="402" t="n"/>
      <c r="C21" s="387" t="n"/>
      <c r="D21" s="388" t="n"/>
      <c r="E21" s="403" t="n"/>
      <c r="F21" s="353" t="n"/>
      <c r="G21" s="381" t="n"/>
      <c r="H21" s="400" t="n"/>
      <c r="I21" s="404" t="n"/>
      <c r="J21" s="405" t="n"/>
    </row>
    <row r="22">
      <c r="A22" s="350" t="n"/>
      <c r="B22" s="376" t="n"/>
      <c r="C22" s="369" t="n"/>
      <c r="D22" s="370" t="n"/>
      <c r="E22" s="406" t="n">
        <v>0</v>
      </c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91" t="inlineStr">
        <is>
          <t>TOTAL BIAYA TIDAK LANGSUNG</t>
        </is>
      </c>
      <c r="B23" s="392" t="n"/>
      <c r="C23" s="369" t="n"/>
      <c r="D23" s="376" t="n"/>
      <c r="E23" s="393">
        <f>SUM(E22:E22)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393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91" t="inlineStr">
        <is>
          <t>BIAYA ADMINISTRASI DAN UMUM</t>
        </is>
      </c>
      <c r="B25" s="376" t="n"/>
      <c r="C25" s="369" t="n"/>
      <c r="D25" s="376" t="n"/>
      <c r="E25" s="393" t="n"/>
      <c r="F25" s="353" t="n"/>
      <c r="G25" s="381" t="n"/>
      <c r="H25" s="382" t="n"/>
      <c r="I25" s="407" t="n"/>
      <c r="J25" s="408" t="n">
        <v>0</v>
      </c>
    </row>
    <row r="26">
      <c r="A26" s="350" t="n"/>
      <c r="B26" s="376" t="n"/>
      <c r="C26" s="369" t="inlineStr">
        <is>
          <t>DIOFAVIAN</t>
        </is>
      </c>
      <c r="D26" s="384" t="n"/>
      <c r="E26" s="401">
        <f>'Revenue-Cost_2024'!K639</f>
        <v/>
      </c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402" t="n"/>
      <c r="C27" s="387" t="inlineStr">
        <is>
          <t>ADMINISTRASI</t>
        </is>
      </c>
      <c r="D27" s="388" t="n"/>
      <c r="E27" s="403">
        <f>'Revenue-Cost_2024'!N639</f>
        <v/>
      </c>
      <c r="F27" s="353" t="n"/>
      <c r="G27" s="381" t="n"/>
      <c r="H27" s="382" t="n"/>
      <c r="I27" s="409" t="n"/>
      <c r="J27" s="410" t="n"/>
    </row>
    <row r="28">
      <c r="A28" s="350" t="n"/>
      <c r="B28" s="376" t="n"/>
      <c r="C28" s="369" t="inlineStr">
        <is>
          <t>PEMBELIAN BARANG</t>
        </is>
      </c>
      <c r="D28" s="370" t="n"/>
      <c r="E28" s="406">
        <f>'Revenue-Cost_2024'!O639</f>
        <v/>
      </c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1">
        <f>J26+J22+J16</f>
        <v/>
      </c>
    </row>
    <row r="29">
      <c r="A29" s="350" t="n"/>
      <c r="B29" s="392" t="n"/>
      <c r="C29" s="369" t="inlineStr">
        <is>
          <t>SEWA KANTOR</t>
        </is>
      </c>
      <c r="D29" s="376" t="n"/>
      <c r="E29" s="393">
        <f>'Revenue-Cost_2024'!P639</f>
        <v/>
      </c>
      <c r="F29" s="353" t="n"/>
      <c r="G29" s="412" t="n"/>
      <c r="H29" s="413" t="n"/>
      <c r="I29" s="412" t="n"/>
      <c r="J29" s="399" t="n"/>
    </row>
    <row r="30">
      <c r="A30" s="350" t="n"/>
      <c r="B30" s="376" t="n"/>
      <c r="C30" s="369" t="inlineStr">
        <is>
          <t>KESEHATAN</t>
        </is>
      </c>
      <c r="D30" s="376" t="n"/>
      <c r="E30" s="393">
        <f>'Revenue-Cost_2024'!Q639</f>
        <v/>
      </c>
      <c r="F30" s="353" t="n"/>
      <c r="G30" s="414" t="inlineStr">
        <is>
          <t>HUTANG DAN MODAL</t>
        </is>
      </c>
      <c r="H30" s="373" t="n"/>
      <c r="I30" s="414" t="n"/>
      <c r="J30" s="415" t="n"/>
    </row>
    <row r="31">
      <c r="A31" s="350" t="n"/>
      <c r="B31" s="376" t="n"/>
      <c r="C31" s="369" t="inlineStr">
        <is>
          <t>BISNIS DEV</t>
        </is>
      </c>
      <c r="D31" s="376" t="n"/>
      <c r="E31" s="393">
        <f>'Revenue-Cost_2024'!R639</f>
        <v/>
      </c>
      <c r="F31" s="353" t="n"/>
      <c r="G31" s="414" t="n"/>
      <c r="H31" s="373" t="n"/>
      <c r="I31" s="414" t="n"/>
      <c r="J31" s="415" t="n"/>
    </row>
    <row r="32">
      <c r="A32" s="350" t="n"/>
      <c r="B32" s="376" t="n"/>
      <c r="C32" s="369" t="inlineStr">
        <is>
          <t>ASDASD</t>
        </is>
      </c>
      <c r="D32" s="376" t="n"/>
      <c r="E32" s="393">
        <f>'Revenue-Cost_2024'!S639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76" t="n"/>
      <c r="C33" s="369" t="inlineStr">
        <is>
          <t>MAKANAN JEPANG</t>
        </is>
      </c>
      <c r="D33" s="376" t="n"/>
      <c r="E33" s="393">
        <f>'Revenue-Cost_2024'!T639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76" t="n"/>
      <c r="C34" s="369" t="inlineStr">
        <is>
          <t>AAAAA</t>
        </is>
      </c>
      <c r="D34" s="384" t="n"/>
      <c r="E34" s="401">
        <f>'Revenue-Cost_2024'!U639</f>
        <v/>
      </c>
      <c r="F34" s="353" t="n"/>
      <c r="G34" s="381" t="n"/>
      <c r="H34" s="416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402" t="n"/>
      <c r="C35" s="387" t="inlineStr">
        <is>
          <t>BBBBB</t>
        </is>
      </c>
      <c r="D35" s="388" t="n"/>
      <c r="E35" s="417">
        <f>'Revenue-Cost_2024'!V639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76" t="n"/>
      <c r="C36" s="369" t="inlineStr">
        <is>
          <t>ASDSAD</t>
        </is>
      </c>
      <c r="D36" s="388" t="n"/>
      <c r="E36" s="418">
        <f>'Revenue-Cost_2024'!W639</f>
        <v/>
      </c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402" t="n"/>
      <c r="C37" s="387" t="inlineStr">
        <is>
          <t>DFGDFGDFGD</t>
        </is>
      </c>
      <c r="D37" s="388" t="n"/>
      <c r="E37" s="417">
        <f>'Revenue-Cost_2024'!X639</f>
        <v/>
      </c>
      <c r="F37" s="353" t="n"/>
      <c r="G37" s="419" t="n"/>
      <c r="H37" s="420" t="n"/>
      <c r="I37" s="419" t="n"/>
      <c r="J37" s="421" t="n"/>
    </row>
    <row r="38">
      <c r="A38" s="350" t="n"/>
      <c r="B38" s="422" t="n"/>
      <c r="C38" s="423" t="inlineStr">
        <is>
          <t>12312</t>
        </is>
      </c>
      <c r="D38" s="370" t="n"/>
      <c r="E38" s="424">
        <f>'Revenue-Cost_2024'!Y639</f>
        <v/>
      </c>
      <c r="F38" s="353" t="n"/>
      <c r="G38" s="395" t="n"/>
      <c r="H38" s="396" t="inlineStr">
        <is>
          <t>TOTAL HUTANG LANCAR</t>
        </is>
      </c>
      <c r="I38" s="425" t="n"/>
      <c r="J38" s="397">
        <f>SUM(J33:J36)</f>
        <v/>
      </c>
    </row>
    <row r="39">
      <c r="A39" s="391" t="inlineStr">
        <is>
          <t>TOTAL BIAYA ADMINISTRASI DAN UMUM</t>
        </is>
      </c>
      <c r="B39" s="392" t="n"/>
      <c r="C39" s="369" t="n"/>
      <c r="D39" s="376" t="n"/>
      <c r="E39" s="426">
        <f>SUM(E26:E38)</f>
        <v/>
      </c>
      <c r="F39" s="353" t="n"/>
      <c r="G39" s="381" t="n"/>
      <c r="H39" s="400" t="n"/>
      <c r="I39" s="427" t="n"/>
      <c r="J39" s="375" t="n"/>
    </row>
    <row r="40">
      <c r="A40" s="350" t="n"/>
      <c r="B40" s="392" t="n"/>
      <c r="C40" s="369" t="n"/>
      <c r="D40" s="376" t="n"/>
      <c r="E40" s="428" t="n"/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91" t="inlineStr">
        <is>
          <t>TOTAL BIAYA</t>
        </is>
      </c>
      <c r="B41" s="392" t="n"/>
      <c r="C41" s="369" t="n"/>
      <c r="D41" s="384" t="n"/>
      <c r="E41" s="429">
        <f>E19+E23+E39</f>
        <v/>
      </c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402" t="n"/>
      <c r="C42" s="387" t="n"/>
      <c r="D42" s="388" t="n"/>
      <c r="E42" s="417" t="n"/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91" t="inlineStr">
        <is>
          <t>PENDAPATAN/BEBAN LAIN LAIN</t>
        </is>
      </c>
      <c r="B43" s="370" t="n"/>
      <c r="C43" s="423" t="n"/>
      <c r="D43" s="370" t="n"/>
      <c r="E43" s="430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8">
        <f>J28-J38-J41-J42</f>
        <v/>
      </c>
    </row>
    <row r="44">
      <c r="A44" s="350" t="n"/>
      <c r="B44" s="392" t="n"/>
      <c r="C44" t="inlineStr">
        <is>
          <t>PENDAPATAN LAINNYA</t>
        </is>
      </c>
      <c r="D44" s="376" t="n"/>
      <c r="E44" s="428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392" t="n"/>
      <c r="C45" s="369" t="n"/>
      <c r="D45" s="384" t="n"/>
      <c r="E45" s="429" t="n"/>
      <c r="F45" s="353" t="n"/>
      <c r="G45" s="381" t="n"/>
      <c r="H45" s="382" t="n"/>
      <c r="I45" s="409" t="n"/>
      <c r="J45" s="410" t="n"/>
    </row>
    <row r="46" ht="15" customHeight="1">
      <c r="A46" s="391" t="inlineStr">
        <is>
          <t>LABA RUGI SEBELUM PAJAK</t>
        </is>
      </c>
      <c r="B46" s="431" t="n"/>
      <c r="D46" s="432" t="n"/>
      <c r="E46" s="433">
        <f>E12-E41</f>
        <v/>
      </c>
      <c r="F46" s="353" t="n"/>
      <c r="G46" s="434" t="inlineStr">
        <is>
          <t>TOTAL HUTANG DAN MODAL</t>
        </is>
      </c>
      <c r="H46" s="435" t="n"/>
      <c r="I46" s="432" t="inlineStr">
        <is>
          <t>Rp</t>
        </is>
      </c>
      <c r="J46" s="436">
        <f>J44+J38</f>
        <v/>
      </c>
    </row>
    <row r="47" ht="4.5" customHeight="1">
      <c r="A47" s="350" t="n"/>
      <c r="F47" s="353" t="n"/>
    </row>
    <row r="48" ht="50.65" customHeight="1">
      <c r="A48" s="391" t="inlineStr">
        <is>
          <t>CORPORATE TAX (PPh 29)</t>
        </is>
      </c>
      <c r="E48" t="n">
        <v>0</v>
      </c>
      <c r="F48" s="353" t="n"/>
      <c r="G48" s="416" t="n"/>
    </row>
    <row r="49" ht="16.75" customHeight="1">
      <c r="A49" s="350" t="n"/>
      <c r="B49" s="437" t="n"/>
      <c r="F49" s="353" t="n"/>
      <c r="G49" s="437" t="n"/>
    </row>
    <row r="50" ht="15.65" customHeight="1">
      <c r="A50" s="391" t="inlineStr">
        <is>
          <t>LABA / RUGI BERSIH</t>
        </is>
      </c>
      <c r="B50" s="438" t="n"/>
      <c r="E50">
        <f>E46-E48</f>
        <v/>
      </c>
      <c r="F50" s="353" t="n"/>
      <c r="G50" s="438" t="n"/>
    </row>
    <row r="51">
      <c r="A51" s="369" t="n"/>
      <c r="F51" s="353" t="n"/>
    </row>
    <row r="52">
      <c r="A52" s="369" t="n"/>
      <c r="F52" s="353" t="n"/>
      <c r="J52" s="439" t="n"/>
    </row>
    <row r="53"/>
    <row r="54">
      <c r="B54" s="440" t="inlineStr">
        <is>
          <t>Direktur</t>
        </is>
      </c>
      <c r="G54" s="440" t="inlineStr">
        <is>
          <t>Direktur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t="64.5" customHeight="1"/>
    <row r="97"/>
    <row r="98"/>
    <row r="99"/>
    <row r="100"/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41" t="inlineStr">
        <is>
          <t>#</t>
        </is>
      </c>
      <c r="C6" s="441" t="inlineStr">
        <is>
          <t>Items</t>
        </is>
      </c>
      <c r="D6" s="442" t="inlineStr">
        <is>
          <t>Amount</t>
        </is>
      </c>
      <c r="E6" s="227" t="n"/>
      <c r="F6" s="353" t="n"/>
    </row>
    <row r="7" ht="20" customHeight="1">
      <c r="A7" s="350" t="n"/>
      <c r="B7" s="443" t="n">
        <v>1</v>
      </c>
      <c r="C7" s="444" t="inlineStr">
        <is>
          <t>Revenue</t>
        </is>
      </c>
      <c r="D7" s="445" t="inlineStr">
        <is>
          <t>Rp</t>
        </is>
      </c>
      <c r="E7" s="446">
        <f>SUM('Revenue-Cost_2024'!L8:L21)</f>
        <v/>
      </c>
      <c r="F7" s="353" t="n"/>
    </row>
    <row r="8" ht="20" customHeight="1">
      <c r="A8" s="350" t="n"/>
      <c r="B8" s="443" t="n">
        <v>2</v>
      </c>
      <c r="C8" s="444" t="inlineStr">
        <is>
          <t>Revenue Diterima (Setelah Pajak)</t>
        </is>
      </c>
      <c r="D8" s="445" t="inlineStr">
        <is>
          <t>Rp</t>
        </is>
      </c>
      <c r="E8" s="446">
        <f>E7-SUM('Revenue-Cost_2024'!N8:N21)</f>
        <v/>
      </c>
      <c r="F8" s="353" t="n"/>
    </row>
    <row r="9" ht="20" customHeight="1">
      <c r="A9" s="350" t="n"/>
      <c r="B9" s="443" t="n">
        <v>3</v>
      </c>
      <c r="C9" s="444" t="inlineStr">
        <is>
          <t>Biaya</t>
        </is>
      </c>
      <c r="D9" s="445" t="inlineStr">
        <is>
          <t>Rp</t>
        </is>
      </c>
      <c r="E9" s="446">
        <f>SUM('Revenue-Cost_2024'!I639:Y639)</f>
        <v/>
      </c>
      <c r="F9" s="353" t="n"/>
    </row>
    <row r="10" ht="20" customHeight="1">
      <c r="A10" s="350" t="n"/>
      <c r="B10" s="443" t="n">
        <v>4</v>
      </c>
      <c r="C10" s="444" t="inlineStr">
        <is>
          <t>Profit SebelumTax</t>
        </is>
      </c>
      <c r="D10" s="445" t="inlineStr">
        <is>
          <t>Rp</t>
        </is>
      </c>
      <c r="E10" s="446">
        <f>E7-E9</f>
        <v/>
      </c>
      <c r="F10" s="353" t="n"/>
    </row>
    <row r="11" ht="20" customHeight="1">
      <c r="A11" s="350" t="n"/>
      <c r="B11" s="443" t="n">
        <v>5</v>
      </c>
      <c r="C11" s="444" t="inlineStr">
        <is>
          <t>PPh Badan (22%*50%)</t>
        </is>
      </c>
      <c r="D11" s="445" t="inlineStr">
        <is>
          <t>Rp</t>
        </is>
      </c>
      <c r="E11" s="446">
        <f>E10*22%*50%</f>
        <v/>
      </c>
      <c r="F11" s="353" t="n"/>
    </row>
    <row r="12" ht="20" customHeight="1">
      <c r="A12" s="350" t="n"/>
      <c r="B12" s="443" t="n">
        <v>6</v>
      </c>
      <c r="C12" s="444" t="inlineStr">
        <is>
          <t>PPh 23 Dipotong oleh client</t>
        </is>
      </c>
      <c r="D12" s="445" t="inlineStr">
        <is>
          <t>Rp</t>
        </is>
      </c>
      <c r="E12" s="446">
        <f>SUM('Revenue-Cost_2024'!N8:N21)</f>
        <v/>
      </c>
      <c r="F12" s="353" t="n"/>
    </row>
    <row r="13" ht="20" customHeight="1">
      <c r="A13" s="350" t="n"/>
      <c r="B13" s="443" t="n">
        <v>7</v>
      </c>
      <c r="C13" s="444" t="inlineStr">
        <is>
          <t>Kekurangan Bayar PPh Badan</t>
        </is>
      </c>
      <c r="D13" s="445" t="inlineStr">
        <is>
          <t>Rp</t>
        </is>
      </c>
      <c r="E13" s="447">
        <f>E11-E12</f>
        <v/>
      </c>
      <c r="F13" s="353" t="n"/>
    </row>
    <row r="14" ht="20" customHeight="1">
      <c r="A14" s="350" t="n"/>
      <c r="B14" s="443" t="n">
        <v>8</v>
      </c>
      <c r="C14" s="444" t="inlineStr">
        <is>
          <t>Profit After Tax</t>
        </is>
      </c>
      <c r="D14" s="445" t="inlineStr">
        <is>
          <t>Rp</t>
        </is>
      </c>
      <c r="E14" s="446">
        <f>E10-E13</f>
        <v/>
      </c>
      <c r="F14" s="353" t="n"/>
    </row>
    <row r="15" ht="20" customHeight="1">
      <c r="A15" s="350" t="n"/>
      <c r="B15" s="443" t="n">
        <v>9</v>
      </c>
      <c r="C15" s="444" t="inlineStr">
        <is>
          <t>Deviden Dibagi</t>
        </is>
      </c>
      <c r="D15" s="445" t="inlineStr">
        <is>
          <t>Rp</t>
        </is>
      </c>
      <c r="E15" s="446">
        <f>E14-E16</f>
        <v/>
      </c>
      <c r="F15" s="353" t="n"/>
    </row>
    <row r="16" ht="20" customHeight="1">
      <c r="A16" s="350" t="n"/>
      <c r="B16" s="443" t="n">
        <v>10</v>
      </c>
      <c r="C16" s="444" t="inlineStr">
        <is>
          <t>Profit Ditahan</t>
        </is>
      </c>
      <c r="D16" s="445" t="inlineStr">
        <is>
          <t>Rp</t>
        </is>
      </c>
      <c r="E16" s="446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8" t="inlineStr">
        <is>
          <t>DEVIDEN</t>
        </is>
      </c>
      <c r="F18" s="353" t="n"/>
    </row>
    <row r="19" ht="20" customHeight="1">
      <c r="A19" s="350" t="n"/>
      <c r="B19" s="449" t="inlineStr">
        <is>
          <t>#</t>
        </is>
      </c>
      <c r="C19" s="449" t="inlineStr">
        <is>
          <t>Nama Lengkap</t>
        </is>
      </c>
      <c r="D19" s="450" t="inlineStr"/>
      <c r="E19" s="451" t="inlineStr">
        <is>
          <t>Amount</t>
        </is>
      </c>
      <c r="F19" s="353" t="inlineStr"/>
      <c r="G19" s="452" t="inlineStr">
        <is>
          <t>Pajak</t>
        </is>
      </c>
    </row>
    <row r="20" ht="19" customHeight="1">
      <c r="A20" s="350" t="n"/>
      <c r="B20" s="453" t="n">
        <v>1</v>
      </c>
      <c r="C20" s="454" t="inlineStr">
        <is>
          <t>Anevril Chairulsyah</t>
        </is>
      </c>
      <c r="D20" s="455" t="inlineStr">
        <is>
          <t>Rp</t>
        </is>
      </c>
      <c r="E20" s="456">
        <f>IF(C20="","",ROUND($E$15/COUNTA($C$20:$C$21), 0))</f>
        <v/>
      </c>
      <c r="F20" s="353" t="n"/>
      <c r="G20" s="457" t="inlineStr">
        <is>
          <t>Pajak 10%</t>
        </is>
      </c>
    </row>
    <row r="21" ht="20" customHeight="1">
      <c r="A21" s="369" t="n"/>
      <c r="B21" s="458" t="n">
        <v>2</v>
      </c>
      <c r="C21" s="459" t="inlineStr">
        <is>
          <t>Alan Muhadjir</t>
        </is>
      </c>
      <c r="D21" s="460" t="inlineStr">
        <is>
          <t>Rp</t>
        </is>
      </c>
      <c r="E21" s="461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2026-04-19T09:40:05Z</dcterms:modified>
  <cp:lastModifiedBy>Diofavian - Student</cp:lastModifiedBy>
</cp:coreProperties>
</file>