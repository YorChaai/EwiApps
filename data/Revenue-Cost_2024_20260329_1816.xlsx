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5" fontId="8" fillId="0" borderId="20" applyAlignment="1" pivotButton="0" quotePrefix="0" xfId="0">
      <alignment vertical="top"/>
    </xf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12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/>
      <c r="C158" s="314" t="n"/>
      <c r="D158" s="330" t="inlineStr">
        <is>
          <t>Transportation</t>
        </is>
      </c>
      <c r="E158" s="367" t="n"/>
      <c r="F158" s="332" t="n"/>
      <c r="G158" s="314" t="n"/>
      <c r="H158" s="314" t="n"/>
      <c r="I158" s="320" t="n"/>
      <c r="J158" s="320" t="n"/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68" t="n"/>
      <c r="C160" s="369" t="n"/>
      <c r="D160" s="370" t="n"/>
      <c r="E160" s="370" t="n"/>
      <c r="F160" s="371" t="n"/>
      <c r="G160" s="369" t="n"/>
      <c r="H160" s="369" t="n"/>
      <c r="I160" s="372" t="n"/>
      <c r="J160" s="372" t="n"/>
      <c r="K160" s="374" t="n"/>
      <c r="L160" s="374" t="n"/>
      <c r="M160" s="374" t="n"/>
      <c r="N160" s="374" t="n"/>
      <c r="O160" s="374" t="n"/>
      <c r="P160" s="374" t="n"/>
      <c r="Q160" s="374" t="n"/>
      <c r="R160" s="373" t="n"/>
      <c r="S160" s="373" t="n"/>
      <c r="T160" s="373" t="n"/>
      <c r="U160" s="373" t="n"/>
      <c r="V160" s="373" t="n"/>
      <c r="W160" s="373" t="n"/>
      <c r="X160" s="373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5" t="n"/>
      <c r="H181" s="375" t="n"/>
      <c r="I181" s="364" t="n"/>
      <c r="J181" s="364" t="n"/>
      <c r="K181" s="377" t="n"/>
      <c r="L181" s="377" t="n"/>
      <c r="M181" s="377" t="n"/>
      <c r="N181" s="377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64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/>
      <c r="C184" s="314" t="n"/>
      <c r="D184" s="315" t="inlineStr">
        <is>
          <t>Accommodation</t>
        </is>
      </c>
      <c r="E184" s="366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7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8" t="n"/>
      <c r="C198" s="369" t="n"/>
      <c r="D198" s="370" t="n"/>
      <c r="E198" s="370" t="n"/>
      <c r="F198" s="371" t="n"/>
      <c r="G198" s="369" t="n"/>
      <c r="H198" s="369" t="n"/>
      <c r="I198" s="374" t="n"/>
      <c r="J198" s="374" t="n"/>
      <c r="K198" s="374" t="n"/>
      <c r="L198" s="374" t="n"/>
      <c r="M198" s="374" t="n"/>
      <c r="N198" s="374" t="n"/>
      <c r="O198" s="374" t="n"/>
      <c r="P198" s="374" t="n"/>
      <c r="Q198" s="374" t="n"/>
      <c r="R198" s="373" t="n"/>
      <c r="S198" s="373" t="n"/>
      <c r="T198" s="373" t="n"/>
      <c r="U198" s="373" t="n"/>
      <c r="V198" s="373" t="n"/>
      <c r="W198" s="373" t="n"/>
      <c r="X198" s="373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78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9" t="n"/>
      <c r="E201" s="379" t="n"/>
      <c r="F201" s="371" t="n"/>
      <c r="G201" s="369" t="n"/>
      <c r="H201" s="380" t="n"/>
      <c r="I201" s="372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5" t="n"/>
      <c r="H202" s="375" t="n"/>
      <c r="I202" s="364" t="n"/>
      <c r="J202" s="364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7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7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7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5" t="n"/>
      <c r="H213" s="375" t="n"/>
      <c r="I213" s="377" t="n"/>
      <c r="J213" s="364" t="n"/>
      <c r="K213" s="377" t="n"/>
      <c r="L213" s="377" t="n"/>
      <c r="M213" s="376" t="n"/>
      <c r="N213" s="377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13" t="n"/>
      <c r="C214" s="314" t="n"/>
      <c r="D214" s="315" t="inlineStr">
        <is>
          <t>Accommodation</t>
        </is>
      </c>
      <c r="E214" s="366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6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81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7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82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83" t="n"/>
      <c r="C224" s="384" t="n"/>
      <c r="D224" s="385" t="n"/>
      <c r="E224" s="385" t="n"/>
      <c r="F224" s="386" t="n"/>
      <c r="G224" s="384" t="n"/>
      <c r="H224" s="384" t="n"/>
      <c r="I224" s="387" t="n"/>
      <c r="J224" s="372" t="n"/>
      <c r="K224" s="374" t="n"/>
      <c r="L224" s="374" t="n"/>
      <c r="M224" s="374" t="n"/>
      <c r="N224" s="374" t="n"/>
      <c r="O224" s="374" t="n"/>
      <c r="P224" s="374" t="n"/>
      <c r="Q224" s="374" t="n"/>
      <c r="R224" s="373" t="n"/>
      <c r="S224" s="373" t="n"/>
      <c r="T224" s="373" t="n"/>
      <c r="U224" s="373" t="n"/>
      <c r="V224" s="373" t="n"/>
      <c r="W224" s="373" t="n"/>
      <c r="X224" s="373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8" t="n"/>
      <c r="G226" s="375" t="n"/>
      <c r="H226" s="375" t="n"/>
      <c r="I226" s="377" t="n"/>
      <c r="J226" s="377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15" t="inlineStr">
        <is>
          <t>Accommodation</t>
        </is>
      </c>
      <c r="E227" s="366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7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7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83" t="n"/>
      <c r="C234" s="384" t="n"/>
      <c r="D234" s="385" t="n"/>
      <c r="E234" s="385" t="n"/>
      <c r="F234" s="386" t="n"/>
      <c r="G234" s="384" t="n"/>
      <c r="H234" s="384" t="n"/>
      <c r="I234" s="372" t="n"/>
      <c r="J234" s="372" t="n"/>
      <c r="K234" s="374" t="n"/>
      <c r="L234" s="374" t="n"/>
      <c r="M234" s="374" t="n"/>
      <c r="N234" s="374" t="n"/>
      <c r="O234" s="374" t="n"/>
      <c r="P234" s="374" t="n"/>
      <c r="Q234" s="374" t="n"/>
      <c r="R234" s="373" t="n"/>
      <c r="S234" s="373" t="n"/>
      <c r="T234" s="373" t="n"/>
      <c r="U234" s="373" t="n"/>
      <c r="V234" s="373" t="n"/>
      <c r="W234" s="373" t="n"/>
      <c r="X234" s="373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8" t="n"/>
      <c r="G237" s="375" t="n"/>
      <c r="H237" s="375" t="n"/>
      <c r="I237" s="377" t="n"/>
      <c r="J237" s="377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/>
      <c r="C238" s="314" t="n"/>
      <c r="D238" s="330" t="inlineStr">
        <is>
          <t>Accommodation</t>
        </is>
      </c>
      <c r="E238" s="367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7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0" t="n"/>
      <c r="J242" s="329" t="n">
        <v>1203813.75</v>
      </c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7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8" t="n"/>
      <c r="C248" s="369" t="n"/>
      <c r="D248" s="370" t="n"/>
      <c r="E248" s="370" t="n"/>
      <c r="F248" s="389" t="n"/>
      <c r="G248" s="390" t="n"/>
      <c r="H248" s="369" t="n"/>
      <c r="I248" s="372" t="n"/>
      <c r="J248" s="372" t="n"/>
      <c r="K248" s="374" t="n"/>
      <c r="L248" s="374" t="n"/>
      <c r="M248" s="374" t="n"/>
      <c r="N248" s="374" t="n"/>
      <c r="O248" s="374" t="n"/>
      <c r="P248" s="374" t="n"/>
      <c r="Q248" s="374" t="n"/>
      <c r="R248" s="373" t="n"/>
      <c r="S248" s="373" t="n"/>
      <c r="T248" s="373" t="n"/>
      <c r="U248" s="373" t="n"/>
      <c r="V248" s="373" t="n"/>
      <c r="W248" s="373" t="n"/>
      <c r="X248" s="373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8" t="n"/>
      <c r="G251" s="375" t="n"/>
      <c r="H251" s="375" t="n"/>
      <c r="I251" s="377" t="n"/>
      <c r="J251" s="377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/>
      <c r="C252" s="314" t="n"/>
      <c r="D252" s="330" t="inlineStr">
        <is>
          <t>Accommodation</t>
        </is>
      </c>
      <c r="E252" s="367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1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1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7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1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7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1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7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1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7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1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0" t="n"/>
      <c r="E263" s="370" t="n"/>
      <c r="F263" s="389" t="n"/>
      <c r="G263" s="390" t="n"/>
      <c r="H263" s="390" t="n"/>
      <c r="I263" s="392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1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5" t="n"/>
      <c r="H265" s="375" t="n"/>
      <c r="I265" s="364" t="n"/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5" t="n"/>
      <c r="H267" s="375" t="n"/>
      <c r="I267" s="364" t="n"/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93" t="n"/>
      <c r="F270" s="361" t="n"/>
      <c r="G270" s="375" t="n"/>
      <c r="H270" s="375" t="n"/>
      <c r="I270" s="377" t="n"/>
      <c r="J270" s="377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76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94" t="inlineStr">
        <is>
          <t>Tunjangan Lapangan JRK-193 (25 - 30 May 2024)</t>
        </is>
      </c>
      <c r="E274" s="394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5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Biaya Operasi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83" t="n"/>
      <c r="C279" s="384" t="n"/>
      <c r="D279" s="396" t="n"/>
      <c r="E279" s="396" t="n"/>
      <c r="F279" s="386" t="n"/>
      <c r="G279" s="384" t="n"/>
      <c r="H279" s="384" t="n"/>
      <c r="I279" s="392" t="n"/>
      <c r="J279" s="372" t="n"/>
      <c r="K279" s="374" t="n"/>
      <c r="L279" s="374" t="n"/>
      <c r="M279" s="392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t="15.5" customHeight="1" s="297">
      <c r="B280" s="333" t="n">
        <v>45436</v>
      </c>
      <c r="C280" s="314" t="n">
        <v>5</v>
      </c>
      <c r="D280" s="394" t="inlineStr">
        <is>
          <t>Taxi + Tol To Airport CGK</t>
        </is>
      </c>
      <c r="E280" s="394" t="n"/>
      <c r="F280" s="397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5" t="n"/>
      <c r="H281" s="375" t="n"/>
      <c r="I281" s="377" t="n"/>
      <c r="J281" s="364" t="n"/>
      <c r="K281" s="377" t="n"/>
      <c r="L281" s="377" t="n"/>
      <c r="M281" s="376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33" t="n"/>
      <c r="C282" s="314" t="n"/>
      <c r="D282" s="315" t="inlineStr">
        <is>
          <t>Allowance</t>
        </is>
      </c>
      <c r="E282" s="366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81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7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7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8" t="inlineStr">
        <is>
          <t>Wrapping Alfa Box</t>
        </is>
      </c>
      <c r="E289" s="398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7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7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83" t="n"/>
      <c r="C295" s="384" t="n"/>
      <c r="D295" s="385" t="n"/>
      <c r="E295" s="385" t="n"/>
      <c r="F295" s="386" t="n"/>
      <c r="G295" s="384" t="n"/>
      <c r="H295" s="384" t="n"/>
      <c r="I295" s="372" t="n"/>
      <c r="J295" s="372" t="n"/>
      <c r="K295" s="374" t="n"/>
      <c r="L295" s="374" t="n"/>
      <c r="M295" s="392" t="n"/>
      <c r="N295" s="374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idden="1" ht="15.5" customHeight="1" s="297">
      <c r="B296" s="383" t="n"/>
      <c r="C296" s="384" t="n"/>
      <c r="D296" s="399" t="n"/>
      <c r="E296" s="399" t="n"/>
      <c r="F296" s="386" t="n"/>
      <c r="G296" s="384" t="n"/>
      <c r="H296" s="384" t="n"/>
      <c r="I296" s="372" t="n"/>
      <c r="J296" s="372" t="n"/>
      <c r="K296" s="374" t="n"/>
      <c r="L296" s="374" t="n"/>
      <c r="M296" s="400" t="n"/>
      <c r="N296" s="374" t="n"/>
      <c r="O296" s="374" t="n"/>
      <c r="P296" s="374" t="n"/>
      <c r="Q296" s="374" t="n"/>
      <c r="R296" s="373" t="n"/>
      <c r="S296" s="373" t="n"/>
      <c r="T296" s="373" t="n"/>
      <c r="U296" s="373" t="n"/>
      <c r="V296" s="373" t="n"/>
      <c r="W296" s="373" t="n"/>
      <c r="X296" s="373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93" t="n"/>
      <c r="F297" s="361" t="n"/>
      <c r="G297" s="375" t="n"/>
      <c r="H297" s="375" t="n"/>
      <c r="I297" s="364" t="n"/>
      <c r="J297" s="364" t="n"/>
      <c r="K297" s="377" t="n"/>
      <c r="L297" s="377" t="n"/>
      <c r="M297" s="377" t="n"/>
      <c r="N297" s="377" t="n"/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7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8" t="n"/>
      <c r="D309" s="330" t="inlineStr">
        <is>
          <t>Meal</t>
        </is>
      </c>
      <c r="E309" s="367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8" t="n"/>
      <c r="D311" s="330" t="inlineStr">
        <is>
          <t>Transportation</t>
        </is>
      </c>
      <c r="E311" s="367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8" t="n"/>
      <c r="C313" s="401" t="n"/>
      <c r="D313" s="370" t="n"/>
      <c r="E313" s="370" t="n"/>
      <c r="F313" s="371" t="n"/>
      <c r="G313" s="369" t="n"/>
      <c r="H313" s="369" t="n"/>
      <c r="I313" s="372" t="n"/>
      <c r="J313" s="372" t="n"/>
      <c r="K313" s="374" t="n"/>
      <c r="L313" s="374" t="n"/>
      <c r="M313" s="392" t="n"/>
      <c r="N313" s="374" t="n"/>
      <c r="O313" s="374" t="n"/>
      <c r="P313" s="374" t="n"/>
      <c r="Q313" s="374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33" t="n">
        <v>45442</v>
      </c>
      <c r="C314" s="398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5" t="n"/>
      <c r="H315" s="375" t="n"/>
      <c r="I315" s="377" t="n"/>
      <c r="J315" s="364" t="n"/>
      <c r="K315" s="377" t="n"/>
      <c r="L315" s="377" t="n"/>
      <c r="M315" s="376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13" t="n"/>
      <c r="C316" s="314" t="n"/>
      <c r="D316" s="315" t="inlineStr">
        <is>
          <t>Training</t>
        </is>
      </c>
      <c r="E316" s="366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6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81" t="n">
        <v>45448</v>
      </c>
      <c r="C319" s="314" t="n">
        <v>2</v>
      </c>
      <c r="D319" s="394" t="inlineStr">
        <is>
          <t>Personal Car from Home to PT. LTJ (converted) DAY-1</t>
        </is>
      </c>
      <c r="E319" s="394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1" t="n">
        <v>45449</v>
      </c>
      <c r="C320" s="314" t="n">
        <v>3</v>
      </c>
      <c r="D320" s="394" t="inlineStr">
        <is>
          <t>Transport DAY - 2 BOSIET</t>
        </is>
      </c>
      <c r="E320" s="394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5" t="n"/>
      <c r="H322" s="375" t="n"/>
      <c r="I322" s="377" t="n"/>
      <c r="J322" s="364" t="n"/>
      <c r="K322" s="377" t="n"/>
      <c r="L322" s="377" t="n"/>
      <c r="M322" s="377" t="n"/>
      <c r="N322" s="376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33" t="n"/>
      <c r="C323" s="314" t="n"/>
      <c r="D323" s="330" t="inlineStr">
        <is>
          <t>Accommodation</t>
        </is>
      </c>
      <c r="E323" s="367" t="n"/>
      <c r="F323" s="317" t="n"/>
      <c r="G323" s="314" t="n"/>
      <c r="H323" s="314" t="n"/>
      <c r="I323" s="382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82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7" t="n"/>
      <c r="F326" s="317" t="n"/>
      <c r="G326" s="314" t="n"/>
      <c r="H326" s="314" t="n"/>
      <c r="I326" s="382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8" t="n"/>
      <c r="D334" s="330" t="inlineStr">
        <is>
          <t>Logistic</t>
        </is>
      </c>
      <c r="E334" s="367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8" t="n"/>
      <c r="D336" s="330" t="inlineStr">
        <is>
          <t>Meal</t>
        </is>
      </c>
      <c r="E336" s="367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8" t="n"/>
      <c r="D338" s="330" t="inlineStr">
        <is>
          <t>Transportation</t>
        </is>
      </c>
      <c r="E338" s="367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8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5" t="n"/>
      <c r="H340" s="375" t="n"/>
      <c r="I340" s="377" t="n"/>
      <c r="J340" s="364" t="n"/>
      <c r="K340" s="377" t="n"/>
      <c r="L340" s="377" t="n"/>
      <c r="M340" s="364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/>
      <c r="C341" s="314" t="n"/>
      <c r="D341" s="330" t="inlineStr">
        <is>
          <t>Logistic</t>
        </is>
      </c>
      <c r="E341" s="367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5" t="n"/>
      <c r="H346" s="375" t="n"/>
      <c r="I346" s="377" t="n"/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314" t="n"/>
      <c r="D347" s="330" t="inlineStr">
        <is>
          <t>Accommodation</t>
        </is>
      </c>
      <c r="E347" s="367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82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7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93" t="n"/>
      <c r="F360" s="361" t="n"/>
      <c r="G360" s="375" t="n"/>
      <c r="H360" s="375" t="n"/>
      <c r="I360" s="377" t="n"/>
      <c r="J360" s="377" t="n"/>
      <c r="K360" s="377" t="n"/>
      <c r="L360" s="377" t="n"/>
      <c r="M360" s="376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5" t="n"/>
      <c r="H366" s="375" t="n"/>
      <c r="I366" s="376" t="n"/>
      <c r="J366" s="377" t="n"/>
      <c r="K366" s="377" t="n"/>
      <c r="L366" s="377" t="n"/>
      <c r="M366" s="376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13" t="n"/>
      <c r="C367" s="314" t="n"/>
      <c r="D367" s="315" t="inlineStr">
        <is>
          <t>Accommodation</t>
        </is>
      </c>
      <c r="E367" s="366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6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81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402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7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7" t="n"/>
      <c r="F381" s="317" t="n"/>
      <c r="G381" s="314" t="n"/>
      <c r="H381" s="314" t="n"/>
      <c r="I381" s="382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82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83" t="n"/>
      <c r="C383" s="384" t="n"/>
      <c r="D383" s="385" t="n"/>
      <c r="E383" s="385" t="n"/>
      <c r="F383" s="386" t="n"/>
      <c r="G383" s="384" t="n"/>
      <c r="H383" s="384" t="n"/>
      <c r="I383" s="374" t="n"/>
      <c r="J383" s="374" t="n"/>
      <c r="K383" s="374" t="n"/>
      <c r="L383" s="374" t="n"/>
      <c r="M383" s="374" t="n"/>
      <c r="N383" s="374" t="n"/>
      <c r="O383" s="374" t="n"/>
      <c r="P383" s="374" t="n"/>
      <c r="Q383" s="374" t="n"/>
      <c r="R383" s="373" t="n"/>
      <c r="S383" s="373" t="n"/>
      <c r="T383" s="373" t="n"/>
      <c r="U383" s="373" t="n"/>
      <c r="V383" s="373" t="n"/>
      <c r="W383" s="373" t="n"/>
      <c r="X383" s="373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83" t="n"/>
      <c r="C385" s="384" t="n"/>
      <c r="D385" s="385" t="n"/>
      <c r="E385" s="385" t="n"/>
      <c r="F385" s="386" t="n"/>
      <c r="G385" s="384" t="n"/>
      <c r="H385" s="384" t="n"/>
      <c r="I385" s="372" t="n"/>
      <c r="J385" s="374" t="n"/>
      <c r="K385" s="374" t="n"/>
      <c r="L385" s="374" t="n"/>
      <c r="M385" s="374" t="n"/>
      <c r="N385" s="374" t="n"/>
      <c r="O385" s="374" t="n"/>
      <c r="P385" s="374" t="n"/>
      <c r="Q385" s="374" t="n"/>
      <c r="R385" s="373" t="n"/>
      <c r="S385" s="373" t="n"/>
      <c r="T385" s="373" t="n"/>
      <c r="U385" s="373" t="n"/>
      <c r="V385" s="373" t="n"/>
      <c r="W385" s="373" t="n"/>
      <c r="X385" s="373" t="n"/>
    </row>
    <row r="386" ht="15.5" customHeight="1" s="297">
      <c r="B386" s="333" t="n">
        <v>45500</v>
      </c>
      <c r="C386" s="314" t="n">
        <v>13</v>
      </c>
      <c r="D386" s="394" t="inlineStr">
        <is>
          <t>Tol Prabu - PLM + Fuel</t>
        </is>
      </c>
      <c r="E386" s="394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83" t="n"/>
      <c r="C387" s="384" t="n"/>
      <c r="D387" s="403" t="n"/>
      <c r="E387" s="403" t="n"/>
      <c r="F387" s="386" t="n"/>
      <c r="G387" s="384" t="n"/>
      <c r="H387" s="384" t="n"/>
      <c r="I387" s="374" t="n"/>
      <c r="J387" s="374" t="n"/>
      <c r="K387" s="374" t="n"/>
      <c r="L387" s="374" t="n"/>
      <c r="M387" s="374" t="n"/>
      <c r="N387" s="374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33" t="n">
        <v>45500</v>
      </c>
      <c r="C388" s="314" t="n">
        <v>14</v>
      </c>
      <c r="D388" s="394" t="inlineStr">
        <is>
          <t>Tol + Taxi From Airport Jakarta</t>
        </is>
      </c>
      <c r="E388" s="394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94" t="inlineStr">
        <is>
          <t>Car rental 21 - 27 Jul 2024</t>
        </is>
      </c>
      <c r="E389" s="394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94" t="inlineStr">
        <is>
          <t>Jakarta - Palembang</t>
        </is>
      </c>
      <c r="E390" s="394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5" t="n"/>
      <c r="H391" s="375" t="n"/>
      <c r="I391" s="377" t="n"/>
      <c r="J391" s="377" t="n"/>
      <c r="K391" s="377" t="n"/>
      <c r="L391" s="377" t="n"/>
      <c r="M391" s="364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/>
      <c r="C392" s="314" t="n"/>
      <c r="D392" s="330" t="inlineStr">
        <is>
          <t>Allowance</t>
        </is>
      </c>
      <c r="E392" s="402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83" t="n"/>
      <c r="C397" s="384" t="n"/>
      <c r="D397" s="404" t="n"/>
      <c r="E397" s="404" t="n"/>
      <c r="F397" s="386" t="n"/>
      <c r="G397" s="384" t="n"/>
      <c r="H397" s="384" t="n"/>
      <c r="I397" s="374" t="n"/>
      <c r="J397" s="374" t="n"/>
      <c r="K397" s="374" t="n"/>
      <c r="L397" s="374" t="n"/>
      <c r="M397" s="392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45463</v>
      </c>
      <c r="C398" s="318" t="n">
        <v>5</v>
      </c>
      <c r="D398" s="394" t="inlineStr">
        <is>
          <t>Tunjangan LapanganJRK-163 (16 - 19 Juni 2024) pending job</t>
        </is>
      </c>
      <c r="E398" s="394" t="n"/>
      <c r="F398" s="397" t="n">
        <v>1630000</v>
      </c>
      <c r="G398" s="318" t="inlineStr">
        <is>
          <t>$</t>
        </is>
      </c>
      <c r="H398" s="324" t="n">
        <v>16300</v>
      </c>
      <c r="I398" s="405" t="n"/>
      <c r="J398" s="406" t="n">
        <v>1630000</v>
      </c>
      <c r="K398" s="407" t="n"/>
      <c r="L398" s="407" t="n"/>
      <c r="M398" s="405" t="n"/>
      <c r="N398" s="407" t="n"/>
      <c r="O398" s="407" t="n"/>
      <c r="P398" s="407" t="n"/>
      <c r="Q398" s="407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8" t="inlineStr">
        <is>
          <t>Expense#25</t>
        </is>
      </c>
      <c r="C400" s="375" t="inlineStr">
        <is>
          <t>:</t>
        </is>
      </c>
      <c r="D400" s="357" t="inlineStr">
        <is>
          <t>TIS-Blora Field-PLT ALFA BHS by BARIKIN - IC</t>
        </is>
      </c>
      <c r="E400" s="409" t="n"/>
      <c r="F400" s="410" t="n"/>
      <c r="G400" s="375" t="n"/>
      <c r="H400" s="375" t="n"/>
      <c r="I400" s="377" t="n"/>
      <c r="J400" s="377" t="n"/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33" t="n"/>
      <c r="C401" s="314" t="n"/>
      <c r="D401" s="330" t="inlineStr">
        <is>
          <t>Allowance</t>
        </is>
      </c>
      <c r="E401" s="367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7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7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7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5" t="n"/>
      <c r="H409" s="375" t="n"/>
      <c r="I409" s="377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B410" s="313" t="n"/>
      <c r="C410" s="314" t="n"/>
      <c r="D410" s="315" t="inlineStr">
        <is>
          <t>Accommodation</t>
        </is>
      </c>
      <c r="E410" s="366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6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81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1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7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7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83" t="n"/>
      <c r="C421" s="384" t="n"/>
      <c r="D421" s="385" t="n"/>
      <c r="E421" s="385" t="n"/>
      <c r="F421" s="411" t="n"/>
      <c r="G421" s="384" t="n"/>
      <c r="H421" s="384" t="n"/>
      <c r="I421" s="374" t="n"/>
      <c r="J421" s="374" t="n"/>
      <c r="K421" s="374" t="n"/>
      <c r="L421" s="374" t="n"/>
      <c r="M421" s="374" t="n"/>
      <c r="N421" s="374" t="n"/>
      <c r="O421" s="374" t="n"/>
      <c r="P421" s="374" t="n"/>
      <c r="Q421" s="374" t="n"/>
      <c r="R421" s="373" t="n"/>
      <c r="S421" s="373" t="n"/>
      <c r="T421" s="373" t="n"/>
      <c r="U421" s="373" t="n"/>
      <c r="V421" s="373" t="n"/>
      <c r="W421" s="373" t="n"/>
      <c r="X421" s="373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83" t="n"/>
      <c r="C423" s="384" t="n"/>
      <c r="D423" s="385" t="n"/>
      <c r="E423" s="385" t="n"/>
      <c r="F423" s="411" t="n"/>
      <c r="G423" s="384" t="n"/>
      <c r="H423" s="384" t="n"/>
      <c r="I423" s="374" t="n"/>
      <c r="J423" s="374" t="n"/>
      <c r="K423" s="374" t="n"/>
      <c r="L423" s="374" t="n"/>
      <c r="M423" s="374" t="n"/>
      <c r="N423" s="374" t="n"/>
      <c r="O423" s="374" t="n"/>
      <c r="P423" s="374" t="n"/>
      <c r="Q423" s="374" t="n"/>
      <c r="R423" s="373" t="n"/>
      <c r="S423" s="373" t="n"/>
      <c r="T423" s="373" t="n"/>
      <c r="U423" s="373" t="n"/>
      <c r="V423" s="373" t="n"/>
      <c r="W423" s="373" t="n"/>
      <c r="X423" s="373" t="n"/>
    </row>
    <row r="424" ht="15.5" customHeight="1" s="297">
      <c r="B424" s="333" t="n">
        <v>45511</v>
      </c>
      <c r="C424" s="314" t="n">
        <v>9</v>
      </c>
      <c r="D424" s="394" t="inlineStr">
        <is>
          <t>Gocar Hotel to Tawang</t>
        </is>
      </c>
      <c r="E424" s="394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5" t="n"/>
      <c r="H425" s="375" t="n"/>
      <c r="I425" s="377" t="n"/>
      <c r="J425" s="377" t="n"/>
      <c r="K425" s="377" t="n"/>
      <c r="L425" s="377" t="n"/>
      <c r="M425" s="376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6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7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12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83" t="n"/>
      <c r="C451" s="384" t="n"/>
      <c r="D451" s="385" t="n"/>
      <c r="E451" s="385" t="n"/>
      <c r="F451" s="386" t="n"/>
      <c r="G451" s="384" t="n"/>
      <c r="H451" s="384" t="n"/>
      <c r="I451" s="374" t="n"/>
      <c r="J451" s="374" t="n"/>
      <c r="K451" s="374" t="n"/>
      <c r="L451" s="374" t="n"/>
      <c r="M451" s="374" t="n"/>
      <c r="N451" s="374" t="n"/>
      <c r="O451" s="374" t="n"/>
      <c r="P451" s="374" t="n"/>
      <c r="Q451" s="374" t="n"/>
      <c r="R451" s="373" t="n"/>
      <c r="S451" s="373" t="n"/>
      <c r="T451" s="373" t="n"/>
      <c r="U451" s="373" t="n"/>
      <c r="V451" s="373" t="n"/>
      <c r="W451" s="373" t="n"/>
      <c r="X451" s="373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13" t="n"/>
      <c r="C454" s="384" t="n"/>
      <c r="D454" s="414" t="n"/>
      <c r="E454" s="414" t="n"/>
      <c r="F454" s="386" t="n"/>
      <c r="G454" s="384" t="n"/>
      <c r="H454" s="384" t="n"/>
      <c r="I454" s="372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5" t="n"/>
      <c r="H455" s="375" t="n"/>
      <c r="I455" s="377" t="n"/>
      <c r="J455" s="377" t="n"/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7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7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7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7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83" t="n"/>
      <c r="C484" s="384" t="n"/>
      <c r="D484" s="385" t="n"/>
      <c r="E484" s="385" t="n"/>
      <c r="F484" s="386" t="n"/>
      <c r="G484" s="384" t="n"/>
      <c r="H484" s="384" t="n"/>
      <c r="I484" s="374" t="n"/>
      <c r="J484" s="374" t="n"/>
      <c r="K484" s="374" t="n"/>
      <c r="L484" s="374" t="n"/>
      <c r="M484" s="374" t="n"/>
      <c r="N484" s="374" t="n"/>
      <c r="O484" s="374" t="n"/>
      <c r="P484" s="374" t="n"/>
      <c r="Q484" s="374" t="n"/>
      <c r="R484" s="373" t="n"/>
      <c r="S484" s="373" t="n"/>
      <c r="T484" s="373" t="n"/>
      <c r="U484" s="373" t="n"/>
      <c r="V484" s="373" t="n"/>
      <c r="W484" s="373" t="n"/>
      <c r="X484" s="373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5" t="n"/>
      <c r="H486" s="375" t="n"/>
      <c r="I486" s="377" t="n"/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/>
      <c r="C487" s="314" t="n"/>
      <c r="D487" s="330" t="inlineStr">
        <is>
          <t>Accommodation</t>
        </is>
      </c>
      <c r="E487" s="367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7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7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8" t="n"/>
      <c r="D496" s="330" t="inlineStr">
        <is>
          <t>Operation</t>
        </is>
      </c>
      <c r="E496" s="367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8" t="n"/>
      <c r="D498" s="330" t="inlineStr">
        <is>
          <t>Transportation</t>
        </is>
      </c>
      <c r="E498" s="367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8" t="n"/>
      <c r="C500" s="401" t="n"/>
      <c r="D500" s="370" t="n"/>
      <c r="E500" s="370" t="n"/>
      <c r="F500" s="371" t="n"/>
      <c r="G500" s="369" t="n"/>
      <c r="H500" s="369" t="n"/>
      <c r="I500" s="374" t="n"/>
      <c r="J500" s="374" t="n"/>
      <c r="K500" s="374" t="n"/>
      <c r="L500" s="374" t="n"/>
      <c r="M500" s="374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5" t="n"/>
      <c r="H502" s="375" t="n"/>
      <c r="I502" s="377" t="n"/>
      <c r="J502" s="377" t="n"/>
      <c r="K502" s="377" t="n"/>
      <c r="L502" s="377" t="n"/>
      <c r="M502" s="377" t="n"/>
      <c r="N502" s="376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B503" s="333" t="n"/>
      <c r="C503" s="314" t="n"/>
      <c r="D503" s="330" t="inlineStr">
        <is>
          <t>Allowance</t>
        </is>
      </c>
      <c r="E503" s="395" t="n"/>
      <c r="F503" s="317" t="n"/>
      <c r="G503" s="314" t="n"/>
      <c r="H503" s="314" t="n"/>
      <c r="I503" s="415" t="n"/>
      <c r="J503" s="415" t="n"/>
      <c r="K503" s="415" t="n"/>
      <c r="L503" s="415" t="n"/>
      <c r="M503" s="415" t="n"/>
      <c r="N503" s="415" t="n"/>
      <c r="O503" s="415" t="n"/>
      <c r="P503" s="415" t="n"/>
      <c r="Q503" s="415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83" t="n"/>
      <c r="C506" s="384" t="n"/>
      <c r="D506" s="396" t="n"/>
      <c r="E506" s="396" t="n"/>
      <c r="F506" s="386" t="n"/>
      <c r="G506" s="384" t="n"/>
      <c r="H506" s="384" t="n"/>
      <c r="I506" s="374" t="n"/>
      <c r="J506" s="374" t="n"/>
      <c r="K506" s="374" t="n"/>
      <c r="L506" s="374" t="n"/>
      <c r="M506" s="374" t="n"/>
      <c r="N506" s="392" t="n"/>
      <c r="O506" s="374" t="n"/>
      <c r="P506" s="374" t="n"/>
      <c r="Q506" s="374" t="n"/>
      <c r="R506" s="373" t="n"/>
      <c r="S506" s="373" t="n"/>
      <c r="T506" s="373" t="n"/>
      <c r="U506" s="373" t="n"/>
      <c r="V506" s="373" t="n"/>
      <c r="W506" s="373" t="n"/>
      <c r="X506" s="373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5" t="n"/>
      <c r="H508" s="375" t="n"/>
      <c r="I508" s="416" t="n"/>
      <c r="J508" s="377" t="n"/>
      <c r="K508" s="377" t="n"/>
      <c r="L508" s="377" t="n"/>
      <c r="M508" s="377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33" t="n"/>
      <c r="C509" s="314" t="n"/>
      <c r="D509" s="330" t="inlineStr">
        <is>
          <t>Accommodation</t>
        </is>
      </c>
      <c r="E509" s="402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82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402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8" t="n"/>
      <c r="D520" s="330" t="inlineStr">
        <is>
          <t>Transportation</t>
        </is>
      </c>
      <c r="E520" s="402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5" t="n"/>
      <c r="H523" s="375" t="n"/>
      <c r="I523" s="416" t="n"/>
      <c r="J523" s="377" t="n"/>
      <c r="K523" s="377" t="n"/>
      <c r="L523" s="377" t="n"/>
      <c r="M523" s="377" t="n"/>
      <c r="N523" s="377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314" t="n"/>
      <c r="D524" s="315" t="inlineStr">
        <is>
          <t>Allowance</t>
        </is>
      </c>
      <c r="E524" s="366" t="n"/>
      <c r="F524" s="317" t="n"/>
      <c r="G524" s="316" t="n"/>
      <c r="H524" s="417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81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8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1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8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8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7" t="n"/>
      <c r="F528" s="317" t="n"/>
      <c r="G528" s="316" t="n"/>
      <c r="H528" s="417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8" t="n">
        <v>1</v>
      </c>
      <c r="I529" s="382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7" t="n"/>
      <c r="F530" s="317" t="n"/>
      <c r="G530" s="316" t="n"/>
      <c r="H530" s="417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8" t="n">
        <v>1</v>
      </c>
      <c r="I531" s="382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83" t="n"/>
      <c r="C532" s="384" t="n"/>
      <c r="D532" s="385" t="n"/>
      <c r="E532" s="385" t="n"/>
      <c r="F532" s="386" t="n"/>
      <c r="G532" s="419" t="n"/>
      <c r="H532" s="420" t="n"/>
      <c r="I532" s="374" t="n"/>
      <c r="J532" s="374" t="n"/>
      <c r="K532" s="374" t="n"/>
      <c r="L532" s="374" t="n"/>
      <c r="M532" s="374" t="n"/>
      <c r="N532" s="374" t="n"/>
      <c r="O532" s="374" t="n"/>
      <c r="P532" s="374" t="n"/>
      <c r="Q532" s="374" t="n"/>
      <c r="R532" s="373" t="n"/>
      <c r="S532" s="373" t="n"/>
      <c r="T532" s="373" t="n"/>
      <c r="U532" s="373" t="n"/>
      <c r="V532" s="373" t="n"/>
      <c r="W532" s="373" t="n"/>
      <c r="X532" s="373" t="n"/>
    </row>
    <row r="533" ht="15.5" customHeight="1" s="297">
      <c r="B533" s="333" t="n">
        <v>45561</v>
      </c>
      <c r="C533" s="314" t="n">
        <v>6</v>
      </c>
      <c r="D533" s="394" t="inlineStr">
        <is>
          <t>Taxi+Tol Gambir - Serpong</t>
        </is>
      </c>
      <c r="E533" s="394" t="n"/>
      <c r="F533" s="323" t="n">
        <v>240000</v>
      </c>
      <c r="G533" s="316" t="inlineStr">
        <is>
          <t>IDR</t>
        </is>
      </c>
      <c r="H533" s="418" t="n">
        <v>1</v>
      </c>
      <c r="I533" s="382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5" t="n"/>
      <c r="H534" s="375" t="n"/>
      <c r="I534" s="376" t="n"/>
      <c r="J534" s="377" t="n"/>
      <c r="K534" s="377" t="n"/>
      <c r="L534" s="377" t="n"/>
      <c r="M534" s="377" t="n"/>
      <c r="N534" s="377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/>
      <c r="C535" s="314" t="n"/>
      <c r="D535" s="330" t="inlineStr">
        <is>
          <t>Accommodation</t>
        </is>
      </c>
      <c r="E535" s="367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7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7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8" t="n"/>
      <c r="D559" s="330" t="inlineStr">
        <is>
          <t>Transportation</t>
        </is>
      </c>
      <c r="E559" s="367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8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5" t="n"/>
      <c r="H562" s="375" t="n"/>
      <c r="I562" s="377" t="n"/>
      <c r="J562" s="377" t="n"/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B563" s="313" t="n"/>
      <c r="C563" s="314" t="n"/>
      <c r="D563" s="315" t="inlineStr">
        <is>
          <t>Accommodation</t>
        </is>
      </c>
      <c r="E563" s="366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6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402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83" t="n"/>
      <c r="C571" s="384" t="n"/>
      <c r="D571" s="385" t="n"/>
      <c r="E571" s="385" t="n"/>
      <c r="F571" s="386" t="n"/>
      <c r="G571" s="384" t="n"/>
      <c r="H571" s="384" t="n"/>
      <c r="I571" s="392" t="n"/>
      <c r="J571" s="374" t="n"/>
      <c r="K571" s="374" t="n"/>
      <c r="L571" s="374" t="n"/>
      <c r="M571" s="374" t="n"/>
      <c r="N571" s="392" t="n"/>
      <c r="O571" s="374" t="n"/>
      <c r="P571" s="374" t="n"/>
      <c r="Q571" s="374" t="n"/>
      <c r="R571" s="373" t="n"/>
      <c r="S571" s="373" t="n"/>
      <c r="T571" s="373" t="n"/>
      <c r="U571" s="373" t="n"/>
      <c r="V571" s="373" t="n"/>
      <c r="W571" s="373" t="n"/>
      <c r="X571" s="373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83" t="n"/>
      <c r="C573" s="384" t="n"/>
      <c r="D573" s="385" t="n"/>
      <c r="E573" s="385" t="n"/>
      <c r="F573" s="386" t="n"/>
      <c r="G573" s="384" t="n"/>
      <c r="H573" s="384" t="n"/>
      <c r="I573" s="374" t="n"/>
      <c r="J573" s="374" t="n"/>
      <c r="K573" s="374" t="n"/>
      <c r="L573" s="374" t="n"/>
      <c r="M573" s="374" t="n"/>
      <c r="N573" s="374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83" t="n"/>
      <c r="C575" s="384" t="n"/>
      <c r="D575" s="385" t="n"/>
      <c r="E575" s="385" t="n"/>
      <c r="F575" s="386" t="n"/>
      <c r="G575" s="384" t="n"/>
      <c r="H575" s="384" t="n"/>
      <c r="I575" s="374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82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5" t="n"/>
      <c r="H577" s="375" t="n"/>
      <c r="I577" s="377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/>
      <c r="C578" s="314" t="n"/>
      <c r="D578" s="330" t="inlineStr">
        <is>
          <t>Accommodation</t>
        </is>
      </c>
      <c r="E578" s="367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1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1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1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1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1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1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1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1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1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1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21" t="n"/>
      <c r="C589" s="421" t="n"/>
      <c r="D589" s="422" t="inlineStr">
        <is>
          <t>Meal</t>
        </is>
      </c>
      <c r="E589" s="423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1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1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1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1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7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1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1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7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1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1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5" t="n"/>
      <c r="H600" s="375" t="n"/>
      <c r="I600" s="377" t="n"/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6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5" t="n"/>
      <c r="H617" s="375" t="n"/>
      <c r="I617" s="377" t="n"/>
      <c r="J617" s="377" t="n"/>
      <c r="K617" s="377" t="n"/>
      <c r="L617" s="377" t="n"/>
      <c r="M617" s="377" t="n"/>
      <c r="N617" s="377" t="n"/>
      <c r="O617" s="377" t="n"/>
      <c r="P617" s="377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33" t="n"/>
      <c r="C618" s="314" t="n"/>
      <c r="D618" s="330" t="inlineStr">
        <is>
          <t>Accommodation</t>
        </is>
      </c>
      <c r="E618" s="367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7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8" t="n"/>
      <c r="D628" s="330" t="inlineStr">
        <is>
          <t>Transportation</t>
        </is>
      </c>
      <c r="E628" s="367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5" t="n"/>
      <c r="H631" s="375" t="n"/>
      <c r="I631" s="377" t="n"/>
      <c r="J631" s="377" t="n"/>
      <c r="K631" s="377" t="n"/>
      <c r="L631" s="377" t="n"/>
      <c r="M631" s="376" t="n"/>
      <c r="N631" s="377" t="n"/>
      <c r="O631" s="377" t="n"/>
      <c r="P631" s="377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/>
      <c r="C632" s="314" t="n"/>
      <c r="D632" s="315" t="inlineStr">
        <is>
          <t>Accommodation</t>
        </is>
      </c>
      <c r="E632" s="366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402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7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402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83" t="n"/>
      <c r="C640" s="384" t="n"/>
      <c r="D640" s="404" t="n"/>
      <c r="E640" s="404" t="n"/>
      <c r="F640" s="386" t="n"/>
      <c r="G640" s="384" t="n"/>
      <c r="H640" s="384" t="n"/>
      <c r="I640" s="374" t="n"/>
      <c r="J640" s="374" t="n"/>
      <c r="K640" s="374" t="n"/>
      <c r="L640" s="374" t="n"/>
      <c r="M640" s="372" t="n"/>
      <c r="N640" s="374" t="n"/>
      <c r="O640" s="374" t="n"/>
      <c r="P640" s="374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83" t="n"/>
      <c r="C642" s="384" t="n"/>
      <c r="D642" s="385" t="n"/>
      <c r="E642" s="385" t="n"/>
      <c r="F642" s="386" t="n"/>
      <c r="G642" s="384" t="n"/>
      <c r="H642" s="384" t="n"/>
      <c r="I642" s="374" t="n"/>
      <c r="J642" s="374" t="n"/>
      <c r="K642" s="374" t="n"/>
      <c r="L642" s="374" t="n"/>
      <c r="M642" s="374" t="n"/>
      <c r="N642" s="374" t="n"/>
      <c r="O642" s="374" t="n"/>
      <c r="P642" s="374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82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77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33" t="n"/>
      <c r="C645" s="314" t="n"/>
      <c r="D645" s="330" t="inlineStr">
        <is>
          <t>Training</t>
        </is>
      </c>
      <c r="E645" s="367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7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5" t="n"/>
      <c r="H653" s="375" t="n"/>
      <c r="I653" s="377" t="n"/>
      <c r="J653" s="377" t="n"/>
      <c r="K653" s="377" t="n"/>
      <c r="L653" s="377" t="n"/>
      <c r="M653" s="376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24" t="n"/>
      <c r="C654" s="425" t="n"/>
      <c r="D654" s="315" t="inlineStr">
        <is>
          <t>Shipping</t>
        </is>
      </c>
      <c r="E654" s="426" t="n"/>
      <c r="F654" s="427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8" t="n">
        <v>45572</v>
      </c>
      <c r="C655" s="425" t="n">
        <v>1</v>
      </c>
      <c r="D655" s="429" t="inlineStr">
        <is>
          <t>Materai 6 pcs</t>
        </is>
      </c>
      <c r="E655" s="429" t="n"/>
      <c r="F655" s="430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8" t="n">
        <v>45555</v>
      </c>
      <c r="C656" s="425" t="n">
        <v>2</v>
      </c>
      <c r="D656" s="429" t="inlineStr">
        <is>
          <t>JNE courier</t>
        </is>
      </c>
      <c r="E656" s="429" t="n"/>
      <c r="F656" s="431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8" t="n"/>
      <c r="C657" s="425" t="n"/>
      <c r="D657" s="432" t="inlineStr">
        <is>
          <t>Transportation</t>
        </is>
      </c>
      <c r="E657" s="429" t="n"/>
      <c r="F657" s="433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8" t="n">
        <v>45560</v>
      </c>
      <c r="C658" s="425" t="n">
        <v>3</v>
      </c>
      <c r="D658" s="429" t="inlineStr">
        <is>
          <t>POS courier</t>
        </is>
      </c>
      <c r="E658" s="429" t="n"/>
      <c r="F658" s="434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8" t="n">
        <v>45574</v>
      </c>
      <c r="C659" s="425" t="n">
        <v>4</v>
      </c>
      <c r="D659" s="429" t="inlineStr">
        <is>
          <t>POS courier</t>
        </is>
      </c>
      <c r="E659" s="429" t="n"/>
      <c r="F659" s="434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8" t="n">
        <v>45579</v>
      </c>
      <c r="C660" s="425" t="n">
        <v>5</v>
      </c>
      <c r="D660" s="429" t="inlineStr">
        <is>
          <t>JNE courier</t>
        </is>
      </c>
      <c r="E660" s="429" t="n"/>
      <c r="F660" s="434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8" t="n">
        <v>45579</v>
      </c>
      <c r="C661" s="425" t="n">
        <v>6</v>
      </c>
      <c r="D661" s="429" t="inlineStr">
        <is>
          <t>Materai 10 pcs</t>
        </is>
      </c>
      <c r="E661" s="429" t="n"/>
      <c r="F661" s="434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8" t="n">
        <v>45582</v>
      </c>
      <c r="C662" s="425" t="n">
        <v>7</v>
      </c>
      <c r="D662" s="429" t="inlineStr">
        <is>
          <t>Materai 5 pcs</t>
        </is>
      </c>
      <c r="E662" s="429" t="n"/>
      <c r="F662" s="434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8" t="n">
        <v>45617</v>
      </c>
      <c r="C663" s="425" t="n">
        <v>8</v>
      </c>
      <c r="D663" s="429" t="inlineStr">
        <is>
          <t>Materai 10 pcs</t>
        </is>
      </c>
      <c r="E663" s="429" t="n"/>
      <c r="F663" s="434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8" t="n">
        <v>45579</v>
      </c>
      <c r="C664" s="425" t="n">
        <v>9</v>
      </c>
      <c r="D664" s="429" t="inlineStr">
        <is>
          <t>GoCar to Elnusa PP</t>
        </is>
      </c>
      <c r="E664" s="429" t="n"/>
      <c r="F664" s="434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8" t="n">
        <v>45579</v>
      </c>
      <c r="C665" s="425" t="n">
        <v>10</v>
      </c>
      <c r="D665" s="429" t="inlineStr">
        <is>
          <t>Tol &amp; parking fee</t>
        </is>
      </c>
      <c r="E665" s="429" t="n"/>
      <c r="F665" s="434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8" t="n">
        <v>45582</v>
      </c>
      <c r="C666" s="425" t="n">
        <v>11</v>
      </c>
      <c r="D666" s="429" t="inlineStr">
        <is>
          <t>GoCar to Elnusa PP</t>
        </is>
      </c>
      <c r="E666" s="429" t="n"/>
      <c r="F666" s="434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8" t="n">
        <v>45582</v>
      </c>
      <c r="C667" s="425" t="n">
        <v>12</v>
      </c>
      <c r="D667" s="429" t="inlineStr">
        <is>
          <t>Tol &amp; parking fee</t>
        </is>
      </c>
      <c r="E667" s="429" t="n"/>
      <c r="F667" s="434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8" t="n">
        <v>45617</v>
      </c>
      <c r="C668" s="425" t="n">
        <v>13</v>
      </c>
      <c r="D668" s="429" t="inlineStr">
        <is>
          <t>GoCar to Elnusa PP</t>
        </is>
      </c>
      <c r="E668" s="429" t="n"/>
      <c r="F668" s="434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5" t="n"/>
      <c r="C669" s="436" t="n"/>
      <c r="D669" s="437" t="n"/>
      <c r="E669" s="437" t="n"/>
      <c r="F669" s="438" t="n"/>
      <c r="G669" s="384" t="n"/>
      <c r="H669" s="384" t="n"/>
      <c r="I669" s="439" t="n"/>
      <c r="J669" s="439" t="n"/>
      <c r="K669" s="439" t="n"/>
      <c r="L669" s="439" t="n"/>
      <c r="M669" s="439" t="n"/>
      <c r="N669" s="439" t="n"/>
      <c r="O669" s="439" t="n"/>
      <c r="P669" s="439" t="n"/>
      <c r="Q669" s="439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428" t="n">
        <v>45617</v>
      </c>
      <c r="C670" s="425" t="n">
        <v>14</v>
      </c>
      <c r="D670" s="429" t="inlineStr">
        <is>
          <t>Tol &amp; parking fee</t>
        </is>
      </c>
      <c r="E670" s="429" t="n"/>
      <c r="F670" s="434" t="n">
        <v>43450</v>
      </c>
      <c r="G670" s="314" t="inlineStr">
        <is>
          <t>IDR</t>
        </is>
      </c>
      <c r="H670" s="345" t="n">
        <v>1</v>
      </c>
      <c r="I670" s="319" t="n"/>
      <c r="J670" s="406" t="n">
        <v>43450</v>
      </c>
      <c r="K670" s="405" t="n"/>
      <c r="L670" s="405" t="n"/>
      <c r="M670" s="405" t="n"/>
      <c r="N670" s="405" t="n"/>
      <c r="O670" s="405" t="n"/>
      <c r="P670" s="405" t="n"/>
      <c r="Q670" s="40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8" t="n">
        <v>45636</v>
      </c>
      <c r="C671" s="425" t="n">
        <v>15</v>
      </c>
      <c r="D671" s="429" t="inlineStr">
        <is>
          <t>GoCar to Elnusa PP</t>
        </is>
      </c>
      <c r="E671" s="429" t="n"/>
      <c r="F671" s="434" t="n">
        <v>290000</v>
      </c>
      <c r="G671" s="314" t="inlineStr">
        <is>
          <t>IDR</t>
        </is>
      </c>
      <c r="H671" s="345" t="n">
        <v>1</v>
      </c>
      <c r="I671" s="319" t="n"/>
      <c r="J671" s="406" t="n">
        <v>290000</v>
      </c>
      <c r="K671" s="405" t="n"/>
      <c r="L671" s="405" t="n"/>
      <c r="M671" s="405" t="n"/>
      <c r="N671" s="405" t="n"/>
      <c r="O671" s="405" t="n"/>
      <c r="P671" s="405" t="n"/>
      <c r="Q671" s="405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8" t="n">
        <v>45636</v>
      </c>
      <c r="C672" s="425" t="n">
        <v>16</v>
      </c>
      <c r="D672" s="429" t="inlineStr">
        <is>
          <t>Tol &amp; parking fee</t>
        </is>
      </c>
      <c r="E672" s="429" t="n"/>
      <c r="F672" s="434" t="n">
        <v>48500</v>
      </c>
      <c r="G672" s="314" t="inlineStr">
        <is>
          <t>IDR</t>
        </is>
      </c>
      <c r="H672" s="345" t="n">
        <v>1</v>
      </c>
      <c r="I672" s="319" t="n"/>
      <c r="J672" s="406" t="n">
        <v>48500</v>
      </c>
      <c r="K672" s="405" t="n"/>
      <c r="L672" s="405" t="n"/>
      <c r="M672" s="405" t="n"/>
      <c r="N672" s="405" t="n"/>
      <c r="O672" s="405" t="n"/>
      <c r="P672" s="405" t="n"/>
      <c r="Q672" s="405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40" t="n"/>
      <c r="C673" s="436" t="n"/>
      <c r="D673" s="441" t="n"/>
      <c r="E673" s="441" t="n"/>
      <c r="F673" s="438" t="n"/>
      <c r="G673" s="384" t="n"/>
      <c r="H673" s="384" t="n"/>
      <c r="I673" s="392" t="n"/>
      <c r="J673" s="439" t="n"/>
      <c r="K673" s="439" t="n"/>
      <c r="L673" s="439" t="n"/>
      <c r="M673" s="439" t="n"/>
      <c r="N673" s="439" t="n"/>
      <c r="O673" s="439" t="n"/>
      <c r="P673" s="439" t="n"/>
      <c r="Q673" s="439" t="n"/>
      <c r="R673" s="373" t="n"/>
      <c r="S673" s="373" t="n"/>
      <c r="T673" s="373" t="n"/>
      <c r="U673" s="373" t="n"/>
      <c r="V673" s="373" t="n"/>
      <c r="W673" s="373" t="n"/>
      <c r="X673" s="373" t="n"/>
    </row>
    <row r="674" hidden="1" ht="15.5" customHeight="1" s="297">
      <c r="B674" s="440" t="n"/>
      <c r="C674" s="436" t="n"/>
      <c r="D674" s="441" t="n"/>
      <c r="E674" s="441" t="n"/>
      <c r="F674" s="438" t="n"/>
      <c r="G674" s="384" t="n"/>
      <c r="H674" s="384" t="n"/>
      <c r="I674" s="392" t="n"/>
      <c r="J674" s="439" t="n"/>
      <c r="K674" s="439" t="n"/>
      <c r="L674" s="439" t="n"/>
      <c r="M674" s="439" t="n"/>
      <c r="N674" s="439" t="n"/>
      <c r="O674" s="439" t="n"/>
      <c r="P674" s="439" t="n"/>
      <c r="Q674" s="439" t="n"/>
      <c r="R674" s="373" t="n"/>
      <c r="S674" s="373" t="n"/>
      <c r="T674" s="373" t="n"/>
      <c r="U674" s="373" t="n"/>
      <c r="V674" s="373" t="n"/>
      <c r="W674" s="373" t="n"/>
      <c r="X674" s="373" t="n"/>
    </row>
    <row r="675" hidden="1" ht="15.5" customHeight="1" s="297">
      <c r="B675" s="440" t="n"/>
      <c r="C675" s="436" t="n"/>
      <c r="D675" s="441" t="n"/>
      <c r="E675" s="441" t="n"/>
      <c r="F675" s="438" t="n"/>
      <c r="G675" s="384" t="n"/>
      <c r="H675" s="384" t="n"/>
      <c r="I675" s="392" t="n"/>
      <c r="J675" s="439" t="n"/>
      <c r="K675" s="439" t="n"/>
      <c r="L675" s="439" t="n"/>
      <c r="M675" s="439" t="n"/>
      <c r="N675" s="439" t="n"/>
      <c r="O675" s="439" t="n"/>
      <c r="P675" s="439" t="n"/>
      <c r="Q675" s="439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440" t="n"/>
      <c r="C676" s="436" t="n"/>
      <c r="D676" s="441" t="n"/>
      <c r="E676" s="441" t="n"/>
      <c r="F676" s="438" t="n"/>
      <c r="G676" s="384" t="n"/>
      <c r="H676" s="384" t="n"/>
      <c r="I676" s="392" t="n"/>
      <c r="J676" s="439" t="n"/>
      <c r="K676" s="439" t="n"/>
      <c r="L676" s="439" t="n"/>
      <c r="M676" s="439" t="n"/>
      <c r="N676" s="439" t="n"/>
      <c r="O676" s="439" t="n"/>
      <c r="P676" s="439" t="n"/>
      <c r="Q676" s="439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440" t="n"/>
      <c r="C677" s="436" t="n"/>
      <c r="D677" s="441" t="n"/>
      <c r="E677" s="441" t="n"/>
      <c r="F677" s="438" t="n"/>
      <c r="G677" s="384" t="n"/>
      <c r="H677" s="384" t="n"/>
      <c r="I677" s="392" t="n"/>
      <c r="J677" s="439" t="n"/>
      <c r="K677" s="439" t="n"/>
      <c r="L677" s="439" t="n"/>
      <c r="M677" s="439" t="n"/>
      <c r="N677" s="439" t="n"/>
      <c r="O677" s="439" t="n"/>
      <c r="P677" s="439" t="n"/>
      <c r="Q677" s="439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442" t="inlineStr">
        <is>
          <t>Expense#41</t>
        </is>
      </c>
      <c r="C678" s="358" t="inlineStr">
        <is>
          <t>:</t>
        </is>
      </c>
      <c r="D678" s="442" t="inlineStr">
        <is>
          <t>Starlink Kit_DS</t>
        </is>
      </c>
      <c r="E678" s="443" t="n"/>
      <c r="F678" s="444" t="n"/>
      <c r="G678" s="358" t="n"/>
      <c r="H678" s="358" t="n"/>
      <c r="I678" s="445" t="n"/>
      <c r="J678" s="445" t="n"/>
      <c r="K678" s="445" t="n"/>
      <c r="L678" s="445" t="n"/>
      <c r="M678" s="445" t="n"/>
      <c r="N678" s="445" t="n"/>
      <c r="O678" s="445" t="n"/>
      <c r="P678" s="445" t="n"/>
      <c r="Q678" s="445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5" t="n"/>
      <c r="J679" s="405" t="n"/>
      <c r="K679" s="405" t="n"/>
      <c r="L679" s="405" t="n"/>
      <c r="M679" s="405" t="n"/>
      <c r="N679" s="406" t="n">
        <v>5583200</v>
      </c>
      <c r="O679" s="405" t="n"/>
      <c r="P679" s="405" t="n"/>
      <c r="Q679" s="405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42" t="inlineStr">
        <is>
          <t>Expense#42</t>
        </is>
      </c>
      <c r="C680" s="358" t="inlineStr">
        <is>
          <t>:</t>
        </is>
      </c>
      <c r="D680" s="442" t="inlineStr">
        <is>
          <t>Pelican Case 1650 TMA</t>
        </is>
      </c>
      <c r="E680" s="443" t="n"/>
      <c r="F680" s="444" t="n"/>
      <c r="G680" s="358" t="n"/>
      <c r="H680" s="358" t="n"/>
      <c r="I680" s="445" t="n"/>
      <c r="J680" s="445" t="n"/>
      <c r="K680" s="445" t="n"/>
      <c r="L680" s="445" t="n"/>
      <c r="M680" s="445" t="n"/>
      <c r="N680" s="445" t="n"/>
      <c r="O680" s="445" t="n"/>
      <c r="P680" s="445" t="n"/>
      <c r="Q680" s="445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1" t="n">
        <v>45640</v>
      </c>
      <c r="C681" s="314" t="n">
        <v>1</v>
      </c>
      <c r="D681" s="446" t="inlineStr">
        <is>
          <t>Pelican Case 1650</t>
        </is>
      </c>
      <c r="E681" s="446" t="n"/>
      <c r="F681" s="447" t="n">
        <v>8156000</v>
      </c>
      <c r="G681" s="448" t="inlineStr">
        <is>
          <t>IDR</t>
        </is>
      </c>
      <c r="H681" s="449" t="n">
        <v>1</v>
      </c>
      <c r="I681" s="405" t="n"/>
      <c r="J681" s="405" t="n"/>
      <c r="K681" s="405" t="n"/>
      <c r="L681" s="405" t="n"/>
      <c r="M681" s="405" t="n"/>
      <c r="N681" s="406" t="n">
        <v>8156000</v>
      </c>
      <c r="O681" s="405" t="n"/>
      <c r="P681" s="405" t="n"/>
      <c r="Q681" s="405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4" t="n"/>
      <c r="G682" s="358" t="n"/>
      <c r="H682" s="358" t="n"/>
      <c r="I682" s="445" t="n"/>
      <c r="J682" s="445" t="n"/>
      <c r="K682" s="445" t="n"/>
      <c r="L682" s="445" t="n"/>
      <c r="M682" s="445" t="n"/>
      <c r="N682" s="445" t="n"/>
      <c r="O682" s="445" t="n"/>
      <c r="P682" s="445" t="n"/>
      <c r="Q682" s="445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50" t="n"/>
      <c r="C683" s="450" t="n"/>
      <c r="D683" s="451" t="inlineStr">
        <is>
          <t>Medical</t>
        </is>
      </c>
      <c r="E683" s="446" t="n"/>
      <c r="F683" s="450" t="n"/>
      <c r="G683" s="448" t="n"/>
      <c r="H683" s="448" t="n"/>
      <c r="I683" s="405" t="n"/>
      <c r="J683" s="405" t="n"/>
      <c r="K683" s="405" t="n"/>
      <c r="L683" s="405" t="n"/>
      <c r="M683" s="405" t="n"/>
      <c r="N683" s="405" t="n"/>
      <c r="O683" s="405" t="n"/>
      <c r="P683" s="405" t="n"/>
      <c r="Q683" s="405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5" t="n"/>
      <c r="J684" s="405" t="n"/>
      <c r="K684" s="405" t="n"/>
      <c r="L684" s="405" t="n"/>
      <c r="M684" s="405" t="n"/>
      <c r="N684" s="405" t="n"/>
      <c r="O684" s="405" t="n"/>
      <c r="P684" s="406" t="n">
        <v>604000</v>
      </c>
      <c r="Q684" s="405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5" t="n"/>
      <c r="J685" s="405" t="n"/>
      <c r="K685" s="405" t="n"/>
      <c r="L685" s="405" t="n"/>
      <c r="M685" s="405" t="n"/>
      <c r="N685" s="405" t="n"/>
      <c r="O685" s="405" t="n"/>
      <c r="P685" s="406" t="n">
        <v>799000</v>
      </c>
      <c r="Q685" s="405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5" t="n"/>
      <c r="J686" s="405" t="n"/>
      <c r="K686" s="405" t="n"/>
      <c r="L686" s="405" t="n"/>
      <c r="M686" s="405" t="n"/>
      <c r="N686" s="405" t="n"/>
      <c r="O686" s="405" t="n"/>
      <c r="P686" s="406" t="n">
        <v>1582141</v>
      </c>
      <c r="Q686" s="40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5" t="n"/>
      <c r="J687" s="405" t="n"/>
      <c r="K687" s="405" t="n"/>
      <c r="L687" s="405" t="n"/>
      <c r="M687" s="405" t="n"/>
      <c r="N687" s="405" t="n"/>
      <c r="O687" s="405" t="n"/>
      <c r="P687" s="406" t="n">
        <v>970767</v>
      </c>
      <c r="Q687" s="405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5" t="n"/>
      <c r="J688" s="405" t="n"/>
      <c r="K688" s="405" t="n"/>
      <c r="L688" s="405" t="n"/>
      <c r="M688" s="405" t="n"/>
      <c r="N688" s="405" t="n"/>
      <c r="O688" s="405" t="n"/>
      <c r="P688" s="406" t="n">
        <v>157000</v>
      </c>
      <c r="Q688" s="405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5" t="n"/>
      <c r="J689" s="405" t="n"/>
      <c r="K689" s="405" t="n"/>
      <c r="L689" s="405" t="n"/>
      <c r="M689" s="405" t="n"/>
      <c r="N689" s="405" t="n"/>
      <c r="O689" s="405" t="n"/>
      <c r="P689" s="406" t="n">
        <v>152000</v>
      </c>
      <c r="Q689" s="405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5" t="n"/>
      <c r="J690" s="405" t="n"/>
      <c r="K690" s="405" t="n"/>
      <c r="L690" s="405" t="n"/>
      <c r="M690" s="405" t="n"/>
      <c r="N690" s="405" t="n"/>
      <c r="O690" s="405" t="n"/>
      <c r="P690" s="406" t="n">
        <v>190309.5</v>
      </c>
      <c r="Q690" s="405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5" t="n"/>
      <c r="J691" s="405" t="n"/>
      <c r="K691" s="405" t="n"/>
      <c r="L691" s="405" t="n"/>
      <c r="M691" s="405" t="n"/>
      <c r="N691" s="405" t="n"/>
      <c r="O691" s="405" t="n"/>
      <c r="P691" s="406" t="n">
        <v>417600</v>
      </c>
      <c r="Q691" s="405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6" t="n"/>
      <c r="F692" s="317" t="n"/>
      <c r="G692" s="314" t="n"/>
      <c r="H692" s="314" t="n"/>
      <c r="I692" s="405" t="n"/>
      <c r="J692" s="405" t="n"/>
      <c r="K692" s="405" t="n"/>
      <c r="L692" s="405" t="n"/>
      <c r="M692" s="405" t="n"/>
      <c r="N692" s="405" t="n"/>
      <c r="O692" s="405" t="n"/>
      <c r="P692" s="405" t="n"/>
      <c r="Q692" s="40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6" t="n">
        <v>276216</v>
      </c>
      <c r="K693" s="405" t="n"/>
      <c r="L693" s="405" t="n"/>
      <c r="M693" s="405" t="n"/>
      <c r="N693" s="405" t="n"/>
      <c r="O693" s="405" t="n"/>
      <c r="P693" s="405" t="n"/>
      <c r="Q693" s="405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6" t="n">
        <v>79500</v>
      </c>
      <c r="K694" s="405" t="n"/>
      <c r="L694" s="405" t="n"/>
      <c r="M694" s="405" t="n"/>
      <c r="N694" s="405" t="n"/>
      <c r="O694" s="405" t="n"/>
      <c r="P694" s="405" t="n"/>
      <c r="Q694" s="405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6" t="n">
        <v>29000</v>
      </c>
      <c r="K695" s="405" t="n"/>
      <c r="L695" s="405" t="n"/>
      <c r="M695" s="405" t="n"/>
      <c r="N695" s="405" t="n"/>
      <c r="O695" s="405" t="n"/>
      <c r="P695" s="405" t="n"/>
      <c r="Q695" s="405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6" t="n">
        <v>17000</v>
      </c>
      <c r="K696" s="405" t="n"/>
      <c r="L696" s="405" t="n"/>
      <c r="M696" s="405" t="n"/>
      <c r="N696" s="405" t="n"/>
      <c r="O696" s="405" t="n"/>
      <c r="P696" s="405" t="n"/>
      <c r="Q696" s="405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6" t="n">
        <v>155680</v>
      </c>
      <c r="K697" s="405" t="n"/>
      <c r="L697" s="405" t="n"/>
      <c r="M697" s="405" t="n"/>
      <c r="N697" s="405" t="n"/>
      <c r="O697" s="405" t="n"/>
      <c r="P697" s="405" t="n"/>
      <c r="Q697" s="405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6" t="n">
        <v>17000</v>
      </c>
      <c r="K698" s="405" t="n"/>
      <c r="L698" s="405" t="n"/>
      <c r="M698" s="405" t="n"/>
      <c r="N698" s="405" t="n"/>
      <c r="O698" s="405" t="n"/>
      <c r="P698" s="405" t="n"/>
      <c r="Q698" s="405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5" t="n"/>
      <c r="H699" s="375" t="n"/>
      <c r="I699" s="445" t="n"/>
      <c r="J699" s="445" t="n"/>
      <c r="K699" s="445" t="n"/>
      <c r="L699" s="445" t="n"/>
      <c r="M699" s="445" t="n"/>
      <c r="N699" s="445" t="n"/>
      <c r="O699" s="445" t="n"/>
      <c r="P699" s="445" t="n"/>
      <c r="Q699" s="445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33" t="n"/>
      <c r="C700" s="314" t="n"/>
      <c r="D700" s="315" t="inlineStr">
        <is>
          <t>Accommodation</t>
        </is>
      </c>
      <c r="E700" s="366" t="n"/>
      <c r="F700" s="317" t="n"/>
      <c r="G700" s="314" t="n"/>
      <c r="H700" s="314" t="n"/>
      <c r="I700" s="405" t="n"/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5" t="n"/>
      <c r="K701" s="405" t="n"/>
      <c r="L701" s="405" t="n"/>
      <c r="M701" s="406" t="n">
        <v>4913283</v>
      </c>
      <c r="N701" s="405" t="n"/>
      <c r="O701" s="405" t="n"/>
      <c r="P701" s="405" t="n"/>
      <c r="Q701" s="405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6" t="n">
        <v>195585</v>
      </c>
      <c r="K702" s="405" t="n"/>
      <c r="L702" s="405" t="n"/>
      <c r="M702" s="405" t="n"/>
      <c r="N702" s="405" t="n"/>
      <c r="O702" s="405" t="n"/>
      <c r="P702" s="405" t="n"/>
      <c r="Q702" s="405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6" t="n">
        <v>299900</v>
      </c>
      <c r="K703" s="405" t="n"/>
      <c r="L703" s="405" t="n"/>
      <c r="M703" s="405" t="n"/>
      <c r="N703" s="405" t="n"/>
      <c r="O703" s="405" t="n"/>
      <c r="P703" s="405" t="n"/>
      <c r="Q703" s="405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7" t="n"/>
      <c r="F704" s="317" t="n"/>
      <c r="G704" s="314" t="n"/>
      <c r="H704" s="314" t="n"/>
      <c r="I704" s="405" t="n"/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5" t="n"/>
      <c r="J705" s="406" t="n">
        <v>160000</v>
      </c>
      <c r="K705" s="405" t="n"/>
      <c r="L705" s="405" t="n"/>
      <c r="M705" s="405" t="n"/>
      <c r="N705" s="405" t="n"/>
      <c r="O705" s="405" t="n"/>
      <c r="P705" s="405" t="n"/>
      <c r="Q705" s="405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5" t="n"/>
      <c r="J706" s="406" t="n">
        <v>200000</v>
      </c>
      <c r="K706" s="405" t="n"/>
      <c r="L706" s="405" t="n"/>
      <c r="M706" s="405" t="n"/>
      <c r="N706" s="405" t="n"/>
      <c r="O706" s="405" t="n"/>
      <c r="P706" s="405" t="n"/>
      <c r="Q706" s="40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7" t="n"/>
      <c r="F707" s="317" t="n"/>
      <c r="G707" s="314" t="n"/>
      <c r="H707" s="314" t="n"/>
      <c r="I707" s="405" t="n"/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5" t="n"/>
      <c r="J708" s="406" t="n">
        <v>160000</v>
      </c>
      <c r="K708" s="405" t="n"/>
      <c r="L708" s="405" t="n"/>
      <c r="M708" s="405" t="n"/>
      <c r="N708" s="405" t="n"/>
      <c r="O708" s="405" t="n"/>
      <c r="P708" s="405" t="n"/>
      <c r="Q708" s="405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83" t="n"/>
      <c r="C709" s="384" t="n"/>
      <c r="D709" s="414" t="n"/>
      <c r="E709" s="414" t="n"/>
      <c r="F709" s="386" t="n"/>
      <c r="G709" s="384" t="n"/>
      <c r="H709" s="384" t="n"/>
      <c r="I709" s="439" t="n"/>
      <c r="J709" s="439" t="n"/>
      <c r="K709" s="439" t="n"/>
      <c r="L709" s="439" t="n"/>
      <c r="M709" s="439" t="n"/>
      <c r="N709" s="439" t="n"/>
      <c r="O709" s="439" t="n"/>
      <c r="P709" s="439" t="n"/>
      <c r="Q709" s="439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B710" s="357" t="inlineStr">
        <is>
          <t>Expense#45</t>
        </is>
      </c>
      <c r="C710" s="375" t="inlineStr">
        <is>
          <t>:</t>
        </is>
      </c>
      <c r="D710" s="359" t="inlineStr">
        <is>
          <t>General Operation_Year 2024 - AM</t>
        </is>
      </c>
      <c r="E710" s="452" t="n"/>
      <c r="F710" s="361" t="n"/>
      <c r="G710" s="375" t="n"/>
      <c r="H710" s="375" t="n"/>
      <c r="I710" s="445" t="n"/>
      <c r="J710" s="445" t="n"/>
      <c r="K710" s="445" t="n"/>
      <c r="L710" s="445" t="n"/>
      <c r="M710" s="445" t="n"/>
      <c r="N710" s="445" t="n"/>
      <c r="O710" s="445" t="n"/>
      <c r="P710" s="445" t="n"/>
      <c r="Q710" s="445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B711" s="453" t="n"/>
      <c r="C711" s="314" t="n"/>
      <c r="D711" s="454" t="inlineStr">
        <is>
          <t>IT Services</t>
        </is>
      </c>
      <c r="E711" s="453" t="n"/>
      <c r="F711" s="317" t="n"/>
      <c r="G711" s="314" t="n"/>
      <c r="H711" s="314" t="n"/>
      <c r="I711" s="405" t="n"/>
      <c r="J711" s="405" t="n"/>
      <c r="K711" s="405" t="n"/>
      <c r="L711" s="405" t="n"/>
      <c r="M711" s="405" t="n"/>
      <c r="N711" s="405" t="n"/>
      <c r="O711" s="405" t="n"/>
      <c r="P711" s="405" t="n"/>
      <c r="Q711" s="40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5" t="n">
        <v>45307</v>
      </c>
      <c r="C712" s="327" t="n">
        <v>1</v>
      </c>
      <c r="D712" s="456" t="inlineStr">
        <is>
          <t>Google Workspace PT. EWI</t>
        </is>
      </c>
      <c r="E712" s="456" t="n"/>
      <c r="F712" s="457" t="n">
        <v>306982</v>
      </c>
      <c r="G712" s="327" t="inlineStr">
        <is>
          <t>IDR</t>
        </is>
      </c>
      <c r="H712" s="458" t="n">
        <v>1</v>
      </c>
      <c r="I712" s="319" t="n"/>
      <c r="J712" s="405" t="n"/>
      <c r="K712" s="405" t="n"/>
      <c r="L712" s="405" t="n"/>
      <c r="M712" s="406" t="n">
        <v>306982</v>
      </c>
      <c r="N712" s="405" t="n"/>
      <c r="O712" s="405" t="n"/>
      <c r="P712" s="405" t="n"/>
      <c r="Q712" s="405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5" t="n">
        <v>45338</v>
      </c>
      <c r="C713" s="327" t="n">
        <v>2</v>
      </c>
      <c r="D713" s="456" t="inlineStr">
        <is>
          <t>Google Workspace PT. EWI</t>
        </is>
      </c>
      <c r="E713" s="456" t="n"/>
      <c r="F713" s="457" t="n">
        <v>306982</v>
      </c>
      <c r="G713" s="327" t="inlineStr">
        <is>
          <t>IDR</t>
        </is>
      </c>
      <c r="H713" s="458" t="n">
        <v>1</v>
      </c>
      <c r="I713" s="319" t="n"/>
      <c r="J713" s="405" t="n"/>
      <c r="K713" s="405" t="n"/>
      <c r="L713" s="405" t="n"/>
      <c r="M713" s="406" t="n">
        <v>306982</v>
      </c>
      <c r="N713" s="405" t="n"/>
      <c r="O713" s="405" t="n"/>
      <c r="P713" s="405" t="n"/>
      <c r="Q713" s="405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5" t="n">
        <v>45367</v>
      </c>
      <c r="C714" s="327" t="n">
        <v>3</v>
      </c>
      <c r="D714" s="456" t="inlineStr">
        <is>
          <t>Google Workspace PT. EWI</t>
        </is>
      </c>
      <c r="E714" s="456" t="n"/>
      <c r="F714" s="457" t="n">
        <v>306982</v>
      </c>
      <c r="G714" s="327" t="inlineStr">
        <is>
          <t>IDR</t>
        </is>
      </c>
      <c r="H714" s="458" t="n">
        <v>1</v>
      </c>
      <c r="I714" s="319" t="n"/>
      <c r="J714" s="405" t="n"/>
      <c r="K714" s="405" t="n"/>
      <c r="L714" s="405" t="n"/>
      <c r="M714" s="406" t="n">
        <v>306982</v>
      </c>
      <c r="N714" s="405" t="n"/>
      <c r="O714" s="405" t="n"/>
      <c r="P714" s="405" t="n"/>
      <c r="Q714" s="405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5" t="n">
        <v>45398</v>
      </c>
      <c r="C715" s="327" t="n">
        <v>4</v>
      </c>
      <c r="D715" s="459" t="inlineStr">
        <is>
          <t>Google Workspace PT. EWI</t>
        </is>
      </c>
      <c r="E715" s="459" t="n"/>
      <c r="F715" s="457" t="n">
        <v>306982</v>
      </c>
      <c r="G715" s="327" t="inlineStr">
        <is>
          <t>IDR</t>
        </is>
      </c>
      <c r="H715" s="458" t="n">
        <v>1</v>
      </c>
      <c r="I715" s="319" t="n"/>
      <c r="J715" s="405" t="n"/>
      <c r="K715" s="405" t="n"/>
      <c r="L715" s="405" t="n"/>
      <c r="M715" s="406" t="n">
        <v>306982</v>
      </c>
      <c r="N715" s="405" t="n"/>
      <c r="O715" s="405" t="n"/>
      <c r="P715" s="405" t="n"/>
      <c r="Q715" s="405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5" t="n">
        <v>45428</v>
      </c>
      <c r="C716" s="327" t="n">
        <v>5</v>
      </c>
      <c r="D716" s="459" t="inlineStr">
        <is>
          <t>Google Workspace PT. EWI</t>
        </is>
      </c>
      <c r="E716" s="459" t="n"/>
      <c r="F716" s="457" t="n">
        <v>306982</v>
      </c>
      <c r="G716" s="327" t="inlineStr">
        <is>
          <t>IDR</t>
        </is>
      </c>
      <c r="H716" s="458" t="n">
        <v>1</v>
      </c>
      <c r="I716" s="319" t="n"/>
      <c r="J716" s="405" t="n"/>
      <c r="K716" s="405" t="n"/>
      <c r="L716" s="405" t="n"/>
      <c r="M716" s="406" t="n">
        <v>306982</v>
      </c>
      <c r="N716" s="405" t="n"/>
      <c r="O716" s="405" t="n"/>
      <c r="P716" s="405" t="n"/>
      <c r="Q716" s="405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5" t="n">
        <v>45646</v>
      </c>
      <c r="C717" s="327" t="n">
        <v>6</v>
      </c>
      <c r="D717" s="456" t="inlineStr">
        <is>
          <t>Taxi Home to KCIC Train station</t>
        </is>
      </c>
      <c r="E717" s="456" t="n"/>
      <c r="F717" s="457" t="n">
        <v>100000</v>
      </c>
      <c r="G717" s="327" t="inlineStr">
        <is>
          <t>IDR</t>
        </is>
      </c>
      <c r="H717" s="458" t="n">
        <v>1</v>
      </c>
      <c r="I717" s="319" t="n"/>
      <c r="J717" s="406" t="n">
        <v>100000</v>
      </c>
      <c r="K717" s="405" t="n"/>
      <c r="L717" s="405" t="n"/>
      <c r="M717" s="405" t="n"/>
      <c r="N717" s="405" t="n"/>
      <c r="O717" s="405" t="n"/>
      <c r="P717" s="405" t="n"/>
      <c r="Q717" s="405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5" t="n">
        <v>45646</v>
      </c>
      <c r="C718" s="327" t="n">
        <v>7</v>
      </c>
      <c r="D718" s="456" t="inlineStr">
        <is>
          <t>Train Round trip Jakarta - Bandung @200K/trip</t>
        </is>
      </c>
      <c r="E718" s="456" t="n"/>
      <c r="F718" s="457" t="n">
        <v>400000</v>
      </c>
      <c r="G718" s="327" t="inlineStr">
        <is>
          <t>IDR</t>
        </is>
      </c>
      <c r="H718" s="458" t="n">
        <v>1</v>
      </c>
      <c r="I718" s="319" t="n"/>
      <c r="J718" s="406" t="n">
        <v>400000</v>
      </c>
      <c r="K718" s="405" t="n"/>
      <c r="L718" s="405" t="n"/>
      <c r="M718" s="405" t="n"/>
      <c r="N718" s="405" t="n"/>
      <c r="O718" s="405" t="n"/>
      <c r="P718" s="405" t="n"/>
      <c r="Q718" s="405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5" t="n">
        <v>45647</v>
      </c>
      <c r="C719" s="327" t="n">
        <v>8</v>
      </c>
      <c r="D719" s="459" t="inlineStr">
        <is>
          <t>Hotel 1 night 20 - 21 Dec 2024</t>
        </is>
      </c>
      <c r="E719" s="459" t="n"/>
      <c r="F719" s="457" t="n">
        <v>784000</v>
      </c>
      <c r="G719" s="327" t="inlineStr">
        <is>
          <t>IDR</t>
        </is>
      </c>
      <c r="H719" s="458" t="n">
        <v>1</v>
      </c>
      <c r="I719" s="405" t="n"/>
      <c r="J719" s="406" t="n">
        <v>784000</v>
      </c>
      <c r="K719" s="405" t="n"/>
      <c r="L719" s="405" t="n"/>
      <c r="M719" s="405" t="n"/>
      <c r="N719" s="405" t="n"/>
      <c r="O719" s="405" t="n"/>
      <c r="P719" s="405" t="n"/>
      <c r="Q719" s="405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3" t="n"/>
      <c r="C720" s="327" t="n"/>
      <c r="D720" s="454" t="inlineStr">
        <is>
          <t>Training</t>
        </is>
      </c>
      <c r="E720" s="453" t="n"/>
      <c r="F720" s="460" t="n"/>
      <c r="G720" s="327" t="n"/>
      <c r="H720" s="327" t="n"/>
      <c r="I720" s="405" t="n"/>
      <c r="J720" s="405" t="n"/>
      <c r="K720" s="405" t="n"/>
      <c r="L720" s="405" t="n"/>
      <c r="M720" s="405" t="n"/>
      <c r="N720" s="405" t="n"/>
      <c r="O720" s="405" t="n"/>
      <c r="P720" s="405" t="n"/>
      <c r="Q720" s="405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61" t="n">
        <v>45647</v>
      </c>
      <c r="C721" s="327" t="n">
        <v>9</v>
      </c>
      <c r="D721" s="456" t="inlineStr">
        <is>
          <t>Taxi from KCIC Stationa Halim to Home</t>
        </is>
      </c>
      <c r="E721" s="456" t="n"/>
      <c r="F721" s="457" t="n">
        <v>100000</v>
      </c>
      <c r="G721" s="327" t="inlineStr">
        <is>
          <t>IDR</t>
        </is>
      </c>
      <c r="H721" s="458" t="n">
        <v>1</v>
      </c>
      <c r="I721" s="319" t="n"/>
      <c r="J721" s="406" t="n">
        <v>100000</v>
      </c>
      <c r="K721" s="405" t="n"/>
      <c r="L721" s="405" t="n"/>
      <c r="M721" s="405" t="n"/>
      <c r="N721" s="405" t="n"/>
      <c r="O721" s="405" t="n"/>
      <c r="P721" s="405" t="n"/>
      <c r="Q721" s="405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5" t="n">
        <v>45647</v>
      </c>
      <c r="C722" s="327" t="n">
        <v>10</v>
      </c>
      <c r="D722" s="456" t="inlineStr">
        <is>
          <t>Meals 2 days @ 150,000/day</t>
        </is>
      </c>
      <c r="E722" s="456" t="n"/>
      <c r="F722" s="457" t="n">
        <v>300000</v>
      </c>
      <c r="G722" s="327" t="inlineStr">
        <is>
          <t>IDR</t>
        </is>
      </c>
      <c r="H722" s="458" t="n">
        <v>1</v>
      </c>
      <c r="I722" s="405" t="n"/>
      <c r="J722" s="406" t="n">
        <v>300000</v>
      </c>
      <c r="K722" s="405" t="n"/>
      <c r="L722" s="405" t="n"/>
      <c r="M722" s="405" t="n"/>
      <c r="N722" s="405" t="n"/>
      <c r="O722" s="405" t="n"/>
      <c r="P722" s="405" t="n"/>
      <c r="Q722" s="405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5" t="n">
        <v>45335</v>
      </c>
      <c r="C723" s="327" t="n">
        <v>11</v>
      </c>
      <c r="D723" s="459" t="inlineStr">
        <is>
          <t>Shipment Benchmark DTR to Malaysia</t>
        </is>
      </c>
      <c r="E723" s="459" t="n"/>
      <c r="F723" s="457" t="n">
        <v>13201183.322</v>
      </c>
      <c r="G723" s="327" t="inlineStr">
        <is>
          <t>MYR</t>
        </is>
      </c>
      <c r="H723" s="458" t="n">
        <v>3636.89</v>
      </c>
      <c r="I723" s="405" t="n"/>
      <c r="J723" s="406" t="n">
        <v>13201183.322</v>
      </c>
      <c r="K723" s="405" t="n"/>
      <c r="L723" s="405" t="n"/>
      <c r="M723" s="405" t="n"/>
      <c r="N723" s="405" t="n"/>
      <c r="O723" s="405" t="n"/>
      <c r="P723" s="405" t="n"/>
      <c r="Q723" s="405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3" t="n"/>
      <c r="C724" s="327" t="n"/>
      <c r="D724" s="454" t="inlineStr">
        <is>
          <t>Trip</t>
        </is>
      </c>
      <c r="E724" s="453" t="n"/>
      <c r="F724" s="460" t="n"/>
      <c r="G724" s="327" t="n"/>
      <c r="H724" s="327" t="n"/>
      <c r="I724" s="405" t="n"/>
      <c r="J724" s="405" t="n"/>
      <c r="K724" s="405" t="n"/>
      <c r="L724" s="405" t="n"/>
      <c r="M724" s="405" t="n"/>
      <c r="N724" s="405" t="n"/>
      <c r="O724" s="405" t="n"/>
      <c r="P724" s="405" t="n"/>
      <c r="Q724" s="405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5" t="n">
        <v>45362</v>
      </c>
      <c r="C725" s="327" t="n">
        <v>12</v>
      </c>
      <c r="D725" s="456" t="inlineStr">
        <is>
          <t>Taxi Home - CGK Airport</t>
        </is>
      </c>
      <c r="E725" s="456" t="n"/>
      <c r="F725" s="457" t="n">
        <v>200000</v>
      </c>
      <c r="G725" s="327" t="inlineStr">
        <is>
          <t>IDR</t>
        </is>
      </c>
      <c r="H725" s="458" t="n">
        <v>1</v>
      </c>
      <c r="I725" s="319" t="n"/>
      <c r="J725" s="406" t="n">
        <v>200000</v>
      </c>
      <c r="K725" s="405" t="n"/>
      <c r="L725" s="405" t="n"/>
      <c r="M725" s="405" t="n"/>
      <c r="N725" s="405" t="n"/>
      <c r="O725" s="405" t="n"/>
      <c r="P725" s="405" t="n"/>
      <c r="Q725" s="405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62" t="n"/>
      <c r="C726" s="463" t="n"/>
      <c r="D726" s="462" t="n"/>
      <c r="E726" s="462" t="n"/>
      <c r="F726" s="464" t="n"/>
      <c r="G726" s="463" t="n"/>
      <c r="H726" s="463" t="n"/>
      <c r="I726" s="439" t="n"/>
      <c r="J726" s="439" t="n"/>
      <c r="K726" s="439" t="n"/>
      <c r="L726" s="439" t="n"/>
      <c r="M726" s="439" t="n"/>
      <c r="N726" s="439" t="n"/>
      <c r="O726" s="439" t="n"/>
      <c r="P726" s="439" t="n"/>
      <c r="Q726" s="439" t="n"/>
      <c r="R726" s="373" t="n"/>
      <c r="S726" s="373" t="n"/>
      <c r="T726" s="373" t="n"/>
      <c r="U726" s="373" t="n"/>
      <c r="V726" s="373" t="n"/>
      <c r="W726" s="373" t="n"/>
      <c r="X726" s="373" t="n"/>
    </row>
    <row r="727" ht="15.5" customHeight="1" s="297">
      <c r="B727" s="461" t="n">
        <v>45362</v>
      </c>
      <c r="C727" s="327" t="n">
        <v>13</v>
      </c>
      <c r="D727" s="456" t="inlineStr">
        <is>
          <t>Flight CGK-KUL + Hotel 1 night</t>
        </is>
      </c>
      <c r="E727" s="456" t="n"/>
      <c r="F727" s="457" t="n">
        <v>1803353</v>
      </c>
      <c r="G727" s="327" t="inlineStr">
        <is>
          <t>IDR</t>
        </is>
      </c>
      <c r="H727" s="458" t="n">
        <v>1</v>
      </c>
      <c r="I727" s="319" t="n"/>
      <c r="J727" s="406" t="n">
        <v>1803353</v>
      </c>
      <c r="K727" s="405" t="n"/>
      <c r="L727" s="405" t="n"/>
      <c r="M727" s="405" t="n"/>
      <c r="N727" s="405" t="n"/>
      <c r="O727" s="405" t="n"/>
      <c r="P727" s="405" t="n"/>
      <c r="Q727" s="405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61" t="n">
        <v>45362</v>
      </c>
      <c r="C728" s="327" t="n">
        <v>14</v>
      </c>
      <c r="D728" s="456" t="inlineStr">
        <is>
          <t>Train KLIA Airport to Hyperseal</t>
        </is>
      </c>
      <c r="E728" s="456" t="n"/>
      <c r="F728" s="457" t="n">
        <v>181844.5</v>
      </c>
      <c r="G728" s="327" t="inlineStr">
        <is>
          <t>MYR</t>
        </is>
      </c>
      <c r="H728" s="458" t="n">
        <v>3636.89</v>
      </c>
      <c r="I728" s="319" t="n"/>
      <c r="J728" s="406" t="n">
        <v>181844.5</v>
      </c>
      <c r="K728" s="405" t="n"/>
      <c r="L728" s="405" t="n"/>
      <c r="M728" s="405" t="n"/>
      <c r="N728" s="405" t="n"/>
      <c r="O728" s="405" t="n"/>
      <c r="P728" s="405" t="n"/>
      <c r="Q728" s="405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61" t="n">
        <v>45363</v>
      </c>
      <c r="C729" s="327" t="n">
        <v>15</v>
      </c>
      <c r="D729" s="459" t="inlineStr">
        <is>
          <t>Flight KUL- CGK</t>
        </is>
      </c>
      <c r="E729" s="459" t="n"/>
      <c r="F729" s="457" t="n">
        <v>1897983</v>
      </c>
      <c r="G729" s="327" t="inlineStr">
        <is>
          <t>IDR</t>
        </is>
      </c>
      <c r="H729" s="458" t="n">
        <v>1</v>
      </c>
      <c r="I729" s="405" t="n"/>
      <c r="J729" s="406" t="n">
        <v>1897983</v>
      </c>
      <c r="K729" s="405" t="n"/>
      <c r="L729" s="405" t="n"/>
      <c r="M729" s="405" t="n"/>
      <c r="N729" s="405" t="n"/>
      <c r="O729" s="405" t="n"/>
      <c r="P729" s="405" t="n"/>
      <c r="Q729" s="405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61" t="n">
        <v>45363</v>
      </c>
      <c r="C730" s="327" t="n">
        <v>16</v>
      </c>
      <c r="D730" s="459" t="inlineStr">
        <is>
          <t>Train Hyperseal to KLIA Airport</t>
        </is>
      </c>
      <c r="E730" s="459" t="n"/>
      <c r="F730" s="457" t="n">
        <v>181844.5</v>
      </c>
      <c r="G730" s="327" t="inlineStr">
        <is>
          <t>MYR</t>
        </is>
      </c>
      <c r="H730" s="458" t="n">
        <v>3636.89</v>
      </c>
      <c r="I730" s="319" t="n"/>
      <c r="J730" s="406" t="n">
        <v>181844.5</v>
      </c>
      <c r="K730" s="405" t="n"/>
      <c r="L730" s="405" t="n"/>
      <c r="M730" s="405" t="n"/>
      <c r="N730" s="405" t="n"/>
      <c r="O730" s="405" t="n"/>
      <c r="P730" s="405" t="n"/>
      <c r="Q730" s="405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61" t="n">
        <v>45363</v>
      </c>
      <c r="C731" s="327" t="n">
        <v>17</v>
      </c>
      <c r="D731" s="459" t="inlineStr">
        <is>
          <t>Taxi CGK Airport to Home</t>
        </is>
      </c>
      <c r="E731" s="459" t="n"/>
      <c r="F731" s="457" t="n">
        <v>200000</v>
      </c>
      <c r="G731" s="327" t="inlineStr">
        <is>
          <t>IDR</t>
        </is>
      </c>
      <c r="H731" s="458" t="n">
        <v>1</v>
      </c>
      <c r="I731" s="405" t="n"/>
      <c r="J731" s="406" t="n">
        <v>200000</v>
      </c>
      <c r="K731" s="405" t="n"/>
      <c r="L731" s="405" t="n"/>
      <c r="M731" s="405" t="n"/>
      <c r="N731" s="405" t="n"/>
      <c r="O731" s="405" t="n"/>
      <c r="P731" s="405" t="n"/>
      <c r="Q731" s="405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62" t="n"/>
      <c r="C732" s="463" t="n"/>
      <c r="D732" s="462" t="n"/>
      <c r="E732" s="462" t="n"/>
      <c r="F732" s="464" t="n"/>
      <c r="G732" s="463" t="n"/>
      <c r="H732" s="463" t="n"/>
      <c r="I732" s="439" t="n"/>
      <c r="J732" s="439" t="n"/>
      <c r="K732" s="439" t="n"/>
      <c r="L732" s="439" t="n"/>
      <c r="M732" s="439" t="n"/>
      <c r="N732" s="439" t="n"/>
      <c r="O732" s="439" t="n"/>
      <c r="P732" s="439" t="n"/>
      <c r="Q732" s="439" t="n"/>
      <c r="R732" s="373" t="n"/>
      <c r="S732" s="373" t="n"/>
      <c r="T732" s="373" t="n"/>
      <c r="U732" s="373" t="n"/>
      <c r="V732" s="373" t="n"/>
      <c r="W732" s="373" t="n"/>
      <c r="X732" s="373" t="n"/>
    </row>
    <row r="733" ht="15.5" customHeight="1" s="297">
      <c r="B733" s="461" t="n">
        <v>45363</v>
      </c>
      <c r="C733" s="327" t="n">
        <v>18</v>
      </c>
      <c r="D733" s="456" t="inlineStr">
        <is>
          <t>Meals 2 days @ 300,000/day</t>
        </is>
      </c>
      <c r="E733" s="456" t="n"/>
      <c r="F733" s="457" t="n">
        <v>600000</v>
      </c>
      <c r="G733" s="327" t="inlineStr">
        <is>
          <t>IDR</t>
        </is>
      </c>
      <c r="H733" s="458" t="n">
        <v>1</v>
      </c>
      <c r="I733" s="405" t="n"/>
      <c r="J733" s="406" t="n">
        <v>600000</v>
      </c>
      <c r="K733" s="405" t="n"/>
      <c r="L733" s="405" t="n"/>
      <c r="M733" s="405" t="n"/>
      <c r="N733" s="405" t="n"/>
      <c r="O733" s="405" t="n"/>
      <c r="P733" s="405" t="n"/>
      <c r="Q733" s="405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61" t="n">
        <v>45404</v>
      </c>
      <c r="C734" s="327" t="n">
        <v>19</v>
      </c>
      <c r="D734" s="456" t="inlineStr">
        <is>
          <t>Car 22-23 Apr 2024 (2 days) incl. Fuel &amp; Tol</t>
        </is>
      </c>
      <c r="E734" s="456" t="n"/>
      <c r="F734" s="457" t="n">
        <v>3000000</v>
      </c>
      <c r="G734" s="327" t="inlineStr">
        <is>
          <t>IDR</t>
        </is>
      </c>
      <c r="H734" s="458" t="n">
        <v>1</v>
      </c>
      <c r="I734" s="405" t="n"/>
      <c r="J734" s="406" t="n">
        <v>3000000</v>
      </c>
      <c r="K734" s="405" t="n"/>
      <c r="L734" s="405" t="n"/>
      <c r="M734" s="405" t="n"/>
      <c r="N734" s="405" t="n"/>
      <c r="O734" s="405" t="n"/>
      <c r="P734" s="405" t="n"/>
      <c r="Q734" s="405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61" t="n">
        <v>45405</v>
      </c>
      <c r="C735" s="327" t="n">
        <v>20</v>
      </c>
      <c r="D735" s="456" t="inlineStr">
        <is>
          <t>Tunjangan Lapangan @ 1.5 juta/day x 2 days</t>
        </is>
      </c>
      <c r="E735" s="456" t="n"/>
      <c r="F735" s="457" t="n">
        <v>3000000</v>
      </c>
      <c r="G735" s="327" t="inlineStr">
        <is>
          <t>IDR</t>
        </is>
      </c>
      <c r="H735" s="458" t="n">
        <v>1</v>
      </c>
      <c r="I735" s="405" t="n"/>
      <c r="J735" s="406" t="n">
        <v>3000000</v>
      </c>
      <c r="K735" s="405" t="n"/>
      <c r="L735" s="405" t="n"/>
      <c r="M735" s="405" t="n"/>
      <c r="N735" s="405" t="n"/>
      <c r="O735" s="405" t="n"/>
      <c r="P735" s="405" t="n"/>
      <c r="Q735" s="405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61" t="n">
        <v>45405</v>
      </c>
      <c r="C736" s="327" t="n">
        <v>21</v>
      </c>
      <c r="D736" s="456" t="inlineStr">
        <is>
          <t>Meals 2 days @ 150,000/day</t>
        </is>
      </c>
      <c r="E736" s="456" t="n"/>
      <c r="F736" s="457" t="n">
        <v>300000</v>
      </c>
      <c r="G736" s="327" t="inlineStr">
        <is>
          <t>IDR</t>
        </is>
      </c>
      <c r="H736" s="458" t="n">
        <v>1</v>
      </c>
      <c r="I736" s="405" t="n"/>
      <c r="J736" s="406" t="n">
        <v>300000</v>
      </c>
      <c r="K736" s="405" t="n"/>
      <c r="L736" s="405" t="n"/>
      <c r="M736" s="405" t="n"/>
      <c r="N736" s="405" t="n"/>
      <c r="O736" s="405" t="n"/>
      <c r="P736" s="405" t="n"/>
      <c r="Q736" s="405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61" t="n">
        <v>45412</v>
      </c>
      <c r="C737" s="327" t="n">
        <v>22</v>
      </c>
      <c r="D737" s="456" t="inlineStr">
        <is>
          <t>Car 30 Apr-01 May 2024 (2 days) incl. Fuel &amp; Tol</t>
        </is>
      </c>
      <c r="E737" s="456" t="n"/>
      <c r="F737" s="457" t="n">
        <v>3000000</v>
      </c>
      <c r="G737" s="327" t="inlineStr">
        <is>
          <t>IDR</t>
        </is>
      </c>
      <c r="H737" s="458" t="n">
        <v>1</v>
      </c>
      <c r="I737" s="405" t="n"/>
      <c r="J737" s="406" t="n">
        <v>3000000</v>
      </c>
      <c r="K737" s="405" t="n"/>
      <c r="L737" s="405" t="n"/>
      <c r="M737" s="405" t="n"/>
      <c r="N737" s="405" t="n"/>
      <c r="O737" s="405" t="n"/>
      <c r="P737" s="405" t="n"/>
      <c r="Q737" s="405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5" t="n"/>
      <c r="C738" s="463" t="n"/>
      <c r="D738" s="466" t="n"/>
      <c r="E738" s="466" t="n"/>
      <c r="F738" s="464" t="n"/>
      <c r="G738" s="463" t="n"/>
      <c r="H738" s="463" t="n"/>
      <c r="I738" s="439" t="n"/>
      <c r="J738" s="439" t="n"/>
      <c r="K738" s="439" t="n"/>
      <c r="L738" s="439" t="n"/>
      <c r="M738" s="439" t="n"/>
      <c r="N738" s="439" t="n"/>
      <c r="O738" s="439" t="n"/>
      <c r="P738" s="439" t="n"/>
      <c r="Q738" s="439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465" t="n"/>
      <c r="C739" s="463" t="n"/>
      <c r="D739" s="466" t="n"/>
      <c r="E739" s="466" t="n"/>
      <c r="F739" s="464" t="n"/>
      <c r="G739" s="463" t="n"/>
      <c r="H739" s="463" t="n"/>
      <c r="I739" s="439" t="n"/>
      <c r="J739" s="439" t="n"/>
      <c r="K739" s="439" t="n"/>
      <c r="L739" s="439" t="n"/>
      <c r="M739" s="439" t="n"/>
      <c r="N739" s="439" t="n"/>
      <c r="O739" s="439" t="n"/>
      <c r="P739" s="439" t="n"/>
      <c r="Q739" s="439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465" t="n"/>
      <c r="C740" s="463" t="n"/>
      <c r="D740" s="466" t="n"/>
      <c r="E740" s="466" t="n"/>
      <c r="F740" s="464" t="n"/>
      <c r="G740" s="463" t="n"/>
      <c r="H740" s="463" t="n"/>
      <c r="I740" s="439" t="n"/>
      <c r="J740" s="439" t="n"/>
      <c r="K740" s="439" t="n"/>
      <c r="L740" s="439" t="n"/>
      <c r="M740" s="439" t="n"/>
      <c r="N740" s="439" t="n"/>
      <c r="O740" s="439" t="n"/>
      <c r="P740" s="439" t="n"/>
      <c r="Q740" s="439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465" t="n"/>
      <c r="C741" s="463" t="n"/>
      <c r="D741" s="466" t="n"/>
      <c r="E741" s="466" t="n"/>
      <c r="F741" s="464" t="n"/>
      <c r="G741" s="463" t="n"/>
      <c r="H741" s="463" t="n"/>
      <c r="I741" s="439" t="n"/>
      <c r="J741" s="439" t="n"/>
      <c r="K741" s="439" t="n"/>
      <c r="L741" s="439" t="n"/>
      <c r="M741" s="439" t="n"/>
      <c r="N741" s="439" t="n"/>
      <c r="O741" s="439" t="n"/>
      <c r="P741" s="439" t="n"/>
      <c r="Q741" s="439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465" t="n"/>
      <c r="C742" s="463" t="n"/>
      <c r="D742" s="466" t="n"/>
      <c r="E742" s="466" t="n"/>
      <c r="F742" s="464" t="n"/>
      <c r="G742" s="463" t="n"/>
      <c r="H742" s="463" t="n"/>
      <c r="I742" s="439" t="n"/>
      <c r="J742" s="439" t="n"/>
      <c r="K742" s="439" t="n"/>
      <c r="L742" s="439" t="n"/>
      <c r="M742" s="439" t="n"/>
      <c r="N742" s="439" t="n"/>
      <c r="O742" s="439" t="n"/>
      <c r="P742" s="439" t="n"/>
      <c r="Q742" s="439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65" t="n"/>
      <c r="C743" s="463" t="n"/>
      <c r="D743" s="466" t="n"/>
      <c r="E743" s="466" t="n"/>
      <c r="F743" s="464" t="n"/>
      <c r="G743" s="463" t="n"/>
      <c r="H743" s="463" t="n"/>
      <c r="I743" s="439" t="n"/>
      <c r="J743" s="439" t="n"/>
      <c r="K743" s="439" t="n"/>
      <c r="L743" s="439" t="n"/>
      <c r="M743" s="439" t="n"/>
      <c r="N743" s="439" t="n"/>
      <c r="O743" s="439" t="n"/>
      <c r="P743" s="439" t="n"/>
      <c r="Q743" s="439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465" t="n"/>
      <c r="C744" s="463" t="n"/>
      <c r="D744" s="466" t="n"/>
      <c r="E744" s="466" t="n"/>
      <c r="F744" s="464" t="n"/>
      <c r="G744" s="463" t="n"/>
      <c r="H744" s="463" t="n"/>
      <c r="I744" s="439" t="n"/>
      <c r="J744" s="439" t="n"/>
      <c r="K744" s="439" t="n"/>
      <c r="L744" s="439" t="n"/>
      <c r="M744" s="439" t="n"/>
      <c r="N744" s="439" t="n"/>
      <c r="O744" s="439" t="n"/>
      <c r="P744" s="439" t="n"/>
      <c r="Q744" s="439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465" t="n"/>
      <c r="C745" s="463" t="n"/>
      <c r="D745" s="466" t="n"/>
      <c r="E745" s="466" t="n"/>
      <c r="F745" s="464" t="n"/>
      <c r="G745" s="463" t="n"/>
      <c r="H745" s="463" t="n"/>
      <c r="I745" s="439" t="n"/>
      <c r="J745" s="439" t="n"/>
      <c r="K745" s="439" t="n"/>
      <c r="L745" s="439" t="n"/>
      <c r="M745" s="439" t="n"/>
      <c r="N745" s="439" t="n"/>
      <c r="O745" s="439" t="n"/>
      <c r="P745" s="439" t="n"/>
      <c r="Q745" s="439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465" t="n"/>
      <c r="C746" s="463" t="n"/>
      <c r="D746" s="466" t="n"/>
      <c r="E746" s="466" t="n"/>
      <c r="F746" s="464" t="n"/>
      <c r="G746" s="463" t="n"/>
      <c r="H746" s="463" t="n"/>
      <c r="I746" s="439" t="n"/>
      <c r="J746" s="439" t="n"/>
      <c r="K746" s="439" t="n"/>
      <c r="L746" s="439" t="n"/>
      <c r="M746" s="439" t="n"/>
      <c r="N746" s="439" t="n"/>
      <c r="O746" s="439" t="n"/>
      <c r="P746" s="439" t="n"/>
      <c r="Q746" s="439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465" t="n"/>
      <c r="C747" s="463" t="n"/>
      <c r="D747" s="466" t="n"/>
      <c r="E747" s="466" t="n"/>
      <c r="F747" s="464" t="n"/>
      <c r="G747" s="463" t="n"/>
      <c r="H747" s="463" t="n"/>
      <c r="I747" s="439" t="n"/>
      <c r="J747" s="439" t="n"/>
      <c r="K747" s="439" t="n"/>
      <c r="L747" s="439" t="n"/>
      <c r="M747" s="439" t="n"/>
      <c r="N747" s="439" t="n"/>
      <c r="O747" s="439" t="n"/>
      <c r="P747" s="439" t="n"/>
      <c r="Q747" s="439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465" t="n"/>
      <c r="C748" s="463" t="n"/>
      <c r="D748" s="466" t="n"/>
      <c r="E748" s="466" t="n"/>
      <c r="F748" s="464" t="n"/>
      <c r="G748" s="463" t="n"/>
      <c r="H748" s="463" t="n"/>
      <c r="I748" s="439" t="n"/>
      <c r="J748" s="439" t="n"/>
      <c r="K748" s="439" t="n"/>
      <c r="L748" s="439" t="n"/>
      <c r="M748" s="439" t="n"/>
      <c r="N748" s="439" t="n"/>
      <c r="O748" s="439" t="n"/>
      <c r="P748" s="439" t="n"/>
      <c r="Q748" s="439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465" t="n"/>
      <c r="C749" s="463" t="n"/>
      <c r="D749" s="466" t="n"/>
      <c r="E749" s="466" t="n"/>
      <c r="F749" s="464" t="n"/>
      <c r="G749" s="463" t="n"/>
      <c r="H749" s="463" t="n"/>
      <c r="I749" s="439" t="n"/>
      <c r="J749" s="439" t="n"/>
      <c r="K749" s="439" t="n"/>
      <c r="L749" s="439" t="n"/>
      <c r="M749" s="439" t="n"/>
      <c r="N749" s="439" t="n"/>
      <c r="O749" s="439" t="n"/>
      <c r="P749" s="439" t="n"/>
      <c r="Q749" s="439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465" t="n"/>
      <c r="C750" s="463" t="n"/>
      <c r="D750" s="466" t="n"/>
      <c r="E750" s="466" t="n"/>
      <c r="F750" s="464" t="n"/>
      <c r="G750" s="463" t="n"/>
      <c r="H750" s="463" t="n"/>
      <c r="I750" s="439" t="n">
        <v>991500000</v>
      </c>
      <c r="J750" s="439" t="n">
        <v>1165223146.932</v>
      </c>
      <c r="K750" s="439" t="n">
        <v>356012003</v>
      </c>
      <c r="L750" s="439" t="n">
        <v>367745000</v>
      </c>
      <c r="M750" s="439" t="n">
        <v>8769780</v>
      </c>
      <c r="N750" s="439" t="n">
        <v>200517570</v>
      </c>
      <c r="O750" s="439" t="n">
        <v>4995000</v>
      </c>
      <c r="P750" s="439" t="n">
        <v>38548717.5</v>
      </c>
      <c r="Q750" s="439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465" t="n"/>
      <c r="C751" s="463" t="n"/>
      <c r="D751" s="466" t="n"/>
      <c r="E751" s="466" t="n"/>
      <c r="F751" s="464" t="n"/>
      <c r="G751" s="463" t="n"/>
      <c r="H751" s="463" t="n"/>
      <c r="I751" s="439" t="n"/>
      <c r="J751" s="439" t="n"/>
      <c r="K751" s="439" t="n"/>
      <c r="L751" s="439" t="n"/>
      <c r="M751" s="439" t="n"/>
      <c r="N751" s="439" t="n"/>
      <c r="O751" s="439" t="n"/>
      <c r="P751" s="439" t="n"/>
      <c r="Q751" s="439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465" t="n"/>
      <c r="C752" s="463" t="n"/>
      <c r="D752" s="466" t="n"/>
      <c r="E752" s="466" t="n"/>
      <c r="F752" s="464" t="n"/>
      <c r="G752" s="463" t="n"/>
      <c r="H752" s="463" t="n"/>
      <c r="I752" s="439" t="n"/>
      <c r="J752" s="439" t="n"/>
      <c r="K752" s="439" t="n"/>
      <c r="L752" s="439" t="n"/>
      <c r="M752" s="439" t="n"/>
      <c r="N752" s="439" t="n"/>
      <c r="O752" s="439" t="n"/>
      <c r="P752" s="439" t="n"/>
      <c r="Q752" s="439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465" t="n"/>
      <c r="C753" s="463" t="n"/>
      <c r="D753" s="466" t="n"/>
      <c r="E753" s="466" t="n"/>
      <c r="F753" s="464" t="n"/>
      <c r="G753" s="463" t="n"/>
      <c r="H753" s="463" t="n"/>
      <c r="I753" s="439" t="n"/>
      <c r="J753" s="439" t="n"/>
      <c r="K753" s="439" t="n"/>
      <c r="L753" s="439" t="n"/>
      <c r="M753" s="439" t="n"/>
      <c r="N753" s="439" t="n"/>
      <c r="O753" s="439" t="n"/>
      <c r="P753" s="439" t="n"/>
      <c r="Q753" s="439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65" t="n"/>
      <c r="C754" s="463" t="n"/>
      <c r="D754" s="466" t="n"/>
      <c r="E754" s="466" t="n"/>
      <c r="F754" s="464" t="n"/>
      <c r="G754" s="463" t="n"/>
      <c r="H754" s="463" t="n"/>
      <c r="I754" s="439" t="n"/>
      <c r="J754" s="439" t="n"/>
      <c r="K754" s="439" t="n"/>
      <c r="L754" s="439" t="n"/>
      <c r="M754" s="439" t="n"/>
      <c r="N754" s="439" t="n"/>
      <c r="O754" s="439" t="n"/>
      <c r="P754" s="439" t="n"/>
      <c r="Q754" s="439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93" t="n"/>
      <c r="F755" s="361" t="n"/>
      <c r="G755" s="375" t="n"/>
      <c r="H755" s="375" t="n"/>
      <c r="I755" s="445" t="n"/>
      <c r="J755" s="445" t="n"/>
      <c r="K755" s="445" t="n"/>
      <c r="L755" s="445" t="n"/>
      <c r="M755" s="445" t="n"/>
      <c r="N755" s="445" t="n"/>
      <c r="O755" s="445" t="n"/>
      <c r="P755" s="445" t="n"/>
      <c r="Q755" s="445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6" t="n">
        <v>2700000</v>
      </c>
      <c r="K756" s="405" t="n"/>
      <c r="L756" s="405" t="n"/>
      <c r="M756" s="405" t="n"/>
      <c r="N756" s="405" t="n"/>
      <c r="O756" s="405" t="n"/>
      <c r="P756" s="405" t="n"/>
      <c r="Q756" s="405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7" t="n"/>
      <c r="D757" s="468" t="inlineStr">
        <is>
          <t>Trip Rakan : BSTTraining at HSSE Training Center PT Pertamina EP Zone 7 Cirebon</t>
        </is>
      </c>
      <c r="E757" s="469" t="n"/>
      <c r="F757" s="467" t="n"/>
      <c r="G757" s="467" t="n"/>
      <c r="H757" s="467" t="n"/>
      <c r="I757" s="467" t="n"/>
      <c r="J757" s="467" t="n"/>
      <c r="K757" s="467" t="n"/>
      <c r="L757" s="467" t="n"/>
      <c r="M757" s="467" t="n"/>
      <c r="N757" s="467" t="n"/>
      <c r="O757" s="467" t="n"/>
      <c r="P757" s="445" t="n"/>
      <c r="Q757" s="445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70" t="n">
        <v>45656</v>
      </c>
      <c r="C758" s="318" t="n">
        <v>1</v>
      </c>
      <c r="D758" s="471" t="inlineStr">
        <is>
          <t>Meal Allowance 2 Days (29 - 30 December 2024)@ 150 rb</t>
        </is>
      </c>
      <c r="E758" s="471" t="n"/>
      <c r="F758" s="472" t="n">
        <v>300000</v>
      </c>
      <c r="G758" s="318" t="inlineStr">
        <is>
          <t>IDR</t>
        </is>
      </c>
      <c r="H758" s="324" t="n">
        <v>1</v>
      </c>
      <c r="I758" s="319" t="n"/>
      <c r="J758" s="473" t="n">
        <v>300000</v>
      </c>
      <c r="K758" s="474" t="n"/>
      <c r="L758" s="474" t="n"/>
      <c r="M758" s="474" t="n"/>
      <c r="N758" s="474" t="n"/>
      <c r="O758" s="474" t="n"/>
      <c r="P758" s="405" t="n"/>
      <c r="Q758" s="405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70" t="n">
        <v>45655</v>
      </c>
      <c r="C759" s="314" t="n">
        <v>2</v>
      </c>
      <c r="D759" s="471" t="inlineStr">
        <is>
          <t>Transport Train, (Jakarta to Cirebon)</t>
        </is>
      </c>
      <c r="E759" s="471" t="n"/>
      <c r="F759" s="475" t="n">
        <v>200000</v>
      </c>
      <c r="G759" s="314" t="inlineStr">
        <is>
          <t>IDR</t>
        </is>
      </c>
      <c r="H759" s="345" t="n">
        <v>1</v>
      </c>
      <c r="I759" s="319" t="n"/>
      <c r="J759" s="476" t="n">
        <v>200000</v>
      </c>
      <c r="K759" s="477" t="n"/>
      <c r="L759" s="474" t="n"/>
      <c r="M759" s="477" t="n"/>
      <c r="N759" s="477" t="n"/>
      <c r="O759" s="474" t="n"/>
      <c r="P759" s="405" t="n"/>
      <c r="Q759" s="405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70" t="n">
        <v>45655</v>
      </c>
      <c r="C760" s="314" t="n">
        <v>3</v>
      </c>
      <c r="D760" s="471" t="inlineStr">
        <is>
          <t>Gojek (Cirendeu to Gambir Station)</t>
        </is>
      </c>
      <c r="E760" s="471" t="n"/>
      <c r="F760" s="475" t="n">
        <v>61500</v>
      </c>
      <c r="G760" s="314" t="inlineStr">
        <is>
          <t>IDR</t>
        </is>
      </c>
      <c r="H760" s="345" t="n">
        <v>1</v>
      </c>
      <c r="I760" s="319" t="n"/>
      <c r="J760" s="476" t="n">
        <v>61500</v>
      </c>
      <c r="K760" s="477" t="n"/>
      <c r="L760" s="474" t="n"/>
      <c r="M760" s="477" t="n"/>
      <c r="N760" s="477" t="n"/>
      <c r="O760" s="474" t="n"/>
      <c r="P760" s="405" t="n"/>
      <c r="Q760" s="405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70" t="n">
        <v>45655</v>
      </c>
      <c r="C761" s="314" t="n">
        <v>4</v>
      </c>
      <c r="D761" s="471" t="inlineStr">
        <is>
          <t>Gojek (Cirebon Station to Hotel)</t>
        </is>
      </c>
      <c r="E761" s="471" t="n"/>
      <c r="F761" s="475" t="n">
        <v>12500</v>
      </c>
      <c r="G761" s="314" t="inlineStr">
        <is>
          <t>IDR</t>
        </is>
      </c>
      <c r="H761" s="345" t="n">
        <v>1</v>
      </c>
      <c r="I761" s="319" t="n"/>
      <c r="J761" s="476" t="n">
        <v>12500</v>
      </c>
      <c r="K761" s="477" t="n"/>
      <c r="L761" s="474" t="n"/>
      <c r="M761" s="477" t="n"/>
      <c r="N761" s="477" t="n"/>
      <c r="O761" s="474" t="n"/>
      <c r="P761" s="405" t="n"/>
      <c r="Q761" s="405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70" t="n">
        <v>45655</v>
      </c>
      <c r="C762" s="314" t="n">
        <v>5</v>
      </c>
      <c r="D762" s="471" t="inlineStr">
        <is>
          <t>Accomodation Hotel (Pia Hotel 29 - 30 des, 1 Night)</t>
        </is>
      </c>
      <c r="E762" s="471" t="n"/>
      <c r="F762" s="475" t="n">
        <v>224000</v>
      </c>
      <c r="G762" s="314" t="inlineStr">
        <is>
          <t>IDR</t>
        </is>
      </c>
      <c r="H762" s="345" t="n">
        <v>1</v>
      </c>
      <c r="I762" s="319" t="n"/>
      <c r="J762" s="476" t="n">
        <v>224000</v>
      </c>
      <c r="K762" s="477" t="n"/>
      <c r="L762" s="474" t="n"/>
      <c r="M762" s="477" t="n"/>
      <c r="N762" s="477" t="n"/>
      <c r="O762" s="474" t="n"/>
      <c r="P762" s="405" t="n"/>
      <c r="Q762" s="405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70" t="n">
        <v>45656</v>
      </c>
      <c r="C763" s="314" t="n">
        <v>6</v>
      </c>
      <c r="D763" s="471" t="inlineStr">
        <is>
          <t>Transport Train (Cirebon to Jakarta)</t>
        </is>
      </c>
      <c r="E763" s="471" t="n"/>
      <c r="F763" s="475" t="n">
        <v>140000</v>
      </c>
      <c r="G763" s="314" t="inlineStr">
        <is>
          <t>IDR</t>
        </is>
      </c>
      <c r="H763" s="345" t="n">
        <v>1</v>
      </c>
      <c r="I763" s="319" t="n"/>
      <c r="J763" s="476" t="n">
        <v>140000</v>
      </c>
      <c r="K763" s="477" t="n"/>
      <c r="L763" s="474" t="n"/>
      <c r="M763" s="477" t="n"/>
      <c r="N763" s="477" t="n"/>
      <c r="O763" s="474" t="n"/>
      <c r="P763" s="405" t="n"/>
      <c r="Q763" s="405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70" t="n">
        <v>45656</v>
      </c>
      <c r="C764" s="314" t="n">
        <v>7</v>
      </c>
      <c r="D764" s="471" t="inlineStr">
        <is>
          <t>Gojek (Hotel to HSSE Training Center PEP Zone 7)</t>
        </is>
      </c>
      <c r="E764" s="471" t="n"/>
      <c r="F764" s="475" t="n">
        <v>11000</v>
      </c>
      <c r="G764" s="314" t="inlineStr">
        <is>
          <t>IDR</t>
        </is>
      </c>
      <c r="H764" s="345" t="n">
        <v>1</v>
      </c>
      <c r="I764" s="319" t="n"/>
      <c r="J764" s="476" t="n">
        <v>11000</v>
      </c>
      <c r="K764" s="477" t="n"/>
      <c r="L764" s="474" t="n"/>
      <c r="M764" s="477" t="n"/>
      <c r="N764" s="477" t="n"/>
      <c r="O764" s="474" t="n"/>
      <c r="P764" s="405" t="n"/>
      <c r="Q764" s="405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70" t="n">
        <v>45656</v>
      </c>
      <c r="C765" s="314" t="n">
        <v>8</v>
      </c>
      <c r="D765" s="471" t="inlineStr">
        <is>
          <t>Gojek (CSB to Cirebon Train Station)</t>
        </is>
      </c>
      <c r="E765" s="471" t="n"/>
      <c r="F765" s="475" t="n">
        <v>11000</v>
      </c>
      <c r="G765" s="314" t="inlineStr">
        <is>
          <t>IDR</t>
        </is>
      </c>
      <c r="H765" s="345" t="n">
        <v>1</v>
      </c>
      <c r="I765" s="319" t="n"/>
      <c r="J765" s="476" t="n">
        <v>11000</v>
      </c>
      <c r="K765" s="477" t="n"/>
      <c r="L765" s="474" t="n"/>
      <c r="M765" s="477" t="n"/>
      <c r="N765" s="477" t="n"/>
      <c r="O765" s="474" t="n"/>
      <c r="P765" s="405" t="n"/>
      <c r="Q765" s="405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70" t="n">
        <v>45656</v>
      </c>
      <c r="C766" s="314" t="n">
        <v>9</v>
      </c>
      <c r="D766" s="471" t="inlineStr">
        <is>
          <t>Gojek (Gambir Station to Cirendeu)</t>
        </is>
      </c>
      <c r="E766" s="471" t="n"/>
      <c r="F766" s="475" t="n">
        <v>66000</v>
      </c>
      <c r="G766" s="314" t="inlineStr">
        <is>
          <t>IDR</t>
        </is>
      </c>
      <c r="H766" s="345" t="n">
        <v>1</v>
      </c>
      <c r="I766" s="319" t="n"/>
      <c r="J766" s="476" t="n">
        <v>66000</v>
      </c>
      <c r="K766" s="477" t="n"/>
      <c r="L766" s="477" t="n"/>
      <c r="M766" s="477" t="n"/>
      <c r="N766" s="477" t="n"/>
      <c r="O766" s="474" t="n"/>
      <c r="P766" s="405" t="n"/>
      <c r="Q766" s="405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83" t="n"/>
      <c r="C767" s="478" t="n"/>
      <c r="D767" s="278" t="n"/>
      <c r="E767" s="278" t="n"/>
      <c r="F767" s="278" t="n"/>
      <c r="G767" s="278" t="n"/>
      <c r="H767" s="279" t="n"/>
      <c r="I767" s="439" t="n"/>
      <c r="J767" s="439" t="n"/>
      <c r="K767" s="439" t="n"/>
      <c r="L767" s="439" t="n"/>
      <c r="M767" s="439" t="n"/>
      <c r="N767" s="439" t="n"/>
      <c r="O767" s="439" t="n"/>
      <c r="P767" s="439" t="n"/>
      <c r="Q767" s="439" t="n"/>
      <c r="R767" s="373" t="n"/>
      <c r="S767" s="373" t="n"/>
      <c r="T767" s="373" t="n"/>
      <c r="U767" s="373" t="n"/>
      <c r="V767" s="373" t="n"/>
      <c r="W767" s="373" t="n"/>
      <c r="X767" s="373" t="n"/>
    </row>
    <row r="768">
      <c r="B768" s="479" t="inlineStr">
        <is>
          <t>TOTAL</t>
        </is>
      </c>
      <c r="C768" s="373" t="n"/>
      <c r="D768" s="373" t="n"/>
      <c r="E768" s="373" t="n"/>
      <c r="F768" s="373" t="n"/>
      <c r="G768" s="373" t="n"/>
      <c r="H768" s="373" t="n"/>
      <c r="I768" s="479" t="n">
        <v>991500000</v>
      </c>
      <c r="J768" s="479" t="n">
        <v>1165223146.932</v>
      </c>
      <c r="K768" s="479" t="n">
        <v>356012003</v>
      </c>
      <c r="L768" s="479" t="n">
        <v>367745000</v>
      </c>
      <c r="M768" s="479" t="n">
        <v>8769780</v>
      </c>
      <c r="N768" s="479" t="n">
        <v>200517570</v>
      </c>
      <c r="O768" s="479" t="n">
        <v>4995000</v>
      </c>
      <c r="P768" s="479" t="n">
        <v>38548717.5</v>
      </c>
      <c r="Q768" s="479" t="n">
        <v>202920000</v>
      </c>
      <c r="R768" s="479" t="n">
        <v>0</v>
      </c>
      <c r="S768" s="479" t="n">
        <v>0</v>
      </c>
      <c r="T768" s="479" t="n">
        <v>0</v>
      </c>
      <c r="U768" s="479" t="n">
        <v>0</v>
      </c>
      <c r="V768" s="479" t="n">
        <v>0</v>
      </c>
      <c r="W768" s="479" t="n">
        <v>0</v>
      </c>
      <c r="X768" s="479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  <c r="G3" s="484" t="inlineStr">
        <is>
          <t>PT. EXSPAN WIRELINE INDONESIA</t>
        </is>
      </c>
      <c r="H3" s="484" t="n"/>
      <c r="I3" s="484" t="n"/>
      <c r="J3" s="484" t="n"/>
    </row>
    <row r="4" ht="20.5" customHeight="1" s="297">
      <c r="A4" s="480" t="n"/>
      <c r="B4" s="485" t="inlineStr">
        <is>
          <t>LABA RUGI | TAHUN 2024</t>
        </is>
      </c>
      <c r="F4" s="483" t="n"/>
      <c r="G4" s="486" t="inlineStr">
        <is>
          <t>NERACA | TAHUN YANG BERAKHIR, 31 DESEMBER 2024</t>
        </is>
      </c>
      <c r="H4" s="486" t="n"/>
      <c r="I4" s="486" t="n"/>
      <c r="J4" s="486" t="n"/>
      <c r="K4" s="487" t="inlineStr">
        <is>
          <t>CATATAN KEAMANAN</t>
        </is>
      </c>
    </row>
    <row r="5" ht="6" customHeight="1" s="297">
      <c r="A5" s="480" t="n"/>
      <c r="B5" s="480" t="n"/>
      <c r="C5" s="480" t="n"/>
      <c r="D5" s="480" t="n"/>
      <c r="E5" s="481" t="n"/>
      <c r="F5" s="483" t="n"/>
      <c r="G5" s="483" t="n"/>
      <c r="H5" s="488" t="n"/>
      <c r="I5" s="488" t="n"/>
      <c r="J5" s="488" t="n"/>
      <c r="K5" t="inlineStr">
        <is>
          <t>Kolom ini aman dari overwrite sistem.</t>
        </is>
      </c>
    </row>
    <row r="6" ht="15.5" customHeight="1" s="297">
      <c r="A6" s="480" t="n"/>
      <c r="B6" s="489" t="n"/>
      <c r="C6" s="490" t="n"/>
      <c r="D6" s="491" t="inlineStr">
        <is>
          <t>PT. Exspan Wireline Indonesia</t>
        </is>
      </c>
      <c r="E6" s="289" t="n"/>
      <c r="F6" s="483" t="n"/>
      <c r="G6" s="492" t="n"/>
      <c r="H6" s="493" t="n"/>
      <c r="I6" s="491" t="inlineStr">
        <is>
          <t>PT. Exspan Wireline Indonesia</t>
        </is>
      </c>
      <c r="J6" s="289" t="n"/>
      <c r="K6" t="inlineStr">
        <is>
          <t>Diverifikasi pada: 2026-03-29 18:16</t>
        </is>
      </c>
    </row>
    <row r="7" ht="15.5" customHeight="1" s="297">
      <c r="A7" s="480" t="n"/>
      <c r="B7" s="494" t="n"/>
      <c r="C7" s="495" t="n"/>
      <c r="D7" s="496" t="inlineStr">
        <is>
          <t>(Rp)</t>
        </is>
      </c>
      <c r="E7" s="290" t="n"/>
      <c r="F7" s="483" t="n"/>
      <c r="G7" s="497" t="n"/>
      <c r="H7" s="498" t="n"/>
      <c r="I7" s="496" t="inlineStr">
        <is>
          <t>(Rp)</t>
        </is>
      </c>
      <c r="J7" s="290" t="n"/>
    </row>
    <row r="8">
      <c r="A8" s="480" t="n"/>
      <c r="B8" s="499" t="inlineStr">
        <is>
          <t>PENDAPATAN</t>
        </is>
      </c>
      <c r="C8" s="500" t="n"/>
      <c r="D8" s="501" t="n"/>
      <c r="E8" s="502" t="n"/>
      <c r="F8" s="483" t="n"/>
      <c r="G8" s="503" t="inlineStr">
        <is>
          <t>AKTIVA</t>
        </is>
      </c>
      <c r="H8" s="504" t="n"/>
      <c r="I8" s="505" t="n"/>
      <c r="J8" s="506" t="n"/>
    </row>
    <row r="9">
      <c r="A9" s="480" t="n"/>
      <c r="B9" s="507" t="n"/>
      <c r="C9" s="500" t="inlineStr">
        <is>
          <t>PENDAPATAN LANGSUNG</t>
        </is>
      </c>
      <c r="D9" s="507" t="inlineStr">
        <is>
          <t>Rp</t>
        </is>
      </c>
      <c r="E9" s="508">
        <f>SUM('Revenue-Cost_2024'!F8:F20)</f>
        <v/>
      </c>
      <c r="F9" s="483" t="n"/>
      <c r="G9" s="509" t="inlineStr">
        <is>
          <t>AKTIVA LANCAR</t>
        </is>
      </c>
      <c r="H9" s="510" t="n"/>
      <c r="I9" s="509" t="n"/>
      <c r="J9" s="511" t="n"/>
    </row>
    <row r="10">
      <c r="A10" s="480" t="n"/>
      <c r="B10" s="507" t="n"/>
      <c r="C10" s="500" t="inlineStr">
        <is>
          <t>PENDAPATAN LAIN LAIN</t>
        </is>
      </c>
      <c r="D10" s="507" t="inlineStr">
        <is>
          <t>Rp</t>
        </is>
      </c>
      <c r="E10" s="508">
        <f>SUM('Revenue-Cost_2024'!F21)</f>
        <v/>
      </c>
      <c r="F10" s="483" t="n"/>
      <c r="G10" s="512" t="n"/>
      <c r="H10" s="513" t="inlineStr">
        <is>
          <t>KAS DAN SETARA KAS TAHUN SEBELUMNYA</t>
        </is>
      </c>
      <c r="I10" s="507" t="inlineStr">
        <is>
          <t>Rp</t>
        </is>
      </c>
      <c r="J10" s="514" t="n">
        <v>0</v>
      </c>
    </row>
    <row r="11">
      <c r="A11" s="480" t="n"/>
      <c r="B11" s="507" t="n"/>
      <c r="C11" s="500" t="n"/>
      <c r="D11" s="515" t="n"/>
      <c r="E11" s="516" t="n"/>
      <c r="F11" s="483" t="n"/>
      <c r="G11" s="512" t="n"/>
      <c r="H11" s="513" t="inlineStr">
        <is>
          <t>KAS DAN SETARA KAS TAHUN LAPORAN</t>
        </is>
      </c>
      <c r="I11" s="507" t="inlineStr">
        <is>
          <t>Rp</t>
        </is>
      </c>
      <c r="J11" s="514">
        <f>E46-'Business Summary'!E13</f>
        <v/>
      </c>
    </row>
    <row r="12">
      <c r="A12" s="480" t="n"/>
      <c r="B12" s="517" t="inlineStr">
        <is>
          <t>TOTALPENDAPATAN</t>
        </is>
      </c>
      <c r="C12" s="518" t="n"/>
      <c r="D12" s="519" t="inlineStr">
        <is>
          <t>Rp</t>
        </is>
      </c>
      <c r="E12" s="520">
        <f>SUM(E9:E11)</f>
        <v/>
      </c>
      <c r="F12" s="483" t="n"/>
      <c r="G12" s="512" t="n"/>
      <c r="H12" s="513" t="inlineStr">
        <is>
          <t>PIUTANG USAHA</t>
        </is>
      </c>
      <c r="I12" s="507" t="inlineStr">
        <is>
          <t>Rp</t>
        </is>
      </c>
      <c r="J12" s="514" t="n">
        <v>0</v>
      </c>
    </row>
    <row r="13">
      <c r="A13" s="480" t="n"/>
      <c r="B13" s="507" t="n"/>
      <c r="C13" s="500" t="n"/>
      <c r="D13" s="501" t="n"/>
      <c r="E13" s="521" t="n"/>
      <c r="F13" s="483" t="n"/>
      <c r="G13" s="512" t="n"/>
      <c r="H13" s="513" t="inlineStr">
        <is>
          <t>PAJAK BAYAR DI MUKA (pph23)</t>
        </is>
      </c>
      <c r="I13" s="507" t="inlineStr">
        <is>
          <t>Rp</t>
        </is>
      </c>
      <c r="J13" s="514" t="n">
        <v>0</v>
      </c>
    </row>
    <row r="14">
      <c r="A14" s="480" t="n"/>
      <c r="B14" s="522" t="inlineStr">
        <is>
          <t>BEBAN LANGSUNG</t>
        </is>
      </c>
      <c r="C14" s="500" t="n"/>
      <c r="D14" s="507" t="n"/>
      <c r="E14" s="523" t="n"/>
      <c r="F14" s="483" t="n"/>
      <c r="G14" s="512" t="n"/>
      <c r="H14" s="513" t="inlineStr">
        <is>
          <t>BIAYA BAYAR DI MUKA</t>
        </is>
      </c>
      <c r="I14" s="507" t="inlineStr">
        <is>
          <t>Rp</t>
        </is>
      </c>
      <c r="J14" s="514" t="n">
        <v>0</v>
      </c>
    </row>
    <row r="15">
      <c r="A15" s="480" t="n"/>
      <c r="B15" s="524" t="n"/>
      <c r="C15" s="500" t="inlineStr">
        <is>
          <t xml:space="preserve">Biaya Operasi </t>
        </is>
      </c>
      <c r="D15" s="507" t="inlineStr">
        <is>
          <t>Rp</t>
        </is>
      </c>
      <c r="E15" s="523">
        <f>'Revenue-Cost_2024'!I750</f>
        <v/>
      </c>
      <c r="F15" s="483" t="n"/>
      <c r="G15" s="525" t="n"/>
      <c r="H15" s="513" t="inlineStr">
        <is>
          <t>PIUTANG LAIN LAIN</t>
        </is>
      </c>
      <c r="I15" s="507" t="inlineStr">
        <is>
          <t>Rp</t>
        </is>
      </c>
      <c r="J15" s="514" t="n">
        <v>0</v>
      </c>
    </row>
    <row r="16">
      <c r="A16" s="480" t="n"/>
      <c r="B16" s="524" t="n"/>
      <c r="C16" s="500" t="inlineStr">
        <is>
          <t>Biaya research (R &amp; D)</t>
        </is>
      </c>
      <c r="D16" s="507" t="inlineStr">
        <is>
          <t>Rp</t>
        </is>
      </c>
      <c r="E16" s="523">
        <f>'Revenue-Cost_2024'!J750</f>
        <v/>
      </c>
      <c r="F16" s="483" t="n"/>
      <c r="G16" s="526" t="n"/>
      <c r="H16" s="527" t="inlineStr">
        <is>
          <t>TOTAL AKTIVA LANCAR</t>
        </is>
      </c>
      <c r="I16" s="519" t="inlineStr">
        <is>
          <t>Rp</t>
        </is>
      </c>
      <c r="J16" s="528">
        <f>SUM(J10:J15)</f>
        <v/>
      </c>
    </row>
    <row r="17">
      <c r="A17" s="480" t="n"/>
      <c r="B17" s="524" t="n"/>
      <c r="C17" s="500" t="inlineStr">
        <is>
          <t>BIAYA SEWA PERALATAN</t>
        </is>
      </c>
      <c r="D17" s="507" t="inlineStr">
        <is>
          <t>Rp</t>
        </is>
      </c>
      <c r="E17" s="523">
        <f>'Revenue-Cost_2024'!K750</f>
        <v/>
      </c>
      <c r="F17" s="483" t="n"/>
      <c r="G17" s="512" t="n"/>
      <c r="H17" s="513" t="n"/>
      <c r="I17" s="529" t="n"/>
      <c r="J17" s="530" t="n"/>
    </row>
    <row r="18">
      <c r="A18" s="480" t="n"/>
      <c r="B18" s="524" t="n"/>
      <c r="C18" s="500" t="inlineStr">
        <is>
          <t>BIAYA Data Processing</t>
        </is>
      </c>
      <c r="D18" s="507" t="inlineStr">
        <is>
          <t>Rp</t>
        </is>
      </c>
      <c r="E18" s="523">
        <f>'Revenue-Cost_2024'!L750</f>
        <v/>
      </c>
      <c r="F18" s="483" t="n"/>
      <c r="G18" s="509" t="inlineStr">
        <is>
          <t>ACTIVA TETAP</t>
        </is>
      </c>
      <c r="H18" s="531" t="n"/>
      <c r="I18" s="503" t="n"/>
      <c r="J18" s="514" t="n"/>
    </row>
    <row r="19">
      <c r="A19" s="480" t="n"/>
      <c r="B19" s="524" t="n"/>
      <c r="C19" s="500" t="n"/>
      <c r="D19" s="507" t="n"/>
      <c r="E19" s="523" t="n"/>
      <c r="F19" s="483" t="n"/>
      <c r="G19" s="509" t="n"/>
      <c r="H19" s="531" t="n"/>
      <c r="I19" s="503" t="n"/>
      <c r="J19" s="514" t="n"/>
    </row>
    <row r="20">
      <c r="A20" s="480" t="n"/>
      <c r="B20" s="524" t="n"/>
      <c r="C20" s="500" t="n"/>
      <c r="D20" s="515" t="n"/>
      <c r="E20" s="532" t="n"/>
      <c r="F20" s="483" t="n"/>
      <c r="G20" s="512" t="n"/>
      <c r="H20" s="513" t="inlineStr">
        <is>
          <t>INVENTARIS KANTOR</t>
        </is>
      </c>
      <c r="I20" s="507" t="inlineStr">
        <is>
          <t>Rp</t>
        </is>
      </c>
      <c r="J20" s="514" t="n">
        <v>0</v>
      </c>
    </row>
    <row r="21">
      <c r="A21" s="480" t="n"/>
      <c r="B21" s="517" t="inlineStr">
        <is>
          <t>TOTAL BIAYA LANGSUNG</t>
        </is>
      </c>
      <c r="C21" s="518" t="n"/>
      <c r="D21" s="519" t="inlineStr">
        <is>
          <t>Rp</t>
        </is>
      </c>
      <c r="E21" s="533">
        <f>SUM(E15:E20)</f>
        <v/>
      </c>
      <c r="F21" s="483" t="n"/>
      <c r="G21" s="512" t="n"/>
      <c r="H21" s="531" t="n"/>
      <c r="I21" s="534" t="n"/>
      <c r="J21" s="535" t="n"/>
    </row>
    <row r="22">
      <c r="A22" s="480" t="n"/>
      <c r="B22" s="507" t="n"/>
      <c r="C22" s="500" t="n"/>
      <c r="D22" s="501" t="n"/>
      <c r="E22" s="536" t="n"/>
      <c r="F22" s="483" t="n"/>
      <c r="G22" s="526" t="n"/>
      <c r="H22" s="527" t="inlineStr">
        <is>
          <t>TOTAL AKTIVA TETAP</t>
        </is>
      </c>
      <c r="I22" s="519" t="inlineStr">
        <is>
          <t>Rp</t>
        </is>
      </c>
      <c r="J22" s="528">
        <f>J20</f>
        <v/>
      </c>
    </row>
    <row r="23">
      <c r="A23" s="480" t="n"/>
      <c r="B23" s="522" t="inlineStr">
        <is>
          <t>BEBAN TIDAK LANGSUNG</t>
        </is>
      </c>
      <c r="C23" s="500" t="n"/>
      <c r="D23" s="507" t="n"/>
      <c r="E23" s="523">
        <f>'Revenue-Cost_2024'!Q750</f>
        <v/>
      </c>
      <c r="F23" s="483" t="n"/>
      <c r="G23" s="512" t="n"/>
      <c r="H23" s="513" t="n"/>
      <c r="I23" s="529" t="n"/>
      <c r="J23" s="506" t="n"/>
    </row>
    <row r="24">
      <c r="A24" s="480" t="n"/>
      <c r="B24" s="507" t="n"/>
      <c r="C24" s="500" t="n"/>
      <c r="D24" s="507" t="n"/>
      <c r="E24" s="523" t="n"/>
      <c r="F24" s="483" t="n"/>
      <c r="G24" s="509" t="inlineStr">
        <is>
          <t>ACTIVA LAIN LAIN</t>
        </is>
      </c>
      <c r="H24" s="531" t="n"/>
      <c r="I24" s="503" t="n"/>
      <c r="J24" s="514" t="n">
        <v>0</v>
      </c>
    </row>
    <row r="25">
      <c r="A25" s="480" t="n"/>
      <c r="B25" s="507" t="n"/>
      <c r="C25" s="500" t="n"/>
      <c r="D25" s="507" t="inlineStr">
        <is>
          <t>Rp</t>
        </is>
      </c>
      <c r="E25" s="523" t="n"/>
      <c r="F25" s="483" t="n"/>
      <c r="G25" s="512" t="n"/>
      <c r="H25" s="513" t="n"/>
      <c r="I25" s="537" t="n"/>
      <c r="J25" s="538" t="n">
        <v>0</v>
      </c>
    </row>
    <row r="26">
      <c r="A26" s="480" t="n"/>
      <c r="B26" s="507" t="n"/>
      <c r="C26" s="500" t="n"/>
      <c r="D26" s="515" t="n"/>
      <c r="E26" s="532" t="n"/>
      <c r="F26" s="483" t="n"/>
      <c r="G26" s="526" t="n"/>
      <c r="H26" s="527" t="inlineStr">
        <is>
          <t>TOTAL AKTIVA LAIN LAIN</t>
        </is>
      </c>
      <c r="I26" s="519" t="inlineStr">
        <is>
          <t>Rp</t>
        </is>
      </c>
      <c r="J26" s="528">
        <f>SUM(J25:J25)</f>
        <v/>
      </c>
    </row>
    <row r="27">
      <c r="A27" s="480" t="n"/>
      <c r="B27" s="517" t="inlineStr">
        <is>
          <t>TOTAL BIAYA TIDAK LANGSUNG</t>
        </is>
      </c>
      <c r="C27" s="518" t="n"/>
      <c r="D27" s="519" t="inlineStr">
        <is>
          <t>Rp</t>
        </is>
      </c>
      <c r="E27" s="533">
        <f>SUM(E22:E26)</f>
        <v/>
      </c>
      <c r="F27" s="483" t="n"/>
      <c r="G27" s="512" t="n"/>
      <c r="H27" s="513" t="n"/>
      <c r="I27" s="539" t="n"/>
      <c r="J27" s="540" t="n"/>
    </row>
    <row r="28">
      <c r="A28" s="480" t="n"/>
      <c r="B28" s="507" t="n"/>
      <c r="C28" s="500" t="n"/>
      <c r="D28" s="501" t="n"/>
      <c r="E28" s="536" t="n"/>
      <c r="F28" s="483" t="n"/>
      <c r="G28" s="517" t="inlineStr">
        <is>
          <t>TOTAL AKTIVA</t>
        </is>
      </c>
      <c r="H28" s="518" t="n"/>
      <c r="I28" s="519" t="inlineStr">
        <is>
          <t>Rp</t>
        </is>
      </c>
      <c r="J28" s="541">
        <f>J26+J22+J16</f>
        <v/>
      </c>
    </row>
    <row r="29">
      <c r="A29" s="480" t="n"/>
      <c r="B29" s="522" t="inlineStr">
        <is>
          <t>BIAYA ADMINISTRASI DAN UMUM</t>
        </is>
      </c>
      <c r="C29" s="500" t="n"/>
      <c r="D29" s="507" t="n"/>
      <c r="E29" s="523" t="n"/>
      <c r="F29" s="483" t="n"/>
      <c r="G29" s="542" t="n"/>
      <c r="H29" s="543" t="n"/>
      <c r="I29" s="542" t="n"/>
      <c r="J29" s="530" t="n"/>
    </row>
    <row r="30">
      <c r="A30" s="480" t="n"/>
      <c r="B30" s="524" t="n"/>
      <c r="C30" s="500" t="inlineStr">
        <is>
          <t>BIAYA ADMINISTRASI</t>
        </is>
      </c>
      <c r="D30" s="507" t="inlineStr">
        <is>
          <t>Rp</t>
        </is>
      </c>
      <c r="E30" s="523">
        <f>'Revenue-Cost_2024'!M750</f>
        <v/>
      </c>
      <c r="F30" s="483" t="n"/>
      <c r="G30" s="544" t="inlineStr">
        <is>
          <t>HUTANG DAN MODAL</t>
        </is>
      </c>
      <c r="H30" s="504" t="n"/>
      <c r="I30" s="544" t="n"/>
      <c r="J30" s="545" t="n"/>
    </row>
    <row r="31">
      <c r="A31" s="480" t="n"/>
      <c r="B31" s="524" t="n"/>
      <c r="C31" s="500" t="inlineStr">
        <is>
          <t>BIAYA PEMBELIAN Barang</t>
        </is>
      </c>
      <c r="D31" s="507" t="inlineStr">
        <is>
          <t>Rp</t>
        </is>
      </c>
      <c r="E31" s="523">
        <f>'Revenue-Cost_2024'!N750</f>
        <v/>
      </c>
      <c r="F31" s="483" t="n"/>
      <c r="G31" s="544" t="n"/>
      <c r="H31" s="504" t="n"/>
      <c r="I31" s="544" t="n"/>
      <c r="J31" s="545" t="n"/>
    </row>
    <row r="32">
      <c r="A32" s="480" t="n"/>
      <c r="B32" s="524" t="n"/>
      <c r="C32" s="500" t="inlineStr">
        <is>
          <t>BIAYA SEWA KANTOR</t>
        </is>
      </c>
      <c r="D32" s="507" t="inlineStr">
        <is>
          <t>Rp</t>
        </is>
      </c>
      <c r="E32" s="523">
        <f>'Revenue-Cost_2024'!O750</f>
        <v/>
      </c>
      <c r="F32" s="483" t="n"/>
      <c r="G32" s="509" t="inlineStr">
        <is>
          <t>HUTANG LANCAR</t>
        </is>
      </c>
      <c r="H32" s="510" t="n"/>
      <c r="I32" s="509" t="n"/>
      <c r="J32" s="511" t="n"/>
    </row>
    <row r="33">
      <c r="A33" s="480" t="n"/>
      <c r="B33" s="524" t="n"/>
      <c r="C33" s="500" t="inlineStr">
        <is>
          <t>BIAYA KESEHATAN</t>
        </is>
      </c>
      <c r="D33" s="507" t="inlineStr">
        <is>
          <t>Rp</t>
        </is>
      </c>
      <c r="E33" s="523">
        <f>'Revenue-Cost_2024'!P750</f>
        <v/>
      </c>
      <c r="F33" s="483" t="n"/>
      <c r="G33" s="512" t="n"/>
      <c r="H33" s="513" t="inlineStr">
        <is>
          <t>HUTANG USAHA</t>
        </is>
      </c>
      <c r="I33" s="507" t="inlineStr">
        <is>
          <t>Rp</t>
        </is>
      </c>
      <c r="J33" s="514" t="n">
        <v>0</v>
      </c>
    </row>
    <row r="34">
      <c r="A34" s="480" t="n"/>
      <c r="B34" s="524" t="n"/>
      <c r="C34" s="500" t="n"/>
      <c r="D34" s="515" t="n"/>
      <c r="E34" s="532" t="n"/>
      <c r="F34" s="483" t="n"/>
      <c r="G34" s="512" t="n"/>
      <c r="H34" s="546" t="inlineStr">
        <is>
          <t>HUTANG GAJI</t>
        </is>
      </c>
      <c r="I34" s="507" t="inlineStr">
        <is>
          <t>Rp</t>
        </is>
      </c>
      <c r="J34" s="514" t="n">
        <v>0</v>
      </c>
    </row>
    <row r="35">
      <c r="A35" s="480" t="n"/>
      <c r="B35" s="517" t="inlineStr">
        <is>
          <t>TOTAL BIAYA ADMINISTRASI DAN UMUM</t>
        </is>
      </c>
      <c r="C35" s="518" t="n"/>
      <c r="D35" s="519" t="inlineStr">
        <is>
          <t>Rp</t>
        </is>
      </c>
      <c r="E35" s="520">
        <f>SUM(E30:E34)</f>
        <v/>
      </c>
      <c r="F35" s="483" t="n"/>
      <c r="G35" s="512" t="n"/>
      <c r="H35" s="513" t="inlineStr">
        <is>
          <t>HUTANG PEMEGANG SAHAM</t>
        </is>
      </c>
      <c r="I35" s="507" t="inlineStr">
        <is>
          <t>Rp</t>
        </is>
      </c>
      <c r="J35" s="514" t="n">
        <v>0</v>
      </c>
    </row>
    <row r="36">
      <c r="A36" s="480" t="n"/>
      <c r="B36" s="524" t="n"/>
      <c r="C36" s="500" t="n"/>
      <c r="D36" s="519" t="n"/>
      <c r="E36" s="547" t="n"/>
      <c r="F36" s="483" t="n"/>
      <c r="G36" s="512" t="n"/>
      <c r="H36" s="513" t="inlineStr">
        <is>
          <t>BIAYA YANG MASIH HARUS DI BAYAR</t>
        </is>
      </c>
      <c r="I36" s="507" t="inlineStr">
        <is>
          <t>Rp</t>
        </is>
      </c>
      <c r="J36" s="514" t="n">
        <v>0</v>
      </c>
    </row>
    <row r="37">
      <c r="A37" s="480" t="n"/>
      <c r="B37" s="517" t="inlineStr">
        <is>
          <t>TOTAL BIAYA</t>
        </is>
      </c>
      <c r="C37" s="518" t="n"/>
      <c r="D37" s="519" t="inlineStr">
        <is>
          <t>Rp</t>
        </is>
      </c>
      <c r="E37" s="520">
        <f>E35+E21+E27</f>
        <v/>
      </c>
      <c r="F37" s="483" t="n"/>
      <c r="G37" s="548" t="n"/>
      <c r="H37" s="549" t="n"/>
      <c r="I37" s="548" t="n"/>
      <c r="J37" s="550" t="n"/>
    </row>
    <row r="38">
      <c r="A38" s="480" t="n"/>
      <c r="B38" s="499" t="n"/>
      <c r="C38" s="551" t="n"/>
      <c r="D38" s="501" t="n"/>
      <c r="E38" s="552" t="n"/>
      <c r="F38" s="483" t="n"/>
      <c r="G38" s="526" t="n"/>
      <c r="H38" s="527" t="inlineStr">
        <is>
          <t>TOTAL HUTANG LANCAR</t>
        </is>
      </c>
      <c r="I38" s="553" t="n"/>
      <c r="J38" s="528">
        <f>SUM(J33:J36)</f>
        <v/>
      </c>
    </row>
    <row r="39">
      <c r="A39" s="480" t="n"/>
      <c r="B39" s="522" t="inlineStr">
        <is>
          <t xml:space="preserve">PENDAPATAN/BEBAN LAIN LAIN </t>
        </is>
      </c>
      <c r="C39" s="500" t="n"/>
      <c r="D39" s="507" t="inlineStr">
        <is>
          <t>Rp</t>
        </is>
      </c>
      <c r="E39" s="554" t="n"/>
      <c r="F39" s="483" t="n"/>
      <c r="G39" s="512" t="n"/>
      <c r="H39" s="531" t="n"/>
      <c r="I39" s="555" t="n"/>
      <c r="J39" s="506" t="n"/>
    </row>
    <row r="40">
      <c r="A40" s="480" t="n"/>
      <c r="B40" s="522" t="n"/>
      <c r="C40" s="500" t="inlineStr">
        <is>
          <t>PENDAPATAN LAINNYA</t>
        </is>
      </c>
      <c r="D40" s="507" t="inlineStr">
        <is>
          <t>Rp</t>
        </is>
      </c>
      <c r="E40" s="508" t="n">
        <v>0</v>
      </c>
      <c r="F40" s="483" t="n"/>
      <c r="G40" s="509" t="inlineStr">
        <is>
          <t>MODAL</t>
        </is>
      </c>
      <c r="H40" s="510" t="n"/>
      <c r="I40" s="509" t="n"/>
      <c r="J40" s="511" t="n"/>
    </row>
    <row r="41">
      <c r="A41" s="480" t="n"/>
      <c r="B41" s="522" t="n"/>
      <c r="C41" s="500" t="n"/>
      <c r="D41" s="515" t="n"/>
      <c r="E41" s="556" t="n"/>
      <c r="F41" s="483" t="n"/>
      <c r="G41" s="512" t="n"/>
      <c r="H41" s="513" t="inlineStr">
        <is>
          <t>MODAL SAHAM</t>
        </is>
      </c>
      <c r="I41" s="507" t="inlineStr">
        <is>
          <t>Rp</t>
        </is>
      </c>
      <c r="J41" s="514" t="n">
        <v>0</v>
      </c>
    </row>
    <row r="42">
      <c r="A42" s="480" t="n"/>
      <c r="B42" s="517" t="inlineStr">
        <is>
          <t>LABA RUGI SEBELUM PAJAK</t>
        </is>
      </c>
      <c r="C42" s="518" t="n"/>
      <c r="D42" s="519" t="inlineStr">
        <is>
          <t>Rp</t>
        </is>
      </c>
      <c r="E42" s="520">
        <f>E12-E37</f>
        <v/>
      </c>
      <c r="F42" s="483" t="n"/>
      <c r="G42" s="512" t="n"/>
      <c r="H42" s="513" t="inlineStr">
        <is>
          <t>LABA DI TAHAN</t>
        </is>
      </c>
      <c r="I42" s="507" t="inlineStr">
        <is>
          <t>Rp</t>
        </is>
      </c>
      <c r="J42" s="514" t="n">
        <v>0</v>
      </c>
    </row>
    <row r="43">
      <c r="A43" s="480" t="n"/>
      <c r="B43" s="557" t="n"/>
      <c r="C43" s="551" t="n"/>
      <c r="D43" s="501" t="n"/>
      <c r="E43" s="521" t="n"/>
      <c r="F43" s="483" t="n"/>
      <c r="G43" s="509" t="n"/>
      <c r="H43" s="513" t="inlineStr">
        <is>
          <t>TOTAL LABA (RUGI) DITAHAN</t>
        </is>
      </c>
      <c r="I43" s="515" t="inlineStr">
        <is>
          <t>Rp</t>
        </is>
      </c>
      <c r="J43" s="538">
        <f>J28-J38-J41-J42</f>
        <v/>
      </c>
    </row>
    <row r="44">
      <c r="A44" s="480" t="n"/>
      <c r="B44" s="522" t="inlineStr">
        <is>
          <t>CORPORATE TAX (PPh 29)</t>
        </is>
      </c>
      <c r="D44" s="507" t="inlineStr">
        <is>
          <t>Rp</t>
        </is>
      </c>
      <c r="E44" s="508" t="n">
        <v>0</v>
      </c>
      <c r="F44" s="483" t="n"/>
      <c r="G44" s="526" t="n"/>
      <c r="H44" s="527" t="inlineStr">
        <is>
          <t>TOTAL MODAL</t>
        </is>
      </c>
      <c r="I44" s="519" t="inlineStr">
        <is>
          <t>Rp</t>
        </is>
      </c>
      <c r="J44" s="528">
        <f>SUM(J41:J43)</f>
        <v/>
      </c>
    </row>
    <row r="45">
      <c r="A45" s="480" t="n"/>
      <c r="B45" s="522" t="n"/>
      <c r="C45" s="500" t="n"/>
      <c r="D45" s="515" t="n"/>
      <c r="E45" s="556" t="n"/>
      <c r="F45" s="483" t="n"/>
      <c r="G45" s="512" t="n"/>
      <c r="H45" s="513" t="n"/>
      <c r="I45" s="539" t="n"/>
      <c r="J45" s="540" t="n"/>
    </row>
    <row r="46" ht="15" customHeight="1" s="297">
      <c r="A46" s="480" t="n"/>
      <c r="B46" s="558" t="inlineStr">
        <is>
          <t>LABA / RUGI BERSIH</t>
        </is>
      </c>
      <c r="C46" s="303" t="n"/>
      <c r="D46" s="559" t="n"/>
      <c r="E46" s="560">
        <f>E42-E44</f>
        <v/>
      </c>
      <c r="F46" s="483" t="n"/>
      <c r="G46" s="561" t="inlineStr">
        <is>
          <t>TOTAL HUTANG DAN MODAL</t>
        </is>
      </c>
      <c r="H46" s="562" t="n"/>
      <c r="I46" s="559" t="inlineStr">
        <is>
          <t>Rp</t>
        </is>
      </c>
      <c r="J46" s="563">
        <f>J44+J38</f>
        <v/>
      </c>
    </row>
    <row r="47" ht="4.5" customHeight="1" s="297">
      <c r="A47" s="480" t="n"/>
      <c r="F47" s="483" t="n"/>
    </row>
    <row r="48" ht="50.65" customHeight="1" s="297">
      <c r="A48" s="480" t="n"/>
      <c r="F48" s="483" t="n"/>
      <c r="G48" s="564" t="n"/>
    </row>
    <row r="49" ht="16.75" customHeight="1" s="297">
      <c r="A49" s="480" t="n"/>
      <c r="B49" s="565" t="n"/>
      <c r="F49" s="483" t="n"/>
      <c r="G49" s="565" t="n"/>
    </row>
    <row r="50" ht="15.65" customHeight="1" s="297">
      <c r="A50" s="500" t="n"/>
      <c r="B50" s="566" t="inlineStr">
        <is>
          <t>Direktur</t>
        </is>
      </c>
      <c r="F50" s="483" t="n"/>
      <c r="G50" s="566" t="inlineStr">
        <is>
          <t>Direktur</t>
        </is>
      </c>
    </row>
    <row r="51">
      <c r="A51" s="500" t="n"/>
      <c r="F51" s="483" t="n"/>
    </row>
    <row r="52">
      <c r="A52" s="500" t="n"/>
      <c r="F52" s="483" t="n"/>
      <c r="J52" s="5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</row>
    <row r="4" ht="20.5" customHeight="1" s="297">
      <c r="A4" s="480" t="n"/>
      <c r="B4" s="485" t="inlineStr">
        <is>
          <t>BUSINESS SUMMARY | TAHUN 2024</t>
        </is>
      </c>
      <c r="F4" s="483" t="n"/>
    </row>
    <row r="5" ht="6" customHeight="1" s="297">
      <c r="A5" s="480" t="n"/>
      <c r="B5" s="480" t="n"/>
      <c r="C5" s="480" t="n"/>
      <c r="D5" s="480" t="n"/>
      <c r="E5" s="481" t="n"/>
      <c r="F5" s="483" t="n"/>
    </row>
    <row r="6" ht="19" customHeight="1" s="297">
      <c r="A6" s="480" t="n"/>
      <c r="B6" s="568" t="inlineStr">
        <is>
          <t>#</t>
        </is>
      </c>
      <c r="C6" s="568" t="inlineStr">
        <is>
          <t>Items</t>
        </is>
      </c>
      <c r="D6" s="569" t="inlineStr">
        <is>
          <t>Amount</t>
        </is>
      </c>
      <c r="E6" s="279" t="n"/>
      <c r="F6" s="483" t="n"/>
    </row>
    <row r="7" ht="19" customHeight="1" s="297">
      <c r="A7" s="480" t="n"/>
      <c r="B7" s="570" t="n">
        <v>1</v>
      </c>
      <c r="C7" s="571" t="inlineStr">
        <is>
          <t>Revenue</t>
        </is>
      </c>
      <c r="D7" s="572" t="inlineStr">
        <is>
          <t>Rp</t>
        </is>
      </c>
      <c r="E7" s="573">
        <f>'Revenue-Cost_2024'!F22</f>
        <v/>
      </c>
      <c r="F7" s="483" t="n"/>
    </row>
    <row r="8" ht="19" customHeight="1" s="297">
      <c r="A8" s="480" t="n"/>
      <c r="B8" s="570" t="n">
        <v>2</v>
      </c>
      <c r="C8" s="571" t="inlineStr">
        <is>
          <t>Revenue Diterima (Setelah Pajak)</t>
        </is>
      </c>
      <c r="D8" s="572" t="inlineStr">
        <is>
          <t>Rp</t>
        </is>
      </c>
      <c r="E8" s="573">
        <f>E7-'Revenue-Cost_2024'!N22</f>
        <v/>
      </c>
      <c r="F8" s="483" t="n"/>
    </row>
    <row r="9" ht="19" customHeight="1" s="297">
      <c r="A9" s="480" t="n"/>
      <c r="B9" s="570" t="n">
        <v>3</v>
      </c>
      <c r="C9" s="571" t="inlineStr">
        <is>
          <t>Biaya</t>
        </is>
      </c>
      <c r="D9" s="572" t="inlineStr">
        <is>
          <t>Rp</t>
        </is>
      </c>
      <c r="E9" s="573">
        <f>SUM('Revenue-Cost_2024'!I750:Q750)</f>
        <v/>
      </c>
      <c r="F9" s="483" t="n"/>
    </row>
    <row r="10" ht="19" customHeight="1" s="297">
      <c r="A10" s="480" t="n"/>
      <c r="B10" s="570" t="n">
        <v>4</v>
      </c>
      <c r="C10" s="571" t="inlineStr">
        <is>
          <t>Profit SebelumTax</t>
        </is>
      </c>
      <c r="D10" s="572" t="inlineStr">
        <is>
          <t>Rp</t>
        </is>
      </c>
      <c r="E10" s="573">
        <f>E7-E9</f>
        <v/>
      </c>
      <c r="F10" s="483" t="n"/>
    </row>
    <row r="11" ht="19" customHeight="1" s="297">
      <c r="A11" s="480" t="n"/>
      <c r="B11" s="570" t="n">
        <v>5</v>
      </c>
      <c r="C11" s="571" t="inlineStr">
        <is>
          <t>PPh Badan (22%*50%)</t>
        </is>
      </c>
      <c r="D11" s="572" t="inlineStr">
        <is>
          <t>Rp</t>
        </is>
      </c>
      <c r="E11" s="573">
        <f>E10*22%*50%</f>
        <v/>
      </c>
      <c r="F11" s="483" t="n"/>
    </row>
    <row r="12" ht="19" customHeight="1" s="297">
      <c r="A12" s="480" t="n"/>
      <c r="B12" s="570" t="n">
        <v>6</v>
      </c>
      <c r="C12" s="571" t="inlineStr">
        <is>
          <t>PPh 23 Dipotong oleh client</t>
        </is>
      </c>
      <c r="D12" s="572" t="inlineStr">
        <is>
          <t>Rp</t>
        </is>
      </c>
      <c r="E12" s="573">
        <f>'Revenue-Cost_2024'!N22</f>
        <v/>
      </c>
      <c r="F12" s="483" t="n"/>
    </row>
    <row r="13" ht="19" customHeight="1" s="297">
      <c r="A13" s="480" t="n"/>
      <c r="B13" s="570" t="n">
        <v>7</v>
      </c>
      <c r="C13" s="571" t="inlineStr">
        <is>
          <t>Kekurangan Bayar PPh Badan</t>
        </is>
      </c>
      <c r="D13" s="572" t="inlineStr">
        <is>
          <t>Rp</t>
        </is>
      </c>
      <c r="E13" s="574">
        <f>E11-E12</f>
        <v/>
      </c>
      <c r="F13" s="483" t="n"/>
    </row>
    <row r="14" ht="19" customHeight="1" s="297">
      <c r="A14" s="480" t="n"/>
      <c r="B14" s="570" t="n">
        <v>8</v>
      </c>
      <c r="C14" s="571" t="inlineStr">
        <is>
          <t>Profit After Tax</t>
        </is>
      </c>
      <c r="D14" s="572" t="inlineStr">
        <is>
          <t>Rp</t>
        </is>
      </c>
      <c r="E14" s="573">
        <f>E10-E13</f>
        <v/>
      </c>
      <c r="F14" s="483" t="n"/>
    </row>
    <row r="15" ht="19" customHeight="1" s="297">
      <c r="A15" s="480" t="n"/>
      <c r="B15" s="570" t="n">
        <v>9</v>
      </c>
      <c r="C15" s="571" t="inlineStr">
        <is>
          <t>Deviden Dibagi</t>
        </is>
      </c>
      <c r="D15" s="572" t="inlineStr">
        <is>
          <t>Rp</t>
        </is>
      </c>
      <c r="E15" s="573">
        <f>E14-E16</f>
        <v/>
      </c>
      <c r="F15" s="483" t="n"/>
    </row>
    <row r="16" ht="19" customHeight="1" s="297">
      <c r="A16" s="480" t="n"/>
      <c r="B16" s="570" t="n">
        <v>10</v>
      </c>
      <c r="C16" s="571" t="inlineStr">
        <is>
          <t>Profit Ditahan</t>
        </is>
      </c>
      <c r="D16" s="572" t="inlineStr">
        <is>
          <t>Rp</t>
        </is>
      </c>
      <c r="E16" s="573" t="n">
        <v>33763737</v>
      </c>
      <c r="F16" s="483" t="n"/>
    </row>
    <row r="17">
      <c r="A17" s="480" t="n"/>
      <c r="B17" s="480" t="n"/>
      <c r="C17" s="480" t="n"/>
      <c r="D17" s="480" t="n"/>
      <c r="E17" s="481" t="n"/>
      <c r="F17" s="483" t="n"/>
    </row>
    <row r="18" ht="18" customHeight="1" s="297">
      <c r="A18" s="480" t="n"/>
      <c r="B18" s="575" t="inlineStr">
        <is>
          <t>DEVIDEN</t>
        </is>
      </c>
      <c r="F18" s="483" t="n"/>
    </row>
    <row r="19" ht="19" customHeight="1" s="297">
      <c r="A19" s="480" t="n"/>
      <c r="B19" s="576" t="inlineStr">
        <is>
          <t>#</t>
        </is>
      </c>
      <c r="C19" s="576" t="inlineStr">
        <is>
          <t>Nama Lengkap</t>
        </is>
      </c>
      <c r="D19" s="576" t="inlineStr"/>
      <c r="E19" s="577" t="inlineStr">
        <is>
          <t>Amount</t>
        </is>
      </c>
      <c r="F19" s="483" t="inlineStr"/>
      <c r="G19" s="578" t="inlineStr">
        <is>
          <t>Pajak</t>
        </is>
      </c>
    </row>
    <row r="20" ht="19" customHeight="1" s="297">
      <c r="A20" s="480" t="n"/>
      <c r="B20" s="579" t="n">
        <v>1</v>
      </c>
      <c r="C20" s="580" t="inlineStr">
        <is>
          <t>Anevril Chairulsyah</t>
        </is>
      </c>
      <c r="D20" s="580" t="inlineStr">
        <is>
          <t>Rp</t>
        </is>
      </c>
      <c r="E20" s="581">
        <f>IF(C20="","",INT($E$15/COUNTA($C$20:$C$21)))</f>
        <v/>
      </c>
      <c r="F20" s="483" t="n"/>
      <c r="G20" s="582" t="inlineStr">
        <is>
          <t>Pajak 10%</t>
        </is>
      </c>
    </row>
    <row r="21" ht="48.75" customHeight="1" s="297">
      <c r="A21" s="500" t="n"/>
      <c r="B21" s="583" t="n">
        <v>2</v>
      </c>
      <c r="C21" s="583" t="inlineStr">
        <is>
          <t>Alan Muhadjir</t>
        </is>
      </c>
      <c r="D21" s="583" t="inlineStr">
        <is>
          <t>Rp</t>
        </is>
      </c>
      <c r="E21" s="584">
        <f>IF(C21="","",INT($E$15/COUNTA($C$20:$C$21)))</f>
        <v/>
      </c>
      <c r="F21" s="483" t="n"/>
      <c r="G21" t="inlineStr">
        <is>
          <t>Pajak 10%</t>
        </is>
      </c>
    </row>
    <row r="22">
      <c r="A22" s="500" t="n"/>
      <c r="F22" s="4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2026-03-29T11:16:37Z</dcterms:modified>
  <cp:lastModifiedBy>Diofavian - Student</cp:lastModifiedBy>
</cp:coreProperties>
</file>