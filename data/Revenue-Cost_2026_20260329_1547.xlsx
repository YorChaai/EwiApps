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10" fillId="0" borderId="4" pivotButton="0" quotePrefix="0" xfId="1"/>
    <xf numFmtId="15" fontId="36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36" fillId="0" borderId="20" applyAlignment="1" pivotButton="0" quotePrefix="0" xfId="0">
      <alignment vertical="top"/>
    </xf>
    <xf numFmtId="0" fontId="36" fillId="0" borderId="20" pivotButton="0" quotePrefix="0" xfId="0"/>
    <xf numFmtId="165" fontId="36" fillId="0" borderId="20" pivotButton="0" quotePrefix="0" xfId="0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3" fontId="0" fillId="0" borderId="20" pivotButton="0" quotePrefix="0" xfId="0"/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4" t="n">
        <v>101</v>
      </c>
      <c r="G42" s="319" t="inlineStr">
        <is>
          <t>IDR</t>
        </is>
      </c>
      <c r="H42" s="325" t="n">
        <v>1</v>
      </c>
      <c r="I42" s="320" t="n"/>
      <c r="J42" s="326" t="n">
        <v>101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46103</v>
      </c>
      <c r="C44" s="315" t="n">
        <v>2</v>
      </c>
      <c r="D44" s="327" t="inlineStr">
        <is>
          <t>asdsadasdasd</t>
        </is>
      </c>
      <c r="E44" s="327" t="inlineStr">
        <is>
          <t>BCA</t>
        </is>
      </c>
      <c r="F44" s="324" t="n">
        <v>12312312312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22" t="n"/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30" t="n">
        <v>12312312312</v>
      </c>
      <c r="W44" s="323" t="n"/>
      <c r="X44" s="323" t="n"/>
    </row>
    <row r="45" ht="15.5" customHeight="1" s="297">
      <c r="B45" s="314" t="n"/>
      <c r="C45" s="315" t="n"/>
      <c r="D45" s="331" t="inlineStr">
        <is>
          <t>Biaya Bank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46103</v>
      </c>
      <c r="C46" s="315" t="n">
        <v>3</v>
      </c>
      <c r="D46" s="327" t="inlineStr">
        <is>
          <t>21231</t>
        </is>
      </c>
      <c r="E46" s="327" t="inlineStr">
        <is>
          <t>BRI</t>
        </is>
      </c>
      <c r="F46" s="324" t="n">
        <v>111111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22" t="n"/>
      <c r="M46" s="333" t="n">
        <v>111111</v>
      </c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/>
      <c r="C47" s="315" t="n"/>
      <c r="D47" s="331" t="inlineStr">
        <is>
          <t>Gaji</t>
        </is>
      </c>
      <c r="E47" s="327" t="n"/>
      <c r="F47" s="332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>
        <v>46093</v>
      </c>
      <c r="C48" s="315" t="n">
        <v>4</v>
      </c>
      <c r="D48" s="327" t="inlineStr">
        <is>
          <t>Gaji mael</t>
        </is>
      </c>
      <c r="E48" s="327" t="inlineStr">
        <is>
          <t>Mandiri</t>
        </is>
      </c>
      <c r="F48" s="334" t="n">
        <v>234234234</v>
      </c>
      <c r="G48" s="319" t="inlineStr">
        <is>
          <t>IDR</t>
        </is>
      </c>
      <c r="H48" s="325" t="n">
        <v>1</v>
      </c>
      <c r="I48" s="320" t="n"/>
      <c r="J48" s="326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5" t="n">
        <v>46093</v>
      </c>
      <c r="C49" s="315" t="n">
        <v>5</v>
      </c>
      <c r="D49" s="327" t="inlineStr">
        <is>
          <t>gaji diofavian</t>
        </is>
      </c>
      <c r="E49" s="327" t="inlineStr">
        <is>
          <t>BRI</t>
        </is>
      </c>
      <c r="F49" s="334" t="n">
        <v>300000</v>
      </c>
      <c r="G49" s="319" t="inlineStr">
        <is>
          <t>IDR</t>
        </is>
      </c>
      <c r="H49" s="325" t="n">
        <v>1</v>
      </c>
      <c r="I49" s="326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/>
      <c r="C50" s="315" t="n"/>
      <c r="D50" s="331" t="inlineStr">
        <is>
          <t>Pembuatan Alat</t>
        </is>
      </c>
      <c r="E50" s="327" t="n"/>
      <c r="F50" s="332" t="n"/>
      <c r="G50" s="319" t="n"/>
      <c r="H50" s="319" t="n"/>
      <c r="I50" s="320" t="n"/>
      <c r="J50" s="320" t="n"/>
      <c r="K50" s="322" t="n"/>
      <c r="L50" s="336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46093</v>
      </c>
      <c r="C51" s="315" t="n">
        <v>6</v>
      </c>
      <c r="D51" s="327" t="inlineStr">
        <is>
          <t>sdasd</t>
        </is>
      </c>
      <c r="E51" s="327" t="inlineStr">
        <is>
          <t>BNI</t>
        </is>
      </c>
      <c r="F51" s="324" t="n">
        <v>50000</v>
      </c>
      <c r="G51" s="319" t="inlineStr">
        <is>
          <t>IDR</t>
        </is>
      </c>
      <c r="H51" s="325" t="n">
        <v>1</v>
      </c>
      <c r="I51" s="326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>
        <v>46093</v>
      </c>
      <c r="C52" s="315" t="n">
        <v>7</v>
      </c>
      <c r="D52" s="327" t="inlineStr">
        <is>
          <t>12</t>
        </is>
      </c>
      <c r="E52" s="327" t="inlineStr">
        <is>
          <t>BRI</t>
        </is>
      </c>
      <c r="F52" s="324" t="n">
        <v>121</v>
      </c>
      <c r="G52" s="319" t="inlineStr">
        <is>
          <t>IDR</t>
        </is>
      </c>
      <c r="H52" s="325" t="n">
        <v>1</v>
      </c>
      <c r="I52" s="326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46093</v>
      </c>
      <c r="C53" s="315" t="n">
        <v>8</v>
      </c>
      <c r="D53" s="327" t="inlineStr">
        <is>
          <t>sfdsf</t>
        </is>
      </c>
      <c r="E53" s="327" t="inlineStr">
        <is>
          <t>BRI</t>
        </is>
      </c>
      <c r="F53" s="324" t="n">
        <v>234234</v>
      </c>
      <c r="G53" s="319" t="inlineStr">
        <is>
          <t>IDR</t>
        </is>
      </c>
      <c r="H53" s="325" t="n">
        <v>1</v>
      </c>
      <c r="I53" s="333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24" t="n">
        <v>1112121</v>
      </c>
      <c r="G54" s="319" t="inlineStr">
        <is>
          <t>IDR</t>
        </is>
      </c>
      <c r="H54" s="325" t="n">
        <v>1</v>
      </c>
      <c r="I54" s="326" t="n">
        <v>1112121</v>
      </c>
      <c r="J54" s="320" t="n"/>
      <c r="K54" s="321" t="n"/>
      <c r="L54" s="336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46103</v>
      </c>
      <c r="C55" s="315" t="n">
        <v>10</v>
      </c>
      <c r="D55" s="327" t="inlineStr">
        <is>
          <t>werwerwerwer</t>
        </is>
      </c>
      <c r="E55" s="327" t="inlineStr">
        <is>
          <t>BCA</t>
        </is>
      </c>
      <c r="F55" s="324" t="n">
        <v>123123123</v>
      </c>
      <c r="G55" s="319" t="inlineStr">
        <is>
          <t>IDR</t>
        </is>
      </c>
      <c r="H55" s="325" t="n">
        <v>1</v>
      </c>
      <c r="I55" s="333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/>
      <c r="C56" s="315" t="n"/>
      <c r="D56" s="331" t="inlineStr">
        <is>
          <t>Rental Tool</t>
        </is>
      </c>
      <c r="E56" s="327" t="n"/>
      <c r="F56" s="332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6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24" t="n">
        <v>123123123112</v>
      </c>
      <c r="G57" s="319" t="inlineStr">
        <is>
          <t>IDR</t>
        </is>
      </c>
      <c r="H57" s="325" t="n">
        <v>1</v>
      </c>
      <c r="I57" s="320" t="n"/>
      <c r="J57" s="320" t="n"/>
      <c r="K57" s="333" t="n">
        <v>123123123112</v>
      </c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Sewa Ruangan</t>
        </is>
      </c>
      <c r="E58" s="327" t="n"/>
      <c r="F58" s="332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46097</v>
      </c>
      <c r="C59" s="315" t="n">
        <v>12</v>
      </c>
      <c r="D59" s="327" t="inlineStr">
        <is>
          <t>aaaaaaaaaaaaaaaa</t>
        </is>
      </c>
      <c r="E59" s="327" t="inlineStr">
        <is>
          <t>Mandiri</t>
        </is>
      </c>
      <c r="F59" s="324" t="n">
        <v>1111111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6" t="n"/>
      <c r="O59" s="333" t="n">
        <v>1111111</v>
      </c>
      <c r="P59" s="322" t="n"/>
      <c r="Q59" s="322" t="n"/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/>
      <c r="C60" s="315" t="n"/>
      <c r="D60" s="331" t="inlineStr">
        <is>
          <t>Software License</t>
        </is>
      </c>
      <c r="E60" s="327" t="n"/>
      <c r="F60" s="332" t="n"/>
      <c r="G60" s="319" t="n"/>
      <c r="H60" s="319" t="n"/>
      <c r="I60" s="320" t="n"/>
      <c r="J60" s="320" t="n"/>
      <c r="K60" s="322" t="n"/>
      <c r="L60" s="322" t="n"/>
      <c r="M60" s="322" t="n"/>
      <c r="N60" s="336" t="n"/>
      <c r="O60" s="322" t="n"/>
      <c r="P60" s="322" t="n"/>
      <c r="Q60" s="322" t="n"/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46106</v>
      </c>
      <c r="C61" s="315" t="n">
        <v>13</v>
      </c>
      <c r="D61" s="337" t="inlineStr">
        <is>
          <t>jajsj</t>
        </is>
      </c>
      <c r="E61" s="327" t="inlineStr">
        <is>
          <t>BCA</t>
        </is>
      </c>
      <c r="F61" s="324" t="n">
        <v>13131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33" t="n">
        <v>13131</v>
      </c>
      <c r="M61" s="322" t="n"/>
      <c r="N61" s="322" t="n"/>
      <c r="O61" s="322" t="n"/>
      <c r="P61" s="322" t="n"/>
      <c r="Q61" s="322" t="n"/>
      <c r="R61" s="323" t="n"/>
      <c r="S61" s="323" t="n"/>
      <c r="T61" s="323" t="n"/>
      <c r="U61" s="323" t="n"/>
      <c r="V61" s="323" t="n"/>
      <c r="W61" s="323" t="n"/>
      <c r="X61" s="323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339" t="inlineStr">
        <is>
          <t>TOTAL</t>
        </is>
      </c>
      <c r="C63" s="340" t="n"/>
      <c r="D63" s="341" t="n"/>
      <c r="E63" s="341" t="n"/>
      <c r="F63" s="342" t="n"/>
      <c r="G63" s="343" t="n"/>
      <c r="H63" s="343" t="n"/>
      <c r="I63" s="344">
        <f>SUM(I41:I62)</f>
        <v/>
      </c>
      <c r="J63" s="344">
        <f>SUM(J41:J62)</f>
        <v/>
      </c>
      <c r="K63" s="345">
        <f>SUM(K41:K62)</f>
        <v/>
      </c>
      <c r="L63" s="345">
        <f>SUM(L41:L62)</f>
        <v/>
      </c>
      <c r="M63" s="345">
        <f>SUM(M41:M62)</f>
        <v/>
      </c>
      <c r="N63" s="345">
        <f>SUM(N41:N62)</f>
        <v/>
      </c>
      <c r="O63" s="345">
        <f>SUM(O41:O62)</f>
        <v/>
      </c>
      <c r="P63" s="345">
        <f>SUM(P41:P62)</f>
        <v/>
      </c>
      <c r="Q63" s="346">
        <f>SUM(Q41:Q62)</f>
        <v/>
      </c>
      <c r="R63" s="345">
        <f>SUM(R41:R62)</f>
        <v/>
      </c>
      <c r="S63" s="345">
        <f>SUM(S41:S62)</f>
        <v/>
      </c>
      <c r="T63" s="345">
        <f>SUM(T41:T62)</f>
        <v/>
      </c>
      <c r="U63" s="345">
        <f>SUM(U41:U62)</f>
        <v/>
      </c>
      <c r="V63" s="345">
        <f>SUM(V41:V62)</f>
        <v/>
      </c>
      <c r="W63" s="345">
        <f>SUM(W41:W62)</f>
        <v/>
      </c>
      <c r="X63" s="345">
        <f>SUM(X41:X62)</f>
        <v/>
      </c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47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47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47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8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8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7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9" t="inlineStr">
        <is>
          <t>OPERATION COST AND OFFICE - Expenses Report</t>
        </is>
      </c>
      <c r="E97" s="80" t="n"/>
      <c r="F97" s="35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51" t="inlineStr">
        <is>
          <t>Expense#1</t>
        </is>
      </c>
      <c r="C98" s="85" t="inlineStr">
        <is>
          <t>:</t>
        </is>
      </c>
      <c r="D98" s="352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353" t="n"/>
      <c r="C99" s="354" t="n"/>
      <c r="D99" s="355" t="inlineStr">
        <is>
          <t>asdasda</t>
        </is>
      </c>
      <c r="E99" s="356" t="n"/>
      <c r="F99" s="357" t="n"/>
      <c r="G99" s="354" t="n"/>
      <c r="H99" s="354" t="n"/>
      <c r="I99" s="358" t="n"/>
      <c r="J99" s="358" t="n"/>
      <c r="K99" s="359" t="n"/>
      <c r="L99" s="359" t="n"/>
      <c r="M99" s="359" t="n"/>
      <c r="N99" s="359" t="n"/>
      <c r="O99" s="359" t="n"/>
      <c r="P99" s="359" t="n"/>
      <c r="Q99" s="359" t="n"/>
      <c r="R99" s="360" t="n"/>
      <c r="S99" s="360" t="n"/>
      <c r="T99" s="360" t="n"/>
      <c r="U99" s="360" t="n"/>
      <c r="V99" s="360" t="n"/>
      <c r="W99" s="360" t="n"/>
      <c r="X99" s="360" t="n"/>
    </row>
    <row r="100" ht="15.5" customHeight="1" s="297">
      <c r="A100" s="361" t="n"/>
      <c r="B100" s="362" t="n">
        <v>46100</v>
      </c>
      <c r="C100" s="363" t="n">
        <v>1</v>
      </c>
      <c r="D100" s="364" t="inlineStr">
        <is>
          <t>asdasda</t>
        </is>
      </c>
      <c r="E100" s="364" t="n"/>
      <c r="F100" s="365" t="n">
        <v>123123123</v>
      </c>
      <c r="G100" s="363" t="inlineStr">
        <is>
          <t>IDR</t>
        </is>
      </c>
      <c r="H100" s="366" t="n">
        <v>1</v>
      </c>
      <c r="I100" s="367" t="n"/>
      <c r="J100" s="368" t="n"/>
      <c r="K100" s="369" t="n"/>
      <c r="L100" s="369" t="n"/>
      <c r="M100" s="369" t="n"/>
      <c r="N100" s="369" t="n"/>
      <c r="O100" s="369" t="n"/>
      <c r="P100" s="369" t="n"/>
      <c r="Q100" s="369" t="n"/>
      <c r="R100" s="370" t="n"/>
      <c r="S100" s="370" t="n"/>
      <c r="T100" s="370" t="n"/>
      <c r="U100" s="370" t="n"/>
      <c r="V100" s="371" t="n">
        <v>123123123</v>
      </c>
      <c r="W100" s="370" t="n"/>
      <c r="X100" s="370" t="n"/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51" t="inlineStr">
        <is>
          <t>Expense#2</t>
        </is>
      </c>
      <c r="C127" s="85" t="inlineStr">
        <is>
          <t>:</t>
        </is>
      </c>
      <c r="D127" s="352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353" t="n"/>
      <c r="C128" s="354" t="n"/>
      <c r="D128" s="355" t="inlineStr">
        <is>
          <t>Biaya Bank</t>
        </is>
      </c>
      <c r="E128" s="372" t="n"/>
      <c r="F128" s="357" t="n"/>
      <c r="G128" s="354" t="n"/>
      <c r="H128" s="354" t="n"/>
      <c r="I128" s="373" t="n"/>
      <c r="J128" s="358" t="n"/>
      <c r="K128" s="359" t="n"/>
      <c r="L128" s="359" t="n"/>
      <c r="M128" s="373" t="n"/>
      <c r="N128" s="359" t="n"/>
      <c r="O128" s="359" t="n"/>
      <c r="P128" s="359" t="n"/>
      <c r="Q128" s="359" t="n"/>
      <c r="R128" s="360" t="n"/>
      <c r="S128" s="360" t="n"/>
      <c r="T128" s="360" t="n"/>
      <c r="U128" s="360" t="n"/>
      <c r="V128" s="360" t="n"/>
      <c r="W128" s="360" t="n"/>
      <c r="X128" s="360" t="n"/>
    </row>
    <row r="129" ht="15.5" customHeight="1" s="297">
      <c r="B129" s="362" t="n">
        <v>46093</v>
      </c>
      <c r="C129" s="363" t="n">
        <v>1</v>
      </c>
      <c r="D129" s="364" t="inlineStr">
        <is>
          <t>23000</t>
        </is>
      </c>
      <c r="E129" s="364" t="n"/>
      <c r="F129" s="365" t="n">
        <v>200000</v>
      </c>
      <c r="G129" s="363" t="inlineStr">
        <is>
          <t>IDR</t>
        </is>
      </c>
      <c r="H129" s="366" t="n">
        <v>1</v>
      </c>
      <c r="I129" s="367" t="n"/>
      <c r="J129" s="369" t="n"/>
      <c r="K129" s="369" t="n"/>
      <c r="L129" s="369" t="n"/>
      <c r="M129" s="374" t="n">
        <v>200000</v>
      </c>
      <c r="N129" s="369" t="n"/>
      <c r="O129" s="369" t="n"/>
      <c r="P129" s="369" t="n"/>
      <c r="Q129" s="369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A130" s="361" t="n"/>
      <c r="B130" s="353" t="n"/>
      <c r="C130" s="354" t="n"/>
      <c r="D130" s="355" t="inlineStr">
        <is>
          <t>Pembuatan Alat</t>
        </is>
      </c>
      <c r="E130" s="372" t="n"/>
      <c r="F130" s="357" t="n"/>
      <c r="G130" s="354" t="n"/>
      <c r="H130" s="354" t="n"/>
      <c r="I130" s="373" t="n"/>
      <c r="J130" s="358" t="n"/>
      <c r="K130" s="359" t="n"/>
      <c r="L130" s="359" t="n"/>
      <c r="M130" s="373" t="n"/>
      <c r="N130" s="359" t="n"/>
      <c r="O130" s="359" t="n"/>
      <c r="P130" s="359" t="n"/>
      <c r="Q130" s="359" t="n"/>
      <c r="R130" s="360" t="n"/>
      <c r="S130" s="360" t="n"/>
      <c r="T130" s="360" t="n"/>
      <c r="U130" s="360" t="n"/>
      <c r="V130" s="360" t="n"/>
      <c r="W130" s="360" t="n"/>
      <c r="X130" s="360" t="n"/>
    </row>
    <row r="131" ht="15.5" customHeight="1" s="297">
      <c r="A131" s="361" t="n"/>
      <c r="B131" s="362" t="n">
        <v>46093</v>
      </c>
      <c r="C131" s="363" t="n">
        <v>2</v>
      </c>
      <c r="D131" s="364" t="inlineStr">
        <is>
          <t>123123</t>
        </is>
      </c>
      <c r="E131" s="364" t="n"/>
      <c r="F131" s="365" t="n">
        <v>544000</v>
      </c>
      <c r="G131" s="363" t="inlineStr">
        <is>
          <t>USD</t>
        </is>
      </c>
      <c r="H131" s="366" t="n">
        <v>16000</v>
      </c>
      <c r="I131" s="375" t="n">
        <v>544000</v>
      </c>
      <c r="J131" s="369" t="n"/>
      <c r="K131" s="369" t="n"/>
      <c r="L131" s="369" t="n"/>
      <c r="M131" s="374" t="n"/>
      <c r="N131" s="369" t="n"/>
      <c r="O131" s="369" t="n"/>
      <c r="P131" s="369" t="n"/>
      <c r="Q131" s="369" t="n"/>
      <c r="R131" s="370" t="n"/>
      <c r="S131" s="370" t="n"/>
      <c r="T131" s="370" t="n"/>
      <c r="U131" s="370" t="n"/>
      <c r="V131" s="370" t="n"/>
      <c r="W131" s="370" t="n"/>
      <c r="X131" s="370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51" t="inlineStr">
        <is>
          <t>Expense#3</t>
        </is>
      </c>
      <c r="C145" s="85" t="inlineStr">
        <is>
          <t>:</t>
        </is>
      </c>
      <c r="D145" s="352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376" t="n"/>
      <c r="C146" s="354" t="n"/>
      <c r="D146" s="355" t="inlineStr">
        <is>
          <t>Hand Tools</t>
        </is>
      </c>
      <c r="E146" s="372" t="n"/>
      <c r="F146" s="357" t="n"/>
      <c r="G146" s="354" t="n"/>
      <c r="H146" s="354" t="n"/>
      <c r="I146" s="358" t="n"/>
      <c r="J146" s="358" t="n"/>
      <c r="K146" s="359" t="n"/>
      <c r="L146" s="359" t="n"/>
      <c r="M146" s="373" t="n"/>
      <c r="N146" s="359" t="n"/>
      <c r="O146" s="359" t="n"/>
      <c r="P146" s="359" t="n"/>
      <c r="Q146" s="359" t="n"/>
      <c r="R146" s="360" t="n"/>
      <c r="S146" s="360" t="n"/>
      <c r="T146" s="360" t="n"/>
      <c r="U146" s="360" t="n"/>
      <c r="V146" s="360" t="n"/>
      <c r="W146" s="360" t="n"/>
      <c r="X146" s="360" t="n"/>
    </row>
    <row r="147" ht="15.5" customHeight="1" s="297">
      <c r="B147" s="362" t="n">
        <v>46099</v>
      </c>
      <c r="C147" s="363" t="n">
        <v>1</v>
      </c>
      <c r="D147" s="364" t="inlineStr">
        <is>
          <t>asdasd11</t>
        </is>
      </c>
      <c r="E147" s="364" t="n"/>
      <c r="F147" s="365" t="n">
        <v>1231231</v>
      </c>
      <c r="G147" s="363" t="inlineStr">
        <is>
          <t>IDR</t>
        </is>
      </c>
      <c r="H147" s="366" t="n">
        <v>1</v>
      </c>
      <c r="I147" s="367" t="n"/>
      <c r="J147" s="368" t="n"/>
      <c r="K147" s="369" t="n"/>
      <c r="L147" s="369" t="n"/>
      <c r="M147" s="367" t="n"/>
      <c r="N147" s="374" t="n">
        <v>1231231</v>
      </c>
      <c r="O147" s="369" t="n"/>
      <c r="P147" s="369" t="n"/>
      <c r="Q147" s="369" t="n"/>
      <c r="R147" s="370" t="n"/>
      <c r="S147" s="370" t="n"/>
      <c r="T147" s="370" t="n"/>
      <c r="U147" s="370" t="n"/>
      <c r="V147" s="370" t="n"/>
      <c r="W147" s="370" t="n"/>
      <c r="X147" s="370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51" t="inlineStr">
        <is>
          <t>Expense#4</t>
        </is>
      </c>
      <c r="C155" s="85" t="inlineStr">
        <is>
          <t>:</t>
        </is>
      </c>
      <c r="D155" s="352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376" t="n"/>
      <c r="C156" s="354" t="n"/>
      <c r="D156" s="377" t="inlineStr">
        <is>
          <t>nanas</t>
        </is>
      </c>
      <c r="E156" s="378" t="n"/>
      <c r="F156" s="357" t="n"/>
      <c r="G156" s="354" t="n"/>
      <c r="H156" s="354" t="n"/>
      <c r="I156" s="358" t="n"/>
      <c r="J156" s="358" t="n"/>
      <c r="K156" s="359" t="n"/>
      <c r="L156" s="359" t="n"/>
      <c r="M156" s="373" t="n"/>
      <c r="N156" s="358" t="n"/>
      <c r="O156" s="359" t="n"/>
      <c r="P156" s="359" t="n"/>
      <c r="Q156" s="359" t="n"/>
      <c r="R156" s="360" t="n"/>
      <c r="S156" s="360" t="n"/>
      <c r="T156" s="360" t="n"/>
      <c r="U156" s="360" t="n"/>
      <c r="V156" s="360" t="n"/>
      <c r="W156" s="360" t="n"/>
      <c r="X156" s="360" t="n"/>
    </row>
    <row r="157" ht="15.5" customHeight="1" s="297">
      <c r="A157" s="361" t="n"/>
      <c r="B157" s="376" t="n">
        <v>46093</v>
      </c>
      <c r="C157" s="354" t="n">
        <v>1</v>
      </c>
      <c r="D157" s="377" t="inlineStr">
        <is>
          <t>12312</t>
        </is>
      </c>
      <c r="E157" s="378" t="n"/>
      <c r="F157" s="379" t="n">
        <v>123123</v>
      </c>
      <c r="G157" s="354" t="inlineStr">
        <is>
          <t>IDR</t>
        </is>
      </c>
      <c r="H157" s="380" t="n">
        <v>1</v>
      </c>
      <c r="I157" s="381" t="n">
        <v>123123</v>
      </c>
      <c r="J157" s="358" t="n"/>
      <c r="K157" s="359" t="n"/>
      <c r="L157" s="359" t="n"/>
      <c r="M157" s="373" t="n"/>
      <c r="N157" s="358" t="n"/>
      <c r="O157" s="359" t="n"/>
      <c r="P157" s="359" t="n"/>
      <c r="Q157" s="359" t="n"/>
      <c r="R157" s="370" t="n"/>
      <c r="S157" s="370" t="n"/>
      <c r="T157" s="370" t="n"/>
      <c r="U157" s="370" t="n"/>
      <c r="V157" s="370" t="n"/>
      <c r="W157" s="370" t="n"/>
      <c r="X157" s="370" t="n"/>
    </row>
    <row r="158" ht="15.5" customHeight="1" s="297">
      <c r="B158" s="376" t="n"/>
      <c r="C158" s="354" t="n"/>
      <c r="D158" s="377" t="inlineStr">
        <is>
          <t>Pembuatan Alat</t>
        </is>
      </c>
      <c r="E158" s="378" t="n"/>
      <c r="F158" s="357" t="n"/>
      <c r="G158" s="354" t="n"/>
      <c r="H158" s="354" t="n"/>
      <c r="I158" s="358" t="n"/>
      <c r="J158" s="358" t="n"/>
      <c r="K158" s="359" t="n"/>
      <c r="L158" s="359" t="n"/>
      <c r="M158" s="373" t="n"/>
      <c r="N158" s="358" t="n"/>
      <c r="O158" s="359" t="n"/>
      <c r="P158" s="359" t="n"/>
      <c r="Q158" s="359" t="n"/>
      <c r="R158" s="360" t="n"/>
      <c r="S158" s="360" t="n"/>
      <c r="T158" s="360" t="n"/>
      <c r="U158" s="360" t="n"/>
      <c r="V158" s="360" t="n"/>
      <c r="W158" s="360" t="n"/>
      <c r="X158" s="360" t="n"/>
    </row>
    <row r="159" ht="15.5" customHeight="1" s="297">
      <c r="A159" s="361" t="n"/>
      <c r="B159" s="376" t="n">
        <v>46093</v>
      </c>
      <c r="C159" s="354" t="n">
        <v>2</v>
      </c>
      <c r="D159" s="377" t="inlineStr">
        <is>
          <t>123123</t>
        </is>
      </c>
      <c r="E159" s="378" t="n"/>
      <c r="F159" s="379" t="n">
        <v>12312312</v>
      </c>
      <c r="G159" s="354" t="inlineStr">
        <is>
          <t>IDR</t>
        </is>
      </c>
      <c r="H159" s="380" t="n">
        <v>1</v>
      </c>
      <c r="I159" s="381" t="n">
        <v>12312312</v>
      </c>
      <c r="J159" s="358" t="n"/>
      <c r="K159" s="359" t="n"/>
      <c r="L159" s="359" t="n"/>
      <c r="M159" s="373" t="n"/>
      <c r="N159" s="358" t="n"/>
      <c r="O159" s="359" t="n"/>
      <c r="P159" s="359" t="n"/>
      <c r="Q159" s="359" t="n"/>
      <c r="R159" s="370" t="n"/>
      <c r="S159" s="370" t="n"/>
      <c r="T159" s="370" t="n"/>
      <c r="U159" s="370" t="n"/>
      <c r="V159" s="370" t="n"/>
      <c r="W159" s="370" t="n"/>
      <c r="X159" s="370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51" t="inlineStr">
        <is>
          <t>Expense#5</t>
        </is>
      </c>
      <c r="C164" s="85" t="inlineStr">
        <is>
          <t>:</t>
        </is>
      </c>
      <c r="D164" s="352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376" t="n"/>
      <c r="C165" s="354" t="n"/>
      <c r="D165" s="382" t="inlineStr">
        <is>
          <t>pepaya</t>
        </is>
      </c>
      <c r="E165" s="378" t="n"/>
      <c r="F165" s="383" t="n"/>
      <c r="G165" s="354" t="n"/>
      <c r="H165" s="354" t="n"/>
      <c r="I165" s="358" t="n"/>
      <c r="J165" s="358" t="n"/>
      <c r="K165" s="359" t="n"/>
      <c r="L165" s="359" t="n"/>
      <c r="M165" s="359" t="n"/>
      <c r="N165" s="359" t="n"/>
      <c r="O165" s="359" t="n"/>
      <c r="P165" s="358" t="n"/>
      <c r="Q165" s="359" t="n"/>
      <c r="R165" s="360" t="n"/>
      <c r="S165" s="360" t="n"/>
      <c r="T165" s="360" t="n"/>
      <c r="U165" s="360" t="n"/>
      <c r="V165" s="360" t="n"/>
      <c r="W165" s="360" t="n"/>
      <c r="X165" s="360" t="n"/>
    </row>
    <row r="166" ht="15.5" customHeight="1" s="297">
      <c r="B166" s="351" t="inlineStr">
        <is>
          <t>Expense#6</t>
        </is>
      </c>
      <c r="C166" s="85" t="inlineStr">
        <is>
          <t>:</t>
        </is>
      </c>
      <c r="D166" s="352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376" t="n"/>
      <c r="C167" s="354" t="n"/>
      <c r="D167" s="355" t="inlineStr">
        <is>
          <t>Rental Tool</t>
        </is>
      </c>
      <c r="E167" s="372" t="n"/>
      <c r="F167" s="357" t="n"/>
      <c r="G167" s="354" t="n"/>
      <c r="H167" s="354" t="n"/>
      <c r="I167" s="358" t="n"/>
      <c r="J167" s="358" t="n"/>
      <c r="K167" s="359" t="n"/>
      <c r="L167" s="359" t="n"/>
      <c r="M167" s="358" t="n"/>
      <c r="N167" s="359" t="n"/>
      <c r="O167" s="359" t="n"/>
      <c r="P167" s="359" t="n"/>
      <c r="Q167" s="359" t="n"/>
      <c r="R167" s="360" t="n"/>
      <c r="S167" s="360" t="n"/>
      <c r="T167" s="360" t="n"/>
      <c r="U167" s="360" t="n"/>
      <c r="V167" s="360" t="n"/>
      <c r="W167" s="360" t="n"/>
      <c r="X167" s="360" t="n"/>
    </row>
    <row r="168" ht="15.5" customHeight="1" s="297">
      <c r="B168" s="362" t="n">
        <v>46093</v>
      </c>
      <c r="C168" s="363" t="n">
        <v>1</v>
      </c>
      <c r="D168" s="364" t="inlineStr">
        <is>
          <t>blejar party</t>
        </is>
      </c>
      <c r="E168" s="364" t="n"/>
      <c r="F168" s="365" t="n">
        <v>12312312</v>
      </c>
      <c r="G168" s="363" t="inlineStr">
        <is>
          <t>IDR</t>
        </is>
      </c>
      <c r="H168" s="366" t="n">
        <v>1</v>
      </c>
      <c r="I168" s="367" t="n"/>
      <c r="J168" s="368" t="n"/>
      <c r="K168" s="374" t="n">
        <v>12312312</v>
      </c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8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8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8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8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8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8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8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8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8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8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8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8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8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8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8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7" t="n">
        <v>45071</v>
      </c>
      <c r="C638" s="141" t="n"/>
      <c r="D638" s="145" t="inlineStr">
        <is>
          <t>Materai 15 pcs</t>
        </is>
      </c>
      <c r="E638" s="145" t="n"/>
      <c r="F638" s="38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7" t="n">
        <v>45085</v>
      </c>
      <c r="C639" s="141" t="n"/>
      <c r="D639" s="145" t="inlineStr">
        <is>
          <t>Plastic folder 3 pcs</t>
        </is>
      </c>
      <c r="E639" s="145" t="n"/>
      <c r="F639" s="38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90" t="n"/>
      <c r="K741" s="390" t="n"/>
      <c r="L741" s="390" t="n"/>
      <c r="M741" s="390" t="n"/>
      <c r="N741" s="390" t="n"/>
      <c r="O741" s="39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91" t="n"/>
      <c r="K742" s="391" t="n"/>
      <c r="L742" s="390" t="n"/>
      <c r="M742" s="391" t="n"/>
      <c r="N742" s="391" t="n"/>
      <c r="O742" s="39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91" t="n"/>
      <c r="K743" s="391" t="n"/>
      <c r="L743" s="390" t="n"/>
      <c r="M743" s="391" t="n"/>
      <c r="N743" s="391" t="n"/>
      <c r="O743" s="39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91" t="n"/>
      <c r="K744" s="391" t="n"/>
      <c r="L744" s="390" t="n"/>
      <c r="M744" s="391" t="n"/>
      <c r="N744" s="391" t="n"/>
      <c r="O744" s="39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91" t="n"/>
      <c r="K745" s="391" t="n"/>
      <c r="L745" s="390" t="n"/>
      <c r="M745" s="391" t="n"/>
      <c r="N745" s="391" t="n"/>
      <c r="O745" s="39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91" t="n"/>
      <c r="K746" s="391" t="n"/>
      <c r="L746" s="390" t="n"/>
      <c r="M746" s="391" t="n"/>
      <c r="N746" s="391" t="n"/>
      <c r="O746" s="39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91" t="n"/>
      <c r="K747" s="391" t="n"/>
      <c r="L747" s="390" t="n"/>
      <c r="M747" s="391" t="n"/>
      <c r="N747" s="391" t="n"/>
      <c r="O747" s="39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91" t="n"/>
      <c r="K748" s="391" t="n"/>
      <c r="L748" s="390" t="n"/>
      <c r="M748" s="391" t="n"/>
      <c r="N748" s="391" t="n"/>
      <c r="O748" s="39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91" t="n"/>
      <c r="K749" s="391" t="n"/>
      <c r="L749" s="391" t="n"/>
      <c r="M749" s="391" t="n"/>
      <c r="N749" s="391" t="n"/>
      <c r="O749" s="39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2" t="n"/>
      <c r="B1" s="392" t="n"/>
      <c r="C1" s="392" t="n"/>
      <c r="D1" s="392" t="n"/>
      <c r="E1" s="393" t="n"/>
    </row>
    <row r="2" ht="37.25" customHeight="1" s="297">
      <c r="A2" s="392" t="n"/>
      <c r="B2" s="392" t="n"/>
      <c r="C2" s="392" t="n"/>
      <c r="D2" s="392" t="n"/>
      <c r="E2" s="393" t="n"/>
    </row>
    <row r="3" ht="33.65" customHeight="1" s="297">
      <c r="A3" s="392" t="n"/>
      <c r="B3" s="394" t="inlineStr">
        <is>
          <t>PT. EXSPAN WIRELINE INDONESIA</t>
        </is>
      </c>
      <c r="F3" s="395" t="n"/>
      <c r="G3" s="396" t="inlineStr">
        <is>
          <t>PT. EXSPAN WIRELINE INDONESIA</t>
        </is>
      </c>
      <c r="H3" s="396" t="n"/>
      <c r="I3" s="396" t="n"/>
      <c r="J3" s="396" t="n"/>
    </row>
    <row r="4" ht="20.5" customHeight="1" s="297">
      <c r="A4" s="392" t="n"/>
      <c r="B4" s="397" t="inlineStr">
        <is>
          <t>LABA RUGI | TAHUN 2026</t>
        </is>
      </c>
      <c r="F4" s="395" t="n"/>
      <c r="G4" s="398" t="inlineStr">
        <is>
          <t>NERACA | TAHUN YANG BERAKHIR, 31 DESEMBER 2026</t>
        </is>
      </c>
      <c r="H4" s="398" t="n"/>
      <c r="I4" s="398" t="n"/>
      <c r="J4" s="398" t="n"/>
      <c r="K4" s="399" t="inlineStr">
        <is>
          <t>CATATAN KEAMANAN</t>
        </is>
      </c>
    </row>
    <row r="5" ht="6" customHeight="1" s="297">
      <c r="A5" s="392" t="n"/>
      <c r="B5" s="392" t="n"/>
      <c r="C5" s="392" t="n"/>
      <c r="D5" s="392" t="n"/>
      <c r="E5" s="393" t="n"/>
      <c r="F5" s="395" t="n"/>
      <c r="G5" s="395" t="n"/>
      <c r="H5" s="400" t="n"/>
      <c r="I5" s="400" t="n"/>
      <c r="J5" s="400" t="n"/>
      <c r="K5" t="inlineStr">
        <is>
          <t>Kolom ini aman dari overwrite sistem.</t>
        </is>
      </c>
    </row>
    <row r="6" ht="15.5" customHeight="1" s="297">
      <c r="A6" s="392" t="n"/>
      <c r="B6" s="401" t="n"/>
      <c r="C6" s="402" t="n"/>
      <c r="D6" s="403" t="inlineStr">
        <is>
          <t>PT. Exspan Wireline Indonesia</t>
        </is>
      </c>
      <c r="E6" s="289" t="n"/>
      <c r="F6" s="395" t="n"/>
      <c r="G6" s="404" t="n"/>
      <c r="H6" s="405" t="n"/>
      <c r="I6" s="403" t="inlineStr">
        <is>
          <t>PT. Exspan Wireline Indonesia</t>
        </is>
      </c>
      <c r="J6" s="289" t="n"/>
      <c r="K6" t="inlineStr">
        <is>
          <t>Diverifikasi pada: 2026-03-29 15:47</t>
        </is>
      </c>
    </row>
    <row r="7" ht="15.5" customHeight="1" s="297">
      <c r="A7" s="392" t="n"/>
      <c r="B7" s="406" t="n"/>
      <c r="C7" s="407" t="n"/>
      <c r="D7" s="408" t="inlineStr">
        <is>
          <t>(Rp)</t>
        </is>
      </c>
      <c r="E7" s="290" t="n"/>
      <c r="F7" s="395" t="n"/>
      <c r="G7" s="409" t="n"/>
      <c r="H7" s="410" t="n"/>
      <c r="I7" s="408" t="inlineStr">
        <is>
          <t>(Rp)</t>
        </is>
      </c>
      <c r="J7" s="290" t="n"/>
    </row>
    <row r="8">
      <c r="A8" s="392" t="n"/>
      <c r="B8" s="411" t="inlineStr">
        <is>
          <t>PENDAPATAN</t>
        </is>
      </c>
      <c r="C8" s="412" t="n"/>
      <c r="D8" s="413" t="n"/>
      <c r="E8" s="414" t="n"/>
      <c r="F8" s="395" t="n"/>
      <c r="G8" s="415" t="inlineStr">
        <is>
          <t>AKTIVA</t>
        </is>
      </c>
      <c r="H8" s="416" t="n"/>
      <c r="I8" s="417" t="n"/>
      <c r="J8" s="418" t="n"/>
    </row>
    <row r="9">
      <c r="A9" s="392" t="n"/>
      <c r="B9" s="419" t="n"/>
      <c r="C9" s="412" t="inlineStr">
        <is>
          <t>PENDAPATAN LANGSUNG</t>
        </is>
      </c>
      <c r="D9" s="419" t="inlineStr">
        <is>
          <t>Rp</t>
        </is>
      </c>
      <c r="E9" s="420">
        <f>SUM('Revenue-Cost_2026'!F8:F20)</f>
        <v/>
      </c>
      <c r="F9" s="395" t="n"/>
      <c r="G9" s="421" t="inlineStr">
        <is>
          <t>AKTIVA LANCAR</t>
        </is>
      </c>
      <c r="H9" s="422" t="n"/>
      <c r="I9" s="421" t="n"/>
      <c r="J9" s="423" t="n"/>
    </row>
    <row r="10">
      <c r="A10" s="392" t="n"/>
      <c r="B10" s="419" t="n"/>
      <c r="C10" s="412" t="inlineStr">
        <is>
          <t>PENDAPATAN LAIN LAIN</t>
        </is>
      </c>
      <c r="D10" s="419" t="inlineStr">
        <is>
          <t>Rp</t>
        </is>
      </c>
      <c r="E10" s="420">
        <f>SUM('Revenue-Cost_2026'!F21)</f>
        <v/>
      </c>
      <c r="F10" s="395" t="n"/>
      <c r="G10" s="424" t="n"/>
      <c r="H10" s="425" t="inlineStr">
        <is>
          <t>KAS DAN SETARA KAS TAHUN SEBELUMNYA</t>
        </is>
      </c>
      <c r="I10" s="419" t="inlineStr">
        <is>
          <t>Rp</t>
        </is>
      </c>
      <c r="J10" s="426" t="n">
        <v>0</v>
      </c>
    </row>
    <row r="11">
      <c r="A11" s="392" t="n"/>
      <c r="B11" s="419" t="n"/>
      <c r="C11" s="412" t="n"/>
      <c r="D11" s="427" t="n"/>
      <c r="E11" s="428" t="n"/>
      <c r="F11" s="395" t="n"/>
      <c r="G11" s="424" t="n"/>
      <c r="H11" s="425" t="inlineStr">
        <is>
          <t>KAS DAN SETARA KAS TAHUN LAPORAN</t>
        </is>
      </c>
      <c r="I11" s="419" t="inlineStr">
        <is>
          <t>Rp</t>
        </is>
      </c>
      <c r="J11" s="426">
        <f>E46-'Business Summary'!E13</f>
        <v/>
      </c>
    </row>
    <row r="12">
      <c r="A12" s="392" t="n"/>
      <c r="B12" s="429" t="inlineStr">
        <is>
          <t>TOTALPENDAPATAN</t>
        </is>
      </c>
      <c r="C12" s="430" t="n"/>
      <c r="D12" s="431" t="inlineStr">
        <is>
          <t>Rp</t>
        </is>
      </c>
      <c r="E12" s="432">
        <f>SUM(E9:E11)</f>
        <v/>
      </c>
      <c r="F12" s="395" t="n"/>
      <c r="G12" s="424" t="n"/>
      <c r="H12" s="425" t="inlineStr">
        <is>
          <t>PIUTANG USAHA</t>
        </is>
      </c>
      <c r="I12" s="419" t="inlineStr">
        <is>
          <t>Rp</t>
        </is>
      </c>
      <c r="J12" s="426" t="n">
        <v>0</v>
      </c>
    </row>
    <row r="13">
      <c r="A13" s="392" t="n"/>
      <c r="B13" s="419" t="n"/>
      <c r="C13" s="412" t="n"/>
      <c r="D13" s="413" t="n"/>
      <c r="E13" s="433" t="n"/>
      <c r="F13" s="395" t="n"/>
      <c r="G13" s="424" t="n"/>
      <c r="H13" s="425" t="inlineStr">
        <is>
          <t>PAJAK BAYAR DI MUKA (pph23)</t>
        </is>
      </c>
      <c r="I13" s="419" t="inlineStr">
        <is>
          <t>Rp</t>
        </is>
      </c>
      <c r="J13" s="426" t="n">
        <v>0</v>
      </c>
    </row>
    <row r="14">
      <c r="A14" s="392" t="n"/>
      <c r="B14" s="434" t="inlineStr">
        <is>
          <t>BEBAN LANGSUNG</t>
        </is>
      </c>
      <c r="C14" s="412" t="n"/>
      <c r="D14" s="419" t="n"/>
      <c r="E14" s="435" t="n"/>
      <c r="F14" s="395" t="n"/>
      <c r="G14" s="424" t="n"/>
      <c r="H14" s="425" t="inlineStr">
        <is>
          <t>BIAYA BAYAR DI MUKA</t>
        </is>
      </c>
      <c r="I14" s="419" t="inlineStr">
        <is>
          <t>Rp</t>
        </is>
      </c>
      <c r="J14" s="426" t="n">
        <v>0</v>
      </c>
    </row>
    <row r="15">
      <c r="A15" s="392" t="n"/>
      <c r="B15" s="436" t="n"/>
      <c r="C15" s="412" t="inlineStr">
        <is>
          <t xml:space="preserve">Biaya Operasi </t>
        </is>
      </c>
      <c r="D15" s="419" t="inlineStr">
        <is>
          <t>Rp</t>
        </is>
      </c>
      <c r="E15" s="435">
        <f>'Revenue-Cost_2026'!I750</f>
        <v/>
      </c>
      <c r="F15" s="395" t="n"/>
      <c r="G15" s="437" t="n"/>
      <c r="H15" s="425" t="inlineStr">
        <is>
          <t>PIUTANG LAIN LAIN</t>
        </is>
      </c>
      <c r="I15" s="419" t="inlineStr">
        <is>
          <t>Rp</t>
        </is>
      </c>
      <c r="J15" s="426" t="n">
        <v>0</v>
      </c>
    </row>
    <row r="16">
      <c r="A16" s="392" t="n"/>
      <c r="B16" s="436" t="n"/>
      <c r="C16" s="412" t="inlineStr">
        <is>
          <t>Biaya research (R &amp; D)</t>
        </is>
      </c>
      <c r="D16" s="419" t="inlineStr">
        <is>
          <t>Rp</t>
        </is>
      </c>
      <c r="E16" s="435">
        <f>'Revenue-Cost_2026'!J750</f>
        <v/>
      </c>
      <c r="F16" s="395" t="n"/>
      <c r="G16" s="438" t="n"/>
      <c r="H16" s="439" t="inlineStr">
        <is>
          <t>TOTAL AKTIVA LANCAR</t>
        </is>
      </c>
      <c r="I16" s="431" t="inlineStr">
        <is>
          <t>Rp</t>
        </is>
      </c>
      <c r="J16" s="440">
        <f>SUM(J10:J15)</f>
        <v/>
      </c>
    </row>
    <row r="17">
      <c r="A17" s="392" t="n"/>
      <c r="B17" s="436" t="n"/>
      <c r="C17" s="412" t="inlineStr">
        <is>
          <t>BIAYA SEWA PERALATAN</t>
        </is>
      </c>
      <c r="D17" s="419" t="inlineStr">
        <is>
          <t>Rp</t>
        </is>
      </c>
      <c r="E17" s="435">
        <f>'Revenue-Cost_2026'!K750</f>
        <v/>
      </c>
      <c r="F17" s="395" t="n"/>
      <c r="G17" s="424" t="n"/>
      <c r="H17" s="425" t="n"/>
      <c r="I17" s="441" t="n"/>
      <c r="J17" s="442" t="n"/>
    </row>
    <row r="18">
      <c r="A18" s="392" t="n"/>
      <c r="B18" s="436" t="n"/>
      <c r="C18" s="412" t="inlineStr">
        <is>
          <t>BIAYA Data Processing</t>
        </is>
      </c>
      <c r="D18" s="419" t="inlineStr">
        <is>
          <t>Rp</t>
        </is>
      </c>
      <c r="E18" s="435">
        <f>'Revenue-Cost_2026'!L750</f>
        <v/>
      </c>
      <c r="F18" s="395" t="n"/>
      <c r="G18" s="421" t="inlineStr">
        <is>
          <t>ACTIVA TETAP</t>
        </is>
      </c>
      <c r="H18" s="443" t="n"/>
      <c r="I18" s="415" t="n"/>
      <c r="J18" s="426" t="n"/>
    </row>
    <row r="19">
      <c r="A19" s="392" t="n"/>
      <c r="B19" s="436" t="n"/>
      <c r="C19" s="412" t="n"/>
      <c r="D19" s="419" t="n"/>
      <c r="E19" s="435" t="n"/>
      <c r="F19" s="395" t="n"/>
      <c r="G19" s="421" t="n"/>
      <c r="H19" s="443" t="n"/>
      <c r="I19" s="415" t="n"/>
      <c r="J19" s="426" t="n"/>
    </row>
    <row r="20">
      <c r="A20" s="392" t="n"/>
      <c r="B20" s="436" t="n"/>
      <c r="C20" s="412" t="n"/>
      <c r="D20" s="427" t="n"/>
      <c r="E20" s="444" t="n"/>
      <c r="F20" s="395" t="n"/>
      <c r="G20" s="424" t="n"/>
      <c r="H20" s="425" t="inlineStr">
        <is>
          <t>INVENTARIS KANTOR</t>
        </is>
      </c>
      <c r="I20" s="419" t="inlineStr">
        <is>
          <t>Rp</t>
        </is>
      </c>
      <c r="J20" s="426" t="n">
        <v>0</v>
      </c>
    </row>
    <row r="21">
      <c r="A21" s="392" t="n"/>
      <c r="B21" s="429" t="inlineStr">
        <is>
          <t>TOTAL BIAYA LANGSUNG</t>
        </is>
      </c>
      <c r="C21" s="430" t="n"/>
      <c r="D21" s="431" t="inlineStr">
        <is>
          <t>Rp</t>
        </is>
      </c>
      <c r="E21" s="445">
        <f>SUM(E15:E20)</f>
        <v/>
      </c>
      <c r="F21" s="395" t="n"/>
      <c r="G21" s="424" t="n"/>
      <c r="H21" s="443" t="n"/>
      <c r="I21" s="446" t="n"/>
      <c r="J21" s="447" t="n"/>
    </row>
    <row r="22">
      <c r="A22" s="392" t="n"/>
      <c r="B22" s="419" t="n"/>
      <c r="C22" s="412" t="n"/>
      <c r="D22" s="413" t="n"/>
      <c r="E22" s="448" t="n"/>
      <c r="F22" s="395" t="n"/>
      <c r="G22" s="438" t="n"/>
      <c r="H22" s="439" t="inlineStr">
        <is>
          <t>TOTAL AKTIVA TETAP</t>
        </is>
      </c>
      <c r="I22" s="431" t="inlineStr">
        <is>
          <t>Rp</t>
        </is>
      </c>
      <c r="J22" s="440">
        <f>J20</f>
        <v/>
      </c>
    </row>
    <row r="23">
      <c r="A23" s="392" t="n"/>
      <c r="B23" s="434" t="inlineStr">
        <is>
          <t>BEBAN TIDAK LANGSUNG</t>
        </is>
      </c>
      <c r="C23" s="412" t="n"/>
      <c r="D23" s="419" t="n"/>
      <c r="E23" s="435">
        <f>'Revenue-Cost_2026'!Q750</f>
        <v/>
      </c>
      <c r="F23" s="395" t="n"/>
      <c r="G23" s="424" t="n"/>
      <c r="H23" s="425" t="n"/>
      <c r="I23" s="441" t="n"/>
      <c r="J23" s="418" t="n"/>
    </row>
    <row r="24">
      <c r="A24" s="392" t="n"/>
      <c r="B24" s="419" t="n"/>
      <c r="C24" s="412" t="n"/>
      <c r="D24" s="419" t="n"/>
      <c r="E24" s="435" t="n"/>
      <c r="F24" s="395" t="n"/>
      <c r="G24" s="421" t="inlineStr">
        <is>
          <t>ACTIVA LAIN LAIN</t>
        </is>
      </c>
      <c r="H24" s="443" t="n"/>
      <c r="I24" s="415" t="n"/>
      <c r="J24" s="426" t="n">
        <v>0</v>
      </c>
    </row>
    <row r="25">
      <c r="A25" s="392" t="n"/>
      <c r="B25" s="419" t="n"/>
      <c r="C25" s="412" t="n"/>
      <c r="D25" s="419" t="inlineStr">
        <is>
          <t>Rp</t>
        </is>
      </c>
      <c r="E25" s="435" t="n"/>
      <c r="F25" s="395" t="n"/>
      <c r="G25" s="424" t="n"/>
      <c r="H25" s="425" t="n"/>
      <c r="I25" s="449" t="n"/>
      <c r="J25" s="450" t="n">
        <v>0</v>
      </c>
    </row>
    <row r="26">
      <c r="A26" s="392" t="n"/>
      <c r="B26" s="419" t="n"/>
      <c r="C26" s="412" t="n"/>
      <c r="D26" s="427" t="n"/>
      <c r="E26" s="444" t="n"/>
      <c r="F26" s="395" t="n"/>
      <c r="G26" s="438" t="n"/>
      <c r="H26" s="439" t="inlineStr">
        <is>
          <t>TOTAL AKTIVA LAIN LAIN</t>
        </is>
      </c>
      <c r="I26" s="431" t="inlineStr">
        <is>
          <t>Rp</t>
        </is>
      </c>
      <c r="J26" s="440">
        <f>SUM(J25:J25)</f>
        <v/>
      </c>
    </row>
    <row r="27">
      <c r="A27" s="392" t="n"/>
      <c r="B27" s="429" t="inlineStr">
        <is>
          <t>TOTAL BIAYA TIDAK LANGSUNG</t>
        </is>
      </c>
      <c r="C27" s="430" t="n"/>
      <c r="D27" s="431" t="inlineStr">
        <is>
          <t>Rp</t>
        </is>
      </c>
      <c r="E27" s="445">
        <f>SUM(E22:E26)</f>
        <v/>
      </c>
      <c r="F27" s="395" t="n"/>
      <c r="G27" s="424" t="n"/>
      <c r="H27" s="425" t="n"/>
      <c r="I27" s="451" t="n"/>
      <c r="J27" s="452" t="n"/>
    </row>
    <row r="28">
      <c r="A28" s="392" t="n"/>
      <c r="B28" s="419" t="n"/>
      <c r="C28" s="412" t="n"/>
      <c r="D28" s="413" t="n"/>
      <c r="E28" s="448" t="n"/>
      <c r="F28" s="395" t="n"/>
      <c r="G28" s="429" t="inlineStr">
        <is>
          <t>TOTAL AKTIVA</t>
        </is>
      </c>
      <c r="H28" s="430" t="n"/>
      <c r="I28" s="431" t="inlineStr">
        <is>
          <t>Rp</t>
        </is>
      </c>
      <c r="J28" s="453">
        <f>J26+J22+J16</f>
        <v/>
      </c>
    </row>
    <row r="29">
      <c r="A29" s="392" t="n"/>
      <c r="B29" s="434" t="inlineStr">
        <is>
          <t>BIAYA ADMINISTRASI DAN UMUM</t>
        </is>
      </c>
      <c r="C29" s="412" t="n"/>
      <c r="D29" s="419" t="n"/>
      <c r="E29" s="435" t="n"/>
      <c r="F29" s="395" t="n"/>
      <c r="G29" s="454" t="n"/>
      <c r="H29" s="455" t="n"/>
      <c r="I29" s="454" t="n"/>
      <c r="J29" s="442" t="n"/>
    </row>
    <row r="30">
      <c r="A30" s="392" t="n"/>
      <c r="B30" s="436" t="n"/>
      <c r="C30" s="412" t="inlineStr">
        <is>
          <t>BIAYA ADMINISTRASI</t>
        </is>
      </c>
      <c r="D30" s="419" t="inlineStr">
        <is>
          <t>Rp</t>
        </is>
      </c>
      <c r="E30" s="435">
        <f>'Revenue-Cost_2026'!M750</f>
        <v/>
      </c>
      <c r="F30" s="395" t="n"/>
      <c r="G30" s="456" t="inlineStr">
        <is>
          <t>HUTANG DAN MODAL</t>
        </is>
      </c>
      <c r="H30" s="416" t="n"/>
      <c r="I30" s="456" t="n"/>
      <c r="J30" s="457" t="n"/>
    </row>
    <row r="31">
      <c r="A31" s="392" t="n"/>
      <c r="B31" s="436" t="n"/>
      <c r="C31" s="412" t="inlineStr">
        <is>
          <t>BIAYA PEMBELIAN Barang</t>
        </is>
      </c>
      <c r="D31" s="419" t="inlineStr">
        <is>
          <t>Rp</t>
        </is>
      </c>
      <c r="E31" s="435">
        <f>'Revenue-Cost_2026'!N750</f>
        <v/>
      </c>
      <c r="F31" s="395" t="n"/>
      <c r="G31" s="456" t="n"/>
      <c r="H31" s="416" t="n"/>
      <c r="I31" s="456" t="n"/>
      <c r="J31" s="457" t="n"/>
    </row>
    <row r="32">
      <c r="A32" s="392" t="n"/>
      <c r="B32" s="436" t="n"/>
      <c r="C32" s="412" t="inlineStr">
        <is>
          <t>BIAYA SEWA KANTOR</t>
        </is>
      </c>
      <c r="D32" s="419" t="inlineStr">
        <is>
          <t>Rp</t>
        </is>
      </c>
      <c r="E32" s="435">
        <f>'Revenue-Cost_2026'!O750</f>
        <v/>
      </c>
      <c r="F32" s="395" t="n"/>
      <c r="G32" s="421" t="inlineStr">
        <is>
          <t>HUTANG LANCAR</t>
        </is>
      </c>
      <c r="H32" s="422" t="n"/>
      <c r="I32" s="421" t="n"/>
      <c r="J32" s="423" t="n"/>
    </row>
    <row r="33">
      <c r="A33" s="392" t="n"/>
      <c r="B33" s="436" t="n"/>
      <c r="C33" s="412" t="inlineStr">
        <is>
          <t>BIAYA KESEHATAN</t>
        </is>
      </c>
      <c r="D33" s="419" t="inlineStr">
        <is>
          <t>Rp</t>
        </is>
      </c>
      <c r="E33" s="435">
        <f>'Revenue-Cost_2026'!P750</f>
        <v/>
      </c>
      <c r="F33" s="395" t="n"/>
      <c r="G33" s="424" t="n"/>
      <c r="H33" s="425" t="inlineStr">
        <is>
          <t>HUTANG USAHA</t>
        </is>
      </c>
      <c r="I33" s="419" t="inlineStr">
        <is>
          <t>Rp</t>
        </is>
      </c>
      <c r="J33" s="426" t="n">
        <v>0</v>
      </c>
    </row>
    <row r="34">
      <c r="A34" s="392" t="n"/>
      <c r="B34" s="436" t="n"/>
      <c r="C34" s="412" t="n"/>
      <c r="D34" s="427" t="n"/>
      <c r="E34" s="444" t="n"/>
      <c r="F34" s="395" t="n"/>
      <c r="G34" s="424" t="n"/>
      <c r="H34" s="458" t="inlineStr">
        <is>
          <t>HUTANG GAJI</t>
        </is>
      </c>
      <c r="I34" s="419" t="inlineStr">
        <is>
          <t>Rp</t>
        </is>
      </c>
      <c r="J34" s="426" t="n">
        <v>0</v>
      </c>
    </row>
    <row r="35">
      <c r="A35" s="392" t="n"/>
      <c r="B35" s="429" t="inlineStr">
        <is>
          <t>TOTAL BIAYA ADMINISTRASI DAN UMUM</t>
        </is>
      </c>
      <c r="C35" s="430" t="n"/>
      <c r="D35" s="431" t="inlineStr">
        <is>
          <t>Rp</t>
        </is>
      </c>
      <c r="E35" s="432">
        <f>SUM(E30:E34)</f>
        <v/>
      </c>
      <c r="F35" s="395" t="n"/>
      <c r="G35" s="424" t="n"/>
      <c r="H35" s="425" t="inlineStr">
        <is>
          <t>HUTANG PEMEGANG SAHAM</t>
        </is>
      </c>
      <c r="I35" s="419" t="inlineStr">
        <is>
          <t>Rp</t>
        </is>
      </c>
      <c r="J35" s="426" t="n">
        <v>0</v>
      </c>
    </row>
    <row r="36">
      <c r="A36" s="392" t="n"/>
      <c r="B36" s="436" t="n"/>
      <c r="C36" s="412" t="n"/>
      <c r="D36" s="431" t="n"/>
      <c r="E36" s="459" t="n"/>
      <c r="F36" s="395" t="n"/>
      <c r="G36" s="424" t="n"/>
      <c r="H36" s="425" t="inlineStr">
        <is>
          <t>BIAYA YANG MASIH HARUS DI BAYAR</t>
        </is>
      </c>
      <c r="I36" s="419" t="inlineStr">
        <is>
          <t>Rp</t>
        </is>
      </c>
      <c r="J36" s="426" t="n">
        <v>0</v>
      </c>
    </row>
    <row r="37">
      <c r="A37" s="392" t="n"/>
      <c r="B37" s="429" t="inlineStr">
        <is>
          <t>TOTAL BIAYA</t>
        </is>
      </c>
      <c r="C37" s="430" t="n"/>
      <c r="D37" s="431" t="inlineStr">
        <is>
          <t>Rp</t>
        </is>
      </c>
      <c r="E37" s="432">
        <f>E35+E21+E27</f>
        <v/>
      </c>
      <c r="F37" s="395" t="n"/>
      <c r="G37" s="460" t="n"/>
      <c r="H37" s="461" t="n"/>
      <c r="I37" s="460" t="n"/>
      <c r="J37" s="462" t="n"/>
    </row>
    <row r="38">
      <c r="A38" s="392" t="n"/>
      <c r="B38" s="411" t="n"/>
      <c r="C38" s="463" t="n"/>
      <c r="D38" s="413" t="n"/>
      <c r="E38" s="464" t="n"/>
      <c r="F38" s="395" t="n"/>
      <c r="G38" s="438" t="n"/>
      <c r="H38" s="439" t="inlineStr">
        <is>
          <t>TOTAL HUTANG LANCAR</t>
        </is>
      </c>
      <c r="I38" s="465" t="n"/>
      <c r="J38" s="440">
        <f>SUM(J33:J36)</f>
        <v/>
      </c>
    </row>
    <row r="39">
      <c r="A39" s="392" t="n"/>
      <c r="B39" s="434" t="inlineStr">
        <is>
          <t xml:space="preserve">PENDAPATAN/BEBAN LAIN LAIN </t>
        </is>
      </c>
      <c r="C39" s="412" t="n"/>
      <c r="D39" s="419" t="inlineStr">
        <is>
          <t>Rp</t>
        </is>
      </c>
      <c r="E39" s="466" t="n"/>
      <c r="F39" s="395" t="n"/>
      <c r="G39" s="424" t="n"/>
      <c r="H39" s="443" t="n"/>
      <c r="I39" s="467" t="n"/>
      <c r="J39" s="418" t="n"/>
    </row>
    <row r="40">
      <c r="A40" s="392" t="n"/>
      <c r="B40" s="434" t="n"/>
      <c r="C40" s="412" t="inlineStr">
        <is>
          <t>PENDAPATAN LAINNYA</t>
        </is>
      </c>
      <c r="D40" s="419" t="inlineStr">
        <is>
          <t>Rp</t>
        </is>
      </c>
      <c r="E40" s="420" t="n">
        <v>0</v>
      </c>
      <c r="F40" s="395" t="n"/>
      <c r="G40" s="421" t="inlineStr">
        <is>
          <t>MODAL</t>
        </is>
      </c>
      <c r="H40" s="422" t="n"/>
      <c r="I40" s="421" t="n"/>
      <c r="J40" s="423" t="n"/>
    </row>
    <row r="41">
      <c r="A41" s="392" t="n"/>
      <c r="B41" s="434" t="n"/>
      <c r="C41" s="412" t="n"/>
      <c r="D41" s="427" t="n"/>
      <c r="E41" s="468" t="n"/>
      <c r="F41" s="395" t="n"/>
      <c r="G41" s="424" t="n"/>
      <c r="H41" s="425" t="inlineStr">
        <is>
          <t>MODAL SAHAM</t>
        </is>
      </c>
      <c r="I41" s="419" t="inlineStr">
        <is>
          <t>Rp</t>
        </is>
      </c>
      <c r="J41" s="426" t="n">
        <v>0</v>
      </c>
    </row>
    <row r="42">
      <c r="A42" s="392" t="n"/>
      <c r="B42" s="429" t="inlineStr">
        <is>
          <t>LABA RUGI SEBELUM PAJAK</t>
        </is>
      </c>
      <c r="C42" s="430" t="n"/>
      <c r="D42" s="431" t="inlineStr">
        <is>
          <t>Rp</t>
        </is>
      </c>
      <c r="E42" s="432">
        <f>E12-E37</f>
        <v/>
      </c>
      <c r="F42" s="395" t="n"/>
      <c r="G42" s="424" t="n"/>
      <c r="H42" s="425" t="inlineStr">
        <is>
          <t>LABA DI TAHAN</t>
        </is>
      </c>
      <c r="I42" s="419" t="inlineStr">
        <is>
          <t>Rp</t>
        </is>
      </c>
      <c r="J42" s="426" t="n">
        <v>0</v>
      </c>
    </row>
    <row r="43">
      <c r="A43" s="392" t="n"/>
      <c r="B43" s="469" t="n"/>
      <c r="C43" s="463" t="n"/>
      <c r="D43" s="413" t="n"/>
      <c r="E43" s="433" t="n"/>
      <c r="F43" s="395" t="n"/>
      <c r="G43" s="421" t="n"/>
      <c r="H43" s="425" t="inlineStr">
        <is>
          <t>TOTAL LABA (RUGI) DITAHAN</t>
        </is>
      </c>
      <c r="I43" s="427" t="inlineStr">
        <is>
          <t>Rp</t>
        </is>
      </c>
      <c r="J43" s="450">
        <f>J28-J38-J41-J42</f>
        <v/>
      </c>
    </row>
    <row r="44">
      <c r="A44" s="392" t="n"/>
      <c r="B44" s="434" t="inlineStr">
        <is>
          <t>CORPORATE TAX (PPh 29)</t>
        </is>
      </c>
      <c r="D44" s="419" t="inlineStr">
        <is>
          <t>Rp</t>
        </is>
      </c>
      <c r="E44" s="420" t="n">
        <v>0</v>
      </c>
      <c r="F44" s="395" t="n"/>
      <c r="G44" s="438" t="n"/>
      <c r="H44" s="439" t="inlineStr">
        <is>
          <t>TOTAL MODAL</t>
        </is>
      </c>
      <c r="I44" s="431" t="inlineStr">
        <is>
          <t>Rp</t>
        </is>
      </c>
      <c r="J44" s="440">
        <f>SUM(J41:J43)</f>
        <v/>
      </c>
    </row>
    <row r="45">
      <c r="A45" s="392" t="n"/>
      <c r="B45" s="434" t="n"/>
      <c r="C45" s="412" t="n"/>
      <c r="D45" s="427" t="n"/>
      <c r="E45" s="468" t="n"/>
      <c r="F45" s="395" t="n"/>
      <c r="G45" s="424" t="n"/>
      <c r="H45" s="425" t="n"/>
      <c r="I45" s="451" t="n"/>
      <c r="J45" s="452" t="n"/>
    </row>
    <row r="46" ht="15" customHeight="1" s="297">
      <c r="A46" s="392" t="n"/>
      <c r="B46" s="470" t="inlineStr">
        <is>
          <t>LABA / RUGI BERSIH</t>
        </is>
      </c>
      <c r="C46" s="303" t="n"/>
      <c r="D46" s="471" t="n"/>
      <c r="E46" s="472">
        <f>E42-E44</f>
        <v/>
      </c>
      <c r="F46" s="395" t="n"/>
      <c r="G46" s="473" t="inlineStr">
        <is>
          <t>TOTAL HUTANG DAN MODAL</t>
        </is>
      </c>
      <c r="H46" s="474" t="n"/>
      <c r="I46" s="471" t="inlineStr">
        <is>
          <t>Rp</t>
        </is>
      </c>
      <c r="J46" s="475">
        <f>J44+J38</f>
        <v/>
      </c>
    </row>
    <row r="47" ht="4.5" customHeight="1" s="297">
      <c r="A47" s="392" t="n"/>
      <c r="F47" s="395" t="n"/>
    </row>
    <row r="48" ht="50.65" customHeight="1" s="297">
      <c r="A48" s="392" t="n"/>
      <c r="F48" s="395" t="n"/>
      <c r="G48" s="476" t="n"/>
    </row>
    <row r="49" ht="16.75" customHeight="1" s="297">
      <c r="A49" s="392" t="n"/>
      <c r="B49" s="477" t="n"/>
      <c r="F49" s="395" t="n"/>
      <c r="G49" s="477" t="n"/>
    </row>
    <row r="50" ht="15.65" customHeight="1" s="297">
      <c r="A50" s="412" t="n"/>
      <c r="B50" s="478" t="inlineStr">
        <is>
          <t>Direktur</t>
        </is>
      </c>
      <c r="F50" s="395" t="n"/>
      <c r="G50" s="478" t="inlineStr">
        <is>
          <t>Direktur</t>
        </is>
      </c>
    </row>
    <row r="51">
      <c r="A51" s="412" t="n"/>
      <c r="F51" s="395" t="n"/>
    </row>
    <row r="52">
      <c r="A52" s="412" t="n"/>
      <c r="F52" s="395" t="n"/>
      <c r="J52" s="47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2" t="n"/>
      <c r="B1" s="392" t="n"/>
      <c r="C1" s="392" t="n"/>
      <c r="D1" s="392" t="n"/>
      <c r="E1" s="393" t="n"/>
    </row>
    <row r="2" ht="37.25" customHeight="1" s="297">
      <c r="A2" s="392" t="n"/>
      <c r="B2" s="392" t="n"/>
      <c r="C2" s="392" t="n"/>
      <c r="D2" s="392" t="n"/>
      <c r="E2" s="393" t="n"/>
    </row>
    <row r="3" ht="33.65" customHeight="1" s="297">
      <c r="A3" s="392" t="n"/>
      <c r="B3" s="394" t="inlineStr">
        <is>
          <t>PT. EXSPAN WIRELINE INDONESIA</t>
        </is>
      </c>
      <c r="F3" s="395" t="n"/>
    </row>
    <row r="4" ht="20.5" customHeight="1" s="297">
      <c r="A4" s="392" t="n"/>
      <c r="B4" s="397" t="inlineStr">
        <is>
          <t>BUSINESS SUMMARY | TAHUN 2026</t>
        </is>
      </c>
      <c r="F4" s="395" t="n"/>
    </row>
    <row r="5" ht="6" customHeight="1" s="297">
      <c r="A5" s="392" t="n"/>
      <c r="B5" s="392" t="n"/>
      <c r="C5" s="392" t="n"/>
      <c r="D5" s="392" t="n"/>
      <c r="E5" s="393" t="n"/>
      <c r="F5" s="395" t="n"/>
    </row>
    <row r="6" ht="19" customHeight="1" s="297">
      <c r="A6" s="392" t="n"/>
      <c r="B6" s="480" t="inlineStr">
        <is>
          <t>#</t>
        </is>
      </c>
      <c r="C6" s="480" t="inlineStr">
        <is>
          <t>Items</t>
        </is>
      </c>
      <c r="D6" s="481" t="inlineStr">
        <is>
          <t>Amount</t>
        </is>
      </c>
      <c r="E6" s="279" t="n"/>
      <c r="F6" s="395" t="n"/>
    </row>
    <row r="7" ht="19" customHeight="1" s="297">
      <c r="A7" s="392" t="n"/>
      <c r="B7" s="482" t="n">
        <v>1</v>
      </c>
      <c r="C7" s="483" t="inlineStr">
        <is>
          <t>Revenue</t>
        </is>
      </c>
      <c r="D7" s="484" t="inlineStr">
        <is>
          <t>Rp</t>
        </is>
      </c>
      <c r="E7" s="485">
        <f>'Revenue-Cost_2026'!F22</f>
        <v/>
      </c>
      <c r="F7" s="395" t="n"/>
    </row>
    <row r="8" ht="19" customHeight="1" s="297">
      <c r="A8" s="392" t="n"/>
      <c r="B8" s="482" t="n">
        <v>2</v>
      </c>
      <c r="C8" s="483" t="inlineStr">
        <is>
          <t>Revenue Diterima (Setelah Pajak)</t>
        </is>
      </c>
      <c r="D8" s="484" t="inlineStr">
        <is>
          <t>Rp</t>
        </is>
      </c>
      <c r="E8" s="485">
        <f>E7-'Revenue-Cost_2026'!N22</f>
        <v/>
      </c>
      <c r="F8" s="395" t="n"/>
    </row>
    <row r="9" ht="19" customHeight="1" s="297">
      <c r="A9" s="392" t="n"/>
      <c r="B9" s="482" t="n">
        <v>3</v>
      </c>
      <c r="C9" s="483" t="inlineStr">
        <is>
          <t>Biaya</t>
        </is>
      </c>
      <c r="D9" s="484" t="inlineStr">
        <is>
          <t>Rp</t>
        </is>
      </c>
      <c r="E9" s="485">
        <f>SUM('Revenue-Cost_2026'!I750:Q750)</f>
        <v/>
      </c>
      <c r="F9" s="395" t="n"/>
    </row>
    <row r="10" ht="19" customHeight="1" s="297">
      <c r="A10" s="392" t="n"/>
      <c r="B10" s="482" t="n">
        <v>4</v>
      </c>
      <c r="C10" s="483" t="inlineStr">
        <is>
          <t>Profit SebelumTax</t>
        </is>
      </c>
      <c r="D10" s="484" t="inlineStr">
        <is>
          <t>Rp</t>
        </is>
      </c>
      <c r="E10" s="485">
        <f>E7-E9</f>
        <v/>
      </c>
      <c r="F10" s="395" t="n"/>
    </row>
    <row r="11" ht="19" customHeight="1" s="297">
      <c r="A11" s="392" t="n"/>
      <c r="B11" s="482" t="n">
        <v>5</v>
      </c>
      <c r="C11" s="483" t="inlineStr">
        <is>
          <t>PPh Badan (22%*50%)</t>
        </is>
      </c>
      <c r="D11" s="484" t="inlineStr">
        <is>
          <t>Rp</t>
        </is>
      </c>
      <c r="E11" s="485">
        <f>E10*22%*50%</f>
        <v/>
      </c>
      <c r="F11" s="395" t="n"/>
    </row>
    <row r="12" ht="19" customHeight="1" s="297">
      <c r="A12" s="392" t="n"/>
      <c r="B12" s="482" t="n">
        <v>6</v>
      </c>
      <c r="C12" s="483" t="inlineStr">
        <is>
          <t>PPh 23 Dipotong oleh client</t>
        </is>
      </c>
      <c r="D12" s="484" t="inlineStr">
        <is>
          <t>Rp</t>
        </is>
      </c>
      <c r="E12" s="485">
        <f>'Revenue-Cost_2026'!N22</f>
        <v/>
      </c>
      <c r="F12" s="395" t="n"/>
    </row>
    <row r="13" ht="19" customHeight="1" s="297">
      <c r="A13" s="392" t="n"/>
      <c r="B13" s="482" t="n">
        <v>7</v>
      </c>
      <c r="C13" s="483" t="inlineStr">
        <is>
          <t>Kekurangan Bayar PPh Badan</t>
        </is>
      </c>
      <c r="D13" s="484" t="inlineStr">
        <is>
          <t>Rp</t>
        </is>
      </c>
      <c r="E13" s="486">
        <f>E11-E12</f>
        <v/>
      </c>
      <c r="F13" s="395" t="n"/>
    </row>
    <row r="14" ht="19" customHeight="1" s="297">
      <c r="A14" s="392" t="n"/>
      <c r="B14" s="482" t="n">
        <v>8</v>
      </c>
      <c r="C14" s="483" t="inlineStr">
        <is>
          <t>Profit After Tax</t>
        </is>
      </c>
      <c r="D14" s="484" t="inlineStr">
        <is>
          <t>Rp</t>
        </is>
      </c>
      <c r="E14" s="485">
        <f>E10-E13</f>
        <v/>
      </c>
      <c r="F14" s="395" t="n"/>
    </row>
    <row r="15" ht="19" customHeight="1" s="297">
      <c r="A15" s="392" t="n"/>
      <c r="B15" s="482" t="n">
        <v>9</v>
      </c>
      <c r="C15" s="483" t="inlineStr">
        <is>
          <t>Deviden Dibagi</t>
        </is>
      </c>
      <c r="D15" s="484" t="inlineStr">
        <is>
          <t>Rp</t>
        </is>
      </c>
      <c r="E15" s="485">
        <f>E14-E16</f>
        <v/>
      </c>
      <c r="F15" s="395" t="n"/>
    </row>
    <row r="16" ht="19" customHeight="1" s="297">
      <c r="A16" s="392" t="n"/>
      <c r="B16" s="482" t="n">
        <v>10</v>
      </c>
      <c r="C16" s="483" t="inlineStr">
        <is>
          <t>Profit Ditahan</t>
        </is>
      </c>
      <c r="D16" s="484" t="inlineStr">
        <is>
          <t>Rp</t>
        </is>
      </c>
      <c r="E16" s="485" t="n">
        <v>200</v>
      </c>
      <c r="F16" s="395" t="n"/>
    </row>
    <row r="17">
      <c r="A17" s="392" t="n"/>
      <c r="B17" s="392" t="n"/>
      <c r="C17" s="392" t="n"/>
      <c r="D17" s="392" t="n"/>
      <c r="E17" s="393" t="n"/>
      <c r="F17" s="395" t="n"/>
    </row>
    <row r="18" ht="18" customHeight="1" s="297">
      <c r="A18" s="392" t="n"/>
      <c r="B18" s="270" t="inlineStr">
        <is>
          <t>DEVIDEN</t>
        </is>
      </c>
      <c r="F18" s="395" t="n"/>
    </row>
    <row r="19" ht="19" customHeight="1" s="297">
      <c r="A19" s="392" t="n"/>
      <c r="B19" s="271" t="n"/>
      <c r="C19" s="272" t="n"/>
      <c r="D19" s="483" t="n"/>
      <c r="E19" s="487" t="n"/>
      <c r="F19" s="395" t="n"/>
      <c r="G19" s="488" t="n"/>
    </row>
    <row r="20" ht="19" customHeight="1" s="297">
      <c r="A20" s="392" t="n"/>
      <c r="B20" s="271" t="n"/>
      <c r="C20" s="272" t="n"/>
      <c r="D20" s="483" t="n"/>
      <c r="E20" s="487" t="n"/>
      <c r="F20" s="395" t="n"/>
      <c r="G20" s="488" t="n"/>
    </row>
    <row r="21" ht="48.75" customHeight="1" s="297">
      <c r="A21" s="412" t="n"/>
      <c r="F21" s="395" t="n"/>
    </row>
    <row r="22">
      <c r="A22" s="412" t="n"/>
      <c r="F22" s="39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2026-03-29T08:47:00Z</dcterms:modified>
  <cp:lastModifiedBy>Diofavian - Student</cp:lastModifiedBy>
</cp:coreProperties>
</file>