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92CDDC"/>
      </patternFill>
    </fill>
    <fill>
      <patternFill patternType="solid">
        <fgColor rgb="00FFFFFF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28" fillId="11" borderId="15" pivotButton="0" quotePrefix="0" xfId="0"/>
    <xf numFmtId="0" fontId="10" fillId="11" borderId="15" applyAlignment="1" pivotButton="0" quotePrefix="0" xfId="0">
      <alignment horizontal="center"/>
    </xf>
    <xf numFmtId="0" fontId="28" fillId="11" borderId="15" applyAlignment="1" pivotButton="0" quotePrefix="0" xfId="0">
      <alignment vertical="center"/>
    </xf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8" fillId="11" borderId="15" pivotButton="0" quotePrefix="0" xfId="0"/>
    <xf numFmtId="0" fontId="0" fillId="11" borderId="15" pivotButton="0" quotePrefix="0" xfId="0"/>
    <xf numFmtId="15" fontId="10" fillId="12" borderId="15" pivotButton="0" quotePrefix="0" xfId="0"/>
    <xf numFmtId="0" fontId="10" fillId="12" borderId="15" applyAlignment="1" pivotButton="0" quotePrefix="0" xfId="0">
      <alignment horizontal="center"/>
    </xf>
    <xf numFmtId="0" fontId="26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72" fontId="29" fillId="12" borderId="15" pivotButton="0" quotePrefix="0" xfId="0"/>
    <xf numFmtId="0" fontId="29" fillId="12" borderId="15" applyAlignment="1" pivotButton="0" quotePrefix="0" xfId="0">
      <alignment vertical="center"/>
    </xf>
    <xf numFmtId="3" fontId="10" fillId="12" borderId="15" pivotButton="0" quotePrefix="0" xfId="1"/>
    <xf numFmtId="3" fontId="10" fillId="12" borderId="15" applyAlignment="1" pivotButton="0" quotePrefix="0" xfId="0">
      <alignment horizontal="center" vertical="center"/>
    </xf>
    <xf numFmtId="165" fontId="10" fillId="12" borderId="15" applyAlignment="1" pivotButton="0" quotePrefix="0" xfId="0">
      <alignment vertical="top"/>
    </xf>
    <xf numFmtId="165" fontId="10" fillId="12" borderId="15" pivotButton="0" quotePrefix="0" xfId="0"/>
    <xf numFmtId="0" fontId="1" fillId="12" borderId="15" pivotButton="0" quotePrefix="0" xfId="0"/>
    <xf numFmtId="3" fontId="1" fillId="12" borderId="15" pivotButton="0" quotePrefix="0" xfId="0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2" borderId="15" pivotButton="0" quotePrefix="0" xfId="0"/>
    <xf numFmtId="168" fontId="10" fillId="12" borderId="15" pivotButton="0" quotePrefix="0" xfId="1"/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15" fontId="10" fillId="12" borderId="15" applyAlignment="1" pivotButton="0" quotePrefix="0" xfId="0">
      <alignment horizontal="right" vertical="center"/>
    </xf>
    <xf numFmtId="165" fontId="10" fillId="12" borderId="15" pivotButton="0" quotePrefix="0" xfId="2"/>
    <xf numFmtId="3" fontId="10" fillId="12" borderId="15" applyAlignment="1" pivotButton="0" quotePrefix="0" xfId="0">
      <alignment vertical="top"/>
    </xf>
    <xf numFmtId="168" fontId="10" fillId="11" borderId="15" pivotButton="0" quotePrefix="0" xfId="1"/>
    <xf numFmtId="165" fontId="8" fillId="12" borderId="15" pivotButton="0" quotePrefix="0" xfId="1"/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pivotButton="0" quotePrefix="0" xfId="0"/>
    <xf numFmtId="0" fontId="10" fillId="10" borderId="15" pivotButton="0" quotePrefix="0" xfId="0"/>
    <xf numFmtId="166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28" fillId="12" borderId="15" applyAlignment="1" pivotButton="0" quotePrefix="0" xfId="0">
      <alignment vertical="center"/>
    </xf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7" applyAlignment="1" pivotButton="0" quotePrefix="0" xfId="0">
      <alignment horizontal="left" vertical="center"/>
    </xf>
    <xf numFmtId="3" fontId="43" fillId="0" borderId="26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7" applyAlignment="1" pivotButton="0" quotePrefix="0" xfId="0">
      <alignment horizontal="lef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4" applyAlignment="1" pivotButton="0" quotePrefix="0" xfId="0">
      <alignment horizontal="lef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4" applyAlignment="1" pivotButton="0" quotePrefix="0" xfId="0">
      <alignment horizontal="lef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30" applyAlignment="1" pivotButton="0" quotePrefix="0" xfId="0">
      <alignment horizontal="left" vertical="center"/>
    </xf>
    <xf numFmtId="3" fontId="43" fillId="0" borderId="29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30" applyAlignment="1" pivotButton="0" quotePrefix="0" xfId="0">
      <alignment horizontal="lef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3" applyAlignment="1" pivotButton="0" quotePrefix="0" xfId="0">
      <alignment horizontal="left" vertical="center"/>
    </xf>
    <xf numFmtId="3" fontId="43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inlineStr">
        <is>
          <t>Expense#1</t>
        </is>
      </c>
      <c r="C41" s="278" t="inlineStr">
        <is>
          <t>:</t>
        </is>
      </c>
      <c r="D41" s="279" t="inlineStr">
        <is>
          <t>Gudang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85" t="n"/>
      <c r="M41" s="285" t="n"/>
      <c r="N41" s="285" t="n"/>
      <c r="O41" s="285" t="n"/>
      <c r="P41" s="285" t="n"/>
      <c r="Q41" s="285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n"/>
      <c r="C42" s="288" t="n"/>
      <c r="D42" s="289" t="inlineStr">
        <is>
          <t>123123</t>
        </is>
      </c>
      <c r="E42" s="290" t="n"/>
      <c r="F42" s="291" t="n"/>
      <c r="G42" s="292" t="n"/>
      <c r="H42" s="292" t="n"/>
      <c r="I42" s="293" t="n"/>
      <c r="J42" s="293" t="n"/>
      <c r="K42" s="294" t="n"/>
      <c r="L42" s="295" t="n"/>
      <c r="M42" s="295" t="n"/>
      <c r="N42" s="295" t="n"/>
      <c r="O42" s="295" t="n"/>
      <c r="P42" s="295" t="n"/>
      <c r="Q42" s="295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97" t="inlineStr">
        <is>
          <t>31-Dec-30</t>
        </is>
      </c>
      <c r="C43" s="288" t="n">
        <v>1</v>
      </c>
      <c r="D43" s="298" t="inlineStr">
        <is>
          <t>123123</t>
        </is>
      </c>
      <c r="E43" s="290" t="inlineStr">
        <is>
          <t>BCA</t>
        </is>
      </c>
      <c r="F43" s="299" t="n">
        <v>123123</v>
      </c>
      <c r="G43" s="292" t="inlineStr">
        <is>
          <t>IDR</t>
        </is>
      </c>
      <c r="H43" s="300" t="n">
        <v>1</v>
      </c>
      <c r="I43" s="301" t="n"/>
      <c r="J43" s="301" t="n"/>
      <c r="K43" s="302" t="n"/>
      <c r="L43" s="290" t="n"/>
      <c r="M43" s="290" t="n"/>
      <c r="N43" s="290" t="n"/>
      <c r="O43" s="290" t="n"/>
      <c r="P43" s="290" t="n"/>
      <c r="Q43" s="290" t="n"/>
      <c r="R43" s="303" t="n"/>
      <c r="S43" s="303" t="n"/>
      <c r="T43" s="303" t="n"/>
      <c r="U43" s="303" t="n"/>
      <c r="V43" s="303" t="n"/>
      <c r="W43" s="303" t="n"/>
      <c r="X43" s="303" t="n"/>
      <c r="Y43" s="304" t="n">
        <v>123123</v>
      </c>
    </row>
    <row r="44" ht="15.5" customHeight="1">
      <c r="B44" s="287" t="n"/>
      <c r="C44" s="288" t="n"/>
      <c r="D44" s="289" t="inlineStr">
        <is>
          <t>Meal</t>
        </is>
      </c>
      <c r="E44" s="305" t="n"/>
      <c r="F44" s="291" t="n"/>
      <c r="G44" s="306" t="n"/>
      <c r="H44" s="292" t="n"/>
      <c r="I44" s="294" t="n"/>
      <c r="J44" s="295" t="n"/>
      <c r="K44" s="307" t="n"/>
      <c r="L44" s="295" t="n"/>
      <c r="M44" s="295" t="n"/>
      <c r="N44" s="295" t="n"/>
      <c r="O44" s="295" t="n"/>
      <c r="P44" s="295" t="n"/>
      <c r="Q44" s="295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97" t="inlineStr">
        <is>
          <t>31-Dec-30</t>
        </is>
      </c>
      <c r="C45" s="288" t="n">
        <v>2</v>
      </c>
      <c r="D45" s="298" t="inlineStr">
        <is>
          <t>werw</t>
        </is>
      </c>
      <c r="E45" s="290" t="inlineStr">
        <is>
          <t>BRI</t>
        </is>
      </c>
      <c r="F45" s="299" t="n">
        <v>123123</v>
      </c>
      <c r="G45" s="292" t="inlineStr">
        <is>
          <t>IDR</t>
        </is>
      </c>
      <c r="H45" s="300" t="n">
        <v>1</v>
      </c>
      <c r="I45" s="301" t="n"/>
      <c r="J45" s="301" t="n"/>
      <c r="K45" s="302" t="n"/>
      <c r="L45" s="308" t="n">
        <v>123123</v>
      </c>
      <c r="M45" s="290" t="n"/>
      <c r="N45" s="290" t="n"/>
      <c r="O45" s="290" t="n"/>
      <c r="P45" s="290" t="n"/>
      <c r="Q45" s="290" t="n"/>
      <c r="R45" s="303" t="n"/>
      <c r="S45" s="303" t="n"/>
      <c r="T45" s="303" t="n"/>
      <c r="U45" s="303" t="n"/>
      <c r="V45" s="303" t="n"/>
      <c r="W45" s="303" t="n"/>
      <c r="X45" s="303" t="n"/>
      <c r="Y45" s="303" t="n"/>
    </row>
    <row r="46" ht="15.5" customHeight="1">
      <c r="B46" s="287" t="n"/>
      <c r="C46" s="288" t="n"/>
      <c r="D46" s="289" t="inlineStr">
        <is>
          <t>nabil</t>
        </is>
      </c>
      <c r="E46" s="305" t="n"/>
      <c r="F46" s="309" t="n"/>
      <c r="G46" s="292" t="n"/>
      <c r="H46" s="292" t="n"/>
      <c r="I46" s="293" t="n"/>
      <c r="J46" s="293" t="n"/>
      <c r="K46" s="295" t="n"/>
      <c r="L46" s="295" t="n"/>
      <c r="M46" s="295" t="n"/>
      <c r="N46" s="295" t="n"/>
      <c r="O46" s="295" t="n"/>
      <c r="P46" s="295" t="n"/>
      <c r="Q46" s="295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97" t="inlineStr">
        <is>
          <t>31-Dec-30</t>
        </is>
      </c>
      <c r="C47" s="288" t="n">
        <v>3</v>
      </c>
      <c r="D47" s="298" t="inlineStr">
        <is>
          <t>reza</t>
        </is>
      </c>
      <c r="E47" s="290" t="inlineStr">
        <is>
          <t>BCA</t>
        </is>
      </c>
      <c r="F47" s="299" t="n">
        <v>30000</v>
      </c>
      <c r="G47" s="292" t="inlineStr">
        <is>
          <t>IDR</t>
        </is>
      </c>
      <c r="H47" s="300" t="n">
        <v>1</v>
      </c>
      <c r="I47" s="301" t="n"/>
      <c r="J47" s="301" t="n"/>
      <c r="K47" s="302" t="n"/>
      <c r="L47" s="290" t="n"/>
      <c r="M47" s="308" t="n">
        <v>30000</v>
      </c>
      <c r="N47" s="290" t="n"/>
      <c r="O47" s="290" t="n"/>
      <c r="P47" s="290" t="n"/>
      <c r="Q47" s="290" t="n"/>
      <c r="R47" s="303" t="n"/>
      <c r="S47" s="303" t="n"/>
      <c r="T47" s="303" t="n"/>
      <c r="U47" s="303" t="n"/>
      <c r="V47" s="303" t="n"/>
      <c r="W47" s="303" t="n"/>
      <c r="X47" s="303" t="n"/>
      <c r="Y47" s="303" t="n"/>
    </row>
    <row r="48" ht="15.5" customHeight="1">
      <c r="B48" s="277" t="inlineStr">
        <is>
          <t>Expense#2</t>
        </is>
      </c>
      <c r="C48" s="278" t="inlineStr">
        <is>
          <t>:</t>
        </is>
      </c>
      <c r="D48" s="279" t="inlineStr">
        <is>
          <t>sasdas</t>
        </is>
      </c>
      <c r="E48" s="310" t="n"/>
      <c r="F48" s="311" t="n"/>
      <c r="G48" s="282" t="n"/>
      <c r="H48" s="282" t="n"/>
      <c r="I48" s="283" t="n"/>
      <c r="J48" s="283" t="n"/>
      <c r="K48" s="285" t="n"/>
      <c r="L48" s="285" t="n"/>
      <c r="M48" s="285" t="n"/>
      <c r="N48" s="285" t="n"/>
      <c r="O48" s="285" t="n"/>
      <c r="P48" s="285" t="n"/>
      <c r="Q48" s="285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312" t="n"/>
      <c r="C49" s="288" t="n"/>
      <c r="D49" s="289" t="inlineStr">
        <is>
          <t>123123</t>
        </is>
      </c>
      <c r="E49" s="305" t="n"/>
      <c r="F49" s="313" t="n"/>
      <c r="G49" s="292" t="n"/>
      <c r="H49" s="292" t="n"/>
      <c r="I49" s="293" t="n"/>
      <c r="J49" s="293" t="n"/>
      <c r="K49" s="295" t="n"/>
      <c r="L49" s="295" t="n"/>
      <c r="M49" s="295" t="n"/>
      <c r="N49" s="295" t="n"/>
      <c r="O49" s="295" t="n"/>
      <c r="P49" s="295" t="n"/>
      <c r="Q49" s="295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297" t="inlineStr">
        <is>
          <t>31-Dec-30</t>
        </is>
      </c>
      <c r="C50" s="288" t="n">
        <v>4</v>
      </c>
      <c r="D50" s="298" t="inlineStr">
        <is>
          <t>123123</t>
        </is>
      </c>
      <c r="E50" s="290" t="inlineStr">
        <is>
          <t>Advance</t>
        </is>
      </c>
      <c r="F50" s="299" t="n">
        <v>101</v>
      </c>
      <c r="G50" s="292" t="inlineStr">
        <is>
          <t>USD</t>
        </is>
      </c>
      <c r="H50" s="300" t="n">
        <v>101</v>
      </c>
      <c r="I50" s="301" t="n"/>
      <c r="J50" s="301" t="n"/>
      <c r="K50" s="302" t="n"/>
      <c r="L50" s="290" t="n"/>
      <c r="M50" s="290" t="n"/>
      <c r="N50" s="290" t="n"/>
      <c r="O50" s="290" t="n"/>
      <c r="P50" s="290" t="n"/>
      <c r="Q50" s="290" t="n"/>
      <c r="R50" s="303" t="n"/>
      <c r="S50" s="303" t="n"/>
      <c r="T50" s="303" t="n"/>
      <c r="U50" s="303" t="n"/>
      <c r="V50" s="303" t="n"/>
      <c r="W50" s="303" t="n"/>
      <c r="X50" s="303" t="n"/>
      <c r="Y50" s="304" t="n">
        <v>101</v>
      </c>
    </row>
    <row r="51" ht="15.5" customHeight="1">
      <c r="B51" s="287" t="n"/>
      <c r="C51" s="288" t="n"/>
      <c r="D51" s="289" t="inlineStr">
        <is>
          <t>Allowance</t>
        </is>
      </c>
      <c r="E51" s="305" t="n"/>
      <c r="F51" s="309" t="n"/>
      <c r="G51" s="292" t="n"/>
      <c r="H51" s="292" t="n"/>
      <c r="I51" s="293" t="n"/>
      <c r="J51" s="293" t="n"/>
      <c r="K51" s="295" t="n"/>
      <c r="L51" s="295" t="n"/>
      <c r="M51" s="295" t="n"/>
      <c r="N51" s="295" t="n"/>
      <c r="O51" s="295" t="n"/>
      <c r="P51" s="295" t="n"/>
      <c r="Q51" s="295" t="n"/>
      <c r="R51" s="296" t="n"/>
      <c r="S51" s="296" t="n"/>
      <c r="T51" s="296" t="n"/>
      <c r="U51" s="296" t="n"/>
      <c r="V51" s="296" t="n"/>
      <c r="W51" s="296" t="n"/>
      <c r="X51" s="296" t="n"/>
      <c r="Y51" s="296" t="n"/>
    </row>
    <row r="52" ht="15.5" customFormat="1" customHeight="1" s="66">
      <c r="B52" s="297" t="inlineStr">
        <is>
          <t>31-Dec-30</t>
        </is>
      </c>
      <c r="C52" s="288" t="n">
        <v>5</v>
      </c>
      <c r="D52" s="298" t="inlineStr">
        <is>
          <t>234234</t>
        </is>
      </c>
      <c r="E52" s="290" t="inlineStr">
        <is>
          <t>Advance</t>
        </is>
      </c>
      <c r="F52" s="299" t="n">
        <v>234324324</v>
      </c>
      <c r="G52" s="292" t="inlineStr">
        <is>
          <t>IDR</t>
        </is>
      </c>
      <c r="H52" s="300" t="n">
        <v>1</v>
      </c>
      <c r="I52" s="301" t="n"/>
      <c r="J52" s="301" t="n"/>
      <c r="K52" s="302" t="n"/>
      <c r="L52" s="308" t="n">
        <v>234324324</v>
      </c>
      <c r="M52" s="290" t="n"/>
      <c r="N52" s="290" t="n"/>
      <c r="O52" s="290" t="n"/>
      <c r="P52" s="290" t="n"/>
      <c r="Q52" s="290" t="n"/>
      <c r="R52" s="303" t="n"/>
      <c r="S52" s="303" t="n"/>
      <c r="T52" s="303" t="n"/>
      <c r="U52" s="303" t="n"/>
      <c r="V52" s="303" t="n"/>
      <c r="W52" s="303" t="n"/>
      <c r="X52" s="303" t="n"/>
      <c r="Y52" s="303" t="n"/>
    </row>
    <row r="53" ht="15.5" customFormat="1" customHeight="1" s="66">
      <c r="B53" s="287" t="n"/>
      <c r="C53" s="288" t="n"/>
      <c r="D53" s="289" t="inlineStr">
        <is>
          <t>Rental Tool</t>
        </is>
      </c>
      <c r="E53" s="305" t="n"/>
      <c r="F53" s="309" t="n"/>
      <c r="G53" s="292" t="n"/>
      <c r="H53" s="292" t="n"/>
      <c r="I53" s="294" t="n"/>
      <c r="J53" s="293" t="n"/>
      <c r="K53" s="295" t="n"/>
      <c r="L53" s="295" t="n"/>
      <c r="M53" s="295" t="n"/>
      <c r="N53" s="295" t="n"/>
      <c r="O53" s="295" t="n"/>
      <c r="P53" s="295" t="n"/>
      <c r="Q53" s="295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97" t="inlineStr">
        <is>
          <t>31-Dec-30</t>
        </is>
      </c>
      <c r="C54" s="288" t="n">
        <v>6</v>
      </c>
      <c r="D54" s="298" t="inlineStr">
        <is>
          <t>234</t>
        </is>
      </c>
      <c r="E54" s="290" t="inlineStr">
        <is>
          <t>Advance</t>
        </is>
      </c>
      <c r="F54" s="299" t="n">
        <v>57776</v>
      </c>
      <c r="G54" s="292" t="inlineStr">
        <is>
          <t>USD</t>
        </is>
      </c>
      <c r="H54" s="300" t="n">
        <v>14444</v>
      </c>
      <c r="I54" s="301" t="n"/>
      <c r="J54" s="314" t="n">
        <v>57776</v>
      </c>
      <c r="K54" s="302" t="n"/>
      <c r="L54" s="290" t="n"/>
      <c r="M54" s="290" t="n"/>
      <c r="N54" s="290" t="n"/>
      <c r="O54" s="290" t="n"/>
      <c r="P54" s="290" t="n"/>
      <c r="Q54" s="290" t="n"/>
      <c r="R54" s="303" t="n"/>
      <c r="S54" s="303" t="n"/>
      <c r="T54" s="303" t="n"/>
      <c r="U54" s="303" t="n"/>
      <c r="V54" s="303" t="n"/>
      <c r="W54" s="303" t="n"/>
      <c r="X54" s="303" t="n"/>
      <c r="Y54" s="303" t="n"/>
    </row>
    <row r="55" ht="15.5" customFormat="1" customHeight="1" s="66">
      <c r="B55" s="277" t="inlineStr">
        <is>
          <t>Expense#3</t>
        </is>
      </c>
      <c r="C55" s="278" t="inlineStr">
        <is>
          <t>:</t>
        </is>
      </c>
      <c r="D55" s="279" t="inlineStr">
        <is>
          <t>werwerewr</t>
        </is>
      </c>
      <c r="E55" s="310" t="n"/>
      <c r="F55" s="315" t="n"/>
      <c r="G55" s="282" t="n"/>
      <c r="H55" s="282" t="n"/>
      <c r="I55" s="284" t="n"/>
      <c r="J55" s="283" t="n"/>
      <c r="K55" s="285" t="n"/>
      <c r="L55" s="285" t="n"/>
      <c r="M55" s="285" t="n"/>
      <c r="N55" s="285" t="n"/>
      <c r="O55" s="285" t="n"/>
      <c r="P55" s="285" t="n"/>
      <c r="Q55" s="285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n"/>
      <c r="C56" s="288" t="n"/>
      <c r="D56" s="289" t="inlineStr">
        <is>
          <t>Accommodation , Transportation</t>
        </is>
      </c>
      <c r="E56" s="305" t="n"/>
      <c r="F56" s="309" t="n"/>
      <c r="G56" s="292" t="n"/>
      <c r="H56" s="292" t="n"/>
      <c r="I56" s="293" t="n"/>
      <c r="J56" s="293" t="n"/>
      <c r="K56" s="295" t="n"/>
      <c r="L56" s="295" t="n"/>
      <c r="M56" s="295" t="n"/>
      <c r="N56" s="295" t="n"/>
      <c r="O56" s="295" t="n"/>
      <c r="P56" s="295" t="n"/>
      <c r="Q56" s="316" t="n"/>
      <c r="R56" s="296" t="n"/>
      <c r="S56" s="296" t="n"/>
      <c r="T56" s="296" t="n"/>
      <c r="U56" s="296" t="n"/>
      <c r="V56" s="296" t="n"/>
      <c r="W56" s="296" t="n"/>
      <c r="X56" s="296" t="n"/>
      <c r="Y56" s="296" t="n"/>
    </row>
    <row r="57" ht="15.5" customFormat="1" customHeight="1" s="66">
      <c r="B57" s="297" t="inlineStr">
        <is>
          <t>31-Dec-30</t>
        </is>
      </c>
      <c r="C57" s="288" t="n">
        <v>7</v>
      </c>
      <c r="D57" s="298" t="inlineStr">
        <is>
          <t>werwerwer</t>
        </is>
      </c>
      <c r="E57" s="290" t="inlineStr">
        <is>
          <t>Mandiri</t>
        </is>
      </c>
      <c r="F57" s="299" t="n">
        <v>281106</v>
      </c>
      <c r="G57" s="292" t="inlineStr">
        <is>
          <t>EUR</t>
        </is>
      </c>
      <c r="H57" s="300" t="n">
        <v>12222</v>
      </c>
      <c r="I57" s="301" t="n"/>
      <c r="J57" s="301" t="n"/>
      <c r="K57" s="302" t="n"/>
      <c r="L57" s="308" t="n">
        <v>281106</v>
      </c>
      <c r="M57" s="290" t="n"/>
      <c r="N57" s="290" t="n"/>
      <c r="O57" s="290" t="n"/>
      <c r="P57" s="290" t="n"/>
      <c r="Q57" s="290" t="n"/>
      <c r="R57" s="303" t="n"/>
      <c r="S57" s="303" t="n"/>
      <c r="T57" s="303" t="n"/>
      <c r="U57" s="303" t="n"/>
      <c r="V57" s="303" t="n"/>
      <c r="W57" s="303" t="n"/>
      <c r="X57" s="303" t="n"/>
      <c r="Y57" s="303" t="n"/>
    </row>
    <row r="58" ht="15.5" customFormat="1" customHeight="1" s="66">
      <c r="B58" s="287" t="n"/>
      <c r="C58" s="288" t="n"/>
      <c r="D58" s="289" t="inlineStr">
        <is>
          <t>Meal , Shipping</t>
        </is>
      </c>
      <c r="E58" s="305" t="n"/>
      <c r="F58" s="309" t="n"/>
      <c r="G58" s="292" t="n"/>
      <c r="H58" s="292" t="n"/>
      <c r="I58" s="293" t="n"/>
      <c r="J58" s="293" t="n"/>
      <c r="K58" s="295" t="n"/>
      <c r="L58" s="295" t="n"/>
      <c r="M58" s="295" t="n"/>
      <c r="N58" s="295" t="n"/>
      <c r="O58" s="295" t="n"/>
      <c r="P58" s="295" t="n"/>
      <c r="Q58" s="295" t="n"/>
      <c r="R58" s="296" t="n"/>
      <c r="S58" s="296" t="n"/>
      <c r="T58" s="296" t="n"/>
      <c r="U58" s="296" t="n"/>
      <c r="V58" s="296" t="n"/>
      <c r="W58" s="296" t="n"/>
      <c r="X58" s="296" t="n"/>
      <c r="Y58" s="296" t="n"/>
    </row>
    <row r="59" ht="15.5" customFormat="1" customHeight="1" s="66">
      <c r="B59" s="297" t="inlineStr">
        <is>
          <t>31-Dec-30</t>
        </is>
      </c>
      <c r="C59" s="288" t="n">
        <v>8</v>
      </c>
      <c r="D59" s="298" t="inlineStr">
        <is>
          <t>we</t>
        </is>
      </c>
      <c r="E59" s="290" t="inlineStr">
        <is>
          <t>BRI</t>
        </is>
      </c>
      <c r="F59" s="299" t="n">
        <v>146664</v>
      </c>
      <c r="G59" s="292" t="inlineStr">
        <is>
          <t>EUR</t>
        </is>
      </c>
      <c r="H59" s="300" t="n">
        <v>12222</v>
      </c>
      <c r="I59" s="301" t="n"/>
      <c r="J59" s="301" t="n"/>
      <c r="K59" s="302" t="n"/>
      <c r="L59" s="308" t="n">
        <v>146664</v>
      </c>
      <c r="M59" s="290" t="n"/>
      <c r="N59" s="290" t="n"/>
      <c r="O59" s="290" t="n"/>
      <c r="P59" s="290" t="n"/>
      <c r="Q59" s="290" t="n"/>
      <c r="R59" s="303" t="n"/>
      <c r="S59" s="303" t="n"/>
      <c r="T59" s="303" t="n"/>
      <c r="U59" s="303" t="n"/>
      <c r="V59" s="303" t="n"/>
      <c r="W59" s="303" t="n"/>
      <c r="X59" s="303" t="n"/>
      <c r="Y59" s="303" t="n"/>
    </row>
    <row r="60" ht="15.5" customFormat="1" customHeight="1" s="66">
      <c r="B60" s="287" t="n"/>
      <c r="C60" s="288" t="n"/>
      <c r="D60" s="289" t="inlineStr">
        <is>
          <t>Accommodation</t>
        </is>
      </c>
      <c r="E60" s="305" t="n"/>
      <c r="F60" s="309" t="n"/>
      <c r="G60" s="292" t="n"/>
      <c r="H60" s="292" t="n"/>
      <c r="I60" s="293" t="n"/>
      <c r="J60" s="293" t="n"/>
      <c r="K60" s="295" t="n"/>
      <c r="L60" s="295" t="n"/>
      <c r="M60" s="295" t="n"/>
      <c r="N60" s="316" t="n"/>
      <c r="O60" s="295" t="n"/>
      <c r="P60" s="295" t="n"/>
      <c r="Q60" s="295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97" t="inlineStr">
        <is>
          <t>31-Dec-30</t>
        </is>
      </c>
      <c r="C61" s="288" t="n">
        <v>9</v>
      </c>
      <c r="D61" s="298" t="inlineStr">
        <is>
          <t>23423423</t>
        </is>
      </c>
      <c r="E61" s="290" t="inlineStr">
        <is>
          <t>BCA</t>
        </is>
      </c>
      <c r="F61" s="299" t="n">
        <v>2888262</v>
      </c>
      <c r="G61" s="292" t="inlineStr">
        <is>
          <t>USD</t>
        </is>
      </c>
      <c r="H61" s="300" t="n">
        <v>12343</v>
      </c>
      <c r="I61" s="301" t="n"/>
      <c r="J61" s="301" t="n"/>
      <c r="K61" s="302" t="n"/>
      <c r="L61" s="308" t="n">
        <v>2888262</v>
      </c>
      <c r="M61" s="290" t="n"/>
      <c r="N61" s="290" t="n"/>
      <c r="O61" s="290" t="n"/>
      <c r="P61" s="290" t="n"/>
      <c r="Q61" s="290" t="n"/>
      <c r="R61" s="303" t="n"/>
      <c r="S61" s="303" t="n"/>
      <c r="T61" s="303" t="n"/>
      <c r="U61" s="303" t="n"/>
      <c r="V61" s="303" t="n"/>
      <c r="W61" s="303" t="n"/>
      <c r="X61" s="303" t="n"/>
      <c r="Y61" s="303" t="n"/>
    </row>
    <row r="62" ht="15.5" customFormat="1" customHeight="1" s="66">
      <c r="B62" s="287" t="n"/>
      <c r="C62" s="288" t="n"/>
      <c r="D62" s="289" t="inlineStr">
        <is>
          <t>Shipping</t>
        </is>
      </c>
      <c r="E62" s="305" t="n"/>
      <c r="F62" s="309" t="n"/>
      <c r="G62" s="292" t="n"/>
      <c r="H62" s="292" t="n"/>
      <c r="I62" s="294" t="n"/>
      <c r="J62" s="293" t="n"/>
      <c r="K62" s="295" t="n"/>
      <c r="L62" s="295" t="n"/>
      <c r="M62" s="295" t="n"/>
      <c r="N62" s="295" t="n"/>
      <c r="O62" s="295" t="n"/>
      <c r="P62" s="295" t="n"/>
      <c r="Q62" s="295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97" t="inlineStr">
        <is>
          <t>31-Dec-30</t>
        </is>
      </c>
      <c r="C63" s="288" t="n">
        <v>10</v>
      </c>
      <c r="D63" s="298" t="inlineStr">
        <is>
          <t>23434</t>
        </is>
      </c>
      <c r="E63" s="290" t="inlineStr">
        <is>
          <t>BRI</t>
        </is>
      </c>
      <c r="F63" s="299" t="n">
        <v>28104</v>
      </c>
      <c r="G63" s="292" t="inlineStr">
        <is>
          <t>EUR</t>
        </is>
      </c>
      <c r="H63" s="300" t="n">
        <v>12</v>
      </c>
      <c r="I63" s="301" t="n"/>
      <c r="J63" s="301" t="n"/>
      <c r="K63" s="302" t="n"/>
      <c r="L63" s="308" t="n">
        <v>28104</v>
      </c>
      <c r="M63" s="290" t="n"/>
      <c r="N63" s="290" t="n"/>
      <c r="O63" s="290" t="n"/>
      <c r="P63" s="290" t="n"/>
      <c r="Q63" s="290" t="n"/>
      <c r="R63" s="303" t="n"/>
      <c r="S63" s="303" t="n"/>
      <c r="T63" s="303" t="n"/>
      <c r="U63" s="303" t="n"/>
      <c r="V63" s="303" t="n"/>
      <c r="W63" s="303" t="n"/>
      <c r="X63" s="303" t="n"/>
      <c r="Y63" s="303" t="n"/>
    </row>
    <row r="64" ht="15.5" customFormat="1" customHeight="1" s="66">
      <c r="B64" s="277" t="inlineStr">
        <is>
          <t>Expense#4</t>
        </is>
      </c>
      <c r="C64" s="278" t="inlineStr">
        <is>
          <t>:</t>
        </is>
      </c>
      <c r="D64" s="279" t="inlineStr">
        <is>
          <t>1234567890</t>
        </is>
      </c>
      <c r="E64" s="310" t="n"/>
      <c r="F64" s="315" t="n"/>
      <c r="G64" s="282" t="n"/>
      <c r="H64" s="282" t="n"/>
      <c r="I64" s="284" t="n"/>
      <c r="J64" s="283" t="n"/>
      <c r="K64" s="285" t="n"/>
      <c r="L64" s="285" t="n"/>
      <c r="M64" s="285" t="n"/>
      <c r="N64" s="285" t="n"/>
      <c r="O64" s="285" t="n"/>
      <c r="P64" s="285" t="n"/>
      <c r="Q64" s="285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n"/>
      <c r="C65" s="288" t="n"/>
      <c r="D65" s="289" t="inlineStr">
        <is>
          <t>Accommodation , Allowance</t>
        </is>
      </c>
      <c r="E65" s="305" t="n"/>
      <c r="F65" s="309" t="n"/>
      <c r="G65" s="292" t="n"/>
      <c r="H65" s="292" t="n"/>
      <c r="I65" s="293" t="n"/>
      <c r="J65" s="293" t="n"/>
      <c r="K65" s="295" t="n"/>
      <c r="L65" s="295" t="n"/>
      <c r="M65" s="295" t="n"/>
      <c r="N65" s="295" t="n"/>
      <c r="O65" s="295" t="n"/>
      <c r="P65" s="295" t="n"/>
      <c r="Q65" s="316" t="n"/>
      <c r="R65" s="296" t="n"/>
      <c r="S65" s="296" t="n"/>
      <c r="T65" s="296" t="n"/>
      <c r="U65" s="296" t="n"/>
      <c r="V65" s="296" t="n"/>
      <c r="W65" s="296" t="n"/>
      <c r="X65" s="296" t="n"/>
      <c r="Y65" s="296" t="n"/>
    </row>
    <row r="66" ht="15.5" customFormat="1" customHeight="1" s="66">
      <c r="B66" s="297" t="inlineStr">
        <is>
          <t>31-Dec-30</t>
        </is>
      </c>
      <c r="C66" s="288" t="n">
        <v>11</v>
      </c>
      <c r="D66" s="298" t="inlineStr">
        <is>
          <t>123123</t>
        </is>
      </c>
      <c r="E66" s="290" t="inlineStr">
        <is>
          <t>Advance</t>
        </is>
      </c>
      <c r="F66" s="299" t="n">
        <v>123123</v>
      </c>
      <c r="G66" s="292" t="inlineStr">
        <is>
          <t>IDR</t>
        </is>
      </c>
      <c r="H66" s="300" t="n">
        <v>1</v>
      </c>
      <c r="I66" s="301" t="n"/>
      <c r="J66" s="301" t="n"/>
      <c r="K66" s="302" t="n"/>
      <c r="L66" s="308" t="n">
        <v>123123</v>
      </c>
      <c r="M66" s="290" t="n"/>
      <c r="N66" s="290" t="n"/>
      <c r="O66" s="290" t="n"/>
      <c r="P66" s="290" t="n"/>
      <c r="Q66" s="290" t="n"/>
      <c r="R66" s="303" t="n"/>
      <c r="S66" s="303" t="n"/>
      <c r="T66" s="303" t="n"/>
      <c r="U66" s="303" t="n"/>
      <c r="V66" s="303" t="n"/>
      <c r="W66" s="303" t="n"/>
      <c r="X66" s="303" t="n"/>
      <c r="Y66" s="303" t="n"/>
    </row>
    <row r="67" ht="15.5" customHeight="1">
      <c r="B67" s="287" t="n"/>
      <c r="C67" s="288" t="n"/>
      <c r="D67" s="289" t="inlineStr">
        <is>
          <t>Accommodation</t>
        </is>
      </c>
      <c r="E67" s="305" t="n"/>
      <c r="F67" s="309" t="n"/>
      <c r="G67" s="292" t="n"/>
      <c r="H67" s="292" t="n"/>
      <c r="I67" s="293" t="n"/>
      <c r="J67" s="293" t="n"/>
      <c r="K67" s="295" t="n"/>
      <c r="L67" s="295" t="n"/>
      <c r="M67" s="295" t="n"/>
      <c r="N67" s="316" t="n"/>
      <c r="O67" s="295" t="n"/>
      <c r="P67" s="295" t="n"/>
      <c r="Q67" s="295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97" t="inlineStr">
        <is>
          <t>31-Dec-30</t>
        </is>
      </c>
      <c r="C68" s="288" t="n">
        <v>12</v>
      </c>
      <c r="D68" s="298" t="inlineStr">
        <is>
          <t>324234</t>
        </is>
      </c>
      <c r="E68" s="290" t="inlineStr">
        <is>
          <t>Advance</t>
        </is>
      </c>
      <c r="F68" s="299" t="n">
        <v>234324</v>
      </c>
      <c r="G68" s="292" t="inlineStr">
        <is>
          <t>IDR</t>
        </is>
      </c>
      <c r="H68" s="300" t="n">
        <v>1</v>
      </c>
      <c r="I68" s="301" t="n"/>
      <c r="J68" s="301" t="n"/>
      <c r="K68" s="302" t="n"/>
      <c r="L68" s="308" t="n">
        <v>234324</v>
      </c>
      <c r="M68" s="290" t="n"/>
      <c r="N68" s="290" t="n"/>
      <c r="O68" s="290" t="n"/>
      <c r="P68" s="290" t="n"/>
      <c r="Q68" s="290" t="n"/>
      <c r="R68" s="303" t="n"/>
      <c r="S68" s="303" t="n"/>
      <c r="T68" s="303" t="n"/>
      <c r="U68" s="303" t="n"/>
      <c r="V68" s="303" t="n"/>
      <c r="W68" s="303" t="n"/>
      <c r="X68" s="303" t="n"/>
      <c r="Y68" s="303" t="n"/>
    </row>
    <row r="69" ht="15.5" customHeight="1">
      <c r="A69" s="66" t="n"/>
      <c r="B69" s="287" t="n"/>
      <c r="C69" s="288" t="n"/>
      <c r="D69" s="289" t="inlineStr">
        <is>
          <t>Transportation</t>
        </is>
      </c>
      <c r="E69" s="305" t="n"/>
      <c r="F69" s="309" t="n"/>
      <c r="G69" s="292" t="n"/>
      <c r="H69" s="292" t="n"/>
      <c r="I69" s="293" t="n"/>
      <c r="J69" s="293" t="n"/>
      <c r="K69" s="295" t="n"/>
      <c r="L69" s="295" t="n"/>
      <c r="M69" s="295" t="n"/>
      <c r="N69" s="295" t="n"/>
      <c r="O69" s="294" t="n"/>
      <c r="P69" s="295" t="n"/>
      <c r="Q69" s="294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97" t="inlineStr">
        <is>
          <t>09-Aug-30</t>
        </is>
      </c>
      <c r="C70" s="288" t="n">
        <v>13</v>
      </c>
      <c r="D70" s="298" t="inlineStr">
        <is>
          <t>234324</t>
        </is>
      </c>
      <c r="E70" s="290" t="inlineStr">
        <is>
          <t>BCA</t>
        </is>
      </c>
      <c r="F70" s="299" t="n">
        <v>134772</v>
      </c>
      <c r="G70" s="292" t="inlineStr">
        <is>
          <t>USD</t>
        </is>
      </c>
      <c r="H70" s="300" t="n">
        <v>11231</v>
      </c>
      <c r="I70" s="301" t="n"/>
      <c r="J70" s="301" t="n"/>
      <c r="K70" s="302" t="n"/>
      <c r="L70" s="308" t="n">
        <v>134772</v>
      </c>
      <c r="M70" s="290" t="n"/>
      <c r="N70" s="290" t="n"/>
      <c r="O70" s="290" t="n"/>
      <c r="P70" s="290" t="n"/>
      <c r="Q70" s="290" t="n"/>
      <c r="R70" s="303" t="n"/>
      <c r="S70" s="303" t="n"/>
      <c r="T70" s="303" t="n"/>
      <c r="U70" s="303" t="n"/>
      <c r="V70" s="303" t="n"/>
      <c r="W70" s="303" t="n"/>
      <c r="X70" s="303" t="n"/>
      <c r="Y70" s="303" t="n"/>
    </row>
    <row r="71" ht="15.5" customHeight="1">
      <c r="B71" s="277" t="inlineStr">
        <is>
          <t>Expense#5</t>
        </is>
      </c>
      <c r="C71" s="278" t="inlineStr">
        <is>
          <t>:</t>
        </is>
      </c>
      <c r="D71" s="279" t="inlineStr">
        <is>
          <t>werwer</t>
        </is>
      </c>
      <c r="E71" s="310" t="n"/>
      <c r="F71" s="315" t="n"/>
      <c r="G71" s="282" t="n"/>
      <c r="H71" s="282" t="n"/>
      <c r="I71" s="283" t="n"/>
      <c r="J71" s="283" t="n"/>
      <c r="K71" s="285" t="n"/>
      <c r="L71" s="317" t="n"/>
      <c r="M71" s="285" t="n"/>
      <c r="N71" s="285" t="n"/>
      <c r="O71" s="285" t="n"/>
      <c r="P71" s="285" t="n"/>
      <c r="Q71" s="285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n"/>
      <c r="C72" s="288" t="n"/>
      <c r="D72" s="289" t="inlineStr">
        <is>
          <t>Accommodation , Transportation</t>
        </is>
      </c>
      <c r="E72" s="305" t="n"/>
      <c r="F72" s="309" t="n"/>
      <c r="G72" s="292" t="n"/>
      <c r="H72" s="292" t="n"/>
      <c r="I72" s="293" t="n"/>
      <c r="J72" s="293" t="n"/>
      <c r="K72" s="295" t="n"/>
      <c r="L72" s="295" t="n"/>
      <c r="M72" s="295" t="n"/>
      <c r="N72" s="295" t="n"/>
      <c r="O72" s="295" t="n"/>
      <c r="P72" s="295" t="n"/>
      <c r="Q72" s="295" t="n"/>
      <c r="R72" s="296" t="n"/>
      <c r="S72" s="296" t="n"/>
      <c r="T72" s="296" t="n"/>
      <c r="U72" s="296" t="n"/>
      <c r="V72" s="296" t="n"/>
      <c r="W72" s="296" t="n"/>
      <c r="X72" s="296" t="n"/>
      <c r="Y72" s="296" t="n"/>
    </row>
    <row r="73" ht="15.5" customHeight="1">
      <c r="B73" s="297" t="inlineStr">
        <is>
          <t>31-Dec-30</t>
        </is>
      </c>
      <c r="C73" s="288" t="n">
        <v>14</v>
      </c>
      <c r="D73" s="298" t="inlineStr">
        <is>
          <t>wqew</t>
        </is>
      </c>
      <c r="E73" s="290" t="inlineStr">
        <is>
          <t>Advance</t>
        </is>
      </c>
      <c r="F73" s="299" t="n">
        <v>123123</v>
      </c>
      <c r="G73" s="292" t="inlineStr">
        <is>
          <t>IDR</t>
        </is>
      </c>
      <c r="H73" s="300" t="n">
        <v>1</v>
      </c>
      <c r="I73" s="301" t="n"/>
      <c r="J73" s="301" t="n"/>
      <c r="K73" s="302" t="n"/>
      <c r="L73" s="308" t="n">
        <v>123123</v>
      </c>
      <c r="M73" s="290" t="n"/>
      <c r="N73" s="290" t="n"/>
      <c r="O73" s="290" t="n"/>
      <c r="P73" s="290" t="n"/>
      <c r="Q73" s="290" t="n"/>
      <c r="R73" s="303" t="n"/>
      <c r="S73" s="303" t="n"/>
      <c r="T73" s="303" t="n"/>
      <c r="U73" s="303" t="n"/>
      <c r="V73" s="303" t="n"/>
      <c r="W73" s="303" t="n"/>
      <c r="X73" s="303" t="n"/>
      <c r="Y73" s="303" t="n"/>
    </row>
    <row r="74" ht="15.5" customHeight="1">
      <c r="A74" s="66" t="n"/>
      <c r="B74" s="277" t="inlineStr">
        <is>
          <t>Expense#6</t>
        </is>
      </c>
      <c r="C74" s="278" t="inlineStr">
        <is>
          <t>:</t>
        </is>
      </c>
      <c r="D74" s="279" t="inlineStr">
        <is>
          <t>asdasd</t>
        </is>
      </c>
      <c r="E74" s="310" t="n"/>
      <c r="F74" s="281" t="n"/>
      <c r="G74" s="282" t="n"/>
      <c r="H74" s="282" t="n"/>
      <c r="I74" s="283" t="n"/>
      <c r="J74" s="283" t="n"/>
      <c r="K74" s="285" t="n"/>
      <c r="L74" s="285" t="n"/>
      <c r="M74" s="285" t="n"/>
      <c r="N74" s="285" t="n"/>
      <c r="O74" s="285" t="n"/>
      <c r="P74" s="285" t="n"/>
      <c r="Q74" s="284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n"/>
      <c r="C75" s="288" t="n"/>
      <c r="D75" s="289" t="inlineStr">
        <is>
          <t>Rental Tool</t>
        </is>
      </c>
      <c r="E75" s="305" t="n"/>
      <c r="F75" s="291" t="n"/>
      <c r="G75" s="292" t="n"/>
      <c r="H75" s="292" t="n"/>
      <c r="I75" s="293" t="n"/>
      <c r="J75" s="294" t="n"/>
      <c r="K75" s="295" t="n"/>
      <c r="L75" s="295" t="n"/>
      <c r="M75" s="295" t="n"/>
      <c r="N75" s="295" t="n"/>
      <c r="O75" s="295" t="n"/>
      <c r="P75" s="295" t="n"/>
      <c r="Q75" s="295" t="n"/>
      <c r="R75" s="296" t="n"/>
      <c r="S75" s="296" t="n"/>
      <c r="T75" s="296" t="n"/>
      <c r="U75" s="296" t="n"/>
      <c r="V75" s="296" t="n"/>
      <c r="W75" s="296" t="n"/>
      <c r="X75" s="296" t="n"/>
      <c r="Y75" s="296" t="n"/>
    </row>
    <row r="76" ht="15.5" customHeight="1">
      <c r="B76" s="297" t="inlineStr">
        <is>
          <t>31-Dec-30</t>
        </is>
      </c>
      <c r="C76" s="288" t="n">
        <v>15</v>
      </c>
      <c r="D76" s="298" t="inlineStr">
        <is>
          <t>wqeqwe</t>
        </is>
      </c>
      <c r="E76" s="290" t="inlineStr">
        <is>
          <t>Advance</t>
        </is>
      </c>
      <c r="F76" s="299" t="n">
        <v>123123</v>
      </c>
      <c r="G76" s="292" t="inlineStr">
        <is>
          <t>IDR</t>
        </is>
      </c>
      <c r="H76" s="300" t="n">
        <v>1</v>
      </c>
      <c r="I76" s="301" t="n"/>
      <c r="J76" s="314" t="n">
        <v>123123</v>
      </c>
      <c r="K76" s="302" t="n"/>
      <c r="L76" s="290" t="n"/>
      <c r="M76" s="290" t="n"/>
      <c r="N76" s="290" t="n"/>
      <c r="O76" s="290" t="n"/>
      <c r="P76" s="290" t="n"/>
      <c r="Q76" s="290" t="n"/>
      <c r="R76" s="303" t="n"/>
      <c r="S76" s="303" t="n"/>
      <c r="T76" s="303" t="n"/>
      <c r="U76" s="303" t="n"/>
      <c r="V76" s="303" t="n"/>
      <c r="W76" s="303" t="n"/>
      <c r="X76" s="303" t="n"/>
      <c r="Y76" s="303" t="n"/>
    </row>
    <row r="77" ht="15.5" customHeight="1">
      <c r="B77" s="297" t="inlineStr">
        <is>
          <t>31-Dec-30</t>
        </is>
      </c>
      <c r="C77" s="288" t="n">
        <v>16</v>
      </c>
      <c r="D77" s="298" t="inlineStr">
        <is>
          <t>213123</t>
        </is>
      </c>
      <c r="E77" s="290" t="inlineStr">
        <is>
          <t>Advance</t>
        </is>
      </c>
      <c r="F77" s="299" t="n">
        <v>247126</v>
      </c>
      <c r="G77" s="292" t="inlineStr">
        <is>
          <t>USD</t>
        </is>
      </c>
      <c r="H77" s="300" t="n">
        <v>11233</v>
      </c>
      <c r="I77" s="301" t="n"/>
      <c r="J77" s="314" t="n">
        <v>247126</v>
      </c>
      <c r="K77" s="302" t="n"/>
      <c r="L77" s="290" t="n"/>
      <c r="M77" s="290" t="n"/>
      <c r="N77" s="290" t="n"/>
      <c r="O77" s="290" t="n"/>
      <c r="P77" s="290" t="n"/>
      <c r="Q77" s="290" t="n"/>
      <c r="R77" s="303" t="n"/>
      <c r="S77" s="303" t="n"/>
      <c r="T77" s="303" t="n"/>
      <c r="U77" s="303" t="n"/>
      <c r="V77" s="303" t="n"/>
      <c r="W77" s="303" t="n"/>
      <c r="X77" s="303" t="n"/>
      <c r="Y77" s="303" t="n"/>
    </row>
    <row r="78" ht="15.5" customHeight="1">
      <c r="B78" s="277" t="inlineStr">
        <is>
          <t>Expense#7</t>
        </is>
      </c>
      <c r="C78" s="278" t="inlineStr">
        <is>
          <t>:</t>
        </is>
      </c>
      <c r="D78" s="279" t="inlineStr">
        <is>
          <t>lala</t>
        </is>
      </c>
      <c r="E78" s="310" t="n"/>
      <c r="F78" s="281" t="n"/>
      <c r="G78" s="318" t="n"/>
      <c r="H78" s="282" t="n"/>
      <c r="I78" s="283" t="n"/>
      <c r="J78" s="285" t="n"/>
      <c r="K78" s="319" t="n"/>
      <c r="L78" s="285" t="n"/>
      <c r="M78" s="285" t="n"/>
      <c r="N78" s="285" t="n"/>
      <c r="O78" s="285" t="n"/>
      <c r="P78" s="285" t="n"/>
      <c r="Q78" s="285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n"/>
      <c r="C79" s="288" t="n"/>
      <c r="D79" s="289" t="inlineStr">
        <is>
          <t>Allowance , Transportation</t>
        </is>
      </c>
      <c r="E79" s="290" t="n"/>
      <c r="F79" s="302" t="n"/>
      <c r="G79" s="292" t="n"/>
      <c r="H79" s="292" t="n"/>
      <c r="I79" s="293" t="n"/>
      <c r="J79" s="293" t="n"/>
      <c r="K79" s="294" t="n"/>
      <c r="L79" s="295" t="n"/>
      <c r="M79" s="295" t="n"/>
      <c r="N79" s="295" t="n"/>
      <c r="O79" s="295" t="n"/>
      <c r="P79" s="295" t="n"/>
      <c r="Q79" s="316" t="n"/>
      <c r="R79" s="296" t="n"/>
      <c r="S79" s="296" t="n"/>
      <c r="T79" s="296" t="n"/>
      <c r="U79" s="296" t="n"/>
      <c r="V79" s="296" t="n"/>
      <c r="W79" s="296" t="n"/>
      <c r="X79" s="296" t="n"/>
      <c r="Y79" s="296" t="n"/>
    </row>
    <row r="80" ht="15.5" customHeight="1">
      <c r="B80" s="297" t="inlineStr">
        <is>
          <t>31-Dec-30</t>
        </is>
      </c>
      <c r="C80" s="288" t="n">
        <v>17</v>
      </c>
      <c r="D80" s="298" t="inlineStr">
        <is>
          <t>jsj</t>
        </is>
      </c>
      <c r="E80" s="290" t="inlineStr">
        <is>
          <t>Advance</t>
        </is>
      </c>
      <c r="F80" s="299" t="n">
        <v>646</v>
      </c>
      <c r="G80" s="292" t="inlineStr">
        <is>
          <t>IDR</t>
        </is>
      </c>
      <c r="H80" s="300" t="n">
        <v>1</v>
      </c>
      <c r="I80" s="301" t="n"/>
      <c r="J80" s="301" t="n"/>
      <c r="K80" s="302" t="n"/>
      <c r="L80" s="308" t="n">
        <v>646</v>
      </c>
      <c r="M80" s="290" t="n"/>
      <c r="N80" s="290" t="n"/>
      <c r="O80" s="290" t="n"/>
      <c r="P80" s="290" t="n"/>
      <c r="Q80" s="290" t="n"/>
      <c r="R80" s="303" t="n"/>
      <c r="S80" s="303" t="n"/>
      <c r="T80" s="303" t="n"/>
      <c r="U80" s="303" t="n"/>
      <c r="V80" s="303" t="n"/>
      <c r="W80" s="303" t="n"/>
      <c r="X80" s="303" t="n"/>
      <c r="Y80" s="303" t="n"/>
    </row>
    <row r="81" ht="15.5" customHeight="1">
      <c r="B81" s="320" t="n"/>
      <c r="C81" s="321" t="n"/>
      <c r="D81" s="322" t="inlineStr">
        <is>
          <t>OPERATION COST AND OFFICE - Expenses Report</t>
        </is>
      </c>
      <c r="E81" s="323" t="n"/>
      <c r="F81" s="324" t="n"/>
      <c r="G81" s="325" t="n"/>
      <c r="H81" s="325" t="n"/>
      <c r="I81" s="326" t="n"/>
      <c r="J81" s="326" t="n"/>
      <c r="K81" s="327" t="n"/>
      <c r="L81" s="328" t="n"/>
      <c r="M81" s="328" t="n"/>
      <c r="N81" s="328" t="n"/>
      <c r="O81" s="328" t="n"/>
      <c r="P81" s="328" t="n"/>
      <c r="Q81" s="329" t="n"/>
      <c r="R81" s="330" t="n"/>
      <c r="S81" s="330" t="n"/>
      <c r="T81" s="330" t="n"/>
      <c r="U81" s="330" t="n"/>
      <c r="V81" s="330" t="n"/>
      <c r="W81" s="330" t="n"/>
      <c r="X81" s="330" t="n"/>
      <c r="Y81" s="330" t="n"/>
    </row>
    <row r="82" ht="15.5" customHeight="1">
      <c r="B82" s="331" t="n"/>
      <c r="C82" s="288" t="n"/>
      <c r="D82" s="332" t="inlineStr">
        <is>
          <t>keysha , nabil</t>
        </is>
      </c>
      <c r="E82" s="290" t="n"/>
      <c r="F82" s="291" t="n"/>
      <c r="G82" s="292" t="n"/>
      <c r="H82" s="292" t="n"/>
      <c r="I82" s="293" t="n"/>
      <c r="J82" s="293" t="n"/>
      <c r="K82" s="294" t="n"/>
      <c r="L82" s="295" t="n"/>
      <c r="M82" s="295" t="n"/>
      <c r="N82" s="295" t="n"/>
      <c r="O82" s="295" t="n"/>
      <c r="P82" s="295" t="n"/>
      <c r="Q82" s="295" t="n"/>
      <c r="R82" s="296" t="n"/>
      <c r="S82" s="296" t="n"/>
      <c r="T82" s="296" t="n"/>
      <c r="U82" s="296" t="n"/>
      <c r="V82" s="296" t="n"/>
      <c r="W82" s="296" t="n"/>
      <c r="X82" s="296" t="n"/>
      <c r="Y82" s="296" t="n"/>
    </row>
    <row r="83" ht="15.5" customHeight="1">
      <c r="B83" s="297" t="inlineStr">
        <is>
          <t>13-Dec-30</t>
        </is>
      </c>
      <c r="C83" s="288" t="n">
        <v>18</v>
      </c>
      <c r="D83" s="298" t="inlineStr">
        <is>
          <t>23434</t>
        </is>
      </c>
      <c r="E83" s="290" t="inlineStr">
        <is>
          <t>BRI</t>
        </is>
      </c>
      <c r="F83" s="299" t="n">
        <v>220000</v>
      </c>
      <c r="G83" s="292" t="inlineStr">
        <is>
          <t>USD</t>
        </is>
      </c>
      <c r="H83" s="300" t="n">
        <v>10000</v>
      </c>
      <c r="I83" s="301" t="n"/>
      <c r="J83" s="301" t="n"/>
      <c r="K83" s="302" t="n"/>
      <c r="L83" s="290" t="n"/>
      <c r="M83" s="308" t="n">
        <v>220000</v>
      </c>
      <c r="N83" s="290" t="n"/>
      <c r="O83" s="290" t="n"/>
      <c r="P83" s="290" t="n"/>
      <c r="Q83" s="290" t="n"/>
      <c r="R83" s="303" t="n"/>
      <c r="S83" s="303" t="n"/>
      <c r="T83" s="303" t="n"/>
      <c r="U83" s="303" t="n"/>
      <c r="V83" s="303" t="n"/>
      <c r="W83" s="303" t="n"/>
      <c r="X83" s="303" t="n"/>
      <c r="Y83" s="303" t="n"/>
    </row>
    <row r="84" ht="15.5" customHeight="1">
      <c r="A84" s="66" t="n"/>
      <c r="B84" s="331" t="n"/>
      <c r="C84" s="288" t="n"/>
      <c r="D84" s="332" t="inlineStr">
        <is>
          <t>-</t>
        </is>
      </c>
      <c r="E84" s="290" t="n"/>
      <c r="F84" s="291" t="n"/>
      <c r="G84" s="292" t="n"/>
      <c r="H84" s="292" t="n"/>
      <c r="I84" s="293" t="n"/>
      <c r="J84" s="293" t="n"/>
      <c r="K84" s="294" t="n"/>
      <c r="L84" s="295" t="n"/>
      <c r="M84" s="295" t="n"/>
      <c r="N84" s="295" t="n"/>
      <c r="O84" s="295" t="n"/>
      <c r="P84" s="295" t="n"/>
      <c r="Q84" s="295" t="n"/>
      <c r="R84" s="296" t="n"/>
      <c r="S84" s="296" t="n"/>
      <c r="T84" s="296" t="n"/>
      <c r="U84" s="296" t="n"/>
      <c r="V84" s="296" t="n"/>
      <c r="W84" s="296" t="n"/>
      <c r="X84" s="296" t="n"/>
      <c r="Y84" s="296" t="n"/>
    </row>
    <row r="85" ht="15.5" customHeight="1">
      <c r="B85" s="297" t="inlineStr">
        <is>
          <t>31-Dec-30</t>
        </is>
      </c>
      <c r="C85" s="288" t="n">
        <v>19</v>
      </c>
      <c r="D85" s="298" t="inlineStr">
        <is>
          <t>asdasd</t>
        </is>
      </c>
      <c r="E85" s="290" t="inlineStr">
        <is>
          <t>Advance</t>
        </is>
      </c>
      <c r="F85" s="299" t="n">
        <v>234234</v>
      </c>
      <c r="G85" s="292" t="inlineStr">
        <is>
          <t>IDR</t>
        </is>
      </c>
      <c r="H85" s="300" t="n">
        <v>1</v>
      </c>
      <c r="I85" s="301" t="n"/>
      <c r="J85" s="301" t="n"/>
      <c r="K85" s="302" t="n"/>
      <c r="L85" s="290" t="n"/>
      <c r="M85" s="290" t="n"/>
      <c r="N85" s="290" t="n"/>
      <c r="O85" s="290" t="n"/>
      <c r="P85" s="290" t="n"/>
      <c r="Q85" s="290" t="n"/>
      <c r="R85" s="303" t="n"/>
      <c r="S85" s="304" t="n">
        <v>234234</v>
      </c>
      <c r="T85" s="303" t="n"/>
      <c r="U85" s="303" t="n"/>
      <c r="V85" s="303" t="n"/>
      <c r="W85" s="303" t="n"/>
      <c r="X85" s="303" t="n"/>
      <c r="Y85" s="303" t="n"/>
    </row>
    <row r="86" ht="15.5" customHeight="1">
      <c r="B86" s="331" t="n"/>
      <c r="C86" s="288" t="n"/>
      <c r="D86" s="332" t="inlineStr">
        <is>
          <t>Accommodation</t>
        </is>
      </c>
      <c r="E86" s="290" t="n"/>
      <c r="F86" s="291" t="n"/>
      <c r="G86" s="292" t="n"/>
      <c r="H86" s="292" t="n"/>
      <c r="I86" s="293" t="n"/>
      <c r="J86" s="293" t="n"/>
      <c r="K86" s="294" t="n"/>
      <c r="L86" s="295" t="n"/>
      <c r="M86" s="295" t="n"/>
      <c r="N86" s="295" t="n"/>
      <c r="O86" s="295" t="n"/>
      <c r="P86" s="295" t="n"/>
      <c r="Q86" s="295" t="n"/>
      <c r="R86" s="296" t="n"/>
      <c r="S86" s="296" t="n"/>
      <c r="T86" s="296" t="n"/>
      <c r="U86" s="296" t="n"/>
      <c r="V86" s="296" t="n"/>
      <c r="W86" s="296" t="n"/>
      <c r="X86" s="296" t="n"/>
      <c r="Y86" s="296" t="n"/>
    </row>
    <row r="87" ht="15.5" customHeight="1">
      <c r="A87" s="66" t="n"/>
      <c r="B87" s="297" t="inlineStr">
        <is>
          <t>31-Dec-30</t>
        </is>
      </c>
      <c r="C87" s="288" t="n">
        <v>20</v>
      </c>
      <c r="D87" s="298" t="inlineStr">
        <is>
          <t>qweqw</t>
        </is>
      </c>
      <c r="E87" s="290" t="inlineStr">
        <is>
          <t>BRI</t>
        </is>
      </c>
      <c r="F87" s="299" t="n">
        <v>138282273129</v>
      </c>
      <c r="G87" s="292" t="inlineStr">
        <is>
          <t>GBP</t>
        </is>
      </c>
      <c r="H87" s="300" t="n">
        <v>1123123</v>
      </c>
      <c r="I87" s="301" t="n"/>
      <c r="J87" s="301" t="n"/>
      <c r="K87" s="302" t="n"/>
      <c r="L87" s="308" t="n">
        <v>138282273129</v>
      </c>
      <c r="M87" s="290" t="n"/>
      <c r="N87" s="290" t="n"/>
      <c r="O87" s="290" t="n"/>
      <c r="P87" s="290" t="n"/>
      <c r="Q87" s="290" t="n"/>
      <c r="R87" s="303" t="n"/>
      <c r="S87" s="303" t="n"/>
      <c r="T87" s="303" t="n"/>
      <c r="U87" s="303" t="n"/>
      <c r="V87" s="303" t="n"/>
      <c r="W87" s="303" t="n"/>
      <c r="X87" s="303" t="n"/>
      <c r="Y87" s="303" t="n"/>
    </row>
    <row r="88" ht="15.5" customHeight="1">
      <c r="B88" s="331" t="n"/>
      <c r="C88" s="288" t="n"/>
      <c r="D88" s="332" t="inlineStr">
        <is>
          <t>Allowance</t>
        </is>
      </c>
      <c r="E88" s="290" t="n"/>
      <c r="F88" s="291" t="n"/>
      <c r="G88" s="292" t="n"/>
      <c r="H88" s="292" t="n"/>
      <c r="I88" s="293" t="n"/>
      <c r="J88" s="293" t="n"/>
      <c r="K88" s="294" t="n"/>
      <c r="L88" s="295" t="n"/>
      <c r="M88" s="295" t="n"/>
      <c r="N88" s="295" t="n"/>
      <c r="O88" s="295" t="n"/>
      <c r="P88" s="295" t="n"/>
      <c r="Q88" s="295" t="n"/>
      <c r="R88" s="296" t="n"/>
      <c r="S88" s="296" t="n"/>
      <c r="T88" s="296" t="n"/>
      <c r="U88" s="296" t="n"/>
      <c r="V88" s="296" t="n"/>
      <c r="W88" s="296" t="n"/>
      <c r="X88" s="296" t="n"/>
      <c r="Y88" s="296" t="n"/>
    </row>
    <row r="89" ht="15.5" customHeight="1">
      <c r="B89" s="297" t="inlineStr">
        <is>
          <t>31-Dec-30</t>
        </is>
      </c>
      <c r="C89" s="288" t="n">
        <v>21</v>
      </c>
      <c r="D89" s="298" t="inlineStr">
        <is>
          <t>87987000</t>
        </is>
      </c>
      <c r="E89" s="290" t="inlineStr">
        <is>
          <t>BNI</t>
        </is>
      </c>
      <c r="F89" s="299" t="n">
        <v>98098000</v>
      </c>
      <c r="G89" s="292" t="inlineStr">
        <is>
          <t>IDR</t>
        </is>
      </c>
      <c r="H89" s="300" t="n">
        <v>1</v>
      </c>
      <c r="I89" s="301" t="n"/>
      <c r="J89" s="301" t="n"/>
      <c r="K89" s="302" t="n"/>
      <c r="L89" s="308" t="n">
        <v>98098000</v>
      </c>
      <c r="M89" s="290" t="n"/>
      <c r="N89" s="290" t="n"/>
      <c r="O89" s="290" t="n"/>
      <c r="P89" s="290" t="n"/>
      <c r="Q89" s="290" t="n"/>
      <c r="R89" s="303" t="n"/>
      <c r="S89" s="303" t="n"/>
      <c r="T89" s="303" t="n"/>
      <c r="U89" s="303" t="n"/>
      <c r="V89" s="303" t="n"/>
      <c r="W89" s="303" t="n"/>
      <c r="X89" s="303" t="n"/>
      <c r="Y89" s="303" t="n"/>
    </row>
    <row r="90" ht="15.5" customHeight="1">
      <c r="A90" s="66" t="n"/>
      <c r="B90" s="331" t="n"/>
      <c r="C90" s="288" t="n"/>
      <c r="D90" s="332" t="inlineStr">
        <is>
          <t>keysha</t>
        </is>
      </c>
      <c r="E90" s="290" t="n"/>
      <c r="F90" s="291" t="n"/>
      <c r="G90" s="292" t="n"/>
      <c r="H90" s="292" t="n"/>
      <c r="I90" s="293" t="n"/>
      <c r="J90" s="293" t="n"/>
      <c r="K90" s="294" t="n"/>
      <c r="L90" s="295" t="n"/>
      <c r="M90" s="295" t="n"/>
      <c r="N90" s="295" t="n"/>
      <c r="O90" s="295" t="n"/>
      <c r="P90" s="295" t="n"/>
      <c r="Q90" s="295" t="n"/>
      <c r="R90" s="296" t="n"/>
      <c r="S90" s="296" t="n"/>
      <c r="T90" s="296" t="n"/>
      <c r="U90" s="296" t="n"/>
      <c r="V90" s="296" t="n"/>
      <c r="W90" s="296" t="n"/>
      <c r="X90" s="296" t="n"/>
      <c r="Y90" s="296" t="n"/>
    </row>
    <row r="91" ht="15.5" customHeight="1">
      <c r="B91" s="297" t="inlineStr">
        <is>
          <t>01-Oct-30</t>
        </is>
      </c>
      <c r="C91" s="288" t="n">
        <v>22</v>
      </c>
      <c r="D91" s="298" t="inlineStr">
        <is>
          <t>sdasd</t>
        </is>
      </c>
      <c r="E91" s="290" t="inlineStr">
        <is>
          <t>Mandiri</t>
        </is>
      </c>
      <c r="F91" s="299" t="n">
        <v>14664</v>
      </c>
      <c r="G91" s="292" t="inlineStr">
        <is>
          <t>USD</t>
        </is>
      </c>
      <c r="H91" s="300" t="n">
        <v>1222</v>
      </c>
      <c r="I91" s="301" t="n"/>
      <c r="J91" s="301" t="n"/>
      <c r="K91" s="302" t="n"/>
      <c r="L91" s="290" t="n"/>
      <c r="M91" s="308" t="n">
        <v>14664</v>
      </c>
      <c r="N91" s="290" t="n"/>
      <c r="O91" s="290" t="n"/>
      <c r="P91" s="290" t="n"/>
      <c r="Q91" s="290" t="n"/>
      <c r="R91" s="303" t="n"/>
      <c r="S91" s="303" t="n"/>
      <c r="T91" s="303" t="n"/>
      <c r="U91" s="303" t="n"/>
      <c r="V91" s="303" t="n"/>
      <c r="W91" s="303" t="n"/>
      <c r="X91" s="303" t="n"/>
      <c r="Y91" s="303" t="n"/>
    </row>
    <row r="92" ht="15.5" customHeight="1">
      <c r="B92" s="297" t="inlineStr">
        <is>
          <t>31-Dec-30</t>
        </is>
      </c>
      <c r="C92" s="288" t="n">
        <v>23</v>
      </c>
      <c r="D92" s="298" t="inlineStr">
        <is>
          <t>3234234</t>
        </is>
      </c>
      <c r="E92" s="290" t="inlineStr">
        <is>
          <t>Mandiri</t>
        </is>
      </c>
      <c r="F92" s="299" t="n">
        <v>234234</v>
      </c>
      <c r="G92" s="292" t="inlineStr">
        <is>
          <t>IDR</t>
        </is>
      </c>
      <c r="H92" s="300" t="n">
        <v>1</v>
      </c>
      <c r="I92" s="301" t="n"/>
      <c r="J92" s="301" t="n"/>
      <c r="K92" s="302" t="n"/>
      <c r="L92" s="290" t="n"/>
      <c r="M92" s="308" t="n">
        <v>234234</v>
      </c>
      <c r="N92" s="290" t="n"/>
      <c r="O92" s="290" t="n"/>
      <c r="P92" s="290" t="n"/>
      <c r="Q92" s="290" t="n"/>
      <c r="R92" s="303" t="n"/>
      <c r="S92" s="303" t="n"/>
      <c r="T92" s="303" t="n"/>
      <c r="U92" s="303" t="n"/>
      <c r="V92" s="303" t="n"/>
      <c r="W92" s="303" t="n"/>
      <c r="X92" s="303" t="n"/>
      <c r="Y92" s="303" t="n"/>
    </row>
    <row r="93" ht="15.5" customHeight="1">
      <c r="B93" s="297" t="inlineStr">
        <is>
          <t>31-Dec-30</t>
        </is>
      </c>
      <c r="C93" s="288" t="n">
        <v>24</v>
      </c>
      <c r="D93" s="298" t="inlineStr">
        <is>
          <t>23</t>
        </is>
      </c>
      <c r="E93" s="290" t="inlineStr">
        <is>
          <t>Mandiri</t>
        </is>
      </c>
      <c r="F93" s="299" t="n">
        <v>13838729</v>
      </c>
      <c r="G93" s="292" t="inlineStr">
        <is>
          <t>EUR</t>
        </is>
      </c>
      <c r="H93" s="300" t="n">
        <v>1123</v>
      </c>
      <c r="I93" s="301" t="n"/>
      <c r="J93" s="301" t="n"/>
      <c r="K93" s="302" t="n"/>
      <c r="L93" s="290" t="n"/>
      <c r="M93" s="308" t="n">
        <v>13838729</v>
      </c>
      <c r="N93" s="290" t="n"/>
      <c r="O93" s="290" t="n"/>
      <c r="P93" s="290" t="n"/>
      <c r="Q93" s="290" t="n"/>
      <c r="R93" s="303" t="n"/>
      <c r="S93" s="303" t="n"/>
      <c r="T93" s="303" t="n"/>
      <c r="U93" s="303" t="n"/>
      <c r="V93" s="303" t="n"/>
      <c r="W93" s="303" t="n"/>
      <c r="X93" s="303" t="n"/>
      <c r="Y93" s="303" t="n"/>
    </row>
    <row r="94" ht="15.5" customHeight="1">
      <c r="A94" s="66" t="n"/>
      <c r="B94" s="333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34" t="n">
        <v>0</v>
      </c>
      <c r="J94" s="335" t="n">
        <v>428025</v>
      </c>
      <c r="K94" s="335" t="n">
        <v>0</v>
      </c>
      <c r="L94" s="335" t="n">
        <v>138618778700</v>
      </c>
      <c r="M94" s="335" t="n">
        <v>14337627</v>
      </c>
      <c r="N94" s="335" t="n">
        <v>0</v>
      </c>
      <c r="O94" s="335" t="n">
        <v>0</v>
      </c>
      <c r="P94" s="335" t="n">
        <v>0</v>
      </c>
      <c r="Q94" s="335" t="n">
        <v>0</v>
      </c>
      <c r="R94" s="335" t="n">
        <v>0</v>
      </c>
      <c r="S94" s="335" t="n">
        <v>234234</v>
      </c>
      <c r="T94" s="335" t="n">
        <v>0</v>
      </c>
      <c r="U94" s="335" t="n">
        <v>0</v>
      </c>
      <c r="V94" s="335" t="n">
        <v>0</v>
      </c>
      <c r="W94" s="335" t="n">
        <v>0</v>
      </c>
      <c r="X94" s="335" t="n">
        <v>0</v>
      </c>
      <c r="Y94" s="335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2030</t>
        </is>
      </c>
      <c r="F4" s="339" t="n"/>
      <c r="G4" s="342" t="inlineStr">
        <is>
          <t>NERACA |TAHUN YANG BERAKHIR, 31 DESEMBER 2030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 t="n">
        <v>0</v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 t="n">
        <v>0</v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E50-'Business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RESEARCH (R&amp;D)</t>
        </is>
      </c>
      <c r="D15" s="364" t="inlineStr">
        <is>
          <t>Rp</t>
        </is>
      </c>
      <c r="E15" s="365">
        <f>'Revenue-Cost_2030'!I94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SEWA PERALATAN</t>
        </is>
      </c>
      <c r="D16" s="364" t="inlineStr">
        <is>
          <t>Rp</t>
        </is>
      </c>
      <c r="E16" s="365">
        <f>'Revenue-Cost_2030'!J94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'Revenue-Cost_2030'!K94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'Revenue-Cost_2030'!L94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DIOFAVIAN</t>
        </is>
      </c>
      <c r="D26" s="364" t="inlineStr">
        <is>
          <t>Rp</t>
        </is>
      </c>
      <c r="E26" s="365">
        <f>'Revenue-Cost_2030'!M94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ADMINISTRASI</t>
        </is>
      </c>
      <c r="D27" s="364" t="inlineStr">
        <is>
          <t>Rp</t>
        </is>
      </c>
      <c r="E27" s="365">
        <f>'Revenue-Cost_2030'!N94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PEMBELIAN BARANG</t>
        </is>
      </c>
      <c r="D28" s="364" t="inlineStr">
        <is>
          <t>Rp</t>
        </is>
      </c>
      <c r="E28" s="365">
        <f>'Revenue-Cost_2030'!O94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SEWA KANTOR</t>
        </is>
      </c>
      <c r="D29" s="364" t="inlineStr">
        <is>
          <t>Rp</t>
        </is>
      </c>
      <c r="E29" s="365">
        <f>'Revenue-Cost_2030'!P94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KESEHATAN</t>
        </is>
      </c>
      <c r="D30" s="364" t="inlineStr">
        <is>
          <t>Rp</t>
        </is>
      </c>
      <c r="E30" s="365">
        <f>'Revenue-Cost_2030'!Q94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2" t="n"/>
      <c r="C31" s="363" t="inlineStr">
        <is>
          <t>BISNIS DEV</t>
        </is>
      </c>
      <c r="D31" s="364" t="inlineStr">
        <is>
          <t>Rp</t>
        </is>
      </c>
      <c r="E31" s="365">
        <f>'Revenue-Cost_2030'!R94</f>
        <v/>
      </c>
      <c r="F31" s="339" t="n"/>
      <c r="G31" s="366" t="n"/>
      <c r="H31" s="367" t="n"/>
      <c r="I31" s="368" t="n"/>
      <c r="J31" s="365" t="n"/>
    </row>
    <row r="32" ht="15" customHeight="1">
      <c r="A32" s="354" t="n"/>
      <c r="B32" s="362" t="n"/>
      <c r="C32" s="363" t="inlineStr">
        <is>
          <t>ASDASD</t>
        </is>
      </c>
      <c r="D32" s="364" t="inlineStr">
        <is>
          <t>Rp</t>
        </is>
      </c>
      <c r="E32" s="365">
        <f>'Revenue-Cost_2030'!S94</f>
        <v/>
      </c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2" t="n"/>
      <c r="C33" s="363" t="inlineStr">
        <is>
          <t>MAKANAN JEPANG</t>
        </is>
      </c>
      <c r="D33" s="364" t="inlineStr">
        <is>
          <t>Rp</t>
        </is>
      </c>
      <c r="E33" s="365">
        <f>'Revenue-Cost_2030'!T94</f>
        <v/>
      </c>
      <c r="F33" s="339" t="n"/>
      <c r="G33" s="366" t="n"/>
      <c r="H33" s="367" t="inlineStr">
        <is>
          <t>HUTANG USAHA</t>
        </is>
      </c>
      <c r="I33" s="364" t="inlineStr">
        <is>
          <t>Rp</t>
        </is>
      </c>
      <c r="J33" s="365" t="n">
        <v>0</v>
      </c>
    </row>
    <row r="34" ht="15" customHeight="1">
      <c r="A34" s="354" t="n"/>
      <c r="B34" s="362" t="n"/>
      <c r="C34" s="363" t="inlineStr">
        <is>
          <t>AAAAA</t>
        </is>
      </c>
      <c r="D34" s="364" t="inlineStr">
        <is>
          <t>Rp</t>
        </is>
      </c>
      <c r="E34" s="365">
        <f>'Revenue-Cost_2030'!U94</f>
        <v/>
      </c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62" t="n"/>
      <c r="C35" s="363" t="inlineStr">
        <is>
          <t>BBBBB</t>
        </is>
      </c>
      <c r="D35" s="364" t="inlineStr">
        <is>
          <t>Rp</t>
        </is>
      </c>
      <c r="E35" s="365">
        <f>'Revenue-Cost_2030'!V94</f>
        <v/>
      </c>
      <c r="F35" s="339" t="n"/>
      <c r="G35" s="366" t="n"/>
      <c r="H35" s="367" t="inlineStr">
        <is>
          <t>HUTANG PEMEGANG SAHAM</t>
        </is>
      </c>
      <c r="I35" s="364" t="inlineStr">
        <is>
          <t>Rp</t>
        </is>
      </c>
      <c r="J35" s="365" t="n">
        <v>0</v>
      </c>
    </row>
    <row r="36" ht="15" customHeight="1">
      <c r="A36" s="354" t="n"/>
      <c r="B36" s="362" t="n"/>
      <c r="C36" s="363" t="inlineStr">
        <is>
          <t>ASDSAD</t>
        </is>
      </c>
      <c r="D36" s="364" t="inlineStr">
        <is>
          <t>Rp</t>
        </is>
      </c>
      <c r="E36" s="365">
        <f>'Revenue-Cost_2030'!W94</f>
        <v/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inlineStr">
        <is>
          <t>DFGDFGDFGD</t>
        </is>
      </c>
      <c r="D37" s="364" t="inlineStr">
        <is>
          <t>Rp</t>
        </is>
      </c>
      <c r="E37" s="365">
        <f>'Revenue-Cost_2030'!X94</f>
        <v/>
      </c>
      <c r="F37" s="339" t="n"/>
      <c r="G37" s="362" t="n"/>
      <c r="H37" s="363" t="n"/>
      <c r="I37" s="364" t="n"/>
      <c r="J37" s="365" t="n"/>
    </row>
    <row r="38" ht="15" customHeight="1">
      <c r="A38" s="354" t="n"/>
      <c r="B38" s="362" t="n"/>
      <c r="C38" s="363" t="inlineStr">
        <is>
          <t>12312</t>
        </is>
      </c>
      <c r="D38" s="364" t="inlineStr">
        <is>
          <t>Rp</t>
        </is>
      </c>
      <c r="E38" s="365">
        <f>'Revenue-Cost_2030'!Y94</f>
        <v/>
      </c>
      <c r="F38" s="339" t="n"/>
      <c r="G38" s="366" t="n"/>
      <c r="H38" s="367" t="inlineStr">
        <is>
          <t>TOTAL HUTANG LANCAR</t>
        </is>
      </c>
      <c r="I38" s="368" t="n"/>
      <c r="J38" s="365">
        <f>SUM(J33:J36)</f>
        <v/>
      </c>
    </row>
    <row r="39" ht="15" customHeight="1">
      <c r="A39" s="354" t="n"/>
      <c r="B39" s="369" t="inlineStr">
        <is>
          <t>TOTAL BIAYA ADMINISTRASI DAN UMUM</t>
        </is>
      </c>
      <c r="C39" s="370" t="n"/>
      <c r="D39" s="371" t="inlineStr">
        <is>
          <t>Rp</t>
        </is>
      </c>
      <c r="E39" s="372">
        <f>SUM(E26:E38)</f>
        <v/>
      </c>
      <c r="F39" s="339" t="n"/>
      <c r="G39" s="373" t="n"/>
      <c r="H39" s="374" t="n"/>
      <c r="I39" s="376" t="n"/>
      <c r="J39" s="372" t="n"/>
    </row>
    <row r="40" ht="15" customHeight="1">
      <c r="A40" s="354" t="n"/>
      <c r="B40" s="362" t="n"/>
      <c r="C40" s="363" t="n"/>
      <c r="D40" s="364" t="n"/>
      <c r="E40" s="365" t="n"/>
      <c r="F40" s="339" t="n"/>
      <c r="G40" s="366" t="inlineStr">
        <is>
          <t>MODAL</t>
        </is>
      </c>
      <c r="H40" s="367" t="n"/>
      <c r="I40" s="368" t="n"/>
      <c r="J40" s="365" t="n"/>
    </row>
    <row r="41" ht="15" customHeight="1">
      <c r="A41" s="354" t="n"/>
      <c r="B41" s="369" t="inlineStr">
        <is>
          <t>TOTAL BIAYA</t>
        </is>
      </c>
      <c r="C41" s="370" t="n"/>
      <c r="D41" s="371" t="inlineStr">
        <is>
          <t>Rp</t>
        </is>
      </c>
      <c r="E41" s="372">
        <f>E19+E23+E39</f>
        <v/>
      </c>
      <c r="F41" s="339" t="n"/>
      <c r="G41" s="373" t="n"/>
      <c r="H41" s="374" t="inlineStr">
        <is>
          <t>MODAL SAHAM</t>
        </is>
      </c>
      <c r="I41" s="371" t="inlineStr">
        <is>
          <t>Rp</t>
        </is>
      </c>
      <c r="J41" s="372" t="n">
        <v>0</v>
      </c>
    </row>
    <row r="42" ht="15" customHeight="1">
      <c r="A42" s="354" t="n"/>
      <c r="B42" s="362" t="n"/>
      <c r="C42" s="363" t="n"/>
      <c r="D42" s="364" t="n"/>
      <c r="E42" s="365" t="n"/>
      <c r="F42" s="339" t="n"/>
      <c r="G42" s="366" t="n"/>
      <c r="H42" s="367" t="inlineStr">
        <is>
          <t>LABA DI TAHAN</t>
        </is>
      </c>
      <c r="I42" s="364" t="inlineStr">
        <is>
          <t>Rp</t>
        </is>
      </c>
      <c r="J42" s="365" t="n">
        <v>0</v>
      </c>
    </row>
    <row r="43" ht="15" customHeight="1">
      <c r="A43" s="354" t="n"/>
      <c r="B43" s="355" t="inlineStr">
        <is>
          <t>PENDAPATAN/BEBAN LAIN LAIN</t>
        </is>
      </c>
      <c r="C43" s="356" t="n"/>
      <c r="D43" s="357" t="n"/>
      <c r="E43" s="358" t="n"/>
      <c r="F43" s="339" t="n"/>
      <c r="G43" s="359" t="n"/>
      <c r="H43" s="360" t="inlineStr">
        <is>
          <t>TOTAL LABA (RUGI) DITAHAN</t>
        </is>
      </c>
      <c r="I43" s="357" t="inlineStr">
        <is>
          <t>Rp</t>
        </is>
      </c>
      <c r="J43" s="358">
        <f>J28-J38-J41-J42</f>
        <v/>
      </c>
    </row>
    <row r="44" ht="15" customHeight="1">
      <c r="A44" s="354" t="n"/>
      <c r="B44" s="362" t="n"/>
      <c r="C44" s="363" t="inlineStr">
        <is>
          <t>PENDAPATAN LAIN LAIN</t>
        </is>
      </c>
      <c r="D44" s="364" t="inlineStr">
        <is>
          <t>Rp</t>
        </is>
      </c>
      <c r="E44" s="365" t="n">
        <v>0</v>
      </c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62" t="n"/>
      <c r="C45" s="363" t="n"/>
      <c r="D45" s="364" t="n"/>
      <c r="E45" s="365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69" t="inlineStr">
        <is>
          <t>LABA RUGI SEBELUM PAJAK</t>
        </is>
      </c>
      <c r="C46" s="370" t="n"/>
      <c r="D46" s="371" t="inlineStr">
        <is>
          <t>Rp</t>
        </is>
      </c>
      <c r="E46" s="372">
        <f>E12-E41</f>
        <v/>
      </c>
      <c r="F46" s="339" t="n"/>
      <c r="G46" s="373" t="inlineStr">
        <is>
          <t>TOTAL HUTANG DAN MODAL</t>
        </is>
      </c>
      <c r="H46" s="374" t="n"/>
      <c r="I46" s="371" t="inlineStr">
        <is>
          <t>Rp</t>
        </is>
      </c>
      <c r="J46" s="372">
        <f>J44+J38</f>
        <v/>
      </c>
    </row>
    <row r="47" ht="15" customHeight="1">
      <c r="A47" s="354" t="n"/>
      <c r="B47" s="362" t="n"/>
      <c r="C47" s="363" t="n"/>
      <c r="D47" s="364" t="n"/>
      <c r="E47" s="365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69" t="inlineStr">
        <is>
          <t>CORPORATE TAX (PPh 29)</t>
        </is>
      </c>
      <c r="C48" s="370" t="n"/>
      <c r="D48" s="371" t="inlineStr">
        <is>
          <t>Rp</t>
        </is>
      </c>
      <c r="E48" s="372" t="n">
        <v>0</v>
      </c>
      <c r="F48" s="354" t="n"/>
      <c r="G48" s="369" t="n"/>
      <c r="H48" s="370" t="n"/>
      <c r="I48" s="371" t="n"/>
      <c r="J48" s="372" t="n"/>
    </row>
    <row r="49" ht="15" customHeight="1">
      <c r="A49" s="354" t="n"/>
      <c r="B49" s="362" t="n"/>
      <c r="C49" s="363" t="n"/>
      <c r="D49" s="364" t="n"/>
      <c r="E49" s="365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78" t="inlineStr">
        <is>
          <t>LABA / RUGI BERSIH</t>
        </is>
      </c>
      <c r="C50" s="379" t="n"/>
      <c r="D50" s="380" t="inlineStr">
        <is>
          <t>Rp</t>
        </is>
      </c>
      <c r="E50" s="381">
        <f>E46-E48</f>
        <v/>
      </c>
      <c r="F50" s="354" t="n"/>
      <c r="G50" s="378" t="n"/>
      <c r="H50" s="379" t="n"/>
      <c r="I50" s="380" t="n"/>
      <c r="J50" s="381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54" t="n"/>
      <c r="C52" s="354" t="n"/>
      <c r="D52" s="354" t="n"/>
      <c r="E52" s="354" t="n"/>
      <c r="F52" s="354" t="n"/>
      <c r="G52" s="354" t="n"/>
      <c r="H52" s="354" t="n"/>
      <c r="J52" s="382" t="n"/>
    </row>
    <row r="53">
      <c r="A53" s="354" t="n"/>
      <c r="B53" s="354" t="n"/>
      <c r="C53" s="354" t="n"/>
      <c r="D53" s="354" t="n"/>
      <c r="E53" s="354" t="n"/>
      <c r="F53" s="354" t="n"/>
      <c r="G53" s="354" t="n"/>
      <c r="H53" s="354" t="n"/>
    </row>
    <row r="54">
      <c r="A54" s="354" t="n"/>
      <c r="B54" s="354" t="n"/>
      <c r="C54" s="383" t="inlineStr">
        <is>
          <t>Direktur</t>
        </is>
      </c>
      <c r="D54" s="354" t="n"/>
      <c r="E54" s="354" t="n"/>
      <c r="F54" s="354" t="n"/>
      <c r="G54" s="354" t="n"/>
      <c r="H54" s="383" t="inlineStr">
        <is>
          <t>Direktur</t>
        </is>
      </c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2030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4" t="inlineStr">
        <is>
          <t>#</t>
        </is>
      </c>
      <c r="C6" s="384" t="inlineStr">
        <is>
          <t>Items</t>
        </is>
      </c>
      <c r="D6" s="385" t="inlineStr">
        <is>
          <t>Amount</t>
        </is>
      </c>
      <c r="E6" s="227" t="n"/>
      <c r="F6" s="339" t="n"/>
    </row>
    <row r="7" ht="20" customHeight="1">
      <c r="A7" s="336" t="n"/>
      <c r="B7" s="386" t="n">
        <v>1</v>
      </c>
      <c r="C7" s="387" t="inlineStr">
        <is>
          <t>Revenue</t>
        </is>
      </c>
      <c r="D7" s="388" t="inlineStr">
        <is>
          <t>Rp</t>
        </is>
      </c>
      <c r="E7" s="389">
        <f>SUM('Revenue-Cost_2030'!L8:L8)</f>
        <v/>
      </c>
      <c r="F7" s="339" t="n"/>
    </row>
    <row r="8" ht="20" customHeight="1">
      <c r="A8" s="336" t="n"/>
      <c r="B8" s="386" t="n">
        <v>2</v>
      </c>
      <c r="C8" s="387" t="inlineStr">
        <is>
          <t>Revenue Diterima (Setelah Pajak)</t>
        </is>
      </c>
      <c r="D8" s="388" t="inlineStr">
        <is>
          <t>Rp</t>
        </is>
      </c>
      <c r="E8" s="389">
        <f>E7-SUM('Revenue-Cost_2030'!N8:N8)</f>
        <v/>
      </c>
      <c r="F8" s="339" t="n"/>
    </row>
    <row r="9" ht="20" customHeight="1">
      <c r="A9" s="336" t="n"/>
      <c r="B9" s="386" t="n">
        <v>3</v>
      </c>
      <c r="C9" s="387" t="inlineStr">
        <is>
          <t>Biaya</t>
        </is>
      </c>
      <c r="D9" s="388" t="inlineStr">
        <is>
          <t>Rp</t>
        </is>
      </c>
      <c r="E9" s="389">
        <f>SUM('Revenue-Cost_2030'!I94:Y94)</f>
        <v/>
      </c>
      <c r="F9" s="339" t="n"/>
    </row>
    <row r="10" ht="20" customHeight="1">
      <c r="A10" s="336" t="n"/>
      <c r="B10" s="386" t="n">
        <v>4</v>
      </c>
      <c r="C10" s="387" t="inlineStr">
        <is>
          <t>Profit SebelumTax</t>
        </is>
      </c>
      <c r="D10" s="388" t="inlineStr">
        <is>
          <t>Rp</t>
        </is>
      </c>
      <c r="E10" s="389">
        <f>E7-E9</f>
        <v/>
      </c>
      <c r="F10" s="339" t="n"/>
    </row>
    <row r="11" ht="20" customHeight="1">
      <c r="A11" s="336" t="n"/>
      <c r="B11" s="386" t="n">
        <v>5</v>
      </c>
      <c r="C11" s="387" t="inlineStr">
        <is>
          <t>PPh Badan (22%*50%)</t>
        </is>
      </c>
      <c r="D11" s="388" t="inlineStr">
        <is>
          <t>Rp</t>
        </is>
      </c>
      <c r="E11" s="389">
        <f>E10*22%*50%</f>
        <v/>
      </c>
      <c r="F11" s="339" t="n"/>
    </row>
    <row r="12" ht="20" customHeight="1">
      <c r="A12" s="336" t="n"/>
      <c r="B12" s="386" t="n">
        <v>6</v>
      </c>
      <c r="C12" s="387" t="inlineStr">
        <is>
          <t>PPh 23 Dipotong oleh client</t>
        </is>
      </c>
      <c r="D12" s="388" t="inlineStr">
        <is>
          <t>Rp</t>
        </is>
      </c>
      <c r="E12" s="389">
        <f>SUM('Revenue-Cost_2030'!N8:N8)</f>
        <v/>
      </c>
      <c r="F12" s="339" t="n"/>
    </row>
    <row r="13" ht="20" customHeight="1">
      <c r="A13" s="336" t="n"/>
      <c r="B13" s="386" t="n">
        <v>7</v>
      </c>
      <c r="C13" s="387" t="inlineStr">
        <is>
          <t>Kekurangan Bayar PPh Badan</t>
        </is>
      </c>
      <c r="D13" s="388" t="inlineStr">
        <is>
          <t>Rp</t>
        </is>
      </c>
      <c r="E13" s="390">
        <f>E11-E12</f>
        <v/>
      </c>
      <c r="F13" s="339" t="n"/>
    </row>
    <row r="14" ht="20" customHeight="1">
      <c r="A14" s="336" t="n"/>
      <c r="B14" s="386" t="n">
        <v>8</v>
      </c>
      <c r="C14" s="387" t="inlineStr">
        <is>
          <t>Profit After Tax</t>
        </is>
      </c>
      <c r="D14" s="388" t="inlineStr">
        <is>
          <t>Rp</t>
        </is>
      </c>
      <c r="E14" s="389">
        <f>E10-E13</f>
        <v/>
      </c>
      <c r="F14" s="339" t="n"/>
    </row>
    <row r="15" ht="20" customHeight="1">
      <c r="A15" s="336" t="n"/>
      <c r="B15" s="386" t="n">
        <v>9</v>
      </c>
      <c r="C15" s="387" t="inlineStr">
        <is>
          <t>Deviden Dibagi</t>
        </is>
      </c>
      <c r="D15" s="388" t="inlineStr">
        <is>
          <t>Rp</t>
        </is>
      </c>
      <c r="E15" s="389">
        <f>E14-E16</f>
        <v/>
      </c>
      <c r="F15" s="339" t="n"/>
    </row>
    <row r="16" ht="20" customHeight="1">
      <c r="A16" s="336" t="n"/>
      <c r="B16" s="386" t="n">
        <v>10</v>
      </c>
      <c r="C16" s="387" t="inlineStr">
        <is>
          <t>Profit Ditahan</t>
        </is>
      </c>
      <c r="D16" s="388" t="inlineStr">
        <is>
          <t>Rp</t>
        </is>
      </c>
      <c r="E16" s="389" t="n">
        <v>0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1" t="inlineStr">
        <is>
          <t>DEVIDEN</t>
        </is>
      </c>
      <c r="F18" s="339" t="n"/>
    </row>
    <row r="19" ht="20" customHeight="1">
      <c r="A19" s="336" t="n"/>
      <c r="B19" s="392" t="inlineStr">
        <is>
          <t>#</t>
        </is>
      </c>
      <c r="C19" s="392" t="inlineStr">
        <is>
          <t>Nama Lengkap</t>
        </is>
      </c>
      <c r="D19" s="393" t="inlineStr"/>
      <c r="E19" s="394" t="inlineStr">
        <is>
          <t>Amount</t>
        </is>
      </c>
      <c r="F19" s="339" t="inlineStr"/>
      <c r="G19" s="395" t="inlineStr">
        <is>
          <t>Pajak</t>
        </is>
      </c>
    </row>
    <row r="20" ht="18" customHeight="1">
      <c r="A20" s="336" t="n"/>
      <c r="B20" s="396" t="n"/>
      <c r="C20" s="397" t="n"/>
      <c r="D20" s="387" t="n"/>
      <c r="E20" s="398" t="n"/>
      <c r="F20" s="339" t="n"/>
      <c r="G20" s="399" t="n"/>
    </row>
    <row r="21" ht="48.75" customHeight="1">
      <c r="A21" s="400" t="n"/>
      <c r="F21" s="339" t="n"/>
    </row>
    <row r="22" ht="14.25" customHeight="1">
      <c r="A22" s="400" t="n"/>
      <c r="F22" s="33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2026-04-22T12:01:49Z</dcterms:modified>
  <cp:lastModifiedBy>Diofavian - Student</cp:lastModifiedBy>
</cp:coreProperties>
</file>