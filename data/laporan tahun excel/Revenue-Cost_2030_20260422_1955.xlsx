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15" fontId="26" fillId="6" borderId="4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11</col>
      <colOff>0</colOff>
      <row>1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333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3333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3333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1" t="inlineStr">
        <is>
          <t>Direktur</t>
        </is>
      </c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n"/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n"/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9" t="n"/>
      <c r="H12" s="370" t="inlineStr">
        <is>
          <t>PIUTANG USAHA</t>
        </is>
      </c>
      <c r="I12" s="367" t="inlineStr">
        <is>
          <t>Rp</t>
        </is>
      </c>
      <c r="J12" s="368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55" t="n"/>
      <c r="H14" s="356" t="inlineStr">
        <is>
          <t>BIAYA BAYAR DI MUKA</t>
        </is>
      </c>
      <c r="I14" s="353" t="inlineStr">
        <is>
          <t>Rp</t>
        </is>
      </c>
      <c r="J14" s="354" t="n">
        <v>0</v>
      </c>
    </row>
    <row r="15" ht="15" customHeight="1">
      <c r="A15" s="350" t="n"/>
      <c r="B15" s="358" t="n"/>
      <c r="C15" s="359" t="inlineStr">
        <is>
          <t>BIAYA RESEARCH (R&amp;D)</t>
        </is>
      </c>
      <c r="D15" s="360" t="inlineStr">
        <is>
          <t>Rp</t>
        </is>
      </c>
      <c r="E15" s="361">
        <f>'Revenue-Cost_2030'!I94</f>
        <v/>
      </c>
      <c r="F15" s="335" t="n"/>
      <c r="G15" s="371" t="n"/>
      <c r="H15" s="363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SEWA PERALATAN</t>
        </is>
      </c>
      <c r="D16" s="360" t="inlineStr">
        <is>
          <t>Rp</t>
        </is>
      </c>
      <c r="E16" s="361">
        <f>'Revenue-Cost_2030'!J94</f>
        <v/>
      </c>
      <c r="F16" s="335" t="n"/>
      <c r="G16" s="362" t="n"/>
      <c r="H16" s="363" t="inlineStr">
        <is>
          <t>TOTAL AKTIVA LANCAR</t>
        </is>
      </c>
      <c r="I16" s="360" t="inlineStr">
        <is>
          <t>Rp</t>
        </is>
      </c>
      <c r="J16" s="361">
        <f>SUM(J10:J15)</f>
        <v/>
      </c>
    </row>
    <row r="17" ht="15" customHeight="1">
      <c r="A17" s="350" t="n"/>
      <c r="B17" s="358" t="n"/>
      <c r="C17" s="359" t="inlineStr">
        <is>
          <t>BIAYA INTERPRETASI LOG DATA</t>
        </is>
      </c>
      <c r="D17" s="360" t="inlineStr">
        <is>
          <t>Rp</t>
        </is>
      </c>
      <c r="E17" s="361">
        <f>'Revenue-Cost_2030'!K94</f>
        <v/>
      </c>
      <c r="F17" s="335" t="n"/>
      <c r="G17" s="362" t="n"/>
      <c r="H17" s="363" t="n"/>
      <c r="I17" s="364" t="n"/>
      <c r="J17" s="361" t="n"/>
    </row>
    <row r="18" ht="15" customHeight="1">
      <c r="A18" s="350" t="n"/>
      <c r="B18" s="358" t="n"/>
      <c r="C18" s="359" t="inlineStr">
        <is>
          <t>BIAYA OPERASI</t>
        </is>
      </c>
      <c r="D18" s="360" t="inlineStr">
        <is>
          <t>Rp</t>
        </is>
      </c>
      <c r="E18" s="361">
        <f>'Revenue-Cost_2030'!L94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inlineStr">
        <is>
          <t>DIOFAVIAN</t>
        </is>
      </c>
      <c r="D19" s="360" t="inlineStr">
        <is>
          <t>Rp</t>
        </is>
      </c>
      <c r="E19" s="361">
        <f>'Revenue-Cost_2030'!M94</f>
        <v/>
      </c>
      <c r="F19" s="335" t="n"/>
      <c r="G19" s="362" t="n"/>
      <c r="H19" s="363" t="n"/>
      <c r="I19" s="364" t="n"/>
      <c r="J19" s="361" t="n"/>
    </row>
    <row r="20" ht="15" customHeight="1">
      <c r="A20" s="350" t="n"/>
      <c r="B20" s="365" t="inlineStr">
        <is>
          <t>TOTAL BIAYA LANGSUNG</t>
        </is>
      </c>
      <c r="C20" s="366" t="n"/>
      <c r="D20" s="367" t="inlineStr">
        <is>
          <t>Rp</t>
        </is>
      </c>
      <c r="E20" s="368">
        <f>SUM(E15:E19)</f>
        <v/>
      </c>
      <c r="F20" s="335" t="n"/>
      <c r="G20" s="369" t="n"/>
      <c r="H20" s="370" t="inlineStr">
        <is>
          <t>INVENTARIS KANTOR</t>
        </is>
      </c>
      <c r="I20" s="367" t="inlineStr">
        <is>
          <t>Rp</t>
        </is>
      </c>
      <c r="J20" s="368" t="n">
        <v>0</v>
      </c>
    </row>
    <row r="21" ht="15" customHeight="1">
      <c r="A21" s="350" t="n"/>
      <c r="B21" s="358" t="n"/>
      <c r="C21" s="359" t="n"/>
      <c r="D21" s="360" t="n"/>
      <c r="E21" s="361" t="n"/>
      <c r="F21" s="335" t="n"/>
      <c r="G21" s="362" t="n"/>
      <c r="H21" s="363" t="n"/>
      <c r="I21" s="364" t="n"/>
      <c r="J21" s="361" t="n"/>
    </row>
    <row r="22" ht="15" customHeight="1">
      <c r="A22" s="350" t="n"/>
      <c r="B22" s="351" t="inlineStr">
        <is>
          <t>BEBAN TIDAK LANGSUNG</t>
        </is>
      </c>
      <c r="C22" s="352" t="n"/>
      <c r="D22" s="353" t="n"/>
      <c r="E22" s="354" t="n"/>
      <c r="F22" s="335" t="n"/>
      <c r="G22" s="355" t="n"/>
      <c r="H22" s="356" t="inlineStr">
        <is>
          <t>TOTAL AKTIVA TETAP</t>
        </is>
      </c>
      <c r="I22" s="353" t="inlineStr">
        <is>
          <t>Rp</t>
        </is>
      </c>
      <c r="J22" s="354">
        <f>J20</f>
        <v/>
      </c>
    </row>
    <row r="23" ht="15" customHeight="1">
      <c r="A23" s="350" t="n"/>
      <c r="B23" s="358" t="n"/>
      <c r="C23" s="359" t="n"/>
      <c r="D23" s="360" t="inlineStr">
        <is>
          <t>Rp</t>
        </is>
      </c>
      <c r="E23" s="361" t="n">
        <v>0</v>
      </c>
      <c r="F23" s="335" t="n"/>
      <c r="G23" s="362" t="n"/>
      <c r="H23" s="363" t="n"/>
      <c r="I23" s="364" t="n"/>
      <c r="J23" s="361" t="n"/>
    </row>
    <row r="24" ht="15" customHeight="1">
      <c r="A24" s="350" t="n"/>
      <c r="B24" s="365" t="inlineStr">
        <is>
          <t>TOTAL BIAYA TIDAK LANGSUNG</t>
        </is>
      </c>
      <c r="C24" s="366" t="n"/>
      <c r="D24" s="367" t="inlineStr">
        <is>
          <t>Rp</t>
        </is>
      </c>
      <c r="E24" s="368">
        <f>SUM(E23:E23)</f>
        <v/>
      </c>
      <c r="F24" s="335" t="n"/>
      <c r="G24" s="369" t="inlineStr">
        <is>
          <t>ACTIVA LAIN LAIN</t>
        </is>
      </c>
      <c r="H24" s="370" t="n"/>
      <c r="I24" s="372" t="n"/>
      <c r="J24" s="368" t="n">
        <v>0</v>
      </c>
    </row>
    <row r="25" ht="15" customHeight="1">
      <c r="A25" s="350" t="n"/>
      <c r="B25" s="358" t="n"/>
      <c r="C25" s="359" t="n"/>
      <c r="D25" s="360" t="n"/>
      <c r="E25" s="361" t="n"/>
      <c r="F25" s="335" t="n"/>
      <c r="G25" s="362" t="n"/>
      <c r="H25" s="363" t="n"/>
      <c r="I25" s="364" t="n"/>
      <c r="J25" s="361" t="n">
        <v>0</v>
      </c>
    </row>
    <row r="26" ht="15" customHeight="1">
      <c r="A26" s="350" t="n"/>
      <c r="B26" s="351" t="inlineStr">
        <is>
          <t>BIAYA ADMINISTRASI DAN UMUM</t>
        </is>
      </c>
      <c r="C26" s="352" t="n"/>
      <c r="D26" s="353" t="n"/>
      <c r="E26" s="354" t="n"/>
      <c r="F26" s="335" t="n"/>
      <c r="G26" s="355" t="n"/>
      <c r="H26" s="356" t="inlineStr">
        <is>
          <t>TOTAL AKTIVA LAIN LAIN</t>
        </is>
      </c>
      <c r="I26" s="353" t="inlineStr">
        <is>
          <t>Rp</t>
        </is>
      </c>
      <c r="J26" s="354">
        <f>SUM(J25:J25)</f>
        <v/>
      </c>
    </row>
    <row r="27" ht="15" customHeight="1">
      <c r="A27" s="350" t="n"/>
      <c r="B27" s="358" t="n"/>
      <c r="C27" s="359" t="inlineStr">
        <is>
          <t>ADMINISTRASI</t>
        </is>
      </c>
      <c r="D27" s="360" t="inlineStr">
        <is>
          <t>Rp</t>
        </is>
      </c>
      <c r="E27" s="361">
        <f>'Revenue-Cost_2030'!N94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inlineStr">
        <is>
          <t>PEMBELIAN BARANG</t>
        </is>
      </c>
      <c r="D28" s="360" t="inlineStr">
        <is>
          <t>Rp</t>
        </is>
      </c>
      <c r="E28" s="361">
        <f>'Revenue-Cost_2030'!O94</f>
        <v/>
      </c>
      <c r="F28" s="335" t="n"/>
      <c r="G28" s="373" t="inlineStr">
        <is>
          <t>TOTAL AKTIVA</t>
        </is>
      </c>
      <c r="H28" s="359" t="n"/>
      <c r="I28" s="360" t="inlineStr">
        <is>
          <t>Rp</t>
        </is>
      </c>
      <c r="J28" s="361">
        <f>J26+J22+J16</f>
        <v/>
      </c>
    </row>
    <row r="29" ht="15" customHeight="1">
      <c r="A29" s="350" t="n"/>
      <c r="B29" s="358" t="n"/>
      <c r="C29" s="359" t="inlineStr">
        <is>
          <t>SEWA KANTOR</t>
        </is>
      </c>
      <c r="D29" s="360" t="inlineStr">
        <is>
          <t>Rp</t>
        </is>
      </c>
      <c r="E29" s="361">
        <f>'Revenue-Cost_2030'!P94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inlineStr">
        <is>
          <t>KESEHATAN</t>
        </is>
      </c>
      <c r="D30" s="360" t="inlineStr">
        <is>
          <t>Rp</t>
        </is>
      </c>
      <c r="E30" s="361">
        <f>'Revenue-Cost_2030'!Q94</f>
        <v/>
      </c>
      <c r="F30" s="335" t="n"/>
      <c r="G30" s="362" t="inlineStr">
        <is>
          <t>HUTANG DAN MODAL</t>
        </is>
      </c>
      <c r="H30" s="363" t="n"/>
      <c r="I30" s="364" t="n"/>
      <c r="J30" s="361" t="n"/>
    </row>
    <row r="31" ht="15" customHeight="1">
      <c r="A31" s="350" t="n"/>
      <c r="B31" s="358" t="n"/>
      <c r="C31" s="359" t="inlineStr">
        <is>
          <t>BISNIS DEV</t>
        </is>
      </c>
      <c r="D31" s="360" t="inlineStr">
        <is>
          <t>Rp</t>
        </is>
      </c>
      <c r="E31" s="361">
        <f>'Revenue-Cost_2030'!R94</f>
        <v/>
      </c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ASDASD</t>
        </is>
      </c>
      <c r="D32" s="360" t="inlineStr">
        <is>
          <t>Rp</t>
        </is>
      </c>
      <c r="E32" s="361">
        <f>'Revenue-Cost_2030'!S94</f>
        <v/>
      </c>
      <c r="F32" s="335" t="n"/>
      <c r="G32" s="362" t="inlineStr">
        <is>
          <t>HUTANG LANCAR</t>
        </is>
      </c>
      <c r="H32" s="363" t="n"/>
      <c r="I32" s="364" t="n"/>
      <c r="J32" s="361" t="n"/>
    </row>
    <row r="33" ht="15" customHeight="1">
      <c r="A33" s="350" t="n"/>
      <c r="B33" s="358" t="n"/>
      <c r="C33" s="359" t="inlineStr">
        <is>
          <t>MAKANAN JEPANG</t>
        </is>
      </c>
      <c r="D33" s="360" t="inlineStr">
        <is>
          <t>Rp</t>
        </is>
      </c>
      <c r="E33" s="361">
        <f>'Revenue-Cost_2030'!T94</f>
        <v/>
      </c>
      <c r="F33" s="335" t="n"/>
      <c r="G33" s="362" t="n"/>
      <c r="H33" s="363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58" t="n"/>
      <c r="C34" s="359" t="inlineStr">
        <is>
          <t>AAAAA</t>
        </is>
      </c>
      <c r="D34" s="360" t="inlineStr">
        <is>
          <t>Rp</t>
        </is>
      </c>
      <c r="E34" s="361">
        <f>'Revenue-Cost_2030'!U94</f>
        <v/>
      </c>
      <c r="F34" s="335" t="n"/>
      <c r="G34" s="362" t="n"/>
      <c r="H34" s="359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inlineStr">
        <is>
          <t>BBBBB</t>
        </is>
      </c>
      <c r="D35" s="360" t="inlineStr">
        <is>
          <t>Rp</t>
        </is>
      </c>
      <c r="E35" s="361">
        <f>'Revenue-Cost_2030'!V94</f>
        <v/>
      </c>
      <c r="F35" s="335" t="n"/>
      <c r="G35" s="362" t="n"/>
      <c r="H35" s="363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58" t="n"/>
      <c r="C36" s="359" t="inlineStr">
        <is>
          <t>ASDSAD</t>
        </is>
      </c>
      <c r="D36" s="360" t="inlineStr">
        <is>
          <t>Rp</t>
        </is>
      </c>
      <c r="E36" s="361">
        <f>'Revenue-Cost_2030'!W94</f>
        <v/>
      </c>
      <c r="F36" s="335" t="n"/>
      <c r="G36" s="362" t="n"/>
      <c r="H36" s="363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inlineStr">
        <is>
          <t>DFGDFGDFGD</t>
        </is>
      </c>
      <c r="D37" s="360" t="inlineStr">
        <is>
          <t>Rp</t>
        </is>
      </c>
      <c r="E37" s="361">
        <f>'Revenue-Cost_2030'!X94</f>
        <v/>
      </c>
      <c r="F37" s="335" t="n"/>
      <c r="G37" s="358" t="n"/>
      <c r="H37" s="359" t="n"/>
      <c r="I37" s="360" t="n"/>
      <c r="J37" s="361" t="n"/>
    </row>
    <row r="38" ht="15" customHeight="1">
      <c r="A38" s="350" t="n"/>
      <c r="B38" s="358" t="n"/>
      <c r="C38" s="359" t="inlineStr">
        <is>
          <t>12312</t>
        </is>
      </c>
      <c r="D38" s="360" t="inlineStr">
        <is>
          <t>Rp</t>
        </is>
      </c>
      <c r="E38" s="361">
        <f>'Revenue-Cost_2030'!Y94</f>
        <v/>
      </c>
      <c r="F38" s="335" t="n"/>
      <c r="G38" s="362" t="n"/>
      <c r="H38" s="363" t="inlineStr">
        <is>
          <t>TOTAL HUTANG LANCAR</t>
        </is>
      </c>
      <c r="I38" s="364" t="n"/>
      <c r="J38" s="361">
        <f>SUM(J33:J36)</f>
        <v/>
      </c>
    </row>
    <row r="39" ht="15" customHeight="1">
      <c r="A39" s="350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SUM(E27:E38)</f>
        <v/>
      </c>
      <c r="F39" s="335" t="n"/>
      <c r="G39" s="369" t="n"/>
      <c r="H39" s="370" t="n"/>
      <c r="I39" s="372" t="n"/>
      <c r="J39" s="368" t="n"/>
    </row>
    <row r="40" ht="15" customHeight="1">
      <c r="A40" s="350" t="n"/>
      <c r="B40" s="358" t="n"/>
      <c r="C40" s="359" t="n"/>
      <c r="D40" s="360" t="n"/>
      <c r="E40" s="361" t="n"/>
      <c r="F40" s="335" t="n"/>
      <c r="G40" s="362" t="inlineStr">
        <is>
          <t>MODAL</t>
        </is>
      </c>
      <c r="H40" s="363" t="n"/>
      <c r="I40" s="364" t="n"/>
      <c r="J40" s="361" t="n"/>
    </row>
    <row r="41" ht="15" customHeight="1">
      <c r="A41" s="350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E20+E24+E39</f>
        <v/>
      </c>
      <c r="F41" s="335" t="n"/>
      <c r="G41" s="369" t="n"/>
      <c r="H41" s="370" t="inlineStr">
        <is>
          <t>MODAL SAHAM</t>
        </is>
      </c>
      <c r="I41" s="367" t="inlineStr">
        <is>
          <t>Rp</t>
        </is>
      </c>
      <c r="J41" s="368" t="n">
        <v>0</v>
      </c>
    </row>
    <row r="42" ht="15" customHeight="1">
      <c r="A42" s="350" t="n"/>
      <c r="B42" s="358" t="n"/>
      <c r="C42" s="359" t="n"/>
      <c r="D42" s="360" t="n"/>
      <c r="E42" s="361" t="n"/>
      <c r="F42" s="335" t="n"/>
      <c r="G42" s="362" t="n"/>
      <c r="H42" s="363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50" t="n"/>
      <c r="B43" s="351" t="inlineStr">
        <is>
          <t>PENDAPATAN/BEBAN LAIN LAIN</t>
        </is>
      </c>
      <c r="C43" s="352" t="n"/>
      <c r="D43" s="353" t="n"/>
      <c r="E43" s="354" t="n"/>
      <c r="F43" s="335" t="n"/>
      <c r="G43" s="355" t="n"/>
      <c r="H43" s="356" t="inlineStr">
        <is>
          <t>TOTAL LABA (RUGI) DITAHAN</t>
        </is>
      </c>
      <c r="I43" s="353" t="inlineStr">
        <is>
          <t>Rp</t>
        </is>
      </c>
      <c r="J43" s="354">
        <f>J28-J38-J41-J42</f>
        <v/>
      </c>
    </row>
    <row r="44" ht="15" customHeight="1">
      <c r="A44" s="350" t="n"/>
      <c r="B44" s="358" t="n"/>
      <c r="C44" s="359" t="inlineStr">
        <is>
          <t>PENDAPATAN LAIN LAIN</t>
        </is>
      </c>
      <c r="D44" s="360" t="inlineStr">
        <is>
          <t>Rp</t>
        </is>
      </c>
      <c r="E44" s="361" t="n">
        <v>0</v>
      </c>
      <c r="F44" s="335" t="n"/>
      <c r="G44" s="362" t="n"/>
      <c r="H44" s="363" t="inlineStr">
        <is>
          <t>TOTAL MODAL</t>
        </is>
      </c>
      <c r="I44" s="360" t="inlineStr">
        <is>
          <t>Rp</t>
        </is>
      </c>
      <c r="J44" s="361">
        <f>SUM(J41:J43)</f>
        <v/>
      </c>
    </row>
    <row r="45" ht="15" customHeight="1">
      <c r="A45" s="350" t="n"/>
      <c r="B45" s="358" t="n"/>
      <c r="C45" s="359" t="n"/>
      <c r="D45" s="360" t="n"/>
      <c r="E45" s="361" t="n"/>
      <c r="F45" s="335" t="n"/>
      <c r="G45" s="362" t="n"/>
      <c r="H45" s="363" t="n"/>
      <c r="I45" s="364" t="n"/>
      <c r="J45" s="361" t="n"/>
    </row>
    <row r="46" ht="15" customHeight="1">
      <c r="A46" s="350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5" t="n"/>
      <c r="G46" s="369" t="inlineStr">
        <is>
          <t>TOTAL HUTANG DAN MODAL</t>
        </is>
      </c>
      <c r="H46" s="370" t="n"/>
      <c r="I46" s="367" t="inlineStr">
        <is>
          <t>Rp</t>
        </is>
      </c>
      <c r="J46" s="368">
        <f>J44+J38</f>
        <v/>
      </c>
    </row>
    <row r="47" ht="15" customHeight="1">
      <c r="A47" s="350" t="n"/>
      <c r="B47" s="358" t="n"/>
      <c r="C47" s="359" t="n"/>
      <c r="D47" s="360" t="n"/>
      <c r="E47" s="361" t="n"/>
      <c r="F47" s="335" t="n"/>
      <c r="G47" s="358" t="n"/>
      <c r="H47" s="359" t="n"/>
      <c r="I47" s="360" t="n"/>
      <c r="J47" s="361" t="n"/>
    </row>
    <row r="48" ht="15" customHeight="1">
      <c r="A48" s="350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50" t="n"/>
      <c r="G48" s="365" t="n"/>
      <c r="H48" s="366" t="n"/>
      <c r="I48" s="367" t="n"/>
      <c r="J48" s="368" t="n"/>
    </row>
    <row r="49" ht="15" customHeight="1">
      <c r="A49" s="350" t="n"/>
      <c r="B49" s="358" t="n"/>
      <c r="C49" s="359" t="n"/>
      <c r="D49" s="360" t="n"/>
      <c r="E49" s="361" t="n"/>
      <c r="F49" s="350" t="n"/>
      <c r="G49" s="358" t="n"/>
      <c r="H49" s="359" t="n"/>
      <c r="I49" s="360" t="n"/>
      <c r="J49" s="361" t="n"/>
    </row>
    <row r="50" ht="15" customHeight="1">
      <c r="A50" s="350" t="n"/>
      <c r="B50" s="374" t="inlineStr">
        <is>
          <t>LABA / RUGI BERSIH</t>
        </is>
      </c>
      <c r="C50" s="375" t="n"/>
      <c r="D50" s="376" t="inlineStr">
        <is>
          <t>Rp</t>
        </is>
      </c>
      <c r="E50" s="377">
        <f>E46-E48</f>
        <v/>
      </c>
      <c r="F50" s="350" t="n"/>
      <c r="G50" s="374" t="n"/>
      <c r="H50" s="375" t="n"/>
      <c r="I50" s="376" t="n"/>
      <c r="J50" s="377" t="n"/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78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79" t="inlineStr">
        <is>
          <t>Direktur</t>
        </is>
      </c>
      <c r="D54" s="350" t="n"/>
      <c r="E54" s="350" t="n"/>
      <c r="F54" s="350" t="n"/>
      <c r="G54" s="350" t="n"/>
      <c r="H54" s="379" t="inlineStr">
        <is>
          <t>Direktur</t>
        </is>
      </c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0" t="inlineStr">
        <is>
          <t>#</t>
        </is>
      </c>
      <c r="C6" s="380" t="inlineStr">
        <is>
          <t>Items</t>
        </is>
      </c>
      <c r="D6" s="381" t="inlineStr">
        <is>
          <t>Amount</t>
        </is>
      </c>
      <c r="E6" s="227" t="n"/>
      <c r="F6" s="335" t="n"/>
    </row>
    <row r="7" ht="20" customHeight="1">
      <c r="A7" s="332" t="n"/>
      <c r="B7" s="382" t="n">
        <v>1</v>
      </c>
      <c r="C7" s="383" t="inlineStr">
        <is>
          <t>Revenue</t>
        </is>
      </c>
      <c r="D7" s="384" t="inlineStr">
        <is>
          <t>Rp</t>
        </is>
      </c>
      <c r="E7" s="385">
        <f>SUM('Revenue-Cost_2030'!L8:L8)</f>
        <v/>
      </c>
      <c r="F7" s="335" t="n"/>
    </row>
    <row r="8" ht="20" customHeight="1">
      <c r="A8" s="332" t="n"/>
      <c r="B8" s="382" t="n">
        <v>2</v>
      </c>
      <c r="C8" s="383" t="inlineStr">
        <is>
          <t>Revenue Diterima (Setelah Pajak)</t>
        </is>
      </c>
      <c r="D8" s="384" t="inlineStr">
        <is>
          <t>Rp</t>
        </is>
      </c>
      <c r="E8" s="385">
        <f>E7-SUM('Revenue-Cost_2030'!N8:N8)</f>
        <v/>
      </c>
      <c r="F8" s="335" t="n"/>
    </row>
    <row r="9" ht="20" customHeight="1">
      <c r="A9" s="332" t="n"/>
      <c r="B9" s="382" t="n">
        <v>3</v>
      </c>
      <c r="C9" s="383" t="inlineStr">
        <is>
          <t>Biaya</t>
        </is>
      </c>
      <c r="D9" s="384" t="inlineStr">
        <is>
          <t>Rp</t>
        </is>
      </c>
      <c r="E9" s="385">
        <f>SUM('Revenue-Cost_2030'!I94:Y94)</f>
        <v/>
      </c>
      <c r="F9" s="335" t="n"/>
    </row>
    <row r="10" ht="20" customHeight="1">
      <c r="A10" s="332" t="n"/>
      <c r="B10" s="382" t="n">
        <v>4</v>
      </c>
      <c r="C10" s="383" t="inlineStr">
        <is>
          <t>Profit SebelumTax</t>
        </is>
      </c>
      <c r="D10" s="384" t="inlineStr">
        <is>
          <t>Rp</t>
        </is>
      </c>
      <c r="E10" s="385">
        <f>E7-E9</f>
        <v/>
      </c>
      <c r="F10" s="335" t="n"/>
    </row>
    <row r="11" ht="20" customHeight="1">
      <c r="A11" s="332" t="n"/>
      <c r="B11" s="382" t="n">
        <v>5</v>
      </c>
      <c r="C11" s="383" t="inlineStr">
        <is>
          <t>PPh Badan (22%*50%)</t>
        </is>
      </c>
      <c r="D11" s="384" t="inlineStr">
        <is>
          <t>Rp</t>
        </is>
      </c>
      <c r="E11" s="385">
        <f>E10*22%*50%</f>
        <v/>
      </c>
      <c r="F11" s="335" t="n"/>
    </row>
    <row r="12" ht="20" customHeight="1">
      <c r="A12" s="332" t="n"/>
      <c r="B12" s="382" t="n">
        <v>6</v>
      </c>
      <c r="C12" s="383" t="inlineStr">
        <is>
          <t>PPh 23 Dipotong oleh client</t>
        </is>
      </c>
      <c r="D12" s="384" t="inlineStr">
        <is>
          <t>Rp</t>
        </is>
      </c>
      <c r="E12" s="385">
        <f>SUM('Revenue-Cost_2030'!N8:N8)</f>
        <v/>
      </c>
      <c r="F12" s="335" t="n"/>
    </row>
    <row r="13" ht="20" customHeight="1">
      <c r="A13" s="332" t="n"/>
      <c r="B13" s="382" t="n">
        <v>7</v>
      </c>
      <c r="C13" s="383" t="inlineStr">
        <is>
          <t>Kekurangan Bayar PPh Badan</t>
        </is>
      </c>
      <c r="D13" s="384" t="inlineStr">
        <is>
          <t>Rp</t>
        </is>
      </c>
      <c r="E13" s="386">
        <f>E11-E12</f>
        <v/>
      </c>
      <c r="F13" s="335" t="n"/>
    </row>
    <row r="14" ht="20" customHeight="1">
      <c r="A14" s="332" t="n"/>
      <c r="B14" s="382" t="n">
        <v>8</v>
      </c>
      <c r="C14" s="383" t="inlineStr">
        <is>
          <t>Profit After Tax</t>
        </is>
      </c>
      <c r="D14" s="384" t="inlineStr">
        <is>
          <t>Rp</t>
        </is>
      </c>
      <c r="E14" s="385">
        <f>E10-E13</f>
        <v/>
      </c>
      <c r="F14" s="335" t="n"/>
    </row>
    <row r="15" ht="20" customHeight="1">
      <c r="A15" s="332" t="n"/>
      <c r="B15" s="382" t="n">
        <v>9</v>
      </c>
      <c r="C15" s="383" t="inlineStr">
        <is>
          <t>Deviden Dibagi</t>
        </is>
      </c>
      <c r="D15" s="384" t="inlineStr">
        <is>
          <t>Rp</t>
        </is>
      </c>
      <c r="E15" s="385">
        <f>E14-E16</f>
        <v/>
      </c>
      <c r="F15" s="335" t="n"/>
    </row>
    <row r="16" ht="20" customHeight="1">
      <c r="A16" s="332" t="n"/>
      <c r="B16" s="382" t="n">
        <v>10</v>
      </c>
      <c r="C16" s="383" t="inlineStr">
        <is>
          <t>Profit Ditahan</t>
        </is>
      </c>
      <c r="D16" s="384" t="inlineStr">
        <is>
          <t>Rp</t>
        </is>
      </c>
      <c r="E16" s="385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87" t="inlineStr">
        <is>
          <t>DEVIDEN</t>
        </is>
      </c>
      <c r="F18" s="335" t="n"/>
    </row>
    <row r="19" ht="20" customHeight="1">
      <c r="A19" s="332" t="n"/>
      <c r="B19" s="388" t="inlineStr">
        <is>
          <t>#</t>
        </is>
      </c>
      <c r="C19" s="388" t="inlineStr">
        <is>
          <t>Nama Lengkap</t>
        </is>
      </c>
      <c r="D19" s="389" t="inlineStr"/>
      <c r="E19" s="390" t="inlineStr">
        <is>
          <t>Amount</t>
        </is>
      </c>
      <c r="F19" s="335" t="inlineStr"/>
      <c r="G19" s="391" t="inlineStr">
        <is>
          <t>Pajak</t>
        </is>
      </c>
    </row>
    <row r="20" ht="18" customHeight="1">
      <c r="A20" s="332" t="n"/>
      <c r="B20" s="392" t="n"/>
      <c r="C20" s="393" t="n"/>
      <c r="D20" s="383" t="n"/>
      <c r="E20" s="394" t="n"/>
      <c r="F20" s="335" t="n"/>
      <c r="G20" s="395" t="n"/>
    </row>
    <row r="21" ht="48.75" customHeight="1">
      <c r="A21" s="396" t="n"/>
      <c r="F21" s="335" t="n"/>
    </row>
    <row r="22" ht="14.25" customHeight="1">
      <c r="A22" s="396" t="n"/>
      <c r="F22" s="33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2026-04-22T12:55:19Z</dcterms:modified>
  <cp:lastModifiedBy>Diofavian - Student</cp:lastModifiedBy>
</cp:coreProperties>
</file>