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6" sheetId="1" state="visible" r:id="rId1"/>
    <sheet name="Laba rugi -2026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6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8" fillId="10" borderId="4" pivotButton="0" quotePrefix="0" xfId="0"/>
    <xf numFmtId="168" fontId="10" fillId="10" borderId="8" pivotButton="0" quotePrefix="0" xfId="1"/>
    <xf numFmtId="3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168" fontId="10" fillId="10" borderId="0" pivotButton="0" quotePrefix="0" xfId="1"/>
    <xf numFmtId="165" fontId="8" fillId="10" borderId="4" pivotButton="0" quotePrefix="0" xfId="1"/>
    <xf numFmtId="3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10" fillId="0" borderId="4" pivotButton="0" quotePrefix="0" xfId="1"/>
    <xf numFmtId="168" fontId="8" fillId="0" borderId="4" pivotButton="0" quotePrefix="0" xfId="0"/>
    <xf numFmtId="167" fontId="8" fillId="0" borderId="4" applyAlignment="1" pivotButton="0" quotePrefix="0" xfId="1">
      <alignment vertical="top"/>
    </xf>
    <xf numFmtId="0" fontId="35" fillId="8" borderId="4" pivotButton="0" quotePrefix="0" xfId="0"/>
    <xf numFmtId="168" fontId="10" fillId="8" borderId="4" pivotButton="0" quotePrefix="0" xfId="0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0" fontId="1" fillId="0" borderId="0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pivotButton="0" quotePrefix="0" xfId="0"/>
    <xf numFmtId="3" fontId="8" fillId="0" borderId="4" applyAlignment="1" pivotButton="0" quotePrefix="0" xfId="0">
      <alignment vertical="top"/>
    </xf>
    <xf numFmtId="0" fontId="35" fillId="0" borderId="4" applyAlignment="1" pivotButton="0" quotePrefix="0" xfId="0">
      <alignment horizontal="left" vertical="center"/>
    </xf>
    <xf numFmtId="3" fontId="10" fillId="0" borderId="4" pivotButton="0" quotePrefix="0" xfId="2"/>
    <xf numFmtId="176" fontId="10" fillId="0" borderId="4" applyAlignment="1" pivotButton="0" quotePrefix="0" xfId="0">
      <alignment horizontal="center"/>
    </xf>
    <xf numFmtId="0" fontId="35" fillId="6" borderId="4" applyAlignment="1" pivotButton="0" quotePrefix="0" xfId="0">
      <alignment horizontal="left" vertical="center"/>
    </xf>
    <xf numFmtId="167" fontId="8" fillId="0" borderId="4" pivotButton="0" quotePrefix="0" xfId="0"/>
    <xf numFmtId="167" fontId="8" fillId="6" borderId="4" pivotButton="0" quotePrefix="0" xfId="0"/>
    <xf numFmtId="167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2026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2026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0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Belum ada data pajak</t>
        </is>
      </c>
      <c r="F27" s="19" t="n">
        <v>33836000</v>
      </c>
      <c r="G27" s="15" t="inlineStr">
        <is>
          <t>IDR</t>
        </is>
      </c>
      <c r="H27" s="15" t="n">
        <v>1</v>
      </c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idden="1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E28" s="279" t="n"/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idden="1" ht="15.5" customHeight="1" s="297">
      <c r="B29" s="14" t="n">
        <v>45351</v>
      </c>
      <c r="C29" s="15" t="n"/>
      <c r="D29" s="284" t="inlineStr">
        <is>
          <t>Tax PPN 11% (Project TGE MEPI Tomori)</t>
        </is>
      </c>
      <c r="E29" s="279" t="n"/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idden="1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E30" s="279" t="n"/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idden="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E31" s="279" t="n"/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idden="1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E32" s="279" t="n"/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idden="1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E33" s="279" t="n"/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idden="1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E34" s="279" t="n"/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idden="1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E35" s="279" t="n"/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idden="1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E36" s="279" t="n"/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0</v>
      </c>
      <c r="K37" s="44" t="inlineStr">
        <is>
          <t>PPh</t>
        </is>
      </c>
      <c r="L37" s="36" t="n">
        <v>0</v>
      </c>
      <c r="M37" s="44" t="inlineStr">
        <is>
          <t>PPh</t>
        </is>
      </c>
      <c r="N37" s="36" t="n">
        <v>0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57" t="inlineStr">
        <is>
          <t>Biaya Operasi</t>
        </is>
      </c>
      <c r="K40" s="58" t="inlineStr">
        <is>
          <t>Biaya Sewa Peralatan</t>
        </is>
      </c>
      <c r="L40" s="58" t="inlineStr">
        <is>
          <t>Biaya Interpretasi Log Data</t>
        </is>
      </c>
      <c r="M40" s="59" t="inlineStr">
        <is>
          <t>Administrasi</t>
        </is>
      </c>
      <c r="N40" s="59" t="inlineStr">
        <is>
          <t>Pembelian Barang</t>
        </is>
      </c>
      <c r="O40" s="59" t="inlineStr">
        <is>
          <t>Sewa Kantor</t>
        </is>
      </c>
      <c r="P40" s="59" t="inlineStr">
        <is>
          <t>Kesehatan</t>
        </is>
      </c>
      <c r="Q40" s="59" t="inlineStr">
        <is>
          <t>Bisnis Dev</t>
        </is>
      </c>
      <c r="R40" s="310" t="inlineStr">
        <is>
          <t>asdasd</t>
        </is>
      </c>
      <c r="S40" s="310" t="inlineStr">
        <is>
          <t>makanan jepang</t>
        </is>
      </c>
      <c r="T40" s="310" t="inlineStr">
        <is>
          <t>aaaaa</t>
        </is>
      </c>
      <c r="U40" s="310" t="inlineStr">
        <is>
          <t>bbbbb</t>
        </is>
      </c>
      <c r="V40" s="310" t="inlineStr">
        <is>
          <t>asdsad</t>
        </is>
      </c>
      <c r="W40" s="310" t="inlineStr">
        <is>
          <t>dfgdfgdfgd</t>
        </is>
      </c>
      <c r="X40" s="310" t="inlineStr">
        <is>
          <t>12312</t>
        </is>
      </c>
    </row>
    <row r="41" ht="15.5" customHeight="1" s="297">
      <c r="B41" s="311" t="n"/>
      <c r="C41" s="312" t="n"/>
      <c r="D41" s="313" t="inlineStr">
        <is>
          <t>Accommodation</t>
        </is>
      </c>
      <c r="E41" s="314" t="n"/>
      <c r="F41" s="315" t="n"/>
      <c r="G41" s="316" t="n"/>
      <c r="H41" s="316" t="n"/>
      <c r="I41" s="317" t="n"/>
      <c r="J41" s="317" t="n"/>
      <c r="K41" s="318" t="n"/>
      <c r="L41" s="319" t="n"/>
      <c r="M41" s="319" t="n"/>
      <c r="N41" s="319" t="n"/>
      <c r="O41" s="319" t="n"/>
      <c r="P41" s="319" t="n"/>
      <c r="Q41" s="319" t="n"/>
    </row>
    <row r="42" ht="15.5" customHeight="1" s="297">
      <c r="B42" s="311" t="n">
        <v>46094</v>
      </c>
      <c r="C42" s="312" t="n">
        <v>1</v>
      </c>
      <c r="D42" s="314" t="inlineStr">
        <is>
          <t>diofavian</t>
        </is>
      </c>
      <c r="E42" s="314" t="inlineStr">
        <is>
          <t>BCA</t>
        </is>
      </c>
      <c r="F42" s="320" t="n">
        <v>101</v>
      </c>
      <c r="G42" s="316" t="inlineStr">
        <is>
          <t>IDR</t>
        </is>
      </c>
      <c r="H42" s="321" t="n">
        <v>1</v>
      </c>
      <c r="I42" s="317" t="n"/>
      <c r="J42" s="322" t="n">
        <v>101</v>
      </c>
      <c r="K42" s="318" t="n"/>
      <c r="L42" s="319" t="n"/>
      <c r="M42" s="319" t="n"/>
      <c r="N42" s="319" t="n"/>
      <c r="O42" s="319" t="n"/>
      <c r="P42" s="319" t="n"/>
      <c r="Q42" s="319" t="n"/>
    </row>
    <row r="43" ht="15.5" customHeight="1" s="297">
      <c r="B43" s="311" t="n"/>
      <c r="C43" s="312" t="n"/>
      <c r="D43" s="313" t="inlineStr">
        <is>
          <t>asdasda</t>
        </is>
      </c>
      <c r="E43" s="314" t="n"/>
      <c r="F43" s="315" t="n"/>
      <c r="G43" s="316" t="n"/>
      <c r="H43" s="316" t="n"/>
      <c r="I43" s="317" t="n"/>
      <c r="J43" s="317" t="n"/>
      <c r="K43" s="318" t="n"/>
      <c r="L43" s="319" t="n"/>
      <c r="M43" s="319" t="n"/>
      <c r="N43" s="319" t="n"/>
      <c r="O43" s="319" t="n"/>
      <c r="P43" s="319" t="n"/>
      <c r="Q43" s="319" t="n"/>
    </row>
    <row r="44" ht="15.5" customHeight="1" s="297">
      <c r="B44" s="311" t="n">
        <v>46103</v>
      </c>
      <c r="C44" s="312" t="n">
        <v>2</v>
      </c>
      <c r="D44" s="323" t="inlineStr">
        <is>
          <t>asdsadasdasd</t>
        </is>
      </c>
      <c r="E44" s="323" t="inlineStr">
        <is>
          <t>BCA</t>
        </is>
      </c>
      <c r="F44" s="320" t="n">
        <v>12312312312</v>
      </c>
      <c r="G44" s="324" t="inlineStr">
        <is>
          <t>IDR</t>
        </is>
      </c>
      <c r="H44" s="321" t="n">
        <v>1</v>
      </c>
      <c r="I44" s="318" t="n"/>
      <c r="J44" s="319" t="n"/>
      <c r="K44" s="325" t="n"/>
      <c r="L44" s="319" t="n"/>
      <c r="M44" s="319" t="n"/>
      <c r="N44" s="319" t="n"/>
      <c r="O44" s="319" t="n"/>
      <c r="P44" s="319" t="n"/>
      <c r="Q44" s="319" t="n"/>
      <c r="V44" s="37" t="n">
        <v>12312312312</v>
      </c>
    </row>
    <row r="45" ht="15.5" customHeight="1" s="297">
      <c r="B45" s="311" t="n"/>
      <c r="C45" s="312" t="n"/>
      <c r="D45" s="326" t="inlineStr">
        <is>
          <t>Biaya Bank</t>
        </is>
      </c>
      <c r="E45" s="323" t="n"/>
      <c r="F45" s="327" t="n"/>
      <c r="G45" s="316" t="n"/>
      <c r="H45" s="316" t="n"/>
      <c r="I45" s="317" t="n"/>
      <c r="J45" s="317" t="n"/>
      <c r="K45" s="319" t="n"/>
      <c r="L45" s="319" t="n"/>
      <c r="M45" s="319" t="n"/>
      <c r="N45" s="319" t="n"/>
      <c r="O45" s="319" t="n"/>
      <c r="P45" s="319" t="n"/>
      <c r="Q45" s="319" t="n"/>
    </row>
    <row r="46" ht="15.5" customHeight="1" s="297">
      <c r="B46" s="311" t="n">
        <v>46103</v>
      </c>
      <c r="C46" s="312" t="n">
        <v>3</v>
      </c>
      <c r="D46" s="323" t="inlineStr">
        <is>
          <t>21231</t>
        </is>
      </c>
      <c r="E46" s="323" t="inlineStr">
        <is>
          <t>BRI</t>
        </is>
      </c>
      <c r="F46" s="320" t="n">
        <v>111111</v>
      </c>
      <c r="G46" s="316" t="inlineStr">
        <is>
          <t>IDR</t>
        </is>
      </c>
      <c r="H46" s="321" t="n">
        <v>1</v>
      </c>
      <c r="I46" s="317" t="n"/>
      <c r="J46" s="317" t="n"/>
      <c r="K46" s="319" t="n"/>
      <c r="L46" s="319" t="n"/>
      <c r="M46" s="328" t="n">
        <v>111111</v>
      </c>
      <c r="N46" s="319" t="n"/>
      <c r="O46" s="319" t="n"/>
      <c r="P46" s="319" t="n"/>
      <c r="Q46" s="319" t="n"/>
    </row>
    <row r="47" ht="15.5" customHeight="1" s="297">
      <c r="A47" s="66" t="n"/>
      <c r="B47" s="311" t="n"/>
      <c r="C47" s="312" t="n"/>
      <c r="D47" s="326" t="inlineStr">
        <is>
          <t>Gaji</t>
        </is>
      </c>
      <c r="E47" s="323" t="n"/>
      <c r="F47" s="329" t="n"/>
      <c r="G47" s="316" t="n"/>
      <c r="H47" s="316" t="n"/>
      <c r="I47" s="317" t="n"/>
      <c r="J47" s="318" t="n"/>
      <c r="K47" s="319" t="n"/>
      <c r="L47" s="319" t="n"/>
      <c r="M47" s="319" t="n"/>
      <c r="N47" s="319" t="n"/>
      <c r="O47" s="319" t="n"/>
      <c r="P47" s="319" t="n"/>
      <c r="Q47" s="319" t="n"/>
    </row>
    <row r="48" ht="15.5" customHeight="1" s="297">
      <c r="B48" s="311" t="n">
        <v>46093</v>
      </c>
      <c r="C48" s="312" t="n">
        <v>4</v>
      </c>
      <c r="D48" s="323" t="inlineStr">
        <is>
          <t>Gaji mael</t>
        </is>
      </c>
      <c r="E48" s="323" t="inlineStr">
        <is>
          <t>Mandiri</t>
        </is>
      </c>
      <c r="F48" s="330" t="n">
        <v>234234234</v>
      </c>
      <c r="G48" s="316" t="inlineStr">
        <is>
          <t>IDR</t>
        </is>
      </c>
      <c r="H48" s="321" t="n">
        <v>1</v>
      </c>
      <c r="I48" s="317" t="n"/>
      <c r="J48" s="322" t="n">
        <v>234234234</v>
      </c>
      <c r="K48" s="319" t="n"/>
      <c r="L48" s="319" t="n"/>
      <c r="M48" s="319" t="n"/>
      <c r="N48" s="319" t="n"/>
      <c r="O48" s="319" t="n"/>
      <c r="P48" s="319" t="n"/>
      <c r="Q48" s="319" t="n"/>
    </row>
    <row r="49" ht="15.5" customHeight="1" s="297">
      <c r="B49" s="331" t="n">
        <v>46093</v>
      </c>
      <c r="C49" s="312" t="n">
        <v>5</v>
      </c>
      <c r="D49" s="323" t="inlineStr">
        <is>
          <t>gaji diofavian</t>
        </is>
      </c>
      <c r="E49" s="323" t="inlineStr">
        <is>
          <t>BRI</t>
        </is>
      </c>
      <c r="F49" s="330" t="n">
        <v>300000</v>
      </c>
      <c r="G49" s="316" t="inlineStr">
        <is>
          <t>IDR</t>
        </is>
      </c>
      <c r="H49" s="321" t="n">
        <v>1</v>
      </c>
      <c r="I49" s="322" t="n">
        <v>300000</v>
      </c>
      <c r="J49" s="317" t="n"/>
      <c r="K49" s="319" t="n"/>
      <c r="L49" s="319" t="n"/>
      <c r="M49" s="319" t="n"/>
      <c r="N49" s="319" t="n"/>
      <c r="O49" s="319" t="n"/>
      <c r="P49" s="319" t="n"/>
      <c r="Q49" s="319" t="n"/>
    </row>
    <row r="50" ht="15.5" customHeight="1" s="297">
      <c r="B50" s="311" t="n"/>
      <c r="C50" s="312" t="n"/>
      <c r="D50" s="326" t="inlineStr">
        <is>
          <t>Pembuatan Alat</t>
        </is>
      </c>
      <c r="E50" s="323" t="n"/>
      <c r="F50" s="332" t="n"/>
      <c r="G50" s="316" t="n"/>
      <c r="H50" s="316" t="n"/>
      <c r="I50" s="317" t="n"/>
      <c r="J50" s="317" t="n"/>
      <c r="K50" s="319" t="n"/>
      <c r="L50" s="333" t="n"/>
      <c r="M50" s="319" t="n"/>
      <c r="N50" s="319" t="n"/>
      <c r="O50" s="319" t="n"/>
      <c r="P50" s="319" t="n"/>
      <c r="Q50" s="319" t="n"/>
    </row>
    <row r="51" ht="15.5" customHeight="1" s="297">
      <c r="B51" s="311" t="n">
        <v>46093</v>
      </c>
      <c r="C51" s="312" t="n">
        <v>6</v>
      </c>
      <c r="D51" s="323" t="inlineStr">
        <is>
          <t>sdasd</t>
        </is>
      </c>
      <c r="E51" s="323" t="inlineStr">
        <is>
          <t>BNI</t>
        </is>
      </c>
      <c r="F51" s="334" t="n">
        <v>50000</v>
      </c>
      <c r="G51" s="316" t="inlineStr">
        <is>
          <t>IDR</t>
        </is>
      </c>
      <c r="H51" s="321" t="n">
        <v>1</v>
      </c>
      <c r="I51" s="322" t="n">
        <v>50000</v>
      </c>
      <c r="J51" s="317" t="n"/>
      <c r="K51" s="319" t="n"/>
      <c r="L51" s="319" t="n"/>
      <c r="M51" s="319" t="n"/>
      <c r="N51" s="319" t="n"/>
      <c r="O51" s="319" t="n"/>
      <c r="P51" s="319" t="n"/>
      <c r="Q51" s="319" t="n"/>
    </row>
    <row r="52" ht="15.5" customFormat="1" customHeight="1" s="66">
      <c r="B52" s="311" t="n">
        <v>46093</v>
      </c>
      <c r="C52" s="312" t="n">
        <v>7</v>
      </c>
      <c r="D52" s="323" t="inlineStr">
        <is>
          <t>12</t>
        </is>
      </c>
      <c r="E52" s="323" t="inlineStr">
        <is>
          <t>BRI</t>
        </is>
      </c>
      <c r="F52" s="334" t="n">
        <v>121</v>
      </c>
      <c r="G52" s="316" t="inlineStr">
        <is>
          <t>IDR</t>
        </is>
      </c>
      <c r="H52" s="321" t="n">
        <v>1</v>
      </c>
      <c r="I52" s="322" t="n">
        <v>121</v>
      </c>
      <c r="J52" s="318" t="n"/>
      <c r="K52" s="319" t="n"/>
      <c r="L52" s="319" t="n"/>
      <c r="M52" s="319" t="n"/>
      <c r="N52" s="319" t="n"/>
      <c r="O52" s="319" t="n"/>
      <c r="P52" s="319" t="n"/>
      <c r="Q52" s="319" t="n"/>
    </row>
    <row r="53" ht="15.5" customFormat="1" customHeight="1" s="66">
      <c r="B53" s="311" t="n">
        <v>46093</v>
      </c>
      <c r="C53" s="312" t="n">
        <v>8</v>
      </c>
      <c r="D53" s="323" t="inlineStr">
        <is>
          <t>sfdsf</t>
        </is>
      </c>
      <c r="E53" s="323" t="inlineStr">
        <is>
          <t>BRI</t>
        </is>
      </c>
      <c r="F53" s="334" t="n">
        <v>234234</v>
      </c>
      <c r="G53" s="316" t="inlineStr">
        <is>
          <t>IDR</t>
        </is>
      </c>
      <c r="H53" s="321" t="n">
        <v>1</v>
      </c>
      <c r="I53" s="328" t="n">
        <v>234234</v>
      </c>
      <c r="J53" s="317" t="n"/>
      <c r="K53" s="319" t="n"/>
      <c r="L53" s="319" t="n"/>
      <c r="M53" s="319" t="n"/>
      <c r="N53" s="319" t="n"/>
      <c r="O53" s="319" t="n"/>
      <c r="P53" s="319" t="n"/>
      <c r="Q53" s="319" t="n"/>
    </row>
    <row r="54" ht="15.5" customFormat="1" customHeight="1" s="66">
      <c r="B54" s="311" t="n">
        <v>46103</v>
      </c>
      <c r="C54" s="312" t="n">
        <v>9</v>
      </c>
      <c r="D54" s="314" t="inlineStr">
        <is>
          <t>hari senin</t>
        </is>
      </c>
      <c r="E54" s="314" t="inlineStr">
        <is>
          <t>BRI</t>
        </is>
      </c>
      <c r="F54" s="334" t="n">
        <v>1112121</v>
      </c>
      <c r="G54" s="316" t="inlineStr">
        <is>
          <t>IDR</t>
        </is>
      </c>
      <c r="H54" s="321" t="n">
        <v>1</v>
      </c>
      <c r="I54" s="322" t="n">
        <v>1112121</v>
      </c>
      <c r="J54" s="317" t="n"/>
      <c r="K54" s="318" t="n"/>
      <c r="L54" s="333" t="n"/>
      <c r="M54" s="319" t="n"/>
      <c r="N54" s="319" t="n"/>
      <c r="O54" s="319" t="n"/>
      <c r="P54" s="319" t="n"/>
      <c r="Q54" s="319" t="n"/>
    </row>
    <row r="55" ht="15.5" customFormat="1" customHeight="1" s="66">
      <c r="B55" s="311" t="n">
        <v>46103</v>
      </c>
      <c r="C55" s="312" t="n">
        <v>10</v>
      </c>
      <c r="D55" s="323" t="inlineStr">
        <is>
          <t>werwerwerwer</t>
        </is>
      </c>
      <c r="E55" s="323" t="inlineStr">
        <is>
          <t>BCA</t>
        </is>
      </c>
      <c r="F55" s="335" t="n">
        <v>123123123</v>
      </c>
      <c r="G55" s="316" t="inlineStr">
        <is>
          <t>IDR</t>
        </is>
      </c>
      <c r="H55" s="321" t="n">
        <v>1</v>
      </c>
      <c r="I55" s="328" t="n">
        <v>123123123</v>
      </c>
      <c r="J55" s="317" t="n"/>
      <c r="K55" s="319" t="n"/>
      <c r="L55" s="319" t="n"/>
      <c r="M55" s="319" t="n"/>
      <c r="N55" s="319" t="n"/>
      <c r="O55" s="319" t="n"/>
      <c r="P55" s="319" t="n"/>
      <c r="Q55" s="319" t="n"/>
    </row>
    <row r="56" ht="15.5" customFormat="1" customHeight="1" s="66">
      <c r="B56" s="311" t="n"/>
      <c r="C56" s="312" t="n"/>
      <c r="D56" s="326" t="inlineStr">
        <is>
          <t>Rental Tool</t>
        </is>
      </c>
      <c r="E56" s="323" t="n"/>
      <c r="F56" s="336" t="n"/>
      <c r="G56" s="316" t="n"/>
      <c r="H56" s="316" t="n"/>
      <c r="I56" s="317" t="n"/>
      <c r="J56" s="317" t="n"/>
      <c r="K56" s="319" t="n"/>
      <c r="L56" s="319" t="n"/>
      <c r="M56" s="319" t="n"/>
      <c r="N56" s="319" t="n"/>
      <c r="O56" s="319" t="n"/>
      <c r="P56" s="319" t="n"/>
      <c r="Q56" s="333" t="n"/>
    </row>
    <row r="57" ht="15.5" customFormat="1" customHeight="1" s="66">
      <c r="B57" s="311" t="n">
        <v>46095</v>
      </c>
      <c r="C57" s="312" t="n">
        <v>11</v>
      </c>
      <c r="D57" s="314" t="inlineStr">
        <is>
          <t>coba maka</t>
        </is>
      </c>
      <c r="E57" s="314" t="inlineStr">
        <is>
          <t>BRI</t>
        </is>
      </c>
      <c r="F57" s="335" t="n">
        <v>123123123112</v>
      </c>
      <c r="G57" s="316" t="inlineStr">
        <is>
          <t>IDR</t>
        </is>
      </c>
      <c r="H57" s="321" t="n">
        <v>1</v>
      </c>
      <c r="I57" s="317" t="n"/>
      <c r="J57" s="317" t="n"/>
      <c r="K57" s="328" t="n">
        <v>123123123112</v>
      </c>
      <c r="L57" s="319" t="n"/>
      <c r="M57" s="319" t="n"/>
      <c r="N57" s="319" t="n"/>
      <c r="O57" s="319" t="n"/>
      <c r="P57" s="319" t="n"/>
      <c r="Q57" s="319" t="n"/>
    </row>
    <row r="58" ht="15.5" customFormat="1" customHeight="1" s="66">
      <c r="B58" s="311" t="n"/>
      <c r="C58" s="312" t="n"/>
      <c r="D58" s="326" t="inlineStr">
        <is>
          <t>Sewa Ruangan</t>
        </is>
      </c>
      <c r="E58" s="323" t="n"/>
      <c r="F58" s="336" t="n"/>
      <c r="G58" s="316" t="n"/>
      <c r="H58" s="316" t="n"/>
      <c r="I58" s="317" t="n"/>
      <c r="J58" s="317" t="n"/>
      <c r="K58" s="319" t="n"/>
      <c r="L58" s="319" t="n"/>
      <c r="M58" s="319" t="n"/>
      <c r="N58" s="319" t="n"/>
      <c r="O58" s="319" t="n"/>
      <c r="P58" s="319" t="n"/>
      <c r="Q58" s="319" t="n"/>
    </row>
    <row r="59" ht="15.5" customFormat="1" customHeight="1" s="66">
      <c r="B59" s="311" t="n">
        <v>46097</v>
      </c>
      <c r="C59" s="312" t="n">
        <v>12</v>
      </c>
      <c r="D59" s="323" t="inlineStr">
        <is>
          <t>aaaaaaaaaaaaaaaa</t>
        </is>
      </c>
      <c r="E59" s="323" t="inlineStr">
        <is>
          <t>Mandiri</t>
        </is>
      </c>
      <c r="F59" s="335" t="n">
        <v>1111111</v>
      </c>
      <c r="G59" s="316" t="inlineStr">
        <is>
          <t>IDR</t>
        </is>
      </c>
      <c r="H59" s="321" t="n">
        <v>1</v>
      </c>
      <c r="I59" s="317" t="n"/>
      <c r="J59" s="317" t="n"/>
      <c r="K59" s="319" t="n"/>
      <c r="L59" s="319" t="n"/>
      <c r="M59" s="319" t="n"/>
      <c r="N59" s="333" t="n"/>
      <c r="O59" s="328" t="n">
        <v>1111111</v>
      </c>
      <c r="P59" s="319" t="n"/>
      <c r="Q59" s="319" t="n"/>
    </row>
    <row r="60" ht="15.5" customFormat="1" customHeight="1" s="66">
      <c r="B60" s="311" t="n"/>
      <c r="C60" s="312" t="n"/>
      <c r="D60" s="326" t="inlineStr">
        <is>
          <t>Software License</t>
        </is>
      </c>
      <c r="E60" s="323" t="n"/>
      <c r="F60" s="336" t="n"/>
      <c r="G60" s="316" t="n"/>
      <c r="H60" s="316" t="n"/>
      <c r="I60" s="317" t="n"/>
      <c r="J60" s="317" t="n"/>
      <c r="K60" s="319" t="n"/>
      <c r="L60" s="319" t="n"/>
      <c r="M60" s="319" t="n"/>
      <c r="N60" s="333" t="n"/>
      <c r="O60" s="319" t="n"/>
      <c r="P60" s="319" t="n"/>
      <c r="Q60" s="319" t="n"/>
    </row>
    <row r="61" ht="15.5" customFormat="1" customHeight="1" s="66">
      <c r="B61" s="311" t="n">
        <v>46106</v>
      </c>
      <c r="C61" s="312" t="n">
        <v>13</v>
      </c>
      <c r="D61" s="337" t="inlineStr">
        <is>
          <t>jajsj</t>
        </is>
      </c>
      <c r="E61" s="323" t="inlineStr">
        <is>
          <t>BCA</t>
        </is>
      </c>
      <c r="F61" s="335" t="n">
        <v>13131</v>
      </c>
      <c r="G61" s="324" t="inlineStr">
        <is>
          <t>IDR</t>
        </is>
      </c>
      <c r="H61" s="321" t="n">
        <v>1</v>
      </c>
      <c r="I61" s="317" t="n"/>
      <c r="J61" s="318" t="n"/>
      <c r="K61" s="325" t="n"/>
      <c r="L61" s="328" t="n">
        <v>13131</v>
      </c>
      <c r="M61" s="319" t="n"/>
      <c r="N61" s="319" t="n"/>
      <c r="O61" s="319" t="n"/>
      <c r="P61" s="319" t="n"/>
      <c r="Q61" s="319" t="n"/>
    </row>
    <row r="62" hidden="1" ht="15.5" customFormat="1" customHeight="1" s="66">
      <c r="B62" s="14" t="n"/>
      <c r="C62" s="15" t="n"/>
      <c r="D62" s="63" t="n"/>
      <c r="E62" s="63" t="n"/>
      <c r="F62" s="338" t="n"/>
      <c r="G62" s="60" t="n"/>
      <c r="H62" s="60" t="n"/>
      <c r="I62" s="62" t="n"/>
      <c r="J62" s="61" t="n"/>
      <c r="K62" s="44" t="n"/>
      <c r="L62" s="44" t="n"/>
      <c r="M62" s="44" t="n"/>
      <c r="N62" s="44" t="n"/>
      <c r="O62" s="44" t="n"/>
      <c r="P62" s="44" t="n"/>
      <c r="Q62" s="44" t="n"/>
    </row>
    <row r="63" hidden="1" ht="15.5" customFormat="1" customHeight="1" s="66">
      <c r="B63" s="14" t="n"/>
      <c r="C63" s="15" t="n"/>
      <c r="D63" s="63" t="n"/>
      <c r="E63" s="63" t="n"/>
      <c r="F63" s="338" t="n"/>
      <c r="G63" s="60" t="n"/>
      <c r="H63" s="60" t="n"/>
      <c r="I63" s="61" t="n"/>
      <c r="J63" s="61" t="n"/>
      <c r="K63" s="44" t="n"/>
      <c r="L63" s="44" t="n"/>
      <c r="M63" s="44" t="n"/>
      <c r="N63" s="44" t="n"/>
      <c r="O63" s="44" t="n"/>
      <c r="P63" s="44" t="n"/>
      <c r="Q63" s="62" t="n"/>
    </row>
    <row r="64" hidden="1" ht="15.5" customFormat="1" customHeight="1" s="66">
      <c r="B64" s="14" t="n"/>
      <c r="C64" s="15" t="n"/>
      <c r="D64" s="63" t="n"/>
      <c r="E64" s="63" t="n"/>
      <c r="F64" s="338" t="n"/>
      <c r="G64" s="60" t="n"/>
      <c r="H64" s="60" t="n"/>
      <c r="I64" s="62" t="n"/>
      <c r="J64" s="61" t="n"/>
      <c r="K64" s="44" t="n"/>
      <c r="L64" s="44" t="n"/>
      <c r="M64" s="44" t="n"/>
      <c r="N64" s="44" t="n"/>
      <c r="O64" s="44" t="n"/>
      <c r="P64" s="44" t="n"/>
      <c r="Q64" s="44" t="n"/>
    </row>
    <row r="65" hidden="1" ht="15.5" customFormat="1" customHeight="1" s="66">
      <c r="B65" s="14" t="n"/>
      <c r="C65" s="15" t="n"/>
      <c r="D65" s="70" t="n"/>
      <c r="E65" s="63" t="n"/>
      <c r="F65" s="338" t="n"/>
      <c r="G65" s="60" t="n"/>
      <c r="H65" s="60" t="n"/>
      <c r="I65" s="61" t="n"/>
      <c r="J65" s="61" t="n"/>
      <c r="K65" s="44" t="n"/>
      <c r="L65" s="44" t="n"/>
      <c r="M65" s="44" t="n"/>
      <c r="N65" s="44" t="n"/>
      <c r="O65" s="44" t="n"/>
      <c r="P65" s="44" t="n"/>
      <c r="Q65" s="68" t="n"/>
    </row>
    <row r="66" hidden="1" ht="15.5" customFormat="1" customHeight="1" s="66">
      <c r="B66" s="14" t="n"/>
      <c r="C66" s="15" t="n"/>
      <c r="D66" s="63" t="n"/>
      <c r="E66" s="63" t="n"/>
      <c r="F66" s="338" t="n"/>
      <c r="G66" s="60" t="n"/>
      <c r="H66" s="60" t="n"/>
      <c r="I66" s="61" t="n"/>
      <c r="J66" s="61" t="n"/>
      <c r="K66" s="44" t="n"/>
      <c r="L66" s="44" t="n"/>
      <c r="M66" s="44" t="n"/>
      <c r="N66" s="68" t="n"/>
      <c r="O66" s="44" t="n"/>
      <c r="P66" s="44" t="n"/>
      <c r="Q66" s="44" t="n"/>
    </row>
    <row r="67" hidden="1" ht="15.5" customHeight="1" s="297">
      <c r="B67" s="14" t="n"/>
      <c r="C67" s="15" t="n"/>
      <c r="D67" s="63" t="n"/>
      <c r="E67" s="63" t="n"/>
      <c r="F67" s="338" t="n"/>
      <c r="G67" s="60" t="n"/>
      <c r="H67" s="60" t="n"/>
      <c r="I67" s="61" t="n"/>
      <c r="J67" s="61" t="n"/>
      <c r="K67" s="44" t="n"/>
      <c r="L67" s="44" t="n"/>
      <c r="M67" s="44" t="n"/>
      <c r="N67" s="68" t="n"/>
      <c r="O67" s="44" t="n"/>
      <c r="P67" s="44" t="n"/>
      <c r="Q67" s="44" t="n"/>
    </row>
    <row r="68" hidden="1" ht="15.5" customHeight="1" s="297">
      <c r="A68" s="66" t="n"/>
      <c r="B68" s="14" t="n"/>
      <c r="C68" s="15" t="n"/>
      <c r="D68" s="63" t="n"/>
      <c r="E68" s="63" t="n"/>
      <c r="F68" s="21" t="n"/>
      <c r="G68" s="60" t="n"/>
      <c r="H68" s="60" t="n"/>
      <c r="I68" s="61" t="n"/>
      <c r="J68" s="62" t="n"/>
      <c r="K68" s="44" t="n"/>
      <c r="L68" s="44" t="n"/>
      <c r="M68" s="44" t="n"/>
      <c r="N68" s="44" t="n"/>
      <c r="O68" s="44" t="n"/>
      <c r="P68" s="44" t="n"/>
      <c r="Q68" s="44" t="n"/>
    </row>
    <row r="69" hidden="1" ht="15.5" customHeight="1" s="297">
      <c r="A69" s="66" t="n"/>
      <c r="B69" s="14" t="n"/>
      <c r="C69" s="15" t="n"/>
      <c r="D69" s="63" t="n"/>
      <c r="E69" s="63" t="n"/>
      <c r="F69" s="338" t="n"/>
      <c r="G69" s="60" t="n"/>
      <c r="H69" s="60" t="n"/>
      <c r="I69" s="61" t="n"/>
      <c r="J69" s="61" t="n"/>
      <c r="K69" s="44" t="n"/>
      <c r="L69" s="44" t="n"/>
      <c r="M69" s="44" t="n"/>
      <c r="N69" s="44" t="n"/>
      <c r="O69" s="62" t="n"/>
      <c r="P69" s="44" t="n"/>
      <c r="Q69" s="62" t="n"/>
    </row>
    <row r="70" hidden="1" ht="15.5" customHeight="1" s="297">
      <c r="B70" s="14" t="n"/>
      <c r="C70" s="15" t="n"/>
      <c r="D70" s="63" t="n"/>
      <c r="E70" s="63" t="n"/>
      <c r="F70" s="338" t="n"/>
      <c r="G70" s="60" t="n"/>
      <c r="H70" s="60" t="n"/>
      <c r="I70" s="61" t="n"/>
      <c r="J70" s="61" t="n"/>
      <c r="K70" s="44" t="n"/>
      <c r="L70" s="44" t="n"/>
      <c r="M70" s="44" t="n"/>
      <c r="N70" s="339" t="n"/>
      <c r="O70" s="44" t="n"/>
      <c r="P70" s="44" t="n"/>
      <c r="Q70" s="44" t="n"/>
    </row>
    <row r="71" hidden="1" ht="15.5" customHeight="1" s="297">
      <c r="B71" s="14" t="n"/>
      <c r="C71" s="15" t="n"/>
      <c r="D71" s="63" t="n"/>
      <c r="E71" s="63" t="n"/>
      <c r="F71" s="338" t="n"/>
      <c r="G71" s="60" t="n"/>
      <c r="H71" s="60" t="n"/>
      <c r="I71" s="61" t="n"/>
      <c r="J71" s="61" t="n"/>
      <c r="K71" s="44" t="n"/>
      <c r="L71" s="339" t="n"/>
      <c r="M71" s="44" t="n"/>
      <c r="N71" s="44" t="n"/>
      <c r="O71" s="44" t="n"/>
      <c r="P71" s="44" t="n"/>
      <c r="Q71" s="44" t="n"/>
    </row>
    <row r="72" hidden="1" ht="15.5" customHeight="1" s="297">
      <c r="B72" s="14" t="n"/>
      <c r="C72" s="15" t="n"/>
      <c r="D72" s="63" t="n"/>
      <c r="E72" s="63" t="n"/>
      <c r="F72" s="338" t="n"/>
      <c r="G72" s="60" t="n"/>
      <c r="H72" s="60" t="n"/>
      <c r="I72" s="61" t="n"/>
      <c r="J72" s="61" t="n"/>
      <c r="K72" s="44" t="n"/>
      <c r="L72" s="44" t="n"/>
      <c r="M72" s="44" t="n"/>
      <c r="N72" s="44" t="n"/>
      <c r="O72" s="44" t="n"/>
      <c r="P72" s="44" t="n"/>
      <c r="Q72" s="44" t="n"/>
    </row>
    <row r="73" hidden="1" ht="15.5" customHeight="1" s="297">
      <c r="B73" s="14" t="n"/>
      <c r="C73" s="15" t="n"/>
      <c r="D73" s="18" t="n"/>
      <c r="E73" s="18" t="n"/>
      <c r="F73" s="21" t="n"/>
      <c r="G73" s="60" t="n"/>
      <c r="H73" s="60" t="n"/>
      <c r="I73" s="61" t="n"/>
      <c r="J73" s="61" t="n"/>
      <c r="K73" s="62" t="n"/>
      <c r="L73" s="44" t="n"/>
      <c r="M73" s="44" t="n"/>
      <c r="N73" s="44" t="n"/>
      <c r="O73" s="44" t="n"/>
      <c r="P73" s="44" t="n"/>
      <c r="Q73" s="44" t="n"/>
    </row>
    <row r="74" hidden="1" ht="15.5" customHeight="1" s="297">
      <c r="A74" s="66" t="n"/>
      <c r="B74" s="14" t="n"/>
      <c r="C74" s="15" t="n"/>
      <c r="D74" s="63" t="n"/>
      <c r="E74" s="63" t="n"/>
      <c r="F74" s="21" t="n"/>
      <c r="G74" s="60" t="n"/>
      <c r="H74" s="60" t="n"/>
      <c r="I74" s="61" t="n"/>
      <c r="J74" s="61" t="n"/>
      <c r="K74" s="44" t="n"/>
      <c r="L74" s="44" t="n"/>
      <c r="M74" s="44" t="n"/>
      <c r="N74" s="44" t="n"/>
      <c r="O74" s="44" t="n"/>
      <c r="P74" s="44" t="n"/>
      <c r="Q74" s="62" t="n"/>
    </row>
    <row r="75" hidden="1" ht="15.5" customHeight="1" s="297">
      <c r="A75" s="66" t="n"/>
      <c r="B75" s="14" t="n"/>
      <c r="C75" s="15" t="n"/>
      <c r="D75" s="63" t="n"/>
      <c r="E75" s="63" t="n"/>
      <c r="F75" s="21" t="n"/>
      <c r="G75" s="60" t="n"/>
      <c r="H75" s="60" t="n"/>
      <c r="I75" s="61" t="n"/>
      <c r="J75" s="62" t="n"/>
      <c r="K75" s="44" t="n"/>
      <c r="L75" s="44" t="n"/>
      <c r="M75" s="44" t="n"/>
      <c r="N75" s="44" t="n"/>
      <c r="O75" s="44" t="n"/>
      <c r="P75" s="44" t="n"/>
      <c r="Q75" s="44" t="n"/>
    </row>
    <row r="76" hidden="1" ht="15.5" customHeight="1" s="297">
      <c r="B76" s="14" t="n"/>
      <c r="C76" s="15" t="n"/>
      <c r="D76" s="63" t="n"/>
      <c r="E76" s="63" t="n"/>
      <c r="F76" s="338" t="n"/>
      <c r="G76" s="60" t="n"/>
      <c r="H76" s="60" t="n"/>
      <c r="I76" s="61" t="n"/>
      <c r="J76" s="61" t="n"/>
      <c r="K76" s="44" t="n"/>
      <c r="L76" s="44" t="n"/>
      <c r="M76" s="44" t="n"/>
      <c r="N76" s="339" t="n"/>
      <c r="O76" s="44" t="n"/>
      <c r="P76" s="44" t="n"/>
      <c r="Q76" s="44" t="n"/>
    </row>
    <row r="77" hidden="1" ht="15.5" customHeight="1" s="297">
      <c r="B77" s="14" t="n"/>
      <c r="C77" s="15" t="n"/>
      <c r="D77" s="63" t="n"/>
      <c r="E77" s="63" t="n"/>
      <c r="F77" s="21" t="n"/>
      <c r="G77" s="64" t="n"/>
      <c r="H77" s="60" t="n"/>
      <c r="I77" s="61" t="n"/>
      <c r="J77" s="44" t="n"/>
      <c r="K77" s="340" t="n"/>
      <c r="L77" s="44" t="n"/>
      <c r="M77" s="44" t="n"/>
      <c r="N77" s="44" t="n"/>
      <c r="O77" s="44" t="n"/>
      <c r="P77" s="44" t="n"/>
      <c r="Q77" s="44" t="n"/>
    </row>
    <row r="78" hidden="1" ht="15.5" customHeight="1" s="297">
      <c r="B78" s="14" t="n"/>
      <c r="C78" s="15" t="n"/>
      <c r="D78" s="63" t="n"/>
      <c r="E78" s="63" t="n"/>
      <c r="F78" s="21" t="n"/>
      <c r="G78" s="64" t="n"/>
      <c r="H78" s="60" t="n"/>
      <c r="I78" s="61" t="n"/>
      <c r="J78" s="44" t="n"/>
      <c r="K78" s="340" t="n"/>
      <c r="L78" s="44" t="n"/>
      <c r="M78" s="44" t="n"/>
      <c r="N78" s="44" t="n"/>
      <c r="O78" s="44" t="n"/>
      <c r="P78" s="44" t="n"/>
      <c r="Q78" s="44" t="n"/>
    </row>
    <row r="79" hidden="1" ht="15.5" customHeight="1" s="297">
      <c r="B79" s="14" t="n"/>
      <c r="C79" s="15" t="n"/>
      <c r="D79" s="18" t="n"/>
      <c r="E79" s="18" t="n"/>
      <c r="F79" s="19" t="n"/>
      <c r="G79" s="60" t="n"/>
      <c r="H79" s="60" t="n"/>
      <c r="I79" s="61" t="n"/>
      <c r="J79" s="61" t="n"/>
      <c r="K79" s="62" t="n"/>
      <c r="L79" s="44" t="n"/>
      <c r="M79" s="44" t="n"/>
      <c r="N79" s="44" t="n"/>
      <c r="O79" s="44" t="n"/>
      <c r="P79" s="44" t="n"/>
      <c r="Q79" s="68" t="n"/>
    </row>
    <row r="80" hidden="1" ht="15.5" customHeight="1" s="297">
      <c r="B80" s="14" t="n"/>
      <c r="C80" s="15" t="n"/>
      <c r="D80" s="18" t="n"/>
      <c r="E80" s="18" t="n"/>
      <c r="F80" s="21" t="n"/>
      <c r="G80" s="60" t="n"/>
      <c r="H80" s="60" t="n"/>
      <c r="I80" s="61" t="n"/>
      <c r="J80" s="61" t="n"/>
      <c r="K80" s="62" t="n"/>
      <c r="L80" s="44" t="n"/>
      <c r="M80" s="44" t="n"/>
      <c r="N80" s="44" t="n"/>
      <c r="O80" s="44" t="n"/>
      <c r="P80" s="44" t="n"/>
      <c r="Q80" s="44" t="n"/>
    </row>
    <row r="81" hidden="1" ht="15.5" customHeight="1" s="297">
      <c r="B81" s="14" t="n"/>
      <c r="C81" s="15" t="n"/>
      <c r="D81" s="18" t="n"/>
      <c r="E81" s="18" t="n"/>
      <c r="F81" s="177" t="n"/>
      <c r="G81" s="60" t="n"/>
      <c r="H81" s="60" t="n"/>
      <c r="I81" s="61" t="n"/>
      <c r="J81" s="61" t="n"/>
      <c r="K81" s="62" t="n"/>
      <c r="L81" s="44" t="n"/>
      <c r="M81" s="44" t="n"/>
      <c r="N81" s="44" t="n"/>
      <c r="O81" s="44" t="n"/>
      <c r="P81" s="44" t="n"/>
      <c r="Q81" s="68" t="n"/>
    </row>
    <row r="82" hidden="1" ht="15.5" customHeight="1" s="297">
      <c r="B82" s="14" t="n"/>
      <c r="C82" s="15" t="n"/>
      <c r="D82" s="18" t="n"/>
      <c r="E82" s="18" t="n"/>
      <c r="F82" s="21" t="n"/>
      <c r="G82" s="60" t="n"/>
      <c r="H82" s="60" t="n"/>
      <c r="I82" s="61" t="n"/>
      <c r="J82" s="61" t="n"/>
      <c r="K82" s="62" t="n"/>
      <c r="L82" s="68" t="n"/>
      <c r="M82" s="44" t="n"/>
      <c r="N82" s="44" t="n"/>
      <c r="O82" s="44" t="n"/>
      <c r="P82" s="44" t="n"/>
      <c r="Q82" s="44" t="n"/>
    </row>
    <row r="83" hidden="1" ht="15.5" customHeight="1" s="297">
      <c r="B83" s="14" t="n"/>
      <c r="C83" s="15" t="n"/>
      <c r="D83" s="18" t="n"/>
      <c r="E83" s="18" t="n"/>
      <c r="F83" s="19" t="n"/>
      <c r="G83" s="60" t="n"/>
      <c r="H83" s="60" t="n"/>
      <c r="I83" s="61" t="n"/>
      <c r="J83" s="61" t="n"/>
      <c r="K83" s="62" t="n"/>
      <c r="L83" s="44" t="n"/>
      <c r="M83" s="44" t="n"/>
      <c r="N83" s="44" t="n"/>
      <c r="O83" s="44" t="n"/>
      <c r="P83" s="44" t="n"/>
      <c r="Q83" s="44" t="n"/>
    </row>
    <row r="84" hidden="1" ht="15.5" customHeight="1" s="297">
      <c r="A84" s="66" t="n"/>
      <c r="B84" s="14" t="n"/>
      <c r="C84" s="15" t="n"/>
      <c r="D84" s="63" t="n"/>
      <c r="E84" s="63" t="n"/>
      <c r="F84" s="21" t="n"/>
      <c r="G84" s="60" t="n"/>
      <c r="H84" s="60" t="n"/>
      <c r="I84" s="62" t="n"/>
      <c r="J84" s="61" t="n"/>
      <c r="K84" s="44" t="n"/>
      <c r="L84" s="44" t="n"/>
      <c r="M84" s="44" t="n"/>
      <c r="N84" s="44" t="n"/>
      <c r="O84" s="44" t="n"/>
      <c r="P84" s="44" t="n"/>
      <c r="Q84" s="44" t="n"/>
    </row>
    <row r="85" hidden="1" ht="15.5" customHeight="1" s="297">
      <c r="B85" s="14" t="n"/>
      <c r="C85" s="15" t="n"/>
      <c r="D85" s="63" t="n"/>
      <c r="E85" s="63" t="n"/>
      <c r="F85" s="21" t="n"/>
      <c r="G85" s="64" t="n"/>
      <c r="H85" s="60" t="n"/>
      <c r="I85" s="61" t="n"/>
      <c r="J85" s="44" t="n"/>
      <c r="K85" s="340" t="n"/>
      <c r="L85" s="62" t="n"/>
      <c r="M85" s="44" t="n"/>
      <c r="N85" s="44" t="n"/>
      <c r="O85" s="44" t="n"/>
      <c r="P85" s="44" t="n"/>
      <c r="Q85" s="44" t="n"/>
    </row>
    <row r="86" hidden="1" ht="15.5" customHeight="1" s="297">
      <c r="B86" s="14" t="n"/>
      <c r="C86" s="15" t="n"/>
      <c r="D86" s="63" t="n"/>
      <c r="E86" s="63" t="n"/>
      <c r="F86" s="21" t="n"/>
      <c r="G86" s="64" t="n"/>
      <c r="H86" s="60" t="n"/>
      <c r="I86" s="62" t="n"/>
      <c r="J86" s="44" t="n"/>
      <c r="K86" s="340" t="n"/>
      <c r="L86" s="44" t="n"/>
      <c r="M86" s="44" t="n"/>
      <c r="N86" s="44" t="n"/>
      <c r="O86" s="44" t="n"/>
      <c r="P86" s="44" t="n"/>
      <c r="Q86" s="44" t="n"/>
    </row>
    <row r="87" hidden="1" ht="15.5" customHeight="1" s="297">
      <c r="A87" s="66" t="n"/>
      <c r="B87" s="14" t="n"/>
      <c r="C87" s="15" t="n"/>
      <c r="D87" s="63" t="n"/>
      <c r="E87" s="63" t="n"/>
      <c r="F87" s="21" t="n"/>
      <c r="G87" s="60" t="n"/>
      <c r="H87" s="60" t="n"/>
      <c r="I87" s="61" t="n"/>
      <c r="J87" s="61" t="n"/>
      <c r="K87" s="44" t="n"/>
      <c r="L87" s="44" t="n"/>
      <c r="M87" s="44" t="n"/>
      <c r="N87" s="44" t="n"/>
      <c r="O87" s="44" t="n"/>
      <c r="P87" s="44" t="n"/>
      <c r="Q87" s="62" t="n"/>
    </row>
    <row r="88" hidden="1" ht="15.5" customHeight="1" s="297">
      <c r="B88" s="14" t="n"/>
      <c r="C88" s="15" t="n"/>
      <c r="D88" s="63" t="n"/>
      <c r="E88" s="63" t="n"/>
      <c r="F88" s="21" t="n"/>
      <c r="G88" s="60" t="n"/>
      <c r="H88" s="60" t="n"/>
      <c r="I88" s="61" t="n"/>
      <c r="J88" s="44" t="n"/>
      <c r="K88" s="340" t="n"/>
      <c r="L88" s="44" t="n"/>
      <c r="M88" s="44" t="n"/>
      <c r="N88" s="44" t="n"/>
      <c r="O88" s="44" t="n"/>
      <c r="P88" s="44" t="n"/>
      <c r="Q88" s="44" t="n"/>
    </row>
    <row r="89" hidden="1" ht="15.5" customHeight="1" s="297">
      <c r="B89" s="14" t="n"/>
      <c r="C89" s="15" t="n"/>
      <c r="D89" s="63" t="n"/>
      <c r="E89" s="63" t="n"/>
      <c r="F89" s="21" t="n"/>
      <c r="G89" s="60" t="n"/>
      <c r="H89" s="60" t="n"/>
      <c r="I89" s="61" t="n"/>
      <c r="J89" s="44" t="n"/>
      <c r="K89" s="340" t="n"/>
      <c r="L89" s="44" t="n"/>
      <c r="M89" s="44" t="n"/>
      <c r="N89" s="62" t="n"/>
      <c r="O89" s="44" t="n"/>
      <c r="P89" s="44" t="n"/>
      <c r="Q89" s="44" t="n"/>
    </row>
    <row r="90" hidden="1" ht="15.5" customHeight="1" s="297">
      <c r="A90" s="66" t="n"/>
      <c r="B90" s="14" t="n"/>
      <c r="C90" s="15" t="n"/>
      <c r="D90" s="63" t="n"/>
      <c r="E90" s="63" t="n"/>
      <c r="F90" s="21" t="n"/>
      <c r="G90" s="60" t="n"/>
      <c r="H90" s="60" t="n"/>
      <c r="I90" s="61" t="n"/>
      <c r="J90" s="62" t="n"/>
      <c r="K90" s="44" t="n"/>
      <c r="L90" s="44" t="n"/>
      <c r="M90" s="44" t="n"/>
      <c r="N90" s="44" t="n"/>
      <c r="O90" s="44" t="n"/>
      <c r="P90" s="44" t="n"/>
      <c r="Q90" s="44" t="n"/>
    </row>
    <row r="91" hidden="1" ht="15.5" customHeight="1" s="297">
      <c r="B91" s="14" t="n"/>
      <c r="C91" s="15" t="n"/>
      <c r="D91" s="63" t="n"/>
      <c r="E91" s="63" t="n"/>
      <c r="F91" s="338" t="n"/>
      <c r="G91" s="60" t="n"/>
      <c r="H91" s="60" t="n"/>
      <c r="I91" s="61" t="n"/>
      <c r="J91" s="61" t="n"/>
      <c r="K91" s="44" t="n"/>
      <c r="L91" s="44" t="n"/>
      <c r="M91" s="44" t="n"/>
      <c r="N91" s="44" t="n"/>
      <c r="O91" s="339" t="n"/>
      <c r="P91" s="44" t="n"/>
      <c r="Q91" s="44" t="n"/>
    </row>
    <row r="92" hidden="1" ht="15.5" customHeight="1" s="297">
      <c r="B92" s="14" t="n"/>
      <c r="C92" s="15" t="n"/>
      <c r="D92" s="63" t="n"/>
      <c r="E92" s="63" t="n"/>
      <c r="F92" s="338" t="n"/>
      <c r="G92" s="60" t="n"/>
      <c r="H92" s="60" t="n"/>
      <c r="I92" s="62" t="n"/>
      <c r="J92" s="61" t="n"/>
      <c r="K92" s="44" t="n"/>
      <c r="L92" s="44" t="n"/>
      <c r="M92" s="44" t="n"/>
      <c r="N92" s="44" t="n"/>
      <c r="O92" s="44" t="n"/>
      <c r="P92" s="44" t="n"/>
      <c r="Q92" s="44" t="n"/>
    </row>
    <row r="93" hidden="1" ht="15.5" customHeight="1" s="297">
      <c r="B93" s="14" t="n"/>
      <c r="C93" s="15" t="n"/>
      <c r="D93" s="63" t="n"/>
      <c r="E93" s="63" t="n"/>
      <c r="F93" s="338" t="n"/>
      <c r="G93" s="60" t="n"/>
      <c r="H93" s="60" t="n"/>
      <c r="I93" s="61" t="n"/>
      <c r="J93" s="61" t="n"/>
      <c r="K93" s="44" t="n"/>
      <c r="L93" s="44" t="n"/>
      <c r="M93" s="44" t="n"/>
      <c r="N93" s="44" t="n"/>
      <c r="O93" s="44" t="n"/>
      <c r="P93" s="44" t="n"/>
      <c r="Q93" s="44" t="n"/>
    </row>
    <row r="94" hidden="1" ht="15.5" customHeight="1" s="297">
      <c r="A94" s="66" t="n"/>
      <c r="B94" s="14" t="n"/>
      <c r="C94" s="15" t="n"/>
      <c r="D94" s="63" t="n"/>
      <c r="E94" s="63" t="n"/>
      <c r="F94" s="338" t="n"/>
      <c r="G94" s="60" t="n"/>
      <c r="H94" s="60" t="n"/>
      <c r="I94" s="61" t="n"/>
      <c r="J94" s="62" t="n"/>
      <c r="K94" s="44" t="n"/>
      <c r="L94" s="44" t="n"/>
      <c r="M94" s="44" t="n"/>
      <c r="N94" s="44" t="n"/>
      <c r="O94" s="44" t="n"/>
      <c r="P94" s="44" t="n"/>
      <c r="Q94" s="44" t="n"/>
    </row>
    <row r="95" hidden="1" ht="15.5" customHeight="1" s="297">
      <c r="B95" s="72" t="n"/>
      <c r="C95" s="73" t="n"/>
      <c r="D95" s="74" t="n"/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 s="297">
      <c r="B96" s="14" t="n"/>
      <c r="C96" s="64" t="n"/>
      <c r="D96" s="63" t="n"/>
      <c r="E96" s="63" t="n"/>
      <c r="F96" s="338" t="n"/>
      <c r="G96" s="60" t="n"/>
      <c r="H96" s="60" t="n"/>
      <c r="I96" s="61" t="n"/>
      <c r="J96" s="44" t="n"/>
      <c r="K96" s="61" t="n"/>
      <c r="L96" s="44" t="n"/>
      <c r="M96" s="62" t="n"/>
      <c r="N96" s="44" t="n"/>
      <c r="O96" s="44" t="n"/>
      <c r="P96" s="44" t="n"/>
      <c r="Q96" s="44" t="n"/>
    </row>
    <row r="97" ht="15.5" customHeight="1" s="297">
      <c r="B97" s="79" t="n"/>
      <c r="C97" s="80" t="n"/>
      <c r="D97" s="341" t="inlineStr">
        <is>
          <t>OPERATION COST AND OFFICE - Expenses Report</t>
        </is>
      </c>
      <c r="E97" s="80" t="n"/>
      <c r="F97" s="342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t="15.5" customHeight="1" s="297">
      <c r="B98" s="343" t="inlineStr">
        <is>
          <t>Expense#1</t>
        </is>
      </c>
      <c r="C98" s="85" t="inlineStr">
        <is>
          <t>:</t>
        </is>
      </c>
      <c r="D98" s="344" t="inlineStr">
        <is>
          <t>asdasd</t>
        </is>
      </c>
      <c r="E98" s="86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t="15.5" customHeight="1" s="297">
      <c r="B99" s="24" t="n"/>
      <c r="C99" s="91" t="n"/>
      <c r="D99" s="345" t="inlineStr">
        <is>
          <t>asdasda</t>
        </is>
      </c>
      <c r="E99" s="92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t="15.5" customHeight="1" s="297">
      <c r="A100" s="346" t="n"/>
      <c r="B100" s="292" t="n">
        <v>46100</v>
      </c>
      <c r="C100" s="91" t="n">
        <v>1</v>
      </c>
      <c r="D100" s="95" t="inlineStr">
        <is>
          <t>asdasda</t>
        </is>
      </c>
      <c r="E100" s="95" t="n"/>
      <c r="F100" s="347" t="n">
        <v>123123123</v>
      </c>
      <c r="G100" s="91" t="inlineStr">
        <is>
          <t>IDR</t>
        </is>
      </c>
      <c r="H100" s="348" t="n">
        <v>1</v>
      </c>
      <c r="I100" s="61" t="n"/>
      <c r="J100" s="62" t="n"/>
      <c r="K100" s="44" t="n"/>
      <c r="L100" s="44" t="n"/>
      <c r="M100" s="44" t="n"/>
      <c r="N100" s="44" t="n"/>
      <c r="O100" s="44" t="n"/>
      <c r="P100" s="44" t="n"/>
      <c r="Q100" s="44" t="n"/>
      <c r="V100" s="37" t="n">
        <v>123123123</v>
      </c>
    </row>
    <row r="101" hidden="1" ht="15.5" customHeight="1" s="297">
      <c r="B101" s="292" t="n"/>
      <c r="C101" s="91" t="n"/>
      <c r="D101" s="95" t="n"/>
      <c r="E101" s="95" t="n"/>
      <c r="F101" s="93" t="n"/>
      <c r="G101" s="91" t="n"/>
      <c r="H101" s="91" t="n"/>
      <c r="I101" s="61" t="n"/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 s="297">
      <c r="B102" s="292" t="n"/>
      <c r="C102" s="91" t="n"/>
      <c r="D102" s="95" t="n"/>
      <c r="E102" s="95" t="n"/>
      <c r="F102" s="93" t="n"/>
      <c r="G102" s="91" t="n"/>
      <c r="H102" s="91" t="n"/>
      <c r="I102" s="61" t="n"/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 s="297">
      <c r="B103" s="292" t="n"/>
      <c r="C103" s="91" t="n"/>
      <c r="D103" s="94" t="n"/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 s="297">
      <c r="B104" s="292" t="n"/>
      <c r="C104" s="91" t="n"/>
      <c r="D104" s="95" t="n"/>
      <c r="E104" s="95" t="n"/>
      <c r="F104" s="93" t="n"/>
      <c r="G104" s="91" t="n"/>
      <c r="H104" s="91" t="n"/>
      <c r="I104" s="61" t="n"/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 s="297">
      <c r="B105" s="292" t="n"/>
      <c r="C105" s="91" t="n"/>
      <c r="D105" s="95" t="n"/>
      <c r="E105" s="95" t="n"/>
      <c r="F105" s="93" t="n"/>
      <c r="G105" s="91" t="n"/>
      <c r="H105" s="91" t="n"/>
      <c r="I105" s="61" t="n"/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 s="297">
      <c r="B106" s="292" t="n"/>
      <c r="C106" s="91" t="n"/>
      <c r="D106" s="95" t="n"/>
      <c r="E106" s="95" t="n"/>
      <c r="F106" s="93" t="n"/>
      <c r="G106" s="91" t="n"/>
      <c r="H106" s="91" t="n"/>
      <c r="I106" s="61" t="n"/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 s="297">
      <c r="B107" s="292" t="n"/>
      <c r="C107" s="91" t="n"/>
      <c r="D107" s="95" t="n"/>
      <c r="E107" s="95" t="n"/>
      <c r="F107" s="93" t="n"/>
      <c r="G107" s="91" t="n"/>
      <c r="H107" s="91" t="n"/>
      <c r="I107" s="61" t="n"/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 s="297">
      <c r="B108" s="292" t="n"/>
      <c r="C108" s="91" t="n"/>
      <c r="D108" s="95" t="n"/>
      <c r="E108" s="95" t="n"/>
      <c r="F108" s="96" t="n"/>
      <c r="G108" s="91" t="n"/>
      <c r="H108" s="91" t="n"/>
      <c r="I108" s="61" t="n"/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 s="297">
      <c r="B109" s="292" t="n"/>
      <c r="C109" s="91" t="n"/>
      <c r="D109" s="95" t="n"/>
      <c r="E109" s="95" t="n"/>
      <c r="F109" s="96" t="n"/>
      <c r="G109" s="91" t="n"/>
      <c r="H109" s="91" t="n"/>
      <c r="I109" s="61" t="n"/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 s="297">
      <c r="B110" s="292" t="n"/>
      <c r="C110" s="91" t="n"/>
      <c r="D110" s="97" t="n"/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 s="297">
      <c r="B111" s="292" t="n"/>
      <c r="C111" s="91" t="n"/>
      <c r="D111" s="95" t="n"/>
      <c r="E111" s="95" t="n"/>
      <c r="F111" s="93" t="n"/>
      <c r="G111" s="91" t="n"/>
      <c r="H111" s="91" t="n"/>
      <c r="I111" s="61" t="n"/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 s="297">
      <c r="B112" s="292" t="n"/>
      <c r="C112" s="91" t="n"/>
      <c r="D112" s="95" t="n"/>
      <c r="E112" s="95" t="n"/>
      <c r="F112" s="93" t="n"/>
      <c r="G112" s="91" t="n"/>
      <c r="H112" s="91" t="n"/>
      <c r="I112" s="61" t="n"/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 s="297">
      <c r="B113" s="292" t="n"/>
      <c r="C113" s="91" t="n"/>
      <c r="D113" s="95" t="n"/>
      <c r="E113" s="95" t="n"/>
      <c r="F113" s="93" t="n"/>
      <c r="G113" s="91" t="n"/>
      <c r="H113" s="91" t="n"/>
      <c r="I113" s="61" t="n"/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 s="297">
      <c r="B114" s="292" t="n"/>
      <c r="C114" s="91" t="n"/>
      <c r="D114" s="97" t="n"/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 s="297">
      <c r="B115" s="292" t="n"/>
      <c r="C115" s="91" t="n"/>
      <c r="D115" s="98" t="n"/>
      <c r="E115" s="98" t="n"/>
      <c r="F115" s="93" t="n"/>
      <c r="G115" s="91" t="n"/>
      <c r="H115" s="91" t="n"/>
      <c r="I115" s="61" t="n"/>
      <c r="J115" s="62" t="n"/>
      <c r="K115" s="44" t="n"/>
      <c r="L115" s="44" t="n"/>
      <c r="M115" s="44" t="n"/>
      <c r="N115" s="61" t="n"/>
      <c r="O115" s="44" t="n"/>
      <c r="P115" s="44" t="n"/>
      <c r="Q115" s="44" t="n"/>
    </row>
    <row r="116" hidden="1" ht="15.5" customHeight="1" s="297">
      <c r="B116" s="292" t="n"/>
      <c r="C116" s="91" t="n"/>
      <c r="D116" s="98" t="n"/>
      <c r="E116" s="98" t="n"/>
      <c r="F116" s="93" t="n"/>
      <c r="G116" s="91" t="n"/>
      <c r="H116" s="91" t="n"/>
      <c r="I116" s="61" t="n"/>
      <c r="J116" s="62" t="n"/>
      <c r="K116" s="44" t="n"/>
      <c r="L116" s="44" t="n"/>
      <c r="M116" s="44" t="n"/>
      <c r="N116" s="61" t="n"/>
      <c r="O116" s="44" t="n"/>
      <c r="P116" s="44" t="n"/>
      <c r="Q116" s="44" t="n"/>
    </row>
    <row r="117" hidden="1" ht="15.5" customHeight="1" s="297">
      <c r="B117" s="292" t="n"/>
      <c r="C117" s="91" t="n"/>
      <c r="D117" s="98" t="n"/>
      <c r="E117" s="98" t="n"/>
      <c r="F117" s="93" t="n"/>
      <c r="G117" s="91" t="n"/>
      <c r="H117" s="91" t="n"/>
      <c r="I117" s="61" t="n"/>
      <c r="J117" s="62" t="n"/>
      <c r="K117" s="44" t="n"/>
      <c r="L117" s="44" t="n"/>
      <c r="M117" s="44" t="n"/>
      <c r="N117" s="61" t="n"/>
      <c r="O117" s="44" t="n"/>
      <c r="P117" s="44" t="n"/>
      <c r="Q117" s="44" t="n"/>
    </row>
    <row r="118" hidden="1" ht="15.5" customHeight="1" s="297">
      <c r="B118" s="292" t="n"/>
      <c r="C118" s="91" t="n"/>
      <c r="D118" s="98" t="n"/>
      <c r="E118" s="98" t="n"/>
      <c r="F118" s="93" t="n"/>
      <c r="G118" s="91" t="n"/>
      <c r="H118" s="91" t="n"/>
      <c r="I118" s="61" t="n"/>
      <c r="J118" s="62" t="n"/>
      <c r="K118" s="44" t="n"/>
      <c r="L118" s="44" t="n"/>
      <c r="M118" s="44" t="n"/>
      <c r="N118" s="61" t="n"/>
      <c r="O118" s="44" t="n"/>
      <c r="P118" s="44" t="n"/>
      <c r="Q118" s="44" t="n"/>
    </row>
    <row r="119" hidden="1" ht="15.5" customHeight="1" s="297">
      <c r="B119" s="292" t="n"/>
      <c r="C119" s="91" t="n"/>
      <c r="D119" s="98" t="n"/>
      <c r="E119" s="98" t="n"/>
      <c r="F119" s="93" t="n"/>
      <c r="G119" s="91" t="n"/>
      <c r="H119" s="91" t="n"/>
      <c r="I119" s="62" t="n"/>
      <c r="J119" s="62" t="n"/>
      <c r="K119" s="44" t="n"/>
      <c r="L119" s="44" t="n"/>
      <c r="M119" s="44" t="n"/>
      <c r="N119" s="61" t="n"/>
      <c r="O119" s="44" t="n"/>
      <c r="P119" s="44" t="n"/>
      <c r="Q119" s="44" t="n"/>
    </row>
    <row r="120" hidden="1" ht="15.5" customHeight="1" s="297">
      <c r="B120" s="292" t="n"/>
      <c r="C120" s="91" t="n"/>
      <c r="D120" s="98" t="n"/>
      <c r="E120" s="98" t="n"/>
      <c r="F120" s="93" t="n"/>
      <c r="G120" s="91" t="n"/>
      <c r="H120" s="91" t="n"/>
      <c r="I120" s="44" t="n"/>
      <c r="J120" s="62" t="n"/>
      <c r="K120" s="44" t="n"/>
      <c r="L120" s="44" t="n"/>
      <c r="M120" s="61" t="n"/>
      <c r="N120" s="61" t="n"/>
      <c r="O120" s="44" t="n"/>
      <c r="P120" s="44" t="n"/>
      <c r="Q120" s="44" t="n"/>
    </row>
    <row r="121" hidden="1" ht="15.5" customHeight="1" s="297">
      <c r="B121" s="292" t="n"/>
      <c r="C121" s="91" t="n"/>
      <c r="D121" s="97" t="n"/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 s="297">
      <c r="B122" s="292" t="n"/>
      <c r="C122" s="91" t="n"/>
      <c r="D122" s="95" t="n"/>
      <c r="E122" s="95" t="n"/>
      <c r="F122" s="99" t="n"/>
      <c r="G122" s="91" t="n"/>
      <c r="H122" s="91" t="n"/>
      <c r="I122" s="62" t="n"/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 s="297">
      <c r="B123" s="292" t="n"/>
      <c r="C123" s="91" t="n"/>
      <c r="D123" s="97" t="n"/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 s="297">
      <c r="B124" s="292" t="n"/>
      <c r="C124" s="91" t="n"/>
      <c r="D124" s="95" t="n"/>
      <c r="E124" s="95" t="n"/>
      <c r="F124" s="93" t="n"/>
      <c r="G124" s="91" t="n"/>
      <c r="H124" s="91" t="n"/>
      <c r="I124" s="61" t="n"/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 s="297">
      <c r="B125" s="292" t="n"/>
      <c r="C125" s="91" t="n"/>
      <c r="D125" s="97" t="n"/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 s="297">
      <c r="B126" s="292" t="n"/>
      <c r="C126" s="91" t="n"/>
      <c r="D126" s="95" t="n"/>
      <c r="E126" s="95" t="n"/>
      <c r="F126" s="93" t="n"/>
      <c r="G126" s="91" t="n"/>
      <c r="H126" s="100" t="n"/>
      <c r="I126" s="62" t="n"/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t="15.5" customHeight="1" s="297">
      <c r="B127" s="343" t="inlineStr">
        <is>
          <t>Expense#2</t>
        </is>
      </c>
      <c r="C127" s="85" t="inlineStr">
        <is>
          <t>:</t>
        </is>
      </c>
      <c r="D127" s="344" t="inlineStr">
        <is>
          <t>kerja ke goweel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t="15.5" customHeight="1" s="297">
      <c r="B128" s="24" t="n"/>
      <c r="C128" s="91" t="n"/>
      <c r="D128" s="345" t="inlineStr">
        <is>
          <t>Biaya Bank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t="15.5" customHeight="1" s="297">
      <c r="B129" s="292" t="n">
        <v>46093</v>
      </c>
      <c r="C129" s="91" t="n">
        <v>1</v>
      </c>
      <c r="D129" s="95" t="inlineStr">
        <is>
          <t>23000</t>
        </is>
      </c>
      <c r="E129" s="95" t="n"/>
      <c r="F129" s="347" t="n">
        <v>200000</v>
      </c>
      <c r="G129" s="91" t="inlineStr">
        <is>
          <t>IDR</t>
        </is>
      </c>
      <c r="H129" s="348" t="n">
        <v>1</v>
      </c>
      <c r="I129" s="61" t="n"/>
      <c r="J129" s="44" t="n"/>
      <c r="K129" s="44" t="n"/>
      <c r="L129" s="44" t="n"/>
      <c r="M129" s="349" t="n">
        <v>200000</v>
      </c>
      <c r="N129" s="44" t="n"/>
      <c r="O129" s="44" t="n"/>
      <c r="P129" s="44" t="n"/>
      <c r="Q129" s="44" t="n"/>
    </row>
    <row r="130" ht="15.5" customHeight="1" s="297">
      <c r="A130" s="346" t="n"/>
      <c r="B130" s="24" t="n"/>
      <c r="C130" s="91" t="n"/>
      <c r="D130" s="345" t="inlineStr">
        <is>
          <t>Pembuatan Alat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t="15.5" customHeight="1" s="297">
      <c r="A131" s="346" t="n"/>
      <c r="B131" s="292" t="n">
        <v>46093</v>
      </c>
      <c r="C131" s="91" t="n">
        <v>2</v>
      </c>
      <c r="D131" s="95" t="inlineStr">
        <is>
          <t>123123</t>
        </is>
      </c>
      <c r="E131" s="95" t="n"/>
      <c r="F131" s="347" t="n">
        <v>544000</v>
      </c>
      <c r="G131" s="91" t="inlineStr">
        <is>
          <t>USD</t>
        </is>
      </c>
      <c r="H131" s="348" t="n">
        <v>16000</v>
      </c>
      <c r="I131" s="350" t="n">
        <v>544000</v>
      </c>
      <c r="J131" s="44" t="n"/>
      <c r="K131" s="44" t="n"/>
      <c r="L131" s="44" t="n"/>
      <c r="M131" s="349" t="n"/>
      <c r="N131" s="44" t="n"/>
      <c r="O131" s="44" t="n"/>
      <c r="P131" s="44" t="n"/>
      <c r="Q131" s="44" t="n"/>
    </row>
    <row r="132" hidden="1" ht="15.5" customHeight="1" s="297">
      <c r="B132" s="292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 s="297">
      <c r="B133" s="292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 s="297">
      <c r="B134" s="292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 s="297">
      <c r="B135" s="292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 s="297">
      <c r="B136" s="292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 s="297">
      <c r="B137" s="292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 s="297">
      <c r="B138" s="292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 s="297">
      <c r="B139" s="292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 s="297">
      <c r="B140" s="292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 s="297">
      <c r="B141" s="292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 s="297">
      <c r="B142" s="292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 s="297">
      <c r="B143" s="292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 s="297">
      <c r="B144" s="292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t="15.5" customHeight="1" s="297">
      <c r="B145" s="343" t="inlineStr">
        <is>
          <t>Expense#3</t>
        </is>
      </c>
      <c r="C145" s="85" t="inlineStr">
        <is>
          <t>:</t>
        </is>
      </c>
      <c r="D145" s="344" t="inlineStr">
        <is>
          <t>kerja sampingan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t="15.5" customHeight="1" s="297">
      <c r="B146" s="292" t="n"/>
      <c r="C146" s="91" t="n"/>
      <c r="D146" s="345" t="inlineStr">
        <is>
          <t>Hand Tools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t="15.5" customHeight="1" s="297">
      <c r="B147" s="292" t="n">
        <v>46099</v>
      </c>
      <c r="C147" s="91" t="n">
        <v>1</v>
      </c>
      <c r="D147" s="95" t="inlineStr">
        <is>
          <t>asdasd11</t>
        </is>
      </c>
      <c r="E147" s="95" t="n"/>
      <c r="F147" s="347" t="n">
        <v>1231231</v>
      </c>
      <c r="G147" s="91" t="inlineStr">
        <is>
          <t>IDR</t>
        </is>
      </c>
      <c r="H147" s="348" t="n">
        <v>1</v>
      </c>
      <c r="I147" s="61" t="n"/>
      <c r="J147" s="62" t="n"/>
      <c r="K147" s="44" t="n"/>
      <c r="L147" s="44" t="n"/>
      <c r="M147" s="61" t="n"/>
      <c r="N147" s="349" t="n">
        <v>1231231</v>
      </c>
      <c r="O147" s="44" t="n"/>
      <c r="P147" s="44" t="n"/>
      <c r="Q147" s="44" t="n"/>
    </row>
    <row r="148" hidden="1" ht="15.5" customHeight="1" s="297">
      <c r="B148" s="292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 s="297">
      <c r="B149" s="292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 s="297">
      <c r="B150" s="292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 s="297">
      <c r="B151" s="292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 s="297">
      <c r="B152" s="292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 s="297">
      <c r="B153" s="292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 s="297">
      <c r="B154" s="292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343" t="inlineStr">
        <is>
          <t>Expense#4</t>
        </is>
      </c>
      <c r="C155" s="85" t="inlineStr">
        <is>
          <t>:</t>
        </is>
      </c>
      <c r="D155" s="344" t="inlineStr">
        <is>
          <t>Pengeluaran Batch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t="15.5" customHeight="1" s="297">
      <c r="B156" s="102" t="n"/>
      <c r="C156" s="15" t="n"/>
      <c r="D156" s="351" t="inlineStr">
        <is>
          <t>nanas</t>
        </is>
      </c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A157" s="346" t="n"/>
      <c r="B157" s="102" t="n">
        <v>46093</v>
      </c>
      <c r="C157" s="15" t="n">
        <v>1</v>
      </c>
      <c r="D157" s="351" t="inlineStr">
        <is>
          <t>12312</t>
        </is>
      </c>
      <c r="E157" s="63" t="n"/>
      <c r="F157" s="352" t="n">
        <v>123123</v>
      </c>
      <c r="G157" s="15" t="inlineStr">
        <is>
          <t>IDR</t>
        </is>
      </c>
      <c r="H157" s="353" t="n">
        <v>1</v>
      </c>
      <c r="I157" s="349" t="n">
        <v>123123</v>
      </c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t="15.5" customHeight="1" s="297">
      <c r="B158" s="102" t="n"/>
      <c r="C158" s="15" t="n"/>
      <c r="D158" s="351" t="inlineStr">
        <is>
          <t>Pembuatan Alat</t>
        </is>
      </c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t="15.5" customHeight="1" s="297">
      <c r="A159" s="346" t="n"/>
      <c r="B159" s="102" t="n">
        <v>46093</v>
      </c>
      <c r="C159" s="15" t="n">
        <v>2</v>
      </c>
      <c r="D159" s="351" t="inlineStr">
        <is>
          <t>123123</t>
        </is>
      </c>
      <c r="E159" s="63" t="n"/>
      <c r="F159" s="352" t="n">
        <v>12312312</v>
      </c>
      <c r="G159" s="15" t="inlineStr">
        <is>
          <t>IDR</t>
        </is>
      </c>
      <c r="H159" s="353" t="n">
        <v>1</v>
      </c>
      <c r="I159" s="349" t="n">
        <v>12312312</v>
      </c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 s="297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 s="297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 s="297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 s="297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t="15.5" customHeight="1" s="297">
      <c r="B164" s="343" t="inlineStr">
        <is>
          <t>Expense#5</t>
        </is>
      </c>
      <c r="C164" s="85" t="inlineStr">
        <is>
          <t>:</t>
        </is>
      </c>
      <c r="D164" s="344" t="inlineStr">
        <is>
          <t>Pengeluaran Batch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t="15.5" customHeight="1" s="297">
      <c r="B165" s="292" t="n"/>
      <c r="C165" s="91" t="n"/>
      <c r="D165" s="354" t="inlineStr">
        <is>
          <t>pepaya</t>
        </is>
      </c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t="15.5" customHeight="1" s="297">
      <c r="B166" s="343" t="inlineStr">
        <is>
          <t>Expense#6</t>
        </is>
      </c>
      <c r="C166" s="85" t="inlineStr">
        <is>
          <t>:</t>
        </is>
      </c>
      <c r="D166" s="344" t="inlineStr">
        <is>
          <t>gowel party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t="15.5" customHeight="1" s="297">
      <c r="B167" s="292" t="n"/>
      <c r="C167" s="91" t="n"/>
      <c r="D167" s="345" t="inlineStr">
        <is>
          <t>Rental Tool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t="15.5" customHeight="1" s="297">
      <c r="B168" s="292" t="n">
        <v>46093</v>
      </c>
      <c r="C168" s="91" t="n">
        <v>1</v>
      </c>
      <c r="D168" s="95" t="inlineStr">
        <is>
          <t>blejar party</t>
        </is>
      </c>
      <c r="E168" s="95" t="n"/>
      <c r="F168" s="347" t="n">
        <v>12312312</v>
      </c>
      <c r="G168" s="91" t="inlineStr">
        <is>
          <t>IDR</t>
        </is>
      </c>
      <c r="H168" s="348" t="n">
        <v>1</v>
      </c>
      <c r="I168" s="61" t="n"/>
      <c r="J168" s="62" t="n"/>
      <c r="K168" s="349" t="n">
        <v>12312312</v>
      </c>
      <c r="L168" s="44" t="n"/>
      <c r="M168" s="62" t="n"/>
      <c r="N168" s="44" t="n"/>
      <c r="O168" s="44" t="n"/>
      <c r="P168" s="44" t="n"/>
      <c r="Q168" s="44" t="n"/>
    </row>
    <row r="169" hidden="1" ht="15.5" customHeight="1" s="297">
      <c r="B169" s="292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 s="297">
      <c r="B170" s="292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 s="297">
      <c r="B171" s="292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 s="297">
      <c r="B172" s="292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 s="297">
      <c r="B173" s="292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 s="297">
      <c r="B174" s="292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 s="297">
      <c r="B175" s="292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 s="297">
      <c r="B176" s="292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 s="297">
      <c r="B177" s="292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 s="297">
      <c r="B178" s="292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 s="297">
      <c r="B179" s="292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 s="297">
      <c r="B180" s="292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 s="297">
      <c r="B181" s="292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 s="297">
      <c r="B182" s="292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 s="297">
      <c r="B183" s="292" t="n"/>
      <c r="C183" s="91" t="n"/>
      <c r="D183" s="97" t="n"/>
      <c r="E183" s="97" t="n"/>
      <c r="F183" s="93" t="n"/>
      <c r="G183" s="91" t="n"/>
      <c r="H183" s="91" t="n"/>
      <c r="I183" s="355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 s="297">
      <c r="B184" s="292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 s="297">
      <c r="B185" s="78" t="inlineStr">
        <is>
          <t>Expense#7</t>
        </is>
      </c>
      <c r="C185" s="85" t="inlineStr">
        <is>
          <t>:</t>
        </is>
      </c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 s="297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 s="297">
      <c r="B187" s="292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 s="297">
      <c r="B188" s="292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 s="297">
      <c r="B189" s="292" t="n"/>
      <c r="C189" s="91" t="n"/>
      <c r="D189" s="97" t="inlineStr">
        <is>
          <t>Accommodation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 s="297">
      <c r="B190" s="292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 s="297">
      <c r="B191" s="292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 s="297">
      <c r="B192" s="292" t="n"/>
      <c r="C192" s="91" t="n"/>
      <c r="D192" s="97" t="inlineStr">
        <is>
          <t>Meal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 s="297">
      <c r="B193" s="292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 s="297">
      <c r="B194" s="292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 s="297">
      <c r="B195" s="292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 s="297">
      <c r="B196" s="78" t="inlineStr">
        <is>
          <t>Expense#8</t>
        </is>
      </c>
      <c r="C196" s="85" t="inlineStr">
        <is>
          <t>:</t>
        </is>
      </c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 s="297">
      <c r="B197" s="14" t="n"/>
      <c r="C197" s="15" t="n"/>
      <c r="D197" s="106" t="inlineStr">
        <is>
          <t>Transportation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 s="297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 s="297">
      <c r="B199" s="102" t="n"/>
      <c r="C199" s="15" t="n"/>
      <c r="D199" s="106" t="inlineStr">
        <is>
          <t>Transportation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 s="297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 s="297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 s="297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 s="297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 s="297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 s="297">
      <c r="B205" s="102" t="n"/>
      <c r="C205" s="15" t="n"/>
      <c r="D205" s="108" t="inlineStr">
        <is>
          <t>Accommodation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 s="297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356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 s="297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356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 s="297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 s="297">
      <c r="B209" s="78" t="inlineStr">
        <is>
          <t>Expense#9</t>
        </is>
      </c>
      <c r="C209" s="85" t="inlineStr">
        <is>
          <t>:</t>
        </is>
      </c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 s="297">
      <c r="B210" s="102" t="n"/>
      <c r="C210" s="15" t="n"/>
      <c r="D210" s="106" t="inlineStr">
        <is>
          <t>Transportation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 s="297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 s="297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 s="297">
      <c r="B213" s="102" t="n"/>
      <c r="C213" s="15" t="n"/>
      <c r="D213" s="108" t="inlineStr">
        <is>
          <t>Accommodation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 s="297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 s="297">
      <c r="B215" s="102" t="n"/>
      <c r="C215" s="15" t="n"/>
      <c r="D215" s="108" t="inlineStr">
        <is>
          <t>Allowance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 s="297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 s="297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 s="297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 s="297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 s="297">
      <c r="B220" s="78" t="inlineStr">
        <is>
          <t>Expense#10</t>
        </is>
      </c>
      <c r="C220" s="85" t="inlineStr">
        <is>
          <t>:</t>
        </is>
      </c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 s="297">
      <c r="B221" s="292" t="n"/>
      <c r="C221" s="91" t="n"/>
      <c r="D221" s="97" t="inlineStr">
        <is>
          <t>Accommodation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 s="297">
      <c r="B222" s="292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 s="297">
      <c r="B223" s="292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 s="297">
      <c r="B224" s="292" t="n"/>
      <c r="C224" s="91" t="n"/>
      <c r="D224" s="97" t="inlineStr">
        <is>
          <t>Logistic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 s="297">
      <c r="B225" s="292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 s="297">
      <c r="B226" s="292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 s="297">
      <c r="B227" s="292" t="n"/>
      <c r="C227" s="91" t="n"/>
      <c r="D227" s="97" t="inlineStr">
        <is>
          <t>Meal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 s="297">
      <c r="B228" s="292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 s="297">
      <c r="B229" s="292" t="n"/>
      <c r="C229" s="91" t="n"/>
      <c r="D229" s="97" t="inlineStr">
        <is>
          <t>Meal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 s="297">
      <c r="B230" s="292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 s="297">
      <c r="B231" s="292" t="n"/>
      <c r="C231" s="91" t="n"/>
      <c r="D231" s="97" t="inlineStr">
        <is>
          <t>Allowance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 s="297">
      <c r="B232" s="292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 s="297">
      <c r="B233" s="292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78" t="inlineStr">
        <is>
          <t>Expense#11</t>
        </is>
      </c>
      <c r="C234" s="85" t="inlineStr">
        <is>
          <t>:</t>
        </is>
      </c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 s="297">
      <c r="B235" s="292" t="n"/>
      <c r="C235" s="91" t="n"/>
      <c r="D235" s="97" t="inlineStr">
        <is>
          <t>Accommodation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 s="297">
      <c r="B236" s="292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 s="297">
      <c r="B237" s="292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 s="297">
      <c r="B238" s="292" t="n"/>
      <c r="C238" s="91" t="n"/>
      <c r="D238" s="97" t="inlineStr">
        <is>
          <t>Logistic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 s="297">
      <c r="B239" s="292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 s="297">
      <c r="B240" s="292" t="n"/>
      <c r="C240" s="91" t="n"/>
      <c r="D240" s="97" t="inlineStr">
        <is>
          <t>Meal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 s="297">
      <c r="B241" s="292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 s="297">
      <c r="B242" s="292" t="n"/>
      <c r="C242" s="91" t="n"/>
      <c r="D242" s="97" t="inlineStr">
        <is>
          <t>Meal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 s="297">
      <c r="B243" s="292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 s="297">
      <c r="B244" s="292" t="n"/>
      <c r="C244" s="91" t="n"/>
      <c r="D244" s="97" t="inlineStr">
        <is>
          <t>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 s="297">
      <c r="B245" s="292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97" t="inlineStr">
        <is>
          <t>Allowance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 s="297">
      <c r="B247" s="292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 s="297">
      <c r="B248" s="78" t="inlineStr">
        <is>
          <t>Expense#12</t>
        </is>
      </c>
      <c r="C248" s="85" t="inlineStr">
        <is>
          <t>:</t>
        </is>
      </c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 s="297">
      <c r="B249" s="292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 s="297">
      <c r="B250" s="78" t="inlineStr">
        <is>
          <t>Expense#13</t>
        </is>
      </c>
      <c r="C250" s="85" t="inlineStr">
        <is>
          <t>:</t>
        </is>
      </c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 s="297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 s="297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 s="297">
      <c r="B253" s="78" t="inlineStr">
        <is>
          <t>Expense#14</t>
        </is>
      </c>
      <c r="C253" s="85" t="inlineStr">
        <is>
          <t>:</t>
        </is>
      </c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 s="297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 s="297">
      <c r="B255" s="78" t="inlineStr">
        <is>
          <t>Expense#15</t>
        </is>
      </c>
      <c r="C255" s="85" t="inlineStr">
        <is>
          <t>:</t>
        </is>
      </c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 s="297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 s="297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 s="297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102" t="n"/>
      <c r="C259" s="15" t="n"/>
      <c r="D259" s="114" t="inlineStr">
        <is>
          <t>Allowance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 s="297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 s="297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 s="297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 s="297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 s="297">
      <c r="B264" s="78" t="inlineStr">
        <is>
          <t>Expense#16</t>
        </is>
      </c>
      <c r="C264" s="85" t="inlineStr">
        <is>
          <t>:</t>
        </is>
      </c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 s="297">
      <c r="B265" s="102" t="n"/>
      <c r="C265" s="15" t="n"/>
      <c r="D265" s="106" t="inlineStr">
        <is>
          <t>Transportation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 s="297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 s="297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 s="297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 s="297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 s="297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 s="297">
      <c r="B271" s="102" t="n"/>
      <c r="C271" s="15" t="n"/>
      <c r="D271" s="108" t="inlineStr">
        <is>
          <t>Logistic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 s="297">
      <c r="B272" s="102" t="n">
        <v>45437</v>
      </c>
      <c r="C272" s="15" t="n">
        <v>3</v>
      </c>
      <c r="D272" s="284" t="inlineStr">
        <is>
          <t>Wrapping Alfa Box</t>
        </is>
      </c>
      <c r="E272" s="284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 s="297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 s="297">
      <c r="B274" s="102" t="n"/>
      <c r="C274" s="15" t="n"/>
      <c r="D274" s="108" t="inlineStr">
        <is>
          <t>Allowance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 s="297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 s="297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 s="297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108" t="inlineStr">
        <is>
          <t>Allowance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 s="297">
      <c r="B280" s="78" t="inlineStr">
        <is>
          <t>Expense#17</t>
        </is>
      </c>
      <c r="C280" s="85" t="inlineStr">
        <is>
          <t>:</t>
        </is>
      </c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 s="297">
      <c r="B281" s="292" t="n"/>
      <c r="C281" s="91" t="n"/>
      <c r="D281" s="97" t="inlineStr">
        <is>
          <t>Accommodation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 s="297">
      <c r="B282" s="292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 s="297">
      <c r="B283" s="292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 s="297">
      <c r="B284" s="292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 s="297">
      <c r="B285" s="292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 s="297">
      <c r="B286" s="292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 s="297">
      <c r="B287" s="292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 s="297">
      <c r="B288" s="292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 s="297">
      <c r="B289" s="292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 s="297">
      <c r="B290" s="292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 s="297">
      <c r="B291" s="292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 s="297">
      <c r="B292" s="292" t="n"/>
      <c r="C292" s="117" t="n"/>
      <c r="D292" s="97" t="inlineStr">
        <is>
          <t>Meal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 s="297">
      <c r="B293" s="292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 s="297">
      <c r="B294" s="292" t="n"/>
      <c r="C294" s="117" t="n"/>
      <c r="D294" s="97" t="inlineStr">
        <is>
          <t>Meal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 s="297">
      <c r="B295" s="292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292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 s="297">
      <c r="B297" s="292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 s="297">
      <c r="B298" s="78" t="inlineStr">
        <is>
          <t>Expense#18</t>
        </is>
      </c>
      <c r="C298" s="85" t="inlineStr">
        <is>
          <t>:</t>
        </is>
      </c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 s="297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 s="297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 s="297">
      <c r="B301" s="102" t="n"/>
      <c r="C301" s="15" t="n"/>
      <c r="D301" s="106" t="inlineStr">
        <is>
          <t>Transportation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 s="297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 s="297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 s="297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 s="297">
      <c r="B305" s="78" t="inlineStr">
        <is>
          <t>Expense#19</t>
        </is>
      </c>
      <c r="C305" s="85" t="inlineStr">
        <is>
          <t>:</t>
        </is>
      </c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 s="297">
      <c r="B306" s="292" t="n"/>
      <c r="C306" s="91" t="n"/>
      <c r="D306" s="97" t="inlineStr">
        <is>
          <t>Accommodation</t>
        </is>
      </c>
      <c r="E306" s="97" t="n"/>
      <c r="F306" s="103" t="n"/>
      <c r="G306" s="91" t="n"/>
      <c r="H306" s="91" t="n"/>
      <c r="I306" s="355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 s="297">
      <c r="B307" s="292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355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 s="297">
      <c r="B308" s="292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 s="297">
      <c r="B309" s="292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355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 s="297">
      <c r="B310" s="292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 s="297">
      <c r="B312" s="292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 s="297">
      <c r="B313" s="292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 s="297">
      <c r="B314" s="292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 s="297">
      <c r="B315" s="292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 s="297">
      <c r="B316" s="292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 s="297">
      <c r="B317" s="292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 s="297">
      <c r="B318" s="292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 s="297">
      <c r="B319" s="292" t="n"/>
      <c r="C319" s="117" t="n"/>
      <c r="D319" s="97" t="inlineStr">
        <is>
          <t>Meal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 s="297">
      <c r="B320" s="292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 s="297">
      <c r="B321" s="292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 s="297">
      <c r="B322" s="292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 s="297">
      <c r="B323" s="78" t="inlineStr">
        <is>
          <t>Expense#20</t>
        </is>
      </c>
      <c r="C323" s="85" t="inlineStr">
        <is>
          <t>:</t>
        </is>
      </c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 s="297">
      <c r="B324" s="292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 s="297">
      <c r="B325" s="292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 s="297">
      <c r="B326" s="292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 s="297">
      <c r="B327" s="292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 s="297">
      <c r="B328" s="292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 s="297">
      <c r="B329" s="78" t="inlineStr">
        <is>
          <t>Expense#21</t>
        </is>
      </c>
      <c r="C329" s="85" t="inlineStr">
        <is>
          <t>:</t>
        </is>
      </c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 s="297">
      <c r="B330" s="292" t="n"/>
      <c r="C330" s="91" t="n"/>
      <c r="D330" s="97" t="inlineStr">
        <is>
          <t>Accommodation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 s="297">
      <c r="B331" s="292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355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 s="297">
      <c r="B332" s="292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 s="297">
      <c r="B333" s="292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 s="297">
      <c r="B334" s="292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 s="297">
      <c r="B335" s="292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 s="297">
      <c r="B336" s="292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 s="297">
      <c r="B337" s="292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 s="297">
      <c r="B338" s="292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 s="297">
      <c r="B339" s="292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 s="297">
      <c r="B340" s="292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 s="297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 s="297">
      <c r="B342" s="292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 s="297">
      <c r="B343" s="78" t="inlineStr">
        <is>
          <t>Expense#22</t>
        </is>
      </c>
      <c r="C343" s="85" t="inlineStr">
        <is>
          <t>:</t>
        </is>
      </c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 s="297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 s="297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 s="297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 s="297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 s="297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 s="297">
      <c r="B349" s="78" t="inlineStr">
        <is>
          <t>Expense#23</t>
        </is>
      </c>
      <c r="C349" s="85" t="inlineStr">
        <is>
          <t>:</t>
        </is>
      </c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 s="297">
      <c r="B350" s="14" t="n"/>
      <c r="C350" s="15" t="n"/>
      <c r="D350" s="106" t="inlineStr">
        <is>
          <t>Transportation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 s="297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 s="297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 s="297">
      <c r="B353" s="102" t="n"/>
      <c r="C353" s="15" t="n"/>
      <c r="D353" s="106" t="inlineStr">
        <is>
          <t>Transportation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 s="297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 s="297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 s="297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 s="297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 s="297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 s="297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 s="297">
      <c r="B360" s="102" t="n"/>
      <c r="C360" s="15" t="n"/>
      <c r="D360" s="118" t="inlineStr">
        <is>
          <t>Transportation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 s="297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 s="297">
      <c r="B362" s="102" t="n"/>
      <c r="C362" s="15" t="n"/>
      <c r="D362" s="108" t="inlineStr">
        <is>
          <t>Accommodation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 s="297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 s="297">
      <c r="B364" s="102" t="n"/>
      <c r="C364" s="15" t="n"/>
      <c r="D364" s="108" t="inlineStr">
        <is>
          <t>Allowance</t>
        </is>
      </c>
      <c r="E364" s="108" t="n"/>
      <c r="F364" s="21" t="n"/>
      <c r="G364" s="15" t="n"/>
      <c r="H364" s="15" t="n"/>
      <c r="I364" s="355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 s="297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355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 s="297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 s="297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 s="297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 s="297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 s="297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 s="297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 s="297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 s="297">
      <c r="B374" s="78" t="inlineStr">
        <is>
          <t>Expense#24</t>
        </is>
      </c>
      <c r="C374" s="85" t="inlineStr">
        <is>
          <t>:</t>
        </is>
      </c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 s="297">
      <c r="B375" s="102" t="n"/>
      <c r="C375" s="15" t="n"/>
      <c r="D375" s="118" t="inlineStr">
        <is>
          <t>Allowance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 s="297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 s="297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 s="297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 s="297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 s="297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 s="297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 s="297">
      <c r="B383" s="123" t="inlineStr">
        <is>
          <t>Expense#25</t>
        </is>
      </c>
      <c r="C383" s="73" t="inlineStr">
        <is>
          <t>:</t>
        </is>
      </c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 s="297">
      <c r="B384" s="292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292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 s="297">
      <c r="B386" s="292" t="n"/>
      <c r="C386" s="91" t="n"/>
      <c r="D386" s="97" t="inlineStr">
        <is>
          <t>Meal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 s="297">
      <c r="B387" s="292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 s="297">
      <c r="B388" s="292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 s="297">
      <c r="B389" s="292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 s="297">
      <c r="B390" s="292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 s="297">
      <c r="B391" s="292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 s="297">
      <c r="B392" s="78" t="inlineStr">
        <is>
          <t>Expense#26</t>
        </is>
      </c>
      <c r="C392" s="85" t="inlineStr">
        <is>
          <t>:</t>
        </is>
      </c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 s="297">
      <c r="B393" s="14" t="n"/>
      <c r="C393" s="15" t="n"/>
      <c r="D393" s="106" t="inlineStr">
        <is>
          <t>Transportation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 s="297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 s="297">
      <c r="B395" s="102" t="n"/>
      <c r="C395" s="15" t="n"/>
      <c r="D395" s="106" t="inlineStr">
        <is>
          <t>Transportation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 s="297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 s="297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 s="297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 s="297">
      <c r="B399" s="102" t="n"/>
      <c r="C399" s="15" t="n"/>
      <c r="D399" s="108" t="inlineStr">
        <is>
          <t>Accommodation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 s="297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 s="297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 s="297">
      <c r="B402" s="102" t="n"/>
      <c r="C402" s="15" t="n"/>
      <c r="D402" s="108" t="inlineStr">
        <is>
          <t>Allowance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 s="297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 s="297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 s="297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 s="297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 s="297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 s="297">
      <c r="B408" s="78" t="inlineStr">
        <is>
          <t>Expense#27</t>
        </is>
      </c>
      <c r="C408" s="85" t="inlineStr">
        <is>
          <t>:</t>
        </is>
      </c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 s="297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 s="297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 s="297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 s="297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 s="297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 s="297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 s="297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 s="297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 s="297">
      <c r="B417" s="102" t="n"/>
      <c r="C417" s="15" t="n"/>
      <c r="D417" s="106" t="inlineStr">
        <is>
          <t>Shipping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 s="297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 s="297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 s="297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 s="297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 s="297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 s="297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 s="297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 s="297">
      <c r="B425" s="14" t="n"/>
      <c r="C425" s="15" t="n"/>
      <c r="D425" s="63" t="inlineStr">
        <is>
          <t>Logistic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 s="297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 s="297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 s="297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 s="297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 s="297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 s="297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 s="297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 s="297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 s="297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 s="297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 s="297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 s="297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 s="297">
      <c r="B438" s="78" t="inlineStr">
        <is>
          <t>Expense#28</t>
        </is>
      </c>
      <c r="C438" s="85" t="inlineStr">
        <is>
          <t>:</t>
        </is>
      </c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 s="297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 s="297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 s="297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 s="297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 s="297">
      <c r="B443" s="102" t="n"/>
      <c r="C443" s="15" t="n"/>
      <c r="D443" s="108" t="inlineStr">
        <is>
          <t>Accommodation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 s="297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 s="297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 s="297">
      <c r="B446" s="102" t="n"/>
      <c r="C446" s="15" t="n"/>
      <c r="D446" s="108" t="inlineStr">
        <is>
          <t>Logistic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 s="297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 s="297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 s="297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 s="297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 s="297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 s="297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 s="297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 s="297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 s="297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 s="297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 s="297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 s="297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 s="297">
      <c r="B459" s="102" t="n"/>
      <c r="C459" s="15" t="n"/>
      <c r="D459" s="108" t="inlineStr">
        <is>
          <t>Meal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 s="297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 s="297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 s="297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 s="297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 s="297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 s="297">
      <c r="B465" s="102" t="n"/>
      <c r="C465" s="15" t="n"/>
      <c r="D465" s="108" t="inlineStr">
        <is>
          <t>Allowance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 s="297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 s="297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 s="297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 s="297">
      <c r="B469" s="78" t="inlineStr">
        <is>
          <t>Expense#29</t>
        </is>
      </c>
      <c r="C469" s="85" t="inlineStr">
        <is>
          <t>:</t>
        </is>
      </c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 s="297">
      <c r="B470" s="292" t="n"/>
      <c r="C470" s="91" t="n"/>
      <c r="D470" s="97" t="inlineStr">
        <is>
          <t>Accommodation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 s="297">
      <c r="B471" s="292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 s="297">
      <c r="B472" s="292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 s="297">
      <c r="B473" s="292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 s="297">
      <c r="B474" s="292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 s="297">
      <c r="B475" s="292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 s="297">
      <c r="B476" s="292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 s="297">
      <c r="B477" s="292" t="n"/>
      <c r="C477" s="91" t="n"/>
      <c r="D477" s="97" t="inlineStr">
        <is>
          <t>Operation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 s="297">
      <c r="B478" s="292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 s="297">
      <c r="B479" s="292" t="n"/>
      <c r="C479" s="117" t="n"/>
      <c r="D479" s="97" t="inlineStr">
        <is>
          <t>Meal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 s="297">
      <c r="B480" s="292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 s="297">
      <c r="B481" s="292" t="n"/>
      <c r="C481" s="117" t="n"/>
      <c r="D481" s="97" t="inlineStr">
        <is>
          <t>Meal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 s="297">
      <c r="B482" s="292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 s="297">
      <c r="B483" s="292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 s="297">
      <c r="B484" s="292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 s="297">
      <c r="B485" s="78" t="inlineStr">
        <is>
          <t>Expense#30</t>
        </is>
      </c>
      <c r="C485" s="85" t="inlineStr">
        <is>
          <t>:</t>
        </is>
      </c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Allowance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 s="297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 s="297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 s="297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 s="297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 s="297">
      <c r="B491" s="78" t="inlineStr">
        <is>
          <t>Expense#31</t>
        </is>
      </c>
      <c r="C491" s="85" t="inlineStr">
        <is>
          <t>:</t>
        </is>
      </c>
      <c r="D491" s="86" t="n"/>
      <c r="E491" s="86" t="n"/>
      <c r="F491" s="87" t="n"/>
      <c r="G491" s="73" t="n"/>
      <c r="H491" s="73" t="n"/>
      <c r="I491" s="357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 s="297">
      <c r="B492" s="292" t="n"/>
      <c r="C492" s="91" t="n"/>
      <c r="D492" s="127" t="inlineStr">
        <is>
          <t>Accommodation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 s="297">
      <c r="B493" s="292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355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 s="297">
      <c r="B494" s="292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 s="297">
      <c r="B495" s="292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 s="297">
      <c r="B496" s="292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 s="297">
      <c r="B497" s="292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 s="297">
      <c r="B499" s="292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 s="297">
      <c r="B500" s="292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 s="297">
      <c r="B501" s="292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 s="297">
      <c r="B502" s="292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 s="297">
      <c r="B503" s="292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 s="297">
      <c r="B504" s="292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 s="297">
      <c r="B505" s="292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 s="297">
      <c r="B506" s="78" t="inlineStr">
        <is>
          <t>Expense#32</t>
        </is>
      </c>
      <c r="C506" s="85" t="inlineStr">
        <is>
          <t>:</t>
        </is>
      </c>
      <c r="D506" s="86" t="n"/>
      <c r="E506" s="86" t="n"/>
      <c r="F506" s="87" t="n"/>
      <c r="G506" s="73" t="n"/>
      <c r="H506" s="73" t="n"/>
      <c r="I506" s="357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 s="297">
      <c r="B507" s="128" t="n"/>
      <c r="C507" s="129" t="n"/>
      <c r="D507" s="130" t="inlineStr">
        <is>
          <t>Transportation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 s="297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 s="297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 s="297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 s="297">
      <c r="B511" s="128" t="n"/>
      <c r="C511" s="129" t="n"/>
      <c r="D511" s="134" t="inlineStr">
        <is>
          <t>Allowance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 s="297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355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 s="297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 s="297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355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 s="297">
      <c r="B515" s="102" t="n"/>
      <c r="C515" s="15" t="n"/>
      <c r="D515" s="108" t="inlineStr">
        <is>
          <t>Allowance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 s="297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355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 s="297">
      <c r="B517" s="78" t="inlineStr">
        <is>
          <t>Expense#33</t>
        </is>
      </c>
      <c r="C517" s="85" t="inlineStr">
        <is>
          <t>:</t>
        </is>
      </c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 s="297">
      <c r="B518" s="292" t="n"/>
      <c r="C518" s="91" t="n"/>
      <c r="D518" s="97" t="inlineStr">
        <is>
          <t>Accommodation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 s="297">
      <c r="B519" s="292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 s="297">
      <c r="B520" s="292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 s="297">
      <c r="B521" s="292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 s="297">
      <c r="B522" s="292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 s="297">
      <c r="B523" s="292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 s="297">
      <c r="B524" s="292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 s="297">
      <c r="B525" s="292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 s="297">
      <c r="B526" s="292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 s="297">
      <c r="B527" s="292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 s="297">
      <c r="B528" s="292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 s="297">
      <c r="B529" s="292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 s="297">
      <c r="B530" s="292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 s="297">
      <c r="B531" s="292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292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 s="297">
      <c r="B533" s="292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 s="297">
      <c r="B534" s="292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 s="297">
      <c r="B535" s="292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 s="297">
      <c r="B536" s="292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 s="297">
      <c r="B537" s="292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 s="297">
      <c r="B538" s="292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 s="297">
      <c r="B539" s="292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 s="297">
      <c r="B540" s="292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 s="297">
      <c r="B541" s="292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 s="297">
      <c r="B542" s="292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 s="297">
      <c r="B543" s="292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 s="297">
      <c r="B544" s="292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 s="297">
      <c r="B545" s="78" t="inlineStr">
        <is>
          <t>Expense#34</t>
        </is>
      </c>
      <c r="C545" s="85" t="inlineStr">
        <is>
          <t>:</t>
        </is>
      </c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 s="297">
      <c r="B546" s="14" t="n"/>
      <c r="C546" s="15" t="n"/>
      <c r="D546" s="106" t="inlineStr">
        <is>
          <t>Transportation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 s="297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 s="297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 s="297">
      <c r="B549" s="102" t="n"/>
      <c r="C549" s="15" t="n"/>
      <c r="D549" s="106" t="inlineStr">
        <is>
          <t>Transportation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 s="297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 s="297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 s="297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 s="297">
      <c r="B553" s="102" t="n"/>
      <c r="C553" s="15" t="n"/>
      <c r="D553" s="118" t="inlineStr">
        <is>
          <t>Transportation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 s="297">
      <c r="B554" s="102" t="n"/>
      <c r="C554" s="15" t="n"/>
      <c r="D554" s="108" t="inlineStr">
        <is>
          <t>Accommodation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 s="297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 s="297">
      <c r="B556" s="102" t="n"/>
      <c r="C556" s="15" t="n"/>
      <c r="D556" s="108" t="inlineStr">
        <is>
          <t>Allowance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 s="297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 s="297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 s="297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355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 s="297">
      <c r="B560" s="78" t="inlineStr">
        <is>
          <t>Expense#35</t>
        </is>
      </c>
      <c r="C560" s="85" t="inlineStr">
        <is>
          <t>:</t>
        </is>
      </c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 s="297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 s="297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 s="297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 s="297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 s="297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 s="297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 s="297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 s="297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 s="297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 s="297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 s="297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 s="297">
      <c r="B572" s="135" t="n"/>
      <c r="C572" s="136" t="n"/>
      <c r="D572" s="137" t="inlineStr">
        <is>
          <t>Trip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 s="297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 s="297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 s="297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 s="297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 s="297">
      <c r="B577" s="128" t="n"/>
      <c r="C577" s="129" t="n"/>
      <c r="D577" s="134" t="inlineStr">
        <is>
          <t>Accommodation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 s="297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 s="297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 s="297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 s="297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 s="297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 s="297">
      <c r="B583" s="78" t="inlineStr">
        <is>
          <t>Expense#36</t>
        </is>
      </c>
      <c r="C583" s="85" t="inlineStr">
        <is>
          <t>:</t>
        </is>
      </c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 s="297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 s="297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 s="297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 s="297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 s="297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 s="297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 s="297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 s="297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 s="297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 s="297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 s="297">
      <c r="B594" s="102" t="n"/>
      <c r="C594" s="15" t="n"/>
      <c r="D594" s="106" t="inlineStr">
        <is>
          <t>Shipping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 s="297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 s="297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 s="297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 s="297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 s="297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 s="297">
      <c r="B600" s="78" t="inlineStr">
        <is>
          <t>Expense#37</t>
        </is>
      </c>
      <c r="C600" s="85" t="inlineStr">
        <is>
          <t>:</t>
        </is>
      </c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 s="297">
      <c r="B601" s="292" t="n"/>
      <c r="C601" s="91" t="n"/>
      <c r="D601" s="97" t="inlineStr">
        <is>
          <t>Accommodation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 s="297">
      <c r="B602" s="292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 s="297">
      <c r="B603" s="292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 s="297">
      <c r="B604" s="292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 s="297">
      <c r="B605" s="292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 s="297">
      <c r="B606" s="292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 s="297">
      <c r="B607" s="292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 s="297">
      <c r="B608" s="292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 s="297">
      <c r="B609" s="292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 s="297">
      <c r="B610" s="292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 s="297">
      <c r="B611" s="292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 s="297">
      <c r="B612" s="292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 s="297">
      <c r="B613" s="292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 s="297">
      <c r="B614" s="78" t="inlineStr">
        <is>
          <t>Expense#38</t>
        </is>
      </c>
      <c r="C614" s="85" t="inlineStr">
        <is>
          <t>:</t>
        </is>
      </c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 s="297">
      <c r="B615" s="102" t="n"/>
      <c r="C615" s="15" t="n"/>
      <c r="D615" s="106" t="inlineStr">
        <is>
          <t>Transportation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 s="297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 s="297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 s="297">
      <c r="B618" s="102" t="n"/>
      <c r="C618" s="15" t="n"/>
      <c r="D618" s="118" t="inlineStr">
        <is>
          <t>Accommodation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 s="297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 s="297">
      <c r="B620" s="102" t="n"/>
      <c r="C620" s="15" t="n"/>
      <c r="D620" s="108" t="inlineStr">
        <is>
          <t>Logistic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 s="297">
      <c r="B621" s="102" t="n"/>
      <c r="C621" s="15" t="n"/>
      <c r="D621" s="118" t="inlineStr">
        <is>
          <t>Meal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 s="297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 s="297">
      <c r="B623" s="102" t="n"/>
      <c r="C623" s="15" t="n"/>
      <c r="D623" s="118" t="inlineStr">
        <is>
          <t>Allowance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 s="297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 s="297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 s="297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355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 s="297">
      <c r="B627" s="78" t="inlineStr">
        <is>
          <t>Expense#39</t>
        </is>
      </c>
      <c r="C627" s="85" t="inlineStr">
        <is>
          <t>:</t>
        </is>
      </c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 s="297">
      <c r="B628" s="292" t="n"/>
      <c r="C628" s="91" t="n"/>
      <c r="D628" s="97" t="inlineStr">
        <is>
          <t>Training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 s="297">
      <c r="B629" s="292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 s="297">
      <c r="B630" s="292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 s="297">
      <c r="B631" s="292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 s="297">
      <c r="B632" s="292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 s="297">
      <c r="B633" s="292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 s="297">
      <c r="B634" s="292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 s="297">
      <c r="B635" s="292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 s="297">
      <c r="B636" s="78" t="inlineStr">
        <is>
          <t>Expense#40</t>
        </is>
      </c>
      <c r="C636" s="85" t="inlineStr">
        <is>
          <t>:</t>
        </is>
      </c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 s="297">
      <c r="B637" s="140" t="n"/>
      <c r="C637" s="141" t="n"/>
      <c r="D637" s="142" t="inlineStr">
        <is>
          <t>Shipping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 s="297">
      <c r="B638" s="358" t="n">
        <v>45071</v>
      </c>
      <c r="C638" s="141" t="n"/>
      <c r="D638" s="145" t="inlineStr">
        <is>
          <t>Materai 15 pcs</t>
        </is>
      </c>
      <c r="E638" s="145" t="n"/>
      <c r="F638" s="359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 s="297">
      <c r="B639" s="358" t="n">
        <v>45085</v>
      </c>
      <c r="C639" s="141" t="n"/>
      <c r="D639" s="145" t="inlineStr">
        <is>
          <t>Plastic folder 3 pcs</t>
        </is>
      </c>
      <c r="E639" s="145" t="n"/>
      <c r="F639" s="360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 s="297">
      <c r="B640" s="358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 s="297">
      <c r="B641" s="358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358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 s="297">
      <c r="B643" s="358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 s="297">
      <c r="B644" s="358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 s="297">
      <c r="B645" s="358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 s="297">
      <c r="B646" s="358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 s="297">
      <c r="B647" s="358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 s="297">
      <c r="B648" s="358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 s="297">
      <c r="B649" s="358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 s="297">
      <c r="B650" s="358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 s="297">
      <c r="B651" s="358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 s="297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 s="297">
      <c r="B653" s="358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 s="297">
      <c r="B654" s="358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 s="297">
      <c r="B655" s="358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 s="297">
      <c r="B656" s="358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 s="297">
      <c r="B657" s="358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 s="297">
      <c r="B658" s="358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 s="297">
      <c r="B659" s="358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 s="297">
      <c r="B660" s="358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 s="297">
      <c r="B661" s="149" t="inlineStr">
        <is>
          <t>Expense#41</t>
        </is>
      </c>
      <c r="C661" s="85" t="inlineStr">
        <is>
          <t>:</t>
        </is>
      </c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 s="297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 s="297">
      <c r="B663" s="149" t="inlineStr">
        <is>
          <t>Expense#42</t>
        </is>
      </c>
      <c r="C663" s="85" t="inlineStr">
        <is>
          <t>:</t>
        </is>
      </c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 s="297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 s="297">
      <c r="B665" s="78" t="inlineStr">
        <is>
          <t>Expense#43</t>
        </is>
      </c>
      <c r="C665" s="85" t="inlineStr">
        <is>
          <t>:</t>
        </is>
      </c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 s="297">
      <c r="B666" s="286" t="n"/>
      <c r="C666" s="286" t="n"/>
      <c r="D666" s="153" t="inlineStr">
        <is>
          <t>Medical</t>
        </is>
      </c>
      <c r="E666" s="153" t="n"/>
      <c r="F666" s="286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 s="297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 s="297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 s="297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 s="297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 s="297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 s="297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 s="297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 s="297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 s="297">
      <c r="B675" s="102" t="n"/>
      <c r="C675" s="15" t="n"/>
      <c r="D675" s="106" t="inlineStr">
        <is>
          <t>Transportation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 s="297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 s="297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 s="297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 s="297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 s="297">
      <c r="B682" s="78" t="inlineStr">
        <is>
          <t>Expense#44</t>
        </is>
      </c>
      <c r="C682" s="85" t="inlineStr">
        <is>
          <t>:</t>
        </is>
      </c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 s="297">
      <c r="B683" s="102" t="n"/>
      <c r="C683" s="15" t="n"/>
      <c r="D683" s="106" t="inlineStr">
        <is>
          <t>Transportation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 s="297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 s="297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 s="297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 s="297">
      <c r="B687" s="102" t="n"/>
      <c r="C687" s="15" t="n"/>
      <c r="D687" s="108" t="inlineStr">
        <is>
          <t>Meal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 s="297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 s="297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 s="297">
      <c r="B690" s="102" t="n"/>
      <c r="C690" s="15" t="n"/>
      <c r="D690" s="108" t="inlineStr">
        <is>
          <t>Accommodation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 s="297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 s="297">
      <c r="B692" s="102" t="n"/>
      <c r="C692" s="15" t="n"/>
      <c r="D692" s="63" t="inlineStr">
        <is>
          <t>Hand Tools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 s="297">
      <c r="B693" s="78" t="inlineStr">
        <is>
          <t>Expense#45</t>
        </is>
      </c>
      <c r="C693" s="73" t="inlineStr">
        <is>
          <t>:</t>
        </is>
      </c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 s="297">
      <c r="B694" s="156" t="n"/>
      <c r="C694" s="15" t="n"/>
      <c r="D694" s="156" t="inlineStr">
        <is>
          <t>Trip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 s="297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 s="297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 s="297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 s="297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 s="297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 s="297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 s="297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 s="297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 s="297">
      <c r="B703" s="156" t="n"/>
      <c r="C703" s="64" t="n"/>
      <c r="D703" s="156" t="inlineStr">
        <is>
          <t>Trip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 s="297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 s="297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 s="297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 s="297">
      <c r="B707" s="156" t="n"/>
      <c r="C707" s="64" t="n"/>
      <c r="D707" s="156" t="inlineStr">
        <is>
          <t>Trip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 s="297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56" t="n"/>
      <c r="C709" s="64" t="n"/>
      <c r="D709" s="156" t="inlineStr">
        <is>
          <t>Training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 s="297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 s="297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 s="297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 s="297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 s="297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 s="297">
      <c r="B715" s="156" t="n"/>
      <c r="C715" s="64" t="n"/>
      <c r="D715" s="156" t="inlineStr">
        <is>
          <t>IT Services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 s="297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 s="297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 s="297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 s="297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 s="297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361" t="n"/>
      <c r="K741" s="361" t="n"/>
      <c r="L741" s="361" t="n"/>
      <c r="M741" s="361" t="n"/>
      <c r="N741" s="361" t="n"/>
      <c r="O741" s="361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362" t="n"/>
      <c r="K742" s="362" t="n"/>
      <c r="L742" s="361" t="n"/>
      <c r="M742" s="362" t="n"/>
      <c r="N742" s="362" t="n"/>
      <c r="O742" s="361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362" t="n"/>
      <c r="K743" s="362" t="n"/>
      <c r="L743" s="361" t="n"/>
      <c r="M743" s="362" t="n"/>
      <c r="N743" s="362" t="n"/>
      <c r="O743" s="361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362" t="n"/>
      <c r="K744" s="362" t="n"/>
      <c r="L744" s="361" t="n"/>
      <c r="M744" s="362" t="n"/>
      <c r="N744" s="362" t="n"/>
      <c r="O744" s="361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362" t="n"/>
      <c r="K745" s="362" t="n"/>
      <c r="L745" s="361" t="n"/>
      <c r="M745" s="362" t="n"/>
      <c r="N745" s="362" t="n"/>
      <c r="O745" s="361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362" t="n"/>
      <c r="K746" s="362" t="n"/>
      <c r="L746" s="361" t="n"/>
      <c r="M746" s="362" t="n"/>
      <c r="N746" s="362" t="n"/>
      <c r="O746" s="361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362" t="n"/>
      <c r="K747" s="362" t="n"/>
      <c r="L747" s="361" t="n"/>
      <c r="M747" s="362" t="n"/>
      <c r="N747" s="362" t="n"/>
      <c r="O747" s="361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362" t="n"/>
      <c r="K748" s="362" t="n"/>
      <c r="L748" s="361" t="n"/>
      <c r="M748" s="362" t="n"/>
      <c r="N748" s="362" t="n"/>
      <c r="O748" s="361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362" t="n"/>
      <c r="K749" s="362" t="n"/>
      <c r="L749" s="362" t="n"/>
      <c r="M749" s="362" t="n"/>
      <c r="N749" s="362" t="n"/>
      <c r="O749" s="361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 t="n">
        <v>137910145</v>
      </c>
      <c r="J750" s="120" t="n">
        <v>234234335</v>
      </c>
      <c r="K750" s="120" t="n">
        <v>123135435424</v>
      </c>
      <c r="L750" s="120" t="n">
        <v>13131</v>
      </c>
      <c r="M750" s="120" t="n">
        <v>311111</v>
      </c>
      <c r="N750" s="120" t="n">
        <v>1231231</v>
      </c>
      <c r="O750" s="120" t="n">
        <v>1111111</v>
      </c>
      <c r="P750" s="120" t="n">
        <v>0</v>
      </c>
      <c r="Q750" s="12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12435435435</v>
      </c>
      <c r="W750" t="n">
        <v>0</v>
      </c>
      <c r="X750" t="n">
        <v>0</v>
      </c>
    </row>
  </sheetData>
  <mergeCells count="49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6:E36"/>
    <mergeCell ref="D31:E31"/>
    <mergeCell ref="D21:E21"/>
    <mergeCell ref="D25:E26"/>
    <mergeCell ref="D11:E11"/>
    <mergeCell ref="I25:J25"/>
    <mergeCell ref="C25:C26"/>
    <mergeCell ref="D13:E13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D9:E9"/>
    <mergeCell ref="K19:K20"/>
    <mergeCell ref="D12:E12"/>
    <mergeCell ref="D8:E8"/>
    <mergeCell ref="O19:O20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63" t="n"/>
      <c r="B1" s="363" t="n"/>
      <c r="C1" s="363" t="n"/>
      <c r="D1" s="363" t="n"/>
      <c r="E1" s="364" t="n"/>
    </row>
    <row r="2" ht="37.25" customHeight="1" s="297">
      <c r="A2" s="363" t="n"/>
      <c r="B2" s="363" t="n"/>
      <c r="C2" s="363" t="n"/>
      <c r="D2" s="363" t="n"/>
      <c r="E2" s="364" t="n"/>
    </row>
    <row r="3" ht="33.65" customHeight="1" s="297">
      <c r="A3" s="363" t="n"/>
      <c r="B3" s="365" t="inlineStr">
        <is>
          <t>PT. EXSPAN WIRELINE INDONESIA</t>
        </is>
      </c>
      <c r="F3" s="366" t="n"/>
      <c r="G3" s="367" t="inlineStr">
        <is>
          <t>PT. EXSPAN WIRELINE INDONESIA</t>
        </is>
      </c>
      <c r="H3" s="367" t="n"/>
      <c r="I3" s="367" t="n"/>
      <c r="J3" s="367" t="n"/>
    </row>
    <row r="4" ht="20.5" customHeight="1" s="297">
      <c r="A4" s="363" t="n"/>
      <c r="B4" s="368" t="inlineStr">
        <is>
          <t>LABA RUGI | TAHUN 2026</t>
        </is>
      </c>
      <c r="F4" s="366" t="n"/>
      <c r="G4" s="369" t="inlineStr">
        <is>
          <t>NERACA | TAHUN YANG BERAKHIR, 31 DESEMBER 2026</t>
        </is>
      </c>
      <c r="H4" s="369" t="n"/>
      <c r="I4" s="369" t="n"/>
      <c r="J4" s="369" t="n"/>
      <c r="K4" s="370" t="inlineStr">
        <is>
          <t>CATATAN KEAMANAN</t>
        </is>
      </c>
    </row>
    <row r="5" ht="6" customHeight="1" s="297">
      <c r="A5" s="363" t="n"/>
      <c r="B5" s="363" t="n"/>
      <c r="C5" s="363" t="n"/>
      <c r="D5" s="363" t="n"/>
      <c r="E5" s="364" t="n"/>
      <c r="F5" s="366" t="n"/>
      <c r="G5" s="366" t="n"/>
      <c r="H5" s="371" t="n"/>
      <c r="I5" s="371" t="n"/>
      <c r="J5" s="371" t="n"/>
      <c r="K5" t="inlineStr">
        <is>
          <t>Kolom ini aman dari overwrite sistem.</t>
        </is>
      </c>
    </row>
    <row r="6" ht="15.5" customHeight="1" s="297">
      <c r="A6" s="363" t="n"/>
      <c r="B6" s="372" t="n"/>
      <c r="C6" s="373" t="n"/>
      <c r="D6" s="374" t="inlineStr">
        <is>
          <t>PT. Exspan Wireline Indonesia</t>
        </is>
      </c>
      <c r="E6" s="289" t="n"/>
      <c r="F6" s="366" t="n"/>
      <c r="G6" s="375" t="n"/>
      <c r="H6" s="376" t="n"/>
      <c r="I6" s="374" t="inlineStr">
        <is>
          <t>PT. Exspan Wireline Indonesia</t>
        </is>
      </c>
      <c r="J6" s="289" t="n"/>
      <c r="K6" t="inlineStr">
        <is>
          <t>Diverifikasi pada: 2026-03-29 14:43</t>
        </is>
      </c>
    </row>
    <row r="7" ht="15.5" customHeight="1" s="297">
      <c r="A7" s="363" t="n"/>
      <c r="B7" s="377" t="n"/>
      <c r="C7" s="378" t="n"/>
      <c r="D7" s="379" t="inlineStr">
        <is>
          <t>(Rp)</t>
        </is>
      </c>
      <c r="E7" s="290" t="n"/>
      <c r="F7" s="366" t="n"/>
      <c r="G7" s="380" t="n"/>
      <c r="H7" s="381" t="n"/>
      <c r="I7" s="379" t="inlineStr">
        <is>
          <t>(Rp)</t>
        </is>
      </c>
      <c r="J7" s="290" t="n"/>
    </row>
    <row r="8">
      <c r="A8" s="363" t="n"/>
      <c r="B8" s="382" t="inlineStr">
        <is>
          <t>PENDAPATAN</t>
        </is>
      </c>
      <c r="C8" s="383" t="n"/>
      <c r="D8" s="384" t="n"/>
      <c r="E8" s="385" t="n"/>
      <c r="F8" s="366" t="n"/>
      <c r="G8" s="386" t="inlineStr">
        <is>
          <t>AKTIVA</t>
        </is>
      </c>
      <c r="H8" s="387" t="n"/>
      <c r="I8" s="388" t="n"/>
      <c r="J8" s="389" t="n"/>
    </row>
    <row r="9">
      <c r="A9" s="363" t="n"/>
      <c r="B9" s="390" t="n"/>
      <c r="C9" s="383" t="inlineStr">
        <is>
          <t>PENDAPATAN LANGSUNG</t>
        </is>
      </c>
      <c r="D9" s="390" t="inlineStr">
        <is>
          <t>Rp</t>
        </is>
      </c>
      <c r="E9" s="391">
        <f>SUM('Revenue-Cost_2026'!F8:F20)</f>
        <v/>
      </c>
      <c r="F9" s="366" t="n"/>
      <c r="G9" s="392" t="inlineStr">
        <is>
          <t>AKTIVA LANCAR</t>
        </is>
      </c>
      <c r="H9" s="393" t="n"/>
      <c r="I9" s="392" t="n"/>
      <c r="J9" s="394" t="n"/>
    </row>
    <row r="10">
      <c r="A10" s="363" t="n"/>
      <c r="B10" s="390" t="n"/>
      <c r="C10" s="383" t="inlineStr">
        <is>
          <t>PENDAPATAN LAIN LAIN</t>
        </is>
      </c>
      <c r="D10" s="390" t="inlineStr">
        <is>
          <t>Rp</t>
        </is>
      </c>
      <c r="E10" s="391">
        <f>SUM('Revenue-Cost_2026'!F21)</f>
        <v/>
      </c>
      <c r="F10" s="366" t="n"/>
      <c r="G10" s="395" t="n"/>
      <c r="H10" s="396" t="inlineStr">
        <is>
          <t>KAS DAN SETARA KAS TAHUN SEBELUMNYA</t>
        </is>
      </c>
      <c r="I10" s="390" t="inlineStr">
        <is>
          <t>Rp</t>
        </is>
      </c>
      <c r="J10" s="397" t="n">
        <v>0</v>
      </c>
    </row>
    <row r="11">
      <c r="A11" s="363" t="n"/>
      <c r="B11" s="390" t="n"/>
      <c r="C11" s="383" t="n"/>
      <c r="D11" s="398" t="n"/>
      <c r="E11" s="399" t="n"/>
      <c r="F11" s="366" t="n"/>
      <c r="G11" s="395" t="n"/>
      <c r="H11" s="396" t="inlineStr">
        <is>
          <t>KAS DAN SETARA KAS TAHUN LAPORAN</t>
        </is>
      </c>
      <c r="I11" s="390" t="inlineStr">
        <is>
          <t>Rp</t>
        </is>
      </c>
      <c r="J11" s="397">
        <f>E46-'Business Summary'!E13</f>
        <v/>
      </c>
    </row>
    <row r="12">
      <c r="A12" s="363" t="n"/>
      <c r="B12" s="400" t="inlineStr">
        <is>
          <t>TOTALPENDAPATAN</t>
        </is>
      </c>
      <c r="C12" s="401" t="n"/>
      <c r="D12" s="402" t="inlineStr">
        <is>
          <t>Rp</t>
        </is>
      </c>
      <c r="E12" s="403">
        <f>SUM(E9:E11)</f>
        <v/>
      </c>
      <c r="F12" s="366" t="n"/>
      <c r="G12" s="395" t="n"/>
      <c r="H12" s="396" t="inlineStr">
        <is>
          <t>PIUTANG USAHA</t>
        </is>
      </c>
      <c r="I12" s="390" t="inlineStr">
        <is>
          <t>Rp</t>
        </is>
      </c>
      <c r="J12" s="397" t="n">
        <v>0</v>
      </c>
    </row>
    <row r="13">
      <c r="A13" s="363" t="n"/>
      <c r="B13" s="390" t="n"/>
      <c r="C13" s="383" t="n"/>
      <c r="D13" s="384" t="n"/>
      <c r="E13" s="404" t="n"/>
      <c r="F13" s="366" t="n"/>
      <c r="G13" s="395" t="n"/>
      <c r="H13" s="396" t="inlineStr">
        <is>
          <t>PAJAK BAYAR DI MUKA (pph23)</t>
        </is>
      </c>
      <c r="I13" s="390" t="inlineStr">
        <is>
          <t>Rp</t>
        </is>
      </c>
      <c r="J13" s="397" t="n">
        <v>0</v>
      </c>
    </row>
    <row r="14">
      <c r="A14" s="363" t="n"/>
      <c r="B14" s="405" t="inlineStr">
        <is>
          <t>BEBAN LANGSUNG</t>
        </is>
      </c>
      <c r="C14" s="383" t="n"/>
      <c r="D14" s="390" t="n"/>
      <c r="E14" s="406" t="n"/>
      <c r="F14" s="366" t="n"/>
      <c r="G14" s="395" t="n"/>
      <c r="H14" s="396" t="inlineStr">
        <is>
          <t>BIAYA BAYAR DI MUKA</t>
        </is>
      </c>
      <c r="I14" s="390" t="inlineStr">
        <is>
          <t>Rp</t>
        </is>
      </c>
      <c r="J14" s="397" t="n">
        <v>0</v>
      </c>
    </row>
    <row r="15">
      <c r="A15" s="363" t="n"/>
      <c r="B15" s="407" t="n"/>
      <c r="C15" s="383" t="inlineStr">
        <is>
          <t xml:space="preserve">Biaya Operasi </t>
        </is>
      </c>
      <c r="D15" s="390" t="inlineStr">
        <is>
          <t>Rp</t>
        </is>
      </c>
      <c r="E15" s="406">
        <f>'Revenue-Cost_2026'!I750</f>
        <v/>
      </c>
      <c r="F15" s="366" t="n"/>
      <c r="G15" s="408" t="n"/>
      <c r="H15" s="396" t="inlineStr">
        <is>
          <t>PIUTANG LAIN LAIN</t>
        </is>
      </c>
      <c r="I15" s="390" t="inlineStr">
        <is>
          <t>Rp</t>
        </is>
      </c>
      <c r="J15" s="397" t="n">
        <v>0</v>
      </c>
    </row>
    <row r="16">
      <c r="A16" s="363" t="n"/>
      <c r="B16" s="407" t="n"/>
      <c r="C16" s="383" t="inlineStr">
        <is>
          <t>Biaya research (R &amp; D)</t>
        </is>
      </c>
      <c r="D16" s="390" t="inlineStr">
        <is>
          <t>Rp</t>
        </is>
      </c>
      <c r="E16" s="406">
        <f>'Revenue-Cost_2026'!J750</f>
        <v/>
      </c>
      <c r="F16" s="366" t="n"/>
      <c r="G16" s="409" t="n"/>
      <c r="H16" s="410" t="inlineStr">
        <is>
          <t>TOTAL AKTIVA LANCAR</t>
        </is>
      </c>
      <c r="I16" s="402" t="inlineStr">
        <is>
          <t>Rp</t>
        </is>
      </c>
      <c r="J16" s="411">
        <f>SUM(J10:J15)</f>
        <v/>
      </c>
    </row>
    <row r="17">
      <c r="A17" s="363" t="n"/>
      <c r="B17" s="407" t="n"/>
      <c r="C17" s="383" t="inlineStr">
        <is>
          <t>BIAYA SEWA PERALATAN</t>
        </is>
      </c>
      <c r="D17" s="390" t="inlineStr">
        <is>
          <t>Rp</t>
        </is>
      </c>
      <c r="E17" s="406">
        <f>'Revenue-Cost_2026'!K750</f>
        <v/>
      </c>
      <c r="F17" s="366" t="n"/>
      <c r="G17" s="395" t="n"/>
      <c r="H17" s="396" t="n"/>
      <c r="I17" s="412" t="n"/>
      <c r="J17" s="413" t="n"/>
    </row>
    <row r="18">
      <c r="A18" s="363" t="n"/>
      <c r="B18" s="407" t="n"/>
      <c r="C18" s="383" t="inlineStr">
        <is>
          <t>BIAYA Data Processing</t>
        </is>
      </c>
      <c r="D18" s="390" t="inlineStr">
        <is>
          <t>Rp</t>
        </is>
      </c>
      <c r="E18" s="406">
        <f>'Revenue-Cost_2026'!L750</f>
        <v/>
      </c>
      <c r="F18" s="366" t="n"/>
      <c r="G18" s="392" t="inlineStr">
        <is>
          <t>ACTIVA TETAP</t>
        </is>
      </c>
      <c r="H18" s="414" t="n"/>
      <c r="I18" s="386" t="n"/>
      <c r="J18" s="397" t="n"/>
    </row>
    <row r="19">
      <c r="A19" s="363" t="n"/>
      <c r="B19" s="407" t="n"/>
      <c r="C19" s="383" t="n"/>
      <c r="D19" s="390" t="n"/>
      <c r="E19" s="406" t="n"/>
      <c r="F19" s="366" t="n"/>
      <c r="G19" s="392" t="n"/>
      <c r="H19" s="414" t="n"/>
      <c r="I19" s="386" t="n"/>
      <c r="J19" s="397" t="n"/>
    </row>
    <row r="20">
      <c r="A20" s="363" t="n"/>
      <c r="B20" s="407" t="n"/>
      <c r="C20" s="383" t="n"/>
      <c r="D20" s="398" t="n"/>
      <c r="E20" s="415" t="n"/>
      <c r="F20" s="366" t="n"/>
      <c r="G20" s="395" t="n"/>
      <c r="H20" s="396" t="inlineStr">
        <is>
          <t>INVENTARIS KANTOR</t>
        </is>
      </c>
      <c r="I20" s="390" t="inlineStr">
        <is>
          <t>Rp</t>
        </is>
      </c>
      <c r="J20" s="397" t="n">
        <v>0</v>
      </c>
    </row>
    <row r="21">
      <c r="A21" s="363" t="n"/>
      <c r="B21" s="400" t="inlineStr">
        <is>
          <t>TOTAL BIAYA LANGSUNG</t>
        </is>
      </c>
      <c r="C21" s="401" t="n"/>
      <c r="D21" s="402" t="inlineStr">
        <is>
          <t>Rp</t>
        </is>
      </c>
      <c r="E21" s="416">
        <f>SUM(E15:E20)</f>
        <v/>
      </c>
      <c r="F21" s="366" t="n"/>
      <c r="G21" s="395" t="n"/>
      <c r="H21" s="414" t="n"/>
      <c r="I21" s="417" t="n"/>
      <c r="J21" s="418" t="n"/>
    </row>
    <row r="22">
      <c r="A22" s="363" t="n"/>
      <c r="B22" s="390" t="n"/>
      <c r="C22" s="383" t="n"/>
      <c r="D22" s="384" t="n"/>
      <c r="E22" s="419" t="n"/>
      <c r="F22" s="366" t="n"/>
      <c r="G22" s="409" t="n"/>
      <c r="H22" s="410" t="inlineStr">
        <is>
          <t>TOTAL AKTIVA TETAP</t>
        </is>
      </c>
      <c r="I22" s="402" t="inlineStr">
        <is>
          <t>Rp</t>
        </is>
      </c>
      <c r="J22" s="411">
        <f>J20</f>
        <v/>
      </c>
    </row>
    <row r="23">
      <c r="A23" s="363" t="n"/>
      <c r="B23" s="405" t="inlineStr">
        <is>
          <t>BEBAN TIDAK LANGSUNG</t>
        </is>
      </c>
      <c r="C23" s="383" t="n"/>
      <c r="D23" s="390" t="n"/>
      <c r="E23" s="406">
        <f>'Revenue-Cost_2026'!Q750</f>
        <v/>
      </c>
      <c r="F23" s="366" t="n"/>
      <c r="G23" s="395" t="n"/>
      <c r="H23" s="396" t="n"/>
      <c r="I23" s="412" t="n"/>
      <c r="J23" s="389" t="n"/>
    </row>
    <row r="24">
      <c r="A24" s="363" t="n"/>
      <c r="B24" s="390" t="n"/>
      <c r="C24" s="383" t="n"/>
      <c r="D24" s="390" t="n"/>
      <c r="E24" s="406" t="n"/>
      <c r="F24" s="366" t="n"/>
      <c r="G24" s="392" t="inlineStr">
        <is>
          <t>ACTIVA LAIN LAIN</t>
        </is>
      </c>
      <c r="H24" s="414" t="n"/>
      <c r="I24" s="386" t="n"/>
      <c r="J24" s="397" t="n">
        <v>0</v>
      </c>
    </row>
    <row r="25">
      <c r="A25" s="363" t="n"/>
      <c r="B25" s="390" t="n"/>
      <c r="C25" s="383" t="n"/>
      <c r="D25" s="390" t="inlineStr">
        <is>
          <t>Rp</t>
        </is>
      </c>
      <c r="E25" s="406" t="n"/>
      <c r="F25" s="366" t="n"/>
      <c r="G25" s="395" t="n"/>
      <c r="H25" s="396" t="n"/>
      <c r="I25" s="420" t="n"/>
      <c r="J25" s="421" t="n">
        <v>0</v>
      </c>
    </row>
    <row r="26">
      <c r="A26" s="363" t="n"/>
      <c r="B26" s="390" t="n"/>
      <c r="C26" s="383" t="n"/>
      <c r="D26" s="398" t="n"/>
      <c r="E26" s="415" t="n"/>
      <c r="F26" s="366" t="n"/>
      <c r="G26" s="409" t="n"/>
      <c r="H26" s="410" t="inlineStr">
        <is>
          <t>TOTAL AKTIVA LAIN LAIN</t>
        </is>
      </c>
      <c r="I26" s="402" t="inlineStr">
        <is>
          <t>Rp</t>
        </is>
      </c>
      <c r="J26" s="411">
        <f>SUM(J25:J25)</f>
        <v/>
      </c>
    </row>
    <row r="27">
      <c r="A27" s="363" t="n"/>
      <c r="B27" s="400" t="inlineStr">
        <is>
          <t>TOTAL BIAYA TIDAK LANGSUNG</t>
        </is>
      </c>
      <c r="C27" s="401" t="n"/>
      <c r="D27" s="402" t="inlineStr">
        <is>
          <t>Rp</t>
        </is>
      </c>
      <c r="E27" s="416">
        <f>SUM(E22:E26)</f>
        <v/>
      </c>
      <c r="F27" s="366" t="n"/>
      <c r="G27" s="395" t="n"/>
      <c r="H27" s="396" t="n"/>
      <c r="I27" s="422" t="n"/>
      <c r="J27" s="423" t="n"/>
    </row>
    <row r="28">
      <c r="A28" s="363" t="n"/>
      <c r="B28" s="390" t="n"/>
      <c r="C28" s="383" t="n"/>
      <c r="D28" s="384" t="n"/>
      <c r="E28" s="419" t="n"/>
      <c r="F28" s="366" t="n"/>
      <c r="G28" s="400" t="inlineStr">
        <is>
          <t>TOTAL AKTIVA</t>
        </is>
      </c>
      <c r="H28" s="401" t="n"/>
      <c r="I28" s="402" t="inlineStr">
        <is>
          <t>Rp</t>
        </is>
      </c>
      <c r="J28" s="424">
        <f>J26+J22+J16</f>
        <v/>
      </c>
    </row>
    <row r="29">
      <c r="A29" s="363" t="n"/>
      <c r="B29" s="405" t="inlineStr">
        <is>
          <t>BIAYA ADMINISTRASI DAN UMUM</t>
        </is>
      </c>
      <c r="C29" s="383" t="n"/>
      <c r="D29" s="390" t="n"/>
      <c r="E29" s="406" t="n"/>
      <c r="F29" s="366" t="n"/>
      <c r="G29" s="425" t="n"/>
      <c r="H29" s="426" t="n"/>
      <c r="I29" s="425" t="n"/>
      <c r="J29" s="413" t="n"/>
    </row>
    <row r="30">
      <c r="A30" s="363" t="n"/>
      <c r="B30" s="407" t="n"/>
      <c r="C30" s="383" t="inlineStr">
        <is>
          <t>BIAYA ADMINISTRASI</t>
        </is>
      </c>
      <c r="D30" s="390" t="inlineStr">
        <is>
          <t>Rp</t>
        </is>
      </c>
      <c r="E30" s="406">
        <f>'Revenue-Cost_2026'!M750</f>
        <v/>
      </c>
      <c r="F30" s="366" t="n"/>
      <c r="G30" s="427" t="inlineStr">
        <is>
          <t>HUTANG DAN MODAL</t>
        </is>
      </c>
      <c r="H30" s="387" t="n"/>
      <c r="I30" s="427" t="n"/>
      <c r="J30" s="428" t="n"/>
    </row>
    <row r="31">
      <c r="A31" s="363" t="n"/>
      <c r="B31" s="407" t="n"/>
      <c r="C31" s="383" t="inlineStr">
        <is>
          <t>BIAYA PEMBELIAN Barang</t>
        </is>
      </c>
      <c r="D31" s="390" t="inlineStr">
        <is>
          <t>Rp</t>
        </is>
      </c>
      <c r="E31" s="406">
        <f>'Revenue-Cost_2026'!N750</f>
        <v/>
      </c>
      <c r="F31" s="366" t="n"/>
      <c r="G31" s="427" t="n"/>
      <c r="H31" s="387" t="n"/>
      <c r="I31" s="427" t="n"/>
      <c r="J31" s="428" t="n"/>
    </row>
    <row r="32">
      <c r="A32" s="363" t="n"/>
      <c r="B32" s="407" t="n"/>
      <c r="C32" s="383" t="inlineStr">
        <is>
          <t>BIAYA SEWA KANTOR</t>
        </is>
      </c>
      <c r="D32" s="390" t="inlineStr">
        <is>
          <t>Rp</t>
        </is>
      </c>
      <c r="E32" s="406">
        <f>'Revenue-Cost_2026'!O750</f>
        <v/>
      </c>
      <c r="F32" s="366" t="n"/>
      <c r="G32" s="392" t="inlineStr">
        <is>
          <t>HUTANG LANCAR</t>
        </is>
      </c>
      <c r="H32" s="393" t="n"/>
      <c r="I32" s="392" t="n"/>
      <c r="J32" s="394" t="n"/>
    </row>
    <row r="33">
      <c r="A33" s="363" t="n"/>
      <c r="B33" s="407" t="n"/>
      <c r="C33" s="383" t="inlineStr">
        <is>
          <t>BIAYA KESEHATAN</t>
        </is>
      </c>
      <c r="D33" s="390" t="inlineStr">
        <is>
          <t>Rp</t>
        </is>
      </c>
      <c r="E33" s="406">
        <f>'Revenue-Cost_2026'!P750</f>
        <v/>
      </c>
      <c r="F33" s="366" t="n"/>
      <c r="G33" s="395" t="n"/>
      <c r="H33" s="396" t="inlineStr">
        <is>
          <t>HUTANG USAHA</t>
        </is>
      </c>
      <c r="I33" s="390" t="inlineStr">
        <is>
          <t>Rp</t>
        </is>
      </c>
      <c r="J33" s="397" t="n">
        <v>0</v>
      </c>
    </row>
    <row r="34">
      <c r="A34" s="363" t="n"/>
      <c r="B34" s="407" t="n"/>
      <c r="C34" s="383" t="n"/>
      <c r="D34" s="398" t="n"/>
      <c r="E34" s="415" t="n"/>
      <c r="F34" s="366" t="n"/>
      <c r="G34" s="395" t="n"/>
      <c r="H34" s="429" t="inlineStr">
        <is>
          <t>HUTANG GAJI</t>
        </is>
      </c>
      <c r="I34" s="390" t="inlineStr">
        <is>
          <t>Rp</t>
        </is>
      </c>
      <c r="J34" s="397" t="n">
        <v>0</v>
      </c>
    </row>
    <row r="35">
      <c r="A35" s="363" t="n"/>
      <c r="B35" s="400" t="inlineStr">
        <is>
          <t>TOTAL BIAYA ADMINISTRASI DAN UMUM</t>
        </is>
      </c>
      <c r="C35" s="401" t="n"/>
      <c r="D35" s="402" t="inlineStr">
        <is>
          <t>Rp</t>
        </is>
      </c>
      <c r="E35" s="403">
        <f>SUM(E30:E34)</f>
        <v/>
      </c>
      <c r="F35" s="366" t="n"/>
      <c r="G35" s="395" t="n"/>
      <c r="H35" s="396" t="inlineStr">
        <is>
          <t>HUTANG PEMEGANG SAHAM</t>
        </is>
      </c>
      <c r="I35" s="390" t="inlineStr">
        <is>
          <t>Rp</t>
        </is>
      </c>
      <c r="J35" s="397" t="n">
        <v>0</v>
      </c>
    </row>
    <row r="36">
      <c r="A36" s="363" t="n"/>
      <c r="B36" s="407" t="n"/>
      <c r="C36" s="383" t="n"/>
      <c r="D36" s="402" t="n"/>
      <c r="E36" s="430" t="n"/>
      <c r="F36" s="366" t="n"/>
      <c r="G36" s="395" t="n"/>
      <c r="H36" s="396" t="inlineStr">
        <is>
          <t>BIAYA YANG MASIH HARUS DI BAYAR</t>
        </is>
      </c>
      <c r="I36" s="390" t="inlineStr">
        <is>
          <t>Rp</t>
        </is>
      </c>
      <c r="J36" s="397" t="n">
        <v>0</v>
      </c>
    </row>
    <row r="37">
      <c r="A37" s="363" t="n"/>
      <c r="B37" s="400" t="inlineStr">
        <is>
          <t>TOTAL BIAYA</t>
        </is>
      </c>
      <c r="C37" s="401" t="n"/>
      <c r="D37" s="402" t="inlineStr">
        <is>
          <t>Rp</t>
        </is>
      </c>
      <c r="E37" s="403">
        <f>E35+E21+E27</f>
        <v/>
      </c>
      <c r="F37" s="366" t="n"/>
      <c r="G37" s="431" t="n"/>
      <c r="H37" s="432" t="n"/>
      <c r="I37" s="431" t="n"/>
      <c r="J37" s="433" t="n"/>
    </row>
    <row r="38">
      <c r="A38" s="363" t="n"/>
      <c r="B38" s="382" t="n"/>
      <c r="C38" s="434" t="n"/>
      <c r="D38" s="384" t="n"/>
      <c r="E38" s="435" t="n"/>
      <c r="F38" s="366" t="n"/>
      <c r="G38" s="409" t="n"/>
      <c r="H38" s="410" t="inlineStr">
        <is>
          <t>TOTAL HUTANG LANCAR</t>
        </is>
      </c>
      <c r="I38" s="436" t="n"/>
      <c r="J38" s="411">
        <f>SUM(J33:J36)</f>
        <v/>
      </c>
    </row>
    <row r="39">
      <c r="A39" s="363" t="n"/>
      <c r="B39" s="405" t="inlineStr">
        <is>
          <t xml:space="preserve">PENDAPATAN/BEBAN LAIN LAIN </t>
        </is>
      </c>
      <c r="C39" s="383" t="n"/>
      <c r="D39" s="390" t="inlineStr">
        <is>
          <t>Rp</t>
        </is>
      </c>
      <c r="E39" s="437" t="n"/>
      <c r="F39" s="366" t="n"/>
      <c r="G39" s="395" t="n"/>
      <c r="H39" s="414" t="n"/>
      <c r="I39" s="438" t="n"/>
      <c r="J39" s="389" t="n"/>
    </row>
    <row r="40">
      <c r="A40" s="363" t="n"/>
      <c r="B40" s="405" t="n"/>
      <c r="C40" s="383" t="inlineStr">
        <is>
          <t>PENDAPATAN LAINNYA</t>
        </is>
      </c>
      <c r="D40" s="390" t="inlineStr">
        <is>
          <t>Rp</t>
        </is>
      </c>
      <c r="E40" s="391" t="n">
        <v>0</v>
      </c>
      <c r="F40" s="366" t="n"/>
      <c r="G40" s="392" t="inlineStr">
        <is>
          <t>MODAL</t>
        </is>
      </c>
      <c r="H40" s="393" t="n"/>
      <c r="I40" s="392" t="n"/>
      <c r="J40" s="394" t="n"/>
    </row>
    <row r="41">
      <c r="A41" s="363" t="n"/>
      <c r="B41" s="405" t="n"/>
      <c r="C41" s="383" t="n"/>
      <c r="D41" s="398" t="n"/>
      <c r="E41" s="439" t="n"/>
      <c r="F41" s="366" t="n"/>
      <c r="G41" s="395" t="n"/>
      <c r="H41" s="396" t="inlineStr">
        <is>
          <t>MODAL SAHAM</t>
        </is>
      </c>
      <c r="I41" s="390" t="inlineStr">
        <is>
          <t>Rp</t>
        </is>
      </c>
      <c r="J41" s="397" t="n">
        <v>0</v>
      </c>
    </row>
    <row r="42">
      <c r="A42" s="363" t="n"/>
      <c r="B42" s="400" t="inlineStr">
        <is>
          <t>LABA RUGI SEBELUM PAJAK</t>
        </is>
      </c>
      <c r="C42" s="401" t="n"/>
      <c r="D42" s="402" t="inlineStr">
        <is>
          <t>Rp</t>
        </is>
      </c>
      <c r="E42" s="403">
        <f>E12-E37</f>
        <v/>
      </c>
      <c r="F42" s="366" t="n"/>
      <c r="G42" s="395" t="n"/>
      <c r="H42" s="396" t="inlineStr">
        <is>
          <t>LABA DI TAHAN</t>
        </is>
      </c>
      <c r="I42" s="390" t="inlineStr">
        <is>
          <t>Rp</t>
        </is>
      </c>
      <c r="J42" s="397" t="n">
        <v>0</v>
      </c>
    </row>
    <row r="43">
      <c r="A43" s="363" t="n"/>
      <c r="B43" s="440" t="n"/>
      <c r="C43" s="434" t="n"/>
      <c r="D43" s="384" t="n"/>
      <c r="E43" s="404" t="n"/>
      <c r="F43" s="366" t="n"/>
      <c r="G43" s="392" t="n"/>
      <c r="H43" s="396" t="inlineStr">
        <is>
          <t>TOTAL LABA (RUGI) DITAHAN</t>
        </is>
      </c>
      <c r="I43" s="398" t="inlineStr">
        <is>
          <t>Rp</t>
        </is>
      </c>
      <c r="J43" s="421">
        <f>J28-J38-J41-J42</f>
        <v/>
      </c>
    </row>
    <row r="44">
      <c r="A44" s="363" t="n"/>
      <c r="B44" s="405" t="inlineStr">
        <is>
          <t>CORPORATE TAX (PPh 29)</t>
        </is>
      </c>
      <c r="D44" s="390" t="inlineStr">
        <is>
          <t>Rp</t>
        </is>
      </c>
      <c r="E44" s="391" t="n">
        <v>0</v>
      </c>
      <c r="F44" s="366" t="n"/>
      <c r="G44" s="409" t="n"/>
      <c r="H44" s="410" t="inlineStr">
        <is>
          <t>TOTAL MODAL</t>
        </is>
      </c>
      <c r="I44" s="402" t="inlineStr">
        <is>
          <t>Rp</t>
        </is>
      </c>
      <c r="J44" s="411">
        <f>SUM(J41:J43)</f>
        <v/>
      </c>
    </row>
    <row r="45">
      <c r="A45" s="363" t="n"/>
      <c r="B45" s="405" t="n"/>
      <c r="C45" s="383" t="n"/>
      <c r="D45" s="398" t="n"/>
      <c r="E45" s="439" t="n"/>
      <c r="F45" s="366" t="n"/>
      <c r="G45" s="395" t="n"/>
      <c r="H45" s="396" t="n"/>
      <c r="I45" s="422" t="n"/>
      <c r="J45" s="423" t="n"/>
    </row>
    <row r="46" ht="15" customHeight="1" s="297">
      <c r="A46" s="363" t="n"/>
      <c r="B46" s="441" t="inlineStr">
        <is>
          <t>LABA / RUGI BERSIH</t>
        </is>
      </c>
      <c r="C46" s="303" t="n"/>
      <c r="D46" s="442" t="n"/>
      <c r="E46" s="443">
        <f>E42-E44</f>
        <v/>
      </c>
      <c r="F46" s="366" t="n"/>
      <c r="G46" s="444" t="inlineStr">
        <is>
          <t>TOTAL HUTANG DAN MODAL</t>
        </is>
      </c>
      <c r="H46" s="445" t="n"/>
      <c r="I46" s="442" t="inlineStr">
        <is>
          <t>Rp</t>
        </is>
      </c>
      <c r="J46" s="446">
        <f>J44+J38</f>
        <v/>
      </c>
    </row>
    <row r="47" ht="4.5" customHeight="1" s="297">
      <c r="A47" s="363" t="n"/>
      <c r="F47" s="366" t="n"/>
    </row>
    <row r="48" ht="50.65" customHeight="1" s="297">
      <c r="A48" s="363" t="n"/>
      <c r="F48" s="366" t="n"/>
      <c r="G48" s="447" t="n"/>
    </row>
    <row r="49" ht="16.75" customHeight="1" s="297">
      <c r="A49" s="363" t="n"/>
      <c r="B49" s="448" t="n"/>
      <c r="F49" s="366" t="n"/>
      <c r="G49" s="448" t="n"/>
    </row>
    <row r="50" ht="15.65" customHeight="1" s="297">
      <c r="A50" s="383" t="n"/>
      <c r="B50" s="449" t="inlineStr">
        <is>
          <t>Direktur</t>
        </is>
      </c>
      <c r="F50" s="366" t="n"/>
      <c r="G50" s="449" t="inlineStr">
        <is>
          <t>Direktur</t>
        </is>
      </c>
    </row>
    <row r="51">
      <c r="A51" s="383" t="n"/>
      <c r="F51" s="366" t="n"/>
    </row>
    <row r="52">
      <c r="A52" s="383" t="n"/>
      <c r="F52" s="366" t="n"/>
      <c r="J52" s="45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63" t="n"/>
      <c r="B1" s="363" t="n"/>
      <c r="C1" s="363" t="n"/>
      <c r="D1" s="363" t="n"/>
      <c r="E1" s="364" t="n"/>
    </row>
    <row r="2" ht="37.25" customHeight="1" s="297">
      <c r="A2" s="363" t="n"/>
      <c r="B2" s="363" t="n"/>
      <c r="C2" s="363" t="n"/>
      <c r="D2" s="363" t="n"/>
      <c r="E2" s="364" t="n"/>
    </row>
    <row r="3" ht="33.65" customHeight="1" s="297">
      <c r="A3" s="363" t="n"/>
      <c r="B3" s="365" t="inlineStr">
        <is>
          <t>PT. EXSPAN WIRELINE INDONESIA</t>
        </is>
      </c>
      <c r="F3" s="366" t="n"/>
    </row>
    <row r="4" ht="20.5" customHeight="1" s="297">
      <c r="A4" s="363" t="n"/>
      <c r="B4" s="368" t="inlineStr">
        <is>
          <t>BUSINESS SUMMARY | TAHUN 2026</t>
        </is>
      </c>
      <c r="F4" s="366" t="n"/>
    </row>
    <row r="5" ht="6" customHeight="1" s="297">
      <c r="A5" s="363" t="n"/>
      <c r="B5" s="363" t="n"/>
      <c r="C5" s="363" t="n"/>
      <c r="D5" s="363" t="n"/>
      <c r="E5" s="364" t="n"/>
      <c r="F5" s="366" t="n"/>
    </row>
    <row r="6" ht="19" customHeight="1" s="297">
      <c r="A6" s="363" t="n"/>
      <c r="B6" s="451" t="inlineStr">
        <is>
          <t>#</t>
        </is>
      </c>
      <c r="C6" s="451" t="inlineStr">
        <is>
          <t>Items</t>
        </is>
      </c>
      <c r="D6" s="452" t="inlineStr">
        <is>
          <t>Amount</t>
        </is>
      </c>
      <c r="E6" s="279" t="n"/>
      <c r="F6" s="366" t="n"/>
    </row>
    <row r="7" ht="19" customHeight="1" s="297">
      <c r="A7" s="363" t="n"/>
      <c r="B7" s="453" t="n">
        <v>1</v>
      </c>
      <c r="C7" s="454" t="inlineStr">
        <is>
          <t>Revenue</t>
        </is>
      </c>
      <c r="D7" s="455" t="inlineStr">
        <is>
          <t>Rp</t>
        </is>
      </c>
      <c r="E7" s="456">
        <f>'Revenue-Cost_2026'!F22</f>
        <v/>
      </c>
      <c r="F7" s="366" t="n"/>
    </row>
    <row r="8" ht="19" customHeight="1" s="297">
      <c r="A8" s="363" t="n"/>
      <c r="B8" s="453" t="n">
        <v>2</v>
      </c>
      <c r="C8" s="454" t="inlineStr">
        <is>
          <t>Revenue Diterima (Setelah Pajak)</t>
        </is>
      </c>
      <c r="D8" s="455" t="inlineStr">
        <is>
          <t>Rp</t>
        </is>
      </c>
      <c r="E8" s="456">
        <f>E7-'Revenue-Cost_2026'!N22</f>
        <v/>
      </c>
      <c r="F8" s="366" t="n"/>
    </row>
    <row r="9" ht="19" customHeight="1" s="297">
      <c r="A9" s="363" t="n"/>
      <c r="B9" s="453" t="n">
        <v>3</v>
      </c>
      <c r="C9" s="454" t="inlineStr">
        <is>
          <t>Biaya</t>
        </is>
      </c>
      <c r="D9" s="455" t="inlineStr">
        <is>
          <t>Rp</t>
        </is>
      </c>
      <c r="E9" s="456">
        <f>SUM('Revenue-Cost_2026'!I750:Q750)</f>
        <v/>
      </c>
      <c r="F9" s="366" t="n"/>
    </row>
    <row r="10" ht="19" customHeight="1" s="297">
      <c r="A10" s="363" t="n"/>
      <c r="B10" s="453" t="n">
        <v>4</v>
      </c>
      <c r="C10" s="454" t="inlineStr">
        <is>
          <t>Profit SebelumTax</t>
        </is>
      </c>
      <c r="D10" s="455" t="inlineStr">
        <is>
          <t>Rp</t>
        </is>
      </c>
      <c r="E10" s="456">
        <f>E7-E9</f>
        <v/>
      </c>
      <c r="F10" s="366" t="n"/>
    </row>
    <row r="11" ht="19" customHeight="1" s="297">
      <c r="A11" s="363" t="n"/>
      <c r="B11" s="453" t="n">
        <v>5</v>
      </c>
      <c r="C11" s="454" t="inlineStr">
        <is>
          <t>PPh Badan (22%*50%)</t>
        </is>
      </c>
      <c r="D11" s="455" t="inlineStr">
        <is>
          <t>Rp</t>
        </is>
      </c>
      <c r="E11" s="456">
        <f>E10*22%*50%</f>
        <v/>
      </c>
      <c r="F11" s="366" t="n"/>
    </row>
    <row r="12" ht="19" customHeight="1" s="297">
      <c r="A12" s="363" t="n"/>
      <c r="B12" s="453" t="n">
        <v>6</v>
      </c>
      <c r="C12" s="454" t="inlineStr">
        <is>
          <t>PPh 23 Dipotong oleh client</t>
        </is>
      </c>
      <c r="D12" s="455" t="inlineStr">
        <is>
          <t>Rp</t>
        </is>
      </c>
      <c r="E12" s="456">
        <f>'Revenue-Cost_2026'!N22</f>
        <v/>
      </c>
      <c r="F12" s="366" t="n"/>
    </row>
    <row r="13" ht="19" customHeight="1" s="297">
      <c r="A13" s="363" t="n"/>
      <c r="B13" s="453" t="n">
        <v>7</v>
      </c>
      <c r="C13" s="454" t="inlineStr">
        <is>
          <t>Kekurangan Bayar PPh Badan</t>
        </is>
      </c>
      <c r="D13" s="455" t="inlineStr">
        <is>
          <t>Rp</t>
        </is>
      </c>
      <c r="E13" s="457">
        <f>E11-E12</f>
        <v/>
      </c>
      <c r="F13" s="366" t="n"/>
    </row>
    <row r="14" ht="19" customHeight="1" s="297">
      <c r="A14" s="363" t="n"/>
      <c r="B14" s="453" t="n">
        <v>8</v>
      </c>
      <c r="C14" s="454" t="inlineStr">
        <is>
          <t>Profit After Tax</t>
        </is>
      </c>
      <c r="D14" s="455" t="inlineStr">
        <is>
          <t>Rp</t>
        </is>
      </c>
      <c r="E14" s="456">
        <f>E10-E13</f>
        <v/>
      </c>
      <c r="F14" s="366" t="n"/>
    </row>
    <row r="15" ht="19" customHeight="1" s="297">
      <c r="A15" s="363" t="n"/>
      <c r="B15" s="453" t="n">
        <v>9</v>
      </c>
      <c r="C15" s="454" t="inlineStr">
        <is>
          <t>Deviden Dibagi</t>
        </is>
      </c>
      <c r="D15" s="455" t="inlineStr">
        <is>
          <t>Rp</t>
        </is>
      </c>
      <c r="E15" s="456">
        <f>E14-E16</f>
        <v/>
      </c>
      <c r="F15" s="366" t="n"/>
    </row>
    <row r="16" ht="19" customHeight="1" s="297">
      <c r="A16" s="363" t="n"/>
      <c r="B16" s="453" t="n">
        <v>10</v>
      </c>
      <c r="C16" s="454" t="inlineStr">
        <is>
          <t>Profit Ditahan</t>
        </is>
      </c>
      <c r="D16" s="455" t="inlineStr">
        <is>
          <t>Rp</t>
        </is>
      </c>
      <c r="E16" s="456" t="n">
        <v>200</v>
      </c>
      <c r="F16" s="366" t="n"/>
    </row>
    <row r="17">
      <c r="A17" s="363" t="n"/>
      <c r="B17" s="363" t="n"/>
      <c r="C17" s="363" t="n"/>
      <c r="D17" s="363" t="n"/>
      <c r="E17" s="364" t="n"/>
      <c r="F17" s="366" t="n"/>
    </row>
    <row r="18" ht="18" customHeight="1" s="297">
      <c r="A18" s="363" t="n"/>
      <c r="B18" s="270" t="inlineStr">
        <is>
          <t>DEVIDEN</t>
        </is>
      </c>
      <c r="F18" s="366" t="n"/>
    </row>
    <row r="19" ht="19" customHeight="1" s="297">
      <c r="A19" s="363" t="n"/>
      <c r="B19" s="271" t="n"/>
      <c r="C19" s="272" t="n"/>
      <c r="D19" s="454" t="n"/>
      <c r="E19" s="458" t="n"/>
      <c r="F19" s="366" t="n"/>
      <c r="G19" s="459" t="n"/>
    </row>
    <row r="20" ht="19" customHeight="1" s="297">
      <c r="A20" s="363" t="n"/>
      <c r="B20" s="271" t="n"/>
      <c r="C20" s="272" t="n"/>
      <c r="D20" s="454" t="n"/>
      <c r="E20" s="458" t="n"/>
      <c r="F20" s="366" t="n"/>
      <c r="G20" s="459" t="n"/>
    </row>
    <row r="21" ht="48.75" customHeight="1" s="297">
      <c r="A21" s="383" t="n"/>
      <c r="F21" s="366" t="n"/>
    </row>
    <row r="22">
      <c r="A22" s="383" t="n"/>
      <c r="F22" s="36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2026-03-29T07:43:18Z</dcterms:modified>
  <cp:lastModifiedBy>Diofavian - Student</cp:lastModifiedBy>
</cp:coreProperties>
</file>