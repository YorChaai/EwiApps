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9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pivotButton="0" quotePrefix="0" xfId="0"/>
    <xf numFmtId="165" fontId="10" fillId="11" borderId="15" pivotButton="0" quotePrefix="0" xfId="2"/>
    <xf numFmtId="0" fontId="0" fillId="11" borderId="15" pivotButton="0" quotePrefix="0" xfId="0"/>
    <xf numFmtId="0" fontId="25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25" fillId="12" borderId="15" pivotButton="0" quotePrefix="0" xfId="0"/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horizontal="left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25" fillId="12" borderId="15" applyAlignment="1" pivotButton="0" quotePrefix="0" xfId="0">
      <alignment horizontal="left" vertical="center" wrapText="1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25" fillId="11" borderId="15" applyAlignment="1" pivotButton="0" quotePrefix="0" xfId="0">
      <alignment horizontal="left" vertical="center" wrapText="1"/>
    </xf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horizontal="left" vertical="center" wrapText="1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horizontal="left" vertical="center" wrapText="1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25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25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25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Biaya Sewa Peralatan</t>
        </is>
      </c>
      <c r="L39" s="275" t="inlineStr">
        <is>
          <t>Biaya Interpretasi Log Data</t>
        </is>
      </c>
      <c r="M39" s="276" t="inlineStr">
        <is>
          <t>Administrasi</t>
        </is>
      </c>
      <c r="N39" s="276" t="inlineStr">
        <is>
          <t>Pembelian Barang</t>
        </is>
      </c>
      <c r="O39" s="276" t="inlineStr">
        <is>
          <t>Sewa Kantor</t>
        </is>
      </c>
      <c r="P39" s="276" t="inlineStr">
        <is>
          <t>Kesehatan</t>
        </is>
      </c>
      <c r="Q39" s="276" t="inlineStr">
        <is>
          <t>Bisnis Dev</t>
        </is>
      </c>
      <c r="R39" s="275" t="inlineStr">
        <is>
          <t>asdasd</t>
        </is>
      </c>
      <c r="S39" s="275" t="inlineStr">
        <is>
          <t>makanan jepang</t>
        </is>
      </c>
      <c r="T39" s="275" t="inlineStr">
        <is>
          <t>aaaaa</t>
        </is>
      </c>
      <c r="U39" s="275" t="inlineStr">
        <is>
          <t>bbbbb</t>
        </is>
      </c>
      <c r="V39" s="275" t="inlineStr">
        <is>
          <t>asdsad</t>
        </is>
      </c>
      <c r="W39" s="275" t="inlineStr">
        <is>
          <t>dfgdfgdfgd</t>
        </is>
      </c>
      <c r="X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90" t="n">
        <v>3000000</v>
      </c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0" t="n">
        <v>1998587</v>
      </c>
      <c r="J43" s="289" t="n"/>
      <c r="K43" s="291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1" t="n"/>
      <c r="L45" s="292" t="n">
        <v>122625000</v>
      </c>
      <c r="M45" s="280" t="n"/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1" t="n"/>
      <c r="L46" s="292" t="n">
        <v>101120000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90" t="n">
        <v>300000000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90" t="n">
        <v>25000000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90" t="n">
        <v>25000000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90" t="n">
        <v>100000000</v>
      </c>
      <c r="J52" s="289" t="n"/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90" t="n">
        <v>100000000</v>
      </c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90" t="n">
        <v>100000000</v>
      </c>
      <c r="J54" s="289" t="n"/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90" t="n">
        <v>150000000</v>
      </c>
      <c r="J55" s="289" t="n"/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90" t="n">
        <v>400000000</v>
      </c>
      <c r="J56" s="289" t="n"/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1" t="n"/>
      <c r="L58" s="280" t="n"/>
      <c r="M58" s="280" t="n"/>
      <c r="N58" s="280" t="n"/>
      <c r="O58" s="280" t="n"/>
      <c r="P58" s="280" t="n"/>
      <c r="Q58" s="292" t="n">
        <v>16650000</v>
      </c>
      <c r="R58" s="285" t="n"/>
      <c r="S58" s="285" t="n"/>
      <c r="T58" s="285" t="n"/>
      <c r="U58" s="285" t="n"/>
      <c r="V58" s="285" t="n"/>
      <c r="W58" s="285" t="n"/>
      <c r="X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1" t="n"/>
      <c r="L59" s="280" t="n"/>
      <c r="M59" s="280" t="n"/>
      <c r="N59" s="280" t="n"/>
      <c r="O59" s="280" t="n"/>
      <c r="P59" s="280" t="n"/>
      <c r="Q59" s="292" t="n">
        <v>100000000</v>
      </c>
      <c r="R59" s="285" t="n"/>
      <c r="S59" s="285" t="n"/>
      <c r="T59" s="285" t="n"/>
      <c r="U59" s="285" t="n"/>
      <c r="V59" s="285" t="n"/>
      <c r="W59" s="285" t="n"/>
      <c r="X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92" t="n">
        <v>75000000</v>
      </c>
      <c r="R60" s="285" t="n"/>
      <c r="S60" s="285" t="n"/>
      <c r="T60" s="285" t="n"/>
      <c r="U60" s="285" t="n"/>
      <c r="V60" s="285" t="n"/>
      <c r="W60" s="285" t="n"/>
      <c r="X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1" t="n"/>
      <c r="L62" s="292" t="n">
        <v>144000000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90" t="n">
        <v>2500000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90" t="n">
        <v>3500000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90" t="n">
        <v>3000000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90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90" t="n">
        <v>3000000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90" t="n">
        <v>3000000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90" t="n">
        <v>3000000</v>
      </c>
      <c r="K70" s="291" t="n"/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90" t="n">
        <v>3000000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90" t="n">
        <v>3000000</v>
      </c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90" t="n">
        <v>3000000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90" t="n">
        <v>3000000</v>
      </c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90" t="n">
        <v>15000000</v>
      </c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90" t="n">
        <v>25000000</v>
      </c>
      <c r="K77" s="291" t="n"/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90" t="n">
        <v>20000000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1" t="n"/>
      <c r="L80" s="280" t="n"/>
      <c r="M80" s="280" t="n"/>
      <c r="N80" s="292" t="n">
        <v>2600000</v>
      </c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1" t="n"/>
      <c r="L82" s="280" t="n"/>
      <c r="M82" s="280" t="n"/>
      <c r="N82" s="292" t="n">
        <v>3582000</v>
      </c>
      <c r="O82" s="280" t="n"/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90" t="n">
        <v>141500000</v>
      </c>
      <c r="J84" s="289" t="n"/>
      <c r="K84" s="291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90" t="n">
        <v>18000000</v>
      </c>
      <c r="K86" s="291" t="n"/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90" t="n">
        <v>100000000</v>
      </c>
      <c r="K87" s="291" t="n"/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0" t="n">
        <v>29640916</v>
      </c>
      <c r="J89" s="289" t="n"/>
      <c r="K89" s="291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0" t="n">
        <v>29640916</v>
      </c>
      <c r="J90" s="289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0" t="n">
        <v>29640916</v>
      </c>
      <c r="J91" s="289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0" t="n">
        <v>29640916</v>
      </c>
      <c r="J92" s="289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0" t="n">
        <v>29640916</v>
      </c>
      <c r="J93" s="289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0" t="n">
        <v>29640916</v>
      </c>
      <c r="J94" s="289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0" t="n">
        <v>16165271</v>
      </c>
      <c r="J95" s="289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0" t="n">
        <v>25967616</v>
      </c>
      <c r="J96" s="289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0" t="n">
        <v>32101247</v>
      </c>
      <c r="J97" s="289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0" t="n">
        <v>29640916</v>
      </c>
      <c r="J98" s="289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0" t="n">
        <v>74291457</v>
      </c>
      <c r="J99" s="289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90" t="n">
        <v>77672400</v>
      </c>
      <c r="K101" s="291" t="n"/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90" t="n">
        <v>38838700</v>
      </c>
      <c r="K102" s="291" t="n"/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1" t="n"/>
      <c r="L104" s="280" t="n"/>
      <c r="M104" s="280" t="n"/>
      <c r="N104" s="280" t="n"/>
      <c r="O104" s="280" t="n"/>
      <c r="P104" s="280" t="n"/>
      <c r="Q104" s="292" t="n">
        <v>11270000</v>
      </c>
      <c r="R104" s="285" t="n"/>
      <c r="S104" s="285" t="n"/>
      <c r="T104" s="285" t="n"/>
      <c r="U104" s="285" t="n"/>
      <c r="V104" s="285" t="n"/>
      <c r="W104" s="285" t="n"/>
      <c r="X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1" t="n"/>
      <c r="L105" s="280" t="n"/>
      <c r="M105" s="280" t="n"/>
      <c r="N105" s="280" t="n"/>
      <c r="O105" s="292" t="n">
        <v>4995000</v>
      </c>
      <c r="P105" s="280" t="n"/>
      <c r="Q105" s="280" t="n"/>
      <c r="R105" s="285" t="n"/>
      <c r="S105" s="285" t="n"/>
      <c r="T105" s="285" t="n"/>
      <c r="U105" s="285" t="n"/>
      <c r="V105" s="285" t="n"/>
      <c r="W105" s="285" t="n"/>
      <c r="X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1" t="n"/>
      <c r="L107" s="280" t="n"/>
      <c r="M107" s="280" t="n"/>
      <c r="N107" s="292" t="n">
        <v>39800000</v>
      </c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1" t="n"/>
      <c r="L108" s="280" t="n"/>
      <c r="M108" s="280" t="n"/>
      <c r="N108" s="292" t="n">
        <v>53835000</v>
      </c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1" t="n"/>
      <c r="L109" s="280" t="n"/>
      <c r="M109" s="280" t="n"/>
      <c r="N109" s="292" t="n">
        <v>34299000</v>
      </c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1" t="n"/>
      <c r="L110" s="280" t="n"/>
      <c r="M110" s="280" t="n"/>
      <c r="N110" s="292" t="n">
        <v>777246</v>
      </c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90" t="n">
        <v>39201350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</row>
    <row r="113" ht="15.5" customHeight="1">
      <c r="B113" s="293" t="n"/>
      <c r="C113" s="294" t="n"/>
      <c r="D113" s="295" t="inlineStr">
        <is>
          <t>OPERATION COST AND OFFICE - Expenses Report</t>
        </is>
      </c>
      <c r="E113" s="296" t="n"/>
      <c r="F113" s="297" t="n"/>
      <c r="G113" s="294" t="n"/>
      <c r="H113" s="294" t="n"/>
      <c r="I113" s="298" t="n"/>
      <c r="J113" s="299" t="n"/>
      <c r="K113" s="300" t="n"/>
      <c r="L113" s="300" t="n"/>
      <c r="M113" s="300" t="n"/>
      <c r="N113" s="298" t="n"/>
      <c r="O113" s="300" t="n"/>
      <c r="P113" s="300" t="n"/>
      <c r="Q113" s="300" t="n"/>
      <c r="R113" s="301" t="n"/>
      <c r="S113" s="301" t="n"/>
      <c r="T113" s="301" t="n"/>
      <c r="U113" s="301" t="n"/>
      <c r="V113" s="301" t="n"/>
      <c r="W113" s="301" t="n"/>
      <c r="X113" s="301" t="n"/>
    </row>
    <row r="114" ht="15.5" customHeight="1">
      <c r="B114" s="302" t="inlineStr">
        <is>
          <t>Expense#1</t>
        </is>
      </c>
      <c r="C114" s="303" t="inlineStr">
        <is>
          <t>:</t>
        </is>
      </c>
      <c r="D114" s="304" t="inlineStr">
        <is>
          <t>ALFA_ TLJ-58 (PEPZ4-Prabumulih field) SIJak- IC</t>
        </is>
      </c>
      <c r="E114" s="305" t="n"/>
      <c r="F114" s="306" t="n"/>
      <c r="G114" s="303" t="n"/>
      <c r="H114" s="303" t="n"/>
      <c r="I114" s="307" t="n"/>
      <c r="J114" s="308" t="n"/>
      <c r="K114" s="309" t="n"/>
      <c r="L114" s="309" t="n"/>
      <c r="M114" s="309" t="n"/>
      <c r="N114" s="307" t="n"/>
      <c r="O114" s="309" t="n"/>
      <c r="P114" s="309" t="n"/>
      <c r="Q114" s="309" t="n"/>
      <c r="R114" s="310" t="n"/>
      <c r="S114" s="310" t="n"/>
      <c r="T114" s="310" t="n"/>
      <c r="U114" s="310" t="n"/>
      <c r="V114" s="310" t="n"/>
      <c r="W114" s="310" t="n"/>
      <c r="X114" s="310" t="n"/>
    </row>
    <row r="115" ht="15.5" customHeight="1">
      <c r="B115" s="311" t="n"/>
      <c r="C115" s="278" t="n"/>
      <c r="D115" s="312" t="inlineStr">
        <is>
          <t>Accommodation</t>
        </is>
      </c>
      <c r="E115" s="280" t="n"/>
      <c r="F115" s="313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4" t="n"/>
      <c r="S115" s="314" t="n"/>
      <c r="T115" s="314" t="n"/>
      <c r="U115" s="314" t="n"/>
      <c r="V115" s="314" t="n"/>
      <c r="W115" s="314" t="n"/>
      <c r="X115" s="314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90" t="n">
        <v>200000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90" t="n">
        <v>3300000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90" t="n">
        <v>1350000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</row>
    <row r="119" ht="15.5" customHeight="1">
      <c r="B119" s="311" t="n"/>
      <c r="C119" s="278" t="n"/>
      <c r="D119" s="312" t="inlineStr">
        <is>
          <t>Allowance</t>
        </is>
      </c>
      <c r="E119" s="280" t="n"/>
      <c r="F119" s="313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4" t="n"/>
      <c r="S119" s="314" t="n"/>
      <c r="T119" s="314" t="n"/>
      <c r="U119" s="314" t="n"/>
      <c r="V119" s="314" t="n"/>
      <c r="W119" s="314" t="n"/>
      <c r="X119" s="314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90" t="n">
        <v>42589800</v>
      </c>
      <c r="K120" s="291" t="n"/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</row>
    <row r="121" ht="15.5" customHeight="1">
      <c r="B121" s="311" t="n"/>
      <c r="C121" s="278" t="n"/>
      <c r="D121" s="315" t="inlineStr">
        <is>
          <t>Logistic</t>
        </is>
      </c>
      <c r="E121" s="316" t="n"/>
      <c r="F121" s="313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4" t="n"/>
      <c r="S121" s="314" t="n"/>
      <c r="T121" s="314" t="n"/>
      <c r="U121" s="314" t="n"/>
      <c r="V121" s="314" t="n"/>
      <c r="W121" s="314" t="n"/>
      <c r="X121" s="314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1" t="n"/>
      <c r="L122" s="280" t="n"/>
      <c r="M122" s="280" t="n"/>
      <c r="N122" s="292" t="n">
        <v>58500</v>
      </c>
      <c r="O122" s="280" t="n"/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1" t="n"/>
      <c r="L123" s="280" t="n"/>
      <c r="M123" s="280" t="n"/>
      <c r="N123" s="292" t="n">
        <v>82100</v>
      </c>
      <c r="O123" s="280" t="n"/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1" t="n"/>
      <c r="L124" s="280" t="n"/>
      <c r="M124" s="280" t="n"/>
      <c r="N124" s="292" t="n">
        <v>14000</v>
      </c>
      <c r="O124" s="280" t="n"/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1" t="n"/>
      <c r="L125" s="280" t="n"/>
      <c r="M125" s="280" t="n"/>
      <c r="N125" s="292" t="n">
        <v>65000</v>
      </c>
      <c r="O125" s="280" t="n"/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1" t="n"/>
      <c r="L126" s="280" t="n"/>
      <c r="M126" s="280" t="n"/>
      <c r="N126" s="292" t="n">
        <v>19000</v>
      </c>
      <c r="O126" s="280" t="n"/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1" t="n"/>
      <c r="L127" s="280" t="n"/>
      <c r="M127" s="280" t="n"/>
      <c r="N127" s="292" t="n">
        <v>87000</v>
      </c>
      <c r="O127" s="280" t="n"/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</row>
    <row r="128" ht="15.5" customHeight="1">
      <c r="B128" s="277" t="n"/>
      <c r="C128" s="278" t="n"/>
      <c r="D128" s="312" t="inlineStr">
        <is>
          <t>Meal</t>
        </is>
      </c>
      <c r="E128" s="317" t="n"/>
      <c r="F128" s="313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4" t="n"/>
      <c r="S128" s="314" t="n"/>
      <c r="T128" s="314" t="n"/>
      <c r="U128" s="314" t="n"/>
      <c r="V128" s="314" t="n"/>
      <c r="W128" s="314" t="n"/>
      <c r="X128" s="314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90" t="n">
        <v>1966300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90" t="n">
        <v>4050000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</row>
    <row r="131" ht="15.5" customHeight="1">
      <c r="B131" s="311" t="n"/>
      <c r="C131" s="278" t="n"/>
      <c r="D131" s="315" t="inlineStr">
        <is>
          <t>Transportation</t>
        </is>
      </c>
      <c r="E131" s="318" t="n"/>
      <c r="F131" s="313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4" t="n"/>
      <c r="S131" s="314" t="n"/>
      <c r="T131" s="314" t="n"/>
      <c r="U131" s="314" t="n"/>
      <c r="V131" s="314" t="n"/>
      <c r="W131" s="314" t="n"/>
      <c r="X131" s="314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90" t="n">
        <v>1608000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90" t="n">
        <v>250000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90" t="n">
        <v>900000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90" t="n">
        <v>18000000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90" t="n">
        <v>1119500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90" t="n">
        <v>250000</v>
      </c>
      <c r="K137" s="291" t="n"/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90" t="n">
        <v>1498484</v>
      </c>
      <c r="K138" s="291" t="n"/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90" t="n">
        <v>378000</v>
      </c>
      <c r="K139" s="291" t="n"/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</row>
    <row r="140" ht="15.5" customHeight="1">
      <c r="B140" s="302" t="inlineStr">
        <is>
          <t>Expense#2</t>
        </is>
      </c>
      <c r="C140" s="303" t="inlineStr">
        <is>
          <t>:</t>
        </is>
      </c>
      <c r="D140" s="319" t="inlineStr">
        <is>
          <t>Training ALFA _TLJ-58 (PEPZ4-Prabumulih field_ Titis Maulana</t>
        </is>
      </c>
      <c r="E140" s="320" t="n"/>
      <c r="F140" s="306" t="n"/>
      <c r="G140" s="303" t="n"/>
      <c r="H140" s="303" t="n"/>
      <c r="I140" s="308" t="n"/>
      <c r="J140" s="308" t="n"/>
      <c r="K140" s="308" t="n"/>
      <c r="L140" s="308" t="n"/>
      <c r="M140" s="308" t="n"/>
      <c r="N140" s="308" t="n"/>
      <c r="O140" s="308" t="n"/>
      <c r="P140" s="308" t="n"/>
      <c r="Q140" s="308" t="n"/>
      <c r="R140" s="310" t="n"/>
      <c r="S140" s="310" t="n"/>
      <c r="T140" s="310" t="n"/>
      <c r="U140" s="310" t="n"/>
      <c r="V140" s="310" t="n"/>
      <c r="W140" s="310" t="n"/>
      <c r="X140" s="310" t="n"/>
    </row>
    <row r="141" ht="15.5" customHeight="1">
      <c r="B141" s="311" t="n"/>
      <c r="C141" s="278" t="n"/>
      <c r="D141" s="315" t="inlineStr">
        <is>
          <t>Accommodation</t>
        </is>
      </c>
      <c r="E141" s="316" t="n"/>
      <c r="F141" s="313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4" t="n"/>
      <c r="S141" s="314" t="n"/>
      <c r="T141" s="314" t="n"/>
      <c r="U141" s="314" t="n"/>
      <c r="V141" s="314" t="n"/>
      <c r="W141" s="314" t="n"/>
      <c r="X141" s="314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90" t="n">
        <v>1500000</v>
      </c>
      <c r="K142" s="291" t="n"/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</row>
    <row r="143" ht="15.5" customHeight="1">
      <c r="B143" s="311" t="n"/>
      <c r="C143" s="278" t="n"/>
      <c r="D143" s="315" t="inlineStr">
        <is>
          <t>Allowance</t>
        </is>
      </c>
      <c r="E143" s="316" t="n"/>
      <c r="F143" s="313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4" t="n"/>
      <c r="S143" s="314" t="n"/>
      <c r="T143" s="314" t="n"/>
      <c r="U143" s="314" t="n"/>
      <c r="V143" s="314" t="n"/>
      <c r="W143" s="314" t="n"/>
      <c r="X143" s="314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90" t="n">
        <v>11705250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</row>
    <row r="145" ht="15.5" customHeight="1">
      <c r="B145" s="279" t="n"/>
      <c r="C145" s="321" t="n"/>
      <c r="D145" s="322" t="inlineStr">
        <is>
          <t>Logistic</t>
        </is>
      </c>
      <c r="E145" s="323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4" t="n"/>
      <c r="S145" s="314" t="n"/>
      <c r="T145" s="314" t="n"/>
      <c r="U145" s="314" t="n"/>
      <c r="V145" s="314" t="n"/>
      <c r="W145" s="314" t="n"/>
      <c r="X145" s="314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1" t="n"/>
      <c r="L146" s="280" t="n"/>
      <c r="M146" s="280" t="n"/>
      <c r="N146" s="292" t="n">
        <v>499940</v>
      </c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1" t="n"/>
      <c r="L147" s="280" t="n"/>
      <c r="M147" s="280" t="n"/>
      <c r="N147" s="292" t="n">
        <v>70000</v>
      </c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1" t="n"/>
      <c r="L148" s="280" t="n"/>
      <c r="M148" s="280" t="n"/>
      <c r="N148" s="292" t="n">
        <v>540000</v>
      </c>
      <c r="O148" s="280" t="n"/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</row>
    <row r="149" ht="15.5" customHeight="1">
      <c r="B149" s="311" t="n"/>
      <c r="C149" s="278" t="n"/>
      <c r="D149" s="315" t="inlineStr">
        <is>
          <t>Meal</t>
        </is>
      </c>
      <c r="E149" s="316" t="n"/>
      <c r="F149" s="313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4" t="n"/>
      <c r="S149" s="314" t="n"/>
      <c r="T149" s="314" t="n"/>
      <c r="U149" s="314" t="n"/>
      <c r="V149" s="314" t="n"/>
      <c r="W149" s="314" t="n"/>
      <c r="X149" s="314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90" t="n">
        <v>4500000</v>
      </c>
      <c r="K150" s="291" t="n"/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</row>
    <row r="151" ht="15.5" customHeight="1">
      <c r="B151" s="311" t="n"/>
      <c r="C151" s="278" t="n"/>
      <c r="D151" s="315" t="inlineStr">
        <is>
          <t>Transportation</t>
        </is>
      </c>
      <c r="E151" s="316" t="n"/>
      <c r="F151" s="313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4" t="n"/>
      <c r="S151" s="314" t="n"/>
      <c r="T151" s="314" t="n"/>
      <c r="U151" s="314" t="n"/>
      <c r="V151" s="314" t="n"/>
      <c r="W151" s="314" t="n"/>
      <c r="X151" s="314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90" t="n">
        <v>250000</v>
      </c>
      <c r="K152" s="291" t="n"/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90" t="n">
        <v>200000</v>
      </c>
      <c r="K153" s="291" t="n"/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90" t="n">
        <v>1000106</v>
      </c>
      <c r="K154" s="291" t="n"/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90" t="n">
        <v>250000</v>
      </c>
      <c r="K155" s="291" t="n"/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90" t="n">
        <v>105000</v>
      </c>
      <c r="K156" s="291" t="n"/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</row>
    <row r="157" ht="15.5" customHeight="1">
      <c r="B157" s="302" t="inlineStr">
        <is>
          <t>Expense#3</t>
        </is>
      </c>
      <c r="C157" s="303" t="inlineStr">
        <is>
          <t>:</t>
        </is>
      </c>
      <c r="D157" s="304" t="inlineStr">
        <is>
          <t>MPLT (SAKA-UjungPangkah field) GOWell - TGE _IC</t>
        </is>
      </c>
      <c r="E157" s="324" t="n"/>
      <c r="F157" s="306" t="n"/>
      <c r="G157" s="303" t="n"/>
      <c r="H157" s="303" t="n"/>
      <c r="I157" s="308" t="n"/>
      <c r="J157" s="308" t="n"/>
      <c r="K157" s="309" t="n"/>
      <c r="L157" s="309" t="n"/>
      <c r="M157" s="307" t="n"/>
      <c r="N157" s="308" t="n"/>
      <c r="O157" s="309" t="n"/>
      <c r="P157" s="309" t="n"/>
      <c r="Q157" s="309" t="n"/>
      <c r="R157" s="310" t="n"/>
      <c r="S157" s="310" t="n"/>
      <c r="T157" s="310" t="n"/>
      <c r="U157" s="310" t="n"/>
      <c r="V157" s="310" t="n"/>
      <c r="W157" s="310" t="n"/>
      <c r="X157" s="310" t="n"/>
    </row>
    <row r="158" ht="15.5" customHeight="1">
      <c r="B158" s="311" t="n"/>
      <c r="C158" s="278" t="n"/>
      <c r="D158" s="315" t="inlineStr">
        <is>
          <t>Accommodation</t>
        </is>
      </c>
      <c r="E158" s="318" t="n"/>
      <c r="F158" s="313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4" t="n"/>
      <c r="S158" s="314" t="n"/>
      <c r="T158" s="314" t="n"/>
      <c r="U158" s="314" t="n"/>
      <c r="V158" s="314" t="n"/>
      <c r="W158" s="314" t="n"/>
      <c r="X158" s="314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90" t="n">
        <v>300000</v>
      </c>
      <c r="K159" s="291" t="n"/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</row>
    <row r="160" ht="15.5" customHeight="1">
      <c r="B160" s="311" t="n"/>
      <c r="C160" s="278" t="n"/>
      <c r="D160" s="315" t="inlineStr">
        <is>
          <t>Allowance</t>
        </is>
      </c>
      <c r="E160" s="318" t="n"/>
      <c r="F160" s="313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4" t="n"/>
      <c r="S160" s="314" t="n"/>
      <c r="T160" s="314" t="n"/>
      <c r="U160" s="314" t="n"/>
      <c r="V160" s="314" t="n"/>
      <c r="W160" s="314" t="n"/>
      <c r="X160" s="314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90" t="n">
        <v>9501000</v>
      </c>
      <c r="K161" s="291" t="n"/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</row>
    <row r="162" ht="15.5" customHeight="1">
      <c r="B162" s="311" t="n"/>
      <c r="C162" s="278" t="n"/>
      <c r="D162" s="315" t="inlineStr">
        <is>
          <t>Meal</t>
        </is>
      </c>
      <c r="E162" s="318" t="n"/>
      <c r="F162" s="313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4" t="n"/>
      <c r="S162" s="314" t="n"/>
      <c r="T162" s="314" t="n"/>
      <c r="U162" s="314" t="n"/>
      <c r="V162" s="314" t="n"/>
      <c r="W162" s="314" t="n"/>
      <c r="X162" s="314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90" t="n">
        <v>900000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</row>
    <row r="164" ht="15.5" customHeight="1">
      <c r="B164" s="279" t="n"/>
      <c r="C164" s="321" t="n"/>
      <c r="D164" s="322" t="inlineStr">
        <is>
          <t>Transportation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4" t="n"/>
      <c r="S164" s="314" t="n"/>
      <c r="T164" s="314" t="n"/>
      <c r="U164" s="314" t="n"/>
      <c r="V164" s="314" t="n"/>
      <c r="W164" s="314" t="n"/>
      <c r="X164" s="314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90" t="n">
        <v>250000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90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</row>
    <row r="167" ht="15.5" customHeight="1">
      <c r="B167" s="302" t="inlineStr">
        <is>
          <t>Expense#4</t>
        </is>
      </c>
      <c r="C167" s="303" t="inlineStr">
        <is>
          <t>:</t>
        </is>
      </c>
      <c r="D167" s="319" t="inlineStr">
        <is>
          <t>Non project (3rd) _ Ivan Chairulsyah</t>
        </is>
      </c>
      <c r="E167" s="325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310" t="n"/>
      <c r="S167" s="310" t="n"/>
      <c r="T167" s="310" t="n"/>
      <c r="U167" s="310" t="n"/>
      <c r="V167" s="310" t="n"/>
      <c r="W167" s="310" t="n"/>
      <c r="X167" s="310" t="n"/>
    </row>
    <row r="168" ht="15.5" customHeight="1">
      <c r="B168" s="311" t="n"/>
      <c r="C168" s="278" t="n"/>
      <c r="D168" s="315" t="inlineStr">
        <is>
          <t>Pembelian Barang</t>
        </is>
      </c>
      <c r="E168" s="318" t="n"/>
      <c r="F168" s="313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4" t="n"/>
      <c r="S168" s="314" t="n"/>
      <c r="T168" s="314" t="n"/>
      <c r="U168" s="314" t="n"/>
      <c r="V168" s="314" t="n"/>
      <c r="W168" s="314" t="n"/>
      <c r="X168" s="314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1" t="n"/>
      <c r="L169" s="280" t="n"/>
      <c r="M169" s="280" t="n"/>
      <c r="N169" s="292" t="n">
        <v>168732</v>
      </c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1" t="n"/>
      <c r="L170" s="280" t="n"/>
      <c r="M170" s="280" t="n"/>
      <c r="N170" s="292" t="n">
        <v>69009</v>
      </c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1" t="n"/>
      <c r="L171" s="280" t="n"/>
      <c r="M171" s="280" t="n"/>
      <c r="N171" s="292" t="n">
        <v>145800</v>
      </c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1" t="n"/>
      <c r="L172" s="280" t="n"/>
      <c r="M172" s="280" t="n"/>
      <c r="N172" s="292" t="n">
        <v>20891</v>
      </c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1" t="n"/>
      <c r="L173" s="280" t="n"/>
      <c r="M173" s="280" t="n"/>
      <c r="N173" s="292" t="n">
        <v>3325760</v>
      </c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1" t="n"/>
      <c r="L174" s="280" t="n"/>
      <c r="M174" s="280" t="n"/>
      <c r="N174" s="292" t="n">
        <v>4332000</v>
      </c>
      <c r="O174" s="280" t="n"/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1" t="n"/>
      <c r="L175" s="280" t="n"/>
      <c r="M175" s="280" t="n"/>
      <c r="N175" s="292" t="n">
        <v>455600</v>
      </c>
      <c r="O175" s="280" t="n"/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1" t="n"/>
      <c r="L176" s="280" t="n"/>
      <c r="M176" s="280" t="n"/>
      <c r="N176" s="292" t="n">
        <v>168732</v>
      </c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</row>
    <row r="177" ht="15.5" customHeight="1">
      <c r="B177" s="302" t="inlineStr">
        <is>
          <t>Expense#5</t>
        </is>
      </c>
      <c r="C177" s="303" t="inlineStr">
        <is>
          <t>:</t>
        </is>
      </c>
      <c r="D177" s="304" t="inlineStr">
        <is>
          <t>MCU RS PP _Titis Maulana</t>
        </is>
      </c>
      <c r="E177" s="324" t="n"/>
      <c r="F177" s="306" t="n"/>
      <c r="G177" s="303" t="n"/>
      <c r="H177" s="303" t="n"/>
      <c r="I177" s="307" t="n"/>
      <c r="J177" s="308" t="n"/>
      <c r="K177" s="309" t="n"/>
      <c r="L177" s="309" t="n"/>
      <c r="M177" s="309" t="n"/>
      <c r="N177" s="309" t="n"/>
      <c r="O177" s="309" t="n"/>
      <c r="P177" s="309" t="n"/>
      <c r="Q177" s="309" t="n"/>
      <c r="R177" s="310" t="n"/>
      <c r="S177" s="310" t="n"/>
      <c r="T177" s="310" t="n"/>
      <c r="U177" s="310" t="n"/>
      <c r="V177" s="310" t="n"/>
      <c r="W177" s="310" t="n"/>
      <c r="X177" s="310" t="n"/>
    </row>
    <row r="178" ht="15.5" customHeight="1">
      <c r="B178" s="311" t="n"/>
      <c r="C178" s="278" t="n"/>
      <c r="D178" s="315" t="inlineStr">
        <is>
          <t>Kesehatan</t>
        </is>
      </c>
      <c r="E178" s="318" t="n"/>
      <c r="F178" s="313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4" t="n"/>
      <c r="S178" s="314" t="n"/>
      <c r="T178" s="314" t="n"/>
      <c r="U178" s="314" t="n"/>
      <c r="V178" s="314" t="n"/>
      <c r="W178" s="314" t="n"/>
      <c r="X178" s="314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1" t="n"/>
      <c r="L179" s="280" t="n"/>
      <c r="M179" s="280" t="n"/>
      <c r="N179" s="280" t="n"/>
      <c r="O179" s="280" t="n"/>
      <c r="P179" s="292" t="n">
        <v>5407000</v>
      </c>
      <c r="Q179" s="280" t="n"/>
      <c r="R179" s="285" t="n"/>
      <c r="S179" s="285" t="n"/>
      <c r="T179" s="285" t="n"/>
      <c r="U179" s="285" t="n"/>
      <c r="V179" s="285" t="n"/>
      <c r="W179" s="285" t="n"/>
      <c r="X179" s="285" t="n"/>
    </row>
    <row r="180" ht="15.5" customHeight="1">
      <c r="B180" s="302" t="inlineStr">
        <is>
          <t>Expense#6</t>
        </is>
      </c>
      <c r="C180" s="303" t="inlineStr">
        <is>
          <t>:</t>
        </is>
      </c>
      <c r="D180" s="304" t="inlineStr">
        <is>
          <t>MPLT (SAKA-UjungPangkah field) by TGE - GOWell project_IC</t>
        </is>
      </c>
      <c r="E180" s="324" t="n"/>
      <c r="F180" s="306" t="n"/>
      <c r="G180" s="303" t="n"/>
      <c r="H180" s="303" t="n"/>
      <c r="I180" s="307" t="n"/>
      <c r="J180" s="308" t="n"/>
      <c r="K180" s="309" t="n"/>
      <c r="L180" s="309" t="n"/>
      <c r="M180" s="309" t="n"/>
      <c r="N180" s="307" t="n"/>
      <c r="O180" s="309" t="n"/>
      <c r="P180" s="309" t="n"/>
      <c r="Q180" s="309" t="n"/>
      <c r="R180" s="310" t="n"/>
      <c r="S180" s="310" t="n"/>
      <c r="T180" s="310" t="n"/>
      <c r="U180" s="310" t="n"/>
      <c r="V180" s="310" t="n"/>
      <c r="W180" s="310" t="n"/>
      <c r="X180" s="310" t="n"/>
    </row>
    <row r="181" ht="15.5" customHeight="1">
      <c r="B181" s="311" t="n"/>
      <c r="C181" s="278" t="n"/>
      <c r="D181" s="315" t="inlineStr">
        <is>
          <t>Accommodation</t>
        </is>
      </c>
      <c r="E181" s="316" t="n"/>
      <c r="F181" s="313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4" t="n"/>
      <c r="S181" s="314" t="n"/>
      <c r="T181" s="314" t="n"/>
      <c r="U181" s="314" t="n"/>
      <c r="V181" s="314" t="n"/>
      <c r="W181" s="314" t="n"/>
      <c r="X181" s="314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90" t="n">
        <v>250000</v>
      </c>
      <c r="K182" s="291" t="n"/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</row>
    <row r="183" ht="15.5" customHeight="1">
      <c r="B183" s="311" t="n"/>
      <c r="C183" s="278" t="n"/>
      <c r="D183" s="315" t="inlineStr">
        <is>
          <t>Meal</t>
        </is>
      </c>
      <c r="E183" s="316" t="n"/>
      <c r="F183" s="313" t="n"/>
      <c r="G183" s="278" t="n"/>
      <c r="H183" s="278" t="n"/>
      <c r="I183" s="326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4" t="n"/>
      <c r="S183" s="314" t="n"/>
      <c r="T183" s="314" t="n"/>
      <c r="U183" s="314" t="n"/>
      <c r="V183" s="314" t="n"/>
      <c r="W183" s="314" t="n"/>
      <c r="X183" s="314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90" t="n">
        <v>750000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90" t="n">
        <v>160000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</row>
    <row r="186" ht="15.5" customHeight="1">
      <c r="B186" s="277" t="n"/>
      <c r="C186" s="278" t="n"/>
      <c r="D186" s="312" t="inlineStr">
        <is>
          <t>Shipping</t>
        </is>
      </c>
      <c r="E186" s="327" t="n"/>
      <c r="F186" s="313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4" t="n"/>
      <c r="S186" s="314" t="n"/>
      <c r="T186" s="314" t="n"/>
      <c r="U186" s="314" t="n"/>
      <c r="V186" s="314" t="n"/>
      <c r="W186" s="314" t="n"/>
      <c r="X186" s="314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90" t="n">
        <v>38121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90" t="n">
        <v>105879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90" t="n">
        <v>39654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90" t="n">
        <v>39654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90" t="n">
        <v>18000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90" t="n">
        <v>167297</v>
      </c>
      <c r="K192" s="291" t="n"/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</row>
    <row r="193" ht="15.5" customHeight="1">
      <c r="B193" s="311" t="n"/>
      <c r="C193" s="278" t="n"/>
      <c r="D193" s="315" t="inlineStr">
        <is>
          <t>Transportation</t>
        </is>
      </c>
      <c r="E193" s="318" t="n"/>
      <c r="F193" s="313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4" t="n"/>
      <c r="S193" s="314" t="n"/>
      <c r="T193" s="314" t="n"/>
      <c r="U193" s="314" t="n"/>
      <c r="V193" s="314" t="n"/>
      <c r="W193" s="314" t="n"/>
      <c r="X193" s="314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90" t="n">
        <v>250000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90" t="n">
        <v>250000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</row>
    <row r="196" ht="15.5" customHeight="1">
      <c r="B196" s="319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20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310" t="n"/>
      <c r="S196" s="310" t="n"/>
      <c r="T196" s="310" t="n"/>
      <c r="U196" s="310" t="n"/>
      <c r="V196" s="310" t="n"/>
      <c r="W196" s="310" t="n"/>
      <c r="X196" s="310" t="n"/>
    </row>
    <row r="197" ht="15.5" customHeight="1">
      <c r="B197" s="277" t="n"/>
      <c r="C197" s="278" t="n"/>
      <c r="D197" s="312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4" t="n"/>
      <c r="S197" s="314" t="n"/>
      <c r="T197" s="314" t="n"/>
      <c r="U197" s="314" t="n"/>
      <c r="V197" s="314" t="n"/>
      <c r="W197" s="314" t="n"/>
      <c r="X197" s="314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90" t="n">
        <v>1357481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90" t="n">
        <v>100000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</row>
    <row r="200" ht="15.5" customHeight="1">
      <c r="B200" s="331" t="n"/>
      <c r="C200" s="278" t="n"/>
      <c r="D200" s="315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4" t="n"/>
      <c r="S200" s="314" t="n"/>
      <c r="T200" s="314" t="n"/>
      <c r="U200" s="314" t="n"/>
      <c r="V200" s="314" t="n"/>
      <c r="W200" s="314" t="n"/>
      <c r="X200" s="314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90" t="n">
        <v>3251400</v>
      </c>
      <c r="K201" s="291" t="n"/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</row>
    <row r="202" ht="15.5" customHeight="1">
      <c r="B202" s="311" t="n"/>
      <c r="C202" s="278" t="n"/>
      <c r="D202" s="315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4" t="n"/>
      <c r="S202" s="314" t="n"/>
      <c r="T202" s="314" t="n"/>
      <c r="U202" s="314" t="n"/>
      <c r="V202" s="314" t="n"/>
      <c r="W202" s="314" t="n"/>
      <c r="X202" s="314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90" t="n">
        <v>300000</v>
      </c>
      <c r="K203" s="291" t="n"/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</row>
    <row r="204" ht="15.5" customHeight="1">
      <c r="B204" s="311" t="n"/>
      <c r="C204" s="278" t="n"/>
      <c r="D204" s="315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4" t="n"/>
      <c r="S204" s="314" t="n"/>
      <c r="T204" s="314" t="n"/>
      <c r="U204" s="314" t="n"/>
      <c r="V204" s="314" t="n"/>
      <c r="W204" s="314" t="n"/>
      <c r="X204" s="314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90" t="n">
        <v>284308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90" t="n">
        <v>298000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</row>
    <row r="207" ht="15.5" customHeight="1">
      <c r="B207" s="302" t="inlineStr">
        <is>
          <t>Expense#8</t>
        </is>
      </c>
      <c r="C207" s="303" t="inlineStr">
        <is>
          <t>:</t>
        </is>
      </c>
      <c r="D207" s="304" t="inlineStr">
        <is>
          <t>Training BST_ PHR-zona 4 (Dwiyanto) (Dwi_Febri dan Ilham)</t>
        </is>
      </c>
      <c r="E207" s="305" t="n"/>
      <c r="F207" s="332" t="n"/>
      <c r="G207" s="303" t="n"/>
      <c r="H207" s="303" t="n"/>
      <c r="I207" s="333" t="n"/>
      <c r="J207" s="308" t="n"/>
      <c r="K207" s="309" t="n"/>
      <c r="L207" s="309" t="n"/>
      <c r="M207" s="309" t="n"/>
      <c r="N207" s="309" t="n"/>
      <c r="O207" s="309" t="n"/>
      <c r="P207" s="309" t="n"/>
      <c r="Q207" s="309" t="n"/>
      <c r="R207" s="310" t="n"/>
      <c r="S207" s="310" t="n"/>
      <c r="T207" s="310" t="n"/>
      <c r="U207" s="310" t="n"/>
      <c r="V207" s="310" t="n"/>
      <c r="W207" s="310" t="n"/>
      <c r="X207" s="310" t="n"/>
    </row>
    <row r="208" ht="15.5" customHeight="1">
      <c r="B208" s="311" t="n"/>
      <c r="C208" s="278" t="n"/>
      <c r="D208" s="315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4" t="n"/>
      <c r="S208" s="314" t="n"/>
      <c r="T208" s="314" t="n"/>
      <c r="U208" s="314" t="n"/>
      <c r="V208" s="314" t="n"/>
      <c r="W208" s="314" t="n"/>
      <c r="X208" s="314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90" t="n">
        <v>360000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</row>
    <row r="210" ht="15.5" customHeight="1">
      <c r="B210" s="311" t="n"/>
      <c r="C210" s="278" t="n"/>
      <c r="D210" s="312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4" t="n"/>
      <c r="S210" s="314" t="n"/>
      <c r="T210" s="314" t="n"/>
      <c r="U210" s="314" t="n"/>
      <c r="V210" s="314" t="n"/>
      <c r="W210" s="314" t="n"/>
      <c r="X210" s="314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90" t="n">
        <v>103400</v>
      </c>
      <c r="K211" s="291" t="n"/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</row>
    <row r="212" ht="15.5" customHeight="1">
      <c r="B212" s="311" t="n"/>
      <c r="C212" s="278" t="n"/>
      <c r="D212" s="315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4" t="n"/>
      <c r="S212" s="314" t="n"/>
      <c r="T212" s="314" t="n"/>
      <c r="U212" s="314" t="n"/>
      <c r="V212" s="314" t="n"/>
      <c r="W212" s="314" t="n"/>
      <c r="X212" s="314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90" t="n">
        <v>1387800</v>
      </c>
      <c r="K213" s="291" t="n"/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90" t="n">
        <v>234140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90" t="n">
        <v>232000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90" t="n">
        <v>600000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90" t="n">
        <v>27000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90" t="n">
        <v>276900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</row>
    <row r="219" ht="15.5" customHeight="1">
      <c r="B219" s="302" t="inlineStr">
        <is>
          <t>Expense#9</t>
        </is>
      </c>
      <c r="C219" s="303" t="inlineStr">
        <is>
          <t>:</t>
        </is>
      </c>
      <c r="D219" s="304" t="inlineStr">
        <is>
          <t>MFC and ALFA Memory (Jatibarang Field) TGB-033_Elnusa_ AC</t>
        </is>
      </c>
      <c r="E219" s="324" t="n"/>
      <c r="F219" s="332" t="n"/>
      <c r="G219" s="303" t="n"/>
      <c r="H219" s="303" t="n"/>
      <c r="I219" s="308" t="n"/>
      <c r="J219" s="308" t="n"/>
      <c r="K219" s="309" t="n"/>
      <c r="L219" s="309" t="n"/>
      <c r="M219" s="309" t="n"/>
      <c r="N219" s="309" t="n"/>
      <c r="O219" s="309" t="n"/>
      <c r="P219" s="309" t="n"/>
      <c r="Q219" s="309" t="n"/>
      <c r="R219" s="310" t="n"/>
      <c r="S219" s="310" t="n"/>
      <c r="T219" s="310" t="n"/>
      <c r="U219" s="310" t="n"/>
      <c r="V219" s="310" t="n"/>
      <c r="W219" s="310" t="n"/>
      <c r="X219" s="310" t="n"/>
    </row>
    <row r="220" ht="15.5" customHeight="1">
      <c r="B220" s="279" t="n"/>
      <c r="C220" s="321" t="n"/>
      <c r="D220" s="322" t="inlineStr">
        <is>
          <t>Accommodation</t>
        </is>
      </c>
      <c r="E220" s="323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4" t="n"/>
      <c r="S220" s="314" t="n"/>
      <c r="T220" s="314" t="n"/>
      <c r="U220" s="314" t="n"/>
      <c r="V220" s="314" t="n"/>
      <c r="W220" s="314" t="n"/>
      <c r="X220" s="314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90" t="n">
        <v>150000</v>
      </c>
      <c r="K221" s="291" t="n"/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</row>
    <row r="222" ht="15.5" customHeight="1">
      <c r="B222" s="311" t="n"/>
      <c r="C222" s="278" t="n"/>
      <c r="D222" s="315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4" t="n"/>
      <c r="S222" s="314" t="n"/>
      <c r="T222" s="314" t="n"/>
      <c r="U222" s="314" t="n"/>
      <c r="V222" s="314" t="n"/>
      <c r="W222" s="314" t="n"/>
      <c r="X222" s="314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90" t="n">
        <v>450000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90" t="n">
        <v>4815300</v>
      </c>
      <c r="K224" s="291" t="n"/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90" t="n">
        <v>128000</v>
      </c>
      <c r="K225" s="291" t="n"/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</row>
    <row r="226" ht="15.5" customHeight="1">
      <c r="B226" s="311" t="n"/>
      <c r="C226" s="278" t="n"/>
      <c r="D226" s="312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4" t="n"/>
      <c r="S226" s="314" t="n"/>
      <c r="T226" s="314" t="n"/>
      <c r="U226" s="314" t="n"/>
      <c r="V226" s="314" t="n"/>
      <c r="W226" s="314" t="n"/>
      <c r="X226" s="314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90" t="n">
        <v>255500</v>
      </c>
      <c r="K227" s="291" t="n"/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90" t="n">
        <v>150000</v>
      </c>
      <c r="K228" s="291" t="n"/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</row>
    <row r="229" ht="15.5" customHeight="1">
      <c r="B229" s="302" t="inlineStr">
        <is>
          <t>Expense#10</t>
        </is>
      </c>
      <c r="C229" s="303" t="inlineStr">
        <is>
          <t>:</t>
        </is>
      </c>
      <c r="D229" s="304" t="inlineStr">
        <is>
          <t>ALFA+PLT (TGB-033 Zona 7) Elnusa_TMA</t>
        </is>
      </c>
      <c r="E229" s="305" t="n"/>
      <c r="F229" s="332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</row>
    <row r="230" ht="15.5" customHeight="1">
      <c r="B230" s="311" t="n"/>
      <c r="C230" s="278" t="n"/>
      <c r="D230" s="315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4" t="n"/>
      <c r="S230" s="314" t="n"/>
      <c r="T230" s="314" t="n"/>
      <c r="U230" s="314" t="n"/>
      <c r="V230" s="314" t="n"/>
      <c r="W230" s="314" t="n"/>
      <c r="X230" s="314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90" t="n">
        <v>3292802</v>
      </c>
      <c r="K231" s="291" t="n"/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90" t="n">
        <v>350000</v>
      </c>
      <c r="K232" s="291" t="n"/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</row>
    <row r="233" ht="15.5" customHeight="1">
      <c r="B233" s="311" t="n"/>
      <c r="C233" s="278" t="n"/>
      <c r="D233" s="315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4" t="n"/>
      <c r="S233" s="314" t="n"/>
      <c r="T233" s="314" t="n"/>
      <c r="U233" s="314" t="n"/>
      <c r="V233" s="314" t="n"/>
      <c r="W233" s="314" t="n"/>
      <c r="X233" s="314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0" t="n">
        <v>1203813.75</v>
      </c>
      <c r="J234" s="289" t="n"/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90" t="n">
        <v>6420340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</row>
    <row r="236" ht="15.5" customHeight="1">
      <c r="B236" s="311" t="n"/>
      <c r="C236" s="278" t="n"/>
      <c r="D236" s="315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4" t="n"/>
      <c r="S236" s="314" t="n"/>
      <c r="T236" s="314" t="n"/>
      <c r="U236" s="314" t="n"/>
      <c r="V236" s="314" t="n"/>
      <c r="W236" s="314" t="n"/>
      <c r="X236" s="314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1" t="n"/>
      <c r="L237" s="280" t="n"/>
      <c r="M237" s="280" t="n"/>
      <c r="N237" s="292" t="n">
        <v>349000</v>
      </c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90" t="n">
        <v>75000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</row>
    <row r="239" ht="15.5" customHeight="1">
      <c r="B239" s="311" t="n"/>
      <c r="C239" s="278" t="n"/>
      <c r="D239" s="312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4" t="n"/>
      <c r="S239" s="314" t="n"/>
      <c r="T239" s="314" t="n"/>
      <c r="U239" s="314" t="n"/>
      <c r="V239" s="314" t="n"/>
      <c r="W239" s="314" t="n"/>
      <c r="X239" s="314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90" t="n">
        <v>657000</v>
      </c>
      <c r="K240" s="291" t="n"/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90" t="n">
        <v>1050000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</row>
    <row r="242" ht="15.5" customHeight="1">
      <c r="B242" s="302" t="inlineStr">
        <is>
          <t>Expense#11</t>
        </is>
      </c>
      <c r="C242" s="303" t="inlineStr">
        <is>
          <t>:</t>
        </is>
      </c>
      <c r="D242" s="304" t="inlineStr">
        <is>
          <t>ALFA+MFC (TGB-033 Zona 7) Elnusa_TMA</t>
        </is>
      </c>
      <c r="E242" s="305" t="n"/>
      <c r="F242" s="332" t="n"/>
      <c r="G242" s="320" t="n"/>
      <c r="H242" s="320" t="n"/>
      <c r="I242" s="307" t="n"/>
      <c r="J242" s="308" t="n"/>
      <c r="K242" s="309" t="n"/>
      <c r="L242" s="309" t="n"/>
      <c r="M242" s="309" t="n"/>
      <c r="N242" s="309" t="n"/>
      <c r="O242" s="309" t="n"/>
      <c r="P242" s="309" t="n"/>
      <c r="Q242" s="309" t="n"/>
      <c r="R242" s="310" t="n"/>
      <c r="S242" s="310" t="n"/>
      <c r="T242" s="310" t="n"/>
      <c r="U242" s="310" t="n"/>
      <c r="V242" s="310" t="n"/>
      <c r="W242" s="310" t="n"/>
      <c r="X242" s="310" t="n"/>
    </row>
    <row r="243" ht="15.5" customHeight="1">
      <c r="B243" s="311" t="n"/>
      <c r="C243" s="278" t="n"/>
      <c r="D243" s="315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4" t="n"/>
      <c r="S243" s="314" t="n"/>
      <c r="T243" s="314" t="n"/>
      <c r="U243" s="314" t="n"/>
      <c r="V243" s="314" t="n"/>
      <c r="W243" s="314" t="n"/>
      <c r="X243" s="314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90" t="n">
        <v>1950000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90" t="n">
        <v>200000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</row>
    <row r="246" ht="15.5" customHeight="1">
      <c r="B246" s="311" t="n"/>
      <c r="C246" s="278" t="n"/>
      <c r="D246" s="315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4" t="n"/>
      <c r="S246" s="314" t="n"/>
      <c r="T246" s="314" t="n"/>
      <c r="U246" s="314" t="n"/>
      <c r="V246" s="314" t="n"/>
      <c r="W246" s="314" t="n"/>
      <c r="X246" s="314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90" t="n">
        <v>1605085</v>
      </c>
      <c r="K247" s="291" t="n"/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</row>
    <row r="248" ht="15.5" customHeight="1">
      <c r="B248" s="279" t="n"/>
      <c r="C248" s="321" t="n"/>
      <c r="D248" s="322" t="inlineStr">
        <is>
          <t>Logistic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4" t="n"/>
      <c r="S248" s="314" t="n"/>
      <c r="T248" s="314" t="n"/>
      <c r="U248" s="314" t="n"/>
      <c r="V248" s="314" t="n"/>
      <c r="W248" s="314" t="n"/>
      <c r="X248" s="314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90" t="n">
        <v>101800</v>
      </c>
      <c r="K249" s="291" t="n"/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</row>
    <row r="250" ht="15.5" customHeight="1">
      <c r="B250" s="279" t="n"/>
      <c r="C250" s="321" t="n"/>
      <c r="D250" s="322" t="inlineStr">
        <is>
          <t>Meal</t>
        </is>
      </c>
      <c r="E250" s="323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4" t="n"/>
      <c r="S250" s="314" t="n"/>
      <c r="T250" s="314" t="n"/>
      <c r="U250" s="314" t="n"/>
      <c r="V250" s="314" t="n"/>
      <c r="W250" s="314" t="n"/>
      <c r="X250" s="314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90" t="n">
        <v>481900</v>
      </c>
      <c r="K251" s="291" t="n"/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90" t="n">
        <v>600000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</row>
    <row r="253" ht="15.5" customHeight="1">
      <c r="B253" s="279" t="n"/>
      <c r="C253" s="321" t="n"/>
      <c r="D253" s="322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4" t="n"/>
      <c r="S253" s="314" t="n"/>
      <c r="T253" s="314" t="n"/>
      <c r="U253" s="314" t="n"/>
      <c r="V253" s="314" t="n"/>
      <c r="W253" s="314" t="n"/>
      <c r="X253" s="314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90" t="n">
        <v>78500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</row>
    <row r="255" ht="15.5" customHeight="1">
      <c r="B255" s="319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20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310" t="n"/>
      <c r="S255" s="310" t="n"/>
      <c r="T255" s="310" t="n"/>
      <c r="U255" s="310" t="n"/>
      <c r="V255" s="310" t="n"/>
      <c r="W255" s="310" t="n"/>
      <c r="X255" s="310" t="n"/>
    </row>
    <row r="256" ht="15.5" customHeight="1">
      <c r="B256" s="311" t="n"/>
      <c r="C256" s="278" t="n"/>
      <c r="D256" s="315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4" t="n"/>
      <c r="S256" s="314" t="n"/>
      <c r="T256" s="314" t="n"/>
      <c r="U256" s="314" t="n"/>
      <c r="V256" s="314" t="n"/>
      <c r="W256" s="314" t="n"/>
      <c r="X256" s="314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90" t="n">
        <v>9693878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</row>
    <row r="258" ht="15.5" customHeight="1">
      <c r="B258" s="302" t="inlineStr">
        <is>
          <t>Expense#13</t>
        </is>
      </c>
      <c r="C258" s="303" t="inlineStr">
        <is>
          <t>:</t>
        </is>
      </c>
      <c r="D258" s="304" t="inlineStr">
        <is>
          <t>Non Trip MCU Dwiyanto</t>
        </is>
      </c>
      <c r="E258" s="324" t="n"/>
      <c r="F258" s="332" t="n"/>
      <c r="G258" s="303" t="n"/>
      <c r="H258" s="303" t="n"/>
      <c r="I258" s="307" t="n"/>
      <c r="J258" s="308" t="n"/>
      <c r="K258" s="309" t="n"/>
      <c r="L258" s="309" t="n"/>
      <c r="M258" s="309" t="n"/>
      <c r="N258" s="309" t="n"/>
      <c r="O258" s="309" t="n"/>
      <c r="P258" s="309" t="n"/>
      <c r="Q258" s="309" t="n"/>
      <c r="R258" s="310" t="n"/>
      <c r="S258" s="310" t="n"/>
      <c r="T258" s="310" t="n"/>
      <c r="U258" s="310" t="n"/>
      <c r="V258" s="310" t="n"/>
      <c r="W258" s="310" t="n"/>
      <c r="X258" s="310" t="n"/>
    </row>
    <row r="259" ht="15.5" customHeight="1">
      <c r="B259" s="311" t="n"/>
      <c r="C259" s="278" t="n"/>
      <c r="D259" s="315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4" t="n"/>
      <c r="S259" s="314" t="n"/>
      <c r="T259" s="314" t="n"/>
      <c r="U259" s="314" t="n"/>
      <c r="V259" s="314" t="n"/>
      <c r="W259" s="314" t="n"/>
      <c r="X259" s="314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1" t="n"/>
      <c r="L260" s="280" t="n"/>
      <c r="M260" s="280" t="n"/>
      <c r="N260" s="280" t="n"/>
      <c r="O260" s="280" t="n"/>
      <c r="P260" s="292" t="n">
        <v>5322000</v>
      </c>
      <c r="Q260" s="280" t="n"/>
      <c r="R260" s="285" t="n"/>
      <c r="S260" s="285" t="n"/>
      <c r="T260" s="285" t="n"/>
      <c r="U260" s="285" t="n"/>
      <c r="V260" s="285" t="n"/>
      <c r="W260" s="285" t="n"/>
      <c r="X260" s="285" t="n"/>
    </row>
    <row r="261" ht="15.5" customHeight="1">
      <c r="B261" s="311" t="n"/>
      <c r="C261" s="278" t="n"/>
      <c r="D261" s="315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4" t="n"/>
      <c r="S261" s="314" t="n"/>
      <c r="T261" s="314" t="n"/>
      <c r="U261" s="314" t="n"/>
      <c r="V261" s="314" t="n"/>
      <c r="W261" s="314" t="n"/>
      <c r="X261" s="314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1" t="n"/>
      <c r="L262" s="280" t="n"/>
      <c r="M262" s="280" t="n"/>
      <c r="N262" s="292" t="n">
        <v>2402000</v>
      </c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</row>
    <row r="263" ht="15.5" customHeight="1">
      <c r="B263" s="302" t="inlineStr">
        <is>
          <t>Expense#14</t>
        </is>
      </c>
      <c r="C263" s="303" t="inlineStr">
        <is>
          <t>:</t>
        </is>
      </c>
      <c r="D263" s="337" t="inlineStr">
        <is>
          <t>Non project _ MCU - Ilham BR</t>
        </is>
      </c>
      <c r="E263" s="338" t="n"/>
      <c r="F263" s="339" t="n"/>
      <c r="G263" s="340" t="n"/>
      <c r="H263" s="340" t="n"/>
      <c r="I263" s="308" t="n"/>
      <c r="J263" s="308" t="n"/>
      <c r="K263" s="309" t="n"/>
      <c r="L263" s="309" t="n"/>
      <c r="M263" s="309" t="n"/>
      <c r="N263" s="309" t="n"/>
      <c r="O263" s="309" t="n"/>
      <c r="P263" s="309" t="n"/>
      <c r="Q263" s="309" t="n"/>
      <c r="R263" s="310" t="n"/>
      <c r="S263" s="310" t="n"/>
      <c r="T263" s="310" t="n"/>
      <c r="U263" s="310" t="n"/>
      <c r="V263" s="310" t="n"/>
      <c r="W263" s="310" t="n"/>
      <c r="X263" s="310" t="n"/>
    </row>
    <row r="264" ht="15.5" customHeight="1">
      <c r="B264" s="279" t="n"/>
      <c r="C264" s="321" t="n"/>
      <c r="D264" s="322" t="inlineStr">
        <is>
          <t>Kesehatan</t>
        </is>
      </c>
      <c r="E264" s="323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4" t="n"/>
      <c r="S264" s="314" t="n"/>
      <c r="T264" s="314" t="n"/>
      <c r="U264" s="314" t="n"/>
      <c r="V264" s="314" t="n"/>
      <c r="W264" s="314" t="n"/>
      <c r="X264" s="314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1" t="n"/>
      <c r="L265" s="280" t="n"/>
      <c r="M265" s="280" t="n"/>
      <c r="N265" s="280" t="n"/>
      <c r="O265" s="280" t="n"/>
      <c r="P265" s="292" t="n">
        <v>5407000</v>
      </c>
      <c r="Q265" s="280" t="n"/>
      <c r="R265" s="285" t="n"/>
      <c r="S265" s="285" t="n"/>
      <c r="T265" s="285" t="n"/>
      <c r="U265" s="285" t="n"/>
      <c r="V265" s="285" t="n"/>
      <c r="W265" s="285" t="n"/>
      <c r="X265" s="285" t="n"/>
    </row>
    <row r="266" ht="15.5" customHeight="1">
      <c r="B266" s="341" t="inlineStr">
        <is>
          <t>Expense#15</t>
        </is>
      </c>
      <c r="C266" s="303" t="inlineStr">
        <is>
          <t>:</t>
        </is>
      </c>
      <c r="D266" s="304" t="inlineStr">
        <is>
          <t>ALFA Job - Jrk-193 _ OJT_ Ilham BR</t>
        </is>
      </c>
      <c r="E266" s="324" t="n"/>
      <c r="F266" s="332" t="n"/>
      <c r="G266" s="303" t="n"/>
      <c r="H266" s="303" t="n"/>
      <c r="I266" s="307" t="n"/>
      <c r="J266" s="308" t="n"/>
      <c r="K266" s="309" t="n"/>
      <c r="L266" s="309" t="n"/>
      <c r="M266" s="309" t="n"/>
      <c r="N266" s="307" t="n"/>
      <c r="O266" s="309" t="n"/>
      <c r="P266" s="309" t="n"/>
      <c r="Q266" s="309" t="n"/>
      <c r="R266" s="310" t="n"/>
      <c r="S266" s="310" t="n"/>
      <c r="T266" s="310" t="n"/>
      <c r="U266" s="310" t="n"/>
      <c r="V266" s="310" t="n"/>
      <c r="W266" s="310" t="n"/>
      <c r="X266" s="310" t="n"/>
    </row>
    <row r="267" ht="15.5" customHeight="1">
      <c r="B267" s="311" t="n"/>
      <c r="C267" s="278" t="n"/>
      <c r="D267" s="315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4" t="n"/>
      <c r="S267" s="314" t="n"/>
      <c r="T267" s="314" t="n"/>
      <c r="U267" s="314" t="n"/>
      <c r="V267" s="314" t="n"/>
      <c r="W267" s="314" t="n"/>
      <c r="X267" s="314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90" t="n">
        <v>900000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90" t="n">
        <v>2430000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</row>
    <row r="270" ht="15.5" customHeight="1">
      <c r="B270" s="311" t="n"/>
      <c r="C270" s="278" t="n"/>
      <c r="D270" s="312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4" t="n"/>
      <c r="S270" s="314" t="n"/>
      <c r="T270" s="314" t="n"/>
      <c r="U270" s="314" t="n"/>
      <c r="V270" s="314" t="n"/>
      <c r="W270" s="314" t="n"/>
      <c r="X270" s="314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90" t="n">
        <v>773238</v>
      </c>
      <c r="K271" s="291" t="n"/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90" t="n">
        <v>296853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90" t="n">
        <v>250000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</row>
    <row r="274" ht="15.5" customHeight="1">
      <c r="B274" s="302" t="inlineStr">
        <is>
          <t>Expense#16</t>
        </is>
      </c>
      <c r="C274" s="303" t="inlineStr">
        <is>
          <t>:</t>
        </is>
      </c>
      <c r="D274" s="304" t="inlineStr">
        <is>
          <t>ALFA job - JRK-193 OJT - Dwiyanto S</t>
        </is>
      </c>
      <c r="E274" s="305" t="n"/>
      <c r="F274" s="332" t="n"/>
      <c r="G274" s="303" t="n"/>
      <c r="H274" s="303" t="n"/>
      <c r="I274" s="308" t="n"/>
      <c r="J274" s="308" t="n"/>
      <c r="K274" s="309" t="n"/>
      <c r="L274" s="309" t="n"/>
      <c r="M274" s="307" t="n"/>
      <c r="N274" s="307" t="n"/>
      <c r="O274" s="309" t="n"/>
      <c r="P274" s="309" t="n"/>
      <c r="Q274" s="309" t="n"/>
      <c r="R274" s="310" t="n"/>
      <c r="S274" s="310" t="n"/>
      <c r="T274" s="310" t="n"/>
      <c r="U274" s="310" t="n"/>
      <c r="V274" s="310" t="n"/>
      <c r="W274" s="310" t="n"/>
      <c r="X274" s="310" t="n"/>
    </row>
    <row r="275" ht="15.5" customHeight="1">
      <c r="B275" s="311" t="n"/>
      <c r="C275" s="278" t="n"/>
      <c r="D275" s="315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4" t="n"/>
      <c r="S275" s="314" t="n"/>
      <c r="T275" s="314" t="n"/>
      <c r="U275" s="314" t="n"/>
      <c r="V275" s="314" t="n"/>
      <c r="W275" s="314" t="n"/>
      <c r="X275" s="314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90" t="n">
        <v>900000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90" t="n">
        <v>150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</row>
    <row r="278" ht="15.5" customHeight="1">
      <c r="B278" s="311" t="n"/>
      <c r="C278" s="278" t="n"/>
      <c r="D278" s="315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4" t="n"/>
      <c r="S278" s="314" t="n"/>
      <c r="T278" s="314" t="n"/>
      <c r="U278" s="314" t="n"/>
      <c r="V278" s="314" t="n"/>
      <c r="W278" s="314" t="n"/>
      <c r="X278" s="314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1" t="n"/>
      <c r="L279" s="280" t="n"/>
      <c r="M279" s="280" t="n"/>
      <c r="N279" s="292" t="n">
        <v>268000</v>
      </c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</row>
    <row r="280" ht="15.5" customHeight="1">
      <c r="B280" s="279" t="n"/>
      <c r="C280" s="321" t="n"/>
      <c r="D280" s="322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4" t="n"/>
      <c r="S280" s="314" t="n"/>
      <c r="T280" s="314" t="n"/>
      <c r="U280" s="314" t="n"/>
      <c r="V280" s="314" t="n"/>
      <c r="W280" s="314" t="n"/>
      <c r="X280" s="314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90" t="n">
        <v>300000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</row>
    <row r="282" ht="15.5" customHeight="1">
      <c r="B282" s="311" t="n"/>
      <c r="C282" s="278" t="n"/>
      <c r="D282" s="315" t="inlineStr">
        <is>
          <t>Logistic</t>
        </is>
      </c>
      <c r="E282" s="318" t="n"/>
      <c r="F282" s="313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4" t="n"/>
      <c r="S282" s="314" t="n"/>
      <c r="T282" s="314" t="n"/>
      <c r="U282" s="314" t="n"/>
      <c r="V282" s="314" t="n"/>
      <c r="W282" s="314" t="n"/>
      <c r="X282" s="314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1" t="n"/>
      <c r="L283" s="280" t="n"/>
      <c r="M283" s="280" t="n"/>
      <c r="N283" s="292" t="n">
        <v>80000</v>
      </c>
      <c r="O283" s="280" t="n"/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1" t="n"/>
      <c r="L284" s="280" t="n"/>
      <c r="M284" s="280" t="n"/>
      <c r="N284" s="292" t="n">
        <v>21900</v>
      </c>
      <c r="O284" s="280" t="n"/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</row>
    <row r="285" ht="15.5" customHeight="1">
      <c r="B285" s="311" t="n"/>
      <c r="C285" s="278" t="n"/>
      <c r="D285" s="315" t="inlineStr">
        <is>
          <t>Transportation</t>
        </is>
      </c>
      <c r="E285" s="318" t="n"/>
      <c r="F285" s="313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4" t="n"/>
      <c r="S285" s="314" t="n"/>
      <c r="T285" s="314" t="n"/>
      <c r="U285" s="314" t="n"/>
      <c r="V285" s="314" t="n"/>
      <c r="W285" s="314" t="n"/>
      <c r="X285" s="314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90" t="n">
        <v>232520</v>
      </c>
      <c r="K286" s="291" t="n"/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90" t="n">
        <v>312000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</row>
    <row r="288" ht="15.5" customHeight="1">
      <c r="B288" s="302" t="inlineStr">
        <is>
          <t>Expense#17</t>
        </is>
      </c>
      <c r="C288" s="303" t="inlineStr">
        <is>
          <t>:</t>
        </is>
      </c>
      <c r="D288" s="304" t="inlineStr">
        <is>
          <t>ALFA JRK-193 - project SI_ TMA</t>
        </is>
      </c>
      <c r="E288" s="324" t="n"/>
      <c r="F288" s="306" t="n"/>
      <c r="G288" s="303" t="n"/>
      <c r="H288" s="303" t="n"/>
      <c r="I288" s="307" t="n"/>
      <c r="J288" s="308" t="n"/>
      <c r="K288" s="309" t="n"/>
      <c r="L288" s="309" t="n"/>
      <c r="M288" s="309" t="n"/>
      <c r="N288" s="309" t="n"/>
      <c r="O288" s="309" t="n"/>
      <c r="P288" s="309" t="n"/>
      <c r="Q288" s="309" t="n"/>
      <c r="R288" s="310" t="n"/>
      <c r="S288" s="310" t="n"/>
      <c r="T288" s="310" t="n"/>
      <c r="U288" s="310" t="n"/>
      <c r="V288" s="310" t="n"/>
      <c r="W288" s="310" t="n"/>
      <c r="X288" s="310" t="n"/>
    </row>
    <row r="289" ht="15.5" customHeight="1">
      <c r="B289" s="311" t="n"/>
      <c r="C289" s="278" t="n"/>
      <c r="D289" s="312" t="inlineStr">
        <is>
          <t>Accommodation</t>
        </is>
      </c>
      <c r="E289" s="280" t="n"/>
      <c r="F289" s="313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4" t="n"/>
      <c r="S289" s="314" t="n"/>
      <c r="T289" s="314" t="n"/>
      <c r="U289" s="314" t="n"/>
      <c r="V289" s="314" t="n"/>
      <c r="W289" s="314" t="n"/>
      <c r="X289" s="314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90" t="n">
        <v>1650000</v>
      </c>
      <c r="K290" s="291" t="n"/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90" t="n">
        <v>300000</v>
      </c>
      <c r="K291" s="291" t="n"/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</row>
    <row r="292" ht="15.5" customHeight="1">
      <c r="B292" s="311" t="n"/>
      <c r="C292" s="342" t="n"/>
      <c r="D292" s="315" t="inlineStr">
        <is>
          <t>Allowance</t>
        </is>
      </c>
      <c r="E292" s="316" t="n"/>
      <c r="F292" s="313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4" t="n"/>
      <c r="S292" s="314" t="n"/>
      <c r="T292" s="314" t="n"/>
      <c r="U292" s="314" t="n"/>
      <c r="V292" s="314" t="n"/>
      <c r="W292" s="314" t="n"/>
      <c r="X292" s="314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90" t="n">
        <v>9717600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</row>
    <row r="294" ht="15.5" customHeight="1">
      <c r="B294" s="311" t="n"/>
      <c r="C294" s="342" t="n"/>
      <c r="D294" s="315" t="inlineStr">
        <is>
          <t>Meal</t>
        </is>
      </c>
      <c r="E294" s="316" t="n"/>
      <c r="F294" s="313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4" t="n"/>
      <c r="S294" s="314" t="n"/>
      <c r="T294" s="314" t="n"/>
      <c r="U294" s="314" t="n"/>
      <c r="V294" s="314" t="n"/>
      <c r="W294" s="314" t="n"/>
      <c r="X294" s="314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90" t="n">
        <v>709300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90" t="n">
        <v>900000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</row>
    <row r="297" ht="15.5" customHeight="1">
      <c r="B297" s="311" t="n"/>
      <c r="C297" s="342" t="n"/>
      <c r="D297" s="315" t="inlineStr">
        <is>
          <t>Transportation</t>
        </is>
      </c>
      <c r="E297" s="318" t="n"/>
      <c r="F297" s="313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4" t="n"/>
      <c r="S297" s="314" t="n"/>
      <c r="T297" s="314" t="n"/>
      <c r="U297" s="314" t="n"/>
      <c r="V297" s="314" t="n"/>
      <c r="W297" s="314" t="n"/>
      <c r="X297" s="314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90" t="n">
        <v>1418800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90" t="n">
        <v>166000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90" t="n">
        <v>60000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90" t="n">
        <v>2900000</v>
      </c>
      <c r="K301" s="291" t="n"/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90" t="n">
        <v>400000</v>
      </c>
      <c r="K302" s="291" t="n"/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90" t="n">
        <v>300000</v>
      </c>
      <c r="K303" s="291" t="n"/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90" t="n">
        <v>1326410</v>
      </c>
      <c r="K304" s="291" t="n"/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</row>
    <row r="305" ht="15.5" customHeight="1">
      <c r="B305" s="319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20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310" t="n"/>
      <c r="S305" s="310" t="n"/>
      <c r="T305" s="310" t="n"/>
      <c r="U305" s="310" t="n"/>
      <c r="V305" s="310" t="n"/>
      <c r="W305" s="310" t="n"/>
      <c r="X305" s="310" t="n"/>
    </row>
    <row r="306" ht="15.5" customHeight="1">
      <c r="B306" s="311" t="n"/>
      <c r="C306" s="278" t="n"/>
      <c r="D306" s="315" t="inlineStr">
        <is>
          <t>Training</t>
        </is>
      </c>
      <c r="E306" s="316" t="n"/>
      <c r="F306" s="281" t="n"/>
      <c r="G306" s="278" t="n"/>
      <c r="H306" s="278" t="n"/>
      <c r="I306" s="343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4" t="n"/>
      <c r="S306" s="314" t="n"/>
      <c r="T306" s="314" t="n"/>
      <c r="U306" s="314" t="n"/>
      <c r="V306" s="314" t="n"/>
      <c r="W306" s="314" t="n"/>
      <c r="X306" s="314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90" t="n">
        <v>9693878</v>
      </c>
      <c r="K307" s="291" t="n"/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</row>
    <row r="308" ht="15.5" customHeight="1">
      <c r="B308" s="311" t="n"/>
      <c r="C308" s="278" t="n"/>
      <c r="D308" s="315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4" t="n"/>
      <c r="S308" s="314" t="n"/>
      <c r="T308" s="314" t="n"/>
      <c r="U308" s="314" t="n"/>
      <c r="V308" s="314" t="n"/>
      <c r="W308" s="314" t="n"/>
      <c r="X308" s="314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90" t="n">
        <v>233000</v>
      </c>
      <c r="K309" s="291" t="n"/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90" t="n">
        <v>73000</v>
      </c>
      <c r="K310" s="291" t="n"/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90" t="n">
        <v>59000</v>
      </c>
      <c r="K311" s="291" t="n"/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</row>
    <row r="312" ht="15.5" customHeight="1">
      <c r="B312" s="302" t="inlineStr">
        <is>
          <t>Expense#19</t>
        </is>
      </c>
      <c r="C312" s="303" t="inlineStr">
        <is>
          <t>:</t>
        </is>
      </c>
      <c r="D312" s="304" t="inlineStr">
        <is>
          <t>ALFA JRK-163 (Pending job) - TMA</t>
        </is>
      </c>
      <c r="E312" s="324" t="n"/>
      <c r="F312" s="332" t="n"/>
      <c r="G312" s="303" t="n"/>
      <c r="H312" s="303" t="n"/>
      <c r="I312" s="307" t="n"/>
      <c r="J312" s="308" t="n"/>
      <c r="K312" s="309" t="n"/>
      <c r="L312" s="309" t="n"/>
      <c r="M312" s="307" t="n"/>
      <c r="N312" s="309" t="n"/>
      <c r="O312" s="309" t="n"/>
      <c r="P312" s="309" t="n"/>
      <c r="Q312" s="309" t="n"/>
      <c r="R312" s="310" t="n"/>
      <c r="S312" s="310" t="n"/>
      <c r="T312" s="310" t="n"/>
      <c r="U312" s="310" t="n"/>
      <c r="V312" s="310" t="n"/>
      <c r="W312" s="310" t="n"/>
      <c r="X312" s="310" t="n"/>
    </row>
    <row r="313" ht="15.5" customHeight="1">
      <c r="B313" s="311" t="n"/>
      <c r="C313" s="278" t="n"/>
      <c r="D313" s="315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4" t="n"/>
      <c r="S313" s="314" t="n"/>
      <c r="T313" s="314" t="n"/>
      <c r="U313" s="314" t="n"/>
      <c r="V313" s="314" t="n"/>
      <c r="W313" s="314" t="n"/>
      <c r="X313" s="314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90" t="n">
        <v>720000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90" t="n">
        <v>200000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</row>
    <row r="316" ht="15.5" customHeight="1">
      <c r="B316" s="311" t="n"/>
      <c r="C316" s="278" t="n"/>
      <c r="D316" s="315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4" t="n"/>
      <c r="S316" s="314" t="n"/>
      <c r="T316" s="314" t="n"/>
      <c r="U316" s="314" t="n"/>
      <c r="V316" s="314" t="n"/>
      <c r="W316" s="314" t="n"/>
      <c r="X316" s="314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90" t="n">
        <v>6551200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</row>
    <row r="318" ht="15.5" customHeight="1">
      <c r="B318" s="311" t="n"/>
      <c r="C318" s="278" t="n"/>
      <c r="D318" s="315" t="inlineStr">
        <is>
          <t>Logistic</t>
        </is>
      </c>
      <c r="E318" s="318" t="n"/>
      <c r="F318" s="291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4" t="n"/>
      <c r="S318" s="314" t="n"/>
      <c r="T318" s="314" t="n"/>
      <c r="U318" s="314" t="n"/>
      <c r="V318" s="314" t="n"/>
      <c r="W318" s="314" t="n"/>
      <c r="X318" s="314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1" t="n"/>
      <c r="L319" s="280" t="n"/>
      <c r="M319" s="280" t="n"/>
      <c r="N319" s="292" t="n">
        <v>2371000</v>
      </c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</row>
    <row r="320" ht="15.5" customHeight="1">
      <c r="B320" s="311" t="n"/>
      <c r="C320" s="278" t="n"/>
      <c r="D320" s="315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4" t="n"/>
      <c r="S320" s="314" t="n"/>
      <c r="T320" s="314" t="n"/>
      <c r="U320" s="314" t="n"/>
      <c r="V320" s="314" t="n"/>
      <c r="W320" s="314" t="n"/>
      <c r="X320" s="314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90" t="n">
        <v>600000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</row>
    <row r="322" ht="15.5" customHeight="1">
      <c r="B322" s="311" t="n"/>
      <c r="C322" s="342" t="n"/>
      <c r="D322" s="315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4" t="n"/>
      <c r="S322" s="314" t="n"/>
      <c r="T322" s="314" t="n"/>
      <c r="U322" s="314" t="n"/>
      <c r="V322" s="314" t="n"/>
      <c r="W322" s="314" t="n"/>
      <c r="X322" s="314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90" t="n">
        <v>995500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90" t="n">
        <v>273500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90" t="n">
        <v>224000</v>
      </c>
      <c r="K325" s="291" t="n"/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90" t="n">
        <v>2000000</v>
      </c>
      <c r="K326" s="291" t="n"/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90" t="n">
        <v>330000</v>
      </c>
      <c r="K327" s="291" t="n"/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90" t="n">
        <v>270000</v>
      </c>
      <c r="K328" s="291" t="n"/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90" t="n">
        <v>1004000</v>
      </c>
      <c r="K329" s="291" t="n"/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</row>
    <row r="330" ht="15.5" customHeight="1">
      <c r="B330" s="302" t="inlineStr">
        <is>
          <t>Expense#20</t>
        </is>
      </c>
      <c r="C330" s="303" t="inlineStr">
        <is>
          <t>:</t>
        </is>
      </c>
      <c r="D330" s="304" t="inlineStr">
        <is>
          <t>Preparation TIS Petroleum - TMA</t>
        </is>
      </c>
      <c r="E330" s="305" t="n"/>
      <c r="F330" s="306" t="n"/>
      <c r="G330" s="303" t="n"/>
      <c r="H330" s="303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10" t="n"/>
      <c r="S330" s="310" t="n"/>
      <c r="T330" s="310" t="n"/>
      <c r="U330" s="310" t="n"/>
      <c r="V330" s="310" t="n"/>
      <c r="W330" s="310" t="n"/>
      <c r="X330" s="310" t="n"/>
    </row>
    <row r="331" ht="15.5" customHeight="1">
      <c r="B331" s="311" t="n"/>
      <c r="C331" s="278" t="n"/>
      <c r="D331" s="315" t="inlineStr">
        <is>
          <t>Logistic</t>
        </is>
      </c>
      <c r="E331" s="318" t="n"/>
      <c r="F331" s="313" t="n"/>
      <c r="G331" s="278" t="n"/>
      <c r="H331" s="278" t="n"/>
      <c r="I331" s="343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4" t="n"/>
      <c r="S331" s="314" t="n"/>
      <c r="T331" s="314" t="n"/>
      <c r="U331" s="314" t="n"/>
      <c r="V331" s="314" t="n"/>
      <c r="W331" s="314" t="n"/>
      <c r="X331" s="314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1" t="n"/>
      <c r="L332" s="280" t="n"/>
      <c r="M332" s="280" t="n"/>
      <c r="N332" s="292" t="n">
        <v>381960</v>
      </c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1" t="n"/>
      <c r="L333" s="280" t="n"/>
      <c r="M333" s="280" t="n"/>
      <c r="N333" s="292" t="n">
        <v>3595000</v>
      </c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</row>
    <row r="334" ht="15.5" customHeight="1">
      <c r="B334" s="311" t="n"/>
      <c r="C334" s="278" t="n"/>
      <c r="D334" s="315" t="inlineStr">
        <is>
          <t>Transportation</t>
        </is>
      </c>
      <c r="E334" s="318" t="n"/>
      <c r="F334" s="313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4" t="n"/>
      <c r="S334" s="314" t="n"/>
      <c r="T334" s="314" t="n"/>
      <c r="U334" s="314" t="n"/>
      <c r="V334" s="314" t="n"/>
      <c r="W334" s="314" t="n"/>
      <c r="X334" s="314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90" t="n">
        <v>594804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</row>
    <row r="336" ht="15.5" customHeight="1">
      <c r="B336" s="302" t="inlineStr">
        <is>
          <t>Expense#21</t>
        </is>
      </c>
      <c r="C336" s="303" t="inlineStr">
        <is>
          <t>:</t>
        </is>
      </c>
      <c r="D336" s="319" t="inlineStr">
        <is>
          <t>Delivery Tools Sonoecho (KL) - TMA</t>
        </is>
      </c>
      <c r="E336" s="320" t="n"/>
      <c r="F336" s="306" t="n"/>
      <c r="G336" s="303" t="n"/>
      <c r="H336" s="303" t="n"/>
      <c r="I336" s="307" t="n"/>
      <c r="J336" s="308" t="n"/>
      <c r="K336" s="309" t="n"/>
      <c r="L336" s="309" t="n"/>
      <c r="M336" s="309" t="n"/>
      <c r="N336" s="309" t="n"/>
      <c r="O336" s="309" t="n"/>
      <c r="P336" s="309" t="n"/>
      <c r="Q336" s="309" t="n"/>
      <c r="R336" s="310" t="n"/>
      <c r="S336" s="310" t="n"/>
      <c r="T336" s="310" t="n"/>
      <c r="U336" s="310" t="n"/>
      <c r="V336" s="310" t="n"/>
      <c r="W336" s="310" t="n"/>
      <c r="X336" s="310" t="n"/>
    </row>
    <row r="337" ht="15.5" customHeight="1">
      <c r="B337" s="311" t="n"/>
      <c r="C337" s="278" t="n"/>
      <c r="D337" s="315" t="inlineStr">
        <is>
          <t>Accommodation</t>
        </is>
      </c>
      <c r="E337" s="318" t="n"/>
      <c r="F337" s="313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4" t="n"/>
      <c r="S337" s="314" t="n"/>
      <c r="T337" s="314" t="n"/>
      <c r="U337" s="314" t="n"/>
      <c r="V337" s="314" t="n"/>
      <c r="W337" s="314" t="n"/>
      <c r="X337" s="314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90" t="n">
        <v>344305</v>
      </c>
      <c r="K338" s="291" t="n"/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90" t="n">
        <v>34620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</row>
    <row r="340" ht="15.5" customHeight="1">
      <c r="B340" s="311" t="n"/>
      <c r="C340" s="278" t="n"/>
      <c r="D340" s="315" t="inlineStr">
        <is>
          <t>Logistic</t>
        </is>
      </c>
      <c r="E340" s="316" t="n"/>
      <c r="F340" s="313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4" t="n"/>
      <c r="S340" s="314" t="n"/>
      <c r="T340" s="314" t="n"/>
      <c r="U340" s="314" t="n"/>
      <c r="V340" s="314" t="n"/>
      <c r="W340" s="314" t="n"/>
      <c r="X340" s="314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1" t="n"/>
      <c r="L341" s="280" t="n"/>
      <c r="M341" s="280" t="n"/>
      <c r="N341" s="292" t="n">
        <v>9778400</v>
      </c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1" t="n"/>
      <c r="L342" s="280" t="n"/>
      <c r="M342" s="280" t="n"/>
      <c r="N342" s="292" t="n">
        <v>163100</v>
      </c>
      <c r="O342" s="280" t="n"/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</row>
    <row r="343" ht="15.5" customHeight="1">
      <c r="B343" s="279" t="n"/>
      <c r="C343" s="321" t="n"/>
      <c r="D343" s="322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4" t="n"/>
      <c r="S343" s="314" t="n"/>
      <c r="T343" s="314" t="n"/>
      <c r="U343" s="314" t="n"/>
      <c r="V343" s="314" t="n"/>
      <c r="W343" s="314" t="n"/>
      <c r="X343" s="314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90" t="n">
        <v>4912100</v>
      </c>
      <c r="K344" s="291" t="n"/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90" t="n">
        <v>250000</v>
      </c>
      <c r="K345" s="291" t="n"/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90" t="n">
        <v>249264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90" t="n">
        <v>27696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90" t="n">
        <v>283987.86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90" t="n">
        <v>259120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</row>
    <row r="350" ht="15.5" customHeight="1">
      <c r="B350" s="344" t="inlineStr">
        <is>
          <t>Expense#22</t>
        </is>
      </c>
      <c r="C350" s="303" t="inlineStr">
        <is>
          <t>:</t>
        </is>
      </c>
      <c r="D350" s="319" t="inlineStr">
        <is>
          <t>Non project ( MCU ulang )_ IBR</t>
        </is>
      </c>
      <c r="E350" s="325" t="n"/>
      <c r="F350" s="332" t="n"/>
      <c r="G350" s="303" t="n"/>
      <c r="H350" s="303" t="n"/>
      <c r="I350" s="307" t="n"/>
      <c r="J350" s="309" t="n"/>
      <c r="K350" s="309" t="n"/>
      <c r="L350" s="309" t="n"/>
      <c r="M350" s="307" t="n"/>
      <c r="N350" s="309" t="n"/>
      <c r="O350" s="309" t="n"/>
      <c r="P350" s="309" t="n"/>
      <c r="Q350" s="309" t="n"/>
      <c r="R350" s="310" t="n"/>
      <c r="S350" s="310" t="n"/>
      <c r="T350" s="310" t="n"/>
      <c r="U350" s="310" t="n"/>
      <c r="V350" s="310" t="n"/>
      <c r="W350" s="310" t="n"/>
      <c r="X350" s="310" t="n"/>
    </row>
    <row r="351" ht="15.5" customHeight="1">
      <c r="B351" s="311" t="n"/>
      <c r="C351" s="278" t="n"/>
      <c r="D351" s="312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4" t="n"/>
      <c r="S351" s="314" t="n"/>
      <c r="T351" s="314" t="n"/>
      <c r="U351" s="314" t="n"/>
      <c r="V351" s="314" t="n"/>
      <c r="W351" s="314" t="n"/>
      <c r="X351" s="314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1" t="n"/>
      <c r="L352" s="280" t="n"/>
      <c r="M352" s="280" t="n"/>
      <c r="N352" s="280" t="n"/>
      <c r="O352" s="280" t="n"/>
      <c r="P352" s="292" t="n">
        <v>206000</v>
      </c>
      <c r="Q352" s="280" t="n"/>
      <c r="R352" s="285" t="n"/>
      <c r="S352" s="285" t="n"/>
      <c r="T352" s="285" t="n"/>
      <c r="U352" s="285" t="n"/>
      <c r="V352" s="285" t="n"/>
      <c r="W352" s="285" t="n"/>
      <c r="X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1" t="n"/>
      <c r="L353" s="280" t="n"/>
      <c r="M353" s="280" t="n"/>
      <c r="N353" s="280" t="n"/>
      <c r="O353" s="280" t="n"/>
      <c r="P353" s="292" t="n">
        <v>1474000</v>
      </c>
      <c r="Q353" s="280" t="n"/>
      <c r="R353" s="285" t="n"/>
      <c r="S353" s="285" t="n"/>
      <c r="T353" s="285" t="n"/>
      <c r="U353" s="285" t="n"/>
      <c r="V353" s="285" t="n"/>
      <c r="W353" s="285" t="n"/>
      <c r="X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1" t="n"/>
      <c r="L354" s="280" t="n"/>
      <c r="M354" s="280" t="n"/>
      <c r="N354" s="280" t="n"/>
      <c r="O354" s="280" t="n"/>
      <c r="P354" s="292" t="n">
        <v>206000</v>
      </c>
      <c r="Q354" s="280" t="n"/>
      <c r="R354" s="285" t="n"/>
      <c r="S354" s="285" t="n"/>
      <c r="T354" s="285" t="n"/>
      <c r="U354" s="285" t="n"/>
      <c r="V354" s="285" t="n"/>
      <c r="W354" s="285" t="n"/>
      <c r="X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1" t="n"/>
      <c r="L355" s="280" t="n"/>
      <c r="M355" s="280" t="n"/>
      <c r="N355" s="280" t="n"/>
      <c r="O355" s="280" t="n"/>
      <c r="P355" s="292" t="n">
        <v>109000</v>
      </c>
      <c r="Q355" s="280" t="n"/>
      <c r="R355" s="285" t="n"/>
      <c r="S355" s="285" t="n"/>
      <c r="T355" s="285" t="n"/>
      <c r="U355" s="285" t="n"/>
      <c r="V355" s="285" t="n"/>
      <c r="W355" s="285" t="n"/>
      <c r="X355" s="285" t="n"/>
    </row>
    <row r="356" ht="15.5" customHeight="1">
      <c r="B356" s="302" t="inlineStr">
        <is>
          <t>Expense#23</t>
        </is>
      </c>
      <c r="C356" s="303" t="inlineStr">
        <is>
          <t>:</t>
        </is>
      </c>
      <c r="D356" s="304" t="inlineStr">
        <is>
          <t>ALFA job - JRK-163 (Job)_undr Sijak_ DS</t>
        </is>
      </c>
      <c r="E356" s="324" t="n"/>
      <c r="F356" s="332" t="n"/>
      <c r="G356" s="303" t="n"/>
      <c r="H356" s="303" t="n"/>
      <c r="I356" s="307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10" t="n"/>
      <c r="S356" s="310" t="n"/>
      <c r="T356" s="310" t="n"/>
      <c r="U356" s="310" t="n"/>
      <c r="V356" s="310" t="n"/>
      <c r="W356" s="310" t="n"/>
      <c r="X356" s="310" t="n"/>
    </row>
    <row r="357" ht="15.5" customHeight="1">
      <c r="B357" s="311" t="n"/>
      <c r="C357" s="278" t="n"/>
      <c r="D357" s="315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4" t="n"/>
      <c r="S357" s="314" t="n"/>
      <c r="T357" s="314" t="n"/>
      <c r="U357" s="314" t="n"/>
      <c r="V357" s="314" t="n"/>
      <c r="W357" s="314" t="n"/>
      <c r="X357" s="314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90" t="n">
        <v>2160000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</row>
    <row r="359" ht="15.5" customHeight="1">
      <c r="B359" s="311" t="n"/>
      <c r="C359" s="278" t="n"/>
      <c r="D359" s="315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4" t="n"/>
      <c r="S359" s="314" t="n"/>
      <c r="T359" s="314" t="n"/>
      <c r="U359" s="314" t="n"/>
      <c r="V359" s="314" t="n"/>
      <c r="W359" s="314" t="n"/>
      <c r="X359" s="314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90" t="n">
        <v>1050000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90" t="n">
        <v>700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</row>
    <row r="362" ht="15.5" customHeight="1">
      <c r="B362" s="311" t="n"/>
      <c r="C362" s="278" t="n"/>
      <c r="D362" s="315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4" t="n"/>
      <c r="S362" s="314" t="n"/>
      <c r="T362" s="314" t="n"/>
      <c r="U362" s="314" t="n"/>
      <c r="V362" s="314" t="n"/>
      <c r="W362" s="314" t="n"/>
      <c r="X362" s="314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90" t="n">
        <v>350000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</row>
    <row r="364" ht="15.5" customHeight="1">
      <c r="B364" s="311" t="n"/>
      <c r="C364" s="278" t="n"/>
      <c r="D364" s="315" t="inlineStr">
        <is>
          <t>Operation</t>
        </is>
      </c>
      <c r="E364" s="316" t="n"/>
      <c r="F364" s="281" t="n"/>
      <c r="G364" s="278" t="n"/>
      <c r="H364" s="278" t="n"/>
      <c r="I364" s="343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4" t="n"/>
      <c r="S364" s="314" t="n"/>
      <c r="T364" s="314" t="n"/>
      <c r="U364" s="314" t="n"/>
      <c r="V364" s="314" t="n"/>
      <c r="W364" s="314" t="n"/>
      <c r="X364" s="314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1" t="n"/>
      <c r="L365" s="280" t="n"/>
      <c r="M365" s="280" t="n"/>
      <c r="N365" s="292" t="n">
        <v>70000</v>
      </c>
      <c r="O365" s="280" t="n"/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1" t="n"/>
      <c r="L366" s="280" t="n"/>
      <c r="M366" s="280" t="n"/>
      <c r="N366" s="292" t="n">
        <v>195000</v>
      </c>
      <c r="O366" s="280" t="n"/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1" t="n"/>
      <c r="L367" s="280" t="n"/>
      <c r="M367" s="280" t="n"/>
      <c r="N367" s="292" t="n">
        <v>38900</v>
      </c>
      <c r="O367" s="280" t="n"/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</row>
    <row r="368" ht="15.5" customHeight="1">
      <c r="B368" s="311" t="n"/>
      <c r="C368" s="278" t="n"/>
      <c r="D368" s="315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4" t="n"/>
      <c r="S368" s="314" t="n"/>
      <c r="T368" s="314" t="n"/>
      <c r="U368" s="314" t="n"/>
      <c r="V368" s="314" t="n"/>
      <c r="W368" s="314" t="n"/>
      <c r="X368" s="314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90" t="n">
        <v>985367</v>
      </c>
      <c r="K369" s="291" t="n"/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90" t="n">
        <v>225520</v>
      </c>
      <c r="K370" s="291" t="n"/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90" t="n">
        <v>292060</v>
      </c>
      <c r="K371" s="291" t="n"/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90" t="n">
        <v>400000</v>
      </c>
      <c r="K372" s="291" t="n"/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90" t="n">
        <v>190430</v>
      </c>
      <c r="K373" s="291" t="n"/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90" t="n">
        <v>1175717</v>
      </c>
      <c r="K374" s="291" t="n"/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90" t="n">
        <v>262000</v>
      </c>
      <c r="K375" s="291" t="n"/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90" t="n">
        <v>235000</v>
      </c>
      <c r="K376" s="291" t="n"/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90" t="n">
        <v>3500000</v>
      </c>
      <c r="K377" s="291" t="n"/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</row>
    <row r="378" ht="15.5" customHeight="1">
      <c r="B378" s="302" t="inlineStr">
        <is>
          <t>Expense#24</t>
        </is>
      </c>
      <c r="C378" s="303" t="inlineStr">
        <is>
          <t>:</t>
        </is>
      </c>
      <c r="D378" s="304" t="inlineStr">
        <is>
          <t>ALFA JOB - JRK 163 (training 2nd_ IBR)</t>
        </is>
      </c>
      <c r="E378" s="324" t="n"/>
      <c r="F378" s="332" t="n"/>
      <c r="G378" s="303" t="n"/>
      <c r="H378" s="303" t="n"/>
      <c r="I378" s="308" t="n"/>
      <c r="J378" s="309" t="n"/>
      <c r="K378" s="309" t="n"/>
      <c r="L378" s="309" t="n"/>
      <c r="M378" s="307" t="n"/>
      <c r="N378" s="309" t="n"/>
      <c r="O378" s="309" t="n"/>
      <c r="P378" s="309" t="n"/>
      <c r="Q378" s="309" t="n"/>
      <c r="R378" s="310" t="n"/>
      <c r="S378" s="310" t="n"/>
      <c r="T378" s="310" t="n"/>
      <c r="U378" s="310" t="n"/>
      <c r="V378" s="310" t="n"/>
      <c r="W378" s="310" t="n"/>
      <c r="X378" s="310" t="n"/>
    </row>
    <row r="379" ht="15.5" customHeight="1">
      <c r="B379" s="311" t="n"/>
      <c r="C379" s="278" t="n"/>
      <c r="D379" s="315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4" t="n"/>
      <c r="S379" s="314" t="n"/>
      <c r="T379" s="314" t="n"/>
      <c r="U379" s="314" t="n"/>
      <c r="V379" s="314" t="n"/>
      <c r="W379" s="314" t="n"/>
      <c r="X379" s="314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90" t="n">
        <v>600000</v>
      </c>
      <c r="K380" s="291" t="n"/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90" t="n">
        <v>200000</v>
      </c>
      <c r="K381" s="291" t="n"/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90" t="n">
        <v>1630000</v>
      </c>
      <c r="K382" s="291" t="n"/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90" t="n">
        <v>1050000</v>
      </c>
      <c r="K383" s="291" t="n"/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90" t="n">
        <v>350000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90" t="n">
        <v>2852500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</row>
    <row r="386" ht="15.5" customHeight="1">
      <c r="B386" s="302" t="inlineStr">
        <is>
          <t>Expense#25</t>
        </is>
      </c>
      <c r="C386" s="303" t="inlineStr">
        <is>
          <t>:</t>
        </is>
      </c>
      <c r="D386" s="304" t="inlineStr">
        <is>
          <t>TIS-Blora Field-PLT ALFA BHS by BARIKIN - IC</t>
        </is>
      </c>
      <c r="E386" s="305" t="n"/>
      <c r="F386" s="306" t="n"/>
      <c r="G386" s="303" t="n"/>
      <c r="H386" s="303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10" t="n"/>
      <c r="S386" s="310" t="n"/>
      <c r="T386" s="310" t="n"/>
      <c r="U386" s="310" t="n"/>
      <c r="V386" s="310" t="n"/>
      <c r="W386" s="310" t="n"/>
      <c r="X386" s="310" t="n"/>
    </row>
    <row r="387" ht="15.5" customHeight="1">
      <c r="B387" s="311" t="n"/>
      <c r="C387" s="278" t="n"/>
      <c r="D387" s="315" t="inlineStr">
        <is>
          <t>Allowance</t>
        </is>
      </c>
      <c r="E387" s="318" t="n"/>
      <c r="F387" s="313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4" t="n"/>
      <c r="S387" s="314" t="n"/>
      <c r="T387" s="314" t="n"/>
      <c r="U387" s="314" t="n"/>
      <c r="V387" s="314" t="n"/>
      <c r="W387" s="314" t="n"/>
      <c r="X387" s="314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90" t="n">
        <v>16100000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</row>
    <row r="389" ht="15.5" customHeight="1">
      <c r="B389" s="311" t="n"/>
      <c r="C389" s="278" t="n"/>
      <c r="D389" s="315" t="inlineStr">
        <is>
          <t>Laundry</t>
        </is>
      </c>
      <c r="E389" s="318" t="n"/>
      <c r="F389" s="313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4" t="n"/>
      <c r="S389" s="314" t="n"/>
      <c r="T389" s="314" t="n"/>
      <c r="U389" s="314" t="n"/>
      <c r="V389" s="314" t="n"/>
      <c r="W389" s="314" t="n"/>
      <c r="X389" s="314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90" t="n">
        <v>500000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</row>
    <row r="391" ht="15.5" customHeight="1">
      <c r="B391" s="311" t="n"/>
      <c r="C391" s="278" t="n"/>
      <c r="D391" s="315" t="inlineStr">
        <is>
          <t>Logistic</t>
        </is>
      </c>
      <c r="E391" s="318" t="n"/>
      <c r="F391" s="313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4" t="n"/>
      <c r="S391" s="314" t="n"/>
      <c r="T391" s="314" t="n"/>
      <c r="U391" s="314" t="n"/>
      <c r="V391" s="314" t="n"/>
      <c r="W391" s="314" t="n"/>
      <c r="X391" s="314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1" t="n"/>
      <c r="L392" s="280" t="n"/>
      <c r="M392" s="280" t="n"/>
      <c r="N392" s="292" t="n">
        <v>15166600</v>
      </c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</row>
    <row r="393" ht="15.5" customHeight="1">
      <c r="B393" s="277" t="n"/>
      <c r="C393" s="278" t="n"/>
      <c r="D393" s="312" t="inlineStr">
        <is>
          <t>Meal</t>
        </is>
      </c>
      <c r="E393" s="317" t="n"/>
      <c r="F393" s="313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4" t="n"/>
      <c r="S393" s="314" t="n"/>
      <c r="T393" s="314" t="n"/>
      <c r="U393" s="314" t="n"/>
      <c r="V393" s="314" t="n"/>
      <c r="W393" s="314" t="n"/>
      <c r="X393" s="314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90" t="n">
        <v>1500000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</row>
    <row r="395" ht="15.5" customHeight="1">
      <c r="B395" s="302" t="inlineStr">
        <is>
          <t>Expense#26</t>
        </is>
      </c>
      <c r="C395" s="303" t="inlineStr">
        <is>
          <t>:</t>
        </is>
      </c>
      <c r="D395" s="319" t="inlineStr">
        <is>
          <t>ALFA-MPLT-BHS_ RBG 3B PT. TIS under Barikin sakti _DS</t>
        </is>
      </c>
      <c r="E395" s="325" t="n"/>
      <c r="F395" s="306" t="n"/>
      <c r="G395" s="303" t="n"/>
      <c r="H395" s="303" t="n"/>
      <c r="I395" s="309" t="n"/>
      <c r="J395" s="309" t="n"/>
      <c r="K395" s="309" t="n"/>
      <c r="L395" s="309" t="n"/>
      <c r="M395" s="308" t="n"/>
      <c r="N395" s="309" t="n"/>
      <c r="O395" s="309" t="n"/>
      <c r="P395" s="309" t="n"/>
      <c r="Q395" s="309" t="n"/>
      <c r="R395" s="310" t="n"/>
      <c r="S395" s="310" t="n"/>
      <c r="T395" s="310" t="n"/>
      <c r="U395" s="310" t="n"/>
      <c r="V395" s="310" t="n"/>
      <c r="W395" s="310" t="n"/>
      <c r="X395" s="310" t="n"/>
    </row>
    <row r="396" ht="15.5" customHeight="1">
      <c r="B396" s="331" t="n"/>
      <c r="C396" s="278" t="n"/>
      <c r="D396" s="315" t="inlineStr">
        <is>
          <t>Accommodation</t>
        </is>
      </c>
      <c r="E396" s="318" t="n"/>
      <c r="F396" s="313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4" t="n"/>
      <c r="S396" s="314" t="n"/>
      <c r="T396" s="314" t="n"/>
      <c r="U396" s="314" t="n"/>
      <c r="V396" s="314" t="n"/>
      <c r="W396" s="314" t="n"/>
      <c r="X396" s="314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90" t="n">
        <v>1591200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90" t="n">
        <v>795600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</row>
    <row r="399" ht="15.5" customHeight="1">
      <c r="B399" s="311" t="n"/>
      <c r="C399" s="278" t="n"/>
      <c r="D399" s="315" t="inlineStr">
        <is>
          <t>Allowance</t>
        </is>
      </c>
      <c r="E399" s="316" t="n"/>
      <c r="F399" s="313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4" t="n"/>
      <c r="S399" s="314" t="n"/>
      <c r="T399" s="314" t="n"/>
      <c r="U399" s="314" t="n"/>
      <c r="V399" s="314" t="n"/>
      <c r="W399" s="314" t="n"/>
      <c r="X399" s="314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90" t="n">
        <v>750000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90" t="n">
        <v>500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</row>
    <row r="402" ht="15.5" customHeight="1">
      <c r="B402" s="311" t="n"/>
      <c r="C402" s="278" t="n"/>
      <c r="D402" s="315" t="inlineStr">
        <is>
          <t>Laundry</t>
        </is>
      </c>
      <c r="E402" s="316" t="n"/>
      <c r="F402" s="313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4" t="n"/>
      <c r="S402" s="314" t="n"/>
      <c r="T402" s="314" t="n"/>
      <c r="U402" s="314" t="n"/>
      <c r="V402" s="314" t="n"/>
      <c r="W402" s="314" t="n"/>
      <c r="X402" s="314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90" t="n">
        <v>250000</v>
      </c>
      <c r="K403" s="291" t="n"/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</row>
    <row r="404" ht="15.5" customHeight="1">
      <c r="B404" s="311" t="n"/>
      <c r="C404" s="278" t="n"/>
      <c r="D404" s="315" t="inlineStr">
        <is>
          <t>Transportation</t>
        </is>
      </c>
      <c r="E404" s="316" t="n"/>
      <c r="F404" s="313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4" t="n"/>
      <c r="S404" s="314" t="n"/>
      <c r="T404" s="314" t="n"/>
      <c r="U404" s="314" t="n"/>
      <c r="V404" s="314" t="n"/>
      <c r="W404" s="314" t="n"/>
      <c r="X404" s="314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90" t="n">
        <v>673500</v>
      </c>
      <c r="K405" s="291" t="n"/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90" t="n">
        <v>154000</v>
      </c>
      <c r="K406" s="291" t="n"/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90" t="n">
        <v>129000</v>
      </c>
      <c r="K407" s="291" t="n"/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90" t="n">
        <v>45000</v>
      </c>
      <c r="K408" s="291" t="n"/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</row>
    <row r="409" ht="15.5" customHeight="1">
      <c r="B409" s="344" t="inlineStr">
        <is>
          <t>Expense#27</t>
        </is>
      </c>
      <c r="C409" s="303" t="inlineStr">
        <is>
          <t>:</t>
        </is>
      </c>
      <c r="D409" s="319" t="inlineStr">
        <is>
          <t>Non tripo 1st -- MCU + Pembelian barang kelengkapan pump AC</t>
        </is>
      </c>
      <c r="E409" s="309" t="n"/>
      <c r="F409" s="332" t="n"/>
      <c r="G409" s="303" t="n"/>
      <c r="H409" s="303" t="n"/>
      <c r="I409" s="309" t="n"/>
      <c r="J409" s="309" t="n"/>
      <c r="K409" s="309" t="n"/>
      <c r="L409" s="309" t="n"/>
      <c r="M409" s="307" t="n"/>
      <c r="N409" s="309" t="n"/>
      <c r="O409" s="309" t="n"/>
      <c r="P409" s="309" t="n"/>
      <c r="Q409" s="309" t="n"/>
      <c r="R409" s="310" t="n"/>
      <c r="S409" s="310" t="n"/>
      <c r="T409" s="310" t="n"/>
      <c r="U409" s="310" t="n"/>
      <c r="V409" s="310" t="n"/>
      <c r="W409" s="310" t="n"/>
      <c r="X409" s="310" t="n"/>
    </row>
    <row r="410" ht="15.5" customHeight="1">
      <c r="B410" s="277" t="n"/>
      <c r="C410" s="278" t="n"/>
      <c r="D410" s="312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4" t="n"/>
      <c r="S410" s="314" t="n"/>
      <c r="T410" s="314" t="n"/>
      <c r="U410" s="314" t="n"/>
      <c r="V410" s="314" t="n"/>
      <c r="W410" s="314" t="n"/>
      <c r="X410" s="314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1" t="n"/>
      <c r="L411" s="280" t="n"/>
      <c r="M411" s="280" t="n"/>
      <c r="N411" s="292" t="n">
        <v>75000</v>
      </c>
      <c r="O411" s="280" t="n"/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1" t="n"/>
      <c r="L412" s="280" t="n"/>
      <c r="M412" s="280" t="n"/>
      <c r="N412" s="292" t="n">
        <v>133000</v>
      </c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1" t="n"/>
      <c r="L413" s="280" t="n"/>
      <c r="M413" s="280" t="n"/>
      <c r="N413" s="292" t="n">
        <v>700000</v>
      </c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1" t="n"/>
      <c r="L414" s="280" t="n"/>
      <c r="M414" s="280" t="n"/>
      <c r="N414" s="292" t="n">
        <v>20000</v>
      </c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1" t="n"/>
      <c r="L415" s="280" t="n"/>
      <c r="M415" s="280" t="n"/>
      <c r="N415" s="292" t="n">
        <v>155000</v>
      </c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1" t="n"/>
      <c r="L416" s="280" t="n"/>
      <c r="M416" s="280" t="n"/>
      <c r="N416" s="292" t="n">
        <v>660000</v>
      </c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1" t="n"/>
      <c r="L417" s="280" t="n"/>
      <c r="M417" s="280" t="n"/>
      <c r="N417" s="292" t="n">
        <v>1760000</v>
      </c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1" t="n"/>
      <c r="L418" s="280" t="n"/>
      <c r="M418" s="280" t="n"/>
      <c r="N418" s="292" t="n">
        <v>2636800</v>
      </c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</row>
    <row r="419" ht="15.5" customHeight="1">
      <c r="B419" s="311" t="n"/>
      <c r="C419" s="278" t="n"/>
      <c r="D419" s="315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4" t="n"/>
      <c r="S419" s="314" t="n"/>
      <c r="T419" s="314" t="n"/>
      <c r="U419" s="314" t="n"/>
      <c r="V419" s="314" t="n"/>
      <c r="W419" s="314" t="n"/>
      <c r="X419" s="314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90" t="n">
        <v>144100</v>
      </c>
      <c r="K420" s="291" t="n"/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90" t="n">
        <v>157000</v>
      </c>
      <c r="K421" s="291" t="n"/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90" t="n">
        <v>81000</v>
      </c>
      <c r="K422" s="291" t="n"/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</row>
    <row r="423" ht="15.5" customHeight="1">
      <c r="B423" s="277" t="n"/>
      <c r="C423" s="278" t="n"/>
      <c r="D423" s="315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4" t="n"/>
      <c r="S423" s="314" t="n"/>
      <c r="T423" s="314" t="n"/>
      <c r="U423" s="314" t="n"/>
      <c r="V423" s="314" t="n"/>
      <c r="W423" s="314" t="n"/>
      <c r="X423" s="314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1" t="n"/>
      <c r="L424" s="280" t="n"/>
      <c r="M424" s="280" t="n"/>
      <c r="N424" s="280" t="n"/>
      <c r="O424" s="280" t="n"/>
      <c r="P424" s="292" t="n">
        <v>5630000</v>
      </c>
      <c r="Q424" s="280" t="n"/>
      <c r="R424" s="285" t="n"/>
      <c r="S424" s="285" t="n"/>
      <c r="T424" s="285" t="n"/>
      <c r="U424" s="285" t="n"/>
      <c r="V424" s="285" t="n"/>
      <c r="W424" s="285" t="n"/>
      <c r="X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1" t="n"/>
      <c r="L425" s="280" t="n"/>
      <c r="M425" s="280" t="n"/>
      <c r="N425" s="280" t="n"/>
      <c r="O425" s="280" t="n"/>
      <c r="P425" s="292" t="n">
        <v>460000</v>
      </c>
      <c r="Q425" s="280" t="n"/>
      <c r="R425" s="285" t="n"/>
      <c r="S425" s="285" t="n"/>
      <c r="T425" s="285" t="n"/>
      <c r="U425" s="285" t="n"/>
      <c r="V425" s="285" t="n"/>
      <c r="W425" s="285" t="n"/>
      <c r="X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1" t="n"/>
      <c r="L426" s="280" t="n"/>
      <c r="M426" s="280" t="n"/>
      <c r="N426" s="280" t="n"/>
      <c r="O426" s="280" t="n"/>
      <c r="P426" s="292" t="n">
        <v>2108000</v>
      </c>
      <c r="Q426" s="280" t="n"/>
      <c r="R426" s="285" t="n"/>
      <c r="S426" s="285" t="n"/>
      <c r="T426" s="285" t="n"/>
      <c r="U426" s="285" t="n"/>
      <c r="V426" s="285" t="n"/>
      <c r="W426" s="285" t="n"/>
      <c r="X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1" t="n"/>
      <c r="L427" s="280" t="n"/>
      <c r="M427" s="280" t="n"/>
      <c r="N427" s="280" t="n"/>
      <c r="O427" s="280" t="n"/>
      <c r="P427" s="292" t="n">
        <v>285000</v>
      </c>
      <c r="Q427" s="280" t="n"/>
      <c r="R427" s="285" t="n"/>
      <c r="S427" s="285" t="n"/>
      <c r="T427" s="285" t="n"/>
      <c r="U427" s="285" t="n"/>
      <c r="V427" s="285" t="n"/>
      <c r="W427" s="285" t="n"/>
      <c r="X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1" t="n"/>
      <c r="L428" s="280" t="n"/>
      <c r="M428" s="280" t="n"/>
      <c r="N428" s="280" t="n"/>
      <c r="O428" s="280" t="n"/>
      <c r="P428" s="292" t="n">
        <v>149850</v>
      </c>
      <c r="Q428" s="280" t="n"/>
      <c r="R428" s="285" t="n"/>
      <c r="S428" s="285" t="n"/>
      <c r="T428" s="285" t="n"/>
      <c r="U428" s="285" t="n"/>
      <c r="V428" s="285" t="n"/>
      <c r="W428" s="285" t="n"/>
      <c r="X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1" t="n"/>
      <c r="L429" s="280" t="n"/>
      <c r="M429" s="280" t="n"/>
      <c r="N429" s="280" t="n"/>
      <c r="O429" s="280" t="n"/>
      <c r="P429" s="292" t="n">
        <v>285000</v>
      </c>
      <c r="Q429" s="280" t="n"/>
      <c r="R429" s="285" t="n"/>
      <c r="S429" s="285" t="n"/>
      <c r="T429" s="285" t="n"/>
      <c r="U429" s="285" t="n"/>
      <c r="V429" s="285" t="n"/>
      <c r="W429" s="285" t="n"/>
      <c r="X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1" t="n"/>
      <c r="L430" s="280" t="n"/>
      <c r="M430" s="280" t="n"/>
      <c r="N430" s="280" t="n"/>
      <c r="O430" s="280" t="n"/>
      <c r="P430" s="292" t="n">
        <v>285000</v>
      </c>
      <c r="Q430" s="280" t="n"/>
      <c r="R430" s="285" t="n"/>
      <c r="S430" s="285" t="n"/>
      <c r="T430" s="285" t="n"/>
      <c r="U430" s="285" t="n"/>
      <c r="V430" s="285" t="n"/>
      <c r="W430" s="285" t="n"/>
      <c r="X430" s="285" t="n"/>
    </row>
    <row r="431" ht="15.5" customHeight="1">
      <c r="B431" s="277" t="n"/>
      <c r="C431" s="278" t="n"/>
      <c r="D431" s="315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4" t="n"/>
      <c r="S431" s="314" t="n"/>
      <c r="T431" s="314" t="n"/>
      <c r="U431" s="314" t="n"/>
      <c r="V431" s="314" t="n"/>
      <c r="W431" s="314" t="n"/>
      <c r="X431" s="314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90" t="n">
        <v>164100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90" t="n">
        <v>291000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90" t="n">
        <v>177350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90" t="n">
        <v>319700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90" t="n">
        <v>217350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</row>
    <row r="437" ht="15.5" customHeight="1">
      <c r="B437" s="344" t="inlineStr">
        <is>
          <t>Expense#28</t>
        </is>
      </c>
      <c r="C437" s="303" t="inlineStr">
        <is>
          <t>:</t>
        </is>
      </c>
      <c r="D437" s="304" t="inlineStr">
        <is>
          <t>ALFA-MPLT-Sampler project TIS Energy Blora_well RBG-3B by Barekin Sakti- AC</t>
        </is>
      </c>
      <c r="E437" s="324" t="n"/>
      <c r="F437" s="332" t="n"/>
      <c r="G437" s="303" t="n"/>
      <c r="H437" s="303" t="n"/>
      <c r="I437" s="308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10" t="n"/>
      <c r="S437" s="310" t="n"/>
      <c r="T437" s="310" t="n"/>
      <c r="U437" s="310" t="n"/>
      <c r="V437" s="310" t="n"/>
      <c r="W437" s="310" t="n"/>
      <c r="X437" s="310" t="n"/>
    </row>
    <row r="438" ht="15.5" customHeight="1">
      <c r="B438" s="279" t="n"/>
      <c r="C438" s="321" t="n"/>
      <c r="D438" s="322" t="inlineStr">
        <is>
          <t>Accommodation</t>
        </is>
      </c>
      <c r="E438" s="323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4" t="n"/>
      <c r="S438" s="314" t="n"/>
      <c r="T438" s="314" t="n"/>
      <c r="U438" s="314" t="n"/>
      <c r="V438" s="314" t="n"/>
      <c r="W438" s="314" t="n"/>
      <c r="X438" s="314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90" t="n">
        <v>2700000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90" t="n">
        <v>500000</v>
      </c>
      <c r="K440" s="291" t="n"/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</row>
    <row r="441" ht="15.5" customHeight="1">
      <c r="B441" s="311" t="n"/>
      <c r="C441" s="278" t="n"/>
      <c r="D441" s="315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4" t="n"/>
      <c r="S441" s="314" t="n"/>
      <c r="T441" s="314" t="n"/>
      <c r="U441" s="314" t="n"/>
      <c r="V441" s="314" t="n"/>
      <c r="W441" s="314" t="n"/>
      <c r="X441" s="314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90" t="n">
        <v>1500000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90" t="n">
        <v>16100000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</row>
    <row r="444" ht="15.5" customHeight="1">
      <c r="B444" s="311" t="n"/>
      <c r="C444" s="278" t="n"/>
      <c r="D444" s="315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4" t="n"/>
      <c r="S444" s="314" t="n"/>
      <c r="T444" s="314" t="n"/>
      <c r="U444" s="314" t="n"/>
      <c r="V444" s="314" t="n"/>
      <c r="W444" s="314" t="n"/>
      <c r="X444" s="314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90" t="n">
        <v>98000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1" t="n"/>
      <c r="L446" s="280" t="n"/>
      <c r="M446" s="280" t="n"/>
      <c r="N446" s="280" t="n"/>
      <c r="O446" s="280" t="n"/>
      <c r="P446" s="292" t="n">
        <v>34200</v>
      </c>
      <c r="Q446" s="280" t="n"/>
      <c r="R446" s="285" t="n"/>
      <c r="S446" s="285" t="n"/>
      <c r="T446" s="285" t="n"/>
      <c r="U446" s="285" t="n"/>
      <c r="V446" s="285" t="n"/>
      <c r="W446" s="285" t="n"/>
      <c r="X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90" t="n">
        <v>199900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90" t="n">
        <v>69000</v>
      </c>
      <c r="K448" s="291" t="n"/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1" t="n"/>
      <c r="L449" s="280" t="n"/>
      <c r="M449" s="280" t="n"/>
      <c r="N449" s="292" t="n">
        <v>65000</v>
      </c>
      <c r="O449" s="280" t="n"/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90" t="n">
        <v>109800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90" t="n">
        <v>96600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90" t="n">
        <v>56600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1" t="n"/>
      <c r="L453" s="280" t="n"/>
      <c r="M453" s="280" t="n"/>
      <c r="N453" s="292" t="n">
        <v>72500</v>
      </c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1" t="n"/>
      <c r="L454" s="280" t="n"/>
      <c r="M454" s="280" t="n"/>
      <c r="N454" s="292" t="n">
        <v>400000</v>
      </c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1" t="n"/>
      <c r="L455" s="280" t="n"/>
      <c r="M455" s="280" t="n"/>
      <c r="N455" s="292" t="n">
        <v>60000</v>
      </c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90" t="n">
        <v>118100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</row>
    <row r="457" ht="15.5" customHeight="1">
      <c r="B457" s="311" t="n"/>
      <c r="C457" s="278" t="n"/>
      <c r="D457" s="315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4" t="n"/>
      <c r="S457" s="314" t="n"/>
      <c r="T457" s="314" t="n"/>
      <c r="U457" s="314" t="n"/>
      <c r="V457" s="314" t="n"/>
      <c r="W457" s="314" t="n"/>
      <c r="X457" s="314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90" t="n">
        <v>275000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90" t="n">
        <v>157000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90" t="n">
        <v>80000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90" t="n">
        <v>270350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90" t="n">
        <v>401000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</row>
    <row r="463" ht="15.5" customHeight="1">
      <c r="B463" s="311" t="n"/>
      <c r="C463" s="278" t="n"/>
      <c r="D463" s="315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4" t="n"/>
      <c r="S463" s="314" t="n"/>
      <c r="T463" s="314" t="n"/>
      <c r="U463" s="314" t="n"/>
      <c r="V463" s="314" t="n"/>
      <c r="W463" s="314" t="n"/>
      <c r="X463" s="314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90" t="n">
        <v>483000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90" t="n">
        <v>11000000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90" t="n">
        <v>496000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</row>
    <row r="467" ht="15.5" customHeight="1">
      <c r="B467" s="302" t="inlineStr">
        <is>
          <t>Expense#29</t>
        </is>
      </c>
      <c r="C467" s="303" t="inlineStr">
        <is>
          <t>:</t>
        </is>
      </c>
      <c r="D467" s="304" t="inlineStr">
        <is>
          <t>ALFA-MPLT-BHS_ RBG 3B PT. TIS under Barikin sakti _TMA</t>
        </is>
      </c>
      <c r="E467" s="305" t="n"/>
      <c r="F467" s="332" t="n"/>
      <c r="G467" s="303" t="n"/>
      <c r="H467" s="303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10" t="n"/>
      <c r="S467" s="310" t="n"/>
      <c r="T467" s="310" t="n"/>
      <c r="U467" s="310" t="n"/>
      <c r="V467" s="310" t="n"/>
      <c r="W467" s="310" t="n"/>
      <c r="X467" s="310" t="n"/>
    </row>
    <row r="468" ht="15.5" customHeight="1">
      <c r="B468" s="311" t="n"/>
      <c r="C468" s="278" t="n"/>
      <c r="D468" s="315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4" t="n"/>
      <c r="S468" s="314" t="n"/>
      <c r="T468" s="314" t="n"/>
      <c r="U468" s="314" t="n"/>
      <c r="V468" s="314" t="n"/>
      <c r="W468" s="314" t="n"/>
      <c r="X468" s="314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90" t="n">
        <v>159682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90" t="n">
        <v>500000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</row>
    <row r="471" ht="15.5" customHeight="1">
      <c r="B471" s="311" t="n"/>
      <c r="C471" s="278" t="n"/>
      <c r="D471" s="315" t="inlineStr">
        <is>
          <t>Allowance</t>
        </is>
      </c>
      <c r="E471" s="318" t="n"/>
      <c r="F471" s="313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4" t="n"/>
      <c r="S471" s="314" t="n"/>
      <c r="T471" s="314" t="n"/>
      <c r="U471" s="314" t="n"/>
      <c r="V471" s="314" t="n"/>
      <c r="W471" s="314" t="n"/>
      <c r="X471" s="314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90" t="n">
        <v>15513000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</row>
    <row r="473" ht="15.5" customHeight="1">
      <c r="B473" s="311" t="n"/>
      <c r="C473" s="278" t="n"/>
      <c r="D473" s="315" t="inlineStr">
        <is>
          <t>Meal</t>
        </is>
      </c>
      <c r="E473" s="316" t="n"/>
      <c r="F473" s="313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4" t="n"/>
      <c r="S473" s="314" t="n"/>
      <c r="T473" s="314" t="n"/>
      <c r="U473" s="314" t="n"/>
      <c r="V473" s="314" t="n"/>
      <c r="W473" s="314" t="n"/>
      <c r="X473" s="314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90" t="n">
        <v>263200</v>
      </c>
      <c r="K474" s="291" t="n"/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90" t="n">
        <v>1500000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</row>
    <row r="476" ht="15.5" customHeight="1">
      <c r="B476" s="311" t="n"/>
      <c r="C476" s="278" t="n"/>
      <c r="D476" s="315" t="inlineStr">
        <is>
          <t>Operation</t>
        </is>
      </c>
      <c r="E476" s="318" t="n"/>
      <c r="F476" s="313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4" t="n"/>
      <c r="S476" s="314" t="n"/>
      <c r="T476" s="314" t="n"/>
      <c r="U476" s="314" t="n"/>
      <c r="V476" s="314" t="n"/>
      <c r="W476" s="314" t="n"/>
      <c r="X476" s="314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1" t="n"/>
      <c r="L477" s="280" t="n"/>
      <c r="M477" s="280" t="n"/>
      <c r="N477" s="292" t="n">
        <v>144900</v>
      </c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</row>
    <row r="478" ht="15.5" customHeight="1">
      <c r="B478" s="311" t="n"/>
      <c r="C478" s="278" t="n"/>
      <c r="D478" s="315" t="inlineStr">
        <is>
          <t>Transportation</t>
        </is>
      </c>
      <c r="E478" s="318" t="n"/>
      <c r="F478" s="313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4" t="n"/>
      <c r="S478" s="314" t="n"/>
      <c r="T478" s="314" t="n"/>
      <c r="U478" s="314" t="n"/>
      <c r="V478" s="314" t="n"/>
      <c r="W478" s="314" t="n"/>
      <c r="X478" s="314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90" t="n">
        <v>276500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90" t="n">
        <v>63568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90" t="n">
        <v>161885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</row>
    <row r="482" ht="15.5" customHeight="1">
      <c r="B482" s="302" t="inlineStr">
        <is>
          <t>Expense#30</t>
        </is>
      </c>
      <c r="C482" s="303" t="inlineStr">
        <is>
          <t>:</t>
        </is>
      </c>
      <c r="D482" s="304" t="inlineStr">
        <is>
          <t>ALFA JOB - PMB 009 (cancel job) - IBR</t>
        </is>
      </c>
      <c r="E482" s="324" t="n"/>
      <c r="F482" s="306" t="n"/>
      <c r="G482" s="303" t="n"/>
      <c r="H482" s="303" t="n"/>
      <c r="I482" s="308" t="n"/>
      <c r="J482" s="309" t="n"/>
      <c r="K482" s="309" t="n"/>
      <c r="L482" s="309" t="n"/>
      <c r="M482" s="309" t="n"/>
      <c r="N482" s="307" t="n"/>
      <c r="O482" s="309" t="n"/>
      <c r="P482" s="309" t="n"/>
      <c r="Q482" s="309" t="n"/>
      <c r="R482" s="310" t="n"/>
      <c r="S482" s="310" t="n"/>
      <c r="T482" s="310" t="n"/>
      <c r="U482" s="310" t="n"/>
      <c r="V482" s="310" t="n"/>
      <c r="W482" s="310" t="n"/>
      <c r="X482" s="310" t="n"/>
    </row>
    <row r="483" ht="15.5" customHeight="1">
      <c r="B483" s="311" t="n"/>
      <c r="C483" s="342" t="n"/>
      <c r="D483" s="315" t="inlineStr">
        <is>
          <t>Allowance</t>
        </is>
      </c>
      <c r="E483" s="316" t="n"/>
      <c r="F483" s="313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4" t="n"/>
      <c r="S483" s="314" t="n"/>
      <c r="T483" s="314" t="n"/>
      <c r="U483" s="314" t="n"/>
      <c r="V483" s="314" t="n"/>
      <c r="W483" s="314" t="n"/>
      <c r="X483" s="314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90" t="n">
        <v>900000</v>
      </c>
      <c r="K484" s="291" t="n"/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90" t="n">
        <v>300000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90" t="n">
        <v>2317500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</row>
    <row r="487" ht="15.5" customHeight="1">
      <c r="B487" s="302" t="inlineStr">
        <is>
          <t>Expense#31</t>
        </is>
      </c>
      <c r="C487" s="303" t="inlineStr">
        <is>
          <t>:</t>
        </is>
      </c>
      <c r="D487" s="304" t="inlineStr">
        <is>
          <t>ALFA PMB-009 (Cancel)_ TMA</t>
        </is>
      </c>
      <c r="E487" s="324" t="n"/>
      <c r="F487" s="332" t="n"/>
      <c r="G487" s="303" t="n"/>
      <c r="H487" s="303" t="n"/>
      <c r="I487" s="308" t="n"/>
      <c r="J487" s="309" t="n"/>
      <c r="K487" s="309" t="n"/>
      <c r="L487" s="309" t="n"/>
      <c r="M487" s="309" t="n"/>
      <c r="N487" s="307" t="n"/>
      <c r="O487" s="309" t="n"/>
      <c r="P487" s="309" t="n"/>
      <c r="Q487" s="309" t="n"/>
      <c r="R487" s="310" t="n"/>
      <c r="S487" s="310" t="n"/>
      <c r="T487" s="310" t="n"/>
      <c r="U487" s="310" t="n"/>
      <c r="V487" s="310" t="n"/>
      <c r="W487" s="310" t="n"/>
      <c r="X487" s="310" t="n"/>
    </row>
    <row r="488" ht="15.5" customHeight="1">
      <c r="B488" s="311" t="n"/>
      <c r="C488" s="278" t="n"/>
      <c r="D488" s="315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4" t="n"/>
      <c r="S488" s="314" t="n"/>
      <c r="T488" s="314" t="n"/>
      <c r="U488" s="314" t="n"/>
      <c r="V488" s="314" t="n"/>
      <c r="W488" s="314" t="n"/>
      <c r="X488" s="314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90" t="n">
        <v>1800000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90" t="n">
        <v>300000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</row>
    <row r="491" ht="15.5" customHeight="1">
      <c r="B491" s="279" t="n"/>
      <c r="C491" s="321" t="n"/>
      <c r="D491" s="322" t="inlineStr">
        <is>
          <t>Allowance</t>
        </is>
      </c>
      <c r="E491" s="323" t="n"/>
      <c r="F491" s="280" t="n"/>
      <c r="G491" s="278" t="n"/>
      <c r="H491" s="278" t="n"/>
      <c r="I491" s="343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4" t="n"/>
      <c r="S491" s="314" t="n"/>
      <c r="T491" s="314" t="n"/>
      <c r="U491" s="314" t="n"/>
      <c r="V491" s="314" t="n"/>
      <c r="W491" s="314" t="n"/>
      <c r="X491" s="314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90" t="n">
        <v>9262800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90" t="n">
        <v>900000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</row>
    <row r="494" ht="15.5" customHeight="1">
      <c r="B494" s="311" t="n"/>
      <c r="C494" s="278" t="n"/>
      <c r="D494" s="315" t="inlineStr">
        <is>
          <t>Transportation</t>
        </is>
      </c>
      <c r="E494" s="318" t="n"/>
      <c r="F494" s="313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4" t="n"/>
      <c r="S494" s="314" t="n"/>
      <c r="T494" s="314" t="n"/>
      <c r="U494" s="314" t="n"/>
      <c r="V494" s="314" t="n"/>
      <c r="W494" s="314" t="n"/>
      <c r="X494" s="314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90" t="n">
        <v>904682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90" t="n">
        <v>256500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90" t="n">
        <v>224000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90" t="n">
        <v>3000000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90" t="n">
        <v>400000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90" t="n">
        <v>310660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90" t="n">
        <v>836100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</row>
    <row r="502" ht="15.5" customHeight="1">
      <c r="B502" s="302" t="inlineStr">
        <is>
          <t>Expense#32</t>
        </is>
      </c>
      <c r="C502" s="303" t="inlineStr">
        <is>
          <t>:</t>
        </is>
      </c>
      <c r="D502" s="304" t="inlineStr">
        <is>
          <t>ALFA PMB-009 (Cancel)_ TMA</t>
        </is>
      </c>
      <c r="E502" s="324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10" t="n"/>
      <c r="S502" s="310" t="n"/>
      <c r="T502" s="310" t="n"/>
      <c r="U502" s="310" t="n"/>
      <c r="V502" s="310" t="n"/>
      <c r="W502" s="310" t="n"/>
      <c r="X502" s="310" t="n"/>
    </row>
    <row r="503" ht="15.5" customHeight="1">
      <c r="B503" s="311" t="n"/>
      <c r="C503" s="342" t="n"/>
      <c r="D503" s="315" t="inlineStr">
        <is>
          <t>Allowance</t>
        </is>
      </c>
      <c r="E503" s="345" t="n"/>
      <c r="F503" s="313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4" t="n"/>
      <c r="S503" s="314" t="n"/>
      <c r="T503" s="314" t="n"/>
      <c r="U503" s="314" t="n"/>
      <c r="V503" s="314" t="n"/>
      <c r="W503" s="314" t="n"/>
      <c r="X503" s="314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90" t="n">
        <v>750000</v>
      </c>
      <c r="K504" s="291" t="n"/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90" t="n">
        <v>500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</row>
    <row r="506" ht="15.5" customHeight="1">
      <c r="B506" s="279" t="n"/>
      <c r="C506" s="321" t="n"/>
      <c r="D506" s="322" t="inlineStr">
        <is>
          <t>Laundry</t>
        </is>
      </c>
      <c r="E506" s="323" t="n"/>
      <c r="F506" s="280" t="n"/>
      <c r="G506" s="278" t="n"/>
      <c r="H506" s="278" t="n"/>
      <c r="I506" s="343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4" t="n"/>
      <c r="S506" s="314" t="n"/>
      <c r="T506" s="314" t="n"/>
      <c r="U506" s="314" t="n"/>
      <c r="V506" s="314" t="n"/>
      <c r="W506" s="314" t="n"/>
      <c r="X506" s="314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90" t="n">
        <v>250000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</row>
    <row r="508" ht="15.5" customHeight="1">
      <c r="B508" s="331" t="n"/>
      <c r="C508" s="278" t="n"/>
      <c r="D508" s="315" t="inlineStr">
        <is>
          <t>Transportation</t>
        </is>
      </c>
      <c r="E508" s="318" t="n"/>
      <c r="F508" s="281" t="n"/>
      <c r="G508" s="280" t="n"/>
      <c r="H508" s="346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4" t="n"/>
      <c r="S508" s="314" t="n"/>
      <c r="T508" s="314" t="n"/>
      <c r="U508" s="314" t="n"/>
      <c r="V508" s="314" t="n"/>
      <c r="W508" s="314" t="n"/>
      <c r="X508" s="314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90" t="n">
        <v>241280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90" t="n">
        <v>250000</v>
      </c>
      <c r="K510" s="291" t="n"/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90" t="n">
        <v>240000</v>
      </c>
      <c r="K511" s="291" t="n"/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</row>
    <row r="512" ht="15.5" customHeight="1">
      <c r="B512" s="302" t="inlineStr">
        <is>
          <t>Expense#33</t>
        </is>
      </c>
      <c r="C512" s="303" t="inlineStr">
        <is>
          <t>:</t>
        </is>
      </c>
      <c r="D512" s="304" t="inlineStr">
        <is>
          <t>ALFA Job JRK-095 (Jirak) - IBR</t>
        </is>
      </c>
      <c r="E512" s="324" t="n"/>
      <c r="F512" s="332" t="n"/>
      <c r="G512" s="320" t="n"/>
      <c r="H512" s="347" t="n"/>
      <c r="I512" s="348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10" t="n"/>
      <c r="S512" s="310" t="n"/>
      <c r="T512" s="310" t="n"/>
      <c r="U512" s="310" t="n"/>
      <c r="V512" s="310" t="n"/>
      <c r="W512" s="310" t="n"/>
      <c r="X512" s="310" t="n"/>
    </row>
    <row r="513" ht="15.5" customHeight="1">
      <c r="B513" s="311" t="n"/>
      <c r="C513" s="278" t="n"/>
      <c r="D513" s="315" t="inlineStr">
        <is>
          <t>Accommodation</t>
        </is>
      </c>
      <c r="E513" s="316" t="n"/>
      <c r="F513" s="281" t="n"/>
      <c r="G513" s="280" t="n"/>
      <c r="H513" s="346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4" t="n"/>
      <c r="S513" s="314" t="n"/>
      <c r="T513" s="314" t="n"/>
      <c r="U513" s="314" t="n"/>
      <c r="V513" s="314" t="n"/>
      <c r="W513" s="314" t="n"/>
      <c r="X513" s="314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90" t="n">
        <v>1680000</v>
      </c>
      <c r="K514" s="291" t="n"/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90" t="n">
        <v>350000</v>
      </c>
      <c r="K515" s="291" t="n"/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</row>
    <row r="516" ht="15.5" customHeight="1">
      <c r="B516" s="311" t="n"/>
      <c r="C516" s="278" t="n"/>
      <c r="D516" s="349" t="inlineStr">
        <is>
          <t>Allowance</t>
        </is>
      </c>
      <c r="E516" s="350" t="n"/>
      <c r="F516" s="281" t="n"/>
      <c r="G516" s="280" t="n"/>
      <c r="H516" s="346" t="n"/>
      <c r="I516" s="343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4" t="n"/>
      <c r="S516" s="314" t="n"/>
      <c r="T516" s="314" t="n"/>
      <c r="U516" s="314" t="n"/>
      <c r="V516" s="314" t="n"/>
      <c r="W516" s="314" t="n"/>
      <c r="X516" s="314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90" t="n">
        <v>2668750</v>
      </c>
      <c r="K517" s="291" t="n"/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90" t="n">
        <v>1050000</v>
      </c>
      <c r="K518" s="291" t="n"/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</row>
    <row r="519" ht="15.5" customHeight="1">
      <c r="B519" s="311" t="n"/>
      <c r="C519" s="278" t="n"/>
      <c r="D519" s="315" t="inlineStr">
        <is>
          <t>Operation</t>
        </is>
      </c>
      <c r="E519" s="318" t="n"/>
      <c r="F519" s="313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4" t="n"/>
      <c r="S519" s="314" t="n"/>
      <c r="T519" s="314" t="n"/>
      <c r="U519" s="314" t="n"/>
      <c r="V519" s="314" t="n"/>
      <c r="W519" s="314" t="n"/>
      <c r="X519" s="314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90" t="n">
        <v>65000</v>
      </c>
      <c r="K520" s="291" t="n"/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90" t="n">
        <v>150000</v>
      </c>
      <c r="K521" s="291" t="n"/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90" t="n">
        <v>120000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90" t="n">
        <v>172000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90" t="n">
        <v>300000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90" t="n">
        <v>65000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90" t="n">
        <v>200000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90" t="n">
        <v>240000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90" t="n">
        <v>230000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90" t="n">
        <v>110000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90" t="n">
        <v>47000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</row>
    <row r="531" ht="15.5" customHeight="1">
      <c r="B531" s="311" t="n"/>
      <c r="C531" s="278" t="n"/>
      <c r="D531" s="312" t="inlineStr">
        <is>
          <t>Transportation</t>
        </is>
      </c>
      <c r="E531" s="280" t="n"/>
      <c r="F531" s="313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4" t="n"/>
      <c r="S531" s="314" t="n"/>
      <c r="T531" s="314" t="n"/>
      <c r="U531" s="314" t="n"/>
      <c r="V531" s="314" t="n"/>
      <c r="W531" s="314" t="n"/>
      <c r="X531" s="314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90" t="n">
        <v>200000</v>
      </c>
      <c r="K532" s="291" t="n"/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90" t="n">
        <v>215000</v>
      </c>
      <c r="K533" s="291" t="n"/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90" t="n">
        <v>197000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90" t="n">
        <v>200000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90" t="n">
        <v>220000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90" t="n">
        <v>112000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90" t="n">
        <v>117000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90" t="n">
        <v>40000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</row>
    <row r="540" ht="15.5" customHeight="1">
      <c r="B540" s="302" t="inlineStr">
        <is>
          <t>Expense#34</t>
        </is>
      </c>
      <c r="C540" s="303" t="inlineStr">
        <is>
          <t>:</t>
        </is>
      </c>
      <c r="D540" s="319" t="inlineStr">
        <is>
          <t>ALFA_JRK-095 well (PEPZ4-PEndopo field) SI jakarta _ AC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</row>
    <row r="541" ht="15.5" customHeight="1">
      <c r="B541" s="311" t="n"/>
      <c r="C541" s="278" t="n"/>
      <c r="D541" s="312" t="inlineStr">
        <is>
          <t>Accommodation</t>
        </is>
      </c>
      <c r="E541" s="280" t="n"/>
      <c r="F541" s="313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4" t="n"/>
      <c r="S541" s="314" t="n"/>
      <c r="T541" s="314" t="n"/>
      <c r="U541" s="314" t="n"/>
      <c r="V541" s="314" t="n"/>
      <c r="W541" s="314" t="n"/>
      <c r="X541" s="314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90" t="n">
        <v>400000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</row>
    <row r="543" ht="15.5" customHeight="1">
      <c r="B543" s="311" t="n"/>
      <c r="C543" s="342" t="n"/>
      <c r="D543" s="315" t="inlineStr">
        <is>
          <t>Allowance</t>
        </is>
      </c>
      <c r="E543" s="318" t="n"/>
      <c r="F543" s="313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4" t="n"/>
      <c r="S543" s="314" t="n"/>
      <c r="T543" s="314" t="n"/>
      <c r="U543" s="314" t="n"/>
      <c r="V543" s="314" t="n"/>
      <c r="W543" s="314" t="n"/>
      <c r="X543" s="314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90" t="n">
        <v>900000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90" t="n">
        <v>12160000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</row>
    <row r="546" ht="15.5" customHeight="1">
      <c r="B546" s="277" t="n"/>
      <c r="C546" s="278" t="n"/>
      <c r="D546" s="312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4" t="n"/>
      <c r="S546" s="314" t="n"/>
      <c r="T546" s="314" t="n"/>
      <c r="U546" s="314" t="n"/>
      <c r="V546" s="314" t="n"/>
      <c r="W546" s="314" t="n"/>
      <c r="X546" s="314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90" t="n">
        <v>796800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90" t="n">
        <v>250000</v>
      </c>
      <c r="K548" s="291" t="n"/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90" t="n">
        <v>804500</v>
      </c>
      <c r="K549" s="291" t="n"/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90" t="n">
        <v>250000</v>
      </c>
      <c r="K550" s="291" t="n"/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90" t="n">
        <v>4000000</v>
      </c>
      <c r="K551" s="291" t="n"/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</row>
    <row r="552" ht="15.5" customHeight="1">
      <c r="B552" s="302" t="inlineStr">
        <is>
          <t>Expense#35</t>
        </is>
      </c>
      <c r="C552" s="303" t="inlineStr">
        <is>
          <t>:</t>
        </is>
      </c>
      <c r="D552" s="304" t="inlineStr">
        <is>
          <t>Trip to Cirebon Meeting MTD job X-ray field with PEP Zona 7 Region2_AC</t>
        </is>
      </c>
      <c r="E552" s="324" t="n"/>
      <c r="F552" s="332" t="n"/>
      <c r="G552" s="303" t="n"/>
      <c r="H552" s="303" t="n"/>
      <c r="I552" s="307" t="n"/>
      <c r="J552" s="309" t="n"/>
      <c r="K552" s="309" t="n"/>
      <c r="L552" s="309" t="n"/>
      <c r="M552" s="309" t="n"/>
      <c r="N552" s="307" t="n"/>
      <c r="O552" s="309" t="n"/>
      <c r="P552" s="309" t="n"/>
      <c r="Q552" s="309" t="n"/>
      <c r="R552" s="310" t="n"/>
      <c r="S552" s="310" t="n"/>
      <c r="T552" s="310" t="n"/>
      <c r="U552" s="310" t="n"/>
      <c r="V552" s="310" t="n"/>
      <c r="W552" s="310" t="n"/>
      <c r="X552" s="310" t="n"/>
    </row>
    <row r="553" ht="15.5" customHeight="1">
      <c r="B553" s="311" t="n"/>
      <c r="C553" s="278" t="n"/>
      <c r="D553" s="315" t="inlineStr">
        <is>
          <t>Accommodation</t>
        </is>
      </c>
      <c r="E553" s="345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4" t="n"/>
      <c r="S553" s="314" t="n"/>
      <c r="T553" s="314" t="n"/>
      <c r="U553" s="314" t="n"/>
      <c r="V553" s="314" t="n"/>
      <c r="W553" s="314" t="n"/>
      <c r="X553" s="314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90" t="n">
        <v>700000</v>
      </c>
      <c r="K554" s="291" t="n"/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90" t="n">
        <v>100000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</row>
    <row r="556" ht="15.5" customHeight="1">
      <c r="B556" s="311" t="n"/>
      <c r="C556" s="278" t="n"/>
      <c r="D556" s="315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4" t="n"/>
      <c r="S556" s="314" t="n"/>
      <c r="T556" s="314" t="n"/>
      <c r="U556" s="314" t="n"/>
      <c r="V556" s="314" t="n"/>
      <c r="W556" s="314" t="n"/>
      <c r="X556" s="314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90" t="n">
        <v>171000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90" t="n">
        <v>300000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</row>
    <row r="559" ht="15.5" customHeight="1">
      <c r="B559" s="311" t="n"/>
      <c r="C559" s="278" t="n"/>
      <c r="D559" s="315" t="inlineStr">
        <is>
          <t>Transportation</t>
        </is>
      </c>
      <c r="E559" s="318" t="n"/>
      <c r="F559" s="281" t="n"/>
      <c r="G559" s="278" t="n"/>
      <c r="H559" s="278" t="n"/>
      <c r="I559" s="343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4" t="n"/>
      <c r="S559" s="314" t="n"/>
      <c r="T559" s="314" t="n"/>
      <c r="U559" s="314" t="n"/>
      <c r="V559" s="314" t="n"/>
      <c r="W559" s="314" t="n"/>
      <c r="X559" s="314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90" t="n">
        <v>274000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90" t="n">
        <v>144500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90" t="n">
        <v>160000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90" t="n">
        <v>64500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90" t="n">
        <v>64500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90" t="n">
        <v>232500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90" t="n">
        <v>112500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90" t="n">
        <v>50500</v>
      </c>
      <c r="K567" s="291" t="n"/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90" t="n">
        <v>59000</v>
      </c>
      <c r="K568" s="291" t="n"/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90" t="n">
        <v>256800</v>
      </c>
      <c r="K569" s="291" t="n"/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</row>
    <row r="570" ht="15.5" customHeight="1">
      <c r="B570" s="277" t="n"/>
      <c r="C570" s="278" t="n"/>
      <c r="D570" s="315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4" t="n"/>
      <c r="S570" s="314" t="n"/>
      <c r="T570" s="314" t="n"/>
      <c r="U570" s="314" t="n"/>
      <c r="V570" s="314" t="n"/>
      <c r="W570" s="314" t="n"/>
      <c r="X570" s="314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90" t="n">
        <v>245000</v>
      </c>
      <c r="K571" s="291" t="n"/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90" t="n">
        <v>180000</v>
      </c>
      <c r="K572" s="291" t="n"/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90" t="n">
        <v>166000</v>
      </c>
      <c r="K573" s="291" t="n"/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90" t="n">
        <v>222650</v>
      </c>
      <c r="K574" s="291" t="n"/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</row>
    <row r="575" ht="15.5" customHeight="1">
      <c r="B575" s="302" t="inlineStr">
        <is>
          <t>Expense#36</t>
        </is>
      </c>
      <c r="C575" s="303" t="inlineStr">
        <is>
          <t>:</t>
        </is>
      </c>
      <c r="D575" s="304" t="inlineStr">
        <is>
          <t>Non project (follow up MCU concul &amp; inspection tool)_AC_ 2 nd</t>
        </is>
      </c>
      <c r="E575" s="324" t="n"/>
      <c r="F575" s="332" t="n"/>
      <c r="G575" s="320" t="n"/>
      <c r="H575" s="320" t="n"/>
      <c r="I575" s="307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10" t="n"/>
      <c r="S575" s="310" t="n"/>
      <c r="T575" s="310" t="n"/>
      <c r="U575" s="310" t="n"/>
      <c r="V575" s="310" t="n"/>
      <c r="W575" s="310" t="n"/>
      <c r="X575" s="310" t="n"/>
    </row>
    <row r="576" ht="15.5" customHeight="1">
      <c r="B576" s="311" t="n"/>
      <c r="C576" s="278" t="n"/>
      <c r="D576" s="315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4" t="n"/>
      <c r="S576" s="314" t="n"/>
      <c r="T576" s="314" t="n"/>
      <c r="U576" s="314" t="n"/>
      <c r="V576" s="314" t="n"/>
      <c r="W576" s="314" t="n"/>
      <c r="X576" s="314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1" t="n"/>
      <c r="L577" s="280" t="n"/>
      <c r="M577" s="280" t="n"/>
      <c r="N577" s="280" t="n"/>
      <c r="O577" s="280" t="n"/>
      <c r="P577" s="292" t="n">
        <v>36000</v>
      </c>
      <c r="Q577" s="280" t="n"/>
      <c r="R577" s="285" t="n"/>
      <c r="S577" s="285" t="n"/>
      <c r="T577" s="285" t="n"/>
      <c r="U577" s="285" t="n"/>
      <c r="V577" s="285" t="n"/>
      <c r="W577" s="285" t="n"/>
      <c r="X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1" t="n"/>
      <c r="L578" s="280" t="n"/>
      <c r="M578" s="280" t="n"/>
      <c r="N578" s="280" t="n"/>
      <c r="O578" s="280" t="n"/>
      <c r="P578" s="292" t="n">
        <v>854100</v>
      </c>
      <c r="Q578" s="280" t="n"/>
      <c r="R578" s="285" t="n"/>
      <c r="S578" s="285" t="n"/>
      <c r="T578" s="285" t="n"/>
      <c r="U578" s="285" t="n"/>
      <c r="V578" s="285" t="n"/>
      <c r="W578" s="285" t="n"/>
      <c r="X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1" t="n"/>
      <c r="L579" s="280" t="n"/>
      <c r="M579" s="280" t="n"/>
      <c r="N579" s="280" t="n"/>
      <c r="O579" s="280" t="n"/>
      <c r="P579" s="292" t="n">
        <v>285000</v>
      </c>
      <c r="Q579" s="280" t="n"/>
      <c r="R579" s="285" t="n"/>
      <c r="S579" s="285" t="n"/>
      <c r="T579" s="285" t="n"/>
      <c r="U579" s="285" t="n"/>
      <c r="V579" s="285" t="n"/>
      <c r="W579" s="285" t="n"/>
      <c r="X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1" t="n"/>
      <c r="L580" s="280" t="n"/>
      <c r="M580" s="280" t="n"/>
      <c r="N580" s="280" t="n"/>
      <c r="O580" s="280" t="n"/>
      <c r="P580" s="292" t="n">
        <v>285000</v>
      </c>
      <c r="Q580" s="280" t="n"/>
      <c r="R580" s="285" t="n"/>
      <c r="S580" s="285" t="n"/>
      <c r="T580" s="285" t="n"/>
      <c r="U580" s="285" t="n"/>
      <c r="V580" s="285" t="n"/>
      <c r="W580" s="285" t="n"/>
      <c r="X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1" t="n"/>
      <c r="L581" s="280" t="n"/>
      <c r="M581" s="280" t="n"/>
      <c r="N581" s="280" t="n"/>
      <c r="O581" s="280" t="n"/>
      <c r="P581" s="292" t="n">
        <v>285000</v>
      </c>
      <c r="Q581" s="280" t="n"/>
      <c r="R581" s="285" t="n"/>
      <c r="S581" s="285" t="n"/>
      <c r="T581" s="285" t="n"/>
      <c r="U581" s="285" t="n"/>
      <c r="V581" s="285" t="n"/>
      <c r="W581" s="285" t="n"/>
      <c r="X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1" t="n"/>
      <c r="L582" s="280" t="n"/>
      <c r="M582" s="280" t="n"/>
      <c r="N582" s="280" t="n"/>
      <c r="O582" s="280" t="n"/>
      <c r="P582" s="292" t="n">
        <v>45000</v>
      </c>
      <c r="Q582" s="280" t="n"/>
      <c r="R582" s="285" t="n"/>
      <c r="S582" s="285" t="n"/>
      <c r="T582" s="285" t="n"/>
      <c r="U582" s="285" t="n"/>
      <c r="V582" s="285" t="n"/>
      <c r="W582" s="285" t="n"/>
      <c r="X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1" t="n"/>
      <c r="L583" s="280" t="n"/>
      <c r="M583" s="280" t="n"/>
      <c r="N583" s="280" t="n"/>
      <c r="O583" s="280" t="n"/>
      <c r="P583" s="292" t="n">
        <v>2906650</v>
      </c>
      <c r="Q583" s="280" t="n"/>
      <c r="R583" s="285" t="n"/>
      <c r="S583" s="285" t="n"/>
      <c r="T583" s="285" t="n"/>
      <c r="U583" s="285" t="n"/>
      <c r="V583" s="285" t="n"/>
      <c r="W583" s="285" t="n"/>
      <c r="X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1" t="n"/>
      <c r="L584" s="280" t="n"/>
      <c r="M584" s="280" t="n"/>
      <c r="N584" s="280" t="n"/>
      <c r="O584" s="280" t="n"/>
      <c r="P584" s="292" t="n">
        <v>241100</v>
      </c>
      <c r="Q584" s="280" t="n"/>
      <c r="R584" s="285" t="n"/>
      <c r="S584" s="285" t="n"/>
      <c r="T584" s="285" t="n"/>
      <c r="U584" s="285" t="n"/>
      <c r="V584" s="285" t="n"/>
      <c r="W584" s="285" t="n"/>
      <c r="X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1" t="n"/>
      <c r="L585" s="280" t="n"/>
      <c r="M585" s="280" t="n"/>
      <c r="N585" s="280" t="n"/>
      <c r="O585" s="280" t="n"/>
      <c r="P585" s="292" t="n">
        <v>1370000</v>
      </c>
      <c r="Q585" s="280" t="n"/>
      <c r="R585" s="285" t="n"/>
      <c r="S585" s="285" t="n"/>
      <c r="T585" s="285" t="n"/>
      <c r="U585" s="285" t="n"/>
      <c r="V585" s="285" t="n"/>
      <c r="W585" s="285" t="n"/>
      <c r="X585" s="285" t="n"/>
    </row>
    <row r="586" ht="15.5" customHeight="1">
      <c r="B586" s="277" t="n"/>
      <c r="C586" s="278" t="n"/>
      <c r="D586" s="312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4" t="n"/>
      <c r="S586" s="314" t="n"/>
      <c r="T586" s="314" t="n"/>
      <c r="U586" s="314" t="n"/>
      <c r="V586" s="314" t="n"/>
      <c r="W586" s="314" t="n"/>
      <c r="X586" s="314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90" t="n">
        <v>25000</v>
      </c>
      <c r="K587" s="291" t="n"/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90" t="n">
        <v>18000</v>
      </c>
      <c r="K588" s="291" t="n"/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90" t="n">
        <v>31000</v>
      </c>
      <c r="K589" s="291" t="n"/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90" t="n">
        <v>10000</v>
      </c>
      <c r="K590" s="291" t="n"/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90" t="n">
        <v>18000</v>
      </c>
      <c r="K591" s="291" t="n"/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</row>
    <row r="592" ht="15.5" customHeight="1">
      <c r="B592" s="344" t="inlineStr">
        <is>
          <t>Expense#37</t>
        </is>
      </c>
      <c r="C592" s="303" t="inlineStr">
        <is>
          <t>:</t>
        </is>
      </c>
      <c r="D592" s="319" t="inlineStr">
        <is>
          <t>MTD SKW-26_sukowati_TMA</t>
        </is>
      </c>
      <c r="E592" s="320" t="n"/>
      <c r="F592" s="332" t="n"/>
      <c r="G592" s="303" t="n"/>
      <c r="H592" s="303" t="n"/>
      <c r="I592" s="309" t="n"/>
      <c r="J592" s="309" t="n"/>
      <c r="K592" s="309" t="n"/>
      <c r="L592" s="309" t="n"/>
      <c r="M592" s="309" t="n"/>
      <c r="N592" s="309" t="n"/>
      <c r="O592" s="309" t="n"/>
      <c r="P592" s="308" t="n"/>
      <c r="Q592" s="309" t="n"/>
      <c r="R592" s="310" t="n"/>
      <c r="S592" s="310" t="n"/>
      <c r="T592" s="310" t="n"/>
      <c r="U592" s="310" t="n"/>
      <c r="V592" s="310" t="n"/>
      <c r="W592" s="310" t="n"/>
      <c r="X592" s="310" t="n"/>
    </row>
    <row r="593" ht="15.5" customHeight="1">
      <c r="B593" s="277" t="n"/>
      <c r="C593" s="278" t="n"/>
      <c r="D593" s="312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4" t="n"/>
      <c r="S593" s="314" t="n"/>
      <c r="T593" s="314" t="n"/>
      <c r="U593" s="314" t="n"/>
      <c r="V593" s="314" t="n"/>
      <c r="W593" s="314" t="n"/>
      <c r="X593" s="314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90" t="n">
        <v>1584184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90" t="n">
        <v>250000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</row>
    <row r="596" ht="15.5" customHeight="1">
      <c r="B596" s="311" t="n"/>
      <c r="C596" s="278" t="n"/>
      <c r="D596" s="315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4" t="n"/>
      <c r="S596" s="314" t="n"/>
      <c r="T596" s="314" t="n"/>
      <c r="U596" s="314" t="n"/>
      <c r="V596" s="314" t="n"/>
      <c r="W596" s="314" t="n"/>
      <c r="X596" s="314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90" t="n">
        <v>7615500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90" t="n">
        <v>750000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</row>
    <row r="599" ht="15.5" customHeight="1">
      <c r="B599" s="311" t="n"/>
      <c r="C599" s="278" t="n"/>
      <c r="D599" s="315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4" t="n"/>
      <c r="S599" s="314" t="n"/>
      <c r="T599" s="314" t="n"/>
      <c r="U599" s="314" t="n"/>
      <c r="V599" s="314" t="n"/>
      <c r="W599" s="314" t="n"/>
      <c r="X599" s="314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90" t="n">
        <v>1213500</v>
      </c>
      <c r="K600" s="291" t="n"/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90" t="n">
        <v>132500</v>
      </c>
      <c r="K601" s="291" t="n"/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90" t="n">
        <v>280400</v>
      </c>
      <c r="K602" s="291" t="n"/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90" t="n">
        <v>326600</v>
      </c>
      <c r="K603" s="291" t="n"/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90" t="n">
        <v>1653500</v>
      </c>
      <c r="K604" s="291" t="n"/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90" t="n">
        <v>73584</v>
      </c>
      <c r="K605" s="291" t="n"/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</row>
    <row r="606" ht="15.5" customHeight="1">
      <c r="B606" s="302" t="inlineStr">
        <is>
          <t>Expense#38</t>
        </is>
      </c>
      <c r="C606" s="303" t="inlineStr">
        <is>
          <t>:</t>
        </is>
      </c>
      <c r="D606" s="304" t="inlineStr">
        <is>
          <t>MTD_STM_HDP 01 s/d 03 well (BHI project ndr Gowell) Sumbawa</t>
        </is>
      </c>
      <c r="E606" s="324" t="n"/>
      <c r="F606" s="332" t="n"/>
      <c r="G606" s="303" t="n"/>
      <c r="H606" s="303" t="n"/>
      <c r="I606" s="307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10" t="n"/>
      <c r="S606" s="310" t="n"/>
      <c r="T606" s="310" t="n"/>
      <c r="U606" s="310" t="n"/>
      <c r="V606" s="310" t="n"/>
      <c r="W606" s="310" t="n"/>
      <c r="X606" s="310" t="n"/>
    </row>
    <row r="607" ht="15.5" customHeight="1">
      <c r="B607" s="311" t="n"/>
      <c r="C607" s="278" t="n"/>
      <c r="D607" s="315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4" t="n"/>
      <c r="S607" s="314" t="n"/>
      <c r="T607" s="314" t="n"/>
      <c r="U607" s="314" t="n"/>
      <c r="V607" s="314" t="n"/>
      <c r="W607" s="314" t="n"/>
      <c r="X607" s="314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90" t="n">
        <v>900000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</row>
    <row r="609" ht="15.5" customHeight="1">
      <c r="B609" s="311" t="n"/>
      <c r="C609" s="278" t="n"/>
      <c r="D609" s="315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4" t="n"/>
      <c r="S609" s="314" t="n"/>
      <c r="T609" s="314" t="n"/>
      <c r="U609" s="314" t="n"/>
      <c r="V609" s="314" t="n"/>
      <c r="W609" s="314" t="n"/>
      <c r="X609" s="314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90" t="n">
        <v>2700000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90" t="n">
        <v>28528200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</row>
    <row r="612" ht="15.5" customHeight="1">
      <c r="B612" s="311" t="n"/>
      <c r="C612" s="278" t="n"/>
      <c r="D612" s="315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4" t="n"/>
      <c r="S612" s="314" t="n"/>
      <c r="T612" s="314" t="n"/>
      <c r="U612" s="314" t="n"/>
      <c r="V612" s="314" t="n"/>
      <c r="W612" s="314" t="n"/>
      <c r="X612" s="314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90" t="n">
        <v>1102050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</row>
    <row r="614" ht="15.5" customHeight="1">
      <c r="B614" s="279" t="n"/>
      <c r="C614" s="321" t="n"/>
      <c r="D614" s="322" t="inlineStr">
        <is>
          <t>Transportation</t>
        </is>
      </c>
      <c r="E614" s="323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4" t="n"/>
      <c r="S614" s="314" t="n"/>
      <c r="T614" s="314" t="n"/>
      <c r="U614" s="314" t="n"/>
      <c r="V614" s="314" t="n"/>
      <c r="W614" s="314" t="n"/>
      <c r="X614" s="314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90" t="n">
        <v>250000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90" t="n">
        <v>250000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</row>
    <row r="617" ht="15.5" customHeight="1">
      <c r="B617" s="302" t="inlineStr">
        <is>
          <t>Expense#39</t>
        </is>
      </c>
      <c r="C617" s="303" t="inlineStr">
        <is>
          <t>:</t>
        </is>
      </c>
      <c r="D617" s="304" t="inlineStr">
        <is>
          <t>Training Basic Sea Survival_IBR</t>
        </is>
      </c>
      <c r="E617" s="324" t="n"/>
      <c r="F617" s="332" t="n"/>
      <c r="G617" s="303" t="n"/>
      <c r="H617" s="303" t="n"/>
      <c r="I617" s="307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10" t="n"/>
      <c r="S617" s="310" t="n"/>
      <c r="T617" s="310" t="n"/>
      <c r="U617" s="310" t="n"/>
      <c r="V617" s="310" t="n"/>
      <c r="W617" s="310" t="n"/>
      <c r="X617" s="310" t="n"/>
    </row>
    <row r="618" ht="15.5" customHeight="1">
      <c r="B618" s="311" t="n"/>
      <c r="C618" s="278" t="n"/>
      <c r="D618" s="315" t="inlineStr">
        <is>
          <t>Training</t>
        </is>
      </c>
      <c r="E618" s="345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4" t="n"/>
      <c r="S618" s="314" t="n"/>
      <c r="T618" s="314" t="n"/>
      <c r="U618" s="314" t="n"/>
      <c r="V618" s="314" t="n"/>
      <c r="W618" s="314" t="n"/>
      <c r="X618" s="314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90" t="n">
        <v>2700000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</row>
    <row r="620" ht="15.5" customHeight="1">
      <c r="B620" s="311" t="n"/>
      <c r="C620" s="278" t="n"/>
      <c r="D620" s="315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4" t="n"/>
      <c r="S620" s="314" t="n"/>
      <c r="T620" s="314" t="n"/>
      <c r="U620" s="314" t="n"/>
      <c r="V620" s="314" t="n"/>
      <c r="W620" s="314" t="n"/>
      <c r="X620" s="314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90" t="n">
        <v>15000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90" t="n">
        <v>15000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90" t="n">
        <v>15000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90" t="n">
        <v>14000</v>
      </c>
      <c r="K624" s="291" t="n"/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90" t="n">
        <v>3000</v>
      </c>
      <c r="K625" s="291" t="n"/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</row>
    <row r="626" ht="15.5" customHeight="1">
      <c r="B626" s="302" t="inlineStr">
        <is>
          <t>Expense#40</t>
        </is>
      </c>
      <c r="C626" s="303" t="inlineStr">
        <is>
          <t>:</t>
        </is>
      </c>
      <c r="D626" s="304" t="inlineStr">
        <is>
          <t>Non trip 1st - project _ Pety cash 1st - YY</t>
        </is>
      </c>
      <c r="E626" s="324" t="n"/>
      <c r="F626" s="332" t="n"/>
      <c r="G626" s="303" t="n"/>
      <c r="H626" s="303" t="n"/>
      <c r="I626" s="348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10" t="n"/>
      <c r="S626" s="310" t="n"/>
      <c r="T626" s="310" t="n"/>
      <c r="U626" s="310" t="n"/>
      <c r="V626" s="310" t="n"/>
      <c r="W626" s="310" t="n"/>
      <c r="X626" s="310" t="n"/>
    </row>
    <row r="627" ht="15.5" customHeight="1">
      <c r="B627" s="279" t="n"/>
      <c r="C627" s="321" t="n"/>
      <c r="D627" s="322" t="inlineStr">
        <is>
          <t>Shipping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4" t="n"/>
      <c r="S627" s="314" t="n"/>
      <c r="T627" s="314" t="n"/>
      <c r="U627" s="314" t="n"/>
      <c r="V627" s="314" t="n"/>
      <c r="W627" s="314" t="n"/>
      <c r="X627" s="314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90" t="n">
        <v>18000</v>
      </c>
      <c r="K628" s="291" t="n"/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90" t="n">
        <v>8000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1" t="n"/>
      <c r="L630" s="280" t="n"/>
      <c r="M630" s="292" t="n">
        <v>62000</v>
      </c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90" t="n">
        <v>15000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90" t="n">
        <v>10000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1" t="n"/>
      <c r="L633" s="280" t="n"/>
      <c r="M633" s="292" t="n">
        <v>103000</v>
      </c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1" t="n"/>
      <c r="L634" s="280" t="n"/>
      <c r="M634" s="292" t="n">
        <v>55000</v>
      </c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1" t="n"/>
      <c r="L635" s="280" t="n"/>
      <c r="M635" s="292" t="n">
        <v>103000</v>
      </c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</row>
    <row r="636" ht="15.5" customHeight="1">
      <c r="B636" s="279" t="n"/>
      <c r="C636" s="321" t="n"/>
      <c r="D636" s="322" t="inlineStr">
        <is>
          <t>Transportation</t>
        </is>
      </c>
      <c r="E636" s="323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4" t="n"/>
      <c r="S636" s="314" t="n"/>
      <c r="T636" s="314" t="n"/>
      <c r="U636" s="314" t="n"/>
      <c r="V636" s="314" t="n"/>
      <c r="W636" s="314" t="n"/>
      <c r="X636" s="314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90" t="n">
        <v>275000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90" t="n">
        <v>31500</v>
      </c>
      <c r="K638" s="291" t="n"/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90" t="n">
        <v>266000</v>
      </c>
      <c r="K639" s="291" t="n"/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90" t="n">
        <v>53500</v>
      </c>
      <c r="K640" s="291" t="n"/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90" t="n">
        <v>269000</v>
      </c>
      <c r="K641" s="291" t="n"/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90" t="n">
        <v>43450</v>
      </c>
      <c r="K642" s="291" t="n"/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90" t="n">
        <v>290000</v>
      </c>
      <c r="K643" s="291" t="n"/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90" t="n">
        <v>48500</v>
      </c>
      <c r="K644" s="291" t="n"/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</row>
    <row r="645" ht="15.5" customHeight="1">
      <c r="B645" s="351" t="inlineStr">
        <is>
          <t>Expense#41</t>
        </is>
      </c>
      <c r="C645" s="352" t="inlineStr">
        <is>
          <t>:</t>
        </is>
      </c>
      <c r="D645" s="353" t="inlineStr">
        <is>
          <t>Starlink Kit_DS</t>
        </is>
      </c>
      <c r="E645" s="354" t="n"/>
      <c r="F645" s="355" t="n"/>
      <c r="G645" s="303" t="n"/>
      <c r="H645" s="303" t="n"/>
      <c r="I645" s="307" t="n"/>
      <c r="J645" s="309" t="n"/>
      <c r="K645" s="309" t="n"/>
      <c r="L645" s="309" t="n"/>
      <c r="M645" s="307" t="n"/>
      <c r="N645" s="309" t="n"/>
      <c r="O645" s="309" t="n"/>
      <c r="P645" s="309" t="n"/>
      <c r="Q645" s="309" t="n"/>
      <c r="R645" s="310" t="n"/>
      <c r="S645" s="310" t="n"/>
      <c r="T645" s="310" t="n"/>
      <c r="U645" s="310" t="n"/>
      <c r="V645" s="310" t="n"/>
      <c r="W645" s="310" t="n"/>
      <c r="X645" s="310" t="n"/>
    </row>
    <row r="646" ht="15.5" customHeight="1">
      <c r="B646" s="356" t="n"/>
      <c r="C646" s="357" t="n"/>
      <c r="D646" s="358" t="inlineStr">
        <is>
          <t>Pembelian Barang</t>
        </is>
      </c>
      <c r="E646" s="359" t="n"/>
      <c r="F646" s="360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4" t="n"/>
      <c r="S646" s="314" t="n"/>
      <c r="T646" s="314" t="n"/>
      <c r="U646" s="314" t="n"/>
      <c r="V646" s="314" t="n"/>
      <c r="W646" s="314" t="n"/>
      <c r="X646" s="314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1" t="n"/>
      <c r="L647" s="280" t="n"/>
      <c r="M647" s="280" t="n"/>
      <c r="N647" s="292" t="n">
        <v>5583200</v>
      </c>
      <c r="O647" s="280" t="n"/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</row>
    <row r="648" ht="15.5" customHeight="1">
      <c r="B648" s="351" t="inlineStr">
        <is>
          <t>Expense#42</t>
        </is>
      </c>
      <c r="C648" s="352" t="inlineStr">
        <is>
          <t>:</t>
        </is>
      </c>
      <c r="D648" s="353" t="inlineStr">
        <is>
          <t>Pelican Case 1650 TMA</t>
        </is>
      </c>
      <c r="E648" s="354" t="n"/>
      <c r="F648" s="355" t="n"/>
      <c r="G648" s="303" t="n"/>
      <c r="H648" s="303" t="n"/>
      <c r="I648" s="307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10" t="n"/>
      <c r="S648" s="310" t="n"/>
      <c r="T648" s="310" t="n"/>
      <c r="U648" s="310" t="n"/>
      <c r="V648" s="310" t="n"/>
      <c r="W648" s="310" t="n"/>
      <c r="X648" s="310" t="n"/>
    </row>
    <row r="649" ht="15.5" customHeight="1">
      <c r="B649" s="356" t="n"/>
      <c r="C649" s="357" t="n"/>
      <c r="D649" s="358" t="inlineStr">
        <is>
          <t>Pembelian Barang</t>
        </is>
      </c>
      <c r="E649" s="359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4" t="n"/>
      <c r="S649" s="314" t="n"/>
      <c r="T649" s="314" t="n"/>
      <c r="U649" s="314" t="n"/>
      <c r="V649" s="314" t="n"/>
      <c r="W649" s="314" t="n"/>
      <c r="X649" s="314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1" t="n"/>
      <c r="L650" s="280" t="n"/>
      <c r="M650" s="280" t="n"/>
      <c r="N650" s="292" t="n">
        <v>8156000</v>
      </c>
      <c r="O650" s="280" t="n"/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</row>
    <row r="651" ht="15.5" customHeight="1">
      <c r="B651" s="351" t="inlineStr">
        <is>
          <t>Expense#43</t>
        </is>
      </c>
      <c r="C651" s="352" t="inlineStr">
        <is>
          <t>:</t>
        </is>
      </c>
      <c r="D651" s="353" t="inlineStr">
        <is>
          <t>Non trip 3rd (follow up MCU concul &amp; visit KPP and Graha Elnusa)_AC</t>
        </is>
      </c>
      <c r="E651" s="354" t="n"/>
      <c r="F651" s="355" t="n"/>
      <c r="G651" s="303" t="n"/>
      <c r="H651" s="303" t="n"/>
      <c r="I651" s="309" t="n"/>
      <c r="J651" s="309" t="n"/>
      <c r="K651" s="309" t="n"/>
      <c r="L651" s="309" t="n"/>
      <c r="M651" s="307" t="n"/>
      <c r="N651" s="309" t="n"/>
      <c r="O651" s="309" t="n"/>
      <c r="P651" s="309" t="n"/>
      <c r="Q651" s="309" t="n"/>
      <c r="R651" s="310" t="n"/>
      <c r="S651" s="310" t="n"/>
      <c r="T651" s="310" t="n"/>
      <c r="U651" s="310" t="n"/>
      <c r="V651" s="310" t="n"/>
      <c r="W651" s="310" t="n"/>
      <c r="X651" s="310" t="n"/>
    </row>
    <row r="652" ht="15.5" customHeight="1">
      <c r="B652" s="361" t="n"/>
      <c r="C652" s="357" t="n"/>
      <c r="D652" s="315" t="inlineStr">
        <is>
          <t>Medical</t>
        </is>
      </c>
      <c r="E652" s="362" t="n"/>
      <c r="F652" s="360" t="n"/>
      <c r="G652" s="278" t="n"/>
      <c r="H652" s="278" t="n"/>
      <c r="I652" s="363" t="n"/>
      <c r="J652" s="363" t="n"/>
      <c r="K652" s="363" t="n"/>
      <c r="L652" s="363" t="n"/>
      <c r="M652" s="363" t="n"/>
      <c r="N652" s="363" t="n"/>
      <c r="O652" s="363" t="n"/>
      <c r="P652" s="363" t="n"/>
      <c r="Q652" s="363" t="n"/>
      <c r="R652" s="314" t="n"/>
      <c r="S652" s="314" t="n"/>
      <c r="T652" s="314" t="n"/>
      <c r="U652" s="314" t="n"/>
      <c r="V652" s="314" t="n"/>
      <c r="W652" s="314" t="n"/>
      <c r="X652" s="314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1" t="n"/>
      <c r="L653" s="280" t="n"/>
      <c r="M653" s="280" t="n"/>
      <c r="N653" s="280" t="n"/>
      <c r="O653" s="280" t="n"/>
      <c r="P653" s="292" t="n">
        <v>604000</v>
      </c>
      <c r="Q653" s="280" t="n"/>
      <c r="R653" s="285" t="n"/>
      <c r="S653" s="285" t="n"/>
      <c r="T653" s="285" t="n"/>
      <c r="U653" s="285" t="n"/>
      <c r="V653" s="285" t="n"/>
      <c r="W653" s="285" t="n"/>
      <c r="X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1" t="n"/>
      <c r="L654" s="280" t="n"/>
      <c r="M654" s="280" t="n"/>
      <c r="N654" s="280" t="n"/>
      <c r="O654" s="280" t="n"/>
      <c r="P654" s="292" t="n">
        <v>1582141</v>
      </c>
      <c r="Q654" s="280" t="n"/>
      <c r="R654" s="285" t="n"/>
      <c r="S654" s="285" t="n"/>
      <c r="T654" s="285" t="n"/>
      <c r="U654" s="285" t="n"/>
      <c r="V654" s="285" t="n"/>
      <c r="W654" s="285" t="n"/>
      <c r="X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1" t="n"/>
      <c r="L655" s="280" t="n"/>
      <c r="M655" s="280" t="n"/>
      <c r="N655" s="280" t="n"/>
      <c r="O655" s="280" t="n"/>
      <c r="P655" s="292" t="n">
        <v>970767</v>
      </c>
      <c r="Q655" s="280" t="n"/>
      <c r="R655" s="285" t="n"/>
      <c r="S655" s="285" t="n"/>
      <c r="T655" s="285" t="n"/>
      <c r="U655" s="285" t="n"/>
      <c r="V655" s="285" t="n"/>
      <c r="W655" s="285" t="n"/>
      <c r="X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1" t="n"/>
      <c r="L656" s="280" t="n"/>
      <c r="M656" s="280" t="n"/>
      <c r="N656" s="280" t="n"/>
      <c r="O656" s="280" t="n"/>
      <c r="P656" s="292" t="n">
        <v>157000</v>
      </c>
      <c r="Q656" s="280" t="n"/>
      <c r="R656" s="285" t="n"/>
      <c r="S656" s="285" t="n"/>
      <c r="T656" s="285" t="n"/>
      <c r="U656" s="285" t="n"/>
      <c r="V656" s="285" t="n"/>
      <c r="W656" s="285" t="n"/>
      <c r="X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1" t="n"/>
      <c r="L657" s="280" t="n"/>
      <c r="M657" s="280" t="n"/>
      <c r="N657" s="280" t="n"/>
      <c r="O657" s="280" t="n"/>
      <c r="P657" s="292" t="n">
        <v>152000</v>
      </c>
      <c r="Q657" s="280" t="n"/>
      <c r="R657" s="285" t="n"/>
      <c r="S657" s="285" t="n"/>
      <c r="T657" s="285" t="n"/>
      <c r="U657" s="285" t="n"/>
      <c r="V657" s="285" t="n"/>
      <c r="W657" s="285" t="n"/>
      <c r="X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1" t="n"/>
      <c r="L658" s="280" t="n"/>
      <c r="M658" s="280" t="n"/>
      <c r="N658" s="280" t="n"/>
      <c r="O658" s="280" t="n"/>
      <c r="P658" s="292" t="n">
        <v>799000</v>
      </c>
      <c r="Q658" s="280" t="n"/>
      <c r="R658" s="285" t="n"/>
      <c r="S658" s="285" t="n"/>
      <c r="T658" s="285" t="n"/>
      <c r="U658" s="285" t="n"/>
      <c r="V658" s="285" t="n"/>
      <c r="W658" s="285" t="n"/>
      <c r="X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1" t="n"/>
      <c r="L659" s="280" t="n"/>
      <c r="M659" s="280" t="n"/>
      <c r="N659" s="280" t="n"/>
      <c r="O659" s="280" t="n"/>
      <c r="P659" s="292" t="n">
        <v>190309.5</v>
      </c>
      <c r="Q659" s="280" t="n"/>
      <c r="R659" s="285" t="n"/>
      <c r="S659" s="285" t="n"/>
      <c r="T659" s="285" t="n"/>
      <c r="U659" s="285" t="n"/>
      <c r="V659" s="285" t="n"/>
      <c r="W659" s="285" t="n"/>
      <c r="X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1" t="n"/>
      <c r="L660" s="280" t="n"/>
      <c r="M660" s="280" t="n"/>
      <c r="N660" s="280" t="n"/>
      <c r="O660" s="280" t="n"/>
      <c r="P660" s="292" t="n">
        <v>417600</v>
      </c>
      <c r="Q660" s="280" t="n"/>
      <c r="R660" s="285" t="n"/>
      <c r="S660" s="285" t="n"/>
      <c r="T660" s="285" t="n"/>
      <c r="U660" s="285" t="n"/>
      <c r="V660" s="285" t="n"/>
      <c r="W660" s="285" t="n"/>
      <c r="X660" s="285" t="n"/>
    </row>
    <row r="661" ht="15.5" customHeight="1">
      <c r="B661" s="364" t="n"/>
      <c r="C661" s="321" t="n"/>
      <c r="D661" s="365" t="inlineStr">
        <is>
          <t>Transportation</t>
        </is>
      </c>
      <c r="E661" s="366" t="n"/>
      <c r="F661" s="367" t="n"/>
      <c r="G661" s="321" t="n"/>
      <c r="H661" s="321" t="n"/>
      <c r="I661" s="363" t="n"/>
      <c r="J661" s="363" t="n"/>
      <c r="K661" s="363" t="n"/>
      <c r="L661" s="363" t="n"/>
      <c r="M661" s="363" t="n"/>
      <c r="N661" s="363" t="n"/>
      <c r="O661" s="363" t="n"/>
      <c r="P661" s="363" t="n"/>
      <c r="Q661" s="363" t="n"/>
      <c r="R661" s="314" t="n"/>
      <c r="S661" s="314" t="n"/>
      <c r="T661" s="314" t="n"/>
      <c r="U661" s="314" t="n"/>
      <c r="V661" s="314" t="n"/>
      <c r="W661" s="314" t="n"/>
      <c r="X661" s="314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90" t="n">
        <v>276216</v>
      </c>
      <c r="K662" s="291" t="n"/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90" t="n">
        <v>79500</v>
      </c>
      <c r="K663" s="291" t="n"/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90" t="n">
        <v>29000</v>
      </c>
      <c r="K664" s="291" t="n"/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90" t="n">
        <v>17000</v>
      </c>
      <c r="K665" s="291" t="n"/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90" t="n">
        <v>155680</v>
      </c>
      <c r="K666" s="291" t="n"/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90" t="n">
        <v>17000</v>
      </c>
      <c r="K667" s="291" t="n"/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</row>
    <row r="668" ht="15.5" customHeight="1">
      <c r="B668" s="344" t="inlineStr">
        <is>
          <t>Expense#44</t>
        </is>
      </c>
      <c r="C668" s="303" t="inlineStr">
        <is>
          <t>:</t>
        </is>
      </c>
      <c r="D668" s="319" t="inlineStr">
        <is>
          <t>Meeting presentasi With Elnusa - Bandung &amp;Pembelian Sparepart dari Pei-Genesis.</t>
        </is>
      </c>
      <c r="E668" s="320" t="n"/>
      <c r="F668" s="332" t="n"/>
      <c r="G668" s="303" t="n"/>
      <c r="H668" s="303" t="n"/>
      <c r="I668" s="368" t="n"/>
      <c r="J668" s="368" t="n"/>
      <c r="K668" s="368" t="n"/>
      <c r="L668" s="368" t="n"/>
      <c r="M668" s="368" t="n"/>
      <c r="N668" s="368" t="n"/>
      <c r="O668" s="368" t="n"/>
      <c r="P668" s="368" t="n"/>
      <c r="Q668" s="368" t="n"/>
      <c r="R668" s="310" t="n"/>
      <c r="S668" s="310" t="n"/>
      <c r="T668" s="310" t="n"/>
      <c r="U668" s="310" t="n"/>
      <c r="V668" s="310" t="n"/>
      <c r="W668" s="310" t="n"/>
      <c r="X668" s="310" t="n"/>
    </row>
    <row r="669" ht="15.5" customHeight="1">
      <c r="B669" s="277" t="n"/>
      <c r="C669" s="278" t="n"/>
      <c r="D669" s="312" t="inlineStr">
        <is>
          <t>Accommodation</t>
        </is>
      </c>
      <c r="E669" s="280" t="n"/>
      <c r="F669" s="281" t="n"/>
      <c r="G669" s="278" t="n"/>
      <c r="H669" s="278" t="n"/>
      <c r="I669" s="363" t="n"/>
      <c r="J669" s="363" t="n"/>
      <c r="K669" s="363" t="n"/>
      <c r="L669" s="363" t="n"/>
      <c r="M669" s="363" t="n"/>
      <c r="N669" s="363" t="n"/>
      <c r="O669" s="363" t="n"/>
      <c r="P669" s="363" t="n"/>
      <c r="Q669" s="363" t="n"/>
      <c r="R669" s="314" t="n"/>
      <c r="S669" s="314" t="n"/>
      <c r="T669" s="314" t="n"/>
      <c r="U669" s="314" t="n"/>
      <c r="V669" s="314" t="n"/>
      <c r="W669" s="314" t="n"/>
      <c r="X669" s="314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1" t="n"/>
      <c r="L670" s="280" t="n"/>
      <c r="M670" s="292" t="n">
        <v>4913283</v>
      </c>
      <c r="N670" s="280" t="n"/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</row>
    <row r="671" ht="15.5" customHeight="1">
      <c r="B671" s="277" t="n"/>
      <c r="C671" s="278" t="n"/>
      <c r="D671" s="312" t="inlineStr">
        <is>
          <t>Meal</t>
        </is>
      </c>
      <c r="E671" s="280" t="n"/>
      <c r="F671" s="281" t="n"/>
      <c r="G671" s="278" t="n"/>
      <c r="H671" s="278" t="n"/>
      <c r="I671" s="363" t="n"/>
      <c r="J671" s="363" t="n"/>
      <c r="K671" s="363" t="n"/>
      <c r="L671" s="363" t="n"/>
      <c r="M671" s="363" t="n"/>
      <c r="N671" s="363" t="n"/>
      <c r="O671" s="363" t="n"/>
      <c r="P671" s="363" t="n"/>
      <c r="Q671" s="363" t="n"/>
      <c r="R671" s="314" t="n"/>
      <c r="S671" s="314" t="n"/>
      <c r="T671" s="314" t="n"/>
      <c r="U671" s="314" t="n"/>
      <c r="V671" s="314" t="n"/>
      <c r="W671" s="314" t="n"/>
      <c r="X671" s="314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90" t="n">
        <v>195585</v>
      </c>
      <c r="K672" s="291" t="n"/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90" t="n">
        <v>299900</v>
      </c>
      <c r="K673" s="291" t="n"/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</row>
    <row r="674" ht="15.5" customHeight="1">
      <c r="B674" s="277" t="n"/>
      <c r="C674" s="278" t="n"/>
      <c r="D674" s="312" t="inlineStr">
        <is>
          <t>Transportation</t>
        </is>
      </c>
      <c r="E674" s="280" t="n"/>
      <c r="F674" s="281" t="n"/>
      <c r="G674" s="278" t="n"/>
      <c r="H674" s="278" t="n"/>
      <c r="I674" s="363" t="n"/>
      <c r="J674" s="363" t="n"/>
      <c r="K674" s="363" t="n"/>
      <c r="L674" s="363" t="n"/>
      <c r="M674" s="363" t="n"/>
      <c r="N674" s="363" t="n"/>
      <c r="O674" s="363" t="n"/>
      <c r="P674" s="363" t="n"/>
      <c r="Q674" s="363" t="n"/>
      <c r="R674" s="314" t="n"/>
      <c r="S674" s="314" t="n"/>
      <c r="T674" s="314" t="n"/>
      <c r="U674" s="314" t="n"/>
      <c r="V674" s="314" t="n"/>
      <c r="W674" s="314" t="n"/>
      <c r="X674" s="314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90" t="n">
        <v>160000</v>
      </c>
      <c r="K675" s="291" t="n"/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90" t="n">
        <v>200000</v>
      </c>
      <c r="K676" s="291" t="n"/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90" t="n">
        <v>160000</v>
      </c>
      <c r="K677" s="291" t="n"/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</row>
    <row r="678" ht="15.5" customHeight="1">
      <c r="B678" s="302" t="inlineStr">
        <is>
          <t>Expense#45</t>
        </is>
      </c>
      <c r="C678" s="303" t="inlineStr">
        <is>
          <t>:</t>
        </is>
      </c>
      <c r="D678" s="304" t="inlineStr">
        <is>
          <t>General Operation_Year 2024 - AM</t>
        </is>
      </c>
      <c r="E678" s="324" t="n"/>
      <c r="F678" s="332" t="n"/>
      <c r="G678" s="303" t="n"/>
      <c r="H678" s="303" t="n"/>
      <c r="I678" s="307" t="n"/>
      <c r="J678" s="368" t="n"/>
      <c r="K678" s="368" t="n"/>
      <c r="L678" s="368" t="n"/>
      <c r="M678" s="368" t="n"/>
      <c r="N678" s="368" t="n"/>
      <c r="O678" s="368" t="n"/>
      <c r="P678" s="368" t="n"/>
      <c r="Q678" s="368" t="n"/>
      <c r="R678" s="310" t="n"/>
      <c r="S678" s="310" t="n"/>
      <c r="T678" s="310" t="n"/>
      <c r="U678" s="310" t="n"/>
      <c r="V678" s="310" t="n"/>
      <c r="W678" s="310" t="n"/>
      <c r="X678" s="310" t="n"/>
    </row>
    <row r="679" ht="15.5" customHeight="1">
      <c r="B679" s="311" t="n"/>
      <c r="C679" s="278" t="n"/>
      <c r="D679" s="315" t="inlineStr">
        <is>
          <t>IT Services</t>
        </is>
      </c>
      <c r="E679" s="318" t="n"/>
      <c r="F679" s="281" t="n"/>
      <c r="G679" s="278" t="n"/>
      <c r="H679" s="278" t="n"/>
      <c r="I679" s="283" t="n"/>
      <c r="J679" s="363" t="n"/>
      <c r="K679" s="363" t="n"/>
      <c r="L679" s="363" t="n"/>
      <c r="M679" s="363" t="n"/>
      <c r="N679" s="363" t="n"/>
      <c r="O679" s="363" t="n"/>
      <c r="P679" s="363" t="n"/>
      <c r="Q679" s="363" t="n"/>
      <c r="R679" s="314" t="n"/>
      <c r="S679" s="314" t="n"/>
      <c r="T679" s="314" t="n"/>
      <c r="U679" s="314" t="n"/>
      <c r="V679" s="314" t="n"/>
      <c r="W679" s="314" t="n"/>
      <c r="X679" s="314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1" t="n"/>
      <c r="L680" s="280" t="n"/>
      <c r="M680" s="292" t="n">
        <v>306982</v>
      </c>
      <c r="N680" s="280" t="n"/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1" t="n"/>
      <c r="L681" s="280" t="n"/>
      <c r="M681" s="292" t="n">
        <v>306982</v>
      </c>
      <c r="N681" s="280" t="n"/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1" t="n"/>
      <c r="L682" s="280" t="n"/>
      <c r="M682" s="292" t="n">
        <v>306982</v>
      </c>
      <c r="N682" s="280" t="n"/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1" t="n"/>
      <c r="L683" s="280" t="n"/>
      <c r="M683" s="292" t="n">
        <v>306982</v>
      </c>
      <c r="N683" s="280" t="n"/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1" t="n"/>
      <c r="L684" s="280" t="n"/>
      <c r="M684" s="292" t="n">
        <v>306982</v>
      </c>
      <c r="N684" s="280" t="n"/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</row>
    <row r="685" ht="15.5" customHeight="1">
      <c r="B685" s="311" t="n"/>
      <c r="C685" s="278" t="n"/>
      <c r="D685" s="315" t="inlineStr">
        <is>
          <t>Training</t>
        </is>
      </c>
      <c r="E685" s="318" t="n"/>
      <c r="F685" s="281" t="n"/>
      <c r="G685" s="278" t="n"/>
      <c r="H685" s="278" t="n"/>
      <c r="I685" s="283" t="n"/>
      <c r="J685" s="363" t="n"/>
      <c r="K685" s="363" t="n"/>
      <c r="L685" s="363" t="n"/>
      <c r="M685" s="363" t="n"/>
      <c r="N685" s="363" t="n"/>
      <c r="O685" s="363" t="n"/>
      <c r="P685" s="363" t="n"/>
      <c r="Q685" s="363" t="n"/>
      <c r="R685" s="314" t="n"/>
      <c r="S685" s="314" t="n"/>
      <c r="T685" s="314" t="n"/>
      <c r="U685" s="314" t="n"/>
      <c r="V685" s="314" t="n"/>
      <c r="W685" s="314" t="n"/>
      <c r="X685" s="314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90" t="n">
        <v>100000</v>
      </c>
      <c r="K686" s="291" t="n"/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90" t="n">
        <v>400000</v>
      </c>
      <c r="K687" s="291" t="n"/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90" t="n">
        <v>784000</v>
      </c>
      <c r="K688" s="291" t="n"/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90" t="n">
        <v>100000</v>
      </c>
      <c r="K689" s="291" t="n"/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90" t="n">
        <v>300000</v>
      </c>
      <c r="K690" s="291" t="n"/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</row>
    <row r="691" ht="15.5" customHeight="1">
      <c r="B691" s="311" t="n"/>
      <c r="C691" s="278" t="n"/>
      <c r="D691" s="315" t="inlineStr">
        <is>
          <t>Trip</t>
        </is>
      </c>
      <c r="E691" s="318" t="n"/>
      <c r="F691" s="281" t="n"/>
      <c r="G691" s="278" t="n"/>
      <c r="H691" s="278" t="n"/>
      <c r="I691" s="363" t="n"/>
      <c r="J691" s="363" t="n"/>
      <c r="K691" s="363" t="n"/>
      <c r="L691" s="363" t="n"/>
      <c r="M691" s="363" t="n"/>
      <c r="N691" s="363" t="n"/>
      <c r="O691" s="363" t="n"/>
      <c r="P691" s="363" t="n"/>
      <c r="Q691" s="363" t="n"/>
      <c r="R691" s="314" t="n"/>
      <c r="S691" s="314" t="n"/>
      <c r="T691" s="314" t="n"/>
      <c r="U691" s="314" t="n"/>
      <c r="V691" s="314" t="n"/>
      <c r="W691" s="314" t="n"/>
      <c r="X691" s="314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90" t="n">
        <v>13201183.322</v>
      </c>
      <c r="K692" s="291" t="n"/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90" t="n">
        <v>200000</v>
      </c>
      <c r="K693" s="291" t="n"/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90" t="n">
        <v>1803353</v>
      </c>
      <c r="K694" s="291" t="n"/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90" t="n">
        <v>181844.5</v>
      </c>
      <c r="K695" s="291" t="n"/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90" t="n">
        <v>1897983</v>
      </c>
      <c r="K696" s="291" t="n"/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90" t="n">
        <v>181844.5</v>
      </c>
      <c r="K697" s="291" t="n"/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90" t="n">
        <v>200000</v>
      </c>
      <c r="K698" s="291" t="n"/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90" t="n">
        <v>600000</v>
      </c>
      <c r="K699" s="291" t="n"/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90" t="n">
        <v>3000000</v>
      </c>
      <c r="K700" s="291" t="n"/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90" t="n">
        <v>3000000</v>
      </c>
      <c r="K701" s="291" t="n"/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90" t="n">
        <v>300000</v>
      </c>
      <c r="K702" s="291" t="n"/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90" t="n">
        <v>3000000</v>
      </c>
      <c r="K703" s="291" t="n"/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</row>
    <row r="704" ht="15.5" customHeight="1">
      <c r="B704" s="369" t="inlineStr">
        <is>
          <t>Expense#46</t>
        </is>
      </c>
      <c r="C704" s="370" t="inlineStr">
        <is>
          <t>:</t>
        </is>
      </c>
      <c r="D704" s="371" t="inlineStr">
        <is>
          <t>Non trip - Training BSS - AC</t>
        </is>
      </c>
      <c r="E704" s="372" t="n"/>
      <c r="F704" s="373" t="n"/>
      <c r="G704" s="370" t="n"/>
      <c r="H704" s="370" t="n"/>
      <c r="I704" s="307" t="n"/>
      <c r="J704" s="368" t="n"/>
      <c r="K704" s="368" t="n"/>
      <c r="L704" s="368" t="n"/>
      <c r="M704" s="368" t="n"/>
      <c r="N704" s="368" t="n"/>
      <c r="O704" s="368" t="n"/>
      <c r="P704" s="368" t="n"/>
      <c r="Q704" s="368" t="n"/>
      <c r="R704" s="310" t="n"/>
      <c r="S704" s="310" t="n"/>
      <c r="T704" s="310" t="n"/>
      <c r="U704" s="310" t="n"/>
      <c r="V704" s="310" t="n"/>
      <c r="W704" s="310" t="n"/>
      <c r="X704" s="310" t="n"/>
    </row>
    <row r="705" ht="15.5" customHeight="1">
      <c r="B705" s="374" t="n"/>
      <c r="C705" s="375" t="n"/>
      <c r="D705" s="376" t="inlineStr">
        <is>
          <t>Biaya Operasi</t>
        </is>
      </c>
      <c r="E705" s="377" t="n"/>
      <c r="F705" s="378" t="n"/>
      <c r="G705" s="375" t="n"/>
      <c r="H705" s="375" t="n"/>
      <c r="I705" s="363" t="n"/>
      <c r="J705" s="363" t="n"/>
      <c r="K705" s="363" t="n"/>
      <c r="L705" s="363" t="n"/>
      <c r="M705" s="363" t="n"/>
      <c r="N705" s="363" t="n"/>
      <c r="O705" s="363" t="n"/>
      <c r="P705" s="363" t="n"/>
      <c r="Q705" s="363" t="n"/>
      <c r="R705" s="314" t="n"/>
      <c r="S705" s="314" t="n"/>
      <c r="T705" s="314" t="n"/>
      <c r="U705" s="314" t="n"/>
      <c r="V705" s="314" t="n"/>
      <c r="W705" s="314" t="n"/>
      <c r="X705" s="314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90" t="n">
        <v>2700000</v>
      </c>
      <c r="K706" s="291" t="n"/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</row>
    <row r="707" ht="15.5" customHeight="1">
      <c r="B707" s="344" t="inlineStr">
        <is>
          <t>Expense#47</t>
        </is>
      </c>
      <c r="C707" s="370" t="inlineStr">
        <is>
          <t>:</t>
        </is>
      </c>
      <c r="D707" s="344" t="inlineStr">
        <is>
          <t>Trip Rakan : BSTTraining at HSSE Training Center PT Pertamina EP Zone 7 Cirebon</t>
        </is>
      </c>
      <c r="E707" s="379" t="n"/>
      <c r="F707" s="373" t="n"/>
      <c r="G707" s="370" t="n"/>
      <c r="H707" s="370" t="n"/>
      <c r="I707" s="368" t="n"/>
      <c r="J707" s="368" t="n"/>
      <c r="K707" s="368" t="n"/>
      <c r="L707" s="368" t="n"/>
      <c r="M707" s="368" t="n"/>
      <c r="N707" s="368" t="n"/>
      <c r="O707" s="368" t="n"/>
      <c r="P707" s="368" t="n"/>
      <c r="Q707" s="368" t="n"/>
      <c r="R707" s="310" t="n"/>
      <c r="S707" s="310" t="n"/>
      <c r="T707" s="310" t="n"/>
      <c r="U707" s="310" t="n"/>
      <c r="V707" s="310" t="n"/>
      <c r="W707" s="310" t="n"/>
      <c r="X707" s="310" t="n"/>
    </row>
    <row r="708" ht="15.5" customHeight="1">
      <c r="B708" s="374" t="n"/>
      <c r="C708" s="375" t="n"/>
      <c r="D708" s="376" t="inlineStr">
        <is>
          <t>Allowance</t>
        </is>
      </c>
      <c r="E708" s="377" t="n"/>
      <c r="F708" s="378" t="n"/>
      <c r="G708" s="375" t="n"/>
      <c r="H708" s="375" t="n"/>
      <c r="I708" s="283" t="n"/>
      <c r="J708" s="363" t="n"/>
      <c r="K708" s="363" t="n"/>
      <c r="L708" s="363" t="n"/>
      <c r="M708" s="363" t="n"/>
      <c r="N708" s="363" t="n"/>
      <c r="O708" s="363" t="n"/>
      <c r="P708" s="363" t="n"/>
      <c r="Q708" s="363" t="n"/>
      <c r="R708" s="314" t="n"/>
      <c r="S708" s="314" t="n"/>
      <c r="T708" s="314" t="n"/>
      <c r="U708" s="314" t="n"/>
      <c r="V708" s="314" t="n"/>
      <c r="W708" s="314" t="n"/>
      <c r="X708" s="314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90" t="n">
        <v>300000</v>
      </c>
      <c r="K709" s="291" t="n"/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</row>
    <row r="710" ht="15.5" customHeight="1">
      <c r="B710" s="380" t="n"/>
      <c r="C710" s="375" t="n"/>
      <c r="D710" s="376" t="inlineStr">
        <is>
          <t>Biaya Operasi</t>
        </is>
      </c>
      <c r="E710" s="377" t="n"/>
      <c r="F710" s="378" t="n"/>
      <c r="G710" s="375" t="n"/>
      <c r="H710" s="375" t="n"/>
      <c r="I710" s="283" t="n"/>
      <c r="J710" s="363" t="n"/>
      <c r="K710" s="363" t="n"/>
      <c r="L710" s="363" t="n"/>
      <c r="M710" s="363" t="n"/>
      <c r="N710" s="363" t="n"/>
      <c r="O710" s="363" t="n"/>
      <c r="P710" s="363" t="n"/>
      <c r="Q710" s="363" t="n"/>
      <c r="R710" s="314" t="n"/>
      <c r="S710" s="314" t="n"/>
      <c r="T710" s="314" t="n"/>
      <c r="U710" s="314" t="n"/>
      <c r="V710" s="314" t="n"/>
      <c r="W710" s="314" t="n"/>
      <c r="X710" s="314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90" t="n">
        <v>200000</v>
      </c>
      <c r="K711" s="291" t="n"/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90" t="n">
        <v>61500</v>
      </c>
      <c r="K712" s="291" t="n"/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90" t="n">
        <v>12500</v>
      </c>
      <c r="K713" s="291" t="n"/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90" t="n">
        <v>224000</v>
      </c>
      <c r="K714" s="291" t="n"/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90" t="n">
        <v>140000</v>
      </c>
      <c r="K715" s="291" t="n"/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90" t="n">
        <v>11000</v>
      </c>
      <c r="K716" s="291" t="n"/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90" t="n">
        <v>11000</v>
      </c>
      <c r="K717" s="291" t="n"/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90" t="n">
        <v>66000</v>
      </c>
      <c r="K718" s="291" t="n"/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</row>
    <row r="719" ht="15.5" customHeight="1">
      <c r="B719" s="381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82" t="n">
        <v>991500000</v>
      </c>
      <c r="J719" s="382" t="n">
        <v>1165223146.932</v>
      </c>
      <c r="K719" s="382" t="n">
        <v>356012003</v>
      </c>
      <c r="L719" s="382" t="n">
        <v>367745000</v>
      </c>
      <c r="M719" s="382" t="n">
        <v>8769780</v>
      </c>
      <c r="N719" s="382" t="n">
        <v>200517570</v>
      </c>
      <c r="O719" s="382" t="n">
        <v>4995000</v>
      </c>
      <c r="P719" s="382" t="n">
        <v>38548717.5</v>
      </c>
      <c r="Q719" s="382" t="n">
        <v>202920000</v>
      </c>
      <c r="R719" s="383" t="n">
        <v>0</v>
      </c>
      <c r="S719" s="383" t="n">
        <v>0</v>
      </c>
      <c r="T719" s="383" t="n">
        <v>0</v>
      </c>
      <c r="U719" s="383" t="n">
        <v>0</v>
      </c>
      <c r="V719" s="383" t="n">
        <v>0</v>
      </c>
      <c r="W719" s="383" t="n">
        <v>0</v>
      </c>
      <c r="X719" s="383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5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5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>
      <c r="A8" s="384" t="n"/>
      <c r="B8" s="402" t="inlineStr">
        <is>
          <t>PENDAPATAN</t>
        </is>
      </c>
      <c r="C8" s="403" t="n"/>
      <c r="D8" s="404" t="n"/>
      <c r="E8" s="405" t="n"/>
      <c r="F8" s="387" t="n"/>
      <c r="G8" s="406" t="inlineStr">
        <is>
          <t>AKTIVA</t>
        </is>
      </c>
      <c r="H8" s="407" t="n"/>
      <c r="I8" s="408" t="n"/>
      <c r="J8" s="409" t="n"/>
    </row>
    <row r="9">
      <c r="A9" s="384" t="n"/>
      <c r="B9" s="410" t="n"/>
      <c r="C9" s="403" t="inlineStr">
        <is>
          <t>PENDAPATAN LANGSUNG</t>
        </is>
      </c>
      <c r="D9" s="410" t="inlineStr">
        <is>
          <t>Rp</t>
        </is>
      </c>
      <c r="E9" s="411">
        <f>SUM('Revenue-Cost_2024'!L8:L20)</f>
        <v/>
      </c>
      <c r="F9" s="387" t="n"/>
      <c r="G9" s="412" t="inlineStr">
        <is>
          <t>AKTIVA LANCAR</t>
        </is>
      </c>
      <c r="H9" s="413" t="n"/>
      <c r="I9" s="412" t="n"/>
      <c r="J9" s="414" t="n"/>
    </row>
    <row r="10">
      <c r="A10" s="384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>
        <f>SUM('Revenue-Cost_2024'!L21:L21)</f>
        <v/>
      </c>
      <c r="F10" s="387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4" t="n"/>
      <c r="B11" s="410" t="n"/>
      <c r="C11" s="403" t="n"/>
      <c r="D11" s="418" t="n"/>
      <c r="E11" s="419" t="n"/>
      <c r="F11" s="387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4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7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4" t="n"/>
      <c r="B13" s="410" t="n"/>
      <c r="C13" s="403" t="n"/>
      <c r="D13" s="404" t="n"/>
      <c r="E13" s="424" t="n"/>
      <c r="F13" s="387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4" t="n"/>
      <c r="B14" s="425" t="inlineStr">
        <is>
          <t>BEBAN LANGSUNG</t>
        </is>
      </c>
      <c r="C14" s="403" t="n"/>
      <c r="D14" s="410" t="n"/>
      <c r="E14" s="426" t="n"/>
      <c r="F14" s="387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4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'Revenue-Cost_2024'!I719</f>
        <v/>
      </c>
      <c r="F15" s="387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4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'Revenue-Cost_2024'!J719</f>
        <v/>
      </c>
      <c r="F16" s="387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4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'Revenue-Cost_2024'!K719</f>
        <v/>
      </c>
      <c r="F17" s="387" t="n"/>
      <c r="G17" s="415" t="n"/>
      <c r="H17" s="416" t="n"/>
      <c r="I17" s="432" t="n"/>
      <c r="J17" s="433" t="n"/>
    </row>
    <row r="18">
      <c r="A18" s="384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'Revenue-Cost_2024'!L719</f>
        <v/>
      </c>
      <c r="F18" s="387" t="n"/>
      <c r="G18" s="412" t="inlineStr">
        <is>
          <t>ACTIVA TETAP</t>
        </is>
      </c>
      <c r="H18" s="434" t="n"/>
      <c r="I18" s="406" t="n"/>
      <c r="J18" s="417" t="n"/>
    </row>
    <row r="19">
      <c r="A19" s="384" t="n"/>
      <c r="B19" s="427" t="n"/>
      <c r="C19" s="403" t="n"/>
      <c r="D19" s="410" t="n"/>
      <c r="E19" s="426" t="n"/>
      <c r="F19" s="387" t="n"/>
      <c r="G19" s="412" t="n"/>
      <c r="H19" s="434" t="n"/>
      <c r="I19" s="406" t="n"/>
      <c r="J19" s="417" t="n"/>
    </row>
    <row r="20">
      <c r="A20" s="384" t="n"/>
      <c r="B20" s="427" t="n"/>
      <c r="C20" s="403" t="n"/>
      <c r="D20" s="418" t="n"/>
      <c r="E20" s="435" t="n"/>
      <c r="F20" s="387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4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7" t="n"/>
      <c r="G21" s="415" t="n"/>
      <c r="H21" s="434" t="n"/>
      <c r="I21" s="437" t="n"/>
      <c r="J21" s="438" t="n"/>
    </row>
    <row r="22">
      <c r="A22" s="384" t="n"/>
      <c r="B22" s="410" t="n"/>
      <c r="C22" s="403" t="n"/>
      <c r="D22" s="404" t="n"/>
      <c r="E22" s="439" t="n"/>
      <c r="F22" s="387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4" t="n"/>
      <c r="B23" s="425" t="inlineStr">
        <is>
          <t>BEBAN TIDAK LANGSUNG</t>
        </is>
      </c>
      <c r="C23" s="403" t="n"/>
      <c r="D23" s="410" t="n"/>
      <c r="E23" s="426">
        <f>'Revenue-Cost_2024'!Q719</f>
        <v/>
      </c>
      <c r="F23" s="387" t="n"/>
      <c r="G23" s="415" t="n"/>
      <c r="H23" s="416" t="n"/>
      <c r="I23" s="432" t="n"/>
      <c r="J23" s="409" t="n"/>
    </row>
    <row r="24">
      <c r="A24" s="384" t="n"/>
      <c r="B24" s="410" t="n"/>
      <c r="C24" s="403" t="n"/>
      <c r="D24" s="410" t="n"/>
      <c r="E24" s="426" t="n"/>
      <c r="F24" s="387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4" t="n"/>
      <c r="B25" s="410" t="n"/>
      <c r="C25" s="403" t="n"/>
      <c r="D25" s="410" t="inlineStr">
        <is>
          <t>Rp</t>
        </is>
      </c>
      <c r="E25" s="426" t="n"/>
      <c r="F25" s="387" t="n"/>
      <c r="G25" s="415" t="n"/>
      <c r="H25" s="416" t="n"/>
      <c r="I25" s="440" t="n"/>
      <c r="J25" s="441" t="n">
        <v>0</v>
      </c>
    </row>
    <row r="26">
      <c r="A26" s="384" t="n"/>
      <c r="B26" s="410" t="n"/>
      <c r="C26" s="403" t="n"/>
      <c r="D26" s="418" t="n"/>
      <c r="E26" s="435" t="n"/>
      <c r="F26" s="387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4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7" t="n"/>
      <c r="G27" s="415" t="n"/>
      <c r="H27" s="416" t="n"/>
      <c r="I27" s="442" t="n"/>
      <c r="J27" s="443" t="n"/>
    </row>
    <row r="28">
      <c r="A28" s="384" t="n"/>
      <c r="B28" s="410" t="n"/>
      <c r="C28" s="403" t="n"/>
      <c r="D28" s="404" t="n"/>
      <c r="E28" s="439" t="n"/>
      <c r="F28" s="387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4" t="n"/>
      <c r="B29" s="425" t="inlineStr">
        <is>
          <t>BIAYA ADMINISTRASI DAN UMUM</t>
        </is>
      </c>
      <c r="C29" s="403" t="n"/>
      <c r="D29" s="410" t="n"/>
      <c r="E29" s="426" t="n"/>
      <c r="F29" s="387" t="n"/>
      <c r="G29" s="445" t="n"/>
      <c r="H29" s="446" t="n"/>
      <c r="I29" s="445" t="n"/>
      <c r="J29" s="433" t="n"/>
    </row>
    <row r="30">
      <c r="A30" s="384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'Revenue-Cost_2024'!M719</f>
        <v/>
      </c>
      <c r="F30" s="387" t="n"/>
      <c r="G30" s="447" t="inlineStr">
        <is>
          <t>HUTANG DAN MODAL</t>
        </is>
      </c>
      <c r="H30" s="407" t="n"/>
      <c r="I30" s="447" t="n"/>
      <c r="J30" s="448" t="n"/>
    </row>
    <row r="31">
      <c r="A31" s="384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'Revenue-Cost_2024'!N719</f>
        <v/>
      </c>
      <c r="F31" s="387" t="n"/>
      <c r="G31" s="447" t="n"/>
      <c r="H31" s="407" t="n"/>
      <c r="I31" s="447" t="n"/>
      <c r="J31" s="448" t="n"/>
    </row>
    <row r="32">
      <c r="A32" s="384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'Revenue-Cost_2024'!O719</f>
        <v/>
      </c>
      <c r="F32" s="387" t="n"/>
      <c r="G32" s="412" t="inlineStr">
        <is>
          <t>HUTANG LANCAR</t>
        </is>
      </c>
      <c r="H32" s="413" t="n"/>
      <c r="I32" s="412" t="n"/>
      <c r="J32" s="414" t="n"/>
    </row>
    <row r="33">
      <c r="A33" s="384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'Revenue-Cost_2024'!P719</f>
        <v/>
      </c>
      <c r="F33" s="387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4" t="n"/>
      <c r="B34" s="427" t="n"/>
      <c r="C34" s="403" t="n"/>
      <c r="D34" s="418" t="n"/>
      <c r="E34" s="435" t="n"/>
      <c r="F34" s="387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4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7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4" t="n"/>
      <c r="B36" s="427" t="n"/>
      <c r="C36" s="403" t="n"/>
      <c r="D36" s="422" t="n"/>
      <c r="E36" s="450" t="n"/>
      <c r="F36" s="387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4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7" t="n"/>
      <c r="G37" s="451" t="n"/>
      <c r="H37" s="452" t="n"/>
      <c r="I37" s="451" t="n"/>
      <c r="J37" s="453" t="n"/>
    </row>
    <row r="38">
      <c r="A38" s="384" t="n"/>
      <c r="B38" s="402" t="n"/>
      <c r="C38" s="454" t="n"/>
      <c r="D38" s="404" t="n"/>
      <c r="E38" s="455" t="n"/>
      <c r="F38" s="387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4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7" t="n"/>
      <c r="G39" s="415" t="n"/>
      <c r="H39" s="434" t="n"/>
      <c r="I39" s="458" t="n"/>
      <c r="J39" s="409" t="n"/>
    </row>
    <row r="40">
      <c r="A40" s="384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7" t="n"/>
      <c r="G40" s="412" t="inlineStr">
        <is>
          <t>MODAL</t>
        </is>
      </c>
      <c r="H40" s="413" t="n"/>
      <c r="I40" s="412" t="n"/>
      <c r="J40" s="414" t="n"/>
    </row>
    <row r="41">
      <c r="A41" s="384" t="n"/>
      <c r="B41" s="425" t="n"/>
      <c r="C41" s="403" t="n"/>
      <c r="D41" s="418" t="n"/>
      <c r="E41" s="459" t="n"/>
      <c r="F41" s="387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4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7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4" t="n"/>
      <c r="B43" s="460" t="n"/>
      <c r="C43" s="454" t="n"/>
      <c r="D43" s="404" t="n"/>
      <c r="E43" s="424" t="n"/>
      <c r="F43" s="387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4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7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4" t="n"/>
      <c r="B45" s="425" t="n"/>
      <c r="C45" s="403" t="n"/>
      <c r="D45" s="418" t="n"/>
      <c r="E45" s="459" t="n"/>
      <c r="F45" s="387" t="n"/>
      <c r="G45" s="415" t="n"/>
      <c r="H45" s="416" t="n"/>
      <c r="I45" s="442" t="n"/>
      <c r="J45" s="443" t="n"/>
    </row>
    <row r="46" ht="15" customHeight="1">
      <c r="A46" s="384" t="n"/>
      <c r="B46" s="461" t="inlineStr">
        <is>
          <t>LABA / RUGI BERSIH</t>
        </is>
      </c>
      <c r="C46" s="462" t="n"/>
      <c r="D46" s="463" t="n"/>
      <c r="E46" s="464">
        <f>E42-E44</f>
        <v/>
      </c>
      <c r="F46" s="387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>
      <c r="A47" s="384" t="n"/>
      <c r="F47" s="387" t="n"/>
    </row>
    <row r="48" ht="50.65" customHeight="1">
      <c r="A48" s="384" t="n"/>
      <c r="F48" s="387" t="n"/>
      <c r="G48" s="468" t="n"/>
    </row>
    <row r="49" ht="16.75" customHeight="1">
      <c r="A49" s="384" t="n"/>
      <c r="B49" s="469" t="n"/>
      <c r="F49" s="387" t="n"/>
      <c r="G49" s="469" t="n"/>
    </row>
    <row r="50" ht="15.65" customHeight="1">
      <c r="A50" s="403" t="n"/>
      <c r="B50" s="470" t="inlineStr">
        <is>
          <t>Direktur</t>
        </is>
      </c>
      <c r="F50" s="387" t="n"/>
      <c r="G50" s="470" t="inlineStr">
        <is>
          <t>Direktur</t>
        </is>
      </c>
    </row>
    <row r="51">
      <c r="A51" s="403" t="n"/>
      <c r="F51" s="387" t="n"/>
    </row>
    <row r="52">
      <c r="A52" s="403" t="n"/>
      <c r="F52" s="387" t="n"/>
      <c r="J52" s="47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</row>
    <row r="4" ht="20.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27" t="n"/>
      <c r="F6" s="387" t="n"/>
    </row>
    <row r="7" ht="20" customHeight="1">
      <c r="A7" s="384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SUM('Revenue-Cost_2024'!L8:L21)</f>
        <v/>
      </c>
      <c r="F7" s="387" t="n"/>
    </row>
    <row r="8" ht="20" customHeight="1">
      <c r="A8" s="384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E7-SUM('Revenue-Cost_2024'!N8:N21)</f>
        <v/>
      </c>
      <c r="F8" s="387" t="n"/>
    </row>
    <row r="9" ht="20" customHeight="1">
      <c r="A9" s="384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SUM('Revenue-Cost_2024'!I719:Q719)</f>
        <v/>
      </c>
      <c r="F9" s="387" t="n"/>
    </row>
    <row r="10" ht="20" customHeight="1">
      <c r="A10" s="384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7" t="n"/>
    </row>
    <row r="11" ht="20" customHeight="1">
      <c r="A11" s="384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7" t="n"/>
    </row>
    <row r="12" ht="20" customHeight="1">
      <c r="A12" s="384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SUM('Revenue-Cost_2024'!N8:N21)</f>
        <v/>
      </c>
      <c r="F12" s="387" t="n"/>
    </row>
    <row r="13" ht="20" customHeight="1">
      <c r="A13" s="384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7" t="n"/>
    </row>
    <row r="14" ht="20" customHeight="1">
      <c r="A14" s="384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7" t="n"/>
    </row>
    <row r="15" ht="20" customHeight="1">
      <c r="A15" s="384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7" t="n"/>
    </row>
    <row r="16" ht="20" customHeight="1">
      <c r="A16" s="384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33763737</v>
      </c>
      <c r="F16" s="387" t="n"/>
    </row>
    <row r="17">
      <c r="A17" s="384" t="n"/>
      <c r="B17" s="384" t="n"/>
      <c r="C17" s="384" t="n"/>
      <c r="D17" s="384" t="n"/>
      <c r="E17" s="385" t="n"/>
      <c r="F17" s="387" t="n"/>
    </row>
    <row r="18" ht="18" customHeight="1">
      <c r="A18" s="384" t="n"/>
      <c r="B18" s="479" t="inlineStr">
        <is>
          <t>DEVIDEN</t>
        </is>
      </c>
      <c r="F18" s="387" t="n"/>
    </row>
    <row r="19" ht="20" customHeight="1">
      <c r="A19" s="384" t="n"/>
      <c r="B19" s="480" t="inlineStr">
        <is>
          <t>#</t>
        </is>
      </c>
      <c r="C19" s="480" t="inlineStr">
        <is>
          <t>Nama Lengkap</t>
        </is>
      </c>
      <c r="D19" s="481" t="inlineStr"/>
      <c r="E19" s="482" t="inlineStr">
        <is>
          <t>Amount</t>
        </is>
      </c>
      <c r="F19" s="387" t="inlineStr"/>
      <c r="G19" s="483" t="inlineStr">
        <is>
          <t>Pajak</t>
        </is>
      </c>
    </row>
    <row r="20" ht="19" customHeight="1">
      <c r="A20" s="384" t="n"/>
      <c r="B20" s="484" t="n">
        <v>1</v>
      </c>
      <c r="C20" s="485" t="inlineStr">
        <is>
          <t>Anevril Chairulsyah</t>
        </is>
      </c>
      <c r="D20" s="486" t="inlineStr">
        <is>
          <t>Rp</t>
        </is>
      </c>
      <c r="E20" s="487">
        <f>IF(C20="","",ROUND($E$15/COUNTA($C$20:$C$21), 0))</f>
        <v/>
      </c>
      <c r="F20" s="387" t="n"/>
      <c r="G20" s="488" t="inlineStr">
        <is>
          <t>Pajak 10%</t>
        </is>
      </c>
    </row>
    <row r="21" ht="20" customHeight="1">
      <c r="A21" s="403" t="n"/>
      <c r="B21" s="489" t="n">
        <v>2</v>
      </c>
      <c r="C21" s="490" t="inlineStr">
        <is>
          <t>Alan Muhadjir</t>
        </is>
      </c>
      <c r="D21" s="491" t="inlineStr">
        <is>
          <t>Rp</t>
        </is>
      </c>
      <c r="E21" s="492">
        <f>IF(C21="","",ROUND($E$15/COUNTA($C$20:$C$21), 0))</f>
        <v/>
      </c>
      <c r="F21" s="387" t="n"/>
      <c r="G21" t="inlineStr">
        <is>
          <t>Pajak 10%</t>
        </is>
      </c>
    </row>
    <row r="22">
      <c r="A22" s="403" t="n"/>
      <c r="F22" s="38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2026-04-12T19:12:37Z</dcterms:modified>
  <cp:lastModifiedBy>Diofavian - Student</cp:lastModifiedBy>
</cp:coreProperties>
</file>