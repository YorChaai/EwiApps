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165" fontId="8" fillId="10" borderId="15" pivotButton="0" quotePrefix="0" xfId="1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applyAlignment="1" pivotButton="0" quotePrefix="0" xfId="0">
      <alignment horizontal="left" vertical="center"/>
    </xf>
    <xf numFmtId="168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5" fontId="8" fillId="11" borderId="15" pivotButton="0" quotePrefix="0" xfId="1"/>
    <xf numFmtId="168" fontId="10" fillId="11" borderId="15" pivotButton="0" quotePrefix="0" xfId="1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5" fontId="8" fillId="12" borderId="15" pivotButton="0" quotePrefix="0" xfId="1"/>
    <xf numFmtId="168" fontId="8" fillId="11" borderId="15" pivotButton="0" quotePrefix="0" xfId="0"/>
    <xf numFmtId="165" fontId="10" fillId="12" borderId="15" pivotButton="0" quotePrefix="0" xfId="1"/>
    <xf numFmtId="165" fontId="8" fillId="12" borderId="15" pivotButton="0" quotePrefix="0" xfId="0"/>
    <xf numFmtId="0" fontId="10" fillId="12" borderId="15" pivotButton="0" quotePrefix="0" xfId="0"/>
    <xf numFmtId="166" fontId="10" fillId="12" borderId="15" pivotButton="0" quotePrefix="0" xfId="1"/>
    <xf numFmtId="15" fontId="26" fillId="0" borderId="15" applyAlignment="1" pivotButton="0" quotePrefix="0" xfId="0">
      <alignment horizontal="right" vertical="center"/>
    </xf>
    <xf numFmtId="3" fontId="26" fillId="0" borderId="15" pivotButton="0" quotePrefix="0" xfId="0"/>
    <xf numFmtId="3" fontId="26" fillId="0" borderId="15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3" fontId="27" fillId="10" borderId="15" applyAlignment="1" pivotButton="0" quotePrefix="0" xfId="0">
      <alignment horizontal="center" vertical="center" wrapText="1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41" fillId="0" borderId="15" applyAlignment="1" pivotButton="0" quotePrefix="0" xfId="0">
      <alignment horizontal="left" vertical="center"/>
    </xf>
    <xf numFmtId="3" fontId="41" fillId="0" borderId="15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0" fontId="42" fillId="0" borderId="15" applyAlignment="1" pivotButton="0" quotePrefix="0" xfId="0">
      <alignment horizontal="left" vertical="center"/>
    </xf>
    <xf numFmtId="3" fontId="42" fillId="0" borderId="15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35" fillId="6" borderId="6" pivotButton="0" quotePrefix="0" xfId="0"/>
    <xf numFmtId="2" fontId="34" fillId="13" borderId="19" pivotButton="0" quotePrefix="0" xfId="0"/>
    <xf numFmtId="2" fontId="34" fillId="13" borderId="20" pivotButton="0" quotePrefix="0" xfId="0"/>
    <xf numFmtId="0" fontId="35" fillId="6" borderId="19" pivotButton="0" quotePrefix="0" xfId="0"/>
    <xf numFmtId="3" fontId="34" fillId="13" borderId="18" applyAlignment="1" pivotButton="0" quotePrefix="0" xfId="0">
      <alignment horizontal="right"/>
    </xf>
    <xf numFmtId="0" fontId="42" fillId="0" borderId="22" applyAlignment="1" pivotButton="0" quotePrefix="0" xfId="0">
      <alignment horizontal="left" vertical="center"/>
    </xf>
    <xf numFmtId="3" fontId="42" fillId="0" borderId="22" applyAlignment="1" pivotButton="0" quotePrefix="0" xfId="0">
      <alignment horizontal="right" vertical="center"/>
    </xf>
    <xf numFmtId="174" fontId="1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23" applyAlignment="1" pivotButton="0" quotePrefix="0" xfId="0">
      <alignment horizontal="center" vertical="center"/>
    </xf>
    <xf numFmtId="165" fontId="43" fillId="6" borderId="24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 (Q)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inlineStr">
        <is>
          <t>13-Dec-30</t>
        </is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inlineStr">
        <is>
          <t>31-Dec-30</t>
        </is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Allowance (A)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inlineStr">
        <is>
          <t>31-Dec-30</t>
        </is>
      </c>
      <c r="C46" s="278" t="n">
        <v>3</v>
      </c>
      <c r="D46" s="280" t="inlineStr">
        <is>
          <t>87987000</t>
        </is>
      </c>
      <c r="E46" s="280" t="inlineStr">
        <is>
          <t>BNI</t>
        </is>
      </c>
      <c r="F46" s="287" t="n">
        <v>98098000</v>
      </c>
      <c r="G46" s="282" t="inlineStr">
        <is>
          <t>IDR</t>
        </is>
      </c>
      <c r="H46" s="288" t="n">
        <v>1</v>
      </c>
      <c r="I46" s="289" t="n"/>
      <c r="J46" s="289" t="n"/>
      <c r="K46" s="290" t="n"/>
      <c r="L46" s="291" t="n">
        <v>98098000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keysha (Q)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inlineStr">
        <is>
          <t>01-Oct-30</t>
        </is>
      </c>
      <c r="C48" s="278" t="n">
        <v>4</v>
      </c>
      <c r="D48" s="280" t="inlineStr">
        <is>
          <t>sdasd</t>
        </is>
      </c>
      <c r="E48" s="280" t="inlineStr">
        <is>
          <t>Mandiri</t>
        </is>
      </c>
      <c r="F48" s="287" t="n">
        <v>14664</v>
      </c>
      <c r="G48" s="282" t="inlineStr">
        <is>
          <t>USD</t>
        </is>
      </c>
      <c r="H48" s="288" t="n">
        <v>1222</v>
      </c>
      <c r="I48" s="289" t="n"/>
      <c r="J48" s="289" t="n"/>
      <c r="K48" s="290" t="n"/>
      <c r="L48" s="280" t="n"/>
      <c r="M48" s="291" t="n">
        <v>14664</v>
      </c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86" t="inlineStr">
        <is>
          <t>31-Dec-30</t>
        </is>
      </c>
      <c r="C49" s="278" t="n">
        <v>5</v>
      </c>
      <c r="D49" s="280" t="inlineStr">
        <is>
          <t>3234234</t>
        </is>
      </c>
      <c r="E49" s="280" t="inlineStr">
        <is>
          <t>Mandiri</t>
        </is>
      </c>
      <c r="F49" s="287" t="n">
        <v>234234</v>
      </c>
      <c r="G49" s="282" t="inlineStr">
        <is>
          <t>IDR</t>
        </is>
      </c>
      <c r="H49" s="288" t="n">
        <v>1</v>
      </c>
      <c r="I49" s="289" t="n"/>
      <c r="J49" s="289" t="n"/>
      <c r="K49" s="290" t="n"/>
      <c r="L49" s="280" t="n"/>
      <c r="M49" s="291" t="n">
        <v>234234</v>
      </c>
      <c r="N49" s="280" t="n"/>
      <c r="O49" s="280" t="n"/>
      <c r="P49" s="280" t="n"/>
      <c r="Q49" s="280" t="n"/>
      <c r="R49" s="292" t="n"/>
      <c r="S49" s="292" t="n"/>
      <c r="T49" s="292" t="n"/>
      <c r="U49" s="292" t="n"/>
      <c r="V49" s="292" t="n"/>
      <c r="W49" s="292" t="n"/>
      <c r="X49" s="292" t="n"/>
      <c r="Y49" s="292" t="n"/>
    </row>
    <row r="50" ht="15.5" customHeight="1">
      <c r="B50" s="294" t="n"/>
      <c r="C50" s="295" t="n"/>
      <c r="D50" s="296" t="inlineStr">
        <is>
          <t>OPERATION COST AND OFFICE - Expenses Report</t>
        </is>
      </c>
      <c r="E50" s="297" t="n"/>
      <c r="F50" s="298" t="n"/>
      <c r="G50" s="299" t="n"/>
      <c r="H50" s="299" t="n"/>
      <c r="I50" s="300" t="n"/>
      <c r="J50" s="300" t="n"/>
      <c r="K50" s="301" t="n"/>
      <c r="L50" s="302" t="n"/>
      <c r="M50" s="301" t="n"/>
      <c r="N50" s="301" t="n"/>
      <c r="O50" s="301" t="n"/>
      <c r="P50" s="301" t="n"/>
      <c r="Q50" s="301" t="n"/>
      <c r="R50" s="303" t="n"/>
      <c r="S50" s="303" t="n"/>
      <c r="T50" s="303" t="n"/>
      <c r="U50" s="303" t="n"/>
      <c r="V50" s="303" t="n"/>
      <c r="W50" s="303" t="n"/>
      <c r="X50" s="303" t="n"/>
      <c r="Y50" s="303" t="n"/>
    </row>
    <row r="51" ht="15.5" customHeight="1">
      <c r="B51" s="304" t="inlineStr">
        <is>
          <t>Expense#1</t>
        </is>
      </c>
      <c r="C51" s="305" t="inlineStr">
        <is>
          <t>:</t>
        </is>
      </c>
      <c r="D51" s="306" t="inlineStr">
        <is>
          <t>Gudang</t>
        </is>
      </c>
      <c r="E51" s="307" t="n"/>
      <c r="F51" s="308" t="n"/>
      <c r="G51" s="309" t="n"/>
      <c r="H51" s="309" t="n"/>
      <c r="I51" s="310" t="n"/>
      <c r="J51" s="310" t="n"/>
      <c r="K51" s="311" t="n"/>
      <c r="L51" s="311" t="n"/>
      <c r="M51" s="311" t="n"/>
      <c r="N51" s="311" t="n"/>
      <c r="O51" s="311" t="n"/>
      <c r="P51" s="311" t="n"/>
      <c r="Q51" s="311" t="n"/>
      <c r="R51" s="312" t="n"/>
      <c r="S51" s="312" t="n"/>
      <c r="T51" s="312" t="n"/>
      <c r="U51" s="312" t="n"/>
      <c r="V51" s="312" t="n"/>
      <c r="W51" s="312" t="n"/>
      <c r="X51" s="312" t="n"/>
      <c r="Y51" s="312" t="n"/>
    </row>
    <row r="52" ht="15.5" customFormat="1" customHeight="1" s="66">
      <c r="B52" s="277" t="n"/>
      <c r="C52" s="278" t="n"/>
      <c r="D52" s="313" t="inlineStr">
        <is>
          <t>123123 (P)</t>
        </is>
      </c>
      <c r="E52" s="314" t="n"/>
      <c r="F52" s="281" t="n"/>
      <c r="G52" s="282" t="n"/>
      <c r="H52" s="282" t="n"/>
      <c r="I52" s="283" t="n"/>
      <c r="J52" s="284" t="n"/>
      <c r="K52" s="279" t="n"/>
      <c r="L52" s="279" t="n"/>
      <c r="M52" s="279" t="n"/>
      <c r="N52" s="279" t="n"/>
      <c r="O52" s="279" t="n"/>
      <c r="P52" s="279" t="n"/>
      <c r="Q52" s="279" t="n"/>
      <c r="R52" s="285" t="n"/>
      <c r="S52" s="285" t="n"/>
      <c r="T52" s="285" t="n"/>
      <c r="U52" s="285" t="n"/>
      <c r="V52" s="285" t="n"/>
      <c r="W52" s="285" t="n"/>
      <c r="X52" s="285" t="n"/>
      <c r="Y52" s="285" t="n"/>
    </row>
    <row r="53" ht="15.5" customFormat="1" customHeight="1" s="66">
      <c r="B53" s="286" t="inlineStr">
        <is>
          <t>31-Dec-30</t>
        </is>
      </c>
      <c r="C53" s="278" t="n">
        <v>1</v>
      </c>
      <c r="D53" s="280" t="inlineStr">
        <is>
          <t>123123</t>
        </is>
      </c>
      <c r="E53" s="280" t="inlineStr">
        <is>
          <t>BCA</t>
        </is>
      </c>
      <c r="F53" s="287" t="n">
        <v>123123</v>
      </c>
      <c r="G53" s="282" t="inlineStr">
        <is>
          <t>IDR</t>
        </is>
      </c>
      <c r="H53" s="288" t="n">
        <v>1</v>
      </c>
      <c r="I53" s="289" t="n"/>
      <c r="J53" s="289" t="n"/>
      <c r="K53" s="290" t="n"/>
      <c r="L53" s="280" t="n"/>
      <c r="M53" s="280" t="n"/>
      <c r="N53" s="280" t="n"/>
      <c r="O53" s="280" t="n"/>
      <c r="P53" s="280" t="n"/>
      <c r="Q53" s="280" t="n"/>
      <c r="R53" s="292" t="n"/>
      <c r="S53" s="292" t="n"/>
      <c r="T53" s="292" t="n"/>
      <c r="U53" s="292" t="n"/>
      <c r="V53" s="292" t="n"/>
      <c r="W53" s="292" t="n"/>
      <c r="X53" s="292" t="n"/>
      <c r="Y53" s="293" t="n">
        <v>123123</v>
      </c>
    </row>
    <row r="54" ht="15.5" customFormat="1" customHeight="1" s="66">
      <c r="B54" s="277" t="n"/>
      <c r="C54" s="278" t="n"/>
      <c r="D54" s="313" t="inlineStr">
        <is>
          <t>Meal (A)</t>
        </is>
      </c>
      <c r="E54" s="280" t="n"/>
      <c r="F54" s="281" t="n"/>
      <c r="G54" s="282" t="n"/>
      <c r="H54" s="282" t="n"/>
      <c r="I54" s="283" t="n"/>
      <c r="J54" s="283" t="n"/>
      <c r="K54" s="284" t="n"/>
      <c r="L54" s="315" t="n"/>
      <c r="M54" s="279" t="n"/>
      <c r="N54" s="279" t="n"/>
      <c r="O54" s="279" t="n"/>
      <c r="P54" s="279" t="n"/>
      <c r="Q54" s="279" t="n"/>
      <c r="R54" s="285" t="n"/>
      <c r="S54" s="285" t="n"/>
      <c r="T54" s="285" t="n"/>
      <c r="U54" s="285" t="n"/>
      <c r="V54" s="285" t="n"/>
      <c r="W54" s="285" t="n"/>
      <c r="X54" s="285" t="n"/>
      <c r="Y54" s="285" t="n"/>
    </row>
    <row r="55" ht="15.5" customFormat="1" customHeight="1" s="66">
      <c r="B55" s="286" t="inlineStr">
        <is>
          <t>31-Dec-30</t>
        </is>
      </c>
      <c r="C55" s="278" t="n">
        <v>2</v>
      </c>
      <c r="D55" s="280" t="inlineStr">
        <is>
          <t>werw</t>
        </is>
      </c>
      <c r="E55" s="280" t="inlineStr">
        <is>
          <t>BRI</t>
        </is>
      </c>
      <c r="F55" s="287" t="n">
        <v>123123</v>
      </c>
      <c r="G55" s="282" t="inlineStr">
        <is>
          <t>IDR</t>
        </is>
      </c>
      <c r="H55" s="288" t="n">
        <v>1</v>
      </c>
      <c r="I55" s="289" t="n"/>
      <c r="J55" s="289" t="n"/>
      <c r="K55" s="290" t="n"/>
      <c r="L55" s="291" t="n">
        <v>123123</v>
      </c>
      <c r="M55" s="280" t="n"/>
      <c r="N55" s="280" t="n"/>
      <c r="O55" s="280" t="n"/>
      <c r="P55" s="280" t="n"/>
      <c r="Q55" s="280" t="n"/>
      <c r="R55" s="292" t="n"/>
      <c r="S55" s="292" t="n"/>
      <c r="T55" s="292" t="n"/>
      <c r="U55" s="292" t="n"/>
      <c r="V55" s="292" t="n"/>
      <c r="W55" s="292" t="n"/>
      <c r="X55" s="292" t="n"/>
      <c r="Y55" s="292" t="n"/>
    </row>
    <row r="56" ht="15.5" customFormat="1" customHeight="1" s="66">
      <c r="B56" s="277" t="n"/>
      <c r="C56" s="278" t="n"/>
      <c r="D56" s="313" t="inlineStr">
        <is>
          <t>nabil (Q)</t>
        </is>
      </c>
      <c r="E56" s="314" t="n"/>
      <c r="F56" s="316" t="n"/>
      <c r="G56" s="282" t="n"/>
      <c r="H56" s="282" t="n"/>
      <c r="I56" s="283" t="n"/>
      <c r="J56" s="283" t="n"/>
      <c r="K56" s="279" t="n"/>
      <c r="L56" s="279" t="n"/>
      <c r="M56" s="279" t="n"/>
      <c r="N56" s="279" t="n"/>
      <c r="O56" s="279" t="n"/>
      <c r="P56" s="279" t="n"/>
      <c r="Q56" s="315" t="n"/>
      <c r="R56" s="285" t="n"/>
      <c r="S56" s="285" t="n"/>
      <c r="T56" s="285" t="n"/>
      <c r="U56" s="285" t="n"/>
      <c r="V56" s="285" t="n"/>
      <c r="W56" s="285" t="n"/>
      <c r="X56" s="285" t="n"/>
      <c r="Y56" s="285" t="n"/>
    </row>
    <row r="57" ht="15.5" customFormat="1" customHeight="1" s="66">
      <c r="B57" s="286" t="inlineStr">
        <is>
          <t>31-Dec-30</t>
        </is>
      </c>
      <c r="C57" s="278" t="n">
        <v>3</v>
      </c>
      <c r="D57" s="280" t="inlineStr">
        <is>
          <t>reza</t>
        </is>
      </c>
      <c r="E57" s="280" t="inlineStr">
        <is>
          <t>BCA</t>
        </is>
      </c>
      <c r="F57" s="287" t="n">
        <v>30000</v>
      </c>
      <c r="G57" s="282" t="inlineStr">
        <is>
          <t>IDR</t>
        </is>
      </c>
      <c r="H57" s="288" t="n">
        <v>1</v>
      </c>
      <c r="I57" s="289" t="n"/>
      <c r="J57" s="289" t="n"/>
      <c r="K57" s="290" t="n"/>
      <c r="L57" s="280" t="n"/>
      <c r="M57" s="291" t="n">
        <v>30000</v>
      </c>
      <c r="N57" s="280" t="n"/>
      <c r="O57" s="280" t="n"/>
      <c r="P57" s="280" t="n"/>
      <c r="Q57" s="280" t="n"/>
      <c r="R57" s="292" t="n"/>
      <c r="S57" s="292" t="n"/>
      <c r="T57" s="292" t="n"/>
      <c r="U57" s="292" t="n"/>
      <c r="V57" s="292" t="n"/>
      <c r="W57" s="292" t="n"/>
      <c r="X57" s="292" t="n"/>
      <c r="Y57" s="292" t="n"/>
    </row>
    <row r="58" ht="15.5" customFormat="1" customHeight="1" s="66">
      <c r="B58" s="304" t="inlineStr">
        <is>
          <t>Expense#2</t>
        </is>
      </c>
      <c r="C58" s="305" t="inlineStr">
        <is>
          <t>:</t>
        </is>
      </c>
      <c r="D58" s="306" t="inlineStr">
        <is>
          <t>sasdas</t>
        </is>
      </c>
      <c r="E58" s="307" t="n"/>
      <c r="F58" s="308" t="n"/>
      <c r="G58" s="309" t="n"/>
      <c r="H58" s="309" t="n"/>
      <c r="I58" s="310" t="n"/>
      <c r="J58" s="310" t="n"/>
      <c r="K58" s="311" t="n"/>
      <c r="L58" s="311" t="n"/>
      <c r="M58" s="311" t="n"/>
      <c r="N58" s="311" t="n"/>
      <c r="O58" s="311" t="n"/>
      <c r="P58" s="311" t="n"/>
      <c r="Q58" s="311" t="n"/>
      <c r="R58" s="312" t="n"/>
      <c r="S58" s="312" t="n"/>
      <c r="T58" s="312" t="n"/>
      <c r="U58" s="312" t="n"/>
      <c r="V58" s="312" t="n"/>
      <c r="W58" s="312" t="n"/>
      <c r="X58" s="312" t="n"/>
      <c r="Y58" s="312" t="n"/>
    </row>
    <row r="59" ht="15.5" customFormat="1" customHeight="1" s="66">
      <c r="B59" s="277" t="n"/>
      <c r="C59" s="278" t="n"/>
      <c r="D59" s="313" t="inlineStr">
        <is>
          <t>123123 (P)</t>
        </is>
      </c>
      <c r="E59" s="314" t="n"/>
      <c r="F59" s="316" t="n"/>
      <c r="G59" s="282" t="n"/>
      <c r="H59" s="282" t="n"/>
      <c r="I59" s="283" t="n"/>
      <c r="J59" s="283" t="n"/>
      <c r="K59" s="279" t="n"/>
      <c r="L59" s="279" t="n"/>
      <c r="M59" s="279" t="n"/>
      <c r="N59" s="315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inlineStr">
        <is>
          <t>31-Dec-30</t>
        </is>
      </c>
      <c r="C60" s="278" t="n">
        <v>1</v>
      </c>
      <c r="D60" s="280" t="inlineStr">
        <is>
          <t>123123</t>
        </is>
      </c>
      <c r="E60" s="280" t="inlineStr">
        <is>
          <t>Advance</t>
        </is>
      </c>
      <c r="F60" s="287" t="n">
        <v>101</v>
      </c>
      <c r="G60" s="282" t="inlineStr">
        <is>
          <t>USD</t>
        </is>
      </c>
      <c r="H60" s="288" t="n">
        <v>101</v>
      </c>
      <c r="I60" s="289" t="n"/>
      <c r="J60" s="289" t="n"/>
      <c r="K60" s="290" t="n"/>
      <c r="L60" s="280" t="n"/>
      <c r="M60" s="280" t="n"/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3" t="n">
        <v>101</v>
      </c>
    </row>
    <row r="61" ht="15.5" customFormat="1" customHeight="1" s="66">
      <c r="B61" s="277" t="n"/>
      <c r="C61" s="278" t="n"/>
      <c r="D61" s="313" t="inlineStr">
        <is>
          <t>Allowance (A)</t>
        </is>
      </c>
      <c r="E61" s="314" t="n"/>
      <c r="F61" s="281" t="n"/>
      <c r="G61" s="317" t="n"/>
      <c r="H61" s="282" t="n"/>
      <c r="I61" s="283" t="n"/>
      <c r="J61" s="284" t="n"/>
      <c r="K61" s="318" t="n"/>
      <c r="L61" s="279" t="n"/>
      <c r="M61" s="279" t="n"/>
      <c r="N61" s="279" t="n"/>
      <c r="O61" s="279" t="n"/>
      <c r="P61" s="279" t="n"/>
      <c r="Q61" s="279" t="n"/>
      <c r="R61" s="285" t="n"/>
      <c r="S61" s="285" t="n"/>
      <c r="T61" s="285" t="n"/>
      <c r="U61" s="285" t="n"/>
      <c r="V61" s="285" t="n"/>
      <c r="W61" s="285" t="n"/>
      <c r="X61" s="285" t="n"/>
      <c r="Y61" s="285" t="n"/>
    </row>
    <row r="62" ht="15.5" customFormat="1" customHeight="1" s="66">
      <c r="B62" s="286" t="inlineStr">
        <is>
          <t>31-Dec-30</t>
        </is>
      </c>
      <c r="C62" s="278" t="n">
        <v>2</v>
      </c>
      <c r="D62" s="280" t="inlineStr">
        <is>
          <t>234234</t>
        </is>
      </c>
      <c r="E62" s="280" t="inlineStr">
        <is>
          <t>Advance</t>
        </is>
      </c>
      <c r="F62" s="287" t="n">
        <v>234324324</v>
      </c>
      <c r="G62" s="282" t="inlineStr">
        <is>
          <t>IDR</t>
        </is>
      </c>
      <c r="H62" s="288" t="n">
        <v>1</v>
      </c>
      <c r="I62" s="289" t="n"/>
      <c r="J62" s="289" t="n"/>
      <c r="K62" s="290" t="n"/>
      <c r="L62" s="291" t="n">
        <v>234324324</v>
      </c>
      <c r="M62" s="280" t="n"/>
      <c r="N62" s="280" t="n"/>
      <c r="O62" s="280" t="n"/>
      <c r="P62" s="280" t="n"/>
      <c r="Q62" s="280" t="n"/>
      <c r="R62" s="292" t="n"/>
      <c r="S62" s="292" t="n"/>
      <c r="T62" s="292" t="n"/>
      <c r="U62" s="292" t="n"/>
      <c r="V62" s="292" t="n"/>
      <c r="W62" s="292" t="n"/>
      <c r="X62" s="292" t="n"/>
      <c r="Y62" s="292" t="n"/>
    </row>
    <row r="63" ht="15.5" customFormat="1" customHeight="1" s="66">
      <c r="B63" s="277" t="n"/>
      <c r="C63" s="278" t="n"/>
      <c r="D63" s="313" t="inlineStr">
        <is>
          <t>Rental Tool (C)</t>
        </is>
      </c>
      <c r="E63" s="314" t="n"/>
      <c r="F63" s="316" t="n"/>
      <c r="G63" s="282" t="n"/>
      <c r="H63" s="282" t="n"/>
      <c r="I63" s="283" t="n"/>
      <c r="J63" s="283" t="n"/>
      <c r="K63" s="279" t="n"/>
      <c r="L63" s="279" t="n"/>
      <c r="M63" s="279" t="n"/>
      <c r="N63" s="279" t="n"/>
      <c r="O63" s="279" t="n"/>
      <c r="P63" s="279" t="n"/>
      <c r="Q63" s="284" t="n"/>
      <c r="R63" s="285" t="n"/>
      <c r="S63" s="285" t="n"/>
      <c r="T63" s="285" t="n"/>
      <c r="U63" s="285" t="n"/>
      <c r="V63" s="285" t="n"/>
      <c r="W63" s="285" t="n"/>
      <c r="X63" s="285" t="n"/>
      <c r="Y63" s="285" t="n"/>
    </row>
    <row r="64" ht="15.5" customFormat="1" customHeight="1" s="66">
      <c r="B64" s="286" t="inlineStr">
        <is>
          <t>31-Dec-30</t>
        </is>
      </c>
      <c r="C64" s="278" t="n">
        <v>3</v>
      </c>
      <c r="D64" s="280" t="inlineStr">
        <is>
          <t>234</t>
        </is>
      </c>
      <c r="E64" s="280" t="inlineStr">
        <is>
          <t>Advance</t>
        </is>
      </c>
      <c r="F64" s="287" t="n">
        <v>57776</v>
      </c>
      <c r="G64" s="282" t="inlineStr">
        <is>
          <t>USD</t>
        </is>
      </c>
      <c r="H64" s="288" t="n">
        <v>14444</v>
      </c>
      <c r="I64" s="289" t="n"/>
      <c r="J64" s="319" t="n">
        <v>57776</v>
      </c>
      <c r="K64" s="290" t="n"/>
      <c r="L64" s="280" t="n"/>
      <c r="M64" s="280" t="n"/>
      <c r="N64" s="280" t="n"/>
      <c r="O64" s="280" t="n"/>
      <c r="P64" s="280" t="n"/>
      <c r="Q64" s="280" t="n"/>
      <c r="R64" s="292" t="n"/>
      <c r="S64" s="292" t="n"/>
      <c r="T64" s="292" t="n"/>
      <c r="U64" s="292" t="n"/>
      <c r="V64" s="292" t="n"/>
      <c r="W64" s="292" t="n"/>
      <c r="X64" s="292" t="n"/>
      <c r="Y64" s="292" t="n"/>
    </row>
    <row r="65" ht="15.5" customFormat="1" customHeight="1" s="66">
      <c r="B65" s="304" t="inlineStr">
        <is>
          <t>Expense#3</t>
        </is>
      </c>
      <c r="C65" s="305" t="inlineStr">
        <is>
          <t>:</t>
        </is>
      </c>
      <c r="D65" s="306" t="inlineStr">
        <is>
          <t>werwerewr</t>
        </is>
      </c>
      <c r="E65" s="307" t="n"/>
      <c r="F65" s="308" t="n"/>
      <c r="G65" s="309" t="n"/>
      <c r="H65" s="309" t="n"/>
      <c r="I65" s="310" t="n"/>
      <c r="J65" s="310" t="n"/>
      <c r="K65" s="311" t="n"/>
      <c r="L65" s="311" t="n"/>
      <c r="M65" s="311" t="n"/>
      <c r="N65" s="311" t="n"/>
      <c r="O65" s="311" t="n"/>
      <c r="P65" s="311" t="n"/>
      <c r="Q65" s="320" t="n"/>
      <c r="R65" s="312" t="n"/>
      <c r="S65" s="312" t="n"/>
      <c r="T65" s="312" t="n"/>
      <c r="U65" s="312" t="n"/>
      <c r="V65" s="312" t="n"/>
      <c r="W65" s="312" t="n"/>
      <c r="X65" s="312" t="n"/>
      <c r="Y65" s="312" t="n"/>
    </row>
    <row r="66" ht="15.5" customFormat="1" customHeight="1" s="66">
      <c r="B66" s="277" t="n"/>
      <c r="C66" s="278" t="n"/>
      <c r="D66" s="313" t="inlineStr">
        <is>
          <t>Accommodation , Transportation (A)</t>
        </is>
      </c>
      <c r="E66" s="314" t="n"/>
      <c r="F66" s="316" t="n"/>
      <c r="G66" s="282" t="n"/>
      <c r="H66" s="282" t="n"/>
      <c r="I66" s="283" t="n"/>
      <c r="J66" s="283" t="n"/>
      <c r="K66" s="279" t="n"/>
      <c r="L66" s="279" t="n"/>
      <c r="M66" s="279" t="n"/>
      <c r="N66" s="315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inlineStr">
        <is>
          <t>31-Dec-30</t>
        </is>
      </c>
      <c r="C67" s="278" t="n">
        <v>1</v>
      </c>
      <c r="D67" s="280" t="inlineStr">
        <is>
          <t>werwerwer</t>
        </is>
      </c>
      <c r="E67" s="280" t="inlineStr">
        <is>
          <t>Mandiri</t>
        </is>
      </c>
      <c r="F67" s="287" t="n">
        <v>281106</v>
      </c>
      <c r="G67" s="282" t="inlineStr">
        <is>
          <t>EUR</t>
        </is>
      </c>
      <c r="H67" s="288" t="n">
        <v>12222</v>
      </c>
      <c r="I67" s="289" t="n"/>
      <c r="J67" s="289" t="n"/>
      <c r="K67" s="290" t="n"/>
      <c r="L67" s="291" t="n">
        <v>281106</v>
      </c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277" t="n"/>
      <c r="C68" s="278" t="n"/>
      <c r="D68" s="313" t="inlineStr">
        <is>
          <t>Meal , Shipping (A)</t>
        </is>
      </c>
      <c r="E68" s="314" t="n"/>
      <c r="F68" s="281" t="n"/>
      <c r="G68" s="282" t="n"/>
      <c r="H68" s="282" t="n"/>
      <c r="I68" s="283" t="n"/>
      <c r="J68" s="284" t="n"/>
      <c r="K68" s="279" t="n"/>
      <c r="L68" s="279" t="n"/>
      <c r="M68" s="279" t="n"/>
      <c r="N68" s="279" t="n"/>
      <c r="O68" s="279" t="n"/>
      <c r="P68" s="279" t="n"/>
      <c r="Q68" s="279" t="n"/>
      <c r="R68" s="285" t="n"/>
      <c r="S68" s="285" t="n"/>
      <c r="T68" s="285" t="n"/>
      <c r="U68" s="285" t="n"/>
      <c r="V68" s="285" t="n"/>
      <c r="W68" s="285" t="n"/>
      <c r="X68" s="285" t="n"/>
      <c r="Y68" s="285" t="n"/>
    </row>
    <row r="69" ht="15.5" customHeight="1">
      <c r="A69" s="66" t="n"/>
      <c r="B69" s="286" t="inlineStr">
        <is>
          <t>31-Dec-30</t>
        </is>
      </c>
      <c r="C69" s="278" t="n">
        <v>2</v>
      </c>
      <c r="D69" s="280" t="inlineStr">
        <is>
          <t>we</t>
        </is>
      </c>
      <c r="E69" s="280" t="inlineStr">
        <is>
          <t>BRI</t>
        </is>
      </c>
      <c r="F69" s="287" t="n">
        <v>146664</v>
      </c>
      <c r="G69" s="282" t="inlineStr">
        <is>
          <t>EUR</t>
        </is>
      </c>
      <c r="H69" s="288" t="n">
        <v>12222</v>
      </c>
      <c r="I69" s="289" t="n"/>
      <c r="J69" s="289" t="n"/>
      <c r="K69" s="290" t="n"/>
      <c r="L69" s="291" t="n">
        <v>146664</v>
      </c>
      <c r="M69" s="280" t="n"/>
      <c r="N69" s="280" t="n"/>
      <c r="O69" s="280" t="n"/>
      <c r="P69" s="280" t="n"/>
      <c r="Q69" s="280" t="n"/>
      <c r="R69" s="292" t="n"/>
      <c r="S69" s="292" t="n"/>
      <c r="T69" s="292" t="n"/>
      <c r="U69" s="292" t="n"/>
      <c r="V69" s="292" t="n"/>
      <c r="W69" s="292" t="n"/>
      <c r="X69" s="292" t="n"/>
      <c r="Y69" s="292" t="n"/>
    </row>
    <row r="70" ht="15.5" customHeight="1">
      <c r="B70" s="277" t="n"/>
      <c r="C70" s="278" t="n"/>
      <c r="D70" s="313" t="inlineStr">
        <is>
          <t>Accommodation (A)</t>
        </is>
      </c>
      <c r="E70" s="314" t="n"/>
      <c r="F70" s="316" t="n"/>
      <c r="G70" s="282" t="n"/>
      <c r="H70" s="282" t="n"/>
      <c r="I70" s="283" t="n"/>
      <c r="J70" s="283" t="n"/>
      <c r="K70" s="279" t="n"/>
      <c r="L70" s="279" t="n"/>
      <c r="M70" s="279" t="n"/>
      <c r="N70" s="321" t="n"/>
      <c r="O70" s="279" t="n"/>
      <c r="P70" s="279" t="n"/>
      <c r="Q70" s="279" t="n"/>
      <c r="R70" s="285" t="n"/>
      <c r="S70" s="285" t="n"/>
      <c r="T70" s="285" t="n"/>
      <c r="U70" s="285" t="n"/>
      <c r="V70" s="285" t="n"/>
      <c r="W70" s="285" t="n"/>
      <c r="X70" s="285" t="n"/>
      <c r="Y70" s="285" t="n"/>
    </row>
    <row r="71" ht="15.5" customHeight="1">
      <c r="B71" s="286" t="inlineStr">
        <is>
          <t>31-Dec-30</t>
        </is>
      </c>
      <c r="C71" s="278" t="n">
        <v>3</v>
      </c>
      <c r="D71" s="280" t="inlineStr">
        <is>
          <t>23423423</t>
        </is>
      </c>
      <c r="E71" s="280" t="inlineStr">
        <is>
          <t>BCA</t>
        </is>
      </c>
      <c r="F71" s="287" t="n">
        <v>2888262</v>
      </c>
      <c r="G71" s="282" t="inlineStr">
        <is>
          <t>USD</t>
        </is>
      </c>
      <c r="H71" s="288" t="n">
        <v>12343</v>
      </c>
      <c r="I71" s="289" t="n"/>
      <c r="J71" s="289" t="n"/>
      <c r="K71" s="290" t="n"/>
      <c r="L71" s="291" t="n">
        <v>2888262</v>
      </c>
      <c r="M71" s="280" t="n"/>
      <c r="N71" s="280" t="n"/>
      <c r="O71" s="280" t="n"/>
      <c r="P71" s="280" t="n"/>
      <c r="Q71" s="280" t="n"/>
      <c r="R71" s="292" t="n"/>
      <c r="S71" s="292" t="n"/>
      <c r="T71" s="292" t="n"/>
      <c r="U71" s="292" t="n"/>
      <c r="V71" s="292" t="n"/>
      <c r="W71" s="292" t="n"/>
      <c r="X71" s="292" t="n"/>
      <c r="Y71" s="292" t="n"/>
    </row>
    <row r="72" ht="15.5" customHeight="1">
      <c r="B72" s="277" t="n"/>
      <c r="C72" s="278" t="n"/>
      <c r="D72" s="313" t="inlineStr">
        <is>
          <t>Shipping (A)</t>
        </is>
      </c>
      <c r="E72" s="314" t="n"/>
      <c r="F72" s="316" t="n"/>
      <c r="G72" s="282" t="n"/>
      <c r="H72" s="282" t="n"/>
      <c r="I72" s="283" t="n"/>
      <c r="J72" s="283" t="n"/>
      <c r="K72" s="279" t="n"/>
      <c r="L72" s="279" t="n"/>
      <c r="M72" s="279" t="n"/>
      <c r="N72" s="279" t="n"/>
      <c r="O72" s="279" t="n"/>
      <c r="P72" s="279" t="n"/>
      <c r="Q72" s="279" t="n"/>
      <c r="R72" s="285" t="n"/>
      <c r="S72" s="285" t="n"/>
      <c r="T72" s="285" t="n"/>
      <c r="U72" s="285" t="n"/>
      <c r="V72" s="285" t="n"/>
      <c r="W72" s="285" t="n"/>
      <c r="X72" s="285" t="n"/>
      <c r="Y72" s="285" t="n"/>
    </row>
    <row r="73" ht="15.5" customHeight="1">
      <c r="B73" s="286" t="inlineStr">
        <is>
          <t>31-Dec-30</t>
        </is>
      </c>
      <c r="C73" s="278" t="n">
        <v>4</v>
      </c>
      <c r="D73" s="280" t="inlineStr">
        <is>
          <t>23434</t>
        </is>
      </c>
      <c r="E73" s="280" t="inlineStr">
        <is>
          <t>BRI</t>
        </is>
      </c>
      <c r="F73" s="287" t="n">
        <v>28104</v>
      </c>
      <c r="G73" s="282" t="inlineStr">
        <is>
          <t>EUR</t>
        </is>
      </c>
      <c r="H73" s="288" t="n">
        <v>12</v>
      </c>
      <c r="I73" s="289" t="n"/>
      <c r="J73" s="289" t="n"/>
      <c r="K73" s="290" t="n"/>
      <c r="L73" s="291" t="n">
        <v>28104</v>
      </c>
      <c r="M73" s="280" t="n"/>
      <c r="N73" s="280" t="n"/>
      <c r="O73" s="280" t="n"/>
      <c r="P73" s="280" t="n"/>
      <c r="Q73" s="280" t="n"/>
      <c r="R73" s="292" t="n"/>
      <c r="S73" s="292" t="n"/>
      <c r="T73" s="292" t="n"/>
      <c r="U73" s="292" t="n"/>
      <c r="V73" s="292" t="n"/>
      <c r="W73" s="292" t="n"/>
      <c r="X73" s="292" t="n"/>
      <c r="Y73" s="292" t="n"/>
    </row>
    <row r="74" ht="15.5" customHeight="1">
      <c r="A74" s="66" t="n"/>
      <c r="B74" s="304" t="inlineStr">
        <is>
          <t>Expense#4</t>
        </is>
      </c>
      <c r="C74" s="305" t="inlineStr">
        <is>
          <t>:</t>
        </is>
      </c>
      <c r="D74" s="306" t="inlineStr">
        <is>
          <t>1234567890</t>
        </is>
      </c>
      <c r="E74" s="307" t="n"/>
      <c r="F74" s="322" t="n"/>
      <c r="G74" s="309" t="n"/>
      <c r="H74" s="309" t="n"/>
      <c r="I74" s="310" t="n"/>
      <c r="J74" s="310" t="n"/>
      <c r="K74" s="311" t="n"/>
      <c r="L74" s="311" t="n"/>
      <c r="M74" s="311" t="n"/>
      <c r="N74" s="311" t="n"/>
      <c r="O74" s="311" t="n"/>
      <c r="P74" s="311" t="n"/>
      <c r="Q74" s="323" t="n"/>
      <c r="R74" s="312" t="n"/>
      <c r="S74" s="312" t="n"/>
      <c r="T74" s="312" t="n"/>
      <c r="U74" s="312" t="n"/>
      <c r="V74" s="312" t="n"/>
      <c r="W74" s="312" t="n"/>
      <c r="X74" s="312" t="n"/>
      <c r="Y74" s="312" t="n"/>
    </row>
    <row r="75" ht="15.5" customHeight="1">
      <c r="A75" s="66" t="n"/>
      <c r="B75" s="277" t="n"/>
      <c r="C75" s="278" t="n"/>
      <c r="D75" s="313" t="inlineStr">
        <is>
          <t>Accommodation , Allowance (A)</t>
        </is>
      </c>
      <c r="E75" s="314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inlineStr">
        <is>
          <t>31-Dec-30</t>
        </is>
      </c>
      <c r="C76" s="278" t="n">
        <v>1</v>
      </c>
      <c r="D76" s="280" t="inlineStr">
        <is>
          <t>123123</t>
        </is>
      </c>
      <c r="E76" s="280" t="inlineStr">
        <is>
          <t>Advance</t>
        </is>
      </c>
      <c r="F76" s="287" t="n">
        <v>123123</v>
      </c>
      <c r="G76" s="282" t="inlineStr">
        <is>
          <t>IDR</t>
        </is>
      </c>
      <c r="H76" s="288" t="n">
        <v>1</v>
      </c>
      <c r="I76" s="289" t="n"/>
      <c r="J76" s="289" t="n"/>
      <c r="K76" s="290" t="n"/>
      <c r="L76" s="291" t="n">
        <v>123123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277" t="n"/>
      <c r="C77" s="278" t="n"/>
      <c r="D77" s="313" t="inlineStr">
        <is>
          <t>Accommodation (A)</t>
        </is>
      </c>
      <c r="E77" s="314" t="n"/>
      <c r="F77" s="281" t="n"/>
      <c r="G77" s="317" t="n"/>
      <c r="H77" s="282" t="n"/>
      <c r="I77" s="283" t="n"/>
      <c r="J77" s="279" t="n"/>
      <c r="K77" s="318" t="n"/>
      <c r="L77" s="279" t="n"/>
      <c r="M77" s="279" t="n"/>
      <c r="N77" s="279" t="n"/>
      <c r="O77" s="279" t="n"/>
      <c r="P77" s="279" t="n"/>
      <c r="Q77" s="279" t="n"/>
      <c r="R77" s="285" t="n"/>
      <c r="S77" s="285" t="n"/>
      <c r="T77" s="285" t="n"/>
      <c r="U77" s="285" t="n"/>
      <c r="V77" s="285" t="n"/>
      <c r="W77" s="285" t="n"/>
      <c r="X77" s="285" t="n"/>
      <c r="Y77" s="285" t="n"/>
    </row>
    <row r="78" ht="15.5" customHeight="1">
      <c r="B78" s="286" t="inlineStr">
        <is>
          <t>31-Dec-30</t>
        </is>
      </c>
      <c r="C78" s="278" t="n">
        <v>2</v>
      </c>
      <c r="D78" s="280" t="inlineStr">
        <is>
          <t>324234</t>
        </is>
      </c>
      <c r="E78" s="280" t="inlineStr">
        <is>
          <t>Advance</t>
        </is>
      </c>
      <c r="F78" s="287" t="n">
        <v>234324</v>
      </c>
      <c r="G78" s="282" t="inlineStr">
        <is>
          <t>IDR</t>
        </is>
      </c>
      <c r="H78" s="288" t="n">
        <v>1</v>
      </c>
      <c r="I78" s="289" t="n"/>
      <c r="J78" s="289" t="n"/>
      <c r="K78" s="290" t="n"/>
      <c r="L78" s="291" t="n">
        <v>234324</v>
      </c>
      <c r="M78" s="280" t="n"/>
      <c r="N78" s="280" t="n"/>
      <c r="O78" s="280" t="n"/>
      <c r="P78" s="280" t="n"/>
      <c r="Q78" s="280" t="n"/>
      <c r="R78" s="292" t="n"/>
      <c r="S78" s="292" t="n"/>
      <c r="T78" s="292" t="n"/>
      <c r="U78" s="292" t="n"/>
      <c r="V78" s="292" t="n"/>
      <c r="W78" s="292" t="n"/>
      <c r="X78" s="292" t="n"/>
      <c r="Y78" s="292" t="n"/>
    </row>
    <row r="79" ht="15.5" customHeight="1">
      <c r="B79" s="277" t="n"/>
      <c r="C79" s="278" t="n"/>
      <c r="D79" s="313" t="inlineStr">
        <is>
          <t>Transportation (A)</t>
        </is>
      </c>
      <c r="E79" s="280" t="n"/>
      <c r="F79" s="290" t="n"/>
      <c r="G79" s="282" t="n"/>
      <c r="H79" s="282" t="n"/>
      <c r="I79" s="283" t="n"/>
      <c r="J79" s="283" t="n"/>
      <c r="K79" s="284" t="n"/>
      <c r="L79" s="279" t="n"/>
      <c r="M79" s="279" t="n"/>
      <c r="N79" s="279" t="n"/>
      <c r="O79" s="279" t="n"/>
      <c r="P79" s="279" t="n"/>
      <c r="Q79" s="315" t="n"/>
      <c r="R79" s="285" t="n"/>
      <c r="S79" s="285" t="n"/>
      <c r="T79" s="285" t="n"/>
      <c r="U79" s="285" t="n"/>
      <c r="V79" s="285" t="n"/>
      <c r="W79" s="285" t="n"/>
      <c r="X79" s="285" t="n"/>
      <c r="Y79" s="285" t="n"/>
    </row>
    <row r="80" ht="15.5" customHeight="1">
      <c r="B80" s="286" t="inlineStr">
        <is>
          <t>09-Aug-30</t>
        </is>
      </c>
      <c r="C80" s="278" t="n">
        <v>3</v>
      </c>
      <c r="D80" s="280" t="inlineStr">
        <is>
          <t>234324</t>
        </is>
      </c>
      <c r="E80" s="280" t="inlineStr">
        <is>
          <t>BCA</t>
        </is>
      </c>
      <c r="F80" s="287" t="n">
        <v>134772</v>
      </c>
      <c r="G80" s="282" t="inlineStr">
        <is>
          <t>USD</t>
        </is>
      </c>
      <c r="H80" s="288" t="n">
        <v>11231</v>
      </c>
      <c r="I80" s="289" t="n"/>
      <c r="J80" s="289" t="n"/>
      <c r="K80" s="290" t="n"/>
      <c r="L80" s="291" t="n">
        <v>134772</v>
      </c>
      <c r="M80" s="280" t="n"/>
      <c r="N80" s="280" t="n"/>
      <c r="O80" s="280" t="n"/>
      <c r="P80" s="280" t="n"/>
      <c r="Q80" s="280" t="n"/>
      <c r="R80" s="292" t="n"/>
      <c r="S80" s="292" t="n"/>
      <c r="T80" s="292" t="n"/>
      <c r="U80" s="292" t="n"/>
      <c r="V80" s="292" t="n"/>
      <c r="W80" s="292" t="n"/>
      <c r="X80" s="292" t="n"/>
      <c r="Y80" s="292" t="n"/>
    </row>
    <row r="81" ht="15.5" customHeight="1">
      <c r="B81" s="304" t="inlineStr">
        <is>
          <t>Expense#5</t>
        </is>
      </c>
      <c r="C81" s="305" t="inlineStr">
        <is>
          <t>:</t>
        </is>
      </c>
      <c r="D81" s="306" t="inlineStr">
        <is>
          <t>werwer</t>
        </is>
      </c>
      <c r="E81" s="324" t="n"/>
      <c r="F81" s="325" t="n"/>
      <c r="G81" s="309" t="n"/>
      <c r="H81" s="309" t="n"/>
      <c r="I81" s="310" t="n"/>
      <c r="J81" s="310" t="n"/>
      <c r="K81" s="323" t="n"/>
      <c r="L81" s="311" t="n"/>
      <c r="M81" s="311" t="n"/>
      <c r="N81" s="311" t="n"/>
      <c r="O81" s="311" t="n"/>
      <c r="P81" s="311" t="n"/>
      <c r="Q81" s="320" t="n"/>
      <c r="R81" s="312" t="n"/>
      <c r="S81" s="312" t="n"/>
      <c r="T81" s="312" t="n"/>
      <c r="U81" s="312" t="n"/>
      <c r="V81" s="312" t="n"/>
      <c r="W81" s="312" t="n"/>
      <c r="X81" s="312" t="n"/>
      <c r="Y81" s="312" t="n"/>
    </row>
    <row r="82" ht="15.5" customHeight="1">
      <c r="B82" s="277" t="n"/>
      <c r="C82" s="278" t="n"/>
      <c r="D82" s="313" t="inlineStr">
        <is>
          <t>Accommodation , Transportation (A)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5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inlineStr">
        <is>
          <t>31-Dec-30</t>
        </is>
      </c>
      <c r="C83" s="278" t="n">
        <v>1</v>
      </c>
      <c r="D83" s="280" t="inlineStr">
        <is>
          <t>wqew</t>
        </is>
      </c>
      <c r="E83" s="280" t="inlineStr">
        <is>
          <t>Advance</t>
        </is>
      </c>
      <c r="F83" s="287" t="n">
        <v>123123</v>
      </c>
      <c r="G83" s="282" t="inlineStr">
        <is>
          <t>IDR</t>
        </is>
      </c>
      <c r="H83" s="288" t="n">
        <v>1</v>
      </c>
      <c r="I83" s="289" t="n"/>
      <c r="J83" s="289" t="n"/>
      <c r="K83" s="290" t="n"/>
      <c r="L83" s="291" t="n">
        <v>123123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26" t="inlineStr">
        <is>
          <t>TOTAL</t>
        </is>
      </c>
      <c r="C84" s="230" t="n"/>
      <c r="D84" s="230" t="n"/>
      <c r="E84" s="230" t="n"/>
      <c r="F84" s="230" t="n"/>
      <c r="G84" s="230" t="n"/>
      <c r="H84" s="227" t="n"/>
      <c r="I84" s="327" t="n">
        <v>0</v>
      </c>
      <c r="J84" s="328" t="n">
        <v>57776</v>
      </c>
      <c r="K84" s="327" t="n">
        <v>0</v>
      </c>
      <c r="L84" s="327" t="n">
        <v>336504925</v>
      </c>
      <c r="M84" s="327" t="n">
        <v>498898</v>
      </c>
      <c r="N84" s="327" t="n">
        <v>0</v>
      </c>
      <c r="O84" s="327" t="n">
        <v>0</v>
      </c>
      <c r="P84" s="327" t="n">
        <v>0</v>
      </c>
      <c r="Q84" s="327" t="n">
        <v>0</v>
      </c>
      <c r="R84" s="327" t="n">
        <v>0</v>
      </c>
      <c r="S84" s="327" t="n">
        <v>234234</v>
      </c>
      <c r="T84" s="327" t="n">
        <v>0</v>
      </c>
      <c r="U84" s="327" t="n">
        <v>0</v>
      </c>
      <c r="V84" s="327" t="n">
        <v>0</v>
      </c>
      <c r="W84" s="327" t="n">
        <v>0</v>
      </c>
      <c r="X84" s="327" t="n">
        <v>0</v>
      </c>
      <c r="Y84" s="327" t="n">
        <v>123224</v>
      </c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B84:H84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  <c r="G3" s="333" t="inlineStr">
        <is>
          <t>PT. EXSPAN WIRELINE INDONESIA</t>
        </is>
      </c>
      <c r="H3" s="333" t="n"/>
      <c r="I3" s="333" t="n"/>
      <c r="J3" s="333" t="n"/>
    </row>
    <row r="4" ht="20.5" customHeight="1">
      <c r="A4" s="329" t="n"/>
      <c r="B4" s="334" t="inlineStr">
        <is>
          <t>LABA RUGI | TAHUN 2024</t>
        </is>
      </c>
      <c r="F4" s="332" t="n"/>
      <c r="G4" s="335" t="inlineStr">
        <is>
          <t>NERACA |TAHUN YANG BERAKHIR, 31 DESEMBER 2024</t>
        </is>
      </c>
      <c r="H4" s="335" t="n"/>
      <c r="I4" s="335" t="n"/>
      <c r="J4" s="335" t="n"/>
    </row>
    <row r="5" ht="6" customHeight="1">
      <c r="A5" s="329" t="n"/>
      <c r="B5" s="329" t="n"/>
      <c r="C5" s="329" t="n"/>
      <c r="D5" s="329" t="n"/>
      <c r="E5" s="330" t="n"/>
      <c r="F5" s="332" t="n"/>
      <c r="G5" s="332" t="n"/>
      <c r="H5" s="336" t="n"/>
      <c r="I5" s="336" t="n"/>
      <c r="J5" s="336" t="n"/>
    </row>
    <row r="6" ht="15.5" customHeight="1">
      <c r="A6" s="329" t="n"/>
      <c r="B6" s="337" t="n"/>
      <c r="C6" s="338" t="n"/>
      <c r="D6" s="339" t="inlineStr">
        <is>
          <t>PT. Exspan Wireline Indonesia</t>
        </is>
      </c>
      <c r="E6" s="221" t="n"/>
      <c r="F6" s="332" t="n"/>
      <c r="G6" s="340" t="n"/>
      <c r="H6" s="341" t="n"/>
      <c r="I6" s="339" t="inlineStr">
        <is>
          <t>PT. Exspan Wireline Indonesia</t>
        </is>
      </c>
      <c r="J6" s="221" t="n"/>
    </row>
    <row r="7" ht="15.5" customHeight="1">
      <c r="A7" s="329" t="n"/>
      <c r="B7" s="342" t="n"/>
      <c r="C7" s="343" t="n"/>
      <c r="D7" s="344" t="inlineStr">
        <is>
          <t>(Rp)</t>
        </is>
      </c>
      <c r="E7" s="226" t="n"/>
      <c r="F7" s="332" t="n"/>
      <c r="G7" s="345" t="n"/>
      <c r="H7" s="346" t="n"/>
      <c r="I7" s="344" t="inlineStr">
        <is>
          <t>(Rp)</t>
        </is>
      </c>
      <c r="J7" s="226" t="n"/>
    </row>
    <row r="8" ht="15" customHeight="1">
      <c r="A8" s="347" t="n"/>
      <c r="B8" s="275" t="inlineStr">
        <is>
          <t>PENDAPATAN</t>
        </is>
      </c>
      <c r="C8" s="275" t="n"/>
      <c r="D8" s="275" t="n"/>
      <c r="E8" s="348" t="n"/>
      <c r="F8" s="332" t="n"/>
      <c r="G8" s="349" t="inlineStr">
        <is>
          <t>AKTIVA</t>
        </is>
      </c>
      <c r="H8" s="350" t="n"/>
      <c r="I8" s="351" t="n"/>
      <c r="J8" s="352" t="n"/>
    </row>
    <row r="9" ht="15" customHeight="1">
      <c r="A9" s="347" t="n"/>
      <c r="B9" s="353" t="n"/>
      <c r="C9" s="353" t="inlineStr">
        <is>
          <t xml:space="preserve">    PENDAPATAN LANGSUNG</t>
        </is>
      </c>
      <c r="D9" s="353" t="inlineStr">
        <is>
          <t>Rp</t>
        </is>
      </c>
      <c r="E9" s="354" t="n">
        <v>0</v>
      </c>
      <c r="F9" s="332" t="n"/>
      <c r="G9" s="355" t="inlineStr">
        <is>
          <t>AKTIVA LANCAR</t>
        </is>
      </c>
      <c r="H9" s="356" t="n"/>
      <c r="I9" s="355" t="n"/>
      <c r="J9" s="357" t="n"/>
    </row>
    <row r="10" ht="15" customHeight="1">
      <c r="A10" s="347" t="n"/>
      <c r="B10" s="353" t="n"/>
      <c r="C10" s="353" t="inlineStr">
        <is>
          <t xml:space="preserve">    PENDAPATAN LAIN LAIN</t>
        </is>
      </c>
      <c r="D10" s="353" t="inlineStr">
        <is>
          <t>Rp</t>
        </is>
      </c>
      <c r="E10" s="354" t="n">
        <v>0</v>
      </c>
      <c r="F10" s="332" t="n"/>
      <c r="G10" s="358" t="n"/>
      <c r="H10" s="359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47" t="n"/>
      <c r="B11" s="353" t="n"/>
      <c r="C11" s="353" t="n"/>
      <c r="D11" s="353" t="n"/>
      <c r="E11" s="354" t="n"/>
      <c r="F11" s="332" t="n"/>
      <c r="G11" s="358" t="n"/>
      <c r="H11" s="359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47" t="n"/>
      <c r="B12" s="362" t="inlineStr">
        <is>
          <t>TOTAL PENDAPATAN</t>
        </is>
      </c>
      <c r="C12" s="362" t="n"/>
      <c r="D12" s="362" t="inlineStr">
        <is>
          <t>Rp</t>
        </is>
      </c>
      <c r="E12" s="363">
        <f>SUM(E9:E11)</f>
        <v/>
      </c>
      <c r="F12" s="332" t="n"/>
      <c r="G12" s="358" t="n"/>
      <c r="H12" s="359" t="inlineStr">
        <is>
          <t>PIUTANG USAHA</t>
        </is>
      </c>
      <c r="I12" s="360" t="inlineStr">
        <is>
          <t>Rp</t>
        </is>
      </c>
      <c r="J12" s="361" t="n">
        <v>0</v>
      </c>
    </row>
    <row r="13" ht="15" customHeight="1">
      <c r="A13" s="347" t="n"/>
      <c r="B13" s="353" t="n"/>
      <c r="C13" s="353" t="n"/>
      <c r="D13" s="353" t="n"/>
      <c r="E13" s="354" t="n"/>
      <c r="F13" s="332" t="n"/>
      <c r="G13" s="358" t="n"/>
      <c r="H13" s="359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47" t="n"/>
      <c r="B14" s="275" t="inlineStr">
        <is>
          <t>BEBAN LANGSUNG</t>
        </is>
      </c>
      <c r="C14" s="275" t="n"/>
      <c r="D14" s="275" t="n"/>
      <c r="E14" s="348" t="n"/>
      <c r="F14" s="332" t="n"/>
      <c r="G14" s="358" t="n"/>
      <c r="H14" s="359" t="inlineStr">
        <is>
          <t>BIAYA BAYAR DI MUKA</t>
        </is>
      </c>
      <c r="I14" s="360" t="inlineStr">
        <is>
          <t>Rp</t>
        </is>
      </c>
      <c r="J14" s="361" t="n">
        <v>0</v>
      </c>
    </row>
    <row r="15" ht="15" customHeight="1">
      <c r="A15" s="347" t="n"/>
      <c r="B15" s="353" t="n"/>
      <c r="C15" s="353" t="inlineStr">
        <is>
          <t xml:space="preserve">    BIAYA RESEARCH (R&amp;D)</t>
        </is>
      </c>
      <c r="D15" s="353" t="inlineStr">
        <is>
          <t>Rp</t>
        </is>
      </c>
      <c r="E15" s="354">
        <f>'Revenue-Cost_2030'!I84</f>
        <v/>
      </c>
      <c r="F15" s="332" t="n"/>
      <c r="G15" s="364" t="n"/>
      <c r="H15" s="359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47" t="n"/>
      <c r="B16" s="353" t="n"/>
      <c r="C16" s="353" t="inlineStr">
        <is>
          <t xml:space="preserve">    BIAYA SEWA PERALATAN</t>
        </is>
      </c>
      <c r="D16" s="353" t="inlineStr">
        <is>
          <t>Rp</t>
        </is>
      </c>
      <c r="E16" s="354">
        <f>'Revenue-Cost_2030'!J84</f>
        <v/>
      </c>
      <c r="F16" s="332" t="n"/>
      <c r="G16" s="365" t="n"/>
      <c r="H16" s="366" t="inlineStr">
        <is>
          <t>TOTAL AKTIVA LANCAR</t>
        </is>
      </c>
      <c r="I16" s="367" t="inlineStr">
        <is>
          <t>Rp</t>
        </is>
      </c>
      <c r="J16" s="368">
        <f>SUM(J10:J15)</f>
        <v/>
      </c>
    </row>
    <row r="17" ht="15" customHeight="1">
      <c r="A17" s="347" t="n"/>
      <c r="B17" s="353" t="n"/>
      <c r="C17" s="353" t="inlineStr">
        <is>
          <t xml:space="preserve">    BIAYA INTERPRETASI LOG DATA</t>
        </is>
      </c>
      <c r="D17" s="353" t="inlineStr">
        <is>
          <t>Rp</t>
        </is>
      </c>
      <c r="E17" s="354">
        <f>'Revenue-Cost_2030'!K84</f>
        <v/>
      </c>
      <c r="F17" s="332" t="n"/>
      <c r="G17" s="358" t="n"/>
      <c r="H17" s="359" t="n"/>
      <c r="I17" s="369" t="n"/>
      <c r="J17" s="370" t="n"/>
    </row>
    <row r="18" ht="15" customHeight="1">
      <c r="A18" s="347" t="n"/>
      <c r="B18" s="362" t="inlineStr">
        <is>
          <t>TOTAL BIAYA LANGSUNG</t>
        </is>
      </c>
      <c r="C18" s="362" t="n"/>
      <c r="D18" s="362" t="inlineStr">
        <is>
          <t>Rp</t>
        </is>
      </c>
      <c r="E18" s="363">
        <f>SUM(E15:E17)</f>
        <v/>
      </c>
      <c r="F18" s="332" t="n"/>
      <c r="G18" s="355" t="inlineStr">
        <is>
          <t>ACTIVA TETAP</t>
        </is>
      </c>
      <c r="H18" s="371" t="n"/>
      <c r="I18" s="349" t="n"/>
      <c r="J18" s="361" t="n"/>
    </row>
    <row r="19" ht="15" customHeight="1">
      <c r="A19" s="347" t="n"/>
      <c r="B19" s="353" t="n"/>
      <c r="C19" s="353" t="n"/>
      <c r="D19" s="353" t="n"/>
      <c r="E19" s="354" t="n"/>
      <c r="F19" s="332" t="n"/>
      <c r="G19" s="355" t="n"/>
      <c r="H19" s="371" t="n"/>
      <c r="I19" s="349" t="n"/>
      <c r="J19" s="361" t="n"/>
    </row>
    <row r="20" ht="15" customHeight="1">
      <c r="A20" s="347" t="n"/>
      <c r="B20" s="275" t="inlineStr">
        <is>
          <t>BEBAN TIDAK LANGSUNG</t>
        </is>
      </c>
      <c r="C20" s="275" t="n"/>
      <c r="D20" s="275" t="n"/>
      <c r="E20" s="348" t="n"/>
      <c r="F20" s="332" t="n"/>
      <c r="G20" s="358" t="n"/>
      <c r="H20" s="359" t="inlineStr">
        <is>
          <t>INVENTARIS KANTOR</t>
        </is>
      </c>
      <c r="I20" s="360" t="inlineStr">
        <is>
          <t>Rp</t>
        </is>
      </c>
      <c r="J20" s="361" t="n">
        <v>0</v>
      </c>
    </row>
    <row r="21" ht="15" customHeight="1">
      <c r="A21" s="347" t="n"/>
      <c r="B21" s="353" t="n"/>
      <c r="C21" s="353" t="n"/>
      <c r="D21" s="353" t="inlineStr">
        <is>
          <t>Rp</t>
        </is>
      </c>
      <c r="E21" s="354" t="n">
        <v>0</v>
      </c>
      <c r="F21" s="332" t="n"/>
      <c r="G21" s="358" t="n"/>
      <c r="H21" s="371" t="n"/>
      <c r="I21" s="372" t="n"/>
      <c r="J21" s="373" t="n"/>
    </row>
    <row r="22" ht="15" customHeight="1">
      <c r="A22" s="347" t="n"/>
      <c r="B22" s="362" t="inlineStr">
        <is>
          <t>TOTAL BIAYA TIDAK LANGSUNG</t>
        </is>
      </c>
      <c r="C22" s="362" t="n"/>
      <c r="D22" s="362" t="inlineStr">
        <is>
          <t>Rp</t>
        </is>
      </c>
      <c r="E22" s="363">
        <f>SUM(E21:E21)</f>
        <v/>
      </c>
      <c r="F22" s="332" t="n"/>
      <c r="G22" s="365" t="n"/>
      <c r="H22" s="366" t="inlineStr">
        <is>
          <t>TOTAL AKTIVA TETAP</t>
        </is>
      </c>
      <c r="I22" s="367" t="inlineStr">
        <is>
          <t>Rp</t>
        </is>
      </c>
      <c r="J22" s="368">
        <f>J20</f>
        <v/>
      </c>
    </row>
    <row r="23" ht="15" customHeight="1">
      <c r="A23" s="347" t="n"/>
      <c r="B23" s="353" t="n"/>
      <c r="C23" s="353" t="n"/>
      <c r="D23" s="353" t="n"/>
      <c r="E23" s="354" t="n"/>
      <c r="F23" s="332" t="n"/>
      <c r="G23" s="358" t="n"/>
      <c r="H23" s="359" t="n"/>
      <c r="I23" s="369" t="n"/>
      <c r="J23" s="352" t="n"/>
    </row>
    <row r="24" ht="15" customHeight="1">
      <c r="A24" s="347" t="n"/>
      <c r="B24" s="275" t="inlineStr">
        <is>
          <t>BIAYA ADMINISTRASI DAN UMUM</t>
        </is>
      </c>
      <c r="C24" s="275" t="n"/>
      <c r="D24" s="275" t="n"/>
      <c r="E24" s="348" t="n"/>
      <c r="F24" s="332" t="n"/>
      <c r="G24" s="355" t="inlineStr">
        <is>
          <t>ACTIVA LAIN LAIN</t>
        </is>
      </c>
      <c r="H24" s="371" t="n"/>
      <c r="I24" s="349" t="n"/>
      <c r="J24" s="361" t="n">
        <v>0</v>
      </c>
    </row>
    <row r="25" ht="15" customHeight="1">
      <c r="A25" s="347" t="n"/>
      <c r="B25" s="353" t="n"/>
      <c r="C25" s="353" t="inlineStr">
        <is>
          <t xml:space="preserve">    BIAYA OPERASI</t>
        </is>
      </c>
      <c r="D25" s="353" t="inlineStr">
        <is>
          <t>Rp</t>
        </is>
      </c>
      <c r="E25" s="354">
        <f>'Revenue-Cost_2030'!L84</f>
        <v/>
      </c>
      <c r="F25" s="332" t="n"/>
      <c r="G25" s="358" t="n"/>
      <c r="H25" s="359" t="n"/>
      <c r="I25" s="374" t="n"/>
      <c r="J25" s="375" t="n">
        <v>0</v>
      </c>
    </row>
    <row r="26" ht="15" customHeight="1">
      <c r="A26" s="347" t="n"/>
      <c r="B26" s="353" t="n"/>
      <c r="C26" s="353" t="inlineStr">
        <is>
          <t xml:space="preserve">    DIOFAVIAN</t>
        </is>
      </c>
      <c r="D26" s="353" t="inlineStr">
        <is>
          <t>Rp</t>
        </is>
      </c>
      <c r="E26" s="354">
        <f>'Revenue-Cost_2030'!M84</f>
        <v/>
      </c>
      <c r="F26" s="332" t="n"/>
      <c r="G26" s="365" t="n"/>
      <c r="H26" s="366" t="inlineStr">
        <is>
          <t>TOTAL AKTIVA LAIN LAIN</t>
        </is>
      </c>
      <c r="I26" s="367" t="inlineStr">
        <is>
          <t>Rp</t>
        </is>
      </c>
      <c r="J26" s="368">
        <f>SUM(J25:J25)</f>
        <v/>
      </c>
    </row>
    <row r="27" ht="15" customHeight="1">
      <c r="A27" s="347" t="n"/>
      <c r="B27" s="353" t="n"/>
      <c r="C27" s="353" t="inlineStr">
        <is>
          <t xml:space="preserve">    ADMINISTRASI</t>
        </is>
      </c>
      <c r="D27" s="353" t="inlineStr">
        <is>
          <t>Rp</t>
        </is>
      </c>
      <c r="E27" s="354">
        <f>'Revenue-Cost_2030'!N84</f>
        <v/>
      </c>
      <c r="F27" s="332" t="n"/>
      <c r="G27" s="358" t="n"/>
      <c r="H27" s="359" t="n"/>
      <c r="I27" s="376" t="n"/>
      <c r="J27" s="377" t="n"/>
    </row>
    <row r="28" ht="15" customHeight="1">
      <c r="A28" s="347" t="n"/>
      <c r="B28" s="353" t="n"/>
      <c r="C28" s="353" t="inlineStr">
        <is>
          <t xml:space="preserve">    PEMBELIAN BARANG</t>
        </is>
      </c>
      <c r="D28" s="353" t="inlineStr">
        <is>
          <t>Rp</t>
        </is>
      </c>
      <c r="E28" s="354">
        <f>'Revenue-Cost_2030'!O84</f>
        <v/>
      </c>
      <c r="F28" s="332" t="n"/>
      <c r="G28" s="378" t="inlineStr">
        <is>
          <t>TOTAL AKTIVA</t>
        </is>
      </c>
      <c r="H28" s="379" t="n"/>
      <c r="I28" s="367" t="inlineStr">
        <is>
          <t>Rp</t>
        </is>
      </c>
      <c r="J28" s="380">
        <f>J26+J22+J16</f>
        <v/>
      </c>
    </row>
    <row r="29" ht="15" customHeight="1">
      <c r="A29" s="347" t="n"/>
      <c r="B29" s="353" t="n"/>
      <c r="C29" s="353" t="inlineStr">
        <is>
          <t xml:space="preserve">    SEWA KANTOR</t>
        </is>
      </c>
      <c r="D29" s="353" t="inlineStr">
        <is>
          <t>Rp</t>
        </is>
      </c>
      <c r="E29" s="354">
        <f>'Revenue-Cost_2030'!P84</f>
        <v/>
      </c>
      <c r="F29" s="332" t="n"/>
      <c r="G29" s="381" t="n"/>
      <c r="H29" s="382" t="n"/>
      <c r="I29" s="381" t="n"/>
      <c r="J29" s="370" t="n"/>
    </row>
    <row r="30" ht="15" customHeight="1">
      <c r="A30" s="347" t="n"/>
      <c r="B30" s="353" t="n"/>
      <c r="C30" s="353" t="inlineStr">
        <is>
          <t xml:space="preserve">    KESEHATAN</t>
        </is>
      </c>
      <c r="D30" s="353" t="inlineStr">
        <is>
          <t>Rp</t>
        </is>
      </c>
      <c r="E30" s="354">
        <f>'Revenue-Cost_2030'!Q84</f>
        <v/>
      </c>
      <c r="F30" s="332" t="n"/>
      <c r="G30" s="383" t="inlineStr">
        <is>
          <t>HUTANG DAN MODAL</t>
        </is>
      </c>
      <c r="H30" s="350" t="n"/>
      <c r="I30" s="383" t="n"/>
      <c r="J30" s="384" t="n"/>
    </row>
    <row r="31" ht="15" customHeight="1">
      <c r="A31" s="347" t="n"/>
      <c r="B31" s="353" t="n"/>
      <c r="C31" s="353" t="inlineStr">
        <is>
          <t xml:space="preserve">    BISNIS DEV</t>
        </is>
      </c>
      <c r="D31" s="353" t="inlineStr">
        <is>
          <t>Rp</t>
        </is>
      </c>
      <c r="E31" s="354">
        <f>'Revenue-Cost_2030'!R84</f>
        <v/>
      </c>
      <c r="F31" s="332" t="n"/>
      <c r="G31" s="383" t="n"/>
      <c r="H31" s="350" t="n"/>
      <c r="I31" s="383" t="n"/>
      <c r="J31" s="384" t="n"/>
    </row>
    <row r="32" ht="15" customHeight="1">
      <c r="A32" s="347" t="n"/>
      <c r="B32" s="353" t="n"/>
      <c r="C32" s="353" t="inlineStr">
        <is>
          <t xml:space="preserve">    ASDASD</t>
        </is>
      </c>
      <c r="D32" s="353" t="inlineStr">
        <is>
          <t>Rp</t>
        </is>
      </c>
      <c r="E32" s="354">
        <f>'Revenue-Cost_2030'!S84</f>
        <v/>
      </c>
      <c r="F32" s="332" t="n"/>
      <c r="G32" s="355" t="inlineStr">
        <is>
          <t>HUTANG LANCAR</t>
        </is>
      </c>
      <c r="H32" s="356" t="n"/>
      <c r="I32" s="355" t="n"/>
      <c r="J32" s="357" t="n"/>
    </row>
    <row r="33" ht="15" customHeight="1">
      <c r="A33" s="347" t="n"/>
      <c r="B33" s="353" t="n"/>
      <c r="C33" s="353" t="inlineStr">
        <is>
          <t xml:space="preserve">    MAKANAN JEPANG</t>
        </is>
      </c>
      <c r="D33" s="353" t="inlineStr">
        <is>
          <t>Rp</t>
        </is>
      </c>
      <c r="E33" s="354">
        <f>'Revenue-Cost_2030'!T84</f>
        <v/>
      </c>
      <c r="F33" s="332" t="n"/>
      <c r="G33" s="358" t="n"/>
      <c r="H33" s="359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47" t="n"/>
      <c r="B34" s="353" t="n"/>
      <c r="C34" s="353" t="inlineStr">
        <is>
          <t xml:space="preserve">    AAAAA</t>
        </is>
      </c>
      <c r="D34" s="353" t="inlineStr">
        <is>
          <t>Rp</t>
        </is>
      </c>
      <c r="E34" s="354">
        <f>'Revenue-Cost_2030'!U84</f>
        <v/>
      </c>
      <c r="F34" s="332" t="n"/>
      <c r="G34" s="358" t="n"/>
      <c r="H34" s="385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47" t="n"/>
      <c r="B35" s="353" t="n"/>
      <c r="C35" s="353" t="inlineStr">
        <is>
          <t xml:space="preserve">    BBBBB</t>
        </is>
      </c>
      <c r="D35" s="353" t="inlineStr">
        <is>
          <t>Rp</t>
        </is>
      </c>
      <c r="E35" s="354">
        <f>'Revenue-Cost_2030'!V84</f>
        <v/>
      </c>
      <c r="F35" s="332" t="n"/>
      <c r="G35" s="358" t="n"/>
      <c r="H35" s="359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47" t="n"/>
      <c r="B36" s="353" t="n"/>
      <c r="C36" s="353" t="inlineStr">
        <is>
          <t xml:space="preserve">    ASDSAD</t>
        </is>
      </c>
      <c r="D36" s="353" t="inlineStr">
        <is>
          <t>Rp</t>
        </is>
      </c>
      <c r="E36" s="354">
        <f>'Revenue-Cost_2030'!W84</f>
        <v/>
      </c>
      <c r="F36" s="332" t="n"/>
      <c r="G36" s="358" t="n"/>
      <c r="H36" s="359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47" t="n"/>
      <c r="B37" s="353" t="n"/>
      <c r="C37" s="353" t="inlineStr">
        <is>
          <t xml:space="preserve">    DFGDFGDFGD</t>
        </is>
      </c>
      <c r="D37" s="353" t="inlineStr">
        <is>
          <t>Rp</t>
        </is>
      </c>
      <c r="E37" s="354">
        <f>'Revenue-Cost_2030'!X84</f>
        <v/>
      </c>
      <c r="F37" s="332" t="n"/>
      <c r="G37" s="386" t="n"/>
      <c r="H37" s="387" t="n"/>
      <c r="I37" s="386" t="n"/>
      <c r="J37" s="388" t="n"/>
    </row>
    <row r="38" ht="15" customHeight="1">
      <c r="A38" s="347" t="n"/>
      <c r="B38" s="353" t="n"/>
      <c r="C38" s="353" t="inlineStr">
        <is>
          <t xml:space="preserve">    12312</t>
        </is>
      </c>
      <c r="D38" s="353" t="inlineStr">
        <is>
          <t>Rp</t>
        </is>
      </c>
      <c r="E38" s="354">
        <f>'Revenue-Cost_2030'!Y84</f>
        <v/>
      </c>
      <c r="F38" s="332" t="n"/>
      <c r="G38" s="365" t="n"/>
      <c r="H38" s="366" t="inlineStr">
        <is>
          <t>TOTAL HUTANG LANCAR</t>
        </is>
      </c>
      <c r="I38" s="389" t="n"/>
      <c r="J38" s="368">
        <f>SUM(J33:J36)</f>
        <v/>
      </c>
    </row>
    <row r="39" ht="15" customHeight="1">
      <c r="A39" s="347" t="n"/>
      <c r="B39" s="362" t="inlineStr">
        <is>
          <t>TOTAL BIAYA ADMINISTRASI DAN UMUM</t>
        </is>
      </c>
      <c r="C39" s="362" t="n"/>
      <c r="D39" s="362" t="inlineStr">
        <is>
          <t>Rp</t>
        </is>
      </c>
      <c r="E39" s="363">
        <f>SUM(E25:E38)</f>
        <v/>
      </c>
      <c r="F39" s="332" t="n"/>
      <c r="G39" s="358" t="n"/>
      <c r="H39" s="371" t="n"/>
      <c r="I39" s="390" t="n"/>
      <c r="J39" s="352" t="n"/>
    </row>
    <row r="40" ht="15" customHeight="1">
      <c r="A40" s="347" t="n"/>
      <c r="B40" s="353" t="n"/>
      <c r="C40" s="353" t="n"/>
      <c r="D40" s="353" t="n"/>
      <c r="E40" s="354" t="n"/>
      <c r="F40" s="332" t="n"/>
      <c r="G40" s="355" t="inlineStr">
        <is>
          <t>MODAL</t>
        </is>
      </c>
      <c r="H40" s="356" t="n"/>
      <c r="I40" s="355" t="n"/>
      <c r="J40" s="357" t="n"/>
    </row>
    <row r="41" ht="15" customHeight="1">
      <c r="A41" s="347" t="n"/>
      <c r="B41" s="362" t="inlineStr">
        <is>
          <t>TOTAL BIAYA</t>
        </is>
      </c>
      <c r="C41" s="362" t="n"/>
      <c r="D41" s="362" t="inlineStr">
        <is>
          <t>Rp</t>
        </is>
      </c>
      <c r="E41" s="363">
        <f>E18+E22+E39</f>
        <v/>
      </c>
      <c r="F41" s="332" t="n"/>
      <c r="G41" s="358" t="n"/>
      <c r="H41" s="359" t="inlineStr">
        <is>
          <t>MODAL SAHAM</t>
        </is>
      </c>
      <c r="I41" s="360" t="inlineStr">
        <is>
          <t>Rp</t>
        </is>
      </c>
      <c r="J41" s="361" t="n">
        <v>0</v>
      </c>
    </row>
    <row r="42" ht="15" customHeight="1">
      <c r="A42" s="347" t="n"/>
      <c r="B42" s="353" t="n"/>
      <c r="C42" s="353" t="n"/>
      <c r="D42" s="353" t="n"/>
      <c r="E42" s="354" t="n"/>
      <c r="F42" s="332" t="n"/>
      <c r="G42" s="358" t="n"/>
      <c r="H42" s="359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47" t="n"/>
      <c r="B43" s="275" t="inlineStr">
        <is>
          <t>PENDAPATAN/BEBAN LAIN LAIN</t>
        </is>
      </c>
      <c r="C43" s="275" t="n"/>
      <c r="D43" s="275" t="n"/>
      <c r="E43" s="348" t="n"/>
      <c r="F43" s="332" t="n"/>
      <c r="G43" s="355" t="n"/>
      <c r="H43" s="359" t="inlineStr">
        <is>
          <t>TOTAL LABA (RUGI) DITAHAN</t>
        </is>
      </c>
      <c r="I43" s="391" t="inlineStr">
        <is>
          <t>Rp</t>
        </is>
      </c>
      <c r="J43" s="375">
        <f>J28-J38-J41-J42</f>
        <v/>
      </c>
    </row>
    <row r="44" ht="15" customHeight="1">
      <c r="A44" s="347" t="n"/>
      <c r="B44" s="353" t="n"/>
      <c r="C44" s="353" t="inlineStr">
        <is>
          <t xml:space="preserve">    PENDAPATAN LAINNYA</t>
        </is>
      </c>
      <c r="D44" s="353" t="inlineStr">
        <is>
          <t>Rp</t>
        </is>
      </c>
      <c r="E44" s="354" t="n">
        <v>0</v>
      </c>
      <c r="F44" s="332" t="n"/>
      <c r="G44" s="365" t="n"/>
      <c r="H44" s="366" t="inlineStr">
        <is>
          <t>TOTAL MODAL</t>
        </is>
      </c>
      <c r="I44" s="367" t="inlineStr">
        <is>
          <t>Rp</t>
        </is>
      </c>
      <c r="J44" s="368">
        <f>SUM(J41:J43)</f>
        <v/>
      </c>
    </row>
    <row r="45" ht="15" customHeight="1">
      <c r="A45" s="347" t="n"/>
      <c r="B45" s="353" t="n"/>
      <c r="C45" s="353" t="n"/>
      <c r="D45" s="353" t="n"/>
      <c r="E45" s="354" t="n"/>
      <c r="F45" s="332" t="n"/>
      <c r="G45" s="358" t="n"/>
      <c r="H45" s="359" t="n"/>
      <c r="I45" s="376" t="n"/>
      <c r="J45" s="377" t="n"/>
    </row>
    <row r="46" ht="15" customHeight="1">
      <c r="A46" s="347" t="n"/>
      <c r="B46" s="362" t="inlineStr">
        <is>
          <t>LABA RUGI SEBELUM PAJAK</t>
        </is>
      </c>
      <c r="C46" s="362" t="n"/>
      <c r="D46" s="362" t="inlineStr">
        <is>
          <t>Rp</t>
        </is>
      </c>
      <c r="E46" s="363">
        <f>E12-E41</f>
        <v/>
      </c>
      <c r="F46" s="332" t="n"/>
      <c r="G46" s="392" t="inlineStr">
        <is>
          <t>TOTAL HUTANG DAN MODAL</t>
        </is>
      </c>
      <c r="H46" s="393" t="n"/>
      <c r="I46" s="394" t="inlineStr">
        <is>
          <t>Rp</t>
        </is>
      </c>
      <c r="J46" s="395">
        <f>J44+J38</f>
        <v/>
      </c>
    </row>
    <row r="47" ht="15" customHeight="1">
      <c r="A47" s="347" t="n"/>
      <c r="B47" s="353" t="n"/>
      <c r="C47" s="353" t="n"/>
      <c r="D47" s="353" t="n"/>
      <c r="E47" s="354" t="n"/>
      <c r="F47" s="332" t="n"/>
    </row>
    <row r="48" ht="15" customHeight="1">
      <c r="A48" s="347" t="n"/>
      <c r="B48" s="362" t="inlineStr">
        <is>
          <t>CORPORATE TAX (PPh 29)</t>
        </is>
      </c>
      <c r="C48" s="362" t="n"/>
      <c r="D48" s="362" t="inlineStr">
        <is>
          <t>Rp</t>
        </is>
      </c>
      <c r="E48" s="363" t="n">
        <v>0</v>
      </c>
      <c r="F48" s="347" t="n"/>
      <c r="G48" s="347" t="n"/>
      <c r="H48" s="347" t="n"/>
    </row>
    <row r="49" ht="15" customHeight="1">
      <c r="A49" s="347" t="n"/>
      <c r="B49" s="353" t="n"/>
      <c r="C49" s="353" t="n"/>
      <c r="D49" s="353" t="n"/>
      <c r="E49" s="354" t="n"/>
      <c r="F49" s="347" t="n"/>
      <c r="G49" s="347" t="n"/>
      <c r="H49" s="347" t="n"/>
    </row>
    <row r="50" ht="15" customHeight="1">
      <c r="A50" s="347" t="n"/>
      <c r="B50" s="396" t="inlineStr">
        <is>
          <t>LABA / RUGI BERSIH</t>
        </is>
      </c>
      <c r="C50" s="396" t="n"/>
      <c r="D50" s="396" t="inlineStr">
        <is>
          <t>Rp</t>
        </is>
      </c>
      <c r="E50" s="397">
        <f>E46-E48</f>
        <v/>
      </c>
      <c r="F50" s="347" t="n"/>
      <c r="G50" s="347" t="n"/>
      <c r="H50" s="347" t="n"/>
    </row>
    <row r="51">
      <c r="A51" s="347" t="n"/>
      <c r="B51" s="347" t="n"/>
      <c r="C51" s="347" t="n"/>
      <c r="D51" s="347" t="n"/>
      <c r="E51" s="347" t="n"/>
      <c r="F51" s="347" t="n"/>
      <c r="G51" s="347" t="n"/>
      <c r="H51" s="347" t="n"/>
    </row>
    <row r="52">
      <c r="A52" s="347" t="n"/>
      <c r="B52" s="347" t="n"/>
      <c r="C52" s="347" t="n"/>
      <c r="D52" s="347" t="n"/>
      <c r="E52" s="347" t="n"/>
      <c r="F52" s="347" t="n"/>
      <c r="G52" s="347" t="n"/>
      <c r="H52" s="347" t="n"/>
      <c r="J52" s="398" t="n"/>
    </row>
    <row r="53">
      <c r="A53" s="347" t="n"/>
      <c r="B53" s="347" t="n"/>
      <c r="C53" s="347" t="n"/>
      <c r="D53" s="347" t="n"/>
      <c r="E53" s="347" t="n"/>
      <c r="F53" s="347" t="n"/>
      <c r="G53" s="347" t="n"/>
      <c r="H53" s="347" t="n"/>
    </row>
    <row r="54">
      <c r="A54" s="347" t="n"/>
      <c r="B54" s="347" t="n"/>
      <c r="C54" s="399" t="inlineStr">
        <is>
          <t>Direktur</t>
        </is>
      </c>
      <c r="D54" s="347" t="n"/>
      <c r="E54" s="347" t="n"/>
      <c r="F54" s="347" t="n"/>
      <c r="G54" s="347" t="n"/>
      <c r="H54" s="399" t="inlineStr">
        <is>
          <t>Direktur</t>
        </is>
      </c>
    </row>
    <row r="55">
      <c r="A55" s="347" t="n"/>
      <c r="B55" s="347" t="n"/>
      <c r="C55" s="347" t="n"/>
      <c r="D55" s="347" t="n"/>
      <c r="E55" s="347" t="n"/>
      <c r="F55" s="347" t="n"/>
      <c r="G55" s="347" t="n"/>
      <c r="H55" s="347" t="n"/>
    </row>
    <row r="56">
      <c r="A56" s="347" t="n"/>
      <c r="B56" s="347" t="n"/>
      <c r="C56" s="347" t="n"/>
      <c r="D56" s="347" t="n"/>
      <c r="E56" s="347" t="n"/>
      <c r="F56" s="347" t="n"/>
      <c r="G56" s="347" t="n"/>
      <c r="H56" s="347" t="n"/>
    </row>
    <row r="57">
      <c r="A57" s="347" t="n"/>
      <c r="B57" s="347" t="n"/>
      <c r="C57" s="347" t="n"/>
      <c r="D57" s="347" t="n"/>
      <c r="E57" s="347" t="n"/>
      <c r="F57" s="347" t="n"/>
      <c r="G57" s="347" t="n"/>
      <c r="H57" s="347" t="n"/>
    </row>
    <row r="58">
      <c r="A58" s="347" t="n"/>
      <c r="B58" s="347" t="n"/>
      <c r="C58" s="347" t="n"/>
      <c r="D58" s="347" t="n"/>
      <c r="E58" s="347" t="n"/>
      <c r="F58" s="347" t="n"/>
      <c r="G58" s="347" t="n"/>
      <c r="H58" s="347" t="n"/>
    </row>
    <row r="59">
      <c r="A59" s="347" t="n"/>
      <c r="B59" s="347" t="n"/>
      <c r="C59" s="347" t="n"/>
      <c r="D59" s="347" t="n"/>
      <c r="E59" s="347" t="n"/>
      <c r="F59" s="347" t="n"/>
      <c r="G59" s="347" t="n"/>
      <c r="H59" s="347" t="n"/>
    </row>
    <row r="60">
      <c r="A60" s="347" t="n"/>
      <c r="B60" s="347" t="n"/>
      <c r="C60" s="347" t="n"/>
      <c r="D60" s="347" t="n"/>
      <c r="E60" s="347" t="n"/>
      <c r="F60" s="347" t="n"/>
      <c r="G60" s="347" t="n"/>
      <c r="H60" s="347" t="n"/>
    </row>
    <row r="61">
      <c r="A61" s="347" t="n"/>
      <c r="B61" s="347" t="n"/>
      <c r="C61" s="347" t="n"/>
      <c r="D61" s="347" t="n"/>
      <c r="E61" s="347" t="n"/>
      <c r="F61" s="347" t="n"/>
      <c r="G61" s="347" t="n"/>
      <c r="H61" s="347" t="n"/>
    </row>
    <row r="62">
      <c r="A62" s="347" t="n"/>
      <c r="B62" s="347" t="n"/>
      <c r="C62" s="347" t="n"/>
      <c r="D62" s="347" t="n"/>
      <c r="E62" s="347" t="n"/>
      <c r="F62" s="347" t="n"/>
      <c r="G62" s="347" t="n"/>
      <c r="H62" s="347" t="n"/>
    </row>
    <row r="63">
      <c r="A63" s="347" t="n"/>
      <c r="B63" s="347" t="n"/>
      <c r="C63" s="347" t="n"/>
      <c r="D63" s="347" t="n"/>
      <c r="E63" s="347" t="n"/>
      <c r="F63" s="347" t="n"/>
      <c r="G63" s="347" t="n"/>
      <c r="H63" s="347" t="n"/>
    </row>
    <row r="64">
      <c r="A64" s="347" t="n"/>
      <c r="B64" s="347" t="n"/>
      <c r="C64" s="347" t="n"/>
      <c r="D64" s="347" t="n"/>
      <c r="E64" s="347" t="n"/>
      <c r="F64" s="347" t="n"/>
      <c r="G64" s="347" t="n"/>
      <c r="H64" s="347" t="n"/>
    </row>
    <row r="65">
      <c r="A65" s="347" t="n"/>
      <c r="B65" s="347" t="n"/>
      <c r="C65" s="347" t="n"/>
      <c r="D65" s="347" t="n"/>
      <c r="E65" s="347" t="n"/>
      <c r="F65" s="347" t="n"/>
      <c r="G65" s="347" t="n"/>
      <c r="H65" s="347" t="n"/>
    </row>
    <row r="66">
      <c r="A66" s="347" t="n"/>
      <c r="B66" s="347" t="n"/>
      <c r="C66" s="347" t="n"/>
      <c r="D66" s="347" t="n"/>
      <c r="E66" s="347" t="n"/>
      <c r="F66" s="347" t="n"/>
      <c r="G66" s="347" t="n"/>
      <c r="H66" s="347" t="n"/>
    </row>
    <row r="67">
      <c r="A67" s="347" t="n"/>
      <c r="B67" s="347" t="n"/>
      <c r="C67" s="347" t="n"/>
      <c r="D67" s="347" t="n"/>
      <c r="E67" s="347" t="n"/>
      <c r="F67" s="347" t="n"/>
      <c r="G67" s="347" t="n"/>
      <c r="H67" s="347" t="n"/>
    </row>
    <row r="68">
      <c r="A68" s="347" t="n"/>
      <c r="B68" s="347" t="n"/>
      <c r="C68" s="347" t="n"/>
      <c r="D68" s="347" t="n"/>
      <c r="E68" s="347" t="n"/>
      <c r="F68" s="347" t="n"/>
      <c r="G68" s="347" t="n"/>
      <c r="H68" s="347" t="n"/>
    </row>
    <row r="69">
      <c r="A69" s="347" t="n"/>
      <c r="B69" s="347" t="n"/>
      <c r="C69" s="347" t="n"/>
      <c r="D69" s="347" t="n"/>
      <c r="E69" s="347" t="n"/>
      <c r="F69" s="347" t="n"/>
      <c r="G69" s="347" t="n"/>
      <c r="H69" s="347" t="n"/>
    </row>
    <row r="70">
      <c r="A70" s="347" t="n"/>
      <c r="B70" s="347" t="n"/>
      <c r="C70" s="347" t="n"/>
      <c r="D70" s="347" t="n"/>
      <c r="E70" s="347" t="n"/>
      <c r="F70" s="347" t="n"/>
      <c r="G70" s="347" t="n"/>
      <c r="H70" s="347" t="n"/>
    </row>
    <row r="71">
      <c r="A71" s="347" t="n"/>
      <c r="B71" s="347" t="n"/>
      <c r="C71" s="347" t="n"/>
      <c r="D71" s="347" t="n"/>
      <c r="E71" s="347" t="n"/>
      <c r="F71" s="347" t="n"/>
      <c r="G71" s="347" t="n"/>
      <c r="H71" s="347" t="n"/>
    </row>
    <row r="72">
      <c r="A72" s="347" t="n"/>
      <c r="B72" s="347" t="n"/>
      <c r="C72" s="347" t="n"/>
      <c r="D72" s="347" t="n"/>
      <c r="E72" s="347" t="n"/>
      <c r="F72" s="347" t="n"/>
      <c r="G72" s="347" t="n"/>
      <c r="H72" s="347" t="n"/>
    </row>
    <row r="73">
      <c r="A73" s="347" t="n"/>
      <c r="B73" s="347" t="n"/>
      <c r="C73" s="347" t="n"/>
      <c r="D73" s="347" t="n"/>
      <c r="E73" s="347" t="n"/>
      <c r="F73" s="347" t="n"/>
      <c r="G73" s="347" t="n"/>
      <c r="H73" s="347" t="n"/>
    </row>
    <row r="74">
      <c r="A74" s="347" t="n"/>
      <c r="B74" s="347" t="n"/>
      <c r="C74" s="347" t="n"/>
      <c r="D74" s="347" t="n"/>
      <c r="E74" s="347" t="n"/>
      <c r="F74" s="347" t="n"/>
      <c r="G74" s="347" t="n"/>
      <c r="H74" s="347" t="n"/>
    </row>
    <row r="75">
      <c r="A75" s="347" t="n"/>
      <c r="B75" s="347" t="n"/>
      <c r="C75" s="347" t="n"/>
      <c r="D75" s="347" t="n"/>
      <c r="E75" s="347" t="n"/>
      <c r="F75" s="347" t="n"/>
      <c r="G75" s="347" t="n"/>
      <c r="H75" s="347" t="n"/>
    </row>
    <row r="76">
      <c r="A76" s="347" t="n"/>
      <c r="B76" s="347" t="n"/>
      <c r="C76" s="347" t="n"/>
      <c r="D76" s="347" t="n"/>
      <c r="E76" s="347" t="n"/>
      <c r="F76" s="347" t="n"/>
      <c r="G76" s="347" t="n"/>
      <c r="H76" s="347" t="n"/>
    </row>
    <row r="77">
      <c r="A77" s="347" t="n"/>
      <c r="B77" s="347" t="n"/>
      <c r="C77" s="347" t="n"/>
      <c r="D77" s="347" t="n"/>
      <c r="E77" s="347" t="n"/>
      <c r="F77" s="347" t="n"/>
      <c r="G77" s="347" t="n"/>
      <c r="H77" s="347" t="n"/>
    </row>
    <row r="78">
      <c r="A78" s="347" t="n"/>
      <c r="B78" s="347" t="n"/>
      <c r="C78" s="347" t="n"/>
      <c r="D78" s="347" t="n"/>
      <c r="E78" s="347" t="n"/>
      <c r="F78" s="347" t="n"/>
      <c r="G78" s="347" t="n"/>
      <c r="H78" s="347" t="n"/>
    </row>
    <row r="79">
      <c r="A79" s="347" t="n"/>
      <c r="B79" s="347" t="n"/>
      <c r="C79" s="347" t="n"/>
      <c r="D79" s="347" t="n"/>
      <c r="E79" s="347" t="n"/>
      <c r="F79" s="347" t="n"/>
      <c r="G79" s="347" t="n"/>
      <c r="H79" s="347" t="n"/>
    </row>
    <row r="80">
      <c r="A80" s="347" t="n"/>
      <c r="B80" s="347" t="n"/>
      <c r="C80" s="347" t="n"/>
      <c r="D80" s="347" t="n"/>
      <c r="E80" s="347" t="n"/>
      <c r="F80" s="347" t="n"/>
      <c r="G80" s="347" t="n"/>
      <c r="H80" s="347" t="n"/>
    </row>
    <row r="81">
      <c r="A81" s="347" t="n"/>
      <c r="B81" s="347" t="n"/>
      <c r="C81" s="347" t="n"/>
      <c r="D81" s="347" t="n"/>
      <c r="E81" s="347" t="n"/>
      <c r="F81" s="347" t="n"/>
      <c r="G81" s="347" t="n"/>
      <c r="H81" s="347" t="n"/>
    </row>
    <row r="82">
      <c r="A82" s="347" t="n"/>
      <c r="B82" s="347" t="n"/>
      <c r="C82" s="347" t="n"/>
      <c r="D82" s="347" t="n"/>
      <c r="E82" s="347" t="n"/>
      <c r="F82" s="347" t="n"/>
      <c r="G82" s="347" t="n"/>
      <c r="H82" s="347" t="n"/>
    </row>
    <row r="83">
      <c r="A83" s="347" t="n"/>
      <c r="B83" s="347" t="n"/>
      <c r="C83" s="347" t="n"/>
      <c r="D83" s="347" t="n"/>
      <c r="E83" s="347" t="n"/>
      <c r="F83" s="347" t="n"/>
      <c r="G83" s="347" t="n"/>
      <c r="H83" s="347" t="n"/>
    </row>
    <row r="84">
      <c r="A84" s="347" t="n"/>
      <c r="B84" s="347" t="n"/>
      <c r="C84" s="347" t="n"/>
      <c r="D84" s="347" t="n"/>
      <c r="E84" s="347" t="n"/>
      <c r="F84" s="347" t="n"/>
      <c r="G84" s="347" t="n"/>
      <c r="H84" s="347" t="n"/>
    </row>
    <row r="85">
      <c r="A85" s="347" t="n"/>
      <c r="B85" s="347" t="n"/>
      <c r="C85" s="347" t="n"/>
      <c r="D85" s="347" t="n"/>
      <c r="E85" s="347" t="n"/>
      <c r="F85" s="347" t="n"/>
      <c r="G85" s="347" t="n"/>
      <c r="H85" s="347" t="n"/>
    </row>
    <row r="86">
      <c r="A86" s="347" t="n"/>
      <c r="B86" s="347" t="n"/>
      <c r="C86" s="347" t="n"/>
      <c r="D86" s="347" t="n"/>
      <c r="E86" s="347" t="n"/>
      <c r="F86" s="347" t="n"/>
      <c r="G86" s="347" t="n"/>
      <c r="H86" s="347" t="n"/>
    </row>
    <row r="87">
      <c r="A87" s="347" t="n"/>
      <c r="B87" s="347" t="n"/>
      <c r="C87" s="347" t="n"/>
      <c r="D87" s="347" t="n"/>
      <c r="E87" s="347" t="n"/>
      <c r="F87" s="347" t="n"/>
      <c r="G87" s="347" t="n"/>
      <c r="H87" s="347" t="n"/>
    </row>
    <row r="88">
      <c r="A88" s="347" t="n"/>
      <c r="B88" s="347" t="n"/>
      <c r="C88" s="347" t="n"/>
      <c r="D88" s="347" t="n"/>
      <c r="E88" s="347" t="n"/>
      <c r="F88" s="347" t="n"/>
      <c r="G88" s="347" t="n"/>
      <c r="H88" s="347" t="n"/>
    </row>
    <row r="89">
      <c r="A89" s="347" t="n"/>
      <c r="B89" s="347" t="n"/>
      <c r="C89" s="347" t="n"/>
      <c r="D89" s="347" t="n"/>
      <c r="E89" s="347" t="n"/>
      <c r="F89" s="347" t="n"/>
      <c r="G89" s="347" t="n"/>
      <c r="H89" s="347" t="n"/>
    </row>
    <row r="90">
      <c r="A90" s="347" t="n"/>
      <c r="B90" s="347" t="n"/>
      <c r="C90" s="347" t="n"/>
      <c r="D90" s="347" t="n"/>
      <c r="E90" s="347" t="n"/>
      <c r="F90" s="347" t="n"/>
      <c r="G90" s="347" t="n"/>
      <c r="H90" s="347" t="n"/>
    </row>
    <row r="91">
      <c r="A91" s="347" t="n"/>
      <c r="B91" s="347" t="n"/>
      <c r="C91" s="347" t="n"/>
      <c r="D91" s="347" t="n"/>
      <c r="E91" s="347" t="n"/>
      <c r="F91" s="347" t="n"/>
      <c r="G91" s="347" t="n"/>
      <c r="H91" s="347" t="n"/>
    </row>
    <row r="92">
      <c r="A92" s="347" t="n"/>
      <c r="B92" s="347" t="n"/>
      <c r="C92" s="347" t="n"/>
      <c r="D92" s="347" t="n"/>
      <c r="E92" s="347" t="n"/>
      <c r="F92" s="347" t="n"/>
      <c r="G92" s="347" t="n"/>
      <c r="H92" s="347" t="n"/>
    </row>
    <row r="93">
      <c r="A93" s="347" t="n"/>
      <c r="B93" s="347" t="n"/>
      <c r="C93" s="347" t="n"/>
      <c r="D93" s="347" t="n"/>
      <c r="E93" s="347" t="n"/>
      <c r="F93" s="347" t="n"/>
      <c r="G93" s="347" t="n"/>
      <c r="H93" s="347" t="n"/>
    </row>
    <row r="94">
      <c r="A94" s="347" t="n"/>
      <c r="B94" s="347" t="n"/>
      <c r="C94" s="347" t="n"/>
      <c r="D94" s="347" t="n"/>
      <c r="E94" s="347" t="n"/>
      <c r="F94" s="347" t="n"/>
      <c r="G94" s="347" t="n"/>
      <c r="H94" s="347" t="n"/>
    </row>
    <row r="95">
      <c r="A95" s="347" t="n"/>
      <c r="B95" s="347" t="n"/>
      <c r="C95" s="347" t="n"/>
      <c r="D95" s="347" t="n"/>
      <c r="E95" s="347" t="n"/>
      <c r="F95" s="347" t="n"/>
      <c r="G95" s="347" t="n"/>
      <c r="H95" s="347" t="n"/>
    </row>
    <row r="96" ht="64.5" customHeight="1">
      <c r="A96" s="347" t="n"/>
      <c r="B96" s="347" t="n"/>
      <c r="C96" s="347" t="n"/>
      <c r="D96" s="347" t="n"/>
      <c r="E96" s="347" t="n"/>
      <c r="F96" s="347" t="n"/>
      <c r="G96" s="347" t="n"/>
      <c r="H96" s="347" t="n"/>
    </row>
    <row r="97">
      <c r="A97" s="347" t="n"/>
      <c r="B97" s="347" t="n"/>
      <c r="C97" s="347" t="n"/>
      <c r="D97" s="347" t="n"/>
      <c r="E97" s="347" t="n"/>
      <c r="F97" s="347" t="n"/>
      <c r="G97" s="347" t="n"/>
      <c r="H97" s="347" t="n"/>
    </row>
    <row r="98">
      <c r="A98" s="347" t="n"/>
      <c r="B98" s="347" t="n"/>
      <c r="C98" s="347" t="n"/>
      <c r="D98" s="347" t="n"/>
      <c r="E98" s="347" t="n"/>
      <c r="F98" s="347" t="n"/>
      <c r="G98" s="347" t="n"/>
      <c r="H98" s="347" t="n"/>
    </row>
    <row r="99">
      <c r="A99" s="347" t="n"/>
      <c r="B99" s="347" t="n"/>
      <c r="C99" s="347" t="n"/>
      <c r="D99" s="347" t="n"/>
      <c r="E99" s="347" t="n"/>
      <c r="F99" s="347" t="n"/>
      <c r="G99" s="347" t="n"/>
      <c r="H99" s="347" t="n"/>
    </row>
    <row r="100">
      <c r="A100" s="347" t="n"/>
      <c r="B100" s="347" t="n"/>
      <c r="C100" s="347" t="n"/>
      <c r="D100" s="347" t="n"/>
      <c r="E100" s="347" t="n"/>
      <c r="F100" s="347" t="n"/>
      <c r="G100" s="347" t="n"/>
      <c r="H100" s="347" t="n"/>
    </row>
    <row r="101">
      <c r="A101" s="347" t="n"/>
      <c r="B101" s="347" t="n"/>
      <c r="C101" s="347" t="n"/>
      <c r="D101" s="347" t="n"/>
      <c r="E101" s="347" t="n"/>
      <c r="F101" s="347" t="n"/>
      <c r="G101" s="347" t="n"/>
      <c r="H101" s="347" t="n"/>
    </row>
    <row r="102">
      <c r="A102" s="347" t="n"/>
      <c r="B102" s="347" t="n"/>
      <c r="C102" s="347" t="n"/>
      <c r="D102" s="347" t="n"/>
      <c r="E102" s="347" t="n"/>
      <c r="F102" s="347" t="n"/>
      <c r="G102" s="347" t="n"/>
      <c r="H102" s="347" t="n"/>
    </row>
    <row r="103">
      <c r="A103" s="347" t="n"/>
      <c r="B103" s="347" t="n"/>
      <c r="C103" s="347" t="n"/>
      <c r="D103" s="347" t="n"/>
      <c r="E103" s="347" t="n"/>
      <c r="F103" s="347" t="n"/>
      <c r="G103" s="347" t="n"/>
      <c r="H103" s="347" t="n"/>
    </row>
    <row r="104">
      <c r="A104" s="347" t="n"/>
      <c r="B104" s="347" t="n"/>
      <c r="C104" s="347" t="n"/>
      <c r="D104" s="347" t="n"/>
      <c r="E104" s="347" t="n"/>
      <c r="F104" s="347" t="n"/>
      <c r="G104" s="347" t="n"/>
      <c r="H104" s="347" t="n"/>
    </row>
    <row r="105">
      <c r="A105" s="347" t="n"/>
      <c r="B105" s="347" t="n"/>
      <c r="C105" s="347" t="n"/>
      <c r="D105" s="347" t="n"/>
      <c r="E105" s="347" t="n"/>
      <c r="F105" s="347" t="n"/>
      <c r="G105" s="347" t="n"/>
      <c r="H105" s="347" t="n"/>
    </row>
    <row r="106">
      <c r="A106" s="347" t="n"/>
      <c r="B106" s="347" t="n"/>
      <c r="C106" s="347" t="n"/>
      <c r="D106" s="347" t="n"/>
      <c r="E106" s="347" t="n"/>
      <c r="F106" s="347" t="n"/>
      <c r="G106" s="347" t="n"/>
      <c r="H106" s="347" t="n"/>
    </row>
    <row r="107">
      <c r="A107" s="347" t="n"/>
      <c r="B107" s="347" t="n"/>
      <c r="C107" s="347" t="n"/>
      <c r="D107" s="347" t="n"/>
      <c r="E107" s="347" t="n"/>
      <c r="F107" s="347" t="n"/>
      <c r="G107" s="347" t="n"/>
      <c r="H107" s="347" t="n"/>
    </row>
    <row r="108">
      <c r="A108" s="347" t="n"/>
      <c r="B108" s="347" t="n"/>
      <c r="C108" s="347" t="n"/>
      <c r="D108" s="347" t="n"/>
      <c r="E108" s="347" t="n"/>
      <c r="F108" s="347" t="n"/>
      <c r="G108" s="347" t="n"/>
      <c r="H108" s="347" t="n"/>
    </row>
    <row r="109">
      <c r="A109" s="347" t="n"/>
      <c r="B109" s="347" t="n"/>
      <c r="C109" s="347" t="n"/>
      <c r="D109" s="347" t="n"/>
      <c r="E109" s="347" t="n"/>
      <c r="F109" s="347" t="n"/>
      <c r="G109" s="347" t="n"/>
      <c r="H109" s="347" t="n"/>
    </row>
    <row r="110">
      <c r="A110" s="347" t="n"/>
      <c r="B110" s="347" t="n"/>
      <c r="C110" s="347" t="n"/>
      <c r="D110" s="347" t="n"/>
      <c r="E110" s="347" t="n"/>
      <c r="F110" s="347" t="n"/>
      <c r="G110" s="347" t="n"/>
      <c r="H110" s="347" t="n"/>
    </row>
    <row r="111">
      <c r="A111" s="347" t="n"/>
      <c r="B111" s="347" t="n"/>
      <c r="C111" s="347" t="n"/>
      <c r="D111" s="347" t="n"/>
      <c r="E111" s="347" t="n"/>
      <c r="F111" s="347" t="n"/>
      <c r="G111" s="347" t="n"/>
      <c r="H111" s="347" t="n"/>
    </row>
    <row r="112">
      <c r="A112" s="347" t="n"/>
      <c r="B112" s="347" t="n"/>
      <c r="C112" s="347" t="n"/>
      <c r="D112" s="347" t="n"/>
      <c r="E112" s="347" t="n"/>
      <c r="F112" s="347" t="n"/>
      <c r="G112" s="347" t="n"/>
      <c r="H112" s="347" t="n"/>
    </row>
    <row r="113">
      <c r="A113" s="347" t="n"/>
      <c r="B113" s="347" t="n"/>
      <c r="C113" s="347" t="n"/>
      <c r="D113" s="347" t="n"/>
      <c r="E113" s="347" t="n"/>
      <c r="F113" s="347" t="n"/>
      <c r="G113" s="347" t="n"/>
      <c r="H113" s="347" t="n"/>
    </row>
    <row r="114">
      <c r="A114" s="347" t="n"/>
      <c r="B114" s="347" t="n"/>
      <c r="C114" s="347" t="n"/>
      <c r="D114" s="347" t="n"/>
      <c r="E114" s="347" t="n"/>
      <c r="F114" s="347" t="n"/>
      <c r="G114" s="347" t="n"/>
      <c r="H114" s="347" t="n"/>
    </row>
    <row r="115">
      <c r="A115" s="347" t="n"/>
      <c r="B115" s="347" t="n"/>
      <c r="C115" s="347" t="n"/>
      <c r="D115" s="347" t="n"/>
      <c r="E115" s="347" t="n"/>
      <c r="F115" s="347" t="n"/>
      <c r="G115" s="347" t="n"/>
      <c r="H115" s="347" t="n"/>
    </row>
    <row r="116">
      <c r="A116" s="347" t="n"/>
      <c r="B116" s="347" t="n"/>
      <c r="C116" s="347" t="n"/>
      <c r="D116" s="347" t="n"/>
      <c r="E116" s="347" t="n"/>
      <c r="F116" s="347" t="n"/>
      <c r="G116" s="347" t="n"/>
      <c r="H116" s="347" t="n"/>
    </row>
    <row r="117">
      <c r="A117" s="347" t="n"/>
      <c r="B117" s="347" t="n"/>
      <c r="C117" s="347" t="n"/>
      <c r="D117" s="347" t="n"/>
      <c r="E117" s="347" t="n"/>
      <c r="F117" s="347" t="n"/>
      <c r="G117" s="347" t="n"/>
      <c r="H117" s="347" t="n"/>
    </row>
    <row r="118">
      <c r="A118" s="347" t="n"/>
      <c r="B118" s="347" t="n"/>
      <c r="C118" s="347" t="n"/>
      <c r="D118" s="347" t="n"/>
      <c r="E118" s="347" t="n"/>
      <c r="F118" s="347" t="n"/>
      <c r="G118" s="347" t="n"/>
      <c r="H118" s="347" t="n"/>
    </row>
    <row r="119">
      <c r="A119" s="347" t="n"/>
      <c r="B119" s="347" t="n"/>
      <c r="C119" s="347" t="n"/>
      <c r="D119" s="347" t="n"/>
      <c r="E119" s="347" t="n"/>
      <c r="F119" s="347" t="n"/>
      <c r="G119" s="347" t="n"/>
      <c r="H119" s="347" t="n"/>
    </row>
    <row r="120">
      <c r="A120" s="347" t="n"/>
      <c r="B120" s="347" t="n"/>
      <c r="C120" s="347" t="n"/>
      <c r="D120" s="347" t="n"/>
      <c r="E120" s="347" t="n"/>
      <c r="F120" s="347" t="n"/>
      <c r="G120" s="347" t="n"/>
      <c r="H120" s="347" t="n"/>
    </row>
    <row r="121">
      <c r="A121" s="347" t="n"/>
      <c r="B121" s="347" t="n"/>
      <c r="C121" s="347" t="n"/>
      <c r="D121" s="347" t="n"/>
      <c r="E121" s="347" t="n"/>
      <c r="F121" s="347" t="n"/>
      <c r="G121" s="347" t="n"/>
      <c r="H121" s="347" t="n"/>
    </row>
    <row r="122">
      <c r="A122" s="347" t="n"/>
      <c r="B122" s="347" t="n"/>
      <c r="C122" s="347" t="n"/>
      <c r="D122" s="347" t="n"/>
      <c r="E122" s="347" t="n"/>
      <c r="F122" s="347" t="n"/>
      <c r="G122" s="347" t="n"/>
      <c r="H122" s="347" t="n"/>
    </row>
    <row r="123">
      <c r="A123" s="347" t="n"/>
      <c r="B123" s="347" t="n"/>
      <c r="C123" s="347" t="n"/>
      <c r="D123" s="347" t="n"/>
      <c r="E123" s="347" t="n"/>
      <c r="F123" s="347" t="n"/>
      <c r="G123" s="347" t="n"/>
      <c r="H123" s="347" t="n"/>
    </row>
    <row r="124">
      <c r="A124" s="347" t="n"/>
      <c r="B124" s="347" t="n"/>
      <c r="C124" s="347" t="n"/>
      <c r="D124" s="347" t="n"/>
      <c r="E124" s="347" t="n"/>
      <c r="F124" s="347" t="n"/>
      <c r="G124" s="347" t="n"/>
      <c r="H124" s="347" t="n"/>
    </row>
    <row r="125">
      <c r="A125" s="347" t="n"/>
      <c r="B125" s="347" t="n"/>
      <c r="C125" s="347" t="n"/>
      <c r="D125" s="347" t="n"/>
      <c r="E125" s="347" t="n"/>
      <c r="F125" s="347" t="n"/>
      <c r="G125" s="347" t="n"/>
      <c r="H125" s="347" t="n"/>
    </row>
    <row r="126">
      <c r="A126" s="347" t="n"/>
      <c r="B126" s="347" t="n"/>
      <c r="C126" s="347" t="n"/>
      <c r="D126" s="347" t="n"/>
      <c r="E126" s="347" t="n"/>
      <c r="F126" s="347" t="n"/>
      <c r="G126" s="347" t="n"/>
      <c r="H126" s="347" t="n"/>
    </row>
    <row r="127">
      <c r="A127" s="347" t="n"/>
      <c r="B127" s="347" t="n"/>
      <c r="C127" s="347" t="n"/>
      <c r="D127" s="347" t="n"/>
      <c r="E127" s="347" t="n"/>
      <c r="F127" s="347" t="n"/>
      <c r="G127" s="347" t="n"/>
      <c r="H127" s="347" t="n"/>
    </row>
    <row r="128">
      <c r="A128" s="347" t="n"/>
      <c r="B128" s="347" t="n"/>
      <c r="C128" s="347" t="n"/>
      <c r="D128" s="347" t="n"/>
      <c r="E128" s="347" t="n"/>
      <c r="F128" s="347" t="n"/>
      <c r="G128" s="347" t="n"/>
      <c r="H128" s="347" t="n"/>
    </row>
    <row r="129">
      <c r="A129" s="347" t="n"/>
      <c r="B129" s="347" t="n"/>
      <c r="C129" s="347" t="n"/>
      <c r="D129" s="347" t="n"/>
      <c r="E129" s="347" t="n"/>
      <c r="F129" s="347" t="n"/>
      <c r="G129" s="347" t="n"/>
      <c r="H129" s="347" t="n"/>
    </row>
    <row r="130">
      <c r="A130" s="347" t="n"/>
      <c r="B130" s="347" t="n"/>
      <c r="C130" s="347" t="n"/>
      <c r="D130" s="347" t="n"/>
      <c r="E130" s="347" t="n"/>
      <c r="F130" s="347" t="n"/>
      <c r="G130" s="347" t="n"/>
      <c r="H130" s="347" t="n"/>
    </row>
    <row r="131">
      <c r="A131" s="347" t="n"/>
      <c r="B131" s="347" t="n"/>
      <c r="C131" s="347" t="n"/>
      <c r="D131" s="347" t="n"/>
      <c r="E131" s="347" t="n"/>
      <c r="F131" s="347" t="n"/>
      <c r="G131" s="347" t="n"/>
      <c r="H131" s="347" t="n"/>
    </row>
    <row r="132">
      <c r="A132" s="347" t="n"/>
      <c r="B132" s="347" t="n"/>
      <c r="C132" s="347" t="n"/>
      <c r="D132" s="347" t="n"/>
      <c r="E132" s="347" t="n"/>
      <c r="F132" s="347" t="n"/>
      <c r="G132" s="347" t="n"/>
      <c r="H132" s="347" t="n"/>
    </row>
    <row r="133">
      <c r="A133" s="347" t="n"/>
      <c r="B133" s="347" t="n"/>
      <c r="C133" s="347" t="n"/>
      <c r="D133" s="347" t="n"/>
      <c r="E133" s="347" t="n"/>
      <c r="F133" s="347" t="n"/>
      <c r="G133" s="347" t="n"/>
      <c r="H133" s="347" t="n"/>
    </row>
    <row r="134">
      <c r="A134" s="347" t="n"/>
      <c r="B134" s="347" t="n"/>
      <c r="C134" s="347" t="n"/>
      <c r="D134" s="347" t="n"/>
      <c r="E134" s="347" t="n"/>
      <c r="F134" s="347" t="n"/>
      <c r="G134" s="347" t="n"/>
      <c r="H134" s="347" t="n"/>
    </row>
    <row r="135">
      <c r="A135" s="347" t="n"/>
      <c r="B135" s="347" t="n"/>
      <c r="C135" s="347" t="n"/>
      <c r="D135" s="347" t="n"/>
      <c r="E135" s="347" t="n"/>
      <c r="F135" s="347" t="n"/>
      <c r="G135" s="347" t="n"/>
      <c r="H135" s="347" t="n"/>
    </row>
    <row r="136">
      <c r="A136" s="347" t="n"/>
      <c r="B136" s="347" t="n"/>
      <c r="C136" s="347" t="n"/>
      <c r="D136" s="347" t="n"/>
      <c r="E136" s="347" t="n"/>
      <c r="F136" s="347" t="n"/>
      <c r="G136" s="347" t="n"/>
      <c r="H136" s="347" t="n"/>
    </row>
    <row r="137">
      <c r="A137" s="347" t="n"/>
      <c r="B137" s="347" t="n"/>
      <c r="C137" s="347" t="n"/>
      <c r="D137" s="347" t="n"/>
      <c r="E137" s="347" t="n"/>
      <c r="F137" s="347" t="n"/>
      <c r="G137" s="347" t="n"/>
      <c r="H137" s="347" t="n"/>
    </row>
    <row r="138">
      <c r="A138" s="347" t="n"/>
      <c r="B138" s="347" t="n"/>
      <c r="C138" s="347" t="n"/>
      <c r="D138" s="347" t="n"/>
      <c r="E138" s="347" t="n"/>
      <c r="F138" s="347" t="n"/>
      <c r="G138" s="347" t="n"/>
      <c r="H138" s="347" t="n"/>
    </row>
    <row r="139">
      <c r="A139" s="347" t="n"/>
      <c r="B139" s="347" t="n"/>
      <c r="C139" s="347" t="n"/>
      <c r="D139" s="347" t="n"/>
      <c r="E139" s="347" t="n"/>
      <c r="F139" s="347" t="n"/>
      <c r="G139" s="347" t="n"/>
      <c r="H139" s="347" t="n"/>
    </row>
    <row r="140">
      <c r="A140" s="347" t="n"/>
      <c r="B140" s="347" t="n"/>
      <c r="C140" s="347" t="n"/>
      <c r="D140" s="347" t="n"/>
      <c r="E140" s="347" t="n"/>
      <c r="F140" s="347" t="n"/>
      <c r="G140" s="347" t="n"/>
      <c r="H140" s="347" t="n"/>
    </row>
    <row r="141">
      <c r="A141" s="347" t="n"/>
      <c r="B141" s="347" t="n"/>
      <c r="C141" s="347" t="n"/>
      <c r="D141" s="347" t="n"/>
      <c r="E141" s="347" t="n"/>
      <c r="F141" s="347" t="n"/>
      <c r="G141" s="347" t="n"/>
      <c r="H141" s="347" t="n"/>
    </row>
    <row r="142">
      <c r="A142" s="347" t="n"/>
      <c r="B142" s="347" t="n"/>
      <c r="C142" s="347" t="n"/>
      <c r="D142" s="347" t="n"/>
      <c r="E142" s="347" t="n"/>
      <c r="F142" s="347" t="n"/>
      <c r="G142" s="347" t="n"/>
      <c r="H142" s="347" t="n"/>
    </row>
    <row r="143">
      <c r="A143" s="347" t="n"/>
      <c r="B143" s="347" t="n"/>
      <c r="C143" s="347" t="n"/>
      <c r="D143" s="347" t="n"/>
      <c r="E143" s="347" t="n"/>
      <c r="F143" s="347" t="n"/>
      <c r="G143" s="347" t="n"/>
      <c r="H143" s="347" t="n"/>
    </row>
    <row r="144">
      <c r="A144" s="347" t="n"/>
      <c r="B144" s="347" t="n"/>
      <c r="C144" s="347" t="n"/>
      <c r="D144" s="347" t="n"/>
      <c r="E144" s="347" t="n"/>
      <c r="F144" s="347" t="n"/>
      <c r="G144" s="347" t="n"/>
      <c r="H144" s="347" t="n"/>
    </row>
    <row r="145">
      <c r="A145" s="347" t="n"/>
      <c r="B145" s="347" t="n"/>
      <c r="C145" s="347" t="n"/>
      <c r="D145" s="347" t="n"/>
      <c r="E145" s="347" t="n"/>
      <c r="F145" s="347" t="n"/>
      <c r="G145" s="347" t="n"/>
      <c r="H145" s="347" t="n"/>
    </row>
    <row r="146">
      <c r="A146" s="347" t="n"/>
      <c r="B146" s="347" t="n"/>
      <c r="C146" s="347" t="n"/>
      <c r="D146" s="347" t="n"/>
      <c r="E146" s="347" t="n"/>
      <c r="F146" s="347" t="n"/>
      <c r="G146" s="347" t="n"/>
      <c r="H146" s="347" t="n"/>
    </row>
    <row r="147">
      <c r="A147" s="347" t="n"/>
      <c r="B147" s="347" t="n"/>
      <c r="C147" s="347" t="n"/>
      <c r="D147" s="347" t="n"/>
      <c r="E147" s="347" t="n"/>
      <c r="F147" s="347" t="n"/>
      <c r="G147" s="347" t="n"/>
      <c r="H147" s="347" t="n"/>
    </row>
    <row r="148">
      <c r="A148" s="347" t="n"/>
      <c r="B148" s="347" t="n"/>
      <c r="C148" s="347" t="n"/>
      <c r="D148" s="347" t="n"/>
      <c r="E148" s="347" t="n"/>
      <c r="F148" s="347" t="n"/>
      <c r="G148" s="347" t="n"/>
      <c r="H148" s="347" t="n"/>
    </row>
    <row r="149">
      <c r="A149" s="347" t="n"/>
      <c r="B149" s="347" t="n"/>
      <c r="C149" s="347" t="n"/>
      <c r="D149" s="347" t="n"/>
      <c r="E149" s="347" t="n"/>
      <c r="F149" s="347" t="n"/>
      <c r="G149" s="347" t="n"/>
      <c r="H149" s="347" t="n"/>
    </row>
    <row r="150">
      <c r="A150" s="347" t="n"/>
      <c r="B150" s="347" t="n"/>
      <c r="C150" s="347" t="n"/>
      <c r="D150" s="347" t="n"/>
      <c r="E150" s="347" t="n"/>
      <c r="F150" s="347" t="n"/>
      <c r="G150" s="347" t="n"/>
      <c r="H150" s="347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29" t="n"/>
      <c r="B1" s="329" t="n"/>
      <c r="C1" s="329" t="n"/>
      <c r="D1" s="329" t="n"/>
      <c r="E1" s="330" t="n"/>
    </row>
    <row r="2" ht="37.25" customHeight="1">
      <c r="A2" s="329" t="n"/>
      <c r="B2" s="329" t="n"/>
      <c r="C2" s="329" t="n"/>
      <c r="D2" s="329" t="n"/>
      <c r="E2" s="330" t="n"/>
    </row>
    <row r="3" ht="33.65" customHeight="1">
      <c r="A3" s="329" t="n"/>
      <c r="B3" s="331" t="inlineStr">
        <is>
          <t>PT. EXSPAN WIRELINE INDONESIA</t>
        </is>
      </c>
      <c r="F3" s="332" t="n"/>
    </row>
    <row r="4" ht="20.5" customHeight="1">
      <c r="A4" s="329" t="n"/>
      <c r="B4" s="334" t="inlineStr">
        <is>
          <t>BUSINESS SUMMARY | TAHUN 2030</t>
        </is>
      </c>
      <c r="F4" s="332" t="n"/>
    </row>
    <row r="5" ht="6" customHeight="1">
      <c r="A5" s="329" t="n"/>
      <c r="B5" s="329" t="n"/>
      <c r="C5" s="329" t="n"/>
      <c r="D5" s="329" t="n"/>
      <c r="E5" s="330" t="n"/>
      <c r="F5" s="332" t="n"/>
    </row>
    <row r="6" ht="20" customHeight="1">
      <c r="A6" s="329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32" t="n"/>
    </row>
    <row r="7" ht="20" customHeight="1">
      <c r="A7" s="329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SUM('Revenue-Cost_2030'!L8:L8)</f>
        <v/>
      </c>
      <c r="F7" s="332" t="n"/>
    </row>
    <row r="8" ht="20" customHeight="1">
      <c r="A8" s="329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E7-SUM('Revenue-Cost_2030'!N8:N8)</f>
        <v/>
      </c>
      <c r="F8" s="332" t="n"/>
    </row>
    <row r="9" ht="20" customHeight="1">
      <c r="A9" s="329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SUM('Revenue-Cost_2030'!I84:Y84)</f>
        <v/>
      </c>
      <c r="F9" s="332" t="n"/>
    </row>
    <row r="10" ht="20" customHeight="1">
      <c r="A10" s="329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32" t="n"/>
    </row>
    <row r="11" ht="20" customHeight="1">
      <c r="A11" s="329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32" t="n"/>
    </row>
    <row r="12" ht="20" customHeight="1">
      <c r="A12" s="329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SUM('Revenue-Cost_2030'!N8:N8)</f>
        <v/>
      </c>
      <c r="F12" s="332" t="n"/>
    </row>
    <row r="13" ht="20" customHeight="1">
      <c r="A13" s="329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32" t="n"/>
    </row>
    <row r="14" ht="20" customHeight="1">
      <c r="A14" s="329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32" t="n"/>
    </row>
    <row r="15" ht="20" customHeight="1">
      <c r="A15" s="329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32" t="n"/>
    </row>
    <row r="16" ht="20" customHeight="1">
      <c r="A16" s="329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0</v>
      </c>
      <c r="F16" s="332" t="n"/>
    </row>
    <row r="17">
      <c r="A17" s="329" t="n"/>
      <c r="B17" s="329" t="n"/>
      <c r="C17" s="329" t="n"/>
      <c r="D17" s="329" t="n"/>
      <c r="E17" s="330" t="n"/>
      <c r="F17" s="332" t="n"/>
    </row>
    <row r="18" ht="18" customHeight="1">
      <c r="A18" s="329" t="n"/>
      <c r="B18" s="407" t="inlineStr">
        <is>
          <t>DEVIDEN</t>
        </is>
      </c>
      <c r="F18" s="332" t="n"/>
    </row>
    <row r="19" ht="20" customHeight="1">
      <c r="A19" s="329" t="n"/>
      <c r="B19" s="408" t="inlineStr">
        <is>
          <t>#</t>
        </is>
      </c>
      <c r="C19" s="408" t="inlineStr">
        <is>
          <t>Nama Lengkap</t>
        </is>
      </c>
      <c r="D19" s="409" t="inlineStr"/>
      <c r="E19" s="410" t="inlineStr">
        <is>
          <t>Amount</t>
        </is>
      </c>
      <c r="F19" s="332" t="inlineStr"/>
      <c r="G19" s="411" t="inlineStr">
        <is>
          <t>Pajak</t>
        </is>
      </c>
    </row>
    <row r="20" ht="19" customHeight="1">
      <c r="A20" s="329" t="n"/>
      <c r="B20" s="412" t="n"/>
      <c r="C20" s="413" t="n"/>
      <c r="D20" s="403" t="n"/>
      <c r="E20" s="414" t="n"/>
      <c r="F20" s="332" t="n"/>
      <c r="G20" s="415" t="n"/>
    </row>
    <row r="21" ht="48.75" customHeight="1">
      <c r="A21" s="416" t="n"/>
      <c r="F21" s="332" t="n"/>
    </row>
    <row r="22">
      <c r="A22" s="416" t="n"/>
      <c r="F22" s="332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2026-04-19T16:34:39Z</dcterms:modified>
  <cp:lastModifiedBy>Diofavian - Student</cp:lastModifiedBy>
</cp:coreProperties>
</file>