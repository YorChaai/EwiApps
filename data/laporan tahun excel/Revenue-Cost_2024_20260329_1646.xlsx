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5" fontId="8" fillId="12" borderId="20" pivotButton="0" quotePrefix="0" xfId="0"/>
    <xf numFmtId="0" fontId="0" fillId="12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0" fontId="0" fillId="0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0" fontId="17" fillId="12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6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8" fillId="0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8" fillId="5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0" fontId="36" fillId="0" borderId="20" pivotButton="0" quotePrefix="0" xfId="0"/>
    <xf numFmtId="165" fontId="10" fillId="12" borderId="20" pivotButton="0" quotePrefix="0" xfId="1"/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5" borderId="20" pivotButton="0" quotePrefix="0" xfId="1"/>
    <xf numFmtId="0" fontId="10" fillId="12" borderId="20" pivotButton="0" quotePrefix="0" xfId="0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5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12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167" fontId="8" fillId="12" borderId="20" pivotButton="0" quotePrefix="0" xfId="0"/>
    <xf numFmtId="0" fontId="17" fillId="12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5" borderId="20" pivotButton="0" quotePrefix="0" xfId="0"/>
    <xf numFmtId="0" fontId="16" fillId="5" borderId="20" pivotButton="0" quotePrefix="0" xfId="0"/>
    <xf numFmtId="165" fontId="10" fillId="5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2" borderId="20" pivotButton="0" quotePrefix="0" xfId="0"/>
    <xf numFmtId="167" fontId="8" fillId="5" borderId="20" pivotButton="0" quotePrefix="0" xfId="0"/>
    <xf numFmtId="0" fontId="10" fillId="12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2" borderId="20" applyAlignment="1" pivotButton="0" quotePrefix="0" xfId="0">
      <alignment vertical="center"/>
    </xf>
    <xf numFmtId="15" fontId="36" fillId="0" borderId="20" applyAlignment="1" pivotButton="0" quotePrefix="0" xfId="0">
      <alignment vertical="center"/>
    </xf>
    <xf numFmtId="15" fontId="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169" fontId="11" fillId="12" borderId="20" applyAlignment="1" pivotButton="0" quotePrefix="0" xfId="4">
      <alignment horizontal="right" vertical="center"/>
    </xf>
    <xf numFmtId="0" fontId="36" fillId="0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2" borderId="20" applyAlignment="1" pivotButton="0" quotePrefix="0" xfId="0">
      <alignment horizontal="right"/>
    </xf>
    <xf numFmtId="0" fontId="36" fillId="0" borderId="20" applyAlignment="1" pivotButton="0" quotePrefix="0" xfId="0">
      <alignment horizontal="left"/>
    </xf>
    <xf numFmtId="0" fontId="8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center"/>
    </xf>
    <xf numFmtId="164" fontId="10" fillId="5" borderId="20" applyAlignment="1" pivotButton="0" quotePrefix="0" xfId="0">
      <alignment horizontal="left"/>
    </xf>
    <xf numFmtId="15" fontId="16" fillId="12" borderId="20" pivotButton="0" quotePrefix="0" xfId="0"/>
    <xf numFmtId="15" fontId="36" fillId="0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5" borderId="20" applyAlignment="1" pivotButton="0" quotePrefix="0" xfId="0">
      <alignment vertical="center" wrapText="1"/>
    </xf>
    <xf numFmtId="164" fontId="36" fillId="5" borderId="20" applyAlignment="1" pivotButton="0" quotePrefix="0" xfId="0">
      <alignment vertical="center"/>
    </xf>
    <xf numFmtId="164" fontId="8" fillId="5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47" t="n"/>
      <c r="C116" s="366" t="n"/>
      <c r="D116" s="367" t="inlineStr">
        <is>
          <t>Accommodation</t>
        </is>
      </c>
      <c r="E116" s="368" t="n"/>
      <c r="F116" s="369" t="n"/>
      <c r="G116" s="366" t="n"/>
      <c r="H116" s="366" t="n"/>
      <c r="I116" s="355" t="n"/>
      <c r="J116" s="355" t="n"/>
      <c r="K116" s="354" t="n"/>
      <c r="L116" s="354" t="n"/>
      <c r="M116" s="354" t="n"/>
      <c r="N116" s="354" t="n"/>
      <c r="O116" s="354" t="n"/>
      <c r="P116" s="354" t="n"/>
      <c r="Q116" s="354" t="n"/>
      <c r="R116" s="356" t="n"/>
      <c r="S116" s="356" t="n"/>
      <c r="T116" s="356" t="n"/>
      <c r="U116" s="356" t="n"/>
      <c r="V116" s="356" t="n"/>
      <c r="W116" s="356" t="n"/>
      <c r="X116" s="356" t="n"/>
    </row>
    <row r="117" ht="15.5" customHeight="1" s="297">
      <c r="B117" s="347" t="n"/>
      <c r="C117" s="366" t="n"/>
      <c r="D117" s="367" t="inlineStr">
        <is>
          <t>Allowance</t>
        </is>
      </c>
      <c r="E117" s="370" t="n"/>
      <c r="F117" s="369" t="n"/>
      <c r="G117" s="366" t="n"/>
      <c r="H117" s="366" t="n"/>
      <c r="I117" s="354" t="n"/>
      <c r="J117" s="355" t="n"/>
      <c r="K117" s="354" t="n"/>
      <c r="L117" s="354" t="n"/>
      <c r="M117" s="354" t="n"/>
      <c r="N117" s="354" t="n"/>
      <c r="O117" s="354" t="n"/>
      <c r="P117" s="354" t="n"/>
      <c r="Q117" s="354" t="n"/>
      <c r="R117" s="356" t="n"/>
      <c r="S117" s="356" t="n"/>
      <c r="T117" s="356" t="n"/>
      <c r="U117" s="356" t="n"/>
      <c r="V117" s="356" t="n"/>
      <c r="W117" s="356" t="n"/>
      <c r="X117" s="356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71" t="n"/>
      <c r="C120" s="366" t="n"/>
      <c r="D120" s="367" t="inlineStr">
        <is>
          <t>Logistic</t>
        </is>
      </c>
      <c r="E120" s="370" t="n"/>
      <c r="F120" s="369" t="n"/>
      <c r="G120" s="366" t="n"/>
      <c r="H120" s="366" t="n"/>
      <c r="I120" s="354" t="n"/>
      <c r="J120" s="355" t="n"/>
      <c r="K120" s="354" t="n"/>
      <c r="L120" s="354" t="n"/>
      <c r="M120" s="354" t="n"/>
      <c r="N120" s="354" t="n"/>
      <c r="O120" s="354" t="n"/>
      <c r="P120" s="354" t="n"/>
      <c r="Q120" s="354" t="n"/>
      <c r="R120" s="356" t="n"/>
      <c r="S120" s="356" t="n"/>
      <c r="T120" s="356" t="n"/>
      <c r="U120" s="356" t="n"/>
      <c r="V120" s="356" t="n"/>
      <c r="W120" s="356" t="n"/>
      <c r="X120" s="356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71" t="n"/>
      <c r="C127" s="366" t="n"/>
      <c r="D127" s="372" t="inlineStr">
        <is>
          <t>Meal</t>
        </is>
      </c>
      <c r="E127" s="373" t="n"/>
      <c r="F127" s="369" t="n"/>
      <c r="G127" s="366" t="n"/>
      <c r="H127" s="366" t="n"/>
      <c r="I127" s="355" t="n"/>
      <c r="J127" s="355" t="n"/>
      <c r="K127" s="354" t="n"/>
      <c r="L127" s="354" t="n"/>
      <c r="M127" s="354" t="n"/>
      <c r="N127" s="354" t="n"/>
      <c r="O127" s="354" t="n"/>
      <c r="P127" s="354" t="n"/>
      <c r="Q127" s="354" t="n"/>
      <c r="R127" s="356" t="n"/>
      <c r="S127" s="356" t="n"/>
      <c r="T127" s="356" t="n"/>
      <c r="U127" s="356" t="n"/>
      <c r="V127" s="356" t="n"/>
      <c r="W127" s="356" t="n"/>
      <c r="X127" s="356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71" t="n"/>
      <c r="C131" s="366" t="n"/>
      <c r="D131" s="372" t="inlineStr">
        <is>
          <t>Transportation</t>
        </is>
      </c>
      <c r="E131" s="373" t="n"/>
      <c r="F131" s="369" t="n"/>
      <c r="G131" s="366" t="n"/>
      <c r="H131" s="366" t="n"/>
      <c r="I131" s="353" t="n"/>
      <c r="J131" s="355" t="n"/>
      <c r="K131" s="354" t="n"/>
      <c r="L131" s="354" t="n"/>
      <c r="M131" s="354" t="n"/>
      <c r="N131" s="353" t="n"/>
      <c r="O131" s="354" t="n"/>
      <c r="P131" s="354" t="n"/>
      <c r="Q131" s="354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74" t="n"/>
      <c r="C138" s="375" t="n"/>
      <c r="D138" s="376" t="n"/>
      <c r="E138" s="376" t="n"/>
      <c r="F138" s="377" t="n"/>
      <c r="G138" s="375" t="n"/>
      <c r="H138" s="375" t="n"/>
      <c r="I138" s="378" t="n"/>
      <c r="J138" s="378" t="n"/>
      <c r="K138" s="378" t="n"/>
      <c r="L138" s="378" t="n"/>
      <c r="M138" s="378" t="n"/>
      <c r="N138" s="378" t="n"/>
      <c r="O138" s="378" t="n"/>
      <c r="P138" s="378" t="n"/>
      <c r="Q138" s="378" t="n"/>
      <c r="R138" s="365" t="n"/>
      <c r="S138" s="365" t="n"/>
      <c r="T138" s="365" t="n"/>
      <c r="U138" s="365" t="n"/>
      <c r="V138" s="365" t="n"/>
      <c r="W138" s="365" t="n"/>
      <c r="X138" s="365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74" t="n"/>
      <c r="C140" s="375" t="n"/>
      <c r="D140" s="376" t="n"/>
      <c r="E140" s="376" t="n"/>
      <c r="F140" s="377" t="n"/>
      <c r="G140" s="375" t="n"/>
      <c r="H140" s="375" t="n"/>
      <c r="I140" s="378" t="n"/>
      <c r="J140" s="378" t="n"/>
      <c r="K140" s="379" t="n"/>
      <c r="L140" s="379" t="n"/>
      <c r="M140" s="378" t="n"/>
      <c r="N140" s="379" t="n"/>
      <c r="O140" s="379" t="n"/>
      <c r="P140" s="379" t="n"/>
      <c r="Q140" s="379" t="n"/>
      <c r="R140" s="365" t="n"/>
      <c r="S140" s="365" t="n"/>
      <c r="T140" s="365" t="n"/>
      <c r="U140" s="365" t="n"/>
      <c r="V140" s="365" t="n"/>
      <c r="W140" s="365" t="n"/>
      <c r="X140" s="365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74" t="n"/>
      <c r="C142" s="375" t="n"/>
      <c r="D142" s="376" t="n"/>
      <c r="E142" s="376" t="n"/>
      <c r="F142" s="377" t="n"/>
      <c r="G142" s="375" t="n"/>
      <c r="H142" s="375" t="n"/>
      <c r="I142" s="378" t="n"/>
      <c r="J142" s="378" t="n"/>
      <c r="K142" s="379" t="n"/>
      <c r="L142" s="379" t="n"/>
      <c r="M142" s="378" t="n"/>
      <c r="N142" s="379" t="n"/>
      <c r="O142" s="379" t="n"/>
      <c r="P142" s="379" t="n"/>
      <c r="Q142" s="379" t="n"/>
      <c r="R142" s="365" t="n"/>
      <c r="S142" s="365" t="n"/>
      <c r="T142" s="365" t="n"/>
      <c r="U142" s="365" t="n"/>
      <c r="V142" s="365" t="n"/>
      <c r="W142" s="365" t="n"/>
      <c r="X142" s="365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80" t="n"/>
      <c r="H144" s="380" t="n"/>
      <c r="I144" s="381" t="n"/>
      <c r="J144" s="364" t="n"/>
      <c r="K144" s="382" t="n"/>
      <c r="L144" s="382" t="n"/>
      <c r="M144" s="381" t="n"/>
      <c r="N144" s="382" t="n"/>
      <c r="O144" s="382" t="n"/>
      <c r="P144" s="382" t="n"/>
      <c r="Q144" s="382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47" t="n"/>
      <c r="C145" s="366" t="n"/>
      <c r="D145" s="367" t="inlineStr">
        <is>
          <t>Accommodation</t>
        </is>
      </c>
      <c r="E145" s="370" t="n"/>
      <c r="F145" s="369" t="n"/>
      <c r="G145" s="366" t="n"/>
      <c r="H145" s="366" t="n"/>
      <c r="I145" s="353" t="n"/>
      <c r="J145" s="355" t="n"/>
      <c r="K145" s="354" t="n"/>
      <c r="L145" s="354" t="n"/>
      <c r="M145" s="353" t="n"/>
      <c r="N145" s="354" t="n"/>
      <c r="O145" s="354" t="n"/>
      <c r="P145" s="354" t="n"/>
      <c r="Q145" s="354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71" t="n"/>
      <c r="C147" s="366" t="n"/>
      <c r="D147" s="367" t="inlineStr">
        <is>
          <t>Allowance</t>
        </is>
      </c>
      <c r="E147" s="370" t="n"/>
      <c r="F147" s="369" t="n"/>
      <c r="G147" s="366" t="n"/>
      <c r="H147" s="366" t="n"/>
      <c r="I147" s="353" t="n"/>
      <c r="J147" s="355" t="n"/>
      <c r="K147" s="354" t="n"/>
      <c r="L147" s="354" t="n"/>
      <c r="M147" s="353" t="n"/>
      <c r="N147" s="354" t="n"/>
      <c r="O147" s="354" t="n"/>
      <c r="P147" s="354" t="n"/>
      <c r="Q147" s="354" t="n"/>
      <c r="R147" s="356" t="n"/>
      <c r="S147" s="356" t="n"/>
      <c r="T147" s="356" t="n"/>
      <c r="U147" s="356" t="n"/>
      <c r="V147" s="356" t="n"/>
      <c r="W147" s="356" t="n"/>
      <c r="X147" s="356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71" t="n"/>
      <c r="C152" s="366" t="n"/>
      <c r="D152" s="372" t="inlineStr">
        <is>
          <t>Logistic</t>
        </is>
      </c>
      <c r="E152" s="373" t="n"/>
      <c r="F152" s="369" t="n"/>
      <c r="G152" s="366" t="n"/>
      <c r="H152" s="366" t="n"/>
      <c r="I152" s="353" t="n"/>
      <c r="J152" s="355" t="n"/>
      <c r="K152" s="354" t="n"/>
      <c r="L152" s="354" t="n"/>
      <c r="M152" s="354" t="n"/>
      <c r="N152" s="353" t="n"/>
      <c r="O152" s="354" t="n"/>
      <c r="P152" s="354" t="n"/>
      <c r="Q152" s="354" t="n"/>
      <c r="R152" s="356" t="n"/>
      <c r="S152" s="356" t="n"/>
      <c r="T152" s="356" t="n"/>
      <c r="U152" s="356" t="n"/>
      <c r="V152" s="356" t="n"/>
      <c r="W152" s="356" t="n"/>
      <c r="X152" s="356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71" t="n"/>
      <c r="C154" s="366" t="n"/>
      <c r="D154" s="372" t="inlineStr">
        <is>
          <t>Meal</t>
        </is>
      </c>
      <c r="E154" s="373" t="n"/>
      <c r="F154" s="369" t="n"/>
      <c r="G154" s="366" t="n"/>
      <c r="H154" s="366" t="n"/>
      <c r="I154" s="353" t="n"/>
      <c r="J154" s="355" t="n"/>
      <c r="K154" s="354" t="n"/>
      <c r="L154" s="354" t="n"/>
      <c r="M154" s="354" t="n"/>
      <c r="N154" s="354" t="n"/>
      <c r="O154" s="354" t="n"/>
      <c r="P154" s="354" t="n"/>
      <c r="Q154" s="354" t="n"/>
      <c r="R154" s="356" t="n"/>
      <c r="S154" s="356" t="n"/>
      <c r="T154" s="356" t="n"/>
      <c r="U154" s="356" t="n"/>
      <c r="V154" s="356" t="n"/>
      <c r="W154" s="356" t="n"/>
      <c r="X154" s="356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71" t="n"/>
      <c r="C158" s="366" t="n"/>
      <c r="D158" s="372" t="inlineStr">
        <is>
          <t>Transportation</t>
        </is>
      </c>
      <c r="E158" s="373" t="n"/>
      <c r="F158" s="369" t="n"/>
      <c r="G158" s="366" t="n"/>
      <c r="H158" s="366" t="n"/>
      <c r="I158" s="355" t="n"/>
      <c r="J158" s="355" t="n"/>
      <c r="K158" s="354" t="n"/>
      <c r="L158" s="354" t="n"/>
      <c r="M158" s="354" t="n"/>
      <c r="N158" s="354" t="n"/>
      <c r="O158" s="354" t="n"/>
      <c r="P158" s="354" t="n"/>
      <c r="Q158" s="354" t="n"/>
      <c r="R158" s="356" t="n"/>
      <c r="S158" s="356" t="n"/>
      <c r="T158" s="356" t="n"/>
      <c r="U158" s="356" t="n"/>
      <c r="V158" s="356" t="n"/>
      <c r="W158" s="356" t="n"/>
      <c r="X158" s="356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74" t="n"/>
      <c r="C160" s="375" t="n"/>
      <c r="D160" s="376" t="n"/>
      <c r="E160" s="376" t="n"/>
      <c r="F160" s="377" t="n"/>
      <c r="G160" s="375" t="n"/>
      <c r="H160" s="375" t="n"/>
      <c r="I160" s="378" t="n"/>
      <c r="J160" s="378" t="n"/>
      <c r="K160" s="379" t="n"/>
      <c r="L160" s="379" t="n"/>
      <c r="M160" s="379" t="n"/>
      <c r="N160" s="379" t="n"/>
      <c r="O160" s="379" t="n"/>
      <c r="P160" s="379" t="n"/>
      <c r="Q160" s="379" t="n"/>
      <c r="R160" s="365" t="n"/>
      <c r="S160" s="365" t="n"/>
      <c r="T160" s="365" t="n"/>
      <c r="U160" s="365" t="n"/>
      <c r="V160" s="365" t="n"/>
      <c r="W160" s="365" t="n"/>
      <c r="X160" s="365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80" t="n"/>
      <c r="H162" s="380" t="n"/>
      <c r="I162" s="364" t="n"/>
      <c r="J162" s="364" t="n"/>
      <c r="K162" s="382" t="n"/>
      <c r="L162" s="382" t="n"/>
      <c r="M162" s="381" t="n"/>
      <c r="N162" s="382" t="n"/>
      <c r="O162" s="382" t="n"/>
      <c r="P162" s="382" t="n"/>
      <c r="Q162" s="382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71" t="n"/>
      <c r="C163" s="366" t="n"/>
      <c r="D163" s="367" t="inlineStr">
        <is>
          <t>Accommodation</t>
        </is>
      </c>
      <c r="E163" s="370" t="n"/>
      <c r="F163" s="369" t="n"/>
      <c r="G163" s="366" t="n"/>
      <c r="H163" s="366" t="n"/>
      <c r="I163" s="355" t="n"/>
      <c r="J163" s="355" t="n"/>
      <c r="K163" s="354" t="n"/>
      <c r="L163" s="354" t="n"/>
      <c r="M163" s="353" t="n"/>
      <c r="N163" s="354" t="n"/>
      <c r="O163" s="354" t="n"/>
      <c r="P163" s="354" t="n"/>
      <c r="Q163" s="354" t="n"/>
      <c r="R163" s="356" t="n"/>
      <c r="S163" s="356" t="n"/>
      <c r="T163" s="356" t="n"/>
      <c r="U163" s="356" t="n"/>
      <c r="V163" s="356" t="n"/>
      <c r="W163" s="356" t="n"/>
      <c r="X163" s="356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71" t="n"/>
      <c r="C166" s="366" t="n"/>
      <c r="D166" s="372" t="inlineStr">
        <is>
          <t>Allowance</t>
        </is>
      </c>
      <c r="E166" s="373" t="n"/>
      <c r="F166" s="369" t="n"/>
      <c r="G166" s="366" t="n"/>
      <c r="H166" s="366" t="n"/>
      <c r="I166" s="355" t="n"/>
      <c r="J166" s="355" t="n"/>
      <c r="K166" s="354" t="n"/>
      <c r="L166" s="354" t="n"/>
      <c r="M166" s="354" t="n"/>
      <c r="N166" s="354" t="n"/>
      <c r="O166" s="354" t="n"/>
      <c r="P166" s="354" t="n"/>
      <c r="Q166" s="354" t="n"/>
      <c r="R166" s="356" t="n"/>
      <c r="S166" s="356" t="n"/>
      <c r="T166" s="356" t="n"/>
      <c r="U166" s="356" t="n"/>
      <c r="V166" s="356" t="n"/>
      <c r="W166" s="356" t="n"/>
      <c r="X166" s="356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71" t="n"/>
      <c r="C168" s="366" t="n"/>
      <c r="D168" s="372" t="inlineStr">
        <is>
          <t>Meal</t>
        </is>
      </c>
      <c r="E168" s="373" t="n"/>
      <c r="F168" s="369" t="n"/>
      <c r="G168" s="366" t="n"/>
      <c r="H168" s="366" t="n"/>
      <c r="I168" s="355" t="n"/>
      <c r="J168" s="355" t="n"/>
      <c r="K168" s="354" t="n"/>
      <c r="L168" s="354" t="n"/>
      <c r="M168" s="354" t="n"/>
      <c r="N168" s="354" t="n"/>
      <c r="O168" s="354" t="n"/>
      <c r="P168" s="354" t="n"/>
      <c r="Q168" s="354" t="n"/>
      <c r="R168" s="356" t="n"/>
      <c r="S168" s="356" t="n"/>
      <c r="T168" s="356" t="n"/>
      <c r="U168" s="356" t="n"/>
      <c r="V168" s="356" t="n"/>
      <c r="W168" s="356" t="n"/>
      <c r="X168" s="356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71" t="n"/>
      <c r="C170" s="366" t="n"/>
      <c r="D170" s="372" t="inlineStr">
        <is>
          <t>Transportation</t>
        </is>
      </c>
      <c r="E170" s="373" t="n"/>
      <c r="F170" s="369" t="n"/>
      <c r="G170" s="366" t="n"/>
      <c r="H170" s="366" t="n"/>
      <c r="I170" s="354" t="n"/>
      <c r="J170" s="355" t="n"/>
      <c r="K170" s="354" t="n"/>
      <c r="L170" s="354" t="n"/>
      <c r="M170" s="353" t="n"/>
      <c r="N170" s="354" t="n"/>
      <c r="O170" s="354" t="n"/>
      <c r="P170" s="354" t="n"/>
      <c r="Q170" s="354" t="n"/>
      <c r="R170" s="356" t="n"/>
      <c r="S170" s="356" t="n"/>
      <c r="T170" s="356" t="n"/>
      <c r="U170" s="356" t="n"/>
      <c r="V170" s="356" t="n"/>
      <c r="W170" s="356" t="n"/>
      <c r="X170" s="356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80" t="n"/>
      <c r="H172" s="380" t="n"/>
      <c r="I172" s="364" t="n"/>
      <c r="J172" s="364" t="n"/>
      <c r="K172" s="382" t="n"/>
      <c r="L172" s="382" t="n"/>
      <c r="M172" s="381" t="n"/>
      <c r="N172" s="382" t="n"/>
      <c r="O172" s="382" t="n"/>
      <c r="P172" s="382" t="n"/>
      <c r="Q172" s="382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80" t="n"/>
      <c r="H181" s="380" t="n"/>
      <c r="I181" s="364" t="n"/>
      <c r="J181" s="364" t="n"/>
      <c r="K181" s="382" t="n"/>
      <c r="L181" s="382" t="n"/>
      <c r="M181" s="382" t="n"/>
      <c r="N181" s="382" t="n"/>
      <c r="O181" s="382" t="n"/>
      <c r="P181" s="382" t="n"/>
      <c r="Q181" s="382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80" t="n"/>
      <c r="H183" s="380" t="n"/>
      <c r="I183" s="364" t="n"/>
      <c r="J183" s="364" t="n"/>
      <c r="K183" s="382" t="n"/>
      <c r="L183" s="382" t="n"/>
      <c r="M183" s="364" t="n"/>
      <c r="N183" s="382" t="n"/>
      <c r="O183" s="382" t="n"/>
      <c r="P183" s="382" t="n"/>
      <c r="Q183" s="382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71" t="n"/>
      <c r="C184" s="366" t="n"/>
      <c r="D184" s="367" t="inlineStr">
        <is>
          <t>Accommodation</t>
        </is>
      </c>
      <c r="E184" s="370" t="n"/>
      <c r="F184" s="369" t="n"/>
      <c r="G184" s="366" t="n"/>
      <c r="H184" s="366" t="n"/>
      <c r="I184" s="355" t="n"/>
      <c r="J184" s="355" t="n"/>
      <c r="K184" s="354" t="n"/>
      <c r="L184" s="354" t="n"/>
      <c r="M184" s="355" t="n"/>
      <c r="N184" s="354" t="n"/>
      <c r="O184" s="354" t="n"/>
      <c r="P184" s="354" t="n"/>
      <c r="Q184" s="354" t="n"/>
      <c r="R184" s="356" t="n"/>
      <c r="S184" s="356" t="n"/>
      <c r="T184" s="356" t="n"/>
      <c r="U184" s="356" t="n"/>
      <c r="V184" s="356" t="n"/>
      <c r="W184" s="356" t="n"/>
      <c r="X184" s="356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71" t="n"/>
      <c r="C187" s="366" t="n"/>
      <c r="D187" s="372" t="inlineStr">
        <is>
          <t>Meal</t>
        </is>
      </c>
      <c r="E187" s="373" t="n"/>
      <c r="F187" s="369" t="n"/>
      <c r="G187" s="366" t="n"/>
      <c r="H187" s="366" t="n"/>
      <c r="I187" s="355" t="n"/>
      <c r="J187" s="355" t="n"/>
      <c r="K187" s="354" t="n"/>
      <c r="L187" s="354" t="n"/>
      <c r="M187" s="355" t="n"/>
      <c r="N187" s="354" t="n"/>
      <c r="O187" s="354" t="n"/>
      <c r="P187" s="354" t="n"/>
      <c r="Q187" s="354" t="n"/>
      <c r="R187" s="356" t="n"/>
      <c r="S187" s="356" t="n"/>
      <c r="T187" s="356" t="n"/>
      <c r="U187" s="356" t="n"/>
      <c r="V187" s="356" t="n"/>
      <c r="W187" s="356" t="n"/>
      <c r="X187" s="356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71" t="n"/>
      <c r="C189" s="366" t="n"/>
      <c r="D189" s="372" t="inlineStr">
        <is>
          <t>Shipping</t>
        </is>
      </c>
      <c r="E189" s="373" t="n"/>
      <c r="F189" s="369" t="n"/>
      <c r="G189" s="366" t="n"/>
      <c r="H189" s="366" t="n"/>
      <c r="I189" s="355" t="n"/>
      <c r="J189" s="355" t="n"/>
      <c r="K189" s="354" t="n"/>
      <c r="L189" s="354" t="n"/>
      <c r="M189" s="355" t="n"/>
      <c r="N189" s="354" t="n"/>
      <c r="O189" s="354" t="n"/>
      <c r="P189" s="354" t="n"/>
      <c r="Q189" s="354" t="n"/>
      <c r="R189" s="356" t="n"/>
      <c r="S189" s="356" t="n"/>
      <c r="T189" s="356" t="n"/>
      <c r="U189" s="356" t="n"/>
      <c r="V189" s="356" t="n"/>
      <c r="W189" s="356" t="n"/>
      <c r="X189" s="356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71" t="n"/>
      <c r="C191" s="366" t="n"/>
      <c r="D191" s="372" t="inlineStr">
        <is>
          <t>Transportation</t>
        </is>
      </c>
      <c r="E191" s="373" t="n"/>
      <c r="F191" s="369" t="n"/>
      <c r="G191" s="366" t="n"/>
      <c r="H191" s="366" t="n"/>
      <c r="I191" s="355" t="n"/>
      <c r="J191" s="355" t="n"/>
      <c r="K191" s="354" t="n"/>
      <c r="L191" s="354" t="n"/>
      <c r="M191" s="355" t="n"/>
      <c r="N191" s="354" t="n"/>
      <c r="O191" s="354" t="n"/>
      <c r="P191" s="354" t="n"/>
      <c r="Q191" s="354" t="n"/>
      <c r="R191" s="356" t="n"/>
      <c r="S191" s="356" t="n"/>
      <c r="T191" s="356" t="n"/>
      <c r="U191" s="356" t="n"/>
      <c r="V191" s="356" t="n"/>
      <c r="W191" s="356" t="n"/>
      <c r="X191" s="356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74" t="n"/>
      <c r="C198" s="375" t="n"/>
      <c r="D198" s="376" t="n"/>
      <c r="E198" s="376" t="n"/>
      <c r="F198" s="377" t="n"/>
      <c r="G198" s="375" t="n"/>
      <c r="H198" s="375" t="n"/>
      <c r="I198" s="379" t="n"/>
      <c r="J198" s="379" t="n"/>
      <c r="K198" s="379" t="n"/>
      <c r="L198" s="379" t="n"/>
      <c r="M198" s="379" t="n"/>
      <c r="N198" s="379" t="n"/>
      <c r="O198" s="379" t="n"/>
      <c r="P198" s="379" t="n"/>
      <c r="Q198" s="379" t="n"/>
      <c r="R198" s="365" t="n"/>
      <c r="S198" s="365" t="n"/>
      <c r="T198" s="365" t="n"/>
      <c r="U198" s="365" t="n"/>
      <c r="V198" s="365" t="n"/>
      <c r="W198" s="365" t="n"/>
      <c r="X198" s="365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74" t="n"/>
      <c r="C200" s="375" t="n"/>
      <c r="D200" s="376" t="n"/>
      <c r="E200" s="376" t="n"/>
      <c r="F200" s="377" t="n"/>
      <c r="G200" s="375" t="n"/>
      <c r="H200" s="375" t="n"/>
      <c r="I200" s="383" t="n"/>
      <c r="J200" s="379" t="n"/>
      <c r="K200" s="379" t="n"/>
      <c r="L200" s="379" t="n"/>
      <c r="M200" s="379" t="n"/>
      <c r="N200" s="379" t="n"/>
      <c r="O200" s="379" t="n"/>
      <c r="P200" s="379" t="n"/>
      <c r="Q200" s="379" t="n"/>
      <c r="R200" s="365" t="n"/>
      <c r="S200" s="365" t="n"/>
      <c r="T200" s="365" t="n"/>
      <c r="U200" s="365" t="n"/>
      <c r="V200" s="365" t="n"/>
      <c r="W200" s="365" t="n"/>
      <c r="X200" s="365" t="n"/>
    </row>
    <row r="201" hidden="1" ht="15.5" customHeight="1" s="297">
      <c r="B201" s="374" t="n"/>
      <c r="C201" s="375" t="n"/>
      <c r="D201" s="384" t="n"/>
      <c r="E201" s="384" t="n"/>
      <c r="F201" s="377" t="n"/>
      <c r="G201" s="375" t="n"/>
      <c r="H201" s="385" t="n"/>
      <c r="I201" s="378" t="n"/>
      <c r="J201" s="379" t="n"/>
      <c r="K201" s="379" t="n"/>
      <c r="L201" s="379" t="n"/>
      <c r="M201" s="379" t="n"/>
      <c r="N201" s="379" t="n"/>
      <c r="O201" s="379" t="n"/>
      <c r="P201" s="379" t="n"/>
      <c r="Q201" s="379" t="n"/>
      <c r="R201" s="365" t="n"/>
      <c r="S201" s="365" t="n"/>
      <c r="T201" s="365" t="n"/>
      <c r="U201" s="365" t="n"/>
      <c r="V201" s="365" t="n"/>
      <c r="W201" s="365" t="n"/>
      <c r="X201" s="365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80" t="n"/>
      <c r="H202" s="380" t="n"/>
      <c r="I202" s="364" t="n"/>
      <c r="J202" s="364" t="n"/>
      <c r="K202" s="382" t="n"/>
      <c r="L202" s="382" t="n"/>
      <c r="M202" s="382" t="n"/>
      <c r="N202" s="382" t="n"/>
      <c r="O202" s="382" t="n"/>
      <c r="P202" s="382" t="n"/>
      <c r="Q202" s="382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47" t="n"/>
      <c r="C203" s="366" t="n"/>
      <c r="D203" s="367" t="inlineStr">
        <is>
          <t>Accommodation</t>
        </is>
      </c>
      <c r="E203" s="368" t="n"/>
      <c r="F203" s="369" t="n"/>
      <c r="G203" s="366" t="n"/>
      <c r="H203" s="366" t="n"/>
      <c r="I203" s="354" t="n"/>
      <c r="J203" s="355" t="n"/>
      <c r="K203" s="354" t="n"/>
      <c r="L203" s="354" t="n"/>
      <c r="M203" s="353" t="n"/>
      <c r="N203" s="354" t="n"/>
      <c r="O203" s="354" t="n"/>
      <c r="P203" s="354" t="n"/>
      <c r="Q203" s="354" t="n"/>
      <c r="R203" s="356" t="n"/>
      <c r="S203" s="356" t="n"/>
      <c r="T203" s="356" t="n"/>
      <c r="U203" s="356" t="n"/>
      <c r="V203" s="356" t="n"/>
      <c r="W203" s="356" t="n"/>
      <c r="X203" s="356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71" t="n"/>
      <c r="C206" s="366" t="n"/>
      <c r="D206" s="372" t="inlineStr">
        <is>
          <t>Allowance</t>
        </is>
      </c>
      <c r="E206" s="373" t="n"/>
      <c r="F206" s="369" t="n"/>
      <c r="G206" s="366" t="n"/>
      <c r="H206" s="366" t="n"/>
      <c r="I206" s="355" t="n"/>
      <c r="J206" s="355" t="n"/>
      <c r="K206" s="354" t="n"/>
      <c r="L206" s="354" t="n"/>
      <c r="M206" s="354" t="n"/>
      <c r="N206" s="353" t="n"/>
      <c r="O206" s="354" t="n"/>
      <c r="P206" s="354" t="n"/>
      <c r="Q206" s="354" t="n"/>
      <c r="R206" s="356" t="n"/>
      <c r="S206" s="356" t="n"/>
      <c r="T206" s="356" t="n"/>
      <c r="U206" s="356" t="n"/>
      <c r="V206" s="356" t="n"/>
      <c r="W206" s="356" t="n"/>
      <c r="X206" s="356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71" t="n"/>
      <c r="C209" s="366" t="n"/>
      <c r="D209" s="372" t="inlineStr">
        <is>
          <t>Meal</t>
        </is>
      </c>
      <c r="E209" s="373" t="n"/>
      <c r="F209" s="369" t="n"/>
      <c r="G209" s="366" t="n"/>
      <c r="H209" s="366" t="n"/>
      <c r="I209" s="353" t="n"/>
      <c r="J209" s="355" t="n"/>
      <c r="K209" s="354" t="n"/>
      <c r="L209" s="354" t="n"/>
      <c r="M209" s="354" t="n"/>
      <c r="N209" s="353" t="n"/>
      <c r="O209" s="354" t="n"/>
      <c r="P209" s="354" t="n"/>
      <c r="Q209" s="354" t="n"/>
      <c r="R209" s="356" t="n"/>
      <c r="S209" s="356" t="n"/>
      <c r="T209" s="356" t="n"/>
      <c r="U209" s="356" t="n"/>
      <c r="V209" s="356" t="n"/>
      <c r="W209" s="356" t="n"/>
      <c r="X209" s="356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71" t="n"/>
      <c r="C211" s="366" t="n"/>
      <c r="D211" s="372" t="inlineStr">
        <is>
          <t>Transportation</t>
        </is>
      </c>
      <c r="E211" s="373" t="n"/>
      <c r="F211" s="369" t="n"/>
      <c r="G211" s="366" t="n"/>
      <c r="H211" s="366" t="n"/>
      <c r="I211" s="354" t="n"/>
      <c r="J211" s="355" t="n"/>
      <c r="K211" s="354" t="n"/>
      <c r="L211" s="354" t="n"/>
      <c r="M211" s="354" t="n"/>
      <c r="N211" s="354" t="n"/>
      <c r="O211" s="354" t="n"/>
      <c r="P211" s="354" t="n"/>
      <c r="Q211" s="354" t="n"/>
      <c r="R211" s="356" t="n"/>
      <c r="S211" s="356" t="n"/>
      <c r="T211" s="356" t="n"/>
      <c r="U211" s="356" t="n"/>
      <c r="V211" s="356" t="n"/>
      <c r="W211" s="356" t="n"/>
      <c r="X211" s="356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80" t="n"/>
      <c r="H213" s="380" t="n"/>
      <c r="I213" s="382" t="n"/>
      <c r="J213" s="364" t="n"/>
      <c r="K213" s="382" t="n"/>
      <c r="L213" s="382" t="n"/>
      <c r="M213" s="381" t="n"/>
      <c r="N213" s="382" t="n"/>
      <c r="O213" s="382" t="n"/>
      <c r="P213" s="382" t="n"/>
      <c r="Q213" s="382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47" t="n"/>
      <c r="C214" s="366" t="n"/>
      <c r="D214" s="386" t="inlineStr">
        <is>
          <t>Accommodation</t>
        </is>
      </c>
      <c r="E214" s="370" t="n"/>
      <c r="F214" s="387" t="n"/>
      <c r="G214" s="366" t="n"/>
      <c r="H214" s="366" t="n"/>
      <c r="I214" s="355" t="n"/>
      <c r="J214" s="355" t="n"/>
      <c r="K214" s="354" t="n"/>
      <c r="L214" s="354" t="n"/>
      <c r="M214" s="355" t="n"/>
      <c r="N214" s="354" t="n"/>
      <c r="O214" s="354" t="n"/>
      <c r="P214" s="354" t="n"/>
      <c r="Q214" s="354" t="n"/>
      <c r="R214" s="356" t="n"/>
      <c r="S214" s="356" t="n"/>
      <c r="T214" s="356" t="n"/>
      <c r="U214" s="356" t="n"/>
      <c r="V214" s="356" t="n"/>
      <c r="W214" s="356" t="n"/>
      <c r="X214" s="356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71" t="n"/>
      <c r="C216" s="366" t="n"/>
      <c r="D216" s="386" t="inlineStr">
        <is>
          <t>Meal</t>
        </is>
      </c>
      <c r="E216" s="370" t="n"/>
      <c r="F216" s="387" t="n"/>
      <c r="G216" s="366" t="n"/>
      <c r="H216" s="366" t="n"/>
      <c r="I216" s="355" t="n"/>
      <c r="J216" s="355" t="n"/>
      <c r="K216" s="354" t="n"/>
      <c r="L216" s="354" t="n"/>
      <c r="M216" s="355" t="n"/>
      <c r="N216" s="354" t="n"/>
      <c r="O216" s="354" t="n"/>
      <c r="P216" s="354" t="n"/>
      <c r="Q216" s="354" t="n"/>
      <c r="R216" s="356" t="n"/>
      <c r="S216" s="356" t="n"/>
      <c r="T216" s="356" t="n"/>
      <c r="U216" s="356" t="n"/>
      <c r="V216" s="356" t="n"/>
      <c r="W216" s="356" t="n"/>
      <c r="X216" s="356" t="n"/>
    </row>
    <row r="217" ht="15.5" customHeight="1" s="297">
      <c r="B217" s="388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71" t="n"/>
      <c r="C222" s="366" t="n"/>
      <c r="D222" s="349" t="inlineStr">
        <is>
          <t>Transportation</t>
        </is>
      </c>
      <c r="E222" s="373" t="n"/>
      <c r="F222" s="387" t="n"/>
      <c r="G222" s="366" t="n"/>
      <c r="H222" s="366" t="n"/>
      <c r="I222" s="353" t="n"/>
      <c r="J222" s="355" t="n"/>
      <c r="K222" s="354" t="n"/>
      <c r="L222" s="354" t="n"/>
      <c r="M222" s="354" t="n"/>
      <c r="N222" s="354" t="n"/>
      <c r="O222" s="354" t="n"/>
      <c r="P222" s="354" t="n"/>
      <c r="Q222" s="354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9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90" t="n"/>
      <c r="C224" s="391" t="n"/>
      <c r="D224" s="392" t="n"/>
      <c r="E224" s="392" t="n"/>
      <c r="F224" s="393" t="n"/>
      <c r="G224" s="391" t="n"/>
      <c r="H224" s="391" t="n"/>
      <c r="I224" s="394" t="n"/>
      <c r="J224" s="378" t="n"/>
      <c r="K224" s="379" t="n"/>
      <c r="L224" s="379" t="n"/>
      <c r="M224" s="379" t="n"/>
      <c r="N224" s="379" t="n"/>
      <c r="O224" s="379" t="n"/>
      <c r="P224" s="379" t="n"/>
      <c r="Q224" s="379" t="n"/>
      <c r="R224" s="365" t="n"/>
      <c r="S224" s="365" t="n"/>
      <c r="T224" s="365" t="n"/>
      <c r="U224" s="365" t="n"/>
      <c r="V224" s="365" t="n"/>
      <c r="W224" s="365" t="n"/>
      <c r="X224" s="365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95" t="n"/>
      <c r="G226" s="380" t="n"/>
      <c r="H226" s="380" t="n"/>
      <c r="I226" s="382" t="n"/>
      <c r="J226" s="382" t="n"/>
      <c r="K226" s="382" t="n"/>
      <c r="L226" s="382" t="n"/>
      <c r="M226" s="382" t="n"/>
      <c r="N226" s="382" t="n"/>
      <c r="O226" s="382" t="n"/>
      <c r="P226" s="382" t="n"/>
      <c r="Q226" s="382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71" t="n"/>
      <c r="C227" s="366" t="n"/>
      <c r="D227" s="386" t="inlineStr">
        <is>
          <t>Accommodation</t>
        </is>
      </c>
      <c r="E227" s="370" t="n"/>
      <c r="F227" s="387" t="n"/>
      <c r="G227" s="366" t="n"/>
      <c r="H227" s="366" t="n"/>
      <c r="I227" s="354" t="n"/>
      <c r="J227" s="354" t="n"/>
      <c r="K227" s="354" t="n"/>
      <c r="L227" s="354" t="n"/>
      <c r="M227" s="354" t="n"/>
      <c r="N227" s="354" t="n"/>
      <c r="O227" s="354" t="n"/>
      <c r="P227" s="354" t="n"/>
      <c r="Q227" s="354" t="n"/>
      <c r="R227" s="356" t="n"/>
      <c r="S227" s="356" t="n"/>
      <c r="T227" s="356" t="n"/>
      <c r="U227" s="356" t="n"/>
      <c r="V227" s="356" t="n"/>
      <c r="W227" s="356" t="n"/>
      <c r="X227" s="356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71" t="n"/>
      <c r="C230" s="366" t="n"/>
      <c r="D230" s="349" t="inlineStr">
        <is>
          <t>Allowance</t>
        </is>
      </c>
      <c r="E230" s="373" t="n"/>
      <c r="F230" s="387" t="n"/>
      <c r="G230" s="366" t="n"/>
      <c r="H230" s="366" t="n"/>
      <c r="I230" s="355" t="n"/>
      <c r="J230" s="355" t="n"/>
      <c r="K230" s="354" t="n"/>
      <c r="L230" s="354" t="n"/>
      <c r="M230" s="354" t="n"/>
      <c r="N230" s="354" t="n"/>
      <c r="O230" s="354" t="n"/>
      <c r="P230" s="354" t="n"/>
      <c r="Q230" s="354" t="n"/>
      <c r="R230" s="356" t="n"/>
      <c r="S230" s="356" t="n"/>
      <c r="T230" s="356" t="n"/>
      <c r="U230" s="356" t="n"/>
      <c r="V230" s="356" t="n"/>
      <c r="W230" s="356" t="n"/>
      <c r="X230" s="356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71" t="n"/>
      <c r="C232" s="366" t="n"/>
      <c r="D232" s="349" t="inlineStr">
        <is>
          <t>Transportation</t>
        </is>
      </c>
      <c r="E232" s="373" t="n"/>
      <c r="F232" s="387" t="n"/>
      <c r="G232" s="366" t="n"/>
      <c r="H232" s="366" t="n"/>
      <c r="I232" s="355" t="n"/>
      <c r="J232" s="355" t="n"/>
      <c r="K232" s="354" t="n"/>
      <c r="L232" s="354" t="n"/>
      <c r="M232" s="354" t="n"/>
      <c r="N232" s="354" t="n"/>
      <c r="O232" s="354" t="n"/>
      <c r="P232" s="354" t="n"/>
      <c r="Q232" s="354" t="n"/>
      <c r="R232" s="356" t="n"/>
      <c r="S232" s="356" t="n"/>
      <c r="T232" s="356" t="n"/>
      <c r="U232" s="356" t="n"/>
      <c r="V232" s="356" t="n"/>
      <c r="W232" s="356" t="n"/>
      <c r="X232" s="356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90" t="n"/>
      <c r="C234" s="391" t="n"/>
      <c r="D234" s="392" t="n"/>
      <c r="E234" s="392" t="n"/>
      <c r="F234" s="393" t="n"/>
      <c r="G234" s="391" t="n"/>
      <c r="H234" s="391" t="n"/>
      <c r="I234" s="378" t="n"/>
      <c r="J234" s="378" t="n"/>
      <c r="K234" s="379" t="n"/>
      <c r="L234" s="379" t="n"/>
      <c r="M234" s="379" t="n"/>
      <c r="N234" s="379" t="n"/>
      <c r="O234" s="379" t="n"/>
      <c r="P234" s="379" t="n"/>
      <c r="Q234" s="379" t="n"/>
      <c r="R234" s="365" t="n"/>
      <c r="S234" s="365" t="n"/>
      <c r="T234" s="365" t="n"/>
      <c r="U234" s="365" t="n"/>
      <c r="V234" s="365" t="n"/>
      <c r="W234" s="365" t="n"/>
      <c r="X234" s="365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95" t="n"/>
      <c r="G237" s="380" t="n"/>
      <c r="H237" s="380" t="n"/>
      <c r="I237" s="382" t="n"/>
      <c r="J237" s="382" t="n"/>
      <c r="K237" s="382" t="n"/>
      <c r="L237" s="382" t="n"/>
      <c r="M237" s="382" t="n"/>
      <c r="N237" s="382" t="n"/>
      <c r="O237" s="382" t="n"/>
      <c r="P237" s="382" t="n"/>
      <c r="Q237" s="382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71" t="n"/>
      <c r="C238" s="366" t="n"/>
      <c r="D238" s="372" t="inlineStr">
        <is>
          <t>Accommodation</t>
        </is>
      </c>
      <c r="E238" s="373" t="n"/>
      <c r="F238" s="387" t="n"/>
      <c r="G238" s="396" t="n"/>
      <c r="H238" s="396" t="n"/>
      <c r="I238" s="354" t="n"/>
      <c r="J238" s="354" t="n"/>
      <c r="K238" s="354" t="n"/>
      <c r="L238" s="354" t="n"/>
      <c r="M238" s="354" t="n"/>
      <c r="N238" s="354" t="n"/>
      <c r="O238" s="354" t="n"/>
      <c r="P238" s="354" t="n"/>
      <c r="Q238" s="354" t="n"/>
      <c r="R238" s="356" t="n"/>
      <c r="S238" s="356" t="n"/>
      <c r="T238" s="356" t="n"/>
      <c r="U238" s="356" t="n"/>
      <c r="V238" s="356" t="n"/>
      <c r="W238" s="356" t="n"/>
      <c r="X238" s="356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71" t="n"/>
      <c r="C241" s="366" t="n"/>
      <c r="D241" s="372" t="inlineStr">
        <is>
          <t>Allowance</t>
        </is>
      </c>
      <c r="E241" s="373" t="n"/>
      <c r="F241" s="387" t="n"/>
      <c r="G241" s="396" t="n"/>
      <c r="H241" s="366" t="n"/>
      <c r="I241" s="355" t="n"/>
      <c r="J241" s="355" t="n"/>
      <c r="K241" s="354" t="n"/>
      <c r="L241" s="354" t="n"/>
      <c r="M241" s="354" t="n"/>
      <c r="N241" s="354" t="n"/>
      <c r="O241" s="354" t="n"/>
      <c r="P241" s="354" t="n"/>
      <c r="Q241" s="354" t="n"/>
      <c r="R241" s="356" t="n"/>
      <c r="S241" s="356" t="n"/>
      <c r="T241" s="356" t="n"/>
      <c r="U241" s="356" t="n"/>
      <c r="V241" s="356" t="n"/>
      <c r="W241" s="356" t="n"/>
      <c r="X241" s="356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71" t="n"/>
      <c r="C244" s="366" t="n"/>
      <c r="D244" s="372" t="inlineStr">
        <is>
          <t>Logistic</t>
        </is>
      </c>
      <c r="E244" s="373" t="n"/>
      <c r="F244" s="387" t="n"/>
      <c r="G244" s="396" t="n"/>
      <c r="H244" s="366" t="n"/>
      <c r="I244" s="355" t="n"/>
      <c r="J244" s="355" t="n"/>
      <c r="K244" s="354" t="n"/>
      <c r="L244" s="354" t="n"/>
      <c r="M244" s="354" t="n"/>
      <c r="N244" s="354" t="n"/>
      <c r="O244" s="354" t="n"/>
      <c r="P244" s="354" t="n"/>
      <c r="Q244" s="354" t="n"/>
      <c r="R244" s="356" t="n"/>
      <c r="S244" s="356" t="n"/>
      <c r="T244" s="356" t="n"/>
      <c r="U244" s="356" t="n"/>
      <c r="V244" s="356" t="n"/>
      <c r="W244" s="356" t="n"/>
      <c r="X244" s="356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71" t="n"/>
      <c r="C246" s="366" t="n"/>
      <c r="D246" s="372" t="inlineStr">
        <is>
          <t>Meal</t>
        </is>
      </c>
      <c r="E246" s="373" t="n"/>
      <c r="F246" s="387" t="n"/>
      <c r="G246" s="396" t="n"/>
      <c r="H246" s="366" t="n"/>
      <c r="I246" s="355" t="n"/>
      <c r="J246" s="355" t="n"/>
      <c r="K246" s="354" t="n"/>
      <c r="L246" s="354" t="n"/>
      <c r="M246" s="354" t="n"/>
      <c r="N246" s="354" t="n"/>
      <c r="O246" s="354" t="n"/>
      <c r="P246" s="354" t="n"/>
      <c r="Q246" s="354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74" t="n"/>
      <c r="C248" s="375" t="n"/>
      <c r="D248" s="376" t="n"/>
      <c r="E248" s="376" t="n"/>
      <c r="F248" s="397" t="n"/>
      <c r="G248" s="398" t="n"/>
      <c r="H248" s="375" t="n"/>
      <c r="I248" s="378" t="n"/>
      <c r="J248" s="378" t="n"/>
      <c r="K248" s="379" t="n"/>
      <c r="L248" s="379" t="n"/>
      <c r="M248" s="379" t="n"/>
      <c r="N248" s="379" t="n"/>
      <c r="O248" s="379" t="n"/>
      <c r="P248" s="379" t="n"/>
      <c r="Q248" s="379" t="n"/>
      <c r="R248" s="365" t="n"/>
      <c r="S248" s="365" t="n"/>
      <c r="T248" s="365" t="n"/>
      <c r="U248" s="365" t="n"/>
      <c r="V248" s="365" t="n"/>
      <c r="W248" s="365" t="n"/>
      <c r="X248" s="365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95" t="n"/>
      <c r="G251" s="380" t="n"/>
      <c r="H251" s="380" t="n"/>
      <c r="I251" s="382" t="n"/>
      <c r="J251" s="382" t="n"/>
      <c r="K251" s="382" t="n"/>
      <c r="L251" s="382" t="n"/>
      <c r="M251" s="382" t="n"/>
      <c r="N251" s="382" t="n"/>
      <c r="O251" s="382" t="n"/>
      <c r="P251" s="382" t="n"/>
      <c r="Q251" s="382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71" t="n"/>
      <c r="C252" s="366" t="n"/>
      <c r="D252" s="372" t="inlineStr">
        <is>
          <t>Accommodation</t>
        </is>
      </c>
      <c r="E252" s="373" t="n"/>
      <c r="F252" s="387" t="n"/>
      <c r="G252" s="396" t="n"/>
      <c r="H252" s="396" t="n"/>
      <c r="I252" s="354" t="n"/>
      <c r="J252" s="354" t="n"/>
      <c r="K252" s="354" t="n"/>
      <c r="L252" s="354" t="n"/>
      <c r="M252" s="354" t="n"/>
      <c r="N252" s="354" t="n"/>
      <c r="O252" s="354" t="n"/>
      <c r="P252" s="354" t="n"/>
      <c r="Q252" s="354" t="n"/>
      <c r="R252" s="356" t="n"/>
      <c r="S252" s="356" t="n"/>
      <c r="T252" s="356" t="n"/>
      <c r="U252" s="356" t="n"/>
      <c r="V252" s="356" t="n"/>
      <c r="W252" s="356" t="n"/>
      <c r="X252" s="356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9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9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71" t="n"/>
      <c r="C255" s="366" t="n"/>
      <c r="D255" s="372" t="inlineStr">
        <is>
          <t>Allowance</t>
        </is>
      </c>
      <c r="E255" s="373" t="n"/>
      <c r="F255" s="387" t="n"/>
      <c r="G255" s="396" t="n"/>
      <c r="H255" s="396" t="n"/>
      <c r="I255" s="355" t="n"/>
      <c r="J255" s="355" t="n"/>
      <c r="K255" s="354" t="n"/>
      <c r="L255" s="354" t="n"/>
      <c r="M255" s="354" t="n"/>
      <c r="N255" s="354" t="n"/>
      <c r="O255" s="354" t="n"/>
      <c r="P255" s="354" t="n"/>
      <c r="Q255" s="354" t="n"/>
      <c r="R255" s="356" t="n"/>
      <c r="S255" s="356" t="n"/>
      <c r="T255" s="356" t="n"/>
      <c r="U255" s="356" t="n"/>
      <c r="V255" s="356" t="n"/>
      <c r="W255" s="356" t="n"/>
      <c r="X255" s="356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9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71" t="n"/>
      <c r="C257" s="366" t="n"/>
      <c r="D257" s="372" t="inlineStr">
        <is>
          <t>Logistic</t>
        </is>
      </c>
      <c r="E257" s="373" t="n"/>
      <c r="F257" s="387" t="n"/>
      <c r="G257" s="396" t="n"/>
      <c r="H257" s="396" t="n"/>
      <c r="I257" s="353" t="n"/>
      <c r="J257" s="355" t="n"/>
      <c r="K257" s="354" t="n"/>
      <c r="L257" s="354" t="n"/>
      <c r="M257" s="354" t="n"/>
      <c r="N257" s="354" t="n"/>
      <c r="O257" s="354" t="n"/>
      <c r="P257" s="354" t="n"/>
      <c r="Q257" s="354" t="n"/>
      <c r="R257" s="356" t="n"/>
      <c r="S257" s="356" t="n"/>
      <c r="T257" s="356" t="n"/>
      <c r="U257" s="356" t="n"/>
      <c r="V257" s="356" t="n"/>
      <c r="W257" s="356" t="n"/>
      <c r="X257" s="356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9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71" t="n"/>
      <c r="C259" s="366" t="n"/>
      <c r="D259" s="372" t="inlineStr">
        <is>
          <t>Meal</t>
        </is>
      </c>
      <c r="E259" s="373" t="n"/>
      <c r="F259" s="387" t="n"/>
      <c r="G259" s="396" t="n"/>
      <c r="H259" s="396" t="n"/>
      <c r="I259" s="353" t="n"/>
      <c r="J259" s="355" t="n"/>
      <c r="K259" s="354" t="n"/>
      <c r="L259" s="354" t="n"/>
      <c r="M259" s="354" t="n"/>
      <c r="N259" s="354" t="n"/>
      <c r="O259" s="354" t="n"/>
      <c r="P259" s="354" t="n"/>
      <c r="Q259" s="354" t="n"/>
      <c r="R259" s="356" t="n"/>
      <c r="S259" s="356" t="n"/>
      <c r="T259" s="356" t="n"/>
      <c r="U259" s="356" t="n"/>
      <c r="V259" s="356" t="n"/>
      <c r="W259" s="356" t="n"/>
      <c r="X259" s="356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9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71" t="n"/>
      <c r="C261" s="366" t="n"/>
      <c r="D261" s="372" t="inlineStr">
        <is>
          <t>Transportation</t>
        </is>
      </c>
      <c r="E261" s="373" t="n"/>
      <c r="F261" s="387" t="n"/>
      <c r="G261" s="396" t="n"/>
      <c r="H261" s="396" t="n"/>
      <c r="I261" s="353" t="n"/>
      <c r="J261" s="354" t="n"/>
      <c r="K261" s="354" t="n"/>
      <c r="L261" s="354" t="n"/>
      <c r="M261" s="354" t="n"/>
      <c r="N261" s="354" t="n"/>
      <c r="O261" s="354" t="n"/>
      <c r="P261" s="354" t="n"/>
      <c r="Q261" s="354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9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74" t="n"/>
      <c r="C263" s="375" t="n"/>
      <c r="D263" s="376" t="n"/>
      <c r="E263" s="376" t="n"/>
      <c r="F263" s="397" t="n"/>
      <c r="G263" s="398" t="n"/>
      <c r="H263" s="398" t="n"/>
      <c r="I263" s="400" t="n"/>
      <c r="J263" s="378" t="n"/>
      <c r="K263" s="379" t="n"/>
      <c r="L263" s="379" t="n"/>
      <c r="M263" s="379" t="n"/>
      <c r="N263" s="379" t="n"/>
      <c r="O263" s="379" t="n"/>
      <c r="P263" s="379" t="n"/>
      <c r="Q263" s="379" t="n"/>
      <c r="R263" s="365" t="n"/>
      <c r="S263" s="365" t="n"/>
      <c r="T263" s="365" t="n"/>
      <c r="U263" s="365" t="n"/>
      <c r="V263" s="365" t="n"/>
      <c r="W263" s="365" t="n"/>
      <c r="X263" s="365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9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80" t="n"/>
      <c r="H265" s="380" t="n"/>
      <c r="I265" s="364" t="n"/>
      <c r="J265" s="364" t="n"/>
      <c r="K265" s="382" t="n"/>
      <c r="L265" s="382" t="n"/>
      <c r="M265" s="382" t="n"/>
      <c r="N265" s="382" t="n"/>
      <c r="O265" s="382" t="n"/>
      <c r="P265" s="382" t="n"/>
      <c r="Q265" s="382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80" t="n"/>
      <c r="H267" s="380" t="n"/>
      <c r="I267" s="364" t="n"/>
      <c r="J267" s="364" t="n"/>
      <c r="K267" s="382" t="n"/>
      <c r="L267" s="382" t="n"/>
      <c r="M267" s="382" t="n"/>
      <c r="N267" s="382" t="n"/>
      <c r="O267" s="382" t="n"/>
      <c r="P267" s="382" t="n"/>
      <c r="Q267" s="382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401" t="n"/>
      <c r="F270" s="361" t="n"/>
      <c r="G270" s="380" t="n"/>
      <c r="H270" s="380" t="n"/>
      <c r="I270" s="382" t="n"/>
      <c r="J270" s="382" t="n"/>
      <c r="K270" s="382" t="n"/>
      <c r="L270" s="382" t="n"/>
      <c r="M270" s="382" t="n"/>
      <c r="N270" s="382" t="n"/>
      <c r="O270" s="382" t="n"/>
      <c r="P270" s="382" t="n"/>
      <c r="Q270" s="382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80" t="n"/>
      <c r="H272" s="380" t="n"/>
      <c r="I272" s="381" t="n"/>
      <c r="J272" s="364" t="n"/>
      <c r="K272" s="382" t="n"/>
      <c r="L272" s="382" t="n"/>
      <c r="M272" s="382" t="n"/>
      <c r="N272" s="382" t="n"/>
      <c r="O272" s="382" t="n"/>
      <c r="P272" s="382" t="n"/>
      <c r="Q272" s="382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402" t="inlineStr">
        <is>
          <t>Tunjangan Lapangan JRK-193 (25 - 30 May 2024)</t>
        </is>
      </c>
      <c r="E274" s="402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71" t="n"/>
      <c r="C276" s="366" t="n"/>
      <c r="D276" s="349" t="inlineStr">
        <is>
          <t>Allowance</t>
        </is>
      </c>
      <c r="E276" s="403" t="n"/>
      <c r="F276" s="387" t="n"/>
      <c r="G276" s="366" t="n"/>
      <c r="H276" s="366" t="n"/>
      <c r="I276" s="355" t="n"/>
      <c r="J276" s="355" t="n"/>
      <c r="K276" s="354" t="n"/>
      <c r="L276" s="354" t="n"/>
      <c r="M276" s="354" t="n"/>
      <c r="N276" s="354" t="n"/>
      <c r="O276" s="354" t="n"/>
      <c r="P276" s="354" t="n"/>
      <c r="Q276" s="354" t="n"/>
      <c r="R276" s="356" t="n"/>
      <c r="S276" s="356" t="n"/>
      <c r="T276" s="356" t="n"/>
      <c r="U276" s="356" t="n"/>
      <c r="V276" s="356" t="n"/>
      <c r="W276" s="356" t="n"/>
      <c r="X276" s="356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71" t="n"/>
      <c r="C278" s="366" t="n"/>
      <c r="D278" s="349" t="inlineStr">
        <is>
          <t>Biaya Operasi</t>
        </is>
      </c>
      <c r="E278" s="350" t="n"/>
      <c r="F278" s="387" t="n"/>
      <c r="G278" s="366" t="n"/>
      <c r="H278" s="366" t="n"/>
      <c r="I278" s="353" t="n"/>
      <c r="J278" s="355" t="n"/>
      <c r="K278" s="354" t="n"/>
      <c r="L278" s="354" t="n"/>
      <c r="M278" s="353" t="n"/>
      <c r="N278" s="354" t="n"/>
      <c r="O278" s="354" t="n"/>
      <c r="P278" s="354" t="n"/>
      <c r="Q278" s="354" t="n"/>
      <c r="R278" s="356" t="n"/>
      <c r="S278" s="356" t="n"/>
      <c r="T278" s="356" t="n"/>
      <c r="U278" s="356" t="n"/>
      <c r="V278" s="356" t="n"/>
      <c r="W278" s="356" t="n"/>
      <c r="X278" s="356" t="n"/>
    </row>
    <row r="279" hidden="1" ht="15.5" customHeight="1" s="297">
      <c r="B279" s="390" t="n"/>
      <c r="C279" s="391" t="n"/>
      <c r="D279" s="404" t="n"/>
      <c r="E279" s="404" t="n"/>
      <c r="F279" s="393" t="n"/>
      <c r="G279" s="391" t="n"/>
      <c r="H279" s="391" t="n"/>
      <c r="I279" s="400" t="n"/>
      <c r="J279" s="378" t="n"/>
      <c r="K279" s="379" t="n"/>
      <c r="L279" s="379" t="n"/>
      <c r="M279" s="400" t="n"/>
      <c r="N279" s="379" t="n"/>
      <c r="O279" s="379" t="n"/>
      <c r="P279" s="379" t="n"/>
      <c r="Q279" s="379" t="n"/>
      <c r="R279" s="365" t="n"/>
      <c r="S279" s="365" t="n"/>
      <c r="T279" s="365" t="n"/>
      <c r="U279" s="365" t="n"/>
      <c r="V279" s="365" t="n"/>
      <c r="W279" s="365" t="n"/>
      <c r="X279" s="365" t="n"/>
    </row>
    <row r="280" ht="15.5" customHeight="1" s="297">
      <c r="B280" s="333" t="n">
        <v>45436</v>
      </c>
      <c r="C280" s="314" t="n">
        <v>5</v>
      </c>
      <c r="D280" s="402" t="inlineStr">
        <is>
          <t>Taxi + Tol To Airport CGK</t>
        </is>
      </c>
      <c r="E280" s="402" t="n"/>
      <c r="F280" s="405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80" t="n"/>
      <c r="H281" s="380" t="n"/>
      <c r="I281" s="382" t="n"/>
      <c r="J281" s="364" t="n"/>
      <c r="K281" s="382" t="n"/>
      <c r="L281" s="382" t="n"/>
      <c r="M281" s="381" t="n"/>
      <c r="N281" s="382" t="n"/>
      <c r="O281" s="382" t="n"/>
      <c r="P281" s="382" t="n"/>
      <c r="Q281" s="382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71" t="n"/>
      <c r="C282" s="366" t="n"/>
      <c r="D282" s="386" t="inlineStr">
        <is>
          <t>Allowance</t>
        </is>
      </c>
      <c r="E282" s="370" t="n"/>
      <c r="F282" s="387" t="n"/>
      <c r="G282" s="366" t="n"/>
      <c r="H282" s="366" t="n"/>
      <c r="I282" s="355" t="n"/>
      <c r="J282" s="355" t="n"/>
      <c r="K282" s="354" t="n"/>
      <c r="L282" s="354" t="n"/>
      <c r="M282" s="354" t="n"/>
      <c r="N282" s="354" t="n"/>
      <c r="O282" s="354" t="n"/>
      <c r="P282" s="354" t="n"/>
      <c r="Q282" s="354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88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71" t="n"/>
      <c r="C286" s="366" t="n"/>
      <c r="D286" s="349" t="inlineStr">
        <is>
          <t>Hand Tools</t>
        </is>
      </c>
      <c r="E286" s="373" t="n"/>
      <c r="F286" s="387" t="n"/>
      <c r="G286" s="366" t="n"/>
      <c r="H286" s="366" t="n"/>
      <c r="I286" s="353" t="n"/>
      <c r="J286" s="355" t="n"/>
      <c r="K286" s="354" t="n"/>
      <c r="L286" s="354" t="n"/>
      <c r="M286" s="354" t="n"/>
      <c r="N286" s="353" t="n"/>
      <c r="O286" s="354" t="n"/>
      <c r="P286" s="354" t="n"/>
      <c r="Q286" s="354" t="n"/>
      <c r="R286" s="356" t="n"/>
      <c r="S286" s="356" t="n"/>
      <c r="T286" s="356" t="n"/>
      <c r="U286" s="356" t="n"/>
      <c r="V286" s="356" t="n"/>
      <c r="W286" s="356" t="n"/>
      <c r="X286" s="356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71" t="n"/>
      <c r="C288" s="366" t="n"/>
      <c r="D288" s="349" t="inlineStr">
        <is>
          <t>Laundry</t>
        </is>
      </c>
      <c r="E288" s="373" t="n"/>
      <c r="F288" s="387" t="n"/>
      <c r="G288" s="366" t="n"/>
      <c r="H288" s="366" t="n"/>
      <c r="I288" s="353" t="n"/>
      <c r="J288" s="355" t="n"/>
      <c r="K288" s="354" t="n"/>
      <c r="L288" s="354" t="n"/>
      <c r="M288" s="354" t="n"/>
      <c r="N288" s="353" t="n"/>
      <c r="O288" s="354" t="n"/>
      <c r="P288" s="354" t="n"/>
      <c r="Q288" s="354" t="n"/>
      <c r="R288" s="356" t="n"/>
      <c r="S288" s="356" t="n"/>
      <c r="T288" s="356" t="n"/>
      <c r="U288" s="356" t="n"/>
      <c r="V288" s="356" t="n"/>
      <c r="W288" s="356" t="n"/>
      <c r="X288" s="356" t="n"/>
    </row>
    <row r="289" ht="15.5" customHeight="1" s="297">
      <c r="B289" s="333" t="n">
        <v>45437</v>
      </c>
      <c r="C289" s="314" t="n">
        <v>5</v>
      </c>
      <c r="D289" s="406" t="inlineStr">
        <is>
          <t>Wrapping Alfa Box</t>
        </is>
      </c>
      <c r="E289" s="406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71" t="n"/>
      <c r="C291" s="366" t="n"/>
      <c r="D291" s="349" t="inlineStr">
        <is>
          <t>Logistic</t>
        </is>
      </c>
      <c r="E291" s="373" t="n"/>
      <c r="F291" s="387" t="n"/>
      <c r="G291" s="366" t="n"/>
      <c r="H291" s="366" t="n"/>
      <c r="I291" s="355" t="n"/>
      <c r="J291" s="355" t="n"/>
      <c r="K291" s="354" t="n"/>
      <c r="L291" s="354" t="n"/>
      <c r="M291" s="353" t="n"/>
      <c r="N291" s="353" t="n"/>
      <c r="O291" s="354" t="n"/>
      <c r="P291" s="354" t="n"/>
      <c r="Q291" s="354" t="n"/>
      <c r="R291" s="356" t="n"/>
      <c r="S291" s="356" t="n"/>
      <c r="T291" s="356" t="n"/>
      <c r="U291" s="356" t="n"/>
      <c r="V291" s="356" t="n"/>
      <c r="W291" s="356" t="n"/>
      <c r="X291" s="356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71" t="n"/>
      <c r="C293" s="366" t="n"/>
      <c r="D293" s="349" t="inlineStr">
        <is>
          <t>Transportation</t>
        </is>
      </c>
      <c r="E293" s="373" t="n"/>
      <c r="F293" s="387" t="n"/>
      <c r="G293" s="366" t="n"/>
      <c r="H293" s="366" t="n"/>
      <c r="I293" s="355" t="n"/>
      <c r="J293" s="355" t="n"/>
      <c r="K293" s="354" t="n"/>
      <c r="L293" s="354" t="n"/>
      <c r="M293" s="353" t="n"/>
      <c r="N293" s="354" t="n"/>
      <c r="O293" s="354" t="n"/>
      <c r="P293" s="354" t="n"/>
      <c r="Q293" s="354" t="n"/>
      <c r="R293" s="356" t="n"/>
      <c r="S293" s="356" t="n"/>
      <c r="T293" s="356" t="n"/>
      <c r="U293" s="356" t="n"/>
      <c r="V293" s="356" t="n"/>
      <c r="W293" s="356" t="n"/>
      <c r="X293" s="356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90" t="n"/>
      <c r="C295" s="391" t="n"/>
      <c r="D295" s="392" t="n"/>
      <c r="E295" s="392" t="n"/>
      <c r="F295" s="393" t="n"/>
      <c r="G295" s="391" t="n"/>
      <c r="H295" s="391" t="n"/>
      <c r="I295" s="378" t="n"/>
      <c r="J295" s="378" t="n"/>
      <c r="K295" s="379" t="n"/>
      <c r="L295" s="379" t="n"/>
      <c r="M295" s="400" t="n"/>
      <c r="N295" s="379" t="n"/>
      <c r="O295" s="379" t="n"/>
      <c r="P295" s="379" t="n"/>
      <c r="Q295" s="379" t="n"/>
      <c r="R295" s="365" t="n"/>
      <c r="S295" s="365" t="n"/>
      <c r="T295" s="365" t="n"/>
      <c r="U295" s="365" t="n"/>
      <c r="V295" s="365" t="n"/>
      <c r="W295" s="365" t="n"/>
      <c r="X295" s="365" t="n"/>
    </row>
    <row r="296" hidden="1" ht="15.5" customHeight="1" s="297">
      <c r="B296" s="390" t="n"/>
      <c r="C296" s="391" t="n"/>
      <c r="D296" s="407" t="n"/>
      <c r="E296" s="407" t="n"/>
      <c r="F296" s="393" t="n"/>
      <c r="G296" s="391" t="n"/>
      <c r="H296" s="391" t="n"/>
      <c r="I296" s="378" t="n"/>
      <c r="J296" s="378" t="n"/>
      <c r="K296" s="379" t="n"/>
      <c r="L296" s="379" t="n"/>
      <c r="M296" s="408" t="n"/>
      <c r="N296" s="379" t="n"/>
      <c r="O296" s="379" t="n"/>
      <c r="P296" s="379" t="n"/>
      <c r="Q296" s="379" t="n"/>
      <c r="R296" s="365" t="n"/>
      <c r="S296" s="365" t="n"/>
      <c r="T296" s="365" t="n"/>
      <c r="U296" s="365" t="n"/>
      <c r="V296" s="365" t="n"/>
      <c r="W296" s="365" t="n"/>
      <c r="X296" s="365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401" t="n"/>
      <c r="F297" s="361" t="n"/>
      <c r="G297" s="380" t="n"/>
      <c r="H297" s="380" t="n"/>
      <c r="I297" s="364" t="n"/>
      <c r="J297" s="364" t="n"/>
      <c r="K297" s="382" t="n"/>
      <c r="L297" s="382" t="n"/>
      <c r="M297" s="382" t="n"/>
      <c r="N297" s="382" t="n"/>
      <c r="O297" s="382" t="n"/>
      <c r="P297" s="382" t="n"/>
      <c r="Q297" s="382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71" t="n"/>
      <c r="C298" s="366" t="n"/>
      <c r="D298" s="372" t="inlineStr">
        <is>
          <t>Accommodation</t>
        </is>
      </c>
      <c r="E298" s="373" t="n"/>
      <c r="F298" s="369" t="n"/>
      <c r="G298" s="366" t="n"/>
      <c r="H298" s="366" t="n"/>
      <c r="I298" s="355" t="n"/>
      <c r="J298" s="355" t="n"/>
      <c r="K298" s="354" t="n"/>
      <c r="L298" s="354" t="n"/>
      <c r="M298" s="354" t="n"/>
      <c r="N298" s="354" t="n"/>
      <c r="O298" s="354" t="n"/>
      <c r="P298" s="354" t="n"/>
      <c r="Q298" s="354" t="n"/>
      <c r="R298" s="356" t="n"/>
      <c r="S298" s="356" t="n"/>
      <c r="T298" s="356" t="n"/>
      <c r="U298" s="356" t="n"/>
      <c r="V298" s="356" t="n"/>
      <c r="W298" s="356" t="n"/>
      <c r="X298" s="356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71" t="n"/>
      <c r="C301" s="366" t="n"/>
      <c r="D301" s="372" t="inlineStr">
        <is>
          <t>Allowance</t>
        </is>
      </c>
      <c r="E301" s="373" t="n"/>
      <c r="F301" s="369" t="n"/>
      <c r="G301" s="366" t="n"/>
      <c r="H301" s="366" t="n"/>
      <c r="I301" s="355" t="n"/>
      <c r="J301" s="355" t="n"/>
      <c r="K301" s="354" t="n"/>
      <c r="L301" s="354" t="n"/>
      <c r="M301" s="354" t="n"/>
      <c r="N301" s="354" t="n"/>
      <c r="O301" s="354" t="n"/>
      <c r="P301" s="354" t="n"/>
      <c r="Q301" s="354" t="n"/>
      <c r="R301" s="356" t="n"/>
      <c r="S301" s="356" t="n"/>
      <c r="T301" s="356" t="n"/>
      <c r="U301" s="356" t="n"/>
      <c r="V301" s="356" t="n"/>
      <c r="W301" s="356" t="n"/>
      <c r="X301" s="356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71" t="n"/>
      <c r="C309" s="409" t="n"/>
      <c r="D309" s="372" t="inlineStr">
        <is>
          <t>Meal</t>
        </is>
      </c>
      <c r="E309" s="373" t="n"/>
      <c r="F309" s="369" t="n"/>
      <c r="G309" s="366" t="n"/>
      <c r="H309" s="366" t="n"/>
      <c r="I309" s="355" t="n"/>
      <c r="J309" s="355" t="n"/>
      <c r="K309" s="354" t="n"/>
      <c r="L309" s="354" t="n"/>
      <c r="M309" s="354" t="n"/>
      <c r="N309" s="354" t="n"/>
      <c r="O309" s="354" t="n"/>
      <c r="P309" s="354" t="n"/>
      <c r="Q309" s="354" t="n"/>
      <c r="R309" s="356" t="n"/>
      <c r="S309" s="356" t="n"/>
      <c r="T309" s="356" t="n"/>
      <c r="U309" s="356" t="n"/>
      <c r="V309" s="356" t="n"/>
      <c r="W309" s="356" t="n"/>
      <c r="X309" s="356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71" t="n"/>
      <c r="C311" s="409" t="n"/>
      <c r="D311" s="372" t="inlineStr">
        <is>
          <t>Transportation</t>
        </is>
      </c>
      <c r="E311" s="373" t="n"/>
      <c r="F311" s="369" t="n"/>
      <c r="G311" s="366" t="n"/>
      <c r="H311" s="366" t="n"/>
      <c r="I311" s="355" t="n"/>
      <c r="J311" s="355" t="n"/>
      <c r="K311" s="354" t="n"/>
      <c r="L311" s="354" t="n"/>
      <c r="M311" s="353" t="n"/>
      <c r="N311" s="354" t="n"/>
      <c r="O311" s="354" t="n"/>
      <c r="P311" s="354" t="n"/>
      <c r="Q311" s="354" t="n"/>
      <c r="R311" s="356" t="n"/>
      <c r="S311" s="356" t="n"/>
      <c r="T311" s="356" t="n"/>
      <c r="U311" s="356" t="n"/>
      <c r="V311" s="356" t="n"/>
      <c r="W311" s="356" t="n"/>
      <c r="X311" s="356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74" t="n"/>
      <c r="C313" s="410" t="n"/>
      <c r="D313" s="376" t="n"/>
      <c r="E313" s="376" t="n"/>
      <c r="F313" s="377" t="n"/>
      <c r="G313" s="375" t="n"/>
      <c r="H313" s="375" t="n"/>
      <c r="I313" s="378" t="n"/>
      <c r="J313" s="378" t="n"/>
      <c r="K313" s="379" t="n"/>
      <c r="L313" s="379" t="n"/>
      <c r="M313" s="400" t="n"/>
      <c r="N313" s="379" t="n"/>
      <c r="O313" s="379" t="n"/>
      <c r="P313" s="379" t="n"/>
      <c r="Q313" s="379" t="n"/>
      <c r="R313" s="365" t="n"/>
      <c r="S313" s="365" t="n"/>
      <c r="T313" s="365" t="n"/>
      <c r="U313" s="365" t="n"/>
      <c r="V313" s="365" t="n"/>
      <c r="W313" s="365" t="n"/>
      <c r="X313" s="365" t="n"/>
    </row>
    <row r="314" ht="15.5" customHeight="1" s="297">
      <c r="B314" s="333" t="n">
        <v>45442</v>
      </c>
      <c r="C314" s="406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80" t="n"/>
      <c r="H315" s="380" t="n"/>
      <c r="I315" s="382" t="n"/>
      <c r="J315" s="364" t="n"/>
      <c r="K315" s="382" t="n"/>
      <c r="L315" s="382" t="n"/>
      <c r="M315" s="381" t="n"/>
      <c r="N315" s="382" t="n"/>
      <c r="O315" s="382" t="n"/>
      <c r="P315" s="382" t="n"/>
      <c r="Q315" s="382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47" t="n"/>
      <c r="C316" s="366" t="n"/>
      <c r="D316" s="386" t="inlineStr">
        <is>
          <t>Training</t>
        </is>
      </c>
      <c r="E316" s="370" t="n"/>
      <c r="F316" s="387" t="n"/>
      <c r="G316" s="366" t="n"/>
      <c r="H316" s="366" t="n"/>
      <c r="I316" s="355" t="n"/>
      <c r="J316" s="355" t="n"/>
      <c r="K316" s="354" t="n"/>
      <c r="L316" s="354" t="n"/>
      <c r="M316" s="355" t="n"/>
      <c r="N316" s="354" t="n"/>
      <c r="O316" s="354" t="n"/>
      <c r="P316" s="354" t="n"/>
      <c r="Q316" s="354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71" t="n"/>
      <c r="C318" s="366" t="n"/>
      <c r="D318" s="386" t="inlineStr">
        <is>
          <t>Transportation</t>
        </is>
      </c>
      <c r="E318" s="370" t="n"/>
      <c r="F318" s="387" t="n"/>
      <c r="G318" s="366" t="n"/>
      <c r="H318" s="366" t="n"/>
      <c r="I318" s="355" t="n"/>
      <c r="J318" s="355" t="n"/>
      <c r="K318" s="354" t="n"/>
      <c r="L318" s="354" t="n"/>
      <c r="M318" s="355" t="n"/>
      <c r="N318" s="354" t="n"/>
      <c r="O318" s="354" t="n"/>
      <c r="P318" s="354" t="n"/>
      <c r="Q318" s="354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88" t="n">
        <v>45448</v>
      </c>
      <c r="C319" s="314" t="n">
        <v>2</v>
      </c>
      <c r="D319" s="402" t="inlineStr">
        <is>
          <t>Personal Car from Home to PT. LTJ (converted) DAY-1</t>
        </is>
      </c>
      <c r="E319" s="402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8" t="n">
        <v>45449</v>
      </c>
      <c r="C320" s="314" t="n">
        <v>3</v>
      </c>
      <c r="D320" s="402" t="inlineStr">
        <is>
          <t>Transport DAY - 2 BOSIET</t>
        </is>
      </c>
      <c r="E320" s="402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80" t="n"/>
      <c r="H322" s="380" t="n"/>
      <c r="I322" s="382" t="n"/>
      <c r="J322" s="364" t="n"/>
      <c r="K322" s="382" t="n"/>
      <c r="L322" s="382" t="n"/>
      <c r="M322" s="382" t="n"/>
      <c r="N322" s="381" t="n"/>
      <c r="O322" s="382" t="n"/>
      <c r="P322" s="382" t="n"/>
      <c r="Q322" s="382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71" t="n"/>
      <c r="C323" s="366" t="n"/>
      <c r="D323" s="372" t="inlineStr">
        <is>
          <t>Accommodation</t>
        </is>
      </c>
      <c r="E323" s="373" t="n"/>
      <c r="F323" s="387" t="n"/>
      <c r="G323" s="366" t="n"/>
      <c r="H323" s="366" t="n"/>
      <c r="I323" s="411" t="n"/>
      <c r="J323" s="355" t="n"/>
      <c r="K323" s="355" t="n"/>
      <c r="L323" s="355" t="n"/>
      <c r="M323" s="355" t="n"/>
      <c r="N323" s="355" t="n"/>
      <c r="O323" s="355" t="n"/>
      <c r="P323" s="355" t="n"/>
      <c r="Q323" s="355" t="n"/>
      <c r="R323" s="356" t="n"/>
      <c r="S323" s="356" t="n"/>
      <c r="T323" s="356" t="n"/>
      <c r="U323" s="356" t="n"/>
      <c r="V323" s="356" t="n"/>
      <c r="W323" s="356" t="n"/>
      <c r="X323" s="356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9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71" t="n"/>
      <c r="C326" s="366" t="n"/>
      <c r="D326" s="372" t="inlineStr">
        <is>
          <t>Allowance</t>
        </is>
      </c>
      <c r="E326" s="373" t="n"/>
      <c r="F326" s="387" t="n"/>
      <c r="G326" s="366" t="n"/>
      <c r="H326" s="366" t="n"/>
      <c r="I326" s="411" t="n"/>
      <c r="J326" s="355" t="n"/>
      <c r="K326" s="354" t="n"/>
      <c r="L326" s="354" t="n"/>
      <c r="M326" s="354" t="n"/>
      <c r="N326" s="354" t="n"/>
      <c r="O326" s="354" t="n"/>
      <c r="P326" s="354" t="n"/>
      <c r="Q326" s="354" t="n"/>
      <c r="R326" s="356" t="n"/>
      <c r="S326" s="356" t="n"/>
      <c r="T326" s="356" t="n"/>
      <c r="U326" s="356" t="n"/>
      <c r="V326" s="356" t="n"/>
      <c r="W326" s="356" t="n"/>
      <c r="X326" s="356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71" t="n"/>
      <c r="C334" s="409" t="n"/>
      <c r="D334" s="372" t="inlineStr">
        <is>
          <t>Logistic</t>
        </is>
      </c>
      <c r="E334" s="373" t="n"/>
      <c r="F334" s="387" t="n"/>
      <c r="G334" s="366" t="n"/>
      <c r="H334" s="366" t="n"/>
      <c r="I334" s="355" t="n"/>
      <c r="J334" s="355" t="n"/>
      <c r="K334" s="354" t="n"/>
      <c r="L334" s="354" t="n"/>
      <c r="M334" s="353" t="n"/>
      <c r="N334" s="354" t="n"/>
      <c r="O334" s="354" t="n"/>
      <c r="P334" s="354" t="n"/>
      <c r="Q334" s="354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71" t="n"/>
      <c r="C336" s="409" t="n"/>
      <c r="D336" s="372" t="inlineStr">
        <is>
          <t>Meal</t>
        </is>
      </c>
      <c r="E336" s="373" t="n"/>
      <c r="F336" s="387" t="n"/>
      <c r="G336" s="366" t="n"/>
      <c r="H336" s="366" t="n"/>
      <c r="I336" s="355" t="n"/>
      <c r="J336" s="355" t="n"/>
      <c r="K336" s="354" t="n"/>
      <c r="L336" s="354" t="n"/>
      <c r="M336" s="353" t="n"/>
      <c r="N336" s="354" t="n"/>
      <c r="O336" s="354" t="n"/>
      <c r="P336" s="354" t="n"/>
      <c r="Q336" s="354" t="n"/>
      <c r="R336" s="356" t="n"/>
      <c r="S336" s="356" t="n"/>
      <c r="T336" s="356" t="n"/>
      <c r="U336" s="356" t="n"/>
      <c r="V336" s="356" t="n"/>
      <c r="W336" s="356" t="n"/>
      <c r="X336" s="356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71" t="n"/>
      <c r="C338" s="409" t="n"/>
      <c r="D338" s="372" t="inlineStr">
        <is>
          <t>Transportation</t>
        </is>
      </c>
      <c r="E338" s="373" t="n"/>
      <c r="F338" s="387" t="n"/>
      <c r="G338" s="366" t="n"/>
      <c r="H338" s="366" t="n"/>
      <c r="I338" s="355" t="n"/>
      <c r="J338" s="355" t="n"/>
      <c r="K338" s="354" t="n"/>
      <c r="L338" s="354" t="n"/>
      <c r="M338" s="355" t="n"/>
      <c r="N338" s="354" t="n"/>
      <c r="O338" s="354" t="n"/>
      <c r="P338" s="354" t="n"/>
      <c r="Q338" s="354" t="n"/>
      <c r="R338" s="356" t="n"/>
      <c r="S338" s="356" t="n"/>
      <c r="T338" s="356" t="n"/>
      <c r="U338" s="356" t="n"/>
      <c r="V338" s="356" t="n"/>
      <c r="W338" s="356" t="n"/>
      <c r="X338" s="356" t="n"/>
    </row>
    <row r="339" ht="15.5" customHeight="1" s="297">
      <c r="B339" s="333" t="n">
        <v>45428</v>
      </c>
      <c r="C339" s="406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80" t="n"/>
      <c r="H340" s="380" t="n"/>
      <c r="I340" s="382" t="n"/>
      <c r="J340" s="364" t="n"/>
      <c r="K340" s="382" t="n"/>
      <c r="L340" s="382" t="n"/>
      <c r="M340" s="364" t="n"/>
      <c r="N340" s="382" t="n"/>
      <c r="O340" s="382" t="n"/>
      <c r="P340" s="382" t="n"/>
      <c r="Q340" s="382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71" t="n"/>
      <c r="C341" s="366" t="n"/>
      <c r="D341" s="372" t="inlineStr">
        <is>
          <t>Logistic</t>
        </is>
      </c>
      <c r="E341" s="373" t="n"/>
      <c r="F341" s="387" t="n"/>
      <c r="G341" s="366" t="n"/>
      <c r="H341" s="366" t="n"/>
      <c r="I341" s="355" t="n"/>
      <c r="J341" s="355" t="n"/>
      <c r="K341" s="354" t="n"/>
      <c r="L341" s="354" t="n"/>
      <c r="M341" s="353" t="n"/>
      <c r="N341" s="354" t="n"/>
      <c r="O341" s="354" t="n"/>
      <c r="P341" s="354" t="n"/>
      <c r="Q341" s="354" t="n"/>
      <c r="R341" s="356" t="n"/>
      <c r="S341" s="356" t="n"/>
      <c r="T341" s="356" t="n"/>
      <c r="U341" s="356" t="n"/>
      <c r="V341" s="356" t="n"/>
      <c r="W341" s="356" t="n"/>
      <c r="X341" s="356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71" t="n"/>
      <c r="C343" s="366" t="n"/>
      <c r="D343" s="372" t="inlineStr">
        <is>
          <t>Transportation</t>
        </is>
      </c>
      <c r="E343" s="373" t="n"/>
      <c r="F343" s="387" t="n"/>
      <c r="G343" s="366" t="n"/>
      <c r="H343" s="366" t="n"/>
      <c r="I343" s="355" t="n"/>
      <c r="J343" s="355" t="n"/>
      <c r="K343" s="354" t="n"/>
      <c r="L343" s="354" t="n"/>
      <c r="M343" s="355" t="n"/>
      <c r="N343" s="354" t="n"/>
      <c r="O343" s="354" t="n"/>
      <c r="P343" s="354" t="n"/>
      <c r="Q343" s="354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80" t="n"/>
      <c r="H346" s="380" t="n"/>
      <c r="I346" s="382" t="n"/>
      <c r="J346" s="364" t="n"/>
      <c r="K346" s="382" t="n"/>
      <c r="L346" s="382" t="n"/>
      <c r="M346" s="381" t="n"/>
      <c r="N346" s="382" t="n"/>
      <c r="O346" s="382" t="n"/>
      <c r="P346" s="382" t="n"/>
      <c r="Q346" s="382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71" t="n"/>
      <c r="C347" s="366" t="n"/>
      <c r="D347" s="372" t="inlineStr">
        <is>
          <t>Accommodation</t>
        </is>
      </c>
      <c r="E347" s="373" t="n"/>
      <c r="F347" s="369" t="n"/>
      <c r="G347" s="366" t="n"/>
      <c r="H347" s="366" t="n"/>
      <c r="I347" s="354" t="n"/>
      <c r="J347" s="354" t="n"/>
      <c r="K347" s="354" t="n"/>
      <c r="L347" s="354" t="n"/>
      <c r="M347" s="354" t="n"/>
      <c r="N347" s="354" t="n"/>
      <c r="O347" s="354" t="n"/>
      <c r="P347" s="354" t="n"/>
      <c r="Q347" s="354" t="n"/>
      <c r="R347" s="356" t="n"/>
      <c r="S347" s="356" t="n"/>
      <c r="T347" s="356" t="n"/>
      <c r="U347" s="356" t="n"/>
      <c r="V347" s="356" t="n"/>
      <c r="W347" s="356" t="n"/>
      <c r="X347" s="356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9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71" t="n"/>
      <c r="C350" s="366" t="n"/>
      <c r="D350" s="372" t="inlineStr">
        <is>
          <t>Logistic</t>
        </is>
      </c>
      <c r="E350" s="373" t="n"/>
      <c r="F350" s="369" t="n"/>
      <c r="G350" s="366" t="n"/>
      <c r="H350" s="366" t="n"/>
      <c r="I350" s="355" t="n"/>
      <c r="J350" s="355" t="n"/>
      <c r="K350" s="354" t="n"/>
      <c r="L350" s="354" t="n"/>
      <c r="M350" s="354" t="n"/>
      <c r="N350" s="354" t="n"/>
      <c r="O350" s="354" t="n"/>
      <c r="P350" s="354" t="n"/>
      <c r="Q350" s="354" t="n"/>
      <c r="R350" s="356" t="n"/>
      <c r="S350" s="356" t="n"/>
      <c r="T350" s="356" t="n"/>
      <c r="U350" s="356" t="n"/>
      <c r="V350" s="356" t="n"/>
      <c r="W350" s="356" t="n"/>
      <c r="X350" s="356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71" t="n"/>
      <c r="C357" s="366" t="n"/>
      <c r="D357" s="372" t="inlineStr">
        <is>
          <t>Transportation</t>
        </is>
      </c>
      <c r="E357" s="373" t="n"/>
      <c r="F357" s="369" t="n"/>
      <c r="G357" s="366" t="n"/>
      <c r="H357" s="366" t="n"/>
      <c r="I357" s="355" t="n"/>
      <c r="J357" s="355" t="n"/>
      <c r="K357" s="354" t="n"/>
      <c r="L357" s="354" t="n"/>
      <c r="M357" s="353" t="n"/>
      <c r="N357" s="354" t="n"/>
      <c r="O357" s="354" t="n"/>
      <c r="P357" s="354" t="n"/>
      <c r="Q357" s="354" t="n"/>
      <c r="R357" s="356" t="n"/>
      <c r="S357" s="356" t="n"/>
      <c r="T357" s="356" t="n"/>
      <c r="U357" s="356" t="n"/>
      <c r="V357" s="356" t="n"/>
      <c r="W357" s="356" t="n"/>
      <c r="X357" s="356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401" t="n"/>
      <c r="F360" s="361" t="n"/>
      <c r="G360" s="380" t="n"/>
      <c r="H360" s="380" t="n"/>
      <c r="I360" s="382" t="n"/>
      <c r="J360" s="382" t="n"/>
      <c r="K360" s="382" t="n"/>
      <c r="L360" s="382" t="n"/>
      <c r="M360" s="381" t="n"/>
      <c r="N360" s="382" t="n"/>
      <c r="O360" s="382" t="n"/>
      <c r="P360" s="382" t="n"/>
      <c r="Q360" s="382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47" t="n"/>
      <c r="C361" s="366" t="n"/>
      <c r="D361" s="386" t="inlineStr">
        <is>
          <t>Medical</t>
        </is>
      </c>
      <c r="E361" s="354" t="n"/>
      <c r="F361" s="387" t="n"/>
      <c r="G361" s="366" t="n"/>
      <c r="H361" s="366" t="n"/>
      <c r="I361" s="354" t="n"/>
      <c r="J361" s="354" t="n"/>
      <c r="K361" s="354" t="n"/>
      <c r="L361" s="354" t="n"/>
      <c r="M361" s="353" t="n"/>
      <c r="N361" s="354" t="n"/>
      <c r="O361" s="354" t="n"/>
      <c r="P361" s="354" t="n"/>
      <c r="Q361" s="354" t="n"/>
      <c r="R361" s="356" t="n"/>
      <c r="S361" s="356" t="n"/>
      <c r="T361" s="356" t="n"/>
      <c r="U361" s="356" t="n"/>
      <c r="V361" s="356" t="n"/>
      <c r="W361" s="356" t="n"/>
      <c r="X361" s="356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80" t="n"/>
      <c r="H366" s="380" t="n"/>
      <c r="I366" s="381" t="n"/>
      <c r="J366" s="382" t="n"/>
      <c r="K366" s="382" t="n"/>
      <c r="L366" s="382" t="n"/>
      <c r="M366" s="381" t="n"/>
      <c r="N366" s="382" t="n"/>
      <c r="O366" s="382" t="n"/>
      <c r="P366" s="382" t="n"/>
      <c r="Q366" s="382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47" t="n"/>
      <c r="C367" s="366" t="n"/>
      <c r="D367" s="386" t="inlineStr">
        <is>
          <t>Accommodation</t>
        </is>
      </c>
      <c r="E367" s="370" t="n"/>
      <c r="F367" s="387" t="n"/>
      <c r="G367" s="366" t="n"/>
      <c r="H367" s="366" t="n"/>
      <c r="I367" s="353" t="n"/>
      <c r="J367" s="354" t="n"/>
      <c r="K367" s="354" t="n"/>
      <c r="L367" s="354" t="n"/>
      <c r="M367" s="353" t="n"/>
      <c r="N367" s="354" t="n"/>
      <c r="O367" s="354" t="n"/>
      <c r="P367" s="354" t="n"/>
      <c r="Q367" s="354" t="n"/>
      <c r="R367" s="356" t="n"/>
      <c r="S367" s="356" t="n"/>
      <c r="T367" s="356" t="n"/>
      <c r="U367" s="356" t="n"/>
      <c r="V367" s="356" t="n"/>
      <c r="W367" s="356" t="n"/>
      <c r="X367" s="356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71" t="n"/>
      <c r="C370" s="366" t="n"/>
      <c r="D370" s="386" t="inlineStr">
        <is>
          <t>Allowance</t>
        </is>
      </c>
      <c r="E370" s="370" t="n"/>
      <c r="F370" s="387" t="n"/>
      <c r="G370" s="366" t="n"/>
      <c r="H370" s="366" t="n"/>
      <c r="I370" s="353" t="n"/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6" t="n"/>
      <c r="S370" s="356" t="n"/>
      <c r="T370" s="356" t="n"/>
      <c r="U370" s="356" t="n"/>
      <c r="V370" s="356" t="n"/>
      <c r="W370" s="356" t="n"/>
      <c r="X370" s="356" t="n"/>
    </row>
    <row r="371" ht="15.5" customHeight="1" s="297">
      <c r="B371" s="388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71" t="n"/>
      <c r="C377" s="366" t="n"/>
      <c r="D377" s="349" t="inlineStr">
        <is>
          <t>Laundry</t>
        </is>
      </c>
      <c r="E377" s="412" t="n"/>
      <c r="F377" s="387" t="n"/>
      <c r="G377" s="366" t="n"/>
      <c r="H377" s="366" t="n"/>
      <c r="I377" s="353" t="n"/>
      <c r="J377" s="354" t="n"/>
      <c r="K377" s="354" t="n"/>
      <c r="L377" s="354" t="n"/>
      <c r="M377" s="354" t="n"/>
      <c r="N377" s="353" t="n"/>
      <c r="O377" s="354" t="n"/>
      <c r="P377" s="354" t="n"/>
      <c r="Q377" s="354" t="n"/>
      <c r="R377" s="356" t="n"/>
      <c r="S377" s="356" t="n"/>
      <c r="T377" s="356" t="n"/>
      <c r="U377" s="356" t="n"/>
      <c r="V377" s="356" t="n"/>
      <c r="W377" s="356" t="n"/>
      <c r="X377" s="356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71" t="n"/>
      <c r="C379" s="366" t="n"/>
      <c r="D379" s="349" t="inlineStr">
        <is>
          <t>Operation</t>
        </is>
      </c>
      <c r="E379" s="373" t="n"/>
      <c r="F379" s="387" t="n"/>
      <c r="G379" s="366" t="n"/>
      <c r="H379" s="366" t="n"/>
      <c r="I379" s="355" t="n"/>
      <c r="J379" s="354" t="n"/>
      <c r="K379" s="354" t="n"/>
      <c r="L379" s="354" t="n"/>
      <c r="M379" s="354" t="n"/>
      <c r="N379" s="354" t="n"/>
      <c r="O379" s="354" t="n"/>
      <c r="P379" s="354" t="n"/>
      <c r="Q379" s="354" t="n"/>
      <c r="R379" s="356" t="n"/>
      <c r="S379" s="356" t="n"/>
      <c r="T379" s="356" t="n"/>
      <c r="U379" s="356" t="n"/>
      <c r="V379" s="356" t="n"/>
      <c r="W379" s="356" t="n"/>
      <c r="X379" s="356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71" t="n"/>
      <c r="C381" s="366" t="n"/>
      <c r="D381" s="349" t="inlineStr">
        <is>
          <t>Transportation</t>
        </is>
      </c>
      <c r="E381" s="373" t="n"/>
      <c r="F381" s="387" t="n"/>
      <c r="G381" s="366" t="n"/>
      <c r="H381" s="366" t="n"/>
      <c r="I381" s="411" t="n"/>
      <c r="J381" s="354" t="n"/>
      <c r="K381" s="354" t="n"/>
      <c r="L381" s="354" t="n"/>
      <c r="M381" s="354" t="n"/>
      <c r="N381" s="354" t="n"/>
      <c r="O381" s="354" t="n"/>
      <c r="P381" s="354" t="n"/>
      <c r="Q381" s="354" t="n"/>
      <c r="R381" s="356" t="n"/>
      <c r="S381" s="356" t="n"/>
      <c r="T381" s="356" t="n"/>
      <c r="U381" s="356" t="n"/>
      <c r="V381" s="356" t="n"/>
      <c r="W381" s="356" t="n"/>
      <c r="X381" s="356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9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90" t="n"/>
      <c r="C383" s="391" t="n"/>
      <c r="D383" s="392" t="n"/>
      <c r="E383" s="392" t="n"/>
      <c r="F383" s="393" t="n"/>
      <c r="G383" s="391" t="n"/>
      <c r="H383" s="391" t="n"/>
      <c r="I383" s="379" t="n"/>
      <c r="J383" s="379" t="n"/>
      <c r="K383" s="379" t="n"/>
      <c r="L383" s="379" t="n"/>
      <c r="M383" s="379" t="n"/>
      <c r="N383" s="379" t="n"/>
      <c r="O383" s="379" t="n"/>
      <c r="P383" s="379" t="n"/>
      <c r="Q383" s="379" t="n"/>
      <c r="R383" s="365" t="n"/>
      <c r="S383" s="365" t="n"/>
      <c r="T383" s="365" t="n"/>
      <c r="U383" s="365" t="n"/>
      <c r="V383" s="365" t="n"/>
      <c r="W383" s="365" t="n"/>
      <c r="X383" s="365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90" t="n"/>
      <c r="C385" s="391" t="n"/>
      <c r="D385" s="392" t="n"/>
      <c r="E385" s="392" t="n"/>
      <c r="F385" s="393" t="n"/>
      <c r="G385" s="391" t="n"/>
      <c r="H385" s="391" t="n"/>
      <c r="I385" s="378" t="n"/>
      <c r="J385" s="379" t="n"/>
      <c r="K385" s="379" t="n"/>
      <c r="L385" s="379" t="n"/>
      <c r="M385" s="379" t="n"/>
      <c r="N385" s="379" t="n"/>
      <c r="O385" s="379" t="n"/>
      <c r="P385" s="379" t="n"/>
      <c r="Q385" s="379" t="n"/>
      <c r="R385" s="365" t="n"/>
      <c r="S385" s="365" t="n"/>
      <c r="T385" s="365" t="n"/>
      <c r="U385" s="365" t="n"/>
      <c r="V385" s="365" t="n"/>
      <c r="W385" s="365" t="n"/>
      <c r="X385" s="365" t="n"/>
    </row>
    <row r="386" ht="15.5" customHeight="1" s="297">
      <c r="B386" s="333" t="n">
        <v>45500</v>
      </c>
      <c r="C386" s="314" t="n">
        <v>13</v>
      </c>
      <c r="D386" s="402" t="inlineStr">
        <is>
          <t>Tol Prabu - PLM + Fuel</t>
        </is>
      </c>
      <c r="E386" s="402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90" t="n"/>
      <c r="C387" s="391" t="n"/>
      <c r="D387" s="413" t="n"/>
      <c r="E387" s="413" t="n"/>
      <c r="F387" s="393" t="n"/>
      <c r="G387" s="391" t="n"/>
      <c r="H387" s="391" t="n"/>
      <c r="I387" s="379" t="n"/>
      <c r="J387" s="379" t="n"/>
      <c r="K387" s="379" t="n"/>
      <c r="L387" s="379" t="n"/>
      <c r="M387" s="379" t="n"/>
      <c r="N387" s="379" t="n"/>
      <c r="O387" s="379" t="n"/>
      <c r="P387" s="379" t="n"/>
      <c r="Q387" s="379" t="n"/>
      <c r="R387" s="365" t="n"/>
      <c r="S387" s="365" t="n"/>
      <c r="T387" s="365" t="n"/>
      <c r="U387" s="365" t="n"/>
      <c r="V387" s="365" t="n"/>
      <c r="W387" s="365" t="n"/>
      <c r="X387" s="365" t="n"/>
    </row>
    <row r="388" ht="15.5" customHeight="1" s="297">
      <c r="B388" s="333" t="n">
        <v>45500</v>
      </c>
      <c r="C388" s="314" t="n">
        <v>14</v>
      </c>
      <c r="D388" s="402" t="inlineStr">
        <is>
          <t>Tol + Taxi From Airport Jakarta</t>
        </is>
      </c>
      <c r="E388" s="402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402" t="inlineStr">
        <is>
          <t>Car rental 21 - 27 Jul 2024</t>
        </is>
      </c>
      <c r="E389" s="402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402" t="inlineStr">
        <is>
          <t>Jakarta - Palembang</t>
        </is>
      </c>
      <c r="E390" s="402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80" t="n"/>
      <c r="H391" s="380" t="n"/>
      <c r="I391" s="382" t="n"/>
      <c r="J391" s="382" t="n"/>
      <c r="K391" s="382" t="n"/>
      <c r="L391" s="382" t="n"/>
      <c r="M391" s="364" t="n"/>
      <c r="N391" s="382" t="n"/>
      <c r="O391" s="382" t="n"/>
      <c r="P391" s="382" t="n"/>
      <c r="Q391" s="382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71" t="n"/>
      <c r="C392" s="366" t="n"/>
      <c r="D392" s="349" t="inlineStr">
        <is>
          <t>Allowance</t>
        </is>
      </c>
      <c r="E392" s="412" t="n"/>
      <c r="F392" s="387" t="n"/>
      <c r="G392" s="366" t="n"/>
      <c r="H392" s="366" t="n"/>
      <c r="I392" s="354" t="n"/>
      <c r="J392" s="354" t="n"/>
      <c r="K392" s="354" t="n"/>
      <c r="L392" s="354" t="n"/>
      <c r="M392" s="353" t="n"/>
      <c r="N392" s="354" t="n"/>
      <c r="O392" s="354" t="n"/>
      <c r="P392" s="354" t="n"/>
      <c r="Q392" s="354" t="n"/>
      <c r="R392" s="356" t="n"/>
      <c r="S392" s="356" t="n"/>
      <c r="T392" s="356" t="n"/>
      <c r="U392" s="356" t="n"/>
      <c r="V392" s="356" t="n"/>
      <c r="W392" s="356" t="n"/>
      <c r="X392" s="356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90" t="n"/>
      <c r="C397" s="391" t="n"/>
      <c r="D397" s="414" t="n"/>
      <c r="E397" s="414" t="n"/>
      <c r="F397" s="393" t="n"/>
      <c r="G397" s="391" t="n"/>
      <c r="H397" s="391" t="n"/>
      <c r="I397" s="379" t="n"/>
      <c r="J397" s="379" t="n"/>
      <c r="K397" s="379" t="n"/>
      <c r="L397" s="379" t="n"/>
      <c r="M397" s="400" t="n"/>
      <c r="N397" s="379" t="n"/>
      <c r="O397" s="379" t="n"/>
      <c r="P397" s="379" t="n"/>
      <c r="Q397" s="379" t="n"/>
      <c r="R397" s="365" t="n"/>
      <c r="S397" s="365" t="n"/>
      <c r="T397" s="365" t="n"/>
      <c r="U397" s="365" t="n"/>
      <c r="V397" s="365" t="n"/>
      <c r="W397" s="365" t="n"/>
      <c r="X397" s="365" t="n"/>
    </row>
    <row r="398" ht="15.5" customHeight="1" s="297">
      <c r="B398" s="333" t="n">
        <v>45463</v>
      </c>
      <c r="C398" s="318" t="n">
        <v>5</v>
      </c>
      <c r="D398" s="402" t="inlineStr">
        <is>
          <t>Tunjangan LapanganJRK-163 (16 - 19 Juni 2024) pending job</t>
        </is>
      </c>
      <c r="E398" s="402" t="n"/>
      <c r="F398" s="405" t="n">
        <v>1630000</v>
      </c>
      <c r="G398" s="318" t="inlineStr">
        <is>
          <t>$</t>
        </is>
      </c>
      <c r="H398" s="324" t="n">
        <v>16300</v>
      </c>
      <c r="I398" s="415" t="n"/>
      <c r="J398" s="416" t="n">
        <v>1630000</v>
      </c>
      <c r="K398" s="417" t="n"/>
      <c r="L398" s="417" t="n"/>
      <c r="M398" s="415" t="n"/>
      <c r="N398" s="417" t="n"/>
      <c r="O398" s="417" t="n"/>
      <c r="P398" s="417" t="n"/>
      <c r="Q398" s="41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18" t="inlineStr">
        <is>
          <t>Expense#25</t>
        </is>
      </c>
      <c r="C400" s="380" t="inlineStr">
        <is>
          <t>:</t>
        </is>
      </c>
      <c r="D400" s="357" t="inlineStr">
        <is>
          <t>TIS-Blora Field-PLT ALFA BHS by BARIKIN - IC</t>
        </is>
      </c>
      <c r="E400" s="419" t="n"/>
      <c r="F400" s="420" t="n"/>
      <c r="G400" s="380" t="n"/>
      <c r="H400" s="380" t="n"/>
      <c r="I400" s="382" t="n"/>
      <c r="J400" s="382" t="n"/>
      <c r="K400" s="382" t="n"/>
      <c r="L400" s="382" t="n"/>
      <c r="M400" s="382" t="n"/>
      <c r="N400" s="382" t="n"/>
      <c r="O400" s="382" t="n"/>
      <c r="P400" s="382" t="n"/>
      <c r="Q400" s="382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71" t="n"/>
      <c r="C401" s="366" t="n"/>
      <c r="D401" s="372" t="inlineStr">
        <is>
          <t>Allowance</t>
        </is>
      </c>
      <c r="E401" s="373" t="n"/>
      <c r="F401" s="369" t="n"/>
      <c r="G401" s="366" t="n"/>
      <c r="H401" s="366" t="n"/>
      <c r="I401" s="354" t="n"/>
      <c r="J401" s="354" t="n"/>
      <c r="K401" s="354" t="n"/>
      <c r="L401" s="354" t="n"/>
      <c r="M401" s="354" t="n"/>
      <c r="N401" s="354" t="n"/>
      <c r="O401" s="354" t="n"/>
      <c r="P401" s="354" t="n"/>
      <c r="Q401" s="354" t="n"/>
      <c r="R401" s="356" t="n"/>
      <c r="S401" s="356" t="n"/>
      <c r="T401" s="356" t="n"/>
      <c r="U401" s="356" t="n"/>
      <c r="V401" s="356" t="n"/>
      <c r="W401" s="356" t="n"/>
      <c r="X401" s="356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71" t="n"/>
      <c r="C403" s="366" t="n"/>
      <c r="D403" s="372" t="inlineStr">
        <is>
          <t>Laundry</t>
        </is>
      </c>
      <c r="E403" s="373" t="n"/>
      <c r="F403" s="369" t="n"/>
      <c r="G403" s="366" t="n"/>
      <c r="H403" s="366" t="n"/>
      <c r="I403" s="354" t="n"/>
      <c r="J403" s="354" t="n"/>
      <c r="K403" s="354" t="n"/>
      <c r="L403" s="354" t="n"/>
      <c r="M403" s="354" t="n"/>
      <c r="N403" s="354" t="n"/>
      <c r="O403" s="354" t="n"/>
      <c r="P403" s="354" t="n"/>
      <c r="Q403" s="354" t="n"/>
      <c r="R403" s="356" t="n"/>
      <c r="S403" s="356" t="n"/>
      <c r="T403" s="356" t="n"/>
      <c r="U403" s="356" t="n"/>
      <c r="V403" s="356" t="n"/>
      <c r="W403" s="356" t="n"/>
      <c r="X403" s="356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71" t="n"/>
      <c r="C405" s="366" t="n"/>
      <c r="D405" s="372" t="inlineStr">
        <is>
          <t>Logistic</t>
        </is>
      </c>
      <c r="E405" s="373" t="n"/>
      <c r="F405" s="369" t="n"/>
      <c r="G405" s="366" t="n"/>
      <c r="H405" s="366" t="n"/>
      <c r="I405" s="354" t="n"/>
      <c r="J405" s="354" t="n"/>
      <c r="K405" s="354" t="n"/>
      <c r="L405" s="354" t="n"/>
      <c r="M405" s="354" t="n"/>
      <c r="N405" s="354" t="n"/>
      <c r="O405" s="354" t="n"/>
      <c r="P405" s="354" t="n"/>
      <c r="Q405" s="354" t="n"/>
      <c r="R405" s="356" t="n"/>
      <c r="S405" s="356" t="n"/>
      <c r="T405" s="356" t="n"/>
      <c r="U405" s="356" t="n"/>
      <c r="V405" s="356" t="n"/>
      <c r="W405" s="356" t="n"/>
      <c r="X405" s="356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71" t="n"/>
      <c r="C407" s="366" t="n"/>
      <c r="D407" s="372" t="inlineStr">
        <is>
          <t>Meal</t>
        </is>
      </c>
      <c r="E407" s="373" t="n"/>
      <c r="F407" s="369" t="n"/>
      <c r="G407" s="366" t="n"/>
      <c r="H407" s="366" t="n"/>
      <c r="I407" s="354" t="n"/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6" t="n"/>
      <c r="S407" s="356" t="n"/>
      <c r="T407" s="356" t="n"/>
      <c r="U407" s="356" t="n"/>
      <c r="V407" s="356" t="n"/>
      <c r="W407" s="356" t="n"/>
      <c r="X407" s="356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80" t="n"/>
      <c r="H409" s="380" t="n"/>
      <c r="I409" s="382" t="n"/>
      <c r="J409" s="382" t="n"/>
      <c r="K409" s="382" t="n"/>
      <c r="L409" s="382" t="n"/>
      <c r="M409" s="381" t="n"/>
      <c r="N409" s="382" t="n"/>
      <c r="O409" s="382" t="n"/>
      <c r="P409" s="382" t="n"/>
      <c r="Q409" s="382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47" t="n"/>
      <c r="C410" s="366" t="n"/>
      <c r="D410" s="386" t="inlineStr">
        <is>
          <t>Accommodation</t>
        </is>
      </c>
      <c r="E410" s="370" t="n"/>
      <c r="F410" s="369" t="n"/>
      <c r="G410" s="366" t="n"/>
      <c r="H410" s="366" t="n"/>
      <c r="I410" s="354" t="n"/>
      <c r="J410" s="354" t="n"/>
      <c r="K410" s="354" t="n"/>
      <c r="L410" s="354" t="n"/>
      <c r="M410" s="355" t="n"/>
      <c r="N410" s="354" t="n"/>
      <c r="O410" s="354" t="n"/>
      <c r="P410" s="354" t="n"/>
      <c r="Q410" s="354" t="n"/>
      <c r="R410" s="356" t="n"/>
      <c r="S410" s="356" t="n"/>
      <c r="T410" s="356" t="n"/>
      <c r="U410" s="356" t="n"/>
      <c r="V410" s="356" t="n"/>
      <c r="W410" s="356" t="n"/>
      <c r="X410" s="356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71" t="n"/>
      <c r="C412" s="366" t="n"/>
      <c r="D412" s="386" t="inlineStr">
        <is>
          <t>Allowance</t>
        </is>
      </c>
      <c r="E412" s="370" t="n"/>
      <c r="F412" s="369" t="n"/>
      <c r="G412" s="366" t="n"/>
      <c r="H412" s="366" t="n"/>
      <c r="I412" s="354" t="n"/>
      <c r="J412" s="354" t="n"/>
      <c r="K412" s="354" t="n"/>
      <c r="L412" s="354" t="n"/>
      <c r="M412" s="355" t="n"/>
      <c r="N412" s="354" t="n"/>
      <c r="O412" s="354" t="n"/>
      <c r="P412" s="354" t="n"/>
      <c r="Q412" s="354" t="n"/>
      <c r="R412" s="356" t="n"/>
      <c r="S412" s="356" t="n"/>
      <c r="T412" s="356" t="n"/>
      <c r="U412" s="356" t="n"/>
      <c r="V412" s="356" t="n"/>
      <c r="W412" s="356" t="n"/>
      <c r="X412" s="356" t="n"/>
    </row>
    <row r="413" ht="15.5" customHeight="1" s="297">
      <c r="B413" s="388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8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71" t="n"/>
      <c r="C416" s="366" t="n"/>
      <c r="D416" s="349" t="inlineStr">
        <is>
          <t>Laundry</t>
        </is>
      </c>
      <c r="E416" s="373" t="n"/>
      <c r="F416" s="369" t="n"/>
      <c r="G416" s="366" t="n"/>
      <c r="H416" s="366" t="n"/>
      <c r="I416" s="354" t="n"/>
      <c r="J416" s="354" t="n"/>
      <c r="K416" s="354" t="n"/>
      <c r="L416" s="354" t="n"/>
      <c r="M416" s="354" t="n"/>
      <c r="N416" s="354" t="n"/>
      <c r="O416" s="354" t="n"/>
      <c r="P416" s="354" t="n"/>
      <c r="Q416" s="354" t="n"/>
      <c r="R416" s="356" t="n"/>
      <c r="S416" s="356" t="n"/>
      <c r="T416" s="356" t="n"/>
      <c r="U416" s="356" t="n"/>
      <c r="V416" s="356" t="n"/>
      <c r="W416" s="356" t="n"/>
      <c r="X416" s="356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71" t="n"/>
      <c r="C419" s="366" t="n"/>
      <c r="D419" s="349" t="inlineStr">
        <is>
          <t>Transportation</t>
        </is>
      </c>
      <c r="E419" s="373" t="n"/>
      <c r="F419" s="369" t="n"/>
      <c r="G419" s="366" t="n"/>
      <c r="H419" s="366" t="n"/>
      <c r="I419" s="354" t="n"/>
      <c r="J419" s="354" t="n"/>
      <c r="K419" s="354" t="n"/>
      <c r="L419" s="354" t="n"/>
      <c r="M419" s="354" t="n"/>
      <c r="N419" s="354" t="n"/>
      <c r="O419" s="354" t="n"/>
      <c r="P419" s="354" t="n"/>
      <c r="Q419" s="354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90" t="n"/>
      <c r="C421" s="391" t="n"/>
      <c r="D421" s="392" t="n"/>
      <c r="E421" s="392" t="n"/>
      <c r="F421" s="421" t="n"/>
      <c r="G421" s="391" t="n"/>
      <c r="H421" s="391" t="n"/>
      <c r="I421" s="379" t="n"/>
      <c r="J421" s="379" t="n"/>
      <c r="K421" s="379" t="n"/>
      <c r="L421" s="379" t="n"/>
      <c r="M421" s="379" t="n"/>
      <c r="N421" s="379" t="n"/>
      <c r="O421" s="379" t="n"/>
      <c r="P421" s="379" t="n"/>
      <c r="Q421" s="379" t="n"/>
      <c r="R421" s="365" t="n"/>
      <c r="S421" s="365" t="n"/>
      <c r="T421" s="365" t="n"/>
      <c r="U421" s="365" t="n"/>
      <c r="V421" s="365" t="n"/>
      <c r="W421" s="365" t="n"/>
      <c r="X421" s="365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90" t="n"/>
      <c r="C423" s="391" t="n"/>
      <c r="D423" s="392" t="n"/>
      <c r="E423" s="392" t="n"/>
      <c r="F423" s="421" t="n"/>
      <c r="G423" s="391" t="n"/>
      <c r="H423" s="391" t="n"/>
      <c r="I423" s="379" t="n"/>
      <c r="J423" s="379" t="n"/>
      <c r="K423" s="379" t="n"/>
      <c r="L423" s="379" t="n"/>
      <c r="M423" s="379" t="n"/>
      <c r="N423" s="379" t="n"/>
      <c r="O423" s="379" t="n"/>
      <c r="P423" s="379" t="n"/>
      <c r="Q423" s="379" t="n"/>
      <c r="R423" s="365" t="n"/>
      <c r="S423" s="365" t="n"/>
      <c r="T423" s="365" t="n"/>
      <c r="U423" s="365" t="n"/>
      <c r="V423" s="365" t="n"/>
      <c r="W423" s="365" t="n"/>
      <c r="X423" s="365" t="n"/>
    </row>
    <row r="424" ht="15.5" customHeight="1" s="297">
      <c r="B424" s="333" t="n">
        <v>45511</v>
      </c>
      <c r="C424" s="314" t="n">
        <v>9</v>
      </c>
      <c r="D424" s="402" t="inlineStr">
        <is>
          <t>Gocar Hotel to Tawang</t>
        </is>
      </c>
      <c r="E424" s="402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80" t="n"/>
      <c r="H425" s="380" t="n"/>
      <c r="I425" s="382" t="n"/>
      <c r="J425" s="382" t="n"/>
      <c r="K425" s="382" t="n"/>
      <c r="L425" s="382" t="n"/>
      <c r="M425" s="381" t="n"/>
      <c r="N425" s="382" t="n"/>
      <c r="O425" s="382" t="n"/>
      <c r="P425" s="382" t="n"/>
      <c r="Q425" s="382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47" t="n"/>
      <c r="C426" s="366" t="n"/>
      <c r="D426" s="386" t="inlineStr">
        <is>
          <t>Logistic</t>
        </is>
      </c>
      <c r="E426" s="354" t="n"/>
      <c r="F426" s="387" t="n"/>
      <c r="G426" s="366" t="n"/>
      <c r="H426" s="366" t="n"/>
      <c r="I426" s="354" t="n"/>
      <c r="J426" s="354" t="n"/>
      <c r="K426" s="354" t="n"/>
      <c r="L426" s="354" t="n"/>
      <c r="M426" s="353" t="n"/>
      <c r="N426" s="354" t="n"/>
      <c r="O426" s="354" t="n"/>
      <c r="P426" s="354" t="n"/>
      <c r="Q426" s="354" t="n"/>
      <c r="R426" s="356" t="n"/>
      <c r="S426" s="356" t="n"/>
      <c r="T426" s="356" t="n"/>
      <c r="U426" s="356" t="n"/>
      <c r="V426" s="356" t="n"/>
      <c r="W426" s="356" t="n"/>
      <c r="X426" s="356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71" t="n"/>
      <c r="C434" s="366" t="n"/>
      <c r="D434" s="386" t="inlineStr">
        <is>
          <t>Meal</t>
        </is>
      </c>
      <c r="E434" s="370" t="n"/>
      <c r="F434" s="387" t="n"/>
      <c r="G434" s="366" t="n"/>
      <c r="H434" s="366" t="n"/>
      <c r="I434" s="354" t="n"/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6" t="n"/>
      <c r="S434" s="356" t="n"/>
      <c r="T434" s="356" t="n"/>
      <c r="U434" s="356" t="n"/>
      <c r="V434" s="356" t="n"/>
      <c r="W434" s="356" t="n"/>
      <c r="X434" s="356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71" t="n"/>
      <c r="C436" s="366" t="n"/>
      <c r="D436" s="349" t="inlineStr">
        <is>
          <t>Medical</t>
        </is>
      </c>
      <c r="E436" s="373" t="n"/>
      <c r="F436" s="387" t="n"/>
      <c r="G436" s="366" t="n"/>
      <c r="H436" s="366" t="n"/>
      <c r="I436" s="354" t="n"/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6" t="n"/>
      <c r="S436" s="356" t="n"/>
      <c r="T436" s="356" t="n"/>
      <c r="U436" s="356" t="n"/>
      <c r="V436" s="356" t="n"/>
      <c r="W436" s="356" t="n"/>
      <c r="X436" s="356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47" t="n"/>
      <c r="C442" s="366" t="n"/>
      <c r="D442" s="349" t="inlineStr">
        <is>
          <t>Transportation</t>
        </is>
      </c>
      <c r="E442" s="350" t="n"/>
      <c r="F442" s="387" t="n"/>
      <c r="G442" s="366" t="n"/>
      <c r="H442" s="366" t="n"/>
      <c r="I442" s="354" t="n"/>
      <c r="J442" s="354" t="n"/>
      <c r="K442" s="354" t="n"/>
      <c r="L442" s="354" t="n"/>
      <c r="M442" s="355" t="n"/>
      <c r="N442" s="354" t="n"/>
      <c r="O442" s="354" t="n"/>
      <c r="P442" s="354" t="n"/>
      <c r="Q442" s="354" t="n"/>
      <c r="R442" s="356" t="n"/>
      <c r="S442" s="356" t="n"/>
      <c r="T442" s="356" t="n"/>
      <c r="U442" s="356" t="n"/>
      <c r="V442" s="356" t="n"/>
      <c r="W442" s="356" t="n"/>
      <c r="X442" s="356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2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90" t="n"/>
      <c r="C451" s="391" t="n"/>
      <c r="D451" s="392" t="n"/>
      <c r="E451" s="392" t="n"/>
      <c r="F451" s="393" t="n"/>
      <c r="G451" s="391" t="n"/>
      <c r="H451" s="391" t="n"/>
      <c r="I451" s="379" t="n"/>
      <c r="J451" s="379" t="n"/>
      <c r="K451" s="379" t="n"/>
      <c r="L451" s="379" t="n"/>
      <c r="M451" s="379" t="n"/>
      <c r="N451" s="379" t="n"/>
      <c r="O451" s="379" t="n"/>
      <c r="P451" s="379" t="n"/>
      <c r="Q451" s="379" t="n"/>
      <c r="R451" s="365" t="n"/>
      <c r="S451" s="365" t="n"/>
      <c r="T451" s="365" t="n"/>
      <c r="U451" s="365" t="n"/>
      <c r="V451" s="365" t="n"/>
      <c r="W451" s="365" t="n"/>
      <c r="X451" s="365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23" t="n"/>
      <c r="C454" s="391" t="n"/>
      <c r="D454" s="424" t="n"/>
      <c r="E454" s="424" t="n"/>
      <c r="F454" s="393" t="n"/>
      <c r="G454" s="391" t="n"/>
      <c r="H454" s="391" t="n"/>
      <c r="I454" s="378" t="n"/>
      <c r="J454" s="379" t="n"/>
      <c r="K454" s="379" t="n"/>
      <c r="L454" s="379" t="n"/>
      <c r="M454" s="379" t="n"/>
      <c r="N454" s="379" t="n"/>
      <c r="O454" s="379" t="n"/>
      <c r="P454" s="379" t="n"/>
      <c r="Q454" s="379" t="n"/>
      <c r="R454" s="365" t="n"/>
      <c r="S454" s="365" t="n"/>
      <c r="T454" s="365" t="n"/>
      <c r="U454" s="365" t="n"/>
      <c r="V454" s="365" t="n"/>
      <c r="W454" s="365" t="n"/>
      <c r="X454" s="365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80" t="n"/>
      <c r="H455" s="380" t="n"/>
      <c r="I455" s="382" t="n"/>
      <c r="J455" s="382" t="n"/>
      <c r="K455" s="382" t="n"/>
      <c r="L455" s="382" t="n"/>
      <c r="M455" s="382" t="n"/>
      <c r="N455" s="382" t="n"/>
      <c r="O455" s="382" t="n"/>
      <c r="P455" s="382" t="n"/>
      <c r="Q455" s="382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47" t="n"/>
      <c r="C456" s="366" t="n"/>
      <c r="D456" s="386" t="inlineStr">
        <is>
          <t>Accommodation</t>
        </is>
      </c>
      <c r="E456" s="368" t="n"/>
      <c r="F456" s="387" t="n"/>
      <c r="G456" s="366" t="n"/>
      <c r="H456" s="366" t="n"/>
      <c r="I456" s="354" t="n"/>
      <c r="J456" s="354" t="n"/>
      <c r="K456" s="354" t="n"/>
      <c r="L456" s="354" t="n"/>
      <c r="M456" s="354" t="n"/>
      <c r="N456" s="354" t="n"/>
      <c r="O456" s="354" t="n"/>
      <c r="P456" s="354" t="n"/>
      <c r="Q456" s="354" t="n"/>
      <c r="R456" s="356" t="n"/>
      <c r="S456" s="356" t="n"/>
      <c r="T456" s="356" t="n"/>
      <c r="U456" s="356" t="n"/>
      <c r="V456" s="356" t="n"/>
      <c r="W456" s="356" t="n"/>
      <c r="X456" s="356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71" t="n"/>
      <c r="C460" s="366" t="n"/>
      <c r="D460" s="349" t="inlineStr">
        <is>
          <t>Allowance</t>
        </is>
      </c>
      <c r="E460" s="373" t="n"/>
      <c r="F460" s="387" t="n"/>
      <c r="G460" s="366" t="n"/>
      <c r="H460" s="366" t="n"/>
      <c r="I460" s="354" t="n"/>
      <c r="J460" s="354" t="n"/>
      <c r="K460" s="354" t="n"/>
      <c r="L460" s="354" t="n"/>
      <c r="M460" s="353" t="n"/>
      <c r="N460" s="353" t="n"/>
      <c r="O460" s="354" t="n"/>
      <c r="P460" s="354" t="n"/>
      <c r="Q460" s="354" t="n"/>
      <c r="R460" s="356" t="n"/>
      <c r="S460" s="356" t="n"/>
      <c r="T460" s="356" t="n"/>
      <c r="U460" s="356" t="n"/>
      <c r="V460" s="356" t="n"/>
      <c r="W460" s="356" t="n"/>
      <c r="X460" s="356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71" t="n"/>
      <c r="C463" s="366" t="n"/>
      <c r="D463" s="349" t="inlineStr">
        <is>
          <t>Logistic</t>
        </is>
      </c>
      <c r="E463" s="373" t="n"/>
      <c r="F463" s="387" t="n"/>
      <c r="G463" s="366" t="n"/>
      <c r="H463" s="366" t="n"/>
      <c r="I463" s="354" t="n"/>
      <c r="J463" s="354" t="n"/>
      <c r="K463" s="354" t="n"/>
      <c r="L463" s="354" t="n"/>
      <c r="M463" s="355" t="n"/>
      <c r="N463" s="354" t="n"/>
      <c r="O463" s="354" t="n"/>
      <c r="P463" s="354" t="n"/>
      <c r="Q463" s="354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71" t="n"/>
      <c r="C476" s="366" t="n"/>
      <c r="D476" s="349" t="inlineStr">
        <is>
          <t>Meal</t>
        </is>
      </c>
      <c r="E476" s="373" t="n"/>
      <c r="F476" s="387" t="n"/>
      <c r="G476" s="366" t="n"/>
      <c r="H476" s="366" t="n"/>
      <c r="I476" s="354" t="n"/>
      <c r="J476" s="354" t="n"/>
      <c r="K476" s="354" t="n"/>
      <c r="L476" s="354" t="n"/>
      <c r="M476" s="353" t="n"/>
      <c r="N476" s="354" t="n"/>
      <c r="O476" s="354" t="n"/>
      <c r="P476" s="354" t="n"/>
      <c r="Q476" s="354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71" t="n"/>
      <c r="C482" s="366" t="n"/>
      <c r="D482" s="349" t="inlineStr">
        <is>
          <t>Transportation</t>
        </is>
      </c>
      <c r="E482" s="373" t="n"/>
      <c r="F482" s="387" t="n"/>
      <c r="G482" s="366" t="n"/>
      <c r="H482" s="366" t="n"/>
      <c r="I482" s="354" t="n"/>
      <c r="J482" s="354" t="n"/>
      <c r="K482" s="354" t="n"/>
      <c r="L482" s="354" t="n"/>
      <c r="M482" s="353" t="n"/>
      <c r="N482" s="354" t="n"/>
      <c r="O482" s="354" t="n"/>
      <c r="P482" s="354" t="n"/>
      <c r="Q482" s="354" t="n"/>
      <c r="R482" s="356" t="n"/>
      <c r="S482" s="356" t="n"/>
      <c r="T482" s="356" t="n"/>
      <c r="U482" s="356" t="n"/>
      <c r="V482" s="356" t="n"/>
      <c r="W482" s="356" t="n"/>
      <c r="X482" s="356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90" t="n"/>
      <c r="C484" s="391" t="n"/>
      <c r="D484" s="392" t="n"/>
      <c r="E484" s="392" t="n"/>
      <c r="F484" s="393" t="n"/>
      <c r="G484" s="391" t="n"/>
      <c r="H484" s="391" t="n"/>
      <c r="I484" s="379" t="n"/>
      <c r="J484" s="379" t="n"/>
      <c r="K484" s="379" t="n"/>
      <c r="L484" s="379" t="n"/>
      <c r="M484" s="379" t="n"/>
      <c r="N484" s="379" t="n"/>
      <c r="O484" s="379" t="n"/>
      <c r="P484" s="379" t="n"/>
      <c r="Q484" s="379" t="n"/>
      <c r="R484" s="365" t="n"/>
      <c r="S484" s="365" t="n"/>
      <c r="T484" s="365" t="n"/>
      <c r="U484" s="365" t="n"/>
      <c r="V484" s="365" t="n"/>
      <c r="W484" s="365" t="n"/>
      <c r="X484" s="365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80" t="n"/>
      <c r="H486" s="380" t="n"/>
      <c r="I486" s="382" t="n"/>
      <c r="J486" s="382" t="n"/>
      <c r="K486" s="382" t="n"/>
      <c r="L486" s="382" t="n"/>
      <c r="M486" s="382" t="n"/>
      <c r="N486" s="382" t="n"/>
      <c r="O486" s="382" t="n"/>
      <c r="P486" s="382" t="n"/>
      <c r="Q486" s="382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71" t="n"/>
      <c r="C487" s="366" t="n"/>
      <c r="D487" s="372" t="inlineStr">
        <is>
          <t>Accommodation</t>
        </is>
      </c>
      <c r="E487" s="373" t="n"/>
      <c r="F487" s="369" t="n"/>
      <c r="G487" s="366" t="n"/>
      <c r="H487" s="366" t="n"/>
      <c r="I487" s="354" t="n"/>
      <c r="J487" s="354" t="n"/>
      <c r="K487" s="354" t="n"/>
      <c r="L487" s="354" t="n"/>
      <c r="M487" s="354" t="n"/>
      <c r="N487" s="354" t="n"/>
      <c r="O487" s="354" t="n"/>
      <c r="P487" s="354" t="n"/>
      <c r="Q487" s="354" t="n"/>
      <c r="R487" s="356" t="n"/>
      <c r="S487" s="356" t="n"/>
      <c r="T487" s="356" t="n"/>
      <c r="U487" s="356" t="n"/>
      <c r="V487" s="356" t="n"/>
      <c r="W487" s="356" t="n"/>
      <c r="X487" s="356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71" t="n"/>
      <c r="C490" s="366" t="n"/>
      <c r="D490" s="372" t="inlineStr">
        <is>
          <t>Allowance</t>
        </is>
      </c>
      <c r="E490" s="373" t="n"/>
      <c r="F490" s="369" t="n"/>
      <c r="G490" s="366" t="n"/>
      <c r="H490" s="366" t="n"/>
      <c r="I490" s="354" t="n"/>
      <c r="J490" s="354" t="n"/>
      <c r="K490" s="354" t="n"/>
      <c r="L490" s="354" t="n"/>
      <c r="M490" s="353" t="n"/>
      <c r="N490" s="354" t="n"/>
      <c r="O490" s="354" t="n"/>
      <c r="P490" s="354" t="n"/>
      <c r="Q490" s="354" t="n"/>
      <c r="R490" s="356" t="n"/>
      <c r="S490" s="356" t="n"/>
      <c r="T490" s="356" t="n"/>
      <c r="U490" s="356" t="n"/>
      <c r="V490" s="356" t="n"/>
      <c r="W490" s="356" t="n"/>
      <c r="X490" s="356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71" t="n"/>
      <c r="C494" s="366" t="n"/>
      <c r="D494" s="372" t="inlineStr">
        <is>
          <t>Meal</t>
        </is>
      </c>
      <c r="E494" s="373" t="n"/>
      <c r="F494" s="369" t="n"/>
      <c r="G494" s="366" t="n"/>
      <c r="H494" s="366" t="n"/>
      <c r="I494" s="354" t="n"/>
      <c r="J494" s="354" t="n"/>
      <c r="K494" s="354" t="n"/>
      <c r="L494" s="354" t="n"/>
      <c r="M494" s="353" t="n"/>
      <c r="N494" s="354" t="n"/>
      <c r="O494" s="354" t="n"/>
      <c r="P494" s="354" t="n"/>
      <c r="Q494" s="354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71" t="n"/>
      <c r="C496" s="409" t="n"/>
      <c r="D496" s="372" t="inlineStr">
        <is>
          <t>Operation</t>
        </is>
      </c>
      <c r="E496" s="373" t="n"/>
      <c r="F496" s="369" t="n"/>
      <c r="G496" s="366" t="n"/>
      <c r="H496" s="366" t="n"/>
      <c r="I496" s="354" t="n"/>
      <c r="J496" s="354" t="n"/>
      <c r="K496" s="354" t="n"/>
      <c r="L496" s="354" t="n"/>
      <c r="M496" s="353" t="n"/>
      <c r="N496" s="354" t="n"/>
      <c r="O496" s="354" t="n"/>
      <c r="P496" s="354" t="n"/>
      <c r="Q496" s="354" t="n"/>
      <c r="R496" s="356" t="n"/>
      <c r="S496" s="356" t="n"/>
      <c r="T496" s="356" t="n"/>
      <c r="U496" s="356" t="n"/>
      <c r="V496" s="356" t="n"/>
      <c r="W496" s="356" t="n"/>
      <c r="X496" s="356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71" t="n"/>
      <c r="C498" s="409" t="n"/>
      <c r="D498" s="372" t="inlineStr">
        <is>
          <t>Transportation</t>
        </is>
      </c>
      <c r="E498" s="373" t="n"/>
      <c r="F498" s="369" t="n"/>
      <c r="G498" s="366" t="n"/>
      <c r="H498" s="366" t="n"/>
      <c r="I498" s="354" t="n"/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6" t="n"/>
      <c r="S498" s="356" t="n"/>
      <c r="T498" s="356" t="n"/>
      <c r="U498" s="356" t="n"/>
      <c r="V498" s="356" t="n"/>
      <c r="W498" s="356" t="n"/>
      <c r="X498" s="356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74" t="n"/>
      <c r="C500" s="410" t="n"/>
      <c r="D500" s="376" t="n"/>
      <c r="E500" s="376" t="n"/>
      <c r="F500" s="377" t="n"/>
      <c r="G500" s="375" t="n"/>
      <c r="H500" s="375" t="n"/>
      <c r="I500" s="379" t="n"/>
      <c r="J500" s="379" t="n"/>
      <c r="K500" s="379" t="n"/>
      <c r="L500" s="379" t="n"/>
      <c r="M500" s="379" t="n"/>
      <c r="N500" s="379" t="n"/>
      <c r="O500" s="379" t="n"/>
      <c r="P500" s="379" t="n"/>
      <c r="Q500" s="379" t="n"/>
      <c r="R500" s="365" t="n"/>
      <c r="S500" s="365" t="n"/>
      <c r="T500" s="365" t="n"/>
      <c r="U500" s="365" t="n"/>
      <c r="V500" s="365" t="n"/>
      <c r="W500" s="365" t="n"/>
      <c r="X500" s="365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80" t="n"/>
      <c r="H502" s="380" t="n"/>
      <c r="I502" s="382" t="n"/>
      <c r="J502" s="382" t="n"/>
      <c r="K502" s="382" t="n"/>
      <c r="L502" s="382" t="n"/>
      <c r="M502" s="382" t="n"/>
      <c r="N502" s="381" t="n"/>
      <c r="O502" s="382" t="n"/>
      <c r="P502" s="382" t="n"/>
      <c r="Q502" s="382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71" t="n"/>
      <c r="C503" s="366" t="n"/>
      <c r="D503" s="349" t="inlineStr">
        <is>
          <t>Allowance</t>
        </is>
      </c>
      <c r="E503" s="403" t="n"/>
      <c r="F503" s="387" t="n"/>
      <c r="G503" s="366" t="n"/>
      <c r="H503" s="366" t="n"/>
      <c r="I503" s="425" t="n"/>
      <c r="J503" s="425" t="n"/>
      <c r="K503" s="425" t="n"/>
      <c r="L503" s="425" t="n"/>
      <c r="M503" s="425" t="n"/>
      <c r="N503" s="425" t="n"/>
      <c r="O503" s="425" t="n"/>
      <c r="P503" s="425" t="n"/>
      <c r="Q503" s="425" t="n"/>
      <c r="R503" s="356" t="n"/>
      <c r="S503" s="356" t="n"/>
      <c r="T503" s="356" t="n"/>
      <c r="U503" s="356" t="n"/>
      <c r="V503" s="356" t="n"/>
      <c r="W503" s="356" t="n"/>
      <c r="X503" s="356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90" t="n"/>
      <c r="C506" s="391" t="n"/>
      <c r="D506" s="404" t="n"/>
      <c r="E506" s="404" t="n"/>
      <c r="F506" s="393" t="n"/>
      <c r="G506" s="391" t="n"/>
      <c r="H506" s="391" t="n"/>
      <c r="I506" s="379" t="n"/>
      <c r="J506" s="379" t="n"/>
      <c r="K506" s="379" t="n"/>
      <c r="L506" s="379" t="n"/>
      <c r="M506" s="379" t="n"/>
      <c r="N506" s="400" t="n"/>
      <c r="O506" s="379" t="n"/>
      <c r="P506" s="379" t="n"/>
      <c r="Q506" s="379" t="n"/>
      <c r="R506" s="365" t="n"/>
      <c r="S506" s="365" t="n"/>
      <c r="T506" s="365" t="n"/>
      <c r="U506" s="365" t="n"/>
      <c r="V506" s="365" t="n"/>
      <c r="W506" s="365" t="n"/>
      <c r="X506" s="365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80" t="n"/>
      <c r="H508" s="380" t="n"/>
      <c r="I508" s="426" t="n"/>
      <c r="J508" s="382" t="n"/>
      <c r="K508" s="382" t="n"/>
      <c r="L508" s="382" t="n"/>
      <c r="M508" s="382" t="n"/>
      <c r="N508" s="382" t="n"/>
      <c r="O508" s="382" t="n"/>
      <c r="P508" s="382" t="n"/>
      <c r="Q508" s="382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71" t="n"/>
      <c r="C509" s="366" t="n"/>
      <c r="D509" s="372" t="inlineStr">
        <is>
          <t>Accommodation</t>
        </is>
      </c>
      <c r="E509" s="412" t="n"/>
      <c r="F509" s="369" t="n"/>
      <c r="G509" s="366" t="n"/>
      <c r="H509" s="366" t="n"/>
      <c r="I509" s="353" t="n"/>
      <c r="J509" s="354" t="n"/>
      <c r="K509" s="354" t="n"/>
      <c r="L509" s="354" t="n"/>
      <c r="M509" s="354" t="n"/>
      <c r="N509" s="354" t="n"/>
      <c r="O509" s="354" t="n"/>
      <c r="P509" s="354" t="n"/>
      <c r="Q509" s="354" t="n"/>
      <c r="R509" s="356" t="n"/>
      <c r="S509" s="356" t="n"/>
      <c r="T509" s="356" t="n"/>
      <c r="U509" s="356" t="n"/>
      <c r="V509" s="356" t="n"/>
      <c r="W509" s="356" t="n"/>
      <c r="X509" s="356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9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71" t="n"/>
      <c r="C512" s="366" t="n"/>
      <c r="D512" s="372" t="inlineStr">
        <is>
          <t>Allowance</t>
        </is>
      </c>
      <c r="E512" s="412" t="n"/>
      <c r="F512" s="369" t="n"/>
      <c r="G512" s="366" t="n"/>
      <c r="H512" s="366" t="n"/>
      <c r="I512" s="354" t="n"/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6" t="n"/>
      <c r="S512" s="356" t="n"/>
      <c r="T512" s="356" t="n"/>
      <c r="U512" s="356" t="n"/>
      <c r="V512" s="356" t="n"/>
      <c r="W512" s="356" t="n"/>
      <c r="X512" s="356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71" t="n"/>
      <c r="C520" s="409" t="n"/>
      <c r="D520" s="372" t="inlineStr">
        <is>
          <t>Transportation</t>
        </is>
      </c>
      <c r="E520" s="412" t="n"/>
      <c r="F520" s="369" t="n"/>
      <c r="G520" s="366" t="n"/>
      <c r="H520" s="366" t="n"/>
      <c r="I520" s="354" t="n"/>
      <c r="J520" s="354" t="n"/>
      <c r="K520" s="354" t="n"/>
      <c r="L520" s="354" t="n"/>
      <c r="M520" s="354" t="n"/>
      <c r="N520" s="354" t="n"/>
      <c r="O520" s="354" t="n"/>
      <c r="P520" s="354" t="n"/>
      <c r="Q520" s="354" t="n"/>
      <c r="R520" s="356" t="n"/>
      <c r="S520" s="356" t="n"/>
      <c r="T520" s="356" t="n"/>
      <c r="U520" s="356" t="n"/>
      <c r="V520" s="356" t="n"/>
      <c r="W520" s="356" t="n"/>
      <c r="X520" s="356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80" t="n"/>
      <c r="H523" s="380" t="n"/>
      <c r="I523" s="426" t="n"/>
      <c r="J523" s="382" t="n"/>
      <c r="K523" s="382" t="n"/>
      <c r="L523" s="382" t="n"/>
      <c r="M523" s="382" t="n"/>
      <c r="N523" s="382" t="n"/>
      <c r="O523" s="382" t="n"/>
      <c r="P523" s="382" t="n"/>
      <c r="Q523" s="382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71" t="n"/>
      <c r="C524" s="366" t="n"/>
      <c r="D524" s="386" t="inlineStr">
        <is>
          <t>Allowance</t>
        </is>
      </c>
      <c r="E524" s="370" t="n"/>
      <c r="F524" s="387" t="n"/>
      <c r="G524" s="396" t="n"/>
      <c r="H524" s="427" t="n"/>
      <c r="I524" s="353" t="n"/>
      <c r="J524" s="354" t="n"/>
      <c r="K524" s="354" t="n"/>
      <c r="L524" s="354" t="n"/>
      <c r="M524" s="354" t="n"/>
      <c r="N524" s="354" t="n"/>
      <c r="O524" s="354" t="n"/>
      <c r="P524" s="354" t="n"/>
      <c r="Q524" s="354" t="n"/>
      <c r="R524" s="356" t="n"/>
      <c r="S524" s="356" t="n"/>
      <c r="T524" s="356" t="n"/>
      <c r="U524" s="356" t="n"/>
      <c r="V524" s="356" t="n"/>
      <c r="W524" s="356" t="n"/>
      <c r="X524" s="356" t="n"/>
    </row>
    <row r="525" ht="15.5" customHeight="1" s="297">
      <c r="B525" s="388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2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8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2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2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71" t="n"/>
      <c r="C528" s="366" t="n"/>
      <c r="D528" s="349" t="inlineStr">
        <is>
          <t>Laundry</t>
        </is>
      </c>
      <c r="E528" s="373" t="n"/>
      <c r="F528" s="387" t="n"/>
      <c r="G528" s="396" t="n"/>
      <c r="H528" s="427" t="n"/>
      <c r="I528" s="355" t="n"/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6" t="n"/>
      <c r="S528" s="356" t="n"/>
      <c r="T528" s="356" t="n"/>
      <c r="U528" s="356" t="n"/>
      <c r="V528" s="356" t="n"/>
      <c r="W528" s="356" t="n"/>
      <c r="X528" s="356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28" t="n">
        <v>1</v>
      </c>
      <c r="I529" s="389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71" t="n"/>
      <c r="C530" s="366" t="n"/>
      <c r="D530" s="349" t="inlineStr">
        <is>
          <t>Transportation</t>
        </is>
      </c>
      <c r="E530" s="373" t="n"/>
      <c r="F530" s="387" t="n"/>
      <c r="G530" s="396" t="n"/>
      <c r="H530" s="427" t="n"/>
      <c r="I530" s="354" t="n"/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6" t="n"/>
      <c r="S530" s="356" t="n"/>
      <c r="T530" s="356" t="n"/>
      <c r="U530" s="356" t="n"/>
      <c r="V530" s="356" t="n"/>
      <c r="W530" s="356" t="n"/>
      <c r="X530" s="356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28" t="n">
        <v>1</v>
      </c>
      <c r="I531" s="389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90" t="n"/>
      <c r="C532" s="391" t="n"/>
      <c r="D532" s="392" t="n"/>
      <c r="E532" s="392" t="n"/>
      <c r="F532" s="393" t="n"/>
      <c r="G532" s="429" t="n"/>
      <c r="H532" s="430" t="n"/>
      <c r="I532" s="379" t="n"/>
      <c r="J532" s="379" t="n"/>
      <c r="K532" s="379" t="n"/>
      <c r="L532" s="379" t="n"/>
      <c r="M532" s="379" t="n"/>
      <c r="N532" s="379" t="n"/>
      <c r="O532" s="379" t="n"/>
      <c r="P532" s="379" t="n"/>
      <c r="Q532" s="379" t="n"/>
      <c r="R532" s="365" t="n"/>
      <c r="S532" s="365" t="n"/>
      <c r="T532" s="365" t="n"/>
      <c r="U532" s="365" t="n"/>
      <c r="V532" s="365" t="n"/>
      <c r="W532" s="365" t="n"/>
      <c r="X532" s="365" t="n"/>
    </row>
    <row r="533" ht="15.5" customHeight="1" s="297">
      <c r="B533" s="333" t="n">
        <v>45561</v>
      </c>
      <c r="C533" s="314" t="n">
        <v>6</v>
      </c>
      <c r="D533" s="402" t="inlineStr">
        <is>
          <t>Taxi+Tol Gambir - Serpong</t>
        </is>
      </c>
      <c r="E533" s="402" t="n"/>
      <c r="F533" s="323" t="n">
        <v>240000</v>
      </c>
      <c r="G533" s="316" t="inlineStr">
        <is>
          <t>IDR</t>
        </is>
      </c>
      <c r="H533" s="428" t="n">
        <v>1</v>
      </c>
      <c r="I533" s="389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80" t="n"/>
      <c r="H534" s="380" t="n"/>
      <c r="I534" s="381" t="n"/>
      <c r="J534" s="382" t="n"/>
      <c r="K534" s="382" t="n"/>
      <c r="L534" s="382" t="n"/>
      <c r="M534" s="382" t="n"/>
      <c r="N534" s="382" t="n"/>
      <c r="O534" s="382" t="n"/>
      <c r="P534" s="382" t="n"/>
      <c r="Q534" s="382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71" t="n"/>
      <c r="C535" s="366" t="n"/>
      <c r="D535" s="372" t="inlineStr">
        <is>
          <t>Accommodation</t>
        </is>
      </c>
      <c r="E535" s="373" t="n"/>
      <c r="F535" s="369" t="n"/>
      <c r="G535" s="366" t="n"/>
      <c r="H535" s="366" t="n"/>
      <c r="I535" s="353" t="n"/>
      <c r="J535" s="354" t="n"/>
      <c r="K535" s="354" t="n"/>
      <c r="L535" s="354" t="n"/>
      <c r="M535" s="354" t="n"/>
      <c r="N535" s="354" t="n"/>
      <c r="O535" s="354" t="n"/>
      <c r="P535" s="354" t="n"/>
      <c r="Q535" s="354" t="n"/>
      <c r="R535" s="356" t="n"/>
      <c r="S535" s="356" t="n"/>
      <c r="T535" s="356" t="n"/>
      <c r="U535" s="356" t="n"/>
      <c r="V535" s="356" t="n"/>
      <c r="W535" s="356" t="n"/>
      <c r="X535" s="356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71" t="n"/>
      <c r="C538" s="366" t="n"/>
      <c r="D538" s="372" t="inlineStr">
        <is>
          <t>Allowance</t>
        </is>
      </c>
      <c r="E538" s="373" t="n"/>
      <c r="F538" s="369" t="n"/>
      <c r="G538" s="366" t="n"/>
      <c r="H538" s="366" t="n"/>
      <c r="I538" s="353" t="n"/>
      <c r="J538" s="354" t="n"/>
      <c r="K538" s="354" t="n"/>
      <c r="L538" s="354" t="n"/>
      <c r="M538" s="353" t="n"/>
      <c r="N538" s="354" t="n"/>
      <c r="O538" s="354" t="n"/>
      <c r="P538" s="354" t="n"/>
      <c r="Q538" s="354" t="n"/>
      <c r="R538" s="356" t="n"/>
      <c r="S538" s="356" t="n"/>
      <c r="T538" s="356" t="n"/>
      <c r="U538" s="356" t="n"/>
      <c r="V538" s="356" t="n"/>
      <c r="W538" s="356" t="n"/>
      <c r="X538" s="356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71" t="n"/>
      <c r="C547" s="366" t="n"/>
      <c r="D547" s="372" t="inlineStr">
        <is>
          <t>Operation</t>
        </is>
      </c>
      <c r="E547" s="373" t="n"/>
      <c r="F547" s="369" t="n"/>
      <c r="G547" s="366" t="n"/>
      <c r="H547" s="366" t="n"/>
      <c r="I547" s="355" t="n"/>
      <c r="J547" s="354" t="n"/>
      <c r="K547" s="354" t="n"/>
      <c r="L547" s="354" t="n"/>
      <c r="M547" s="354" t="n"/>
      <c r="N547" s="354" t="n"/>
      <c r="O547" s="354" t="n"/>
      <c r="P547" s="354" t="n"/>
      <c r="Q547" s="354" t="n"/>
      <c r="R547" s="356" t="n"/>
      <c r="S547" s="356" t="n"/>
      <c r="T547" s="356" t="n"/>
      <c r="U547" s="356" t="n"/>
      <c r="V547" s="356" t="n"/>
      <c r="W547" s="356" t="n"/>
      <c r="X547" s="356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71" t="n"/>
      <c r="C559" s="409" t="n"/>
      <c r="D559" s="372" t="inlineStr">
        <is>
          <t>Transportation</t>
        </is>
      </c>
      <c r="E559" s="373" t="n"/>
      <c r="F559" s="369" t="n"/>
      <c r="G559" s="366" t="n"/>
      <c r="H559" s="366" t="n"/>
      <c r="I559" s="354" t="n"/>
      <c r="J559" s="354" t="n"/>
      <c r="K559" s="354" t="n"/>
      <c r="L559" s="354" t="n"/>
      <c r="M559" s="353" t="n"/>
      <c r="N559" s="354" t="n"/>
      <c r="O559" s="354" t="n"/>
      <c r="P559" s="354" t="n"/>
      <c r="Q559" s="354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33" t="n">
        <v>45563</v>
      </c>
      <c r="C560" s="406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80" t="n"/>
      <c r="H562" s="380" t="n"/>
      <c r="I562" s="382" t="n"/>
      <c r="J562" s="382" t="n"/>
      <c r="K562" s="382" t="n"/>
      <c r="L562" s="382" t="n"/>
      <c r="M562" s="382" t="n"/>
      <c r="N562" s="382" t="n"/>
      <c r="O562" s="382" t="n"/>
      <c r="P562" s="382" t="n"/>
      <c r="Q562" s="382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47" t="n"/>
      <c r="C563" s="366" t="n"/>
      <c r="D563" s="386" t="inlineStr">
        <is>
          <t>Accommodation</t>
        </is>
      </c>
      <c r="E563" s="370" t="n"/>
      <c r="F563" s="387" t="n"/>
      <c r="G563" s="366" t="n"/>
      <c r="H563" s="366" t="n"/>
      <c r="I563" s="354" t="n"/>
      <c r="J563" s="354" t="n"/>
      <c r="K563" s="354" t="n"/>
      <c r="L563" s="354" t="n"/>
      <c r="M563" s="354" t="n"/>
      <c r="N563" s="354" t="n"/>
      <c r="O563" s="354" t="n"/>
      <c r="P563" s="354" t="n"/>
      <c r="Q563" s="354" t="n"/>
      <c r="R563" s="356" t="n"/>
      <c r="S563" s="356" t="n"/>
      <c r="T563" s="356" t="n"/>
      <c r="U563" s="356" t="n"/>
      <c r="V563" s="356" t="n"/>
      <c r="W563" s="356" t="n"/>
      <c r="X563" s="356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71" t="n"/>
      <c r="C566" s="366" t="n"/>
      <c r="D566" s="386" t="inlineStr">
        <is>
          <t>Allowance</t>
        </is>
      </c>
      <c r="E566" s="370" t="n"/>
      <c r="F566" s="387" t="n"/>
      <c r="G566" s="366" t="n"/>
      <c r="H566" s="366" t="n"/>
      <c r="I566" s="353" t="n"/>
      <c r="J566" s="354" t="n"/>
      <c r="K566" s="354" t="n"/>
      <c r="L566" s="354" t="n"/>
      <c r="M566" s="354" t="n"/>
      <c r="N566" s="354" t="n"/>
      <c r="O566" s="354" t="n"/>
      <c r="P566" s="354" t="n"/>
      <c r="Q566" s="354" t="n"/>
      <c r="R566" s="356" t="n"/>
      <c r="S566" s="356" t="n"/>
      <c r="T566" s="356" t="n"/>
      <c r="U566" s="356" t="n"/>
      <c r="V566" s="356" t="n"/>
      <c r="W566" s="356" t="n"/>
      <c r="X566" s="356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71" t="n"/>
      <c r="C570" s="366" t="n"/>
      <c r="D570" s="349" t="inlineStr">
        <is>
          <t>Transportation</t>
        </is>
      </c>
      <c r="E570" s="412" t="n"/>
      <c r="F570" s="387" t="n"/>
      <c r="G570" s="366" t="n"/>
      <c r="H570" s="366" t="n"/>
      <c r="I570" s="353" t="n"/>
      <c r="J570" s="354" t="n"/>
      <c r="K570" s="354" t="n"/>
      <c r="L570" s="354" t="n"/>
      <c r="M570" s="354" t="n"/>
      <c r="N570" s="353" t="n"/>
      <c r="O570" s="354" t="n"/>
      <c r="P570" s="354" t="n"/>
      <c r="Q570" s="354" t="n"/>
      <c r="R570" s="356" t="n"/>
      <c r="S570" s="356" t="n"/>
      <c r="T570" s="356" t="n"/>
      <c r="U570" s="356" t="n"/>
      <c r="V570" s="356" t="n"/>
      <c r="W570" s="356" t="n"/>
      <c r="X570" s="356" t="n"/>
    </row>
    <row r="571" hidden="1" ht="15.5" customHeight="1" s="297">
      <c r="B571" s="390" t="n"/>
      <c r="C571" s="391" t="n"/>
      <c r="D571" s="392" t="n"/>
      <c r="E571" s="392" t="n"/>
      <c r="F571" s="393" t="n"/>
      <c r="G571" s="391" t="n"/>
      <c r="H571" s="391" t="n"/>
      <c r="I571" s="400" t="n"/>
      <c r="J571" s="379" t="n"/>
      <c r="K571" s="379" t="n"/>
      <c r="L571" s="379" t="n"/>
      <c r="M571" s="379" t="n"/>
      <c r="N571" s="400" t="n"/>
      <c r="O571" s="379" t="n"/>
      <c r="P571" s="379" t="n"/>
      <c r="Q571" s="379" t="n"/>
      <c r="R571" s="365" t="n"/>
      <c r="S571" s="365" t="n"/>
      <c r="T571" s="365" t="n"/>
      <c r="U571" s="365" t="n"/>
      <c r="V571" s="365" t="n"/>
      <c r="W571" s="365" t="n"/>
      <c r="X571" s="365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90" t="n"/>
      <c r="C573" s="391" t="n"/>
      <c r="D573" s="392" t="n"/>
      <c r="E573" s="392" t="n"/>
      <c r="F573" s="393" t="n"/>
      <c r="G573" s="391" t="n"/>
      <c r="H573" s="391" t="n"/>
      <c r="I573" s="379" t="n"/>
      <c r="J573" s="379" t="n"/>
      <c r="K573" s="379" t="n"/>
      <c r="L573" s="379" t="n"/>
      <c r="M573" s="379" t="n"/>
      <c r="N573" s="379" t="n"/>
      <c r="O573" s="379" t="n"/>
      <c r="P573" s="379" t="n"/>
      <c r="Q573" s="379" t="n"/>
      <c r="R573" s="365" t="n"/>
      <c r="S573" s="365" t="n"/>
      <c r="T573" s="365" t="n"/>
      <c r="U573" s="365" t="n"/>
      <c r="V573" s="365" t="n"/>
      <c r="W573" s="365" t="n"/>
      <c r="X573" s="365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90" t="n"/>
      <c r="C575" s="391" t="n"/>
      <c r="D575" s="392" t="n"/>
      <c r="E575" s="392" t="n"/>
      <c r="F575" s="393" t="n"/>
      <c r="G575" s="391" t="n"/>
      <c r="H575" s="391" t="n"/>
      <c r="I575" s="379" t="n"/>
      <c r="J575" s="379" t="n"/>
      <c r="K575" s="379" t="n"/>
      <c r="L575" s="379" t="n"/>
      <c r="M575" s="379" t="n"/>
      <c r="N575" s="379" t="n"/>
      <c r="O575" s="379" t="n"/>
      <c r="P575" s="379" t="n"/>
      <c r="Q575" s="379" t="n"/>
      <c r="R575" s="365" t="n"/>
      <c r="S575" s="365" t="n"/>
      <c r="T575" s="365" t="n"/>
      <c r="U575" s="365" t="n"/>
      <c r="V575" s="365" t="n"/>
      <c r="W575" s="365" t="n"/>
      <c r="X575" s="365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9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80" t="n"/>
      <c r="H577" s="380" t="n"/>
      <c r="I577" s="382" t="n"/>
      <c r="J577" s="382" t="n"/>
      <c r="K577" s="382" t="n"/>
      <c r="L577" s="382" t="n"/>
      <c r="M577" s="382" t="n"/>
      <c r="N577" s="382" t="n"/>
      <c r="O577" s="382" t="n"/>
      <c r="P577" s="382" t="n"/>
      <c r="Q577" s="382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71" t="n"/>
      <c r="C578" s="366" t="n"/>
      <c r="D578" s="349" t="inlineStr">
        <is>
          <t>Accommodation</t>
        </is>
      </c>
      <c r="E578" s="373" t="n"/>
      <c r="F578" s="387" t="n"/>
      <c r="G578" s="396" t="n"/>
      <c r="H578" s="396" t="n"/>
      <c r="I578" s="354" t="n"/>
      <c r="J578" s="354" t="n"/>
      <c r="K578" s="354" t="n"/>
      <c r="L578" s="354" t="n"/>
      <c r="M578" s="354" t="n"/>
      <c r="N578" s="354" t="n"/>
      <c r="O578" s="354" t="n"/>
      <c r="P578" s="354" t="n"/>
      <c r="Q578" s="354" t="n"/>
      <c r="R578" s="356" t="n"/>
      <c r="S578" s="356" t="n"/>
      <c r="T578" s="356" t="n"/>
      <c r="U578" s="356" t="n"/>
      <c r="V578" s="356" t="n"/>
      <c r="W578" s="356" t="n"/>
      <c r="X578" s="356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9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9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9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9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9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9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9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9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9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9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31" t="n"/>
      <c r="C589" s="431" t="n"/>
      <c r="D589" s="432" t="inlineStr">
        <is>
          <t>Meal</t>
        </is>
      </c>
      <c r="E589" s="433" t="n"/>
      <c r="F589" s="387" t="n"/>
      <c r="G589" s="396" t="n"/>
      <c r="H589" s="396" t="n"/>
      <c r="I589" s="354" t="n"/>
      <c r="J589" s="354" t="n"/>
      <c r="K589" s="354" t="n"/>
      <c r="L589" s="354" t="n"/>
      <c r="M589" s="354" t="n"/>
      <c r="N589" s="354" t="n"/>
      <c r="O589" s="354" t="n"/>
      <c r="P589" s="354" t="n"/>
      <c r="Q589" s="354" t="n"/>
      <c r="R589" s="356" t="n"/>
      <c r="S589" s="356" t="n"/>
      <c r="T589" s="356" t="n"/>
      <c r="U589" s="356" t="n"/>
      <c r="V589" s="356" t="n"/>
      <c r="W589" s="356" t="n"/>
      <c r="X589" s="356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9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9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9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9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71" t="n"/>
      <c r="C594" s="366" t="n"/>
      <c r="D594" s="349" t="inlineStr">
        <is>
          <t>Transportation</t>
        </is>
      </c>
      <c r="E594" s="373" t="n"/>
      <c r="F594" s="387" t="n"/>
      <c r="G594" s="396" t="n"/>
      <c r="H594" s="396" t="n"/>
      <c r="I594" s="354" t="n"/>
      <c r="J594" s="354" t="n"/>
      <c r="K594" s="354" t="n"/>
      <c r="L594" s="354" t="n"/>
      <c r="M594" s="354" t="n"/>
      <c r="N594" s="354" t="n"/>
      <c r="O594" s="354" t="n"/>
      <c r="P594" s="355" t="n"/>
      <c r="Q594" s="354" t="n"/>
      <c r="R594" s="356" t="n"/>
      <c r="S594" s="356" t="n"/>
      <c r="T594" s="356" t="n"/>
      <c r="U594" s="356" t="n"/>
      <c r="V594" s="356" t="n"/>
      <c r="W594" s="356" t="n"/>
      <c r="X594" s="356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9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9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71" t="n"/>
      <c r="C597" s="366" t="n"/>
      <c r="D597" s="349" t="inlineStr">
        <is>
          <t>Trip</t>
        </is>
      </c>
      <c r="E597" s="373" t="n"/>
      <c r="F597" s="387" t="n"/>
      <c r="G597" s="396" t="n"/>
      <c r="H597" s="396" t="n"/>
      <c r="I597" s="354" t="n"/>
      <c r="J597" s="354" t="n"/>
      <c r="K597" s="354" t="n"/>
      <c r="L597" s="354" t="n"/>
      <c r="M597" s="354" t="n"/>
      <c r="N597" s="354" t="n"/>
      <c r="O597" s="354" t="n"/>
      <c r="P597" s="355" t="n"/>
      <c r="Q597" s="354" t="n"/>
      <c r="R597" s="356" t="n"/>
      <c r="S597" s="356" t="n"/>
      <c r="T597" s="356" t="n"/>
      <c r="U597" s="356" t="n"/>
      <c r="V597" s="356" t="n"/>
      <c r="W597" s="356" t="n"/>
      <c r="X597" s="356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9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9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80" t="n"/>
      <c r="H600" s="380" t="n"/>
      <c r="I600" s="382" t="n"/>
      <c r="J600" s="382" t="n"/>
      <c r="K600" s="382" t="n"/>
      <c r="L600" s="382" t="n"/>
      <c r="M600" s="382" t="n"/>
      <c r="N600" s="382" t="n"/>
      <c r="O600" s="382" t="n"/>
      <c r="P600" s="382" t="n"/>
      <c r="Q600" s="382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47" t="n"/>
      <c r="C601" s="366" t="n"/>
      <c r="D601" s="386" t="inlineStr">
        <is>
          <t>Medical</t>
        </is>
      </c>
      <c r="E601" s="368" t="n"/>
      <c r="F601" s="387" t="n"/>
      <c r="G601" s="366" t="n"/>
      <c r="H601" s="366" t="n"/>
      <c r="I601" s="354" t="n"/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6" t="n"/>
      <c r="S601" s="356" t="n"/>
      <c r="T601" s="356" t="n"/>
      <c r="U601" s="356" t="n"/>
      <c r="V601" s="356" t="n"/>
      <c r="W601" s="356" t="n"/>
      <c r="X601" s="356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71" t="n"/>
      <c r="C611" s="366" t="n"/>
      <c r="D611" s="386" t="inlineStr">
        <is>
          <t>Shipping</t>
        </is>
      </c>
      <c r="E611" s="370" t="n"/>
      <c r="F611" s="387" t="n"/>
      <c r="G611" s="366" t="n"/>
      <c r="H611" s="366" t="n"/>
      <c r="I611" s="354" t="n"/>
      <c r="J611" s="354" t="n"/>
      <c r="K611" s="354" t="n"/>
      <c r="L611" s="354" t="n"/>
      <c r="M611" s="354" t="n"/>
      <c r="N611" s="354" t="n"/>
      <c r="O611" s="354" t="n"/>
      <c r="P611" s="354" t="n"/>
      <c r="Q611" s="354" t="n"/>
      <c r="R611" s="356" t="n"/>
      <c r="S611" s="356" t="n"/>
      <c r="T611" s="356" t="n"/>
      <c r="U611" s="356" t="n"/>
      <c r="V611" s="356" t="n"/>
      <c r="W611" s="356" t="n"/>
      <c r="X611" s="356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80" t="n"/>
      <c r="H617" s="380" t="n"/>
      <c r="I617" s="382" t="n"/>
      <c r="J617" s="382" t="n"/>
      <c r="K617" s="382" t="n"/>
      <c r="L617" s="382" t="n"/>
      <c r="M617" s="382" t="n"/>
      <c r="N617" s="382" t="n"/>
      <c r="O617" s="382" t="n"/>
      <c r="P617" s="382" t="n"/>
      <c r="Q617" s="382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71" t="n"/>
      <c r="C618" s="366" t="n"/>
      <c r="D618" s="372" t="inlineStr">
        <is>
          <t>Accommodation</t>
        </is>
      </c>
      <c r="E618" s="373" t="n"/>
      <c r="F618" s="387" t="n"/>
      <c r="G618" s="366" t="n"/>
      <c r="H618" s="366" t="n"/>
      <c r="I618" s="354" t="n"/>
      <c r="J618" s="354" t="n"/>
      <c r="K618" s="354" t="n"/>
      <c r="L618" s="354" t="n"/>
      <c r="M618" s="354" t="n"/>
      <c r="N618" s="354" t="n"/>
      <c r="O618" s="354" t="n"/>
      <c r="P618" s="354" t="n"/>
      <c r="Q618" s="354" t="n"/>
      <c r="R618" s="356" t="n"/>
      <c r="S618" s="356" t="n"/>
      <c r="T618" s="356" t="n"/>
      <c r="U618" s="356" t="n"/>
      <c r="V618" s="356" t="n"/>
      <c r="W618" s="356" t="n"/>
      <c r="X618" s="356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71" t="n"/>
      <c r="C621" s="366" t="n"/>
      <c r="D621" s="372" t="inlineStr">
        <is>
          <t>Allowance</t>
        </is>
      </c>
      <c r="E621" s="373" t="n"/>
      <c r="F621" s="387" t="n"/>
      <c r="G621" s="366" t="n"/>
      <c r="H621" s="366" t="n"/>
      <c r="I621" s="354" t="n"/>
      <c r="J621" s="354" t="n"/>
      <c r="K621" s="354" t="n"/>
      <c r="L621" s="354" t="n"/>
      <c r="M621" s="354" t="n"/>
      <c r="N621" s="354" t="n"/>
      <c r="O621" s="354" t="n"/>
      <c r="P621" s="354" t="n"/>
      <c r="Q621" s="354" t="n"/>
      <c r="R621" s="356" t="n"/>
      <c r="S621" s="356" t="n"/>
      <c r="T621" s="356" t="n"/>
      <c r="U621" s="356" t="n"/>
      <c r="V621" s="356" t="n"/>
      <c r="W621" s="356" t="n"/>
      <c r="X621" s="356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71" t="n"/>
      <c r="C628" s="409" t="n"/>
      <c r="D628" s="372" t="inlineStr">
        <is>
          <t>Transportation</t>
        </is>
      </c>
      <c r="E628" s="373" t="n"/>
      <c r="F628" s="387" t="n"/>
      <c r="G628" s="366" t="n"/>
      <c r="H628" s="366" t="n"/>
      <c r="I628" s="354" t="n"/>
      <c r="J628" s="354" t="n"/>
      <c r="K628" s="354" t="n"/>
      <c r="L628" s="354" t="n"/>
      <c r="M628" s="353" t="n"/>
      <c r="N628" s="354" t="n"/>
      <c r="O628" s="354" t="n"/>
      <c r="P628" s="354" t="n"/>
      <c r="Q628" s="354" t="n"/>
      <c r="R628" s="356" t="n"/>
      <c r="S628" s="356" t="n"/>
      <c r="T628" s="356" t="n"/>
      <c r="U628" s="356" t="n"/>
      <c r="V628" s="356" t="n"/>
      <c r="W628" s="356" t="n"/>
      <c r="X628" s="356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80" t="n"/>
      <c r="H631" s="380" t="n"/>
      <c r="I631" s="382" t="n"/>
      <c r="J631" s="382" t="n"/>
      <c r="K631" s="382" t="n"/>
      <c r="L631" s="382" t="n"/>
      <c r="M631" s="381" t="n"/>
      <c r="N631" s="382" t="n"/>
      <c r="O631" s="382" t="n"/>
      <c r="P631" s="382" t="n"/>
      <c r="Q631" s="382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71" t="n"/>
      <c r="C632" s="366" t="n"/>
      <c r="D632" s="386" t="inlineStr">
        <is>
          <t>Accommodation</t>
        </is>
      </c>
      <c r="E632" s="370" t="n"/>
      <c r="F632" s="387" t="n"/>
      <c r="G632" s="366" t="n"/>
      <c r="H632" s="366" t="n"/>
      <c r="I632" s="354" t="n"/>
      <c r="J632" s="354" t="n"/>
      <c r="K632" s="354" t="n"/>
      <c r="L632" s="354" t="n"/>
      <c r="M632" s="353" t="n"/>
      <c r="N632" s="354" t="n"/>
      <c r="O632" s="354" t="n"/>
      <c r="P632" s="354" t="n"/>
      <c r="Q632" s="354" t="n"/>
      <c r="R632" s="356" t="n"/>
      <c r="S632" s="356" t="n"/>
      <c r="T632" s="356" t="n"/>
      <c r="U632" s="356" t="n"/>
      <c r="V632" s="356" t="n"/>
      <c r="W632" s="356" t="n"/>
      <c r="X632" s="356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71" t="n"/>
      <c r="C635" s="366" t="n"/>
      <c r="D635" s="349" t="inlineStr">
        <is>
          <t>Allowance</t>
        </is>
      </c>
      <c r="E635" s="412" t="n"/>
      <c r="F635" s="387" t="n"/>
      <c r="G635" s="366" t="n"/>
      <c r="H635" s="366" t="n"/>
      <c r="I635" s="354" t="n"/>
      <c r="J635" s="354" t="n"/>
      <c r="K635" s="354" t="n"/>
      <c r="L635" s="354" t="n"/>
      <c r="M635" s="354" t="n"/>
      <c r="N635" s="354" t="n"/>
      <c r="O635" s="354" t="n"/>
      <c r="P635" s="354" t="n"/>
      <c r="Q635" s="354" t="n"/>
      <c r="R635" s="356" t="n"/>
      <c r="S635" s="356" t="n"/>
      <c r="T635" s="356" t="n"/>
      <c r="U635" s="356" t="n"/>
      <c r="V635" s="356" t="n"/>
      <c r="W635" s="356" t="n"/>
      <c r="X635" s="356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71" t="n"/>
      <c r="C637" s="366" t="n"/>
      <c r="D637" s="349" t="inlineStr">
        <is>
          <t>Meal</t>
        </is>
      </c>
      <c r="E637" s="373" t="n"/>
      <c r="F637" s="387" t="n"/>
      <c r="G637" s="366" t="n"/>
      <c r="H637" s="366" t="n"/>
      <c r="I637" s="354" t="n"/>
      <c r="J637" s="354" t="n"/>
      <c r="K637" s="354" t="n"/>
      <c r="L637" s="354" t="n"/>
      <c r="M637" s="353" t="n"/>
      <c r="N637" s="354" t="n"/>
      <c r="O637" s="354" t="n"/>
      <c r="P637" s="354" t="n"/>
      <c r="Q637" s="354" t="n"/>
      <c r="R637" s="356" t="n"/>
      <c r="S637" s="356" t="n"/>
      <c r="T637" s="356" t="n"/>
      <c r="U637" s="356" t="n"/>
      <c r="V637" s="356" t="n"/>
      <c r="W637" s="356" t="n"/>
      <c r="X637" s="356" t="n"/>
    </row>
    <row r="638" ht="15.5" customHeight="1" s="297">
      <c r="B638" s="371" t="n"/>
      <c r="C638" s="366" t="n"/>
      <c r="D638" s="349" t="inlineStr">
        <is>
          <t>Transportation</t>
        </is>
      </c>
      <c r="E638" s="412" t="n"/>
      <c r="F638" s="387" t="n"/>
      <c r="G638" s="366" t="n"/>
      <c r="H638" s="366" t="n"/>
      <c r="I638" s="354" t="n"/>
      <c r="J638" s="354" t="n"/>
      <c r="K638" s="354" t="n"/>
      <c r="L638" s="354" t="n"/>
      <c r="M638" s="355" t="n"/>
      <c r="N638" s="354" t="n"/>
      <c r="O638" s="354" t="n"/>
      <c r="P638" s="354" t="n"/>
      <c r="Q638" s="354" t="n"/>
      <c r="R638" s="356" t="n"/>
      <c r="S638" s="356" t="n"/>
      <c r="T638" s="356" t="n"/>
      <c r="U638" s="356" t="n"/>
      <c r="V638" s="356" t="n"/>
      <c r="W638" s="356" t="n"/>
      <c r="X638" s="356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90" t="n"/>
      <c r="C640" s="391" t="n"/>
      <c r="D640" s="414" t="n"/>
      <c r="E640" s="414" t="n"/>
      <c r="F640" s="393" t="n"/>
      <c r="G640" s="391" t="n"/>
      <c r="H640" s="391" t="n"/>
      <c r="I640" s="379" t="n"/>
      <c r="J640" s="379" t="n"/>
      <c r="K640" s="379" t="n"/>
      <c r="L640" s="379" t="n"/>
      <c r="M640" s="378" t="n"/>
      <c r="N640" s="379" t="n"/>
      <c r="O640" s="379" t="n"/>
      <c r="P640" s="379" t="n"/>
      <c r="Q640" s="379" t="n"/>
      <c r="R640" s="365" t="n"/>
      <c r="S640" s="365" t="n"/>
      <c r="T640" s="365" t="n"/>
      <c r="U640" s="365" t="n"/>
      <c r="V640" s="365" t="n"/>
      <c r="W640" s="365" t="n"/>
      <c r="X640" s="365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90" t="n"/>
      <c r="C642" s="391" t="n"/>
      <c r="D642" s="392" t="n"/>
      <c r="E642" s="392" t="n"/>
      <c r="F642" s="393" t="n"/>
      <c r="G642" s="391" t="n"/>
      <c r="H642" s="391" t="n"/>
      <c r="I642" s="379" t="n"/>
      <c r="J642" s="379" t="n"/>
      <c r="K642" s="379" t="n"/>
      <c r="L642" s="379" t="n"/>
      <c r="M642" s="379" t="n"/>
      <c r="N642" s="379" t="n"/>
      <c r="O642" s="379" t="n"/>
      <c r="P642" s="379" t="n"/>
      <c r="Q642" s="379" t="n"/>
      <c r="R642" s="365" t="n"/>
      <c r="S642" s="365" t="n"/>
      <c r="T642" s="365" t="n"/>
      <c r="U642" s="365" t="n"/>
      <c r="V642" s="365" t="n"/>
      <c r="W642" s="365" t="n"/>
      <c r="X642" s="365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9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80" t="n"/>
      <c r="H644" s="380" t="n"/>
      <c r="I644" s="382" t="n"/>
      <c r="J644" s="382" t="n"/>
      <c r="K644" s="382" t="n"/>
      <c r="L644" s="382" t="n"/>
      <c r="M644" s="382" t="n"/>
      <c r="N644" s="382" t="n"/>
      <c r="O644" s="382" t="n"/>
      <c r="P644" s="382" t="n"/>
      <c r="Q644" s="382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71" t="n"/>
      <c r="C645" s="366" t="n"/>
      <c r="D645" s="372" t="inlineStr">
        <is>
          <t>Training</t>
        </is>
      </c>
      <c r="E645" s="373" t="n"/>
      <c r="F645" s="387" t="n"/>
      <c r="G645" s="366" t="n"/>
      <c r="H645" s="366" t="n"/>
      <c r="I645" s="354" t="n"/>
      <c r="J645" s="354" t="n"/>
      <c r="K645" s="354" t="n"/>
      <c r="L645" s="354" t="n"/>
      <c r="M645" s="354" t="n"/>
      <c r="N645" s="354" t="n"/>
      <c r="O645" s="354" t="n"/>
      <c r="P645" s="354" t="n"/>
      <c r="Q645" s="354" t="n"/>
      <c r="R645" s="356" t="n"/>
      <c r="S645" s="356" t="n"/>
      <c r="T645" s="356" t="n"/>
      <c r="U645" s="356" t="n"/>
      <c r="V645" s="356" t="n"/>
      <c r="W645" s="356" t="n"/>
      <c r="X645" s="356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71" t="n"/>
      <c r="C647" s="366" t="n"/>
      <c r="D647" s="372" t="inlineStr">
        <is>
          <t>Transportation</t>
        </is>
      </c>
      <c r="E647" s="373" t="n"/>
      <c r="F647" s="387" t="n"/>
      <c r="G647" s="366" t="n"/>
      <c r="H647" s="366" t="n"/>
      <c r="I647" s="354" t="n"/>
      <c r="J647" s="354" t="n"/>
      <c r="K647" s="354" t="n"/>
      <c r="L647" s="354" t="n"/>
      <c r="M647" s="354" t="n"/>
      <c r="N647" s="354" t="n"/>
      <c r="O647" s="354" t="n"/>
      <c r="P647" s="354" t="n"/>
      <c r="Q647" s="354" t="n"/>
      <c r="R647" s="356" t="n"/>
      <c r="S647" s="356" t="n"/>
      <c r="T647" s="356" t="n"/>
      <c r="U647" s="356" t="n"/>
      <c r="V647" s="356" t="n"/>
      <c r="W647" s="356" t="n"/>
      <c r="X647" s="356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80" t="n"/>
      <c r="H653" s="380" t="n"/>
      <c r="I653" s="382" t="n"/>
      <c r="J653" s="382" t="n"/>
      <c r="K653" s="382" t="n"/>
      <c r="L653" s="382" t="n"/>
      <c r="M653" s="381" t="n"/>
      <c r="N653" s="382" t="n"/>
      <c r="O653" s="382" t="n"/>
      <c r="P653" s="382" t="n"/>
      <c r="Q653" s="382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34" t="n"/>
      <c r="C654" s="435" t="n"/>
      <c r="D654" s="386" t="inlineStr">
        <is>
          <t>Shipping</t>
        </is>
      </c>
      <c r="E654" s="436" t="n"/>
      <c r="F654" s="437" t="n"/>
      <c r="G654" s="366" t="n"/>
      <c r="H654" s="366" t="n"/>
      <c r="I654" s="354" t="n"/>
      <c r="J654" s="354" t="n"/>
      <c r="K654" s="354" t="n"/>
      <c r="L654" s="354" t="n"/>
      <c r="M654" s="354" t="n"/>
      <c r="N654" s="353" t="n"/>
      <c r="O654" s="354" t="n"/>
      <c r="P654" s="354" t="n"/>
      <c r="Q654" s="354" t="n"/>
      <c r="R654" s="356" t="n"/>
      <c r="S654" s="356" t="n"/>
      <c r="T654" s="356" t="n"/>
      <c r="U654" s="356" t="n"/>
      <c r="V654" s="356" t="n"/>
      <c r="W654" s="356" t="n"/>
      <c r="X654" s="356" t="n"/>
    </row>
    <row r="655" ht="15.5" customHeight="1" s="297">
      <c r="B655" s="438" t="n">
        <v>45572</v>
      </c>
      <c r="C655" s="439" t="n">
        <v>1</v>
      </c>
      <c r="D655" s="440" t="inlineStr">
        <is>
          <t>Materai 6 pcs</t>
        </is>
      </c>
      <c r="E655" s="440" t="n"/>
      <c r="F655" s="441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38" t="n">
        <v>45555</v>
      </c>
      <c r="C656" s="439" t="n">
        <v>2</v>
      </c>
      <c r="D656" s="440" t="inlineStr">
        <is>
          <t>JNE courier</t>
        </is>
      </c>
      <c r="E656" s="440" t="n"/>
      <c r="F656" s="442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43" t="n"/>
      <c r="C657" s="435" t="n"/>
      <c r="D657" s="444" t="inlineStr">
        <is>
          <t>Transportation</t>
        </is>
      </c>
      <c r="E657" s="445" t="n"/>
      <c r="F657" s="446" t="n"/>
      <c r="G657" s="366" t="n"/>
      <c r="H657" s="366" t="n"/>
      <c r="I657" s="353" t="n"/>
      <c r="J657" s="354" t="n"/>
      <c r="K657" s="354" t="n"/>
      <c r="L657" s="354" t="n"/>
      <c r="M657" s="353" t="n"/>
      <c r="N657" s="354" t="n"/>
      <c r="O657" s="354" t="n"/>
      <c r="P657" s="354" t="n"/>
      <c r="Q657" s="354" t="n"/>
      <c r="R657" s="356" t="n"/>
      <c r="S657" s="356" t="n"/>
      <c r="T657" s="356" t="n"/>
      <c r="U657" s="356" t="n"/>
      <c r="V657" s="356" t="n"/>
      <c r="W657" s="356" t="n"/>
      <c r="X657" s="356" t="n"/>
    </row>
    <row r="658" ht="15.5" customHeight="1" s="297">
      <c r="B658" s="438" t="n">
        <v>45560</v>
      </c>
      <c r="C658" s="439" t="n">
        <v>3</v>
      </c>
      <c r="D658" s="440" t="inlineStr">
        <is>
          <t>POS courier</t>
        </is>
      </c>
      <c r="E658" s="440" t="n"/>
      <c r="F658" s="447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38" t="n">
        <v>45574</v>
      </c>
      <c r="C659" s="439" t="n">
        <v>4</v>
      </c>
      <c r="D659" s="440" t="inlineStr">
        <is>
          <t>POS courier</t>
        </is>
      </c>
      <c r="E659" s="440" t="n"/>
      <c r="F659" s="447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38" t="n">
        <v>45579</v>
      </c>
      <c r="C660" s="439" t="n">
        <v>5</v>
      </c>
      <c r="D660" s="440" t="inlineStr">
        <is>
          <t>JNE courier</t>
        </is>
      </c>
      <c r="E660" s="440" t="n"/>
      <c r="F660" s="447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38" t="n">
        <v>45579</v>
      </c>
      <c r="C661" s="439" t="n">
        <v>6</v>
      </c>
      <c r="D661" s="440" t="inlineStr">
        <is>
          <t>Materai 10 pcs</t>
        </is>
      </c>
      <c r="E661" s="440" t="n"/>
      <c r="F661" s="447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38" t="n">
        <v>45582</v>
      </c>
      <c r="C662" s="439" t="n">
        <v>7</v>
      </c>
      <c r="D662" s="440" t="inlineStr">
        <is>
          <t>Materai 5 pcs</t>
        </is>
      </c>
      <c r="E662" s="440" t="n"/>
      <c r="F662" s="447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8" t="n">
        <v>45617</v>
      </c>
      <c r="C663" s="439" t="n">
        <v>8</v>
      </c>
      <c r="D663" s="440" t="inlineStr">
        <is>
          <t>Materai 10 pcs</t>
        </is>
      </c>
      <c r="E663" s="440" t="n"/>
      <c r="F663" s="447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38" t="n">
        <v>45579</v>
      </c>
      <c r="C664" s="439" t="n">
        <v>9</v>
      </c>
      <c r="D664" s="440" t="inlineStr">
        <is>
          <t>GoCar to Elnusa PP</t>
        </is>
      </c>
      <c r="E664" s="440" t="n"/>
      <c r="F664" s="447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38" t="n">
        <v>45579</v>
      </c>
      <c r="C665" s="439" t="n">
        <v>10</v>
      </c>
      <c r="D665" s="440" t="inlineStr">
        <is>
          <t>Tol &amp; parking fee</t>
        </is>
      </c>
      <c r="E665" s="440" t="n"/>
      <c r="F665" s="447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38" t="n">
        <v>45582</v>
      </c>
      <c r="C666" s="439" t="n">
        <v>11</v>
      </c>
      <c r="D666" s="440" t="inlineStr">
        <is>
          <t>GoCar to Elnusa PP</t>
        </is>
      </c>
      <c r="E666" s="440" t="n"/>
      <c r="F666" s="447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38" t="n">
        <v>45582</v>
      </c>
      <c r="C667" s="439" t="n">
        <v>12</v>
      </c>
      <c r="D667" s="440" t="inlineStr">
        <is>
          <t>Tol &amp; parking fee</t>
        </is>
      </c>
      <c r="E667" s="440" t="n"/>
      <c r="F667" s="447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38" t="n">
        <v>45617</v>
      </c>
      <c r="C668" s="439" t="n">
        <v>13</v>
      </c>
      <c r="D668" s="440" t="inlineStr">
        <is>
          <t>GoCar to Elnusa PP</t>
        </is>
      </c>
      <c r="E668" s="440" t="n"/>
      <c r="F668" s="447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48" t="n"/>
      <c r="C669" s="449" t="n"/>
      <c r="D669" s="450" t="n"/>
      <c r="E669" s="450" t="n"/>
      <c r="F669" s="451" t="n"/>
      <c r="G669" s="391" t="n"/>
      <c r="H669" s="391" t="n"/>
      <c r="I669" s="452" t="n"/>
      <c r="J669" s="452" t="n"/>
      <c r="K669" s="452" t="n"/>
      <c r="L669" s="452" t="n"/>
      <c r="M669" s="452" t="n"/>
      <c r="N669" s="452" t="n"/>
      <c r="O669" s="452" t="n"/>
      <c r="P669" s="452" t="n"/>
      <c r="Q669" s="452" t="n"/>
      <c r="R669" s="365" t="n"/>
      <c r="S669" s="365" t="n"/>
      <c r="T669" s="365" t="n"/>
      <c r="U669" s="365" t="n"/>
      <c r="V669" s="365" t="n"/>
      <c r="W669" s="365" t="n"/>
      <c r="X669" s="365" t="n"/>
    </row>
    <row r="670" ht="15.5" customHeight="1" s="297">
      <c r="B670" s="438" t="n">
        <v>45617</v>
      </c>
      <c r="C670" s="439" t="n">
        <v>14</v>
      </c>
      <c r="D670" s="440" t="inlineStr">
        <is>
          <t>Tol &amp; parking fee</t>
        </is>
      </c>
      <c r="E670" s="440" t="n"/>
      <c r="F670" s="447" t="n">
        <v>43450</v>
      </c>
      <c r="G670" s="314" t="inlineStr">
        <is>
          <t>IDR</t>
        </is>
      </c>
      <c r="H670" s="345" t="n">
        <v>1</v>
      </c>
      <c r="I670" s="319" t="n"/>
      <c r="J670" s="416" t="n">
        <v>43450</v>
      </c>
      <c r="K670" s="415" t="n"/>
      <c r="L670" s="415" t="n"/>
      <c r="M670" s="415" t="n"/>
      <c r="N670" s="415" t="n"/>
      <c r="O670" s="415" t="n"/>
      <c r="P670" s="415" t="n"/>
      <c r="Q670" s="41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38" t="n">
        <v>45636</v>
      </c>
      <c r="C671" s="439" t="n">
        <v>15</v>
      </c>
      <c r="D671" s="440" t="inlineStr">
        <is>
          <t>GoCar to Elnusa PP</t>
        </is>
      </c>
      <c r="E671" s="440" t="n"/>
      <c r="F671" s="447" t="n">
        <v>290000</v>
      </c>
      <c r="G671" s="314" t="inlineStr">
        <is>
          <t>IDR</t>
        </is>
      </c>
      <c r="H671" s="345" t="n">
        <v>1</v>
      </c>
      <c r="I671" s="319" t="n"/>
      <c r="J671" s="416" t="n">
        <v>290000</v>
      </c>
      <c r="K671" s="415" t="n"/>
      <c r="L671" s="415" t="n"/>
      <c r="M671" s="415" t="n"/>
      <c r="N671" s="415" t="n"/>
      <c r="O671" s="415" t="n"/>
      <c r="P671" s="415" t="n"/>
      <c r="Q671" s="41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38" t="n">
        <v>45636</v>
      </c>
      <c r="C672" s="439" t="n">
        <v>16</v>
      </c>
      <c r="D672" s="440" t="inlineStr">
        <is>
          <t>Tol &amp; parking fee</t>
        </is>
      </c>
      <c r="E672" s="440" t="n"/>
      <c r="F672" s="447" t="n">
        <v>48500</v>
      </c>
      <c r="G672" s="314" t="inlineStr">
        <is>
          <t>IDR</t>
        </is>
      </c>
      <c r="H672" s="345" t="n">
        <v>1</v>
      </c>
      <c r="I672" s="319" t="n"/>
      <c r="J672" s="416" t="n">
        <v>48500</v>
      </c>
      <c r="K672" s="415" t="n"/>
      <c r="L672" s="415" t="n"/>
      <c r="M672" s="415" t="n"/>
      <c r="N672" s="415" t="n"/>
      <c r="O672" s="415" t="n"/>
      <c r="P672" s="415" t="n"/>
      <c r="Q672" s="41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53" t="n"/>
      <c r="C673" s="449" t="n"/>
      <c r="D673" s="454" t="n"/>
      <c r="E673" s="454" t="n"/>
      <c r="F673" s="451" t="n"/>
      <c r="G673" s="391" t="n"/>
      <c r="H673" s="391" t="n"/>
      <c r="I673" s="400" t="n"/>
      <c r="J673" s="452" t="n"/>
      <c r="K673" s="452" t="n"/>
      <c r="L673" s="452" t="n"/>
      <c r="M673" s="452" t="n"/>
      <c r="N673" s="452" t="n"/>
      <c r="O673" s="452" t="n"/>
      <c r="P673" s="452" t="n"/>
      <c r="Q673" s="452" t="n"/>
      <c r="R673" s="365" t="n"/>
      <c r="S673" s="365" t="n"/>
      <c r="T673" s="365" t="n"/>
      <c r="U673" s="365" t="n"/>
      <c r="V673" s="365" t="n"/>
      <c r="W673" s="365" t="n"/>
      <c r="X673" s="365" t="n"/>
    </row>
    <row r="674" hidden="1" ht="15.5" customHeight="1" s="297">
      <c r="B674" s="453" t="n"/>
      <c r="C674" s="449" t="n"/>
      <c r="D674" s="454" t="n"/>
      <c r="E674" s="454" t="n"/>
      <c r="F674" s="451" t="n"/>
      <c r="G674" s="391" t="n"/>
      <c r="H674" s="391" t="n"/>
      <c r="I674" s="400" t="n"/>
      <c r="J674" s="452" t="n"/>
      <c r="K674" s="452" t="n"/>
      <c r="L674" s="452" t="n"/>
      <c r="M674" s="452" t="n"/>
      <c r="N674" s="452" t="n"/>
      <c r="O674" s="452" t="n"/>
      <c r="P674" s="452" t="n"/>
      <c r="Q674" s="452" t="n"/>
      <c r="R674" s="365" t="n"/>
      <c r="S674" s="365" t="n"/>
      <c r="T674" s="365" t="n"/>
      <c r="U674" s="365" t="n"/>
      <c r="V674" s="365" t="n"/>
      <c r="W674" s="365" t="n"/>
      <c r="X674" s="365" t="n"/>
    </row>
    <row r="675" hidden="1" ht="15.5" customHeight="1" s="297">
      <c r="B675" s="453" t="n"/>
      <c r="C675" s="449" t="n"/>
      <c r="D675" s="454" t="n"/>
      <c r="E675" s="454" t="n"/>
      <c r="F675" s="451" t="n"/>
      <c r="G675" s="391" t="n"/>
      <c r="H675" s="391" t="n"/>
      <c r="I675" s="400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65" t="n"/>
      <c r="S675" s="365" t="n"/>
      <c r="T675" s="365" t="n"/>
      <c r="U675" s="365" t="n"/>
      <c r="V675" s="365" t="n"/>
      <c r="W675" s="365" t="n"/>
      <c r="X675" s="365" t="n"/>
    </row>
    <row r="676" hidden="1" ht="15.5" customHeight="1" s="297">
      <c r="B676" s="453" t="n"/>
      <c r="C676" s="449" t="n"/>
      <c r="D676" s="454" t="n"/>
      <c r="E676" s="454" t="n"/>
      <c r="F676" s="451" t="n"/>
      <c r="G676" s="391" t="n"/>
      <c r="H676" s="391" t="n"/>
      <c r="I676" s="400" t="n"/>
      <c r="J676" s="452" t="n"/>
      <c r="K676" s="452" t="n"/>
      <c r="L676" s="452" t="n"/>
      <c r="M676" s="452" t="n"/>
      <c r="N676" s="452" t="n"/>
      <c r="O676" s="452" t="n"/>
      <c r="P676" s="452" t="n"/>
      <c r="Q676" s="452" t="n"/>
      <c r="R676" s="365" t="n"/>
      <c r="S676" s="365" t="n"/>
      <c r="T676" s="365" t="n"/>
      <c r="U676" s="365" t="n"/>
      <c r="V676" s="365" t="n"/>
      <c r="W676" s="365" t="n"/>
      <c r="X676" s="365" t="n"/>
    </row>
    <row r="677" hidden="1" ht="15.5" customHeight="1" s="297">
      <c r="B677" s="453" t="n"/>
      <c r="C677" s="449" t="n"/>
      <c r="D677" s="454" t="n"/>
      <c r="E677" s="454" t="n"/>
      <c r="F677" s="451" t="n"/>
      <c r="G677" s="391" t="n"/>
      <c r="H677" s="391" t="n"/>
      <c r="I677" s="400" t="n"/>
      <c r="J677" s="452" t="n"/>
      <c r="K677" s="452" t="n"/>
      <c r="L677" s="452" t="n"/>
      <c r="M677" s="452" t="n"/>
      <c r="N677" s="452" t="n"/>
      <c r="O677" s="452" t="n"/>
      <c r="P677" s="452" t="n"/>
      <c r="Q677" s="452" t="n"/>
      <c r="R677" s="365" t="n"/>
      <c r="S677" s="365" t="n"/>
      <c r="T677" s="365" t="n"/>
      <c r="U677" s="365" t="n"/>
      <c r="V677" s="365" t="n"/>
      <c r="W677" s="365" t="n"/>
      <c r="X677" s="365" t="n"/>
    </row>
    <row r="678" ht="15.5" customHeight="1" s="297">
      <c r="B678" s="455" t="inlineStr">
        <is>
          <t>Expense#41</t>
        </is>
      </c>
      <c r="C678" s="358" t="inlineStr">
        <is>
          <t>:</t>
        </is>
      </c>
      <c r="D678" s="455" t="inlineStr">
        <is>
          <t>Starlink Kit_DS</t>
        </is>
      </c>
      <c r="E678" s="456" t="n"/>
      <c r="F678" s="457" t="n"/>
      <c r="G678" s="358" t="n"/>
      <c r="H678" s="358" t="n"/>
      <c r="I678" s="458" t="n"/>
      <c r="J678" s="458" t="n"/>
      <c r="K678" s="458" t="n"/>
      <c r="L678" s="458" t="n"/>
      <c r="M678" s="458" t="n"/>
      <c r="N678" s="458" t="n"/>
      <c r="O678" s="458" t="n"/>
      <c r="P678" s="458" t="n"/>
      <c r="Q678" s="458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15" t="n"/>
      <c r="J679" s="415" t="n"/>
      <c r="K679" s="415" t="n"/>
      <c r="L679" s="415" t="n"/>
      <c r="M679" s="415" t="n"/>
      <c r="N679" s="416" t="n">
        <v>5583200</v>
      </c>
      <c r="O679" s="415" t="n"/>
      <c r="P679" s="415" t="n"/>
      <c r="Q679" s="41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55" t="inlineStr">
        <is>
          <t>Expense#42</t>
        </is>
      </c>
      <c r="C680" s="358" t="inlineStr">
        <is>
          <t>:</t>
        </is>
      </c>
      <c r="D680" s="455" t="inlineStr">
        <is>
          <t>Pelican Case 1650 TMA</t>
        </is>
      </c>
      <c r="E680" s="456" t="n"/>
      <c r="F680" s="457" t="n"/>
      <c r="G680" s="358" t="n"/>
      <c r="H680" s="358" t="n"/>
      <c r="I680" s="458" t="n"/>
      <c r="J680" s="458" t="n"/>
      <c r="K680" s="458" t="n"/>
      <c r="L680" s="458" t="n"/>
      <c r="M680" s="458" t="n"/>
      <c r="N680" s="458" t="n"/>
      <c r="O680" s="458" t="n"/>
      <c r="P680" s="458" t="n"/>
      <c r="Q680" s="458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8" t="n">
        <v>45640</v>
      </c>
      <c r="C681" s="314" t="n">
        <v>1</v>
      </c>
      <c r="D681" s="459" t="inlineStr">
        <is>
          <t>Pelican Case 1650</t>
        </is>
      </c>
      <c r="E681" s="459" t="n"/>
      <c r="F681" s="460" t="n">
        <v>8156000</v>
      </c>
      <c r="G681" s="461" t="inlineStr">
        <is>
          <t>IDR</t>
        </is>
      </c>
      <c r="H681" s="462" t="n">
        <v>1</v>
      </c>
      <c r="I681" s="415" t="n"/>
      <c r="J681" s="415" t="n"/>
      <c r="K681" s="415" t="n"/>
      <c r="L681" s="415" t="n"/>
      <c r="M681" s="415" t="n"/>
      <c r="N681" s="416" t="n">
        <v>8156000</v>
      </c>
      <c r="O681" s="415" t="n"/>
      <c r="P681" s="415" t="n"/>
      <c r="Q681" s="41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57" t="n"/>
      <c r="G682" s="358" t="n"/>
      <c r="H682" s="358" t="n"/>
      <c r="I682" s="458" t="n"/>
      <c r="J682" s="458" t="n"/>
      <c r="K682" s="458" t="n"/>
      <c r="L682" s="458" t="n"/>
      <c r="M682" s="458" t="n"/>
      <c r="N682" s="458" t="n"/>
      <c r="O682" s="458" t="n"/>
      <c r="P682" s="458" t="n"/>
      <c r="Q682" s="458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63" t="n"/>
      <c r="C683" s="463" t="n"/>
      <c r="D683" s="464" t="inlineStr">
        <is>
          <t>Medical</t>
        </is>
      </c>
      <c r="E683" s="465" t="n"/>
      <c r="F683" s="463" t="n"/>
      <c r="G683" s="466" t="n"/>
      <c r="H683" s="466" t="n"/>
      <c r="I683" s="467" t="n"/>
      <c r="J683" s="467" t="n"/>
      <c r="K683" s="467" t="n"/>
      <c r="L683" s="467" t="n"/>
      <c r="M683" s="467" t="n"/>
      <c r="N683" s="467" t="n"/>
      <c r="O683" s="467" t="n"/>
      <c r="P683" s="467" t="n"/>
      <c r="Q683" s="467" t="n"/>
      <c r="R683" s="356" t="n"/>
      <c r="S683" s="356" t="n"/>
      <c r="T683" s="356" t="n"/>
      <c r="U683" s="356" t="n"/>
      <c r="V683" s="356" t="n"/>
      <c r="W683" s="356" t="n"/>
      <c r="X683" s="356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15" t="n"/>
      <c r="J684" s="415" t="n"/>
      <c r="K684" s="415" t="n"/>
      <c r="L684" s="415" t="n"/>
      <c r="M684" s="415" t="n"/>
      <c r="N684" s="415" t="n"/>
      <c r="O684" s="415" t="n"/>
      <c r="P684" s="416" t="n">
        <v>604000</v>
      </c>
      <c r="Q684" s="41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15" t="n"/>
      <c r="J685" s="415" t="n"/>
      <c r="K685" s="415" t="n"/>
      <c r="L685" s="415" t="n"/>
      <c r="M685" s="415" t="n"/>
      <c r="N685" s="415" t="n"/>
      <c r="O685" s="415" t="n"/>
      <c r="P685" s="416" t="n">
        <v>799000</v>
      </c>
      <c r="Q685" s="41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15" t="n"/>
      <c r="J686" s="415" t="n"/>
      <c r="K686" s="415" t="n"/>
      <c r="L686" s="415" t="n"/>
      <c r="M686" s="415" t="n"/>
      <c r="N686" s="415" t="n"/>
      <c r="O686" s="415" t="n"/>
      <c r="P686" s="416" t="n">
        <v>1582141</v>
      </c>
      <c r="Q686" s="41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15" t="n"/>
      <c r="J687" s="415" t="n"/>
      <c r="K687" s="415" t="n"/>
      <c r="L687" s="415" t="n"/>
      <c r="M687" s="415" t="n"/>
      <c r="N687" s="415" t="n"/>
      <c r="O687" s="415" t="n"/>
      <c r="P687" s="416" t="n">
        <v>970767</v>
      </c>
      <c r="Q687" s="41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15" t="n"/>
      <c r="J688" s="415" t="n"/>
      <c r="K688" s="415" t="n"/>
      <c r="L688" s="415" t="n"/>
      <c r="M688" s="415" t="n"/>
      <c r="N688" s="415" t="n"/>
      <c r="O688" s="415" t="n"/>
      <c r="P688" s="416" t="n">
        <v>157000</v>
      </c>
      <c r="Q688" s="41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15" t="n"/>
      <c r="J689" s="415" t="n"/>
      <c r="K689" s="415" t="n"/>
      <c r="L689" s="415" t="n"/>
      <c r="M689" s="415" t="n"/>
      <c r="N689" s="415" t="n"/>
      <c r="O689" s="415" t="n"/>
      <c r="P689" s="416" t="n">
        <v>152000</v>
      </c>
      <c r="Q689" s="41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15" t="n"/>
      <c r="J690" s="415" t="n"/>
      <c r="K690" s="415" t="n"/>
      <c r="L690" s="415" t="n"/>
      <c r="M690" s="415" t="n"/>
      <c r="N690" s="415" t="n"/>
      <c r="O690" s="415" t="n"/>
      <c r="P690" s="416" t="n">
        <v>190309.5</v>
      </c>
      <c r="Q690" s="41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15" t="n"/>
      <c r="J691" s="415" t="n"/>
      <c r="K691" s="415" t="n"/>
      <c r="L691" s="415" t="n"/>
      <c r="M691" s="415" t="n"/>
      <c r="N691" s="415" t="n"/>
      <c r="O691" s="415" t="n"/>
      <c r="P691" s="416" t="n">
        <v>417600</v>
      </c>
      <c r="Q691" s="41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71" t="n"/>
      <c r="C692" s="366" t="n"/>
      <c r="D692" s="386" t="inlineStr">
        <is>
          <t>Transportation</t>
        </is>
      </c>
      <c r="E692" s="370" t="n"/>
      <c r="F692" s="387" t="n"/>
      <c r="G692" s="366" t="n"/>
      <c r="H692" s="366" t="n"/>
      <c r="I692" s="467" t="n"/>
      <c r="J692" s="467" t="n"/>
      <c r="K692" s="467" t="n"/>
      <c r="L692" s="467" t="n"/>
      <c r="M692" s="467" t="n"/>
      <c r="N692" s="467" t="n"/>
      <c r="O692" s="467" t="n"/>
      <c r="P692" s="467" t="n"/>
      <c r="Q692" s="467" t="n"/>
      <c r="R692" s="356" t="n"/>
      <c r="S692" s="356" t="n"/>
      <c r="T692" s="356" t="n"/>
      <c r="U692" s="356" t="n"/>
      <c r="V692" s="356" t="n"/>
      <c r="W692" s="356" t="n"/>
      <c r="X692" s="356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16" t="n">
        <v>276216</v>
      </c>
      <c r="K693" s="415" t="n"/>
      <c r="L693" s="415" t="n"/>
      <c r="M693" s="415" t="n"/>
      <c r="N693" s="415" t="n"/>
      <c r="O693" s="415" t="n"/>
      <c r="P693" s="415" t="n"/>
      <c r="Q693" s="41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16" t="n">
        <v>79500</v>
      </c>
      <c r="K694" s="415" t="n"/>
      <c r="L694" s="415" t="n"/>
      <c r="M694" s="415" t="n"/>
      <c r="N694" s="415" t="n"/>
      <c r="O694" s="415" t="n"/>
      <c r="P694" s="415" t="n"/>
      <c r="Q694" s="41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16" t="n">
        <v>29000</v>
      </c>
      <c r="K695" s="415" t="n"/>
      <c r="L695" s="415" t="n"/>
      <c r="M695" s="415" t="n"/>
      <c r="N695" s="415" t="n"/>
      <c r="O695" s="415" t="n"/>
      <c r="P695" s="415" t="n"/>
      <c r="Q695" s="41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16" t="n">
        <v>17000</v>
      </c>
      <c r="K696" s="415" t="n"/>
      <c r="L696" s="415" t="n"/>
      <c r="M696" s="415" t="n"/>
      <c r="N696" s="415" t="n"/>
      <c r="O696" s="415" t="n"/>
      <c r="P696" s="415" t="n"/>
      <c r="Q696" s="41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16" t="n">
        <v>155680</v>
      </c>
      <c r="K697" s="415" t="n"/>
      <c r="L697" s="415" t="n"/>
      <c r="M697" s="415" t="n"/>
      <c r="N697" s="415" t="n"/>
      <c r="O697" s="415" t="n"/>
      <c r="P697" s="415" t="n"/>
      <c r="Q697" s="41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16" t="n">
        <v>17000</v>
      </c>
      <c r="K698" s="415" t="n"/>
      <c r="L698" s="415" t="n"/>
      <c r="M698" s="415" t="n"/>
      <c r="N698" s="415" t="n"/>
      <c r="O698" s="415" t="n"/>
      <c r="P698" s="415" t="n"/>
      <c r="Q698" s="41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80" t="n"/>
      <c r="H699" s="380" t="n"/>
      <c r="I699" s="458" t="n"/>
      <c r="J699" s="458" t="n"/>
      <c r="K699" s="458" t="n"/>
      <c r="L699" s="458" t="n"/>
      <c r="M699" s="458" t="n"/>
      <c r="N699" s="458" t="n"/>
      <c r="O699" s="458" t="n"/>
      <c r="P699" s="458" t="n"/>
      <c r="Q699" s="458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71" t="n"/>
      <c r="C700" s="366" t="n"/>
      <c r="D700" s="386" t="inlineStr">
        <is>
          <t>Accommodation</t>
        </is>
      </c>
      <c r="E700" s="370" t="n"/>
      <c r="F700" s="387" t="n"/>
      <c r="G700" s="366" t="n"/>
      <c r="H700" s="366" t="n"/>
      <c r="I700" s="467" t="n"/>
      <c r="J700" s="467" t="n"/>
      <c r="K700" s="467" t="n"/>
      <c r="L700" s="467" t="n"/>
      <c r="M700" s="467" t="n"/>
      <c r="N700" s="467" t="n"/>
      <c r="O700" s="467" t="n"/>
      <c r="P700" s="467" t="n"/>
      <c r="Q700" s="467" t="n"/>
      <c r="R700" s="356" t="n"/>
      <c r="S700" s="356" t="n"/>
      <c r="T700" s="356" t="n"/>
      <c r="U700" s="356" t="n"/>
      <c r="V700" s="356" t="n"/>
      <c r="W700" s="356" t="n"/>
      <c r="X700" s="356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15" t="n"/>
      <c r="K701" s="415" t="n"/>
      <c r="L701" s="415" t="n"/>
      <c r="M701" s="416" t="n">
        <v>4913283</v>
      </c>
      <c r="N701" s="415" t="n"/>
      <c r="O701" s="415" t="n"/>
      <c r="P701" s="415" t="n"/>
      <c r="Q701" s="41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16" t="n">
        <v>195585</v>
      </c>
      <c r="K702" s="415" t="n"/>
      <c r="L702" s="415" t="n"/>
      <c r="M702" s="415" t="n"/>
      <c r="N702" s="415" t="n"/>
      <c r="O702" s="415" t="n"/>
      <c r="P702" s="415" t="n"/>
      <c r="Q702" s="41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16" t="n">
        <v>299900</v>
      </c>
      <c r="K703" s="415" t="n"/>
      <c r="L703" s="415" t="n"/>
      <c r="M703" s="415" t="n"/>
      <c r="N703" s="415" t="n"/>
      <c r="O703" s="415" t="n"/>
      <c r="P703" s="415" t="n"/>
      <c r="Q703" s="41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71" t="n"/>
      <c r="C704" s="366" t="n"/>
      <c r="D704" s="349" t="inlineStr">
        <is>
          <t>Meal</t>
        </is>
      </c>
      <c r="E704" s="373" t="n"/>
      <c r="F704" s="387" t="n"/>
      <c r="G704" s="366" t="n"/>
      <c r="H704" s="366" t="n"/>
      <c r="I704" s="467" t="n"/>
      <c r="J704" s="467" t="n"/>
      <c r="K704" s="467" t="n"/>
      <c r="L704" s="467" t="n"/>
      <c r="M704" s="467" t="n"/>
      <c r="N704" s="467" t="n"/>
      <c r="O704" s="467" t="n"/>
      <c r="P704" s="467" t="n"/>
      <c r="Q704" s="467" t="n"/>
      <c r="R704" s="356" t="n"/>
      <c r="S704" s="356" t="n"/>
      <c r="T704" s="356" t="n"/>
      <c r="U704" s="356" t="n"/>
      <c r="V704" s="356" t="n"/>
      <c r="W704" s="356" t="n"/>
      <c r="X704" s="356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15" t="n"/>
      <c r="J705" s="416" t="n">
        <v>160000</v>
      </c>
      <c r="K705" s="415" t="n"/>
      <c r="L705" s="415" t="n"/>
      <c r="M705" s="415" t="n"/>
      <c r="N705" s="415" t="n"/>
      <c r="O705" s="415" t="n"/>
      <c r="P705" s="415" t="n"/>
      <c r="Q705" s="41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15" t="n"/>
      <c r="J706" s="416" t="n">
        <v>200000</v>
      </c>
      <c r="K706" s="415" t="n"/>
      <c r="L706" s="415" t="n"/>
      <c r="M706" s="415" t="n"/>
      <c r="N706" s="415" t="n"/>
      <c r="O706" s="415" t="n"/>
      <c r="P706" s="415" t="n"/>
      <c r="Q706" s="41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71" t="n"/>
      <c r="C707" s="366" t="n"/>
      <c r="D707" s="349" t="inlineStr">
        <is>
          <t>Transportation</t>
        </is>
      </c>
      <c r="E707" s="373" t="n"/>
      <c r="F707" s="387" t="n"/>
      <c r="G707" s="366" t="n"/>
      <c r="H707" s="366" t="n"/>
      <c r="I707" s="467" t="n"/>
      <c r="J707" s="467" t="n"/>
      <c r="K707" s="467" t="n"/>
      <c r="L707" s="467" t="n"/>
      <c r="M707" s="467" t="n"/>
      <c r="N707" s="467" t="n"/>
      <c r="O707" s="467" t="n"/>
      <c r="P707" s="467" t="n"/>
      <c r="Q707" s="467" t="n"/>
      <c r="R707" s="356" t="n"/>
      <c r="S707" s="356" t="n"/>
      <c r="T707" s="356" t="n"/>
      <c r="U707" s="356" t="n"/>
      <c r="V707" s="356" t="n"/>
      <c r="W707" s="356" t="n"/>
      <c r="X707" s="356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15" t="n"/>
      <c r="J708" s="416" t="n">
        <v>160000</v>
      </c>
      <c r="K708" s="415" t="n"/>
      <c r="L708" s="415" t="n"/>
      <c r="M708" s="415" t="n"/>
      <c r="N708" s="415" t="n"/>
      <c r="O708" s="415" t="n"/>
      <c r="P708" s="415" t="n"/>
      <c r="Q708" s="41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90" t="n"/>
      <c r="C709" s="391" t="n"/>
      <c r="D709" s="424" t="n"/>
      <c r="E709" s="424" t="n"/>
      <c r="F709" s="393" t="n"/>
      <c r="G709" s="391" t="n"/>
      <c r="H709" s="391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65" t="n"/>
      <c r="S709" s="365" t="n"/>
      <c r="T709" s="365" t="n"/>
      <c r="U709" s="365" t="n"/>
      <c r="V709" s="365" t="n"/>
      <c r="W709" s="365" t="n"/>
      <c r="X709" s="365" t="n"/>
    </row>
    <row r="710" ht="15.5" customHeight="1" s="297">
      <c r="B710" s="357" t="inlineStr">
        <is>
          <t>Expense#45</t>
        </is>
      </c>
      <c r="C710" s="380" t="inlineStr">
        <is>
          <t>:</t>
        </is>
      </c>
      <c r="D710" s="359" t="inlineStr">
        <is>
          <t>General Operation_Year 2024 - AM</t>
        </is>
      </c>
      <c r="E710" s="468" t="n"/>
      <c r="F710" s="361" t="n"/>
      <c r="G710" s="380" t="n"/>
      <c r="H710" s="380" t="n"/>
      <c r="I710" s="458" t="n"/>
      <c r="J710" s="458" t="n"/>
      <c r="K710" s="458" t="n"/>
      <c r="L710" s="458" t="n"/>
      <c r="M710" s="458" t="n"/>
      <c r="N710" s="458" t="n"/>
      <c r="O710" s="458" t="n"/>
      <c r="P710" s="458" t="n"/>
      <c r="Q710" s="458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69" t="n"/>
      <c r="C711" s="366" t="n"/>
      <c r="D711" s="470" t="inlineStr">
        <is>
          <t>IT Services</t>
        </is>
      </c>
      <c r="E711" s="469" t="n"/>
      <c r="F711" s="387" t="n"/>
      <c r="G711" s="366" t="n"/>
      <c r="H711" s="366" t="n"/>
      <c r="I711" s="467" t="n"/>
      <c r="J711" s="467" t="n"/>
      <c r="K711" s="467" t="n"/>
      <c r="L711" s="467" t="n"/>
      <c r="M711" s="467" t="n"/>
      <c r="N711" s="467" t="n"/>
      <c r="O711" s="467" t="n"/>
      <c r="P711" s="467" t="n"/>
      <c r="Q711" s="467" t="n"/>
      <c r="R711" s="356" t="n"/>
      <c r="S711" s="356" t="n"/>
      <c r="T711" s="356" t="n"/>
      <c r="U711" s="356" t="n"/>
      <c r="V711" s="356" t="n"/>
      <c r="W711" s="356" t="n"/>
      <c r="X711" s="356" t="n"/>
    </row>
    <row r="712" ht="15.5" customHeight="1" s="297">
      <c r="B712" s="471" t="n">
        <v>45307</v>
      </c>
      <c r="C712" s="327" t="n">
        <v>1</v>
      </c>
      <c r="D712" s="472" t="inlineStr">
        <is>
          <t>Google Workspace PT. EWI</t>
        </is>
      </c>
      <c r="E712" s="472" t="n"/>
      <c r="F712" s="473" t="n">
        <v>306982</v>
      </c>
      <c r="G712" s="327" t="inlineStr">
        <is>
          <t>IDR</t>
        </is>
      </c>
      <c r="H712" s="474" t="n">
        <v>1</v>
      </c>
      <c r="I712" s="319" t="n"/>
      <c r="J712" s="415" t="n"/>
      <c r="K712" s="415" t="n"/>
      <c r="L712" s="415" t="n"/>
      <c r="M712" s="416" t="n">
        <v>306982</v>
      </c>
      <c r="N712" s="415" t="n"/>
      <c r="O712" s="415" t="n"/>
      <c r="P712" s="415" t="n"/>
      <c r="Q712" s="41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71" t="n">
        <v>45338</v>
      </c>
      <c r="C713" s="327" t="n">
        <v>2</v>
      </c>
      <c r="D713" s="472" t="inlineStr">
        <is>
          <t>Google Workspace PT. EWI</t>
        </is>
      </c>
      <c r="E713" s="472" t="n"/>
      <c r="F713" s="473" t="n">
        <v>306982</v>
      </c>
      <c r="G713" s="327" t="inlineStr">
        <is>
          <t>IDR</t>
        </is>
      </c>
      <c r="H713" s="474" t="n">
        <v>1</v>
      </c>
      <c r="I713" s="319" t="n"/>
      <c r="J713" s="415" t="n"/>
      <c r="K713" s="415" t="n"/>
      <c r="L713" s="415" t="n"/>
      <c r="M713" s="416" t="n">
        <v>306982</v>
      </c>
      <c r="N713" s="415" t="n"/>
      <c r="O713" s="415" t="n"/>
      <c r="P713" s="415" t="n"/>
      <c r="Q713" s="41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71" t="n">
        <v>45367</v>
      </c>
      <c r="C714" s="327" t="n">
        <v>3</v>
      </c>
      <c r="D714" s="472" t="inlineStr">
        <is>
          <t>Google Workspace PT. EWI</t>
        </is>
      </c>
      <c r="E714" s="472" t="n"/>
      <c r="F714" s="473" t="n">
        <v>306982</v>
      </c>
      <c r="G714" s="327" t="inlineStr">
        <is>
          <t>IDR</t>
        </is>
      </c>
      <c r="H714" s="474" t="n">
        <v>1</v>
      </c>
      <c r="I714" s="319" t="n"/>
      <c r="J714" s="415" t="n"/>
      <c r="K714" s="415" t="n"/>
      <c r="L714" s="415" t="n"/>
      <c r="M714" s="416" t="n">
        <v>306982</v>
      </c>
      <c r="N714" s="415" t="n"/>
      <c r="O714" s="415" t="n"/>
      <c r="P714" s="415" t="n"/>
      <c r="Q714" s="41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71" t="n">
        <v>45398</v>
      </c>
      <c r="C715" s="327" t="n">
        <v>4</v>
      </c>
      <c r="D715" s="475" t="inlineStr">
        <is>
          <t>Google Workspace PT. EWI</t>
        </is>
      </c>
      <c r="E715" s="475" t="n"/>
      <c r="F715" s="473" t="n">
        <v>306982</v>
      </c>
      <c r="G715" s="327" t="inlineStr">
        <is>
          <t>IDR</t>
        </is>
      </c>
      <c r="H715" s="474" t="n">
        <v>1</v>
      </c>
      <c r="I715" s="319" t="n"/>
      <c r="J715" s="415" t="n"/>
      <c r="K715" s="415" t="n"/>
      <c r="L715" s="415" t="n"/>
      <c r="M715" s="416" t="n">
        <v>306982</v>
      </c>
      <c r="N715" s="415" t="n"/>
      <c r="O715" s="415" t="n"/>
      <c r="P715" s="415" t="n"/>
      <c r="Q715" s="41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71" t="n">
        <v>45428</v>
      </c>
      <c r="C716" s="327" t="n">
        <v>5</v>
      </c>
      <c r="D716" s="475" t="inlineStr">
        <is>
          <t>Google Workspace PT. EWI</t>
        </is>
      </c>
      <c r="E716" s="475" t="n"/>
      <c r="F716" s="473" t="n">
        <v>306982</v>
      </c>
      <c r="G716" s="327" t="inlineStr">
        <is>
          <t>IDR</t>
        </is>
      </c>
      <c r="H716" s="474" t="n">
        <v>1</v>
      </c>
      <c r="I716" s="319" t="n"/>
      <c r="J716" s="415" t="n"/>
      <c r="K716" s="415" t="n"/>
      <c r="L716" s="415" t="n"/>
      <c r="M716" s="416" t="n">
        <v>306982</v>
      </c>
      <c r="N716" s="415" t="n"/>
      <c r="O716" s="415" t="n"/>
      <c r="P716" s="415" t="n"/>
      <c r="Q716" s="41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71" t="n">
        <v>45646</v>
      </c>
      <c r="C717" s="327" t="n">
        <v>6</v>
      </c>
      <c r="D717" s="472" t="inlineStr">
        <is>
          <t>Taxi Home to KCIC Train station</t>
        </is>
      </c>
      <c r="E717" s="472" t="n"/>
      <c r="F717" s="473" t="n">
        <v>100000</v>
      </c>
      <c r="G717" s="327" t="inlineStr">
        <is>
          <t>IDR</t>
        </is>
      </c>
      <c r="H717" s="474" t="n">
        <v>1</v>
      </c>
      <c r="I717" s="319" t="n"/>
      <c r="J717" s="416" t="n">
        <v>100000</v>
      </c>
      <c r="K717" s="415" t="n"/>
      <c r="L717" s="415" t="n"/>
      <c r="M717" s="415" t="n"/>
      <c r="N717" s="415" t="n"/>
      <c r="O717" s="415" t="n"/>
      <c r="P717" s="415" t="n"/>
      <c r="Q717" s="41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71" t="n">
        <v>45646</v>
      </c>
      <c r="C718" s="327" t="n">
        <v>7</v>
      </c>
      <c r="D718" s="472" t="inlineStr">
        <is>
          <t>Train Round trip Jakarta - Bandung @200K/trip</t>
        </is>
      </c>
      <c r="E718" s="472" t="n"/>
      <c r="F718" s="473" t="n">
        <v>400000</v>
      </c>
      <c r="G718" s="327" t="inlineStr">
        <is>
          <t>IDR</t>
        </is>
      </c>
      <c r="H718" s="474" t="n">
        <v>1</v>
      </c>
      <c r="I718" s="319" t="n"/>
      <c r="J718" s="416" t="n">
        <v>400000</v>
      </c>
      <c r="K718" s="415" t="n"/>
      <c r="L718" s="415" t="n"/>
      <c r="M718" s="415" t="n"/>
      <c r="N718" s="415" t="n"/>
      <c r="O718" s="415" t="n"/>
      <c r="P718" s="415" t="n"/>
      <c r="Q718" s="41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71" t="n">
        <v>45647</v>
      </c>
      <c r="C719" s="327" t="n">
        <v>8</v>
      </c>
      <c r="D719" s="475" t="inlineStr">
        <is>
          <t>Hotel 1 night 20 - 21 Dec 2024</t>
        </is>
      </c>
      <c r="E719" s="475" t="n"/>
      <c r="F719" s="473" t="n">
        <v>784000</v>
      </c>
      <c r="G719" s="327" t="inlineStr">
        <is>
          <t>IDR</t>
        </is>
      </c>
      <c r="H719" s="474" t="n">
        <v>1</v>
      </c>
      <c r="I719" s="415" t="n"/>
      <c r="J719" s="416" t="n">
        <v>784000</v>
      </c>
      <c r="K719" s="415" t="n"/>
      <c r="L719" s="415" t="n"/>
      <c r="M719" s="415" t="n"/>
      <c r="N719" s="415" t="n"/>
      <c r="O719" s="415" t="n"/>
      <c r="P719" s="415" t="n"/>
      <c r="Q719" s="41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69" t="n"/>
      <c r="C720" s="348" t="n"/>
      <c r="D720" s="470" t="inlineStr">
        <is>
          <t>Training</t>
        </is>
      </c>
      <c r="E720" s="469" t="n"/>
      <c r="F720" s="476" t="n"/>
      <c r="G720" s="348" t="n"/>
      <c r="H720" s="348" t="n"/>
      <c r="I720" s="467" t="n"/>
      <c r="J720" s="467" t="n"/>
      <c r="K720" s="467" t="n"/>
      <c r="L720" s="467" t="n"/>
      <c r="M720" s="467" t="n"/>
      <c r="N720" s="467" t="n"/>
      <c r="O720" s="467" t="n"/>
      <c r="P720" s="467" t="n"/>
      <c r="Q720" s="467" t="n"/>
      <c r="R720" s="356" t="n"/>
      <c r="S720" s="356" t="n"/>
      <c r="T720" s="356" t="n"/>
      <c r="U720" s="356" t="n"/>
      <c r="V720" s="356" t="n"/>
      <c r="W720" s="356" t="n"/>
      <c r="X720" s="356" t="n"/>
    </row>
    <row r="721" ht="15.5" customHeight="1" s="297">
      <c r="B721" s="477" t="n">
        <v>45647</v>
      </c>
      <c r="C721" s="327" t="n">
        <v>9</v>
      </c>
      <c r="D721" s="472" t="inlineStr">
        <is>
          <t>Taxi from KCIC Stationa Halim to Home</t>
        </is>
      </c>
      <c r="E721" s="472" t="n"/>
      <c r="F721" s="473" t="n">
        <v>100000</v>
      </c>
      <c r="G721" s="327" t="inlineStr">
        <is>
          <t>IDR</t>
        </is>
      </c>
      <c r="H721" s="474" t="n">
        <v>1</v>
      </c>
      <c r="I721" s="319" t="n"/>
      <c r="J721" s="416" t="n">
        <v>100000</v>
      </c>
      <c r="K721" s="415" t="n"/>
      <c r="L721" s="415" t="n"/>
      <c r="M721" s="415" t="n"/>
      <c r="N721" s="415" t="n"/>
      <c r="O721" s="415" t="n"/>
      <c r="P721" s="415" t="n"/>
      <c r="Q721" s="41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71" t="n">
        <v>45647</v>
      </c>
      <c r="C722" s="327" t="n">
        <v>10</v>
      </c>
      <c r="D722" s="472" t="inlineStr">
        <is>
          <t>Meals 2 days @ 150,000/day</t>
        </is>
      </c>
      <c r="E722" s="472" t="n"/>
      <c r="F722" s="473" t="n">
        <v>300000</v>
      </c>
      <c r="G722" s="327" t="inlineStr">
        <is>
          <t>IDR</t>
        </is>
      </c>
      <c r="H722" s="474" t="n">
        <v>1</v>
      </c>
      <c r="I722" s="415" t="n"/>
      <c r="J722" s="416" t="n">
        <v>300000</v>
      </c>
      <c r="K722" s="415" t="n"/>
      <c r="L722" s="415" t="n"/>
      <c r="M722" s="415" t="n"/>
      <c r="N722" s="415" t="n"/>
      <c r="O722" s="415" t="n"/>
      <c r="P722" s="415" t="n"/>
      <c r="Q722" s="41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71" t="n">
        <v>45335</v>
      </c>
      <c r="C723" s="327" t="n">
        <v>11</v>
      </c>
      <c r="D723" s="475" t="inlineStr">
        <is>
          <t>Shipment Benchmark DTR to Malaysia</t>
        </is>
      </c>
      <c r="E723" s="475" t="n"/>
      <c r="F723" s="473" t="n">
        <v>13201183.322</v>
      </c>
      <c r="G723" s="327" t="inlineStr">
        <is>
          <t>MYR</t>
        </is>
      </c>
      <c r="H723" s="474" t="n">
        <v>3636.89</v>
      </c>
      <c r="I723" s="415" t="n"/>
      <c r="J723" s="416" t="n">
        <v>13201183.322</v>
      </c>
      <c r="K723" s="415" t="n"/>
      <c r="L723" s="415" t="n"/>
      <c r="M723" s="415" t="n"/>
      <c r="N723" s="415" t="n"/>
      <c r="O723" s="415" t="n"/>
      <c r="P723" s="415" t="n"/>
      <c r="Q723" s="41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69" t="n"/>
      <c r="C724" s="348" t="n"/>
      <c r="D724" s="470" t="inlineStr">
        <is>
          <t>Trip</t>
        </is>
      </c>
      <c r="E724" s="469" t="n"/>
      <c r="F724" s="476" t="n"/>
      <c r="G724" s="348" t="n"/>
      <c r="H724" s="348" t="n"/>
      <c r="I724" s="467" t="n"/>
      <c r="J724" s="467" t="n"/>
      <c r="K724" s="467" t="n"/>
      <c r="L724" s="467" t="n"/>
      <c r="M724" s="467" t="n"/>
      <c r="N724" s="467" t="n"/>
      <c r="O724" s="467" t="n"/>
      <c r="P724" s="467" t="n"/>
      <c r="Q724" s="467" t="n"/>
      <c r="R724" s="356" t="n"/>
      <c r="S724" s="356" t="n"/>
      <c r="T724" s="356" t="n"/>
      <c r="U724" s="356" t="n"/>
      <c r="V724" s="356" t="n"/>
      <c r="W724" s="356" t="n"/>
      <c r="X724" s="356" t="n"/>
    </row>
    <row r="725" ht="15.5" customHeight="1" s="297">
      <c r="B725" s="471" t="n">
        <v>45362</v>
      </c>
      <c r="C725" s="327" t="n">
        <v>12</v>
      </c>
      <c r="D725" s="472" t="inlineStr">
        <is>
          <t>Taxi Home - CGK Airport</t>
        </is>
      </c>
      <c r="E725" s="472" t="n"/>
      <c r="F725" s="473" t="n">
        <v>200000</v>
      </c>
      <c r="G725" s="327" t="inlineStr">
        <is>
          <t>IDR</t>
        </is>
      </c>
      <c r="H725" s="474" t="n">
        <v>1</v>
      </c>
      <c r="I725" s="319" t="n"/>
      <c r="J725" s="416" t="n">
        <v>200000</v>
      </c>
      <c r="K725" s="415" t="n"/>
      <c r="L725" s="415" t="n"/>
      <c r="M725" s="415" t="n"/>
      <c r="N725" s="415" t="n"/>
      <c r="O725" s="415" t="n"/>
      <c r="P725" s="415" t="n"/>
      <c r="Q725" s="41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78" t="n"/>
      <c r="C726" s="479" t="n"/>
      <c r="D726" s="478" t="n"/>
      <c r="E726" s="478" t="n"/>
      <c r="F726" s="480" t="n"/>
      <c r="G726" s="479" t="n"/>
      <c r="H726" s="479" t="n"/>
      <c r="I726" s="452" t="n"/>
      <c r="J726" s="452" t="n"/>
      <c r="K726" s="452" t="n"/>
      <c r="L726" s="452" t="n"/>
      <c r="M726" s="452" t="n"/>
      <c r="N726" s="452" t="n"/>
      <c r="O726" s="452" t="n"/>
      <c r="P726" s="452" t="n"/>
      <c r="Q726" s="452" t="n"/>
      <c r="R726" s="365" t="n"/>
      <c r="S726" s="365" t="n"/>
      <c r="T726" s="365" t="n"/>
      <c r="U726" s="365" t="n"/>
      <c r="V726" s="365" t="n"/>
      <c r="W726" s="365" t="n"/>
      <c r="X726" s="365" t="n"/>
    </row>
    <row r="727" ht="15.5" customHeight="1" s="297">
      <c r="B727" s="477" t="n">
        <v>45362</v>
      </c>
      <c r="C727" s="327" t="n">
        <v>13</v>
      </c>
      <c r="D727" s="472" t="inlineStr">
        <is>
          <t>Flight CGK-KUL + Hotel 1 night</t>
        </is>
      </c>
      <c r="E727" s="472" t="n"/>
      <c r="F727" s="473" t="n">
        <v>1803353</v>
      </c>
      <c r="G727" s="327" t="inlineStr">
        <is>
          <t>IDR</t>
        </is>
      </c>
      <c r="H727" s="474" t="n">
        <v>1</v>
      </c>
      <c r="I727" s="319" t="n"/>
      <c r="J727" s="416" t="n">
        <v>1803353</v>
      </c>
      <c r="K727" s="415" t="n"/>
      <c r="L727" s="415" t="n"/>
      <c r="M727" s="415" t="n"/>
      <c r="N727" s="415" t="n"/>
      <c r="O727" s="415" t="n"/>
      <c r="P727" s="415" t="n"/>
      <c r="Q727" s="41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77" t="n">
        <v>45362</v>
      </c>
      <c r="C728" s="327" t="n">
        <v>14</v>
      </c>
      <c r="D728" s="472" t="inlineStr">
        <is>
          <t>Train KLIA Airport to Hyperseal</t>
        </is>
      </c>
      <c r="E728" s="472" t="n"/>
      <c r="F728" s="473" t="n">
        <v>181844.5</v>
      </c>
      <c r="G728" s="327" t="inlineStr">
        <is>
          <t>MYR</t>
        </is>
      </c>
      <c r="H728" s="474" t="n">
        <v>3636.89</v>
      </c>
      <c r="I728" s="319" t="n"/>
      <c r="J728" s="416" t="n">
        <v>181844.5</v>
      </c>
      <c r="K728" s="415" t="n"/>
      <c r="L728" s="415" t="n"/>
      <c r="M728" s="415" t="n"/>
      <c r="N728" s="415" t="n"/>
      <c r="O728" s="415" t="n"/>
      <c r="P728" s="415" t="n"/>
      <c r="Q728" s="41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77" t="n">
        <v>45363</v>
      </c>
      <c r="C729" s="327" t="n">
        <v>15</v>
      </c>
      <c r="D729" s="475" t="inlineStr">
        <is>
          <t>Flight KUL- CGK</t>
        </is>
      </c>
      <c r="E729" s="475" t="n"/>
      <c r="F729" s="473" t="n">
        <v>1897983</v>
      </c>
      <c r="G729" s="327" t="inlineStr">
        <is>
          <t>IDR</t>
        </is>
      </c>
      <c r="H729" s="474" t="n">
        <v>1</v>
      </c>
      <c r="I729" s="415" t="n"/>
      <c r="J729" s="416" t="n">
        <v>1897983</v>
      </c>
      <c r="K729" s="415" t="n"/>
      <c r="L729" s="415" t="n"/>
      <c r="M729" s="415" t="n"/>
      <c r="N729" s="415" t="n"/>
      <c r="O729" s="415" t="n"/>
      <c r="P729" s="415" t="n"/>
      <c r="Q729" s="41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77" t="n">
        <v>45363</v>
      </c>
      <c r="C730" s="327" t="n">
        <v>16</v>
      </c>
      <c r="D730" s="475" t="inlineStr">
        <is>
          <t>Train Hyperseal to KLIA Airport</t>
        </is>
      </c>
      <c r="E730" s="475" t="n"/>
      <c r="F730" s="473" t="n">
        <v>181844.5</v>
      </c>
      <c r="G730" s="327" t="inlineStr">
        <is>
          <t>MYR</t>
        </is>
      </c>
      <c r="H730" s="474" t="n">
        <v>3636.89</v>
      </c>
      <c r="I730" s="319" t="n"/>
      <c r="J730" s="416" t="n">
        <v>181844.5</v>
      </c>
      <c r="K730" s="415" t="n"/>
      <c r="L730" s="415" t="n"/>
      <c r="M730" s="415" t="n"/>
      <c r="N730" s="415" t="n"/>
      <c r="O730" s="415" t="n"/>
      <c r="P730" s="415" t="n"/>
      <c r="Q730" s="41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77" t="n">
        <v>45363</v>
      </c>
      <c r="C731" s="327" t="n">
        <v>17</v>
      </c>
      <c r="D731" s="475" t="inlineStr">
        <is>
          <t>Taxi CGK Airport to Home</t>
        </is>
      </c>
      <c r="E731" s="475" t="n"/>
      <c r="F731" s="473" t="n">
        <v>200000</v>
      </c>
      <c r="G731" s="327" t="inlineStr">
        <is>
          <t>IDR</t>
        </is>
      </c>
      <c r="H731" s="474" t="n">
        <v>1</v>
      </c>
      <c r="I731" s="415" t="n"/>
      <c r="J731" s="416" t="n">
        <v>200000</v>
      </c>
      <c r="K731" s="415" t="n"/>
      <c r="L731" s="415" t="n"/>
      <c r="M731" s="415" t="n"/>
      <c r="N731" s="415" t="n"/>
      <c r="O731" s="415" t="n"/>
      <c r="P731" s="415" t="n"/>
      <c r="Q731" s="41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78" t="n"/>
      <c r="C732" s="479" t="n"/>
      <c r="D732" s="478" t="n"/>
      <c r="E732" s="478" t="n"/>
      <c r="F732" s="480" t="n"/>
      <c r="G732" s="479" t="n"/>
      <c r="H732" s="479" t="n"/>
      <c r="I732" s="452" t="n"/>
      <c r="J732" s="452" t="n"/>
      <c r="K732" s="452" t="n"/>
      <c r="L732" s="452" t="n"/>
      <c r="M732" s="452" t="n"/>
      <c r="N732" s="452" t="n"/>
      <c r="O732" s="452" t="n"/>
      <c r="P732" s="452" t="n"/>
      <c r="Q732" s="452" t="n"/>
      <c r="R732" s="365" t="n"/>
      <c r="S732" s="365" t="n"/>
      <c r="T732" s="365" t="n"/>
      <c r="U732" s="365" t="n"/>
      <c r="V732" s="365" t="n"/>
      <c r="W732" s="365" t="n"/>
      <c r="X732" s="365" t="n"/>
    </row>
    <row r="733" ht="15.5" customHeight="1" s="297">
      <c r="B733" s="477" t="n">
        <v>45363</v>
      </c>
      <c r="C733" s="327" t="n">
        <v>18</v>
      </c>
      <c r="D733" s="472" t="inlineStr">
        <is>
          <t>Meals 2 days @ 300,000/day</t>
        </is>
      </c>
      <c r="E733" s="472" t="n"/>
      <c r="F733" s="473" t="n">
        <v>600000</v>
      </c>
      <c r="G733" s="327" t="inlineStr">
        <is>
          <t>IDR</t>
        </is>
      </c>
      <c r="H733" s="474" t="n">
        <v>1</v>
      </c>
      <c r="I733" s="415" t="n"/>
      <c r="J733" s="416" t="n">
        <v>600000</v>
      </c>
      <c r="K733" s="415" t="n"/>
      <c r="L733" s="415" t="n"/>
      <c r="M733" s="415" t="n"/>
      <c r="N733" s="415" t="n"/>
      <c r="O733" s="415" t="n"/>
      <c r="P733" s="415" t="n"/>
      <c r="Q733" s="41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77" t="n">
        <v>45404</v>
      </c>
      <c r="C734" s="327" t="n">
        <v>19</v>
      </c>
      <c r="D734" s="472" t="inlineStr">
        <is>
          <t>Car 22-23 Apr 2024 (2 days) incl. Fuel &amp; Tol</t>
        </is>
      </c>
      <c r="E734" s="472" t="n"/>
      <c r="F734" s="473" t="n">
        <v>3000000</v>
      </c>
      <c r="G734" s="327" t="inlineStr">
        <is>
          <t>IDR</t>
        </is>
      </c>
      <c r="H734" s="474" t="n">
        <v>1</v>
      </c>
      <c r="I734" s="415" t="n"/>
      <c r="J734" s="416" t="n">
        <v>3000000</v>
      </c>
      <c r="K734" s="415" t="n"/>
      <c r="L734" s="415" t="n"/>
      <c r="M734" s="415" t="n"/>
      <c r="N734" s="415" t="n"/>
      <c r="O734" s="415" t="n"/>
      <c r="P734" s="415" t="n"/>
      <c r="Q734" s="41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77" t="n">
        <v>45405</v>
      </c>
      <c r="C735" s="327" t="n">
        <v>20</v>
      </c>
      <c r="D735" s="472" t="inlineStr">
        <is>
          <t>Tunjangan Lapangan @ 1.5 juta/day x 2 days</t>
        </is>
      </c>
      <c r="E735" s="472" t="n"/>
      <c r="F735" s="473" t="n">
        <v>3000000</v>
      </c>
      <c r="G735" s="327" t="inlineStr">
        <is>
          <t>IDR</t>
        </is>
      </c>
      <c r="H735" s="474" t="n">
        <v>1</v>
      </c>
      <c r="I735" s="415" t="n"/>
      <c r="J735" s="416" t="n">
        <v>3000000</v>
      </c>
      <c r="K735" s="415" t="n"/>
      <c r="L735" s="415" t="n"/>
      <c r="M735" s="415" t="n"/>
      <c r="N735" s="415" t="n"/>
      <c r="O735" s="415" t="n"/>
      <c r="P735" s="415" t="n"/>
      <c r="Q735" s="41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77" t="n">
        <v>45405</v>
      </c>
      <c r="C736" s="327" t="n">
        <v>21</v>
      </c>
      <c r="D736" s="472" t="inlineStr">
        <is>
          <t>Meals 2 days @ 150,000/day</t>
        </is>
      </c>
      <c r="E736" s="472" t="n"/>
      <c r="F736" s="473" t="n">
        <v>300000</v>
      </c>
      <c r="G736" s="327" t="inlineStr">
        <is>
          <t>IDR</t>
        </is>
      </c>
      <c r="H736" s="474" t="n">
        <v>1</v>
      </c>
      <c r="I736" s="415" t="n"/>
      <c r="J736" s="416" t="n">
        <v>300000</v>
      </c>
      <c r="K736" s="415" t="n"/>
      <c r="L736" s="415" t="n"/>
      <c r="M736" s="415" t="n"/>
      <c r="N736" s="415" t="n"/>
      <c r="O736" s="415" t="n"/>
      <c r="P736" s="415" t="n"/>
      <c r="Q736" s="41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77" t="n">
        <v>45412</v>
      </c>
      <c r="C737" s="327" t="n">
        <v>22</v>
      </c>
      <c r="D737" s="472" t="inlineStr">
        <is>
          <t>Car 30 Apr-01 May 2024 (2 days) incl. Fuel &amp; Tol</t>
        </is>
      </c>
      <c r="E737" s="472" t="n"/>
      <c r="F737" s="473" t="n">
        <v>3000000</v>
      </c>
      <c r="G737" s="327" t="inlineStr">
        <is>
          <t>IDR</t>
        </is>
      </c>
      <c r="H737" s="474" t="n">
        <v>1</v>
      </c>
      <c r="I737" s="415" t="n"/>
      <c r="J737" s="416" t="n">
        <v>3000000</v>
      </c>
      <c r="K737" s="415" t="n"/>
      <c r="L737" s="415" t="n"/>
      <c r="M737" s="415" t="n"/>
      <c r="N737" s="415" t="n"/>
      <c r="O737" s="415" t="n"/>
      <c r="P737" s="415" t="n"/>
      <c r="Q737" s="41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81" t="n"/>
      <c r="C738" s="479" t="n"/>
      <c r="D738" s="482" t="n"/>
      <c r="E738" s="482" t="n"/>
      <c r="F738" s="480" t="n"/>
      <c r="G738" s="479" t="n"/>
      <c r="H738" s="479" t="n"/>
      <c r="I738" s="452" t="n"/>
      <c r="J738" s="452" t="n"/>
      <c r="K738" s="452" t="n"/>
      <c r="L738" s="452" t="n"/>
      <c r="M738" s="452" t="n"/>
      <c r="N738" s="452" t="n"/>
      <c r="O738" s="452" t="n"/>
      <c r="P738" s="452" t="n"/>
      <c r="Q738" s="452" t="n"/>
      <c r="R738" s="365" t="n"/>
      <c r="S738" s="365" t="n"/>
      <c r="T738" s="365" t="n"/>
      <c r="U738" s="365" t="n"/>
      <c r="V738" s="365" t="n"/>
      <c r="W738" s="365" t="n"/>
      <c r="X738" s="365" t="n"/>
    </row>
    <row r="739" hidden="1" ht="15.5" customHeight="1" s="297">
      <c r="B739" s="481" t="n"/>
      <c r="C739" s="479" t="n"/>
      <c r="D739" s="482" t="n"/>
      <c r="E739" s="482" t="n"/>
      <c r="F739" s="480" t="n"/>
      <c r="G739" s="479" t="n"/>
      <c r="H739" s="479" t="n"/>
      <c r="I739" s="452" t="n"/>
      <c r="J739" s="452" t="n"/>
      <c r="K739" s="452" t="n"/>
      <c r="L739" s="452" t="n"/>
      <c r="M739" s="452" t="n"/>
      <c r="N739" s="452" t="n"/>
      <c r="O739" s="452" t="n"/>
      <c r="P739" s="452" t="n"/>
      <c r="Q739" s="452" t="n"/>
      <c r="R739" s="365" t="n"/>
      <c r="S739" s="365" t="n"/>
      <c r="T739" s="365" t="n"/>
      <c r="U739" s="365" t="n"/>
      <c r="V739" s="365" t="n"/>
      <c r="W739" s="365" t="n"/>
      <c r="X739" s="365" t="n"/>
    </row>
    <row r="740" hidden="1" ht="15.5" customHeight="1" s="297">
      <c r="B740" s="481" t="n"/>
      <c r="C740" s="479" t="n"/>
      <c r="D740" s="482" t="n"/>
      <c r="E740" s="482" t="n"/>
      <c r="F740" s="480" t="n"/>
      <c r="G740" s="479" t="n"/>
      <c r="H740" s="479" t="n"/>
      <c r="I740" s="452" t="n"/>
      <c r="J740" s="452" t="n"/>
      <c r="K740" s="452" t="n"/>
      <c r="L740" s="452" t="n"/>
      <c r="M740" s="452" t="n"/>
      <c r="N740" s="452" t="n"/>
      <c r="O740" s="452" t="n"/>
      <c r="P740" s="452" t="n"/>
      <c r="Q740" s="452" t="n"/>
      <c r="R740" s="365" t="n"/>
      <c r="S740" s="365" t="n"/>
      <c r="T740" s="365" t="n"/>
      <c r="U740" s="365" t="n"/>
      <c r="V740" s="365" t="n"/>
      <c r="W740" s="365" t="n"/>
      <c r="X740" s="365" t="n"/>
    </row>
    <row r="741" hidden="1" ht="15.5" customHeight="1" s="297">
      <c r="B741" s="481" t="n"/>
      <c r="C741" s="479" t="n"/>
      <c r="D741" s="482" t="n"/>
      <c r="E741" s="482" t="n"/>
      <c r="F741" s="480" t="n"/>
      <c r="G741" s="479" t="n"/>
      <c r="H741" s="479" t="n"/>
      <c r="I741" s="452" t="n"/>
      <c r="J741" s="452" t="n"/>
      <c r="K741" s="452" t="n"/>
      <c r="L741" s="452" t="n"/>
      <c r="M741" s="452" t="n"/>
      <c r="N741" s="452" t="n"/>
      <c r="O741" s="452" t="n"/>
      <c r="P741" s="452" t="n"/>
      <c r="Q741" s="452" t="n"/>
      <c r="R741" s="365" t="n"/>
      <c r="S741" s="365" t="n"/>
      <c r="T741" s="365" t="n"/>
      <c r="U741" s="365" t="n"/>
      <c r="V741" s="365" t="n"/>
      <c r="W741" s="365" t="n"/>
      <c r="X741" s="365" t="n"/>
    </row>
    <row r="742" hidden="1" ht="15.5" customHeight="1" s="297">
      <c r="B742" s="481" t="n"/>
      <c r="C742" s="479" t="n"/>
      <c r="D742" s="482" t="n"/>
      <c r="E742" s="482" t="n"/>
      <c r="F742" s="480" t="n"/>
      <c r="G742" s="479" t="n"/>
      <c r="H742" s="479" t="n"/>
      <c r="I742" s="452" t="n"/>
      <c r="J742" s="452" t="n"/>
      <c r="K742" s="452" t="n"/>
      <c r="L742" s="452" t="n"/>
      <c r="M742" s="452" t="n"/>
      <c r="N742" s="452" t="n"/>
      <c r="O742" s="452" t="n"/>
      <c r="P742" s="452" t="n"/>
      <c r="Q742" s="452" t="n"/>
      <c r="R742" s="365" t="n"/>
      <c r="S742" s="365" t="n"/>
      <c r="T742" s="365" t="n"/>
      <c r="U742" s="365" t="n"/>
      <c r="V742" s="365" t="n"/>
      <c r="W742" s="365" t="n"/>
      <c r="X742" s="365" t="n"/>
    </row>
    <row r="743" hidden="1" ht="15.5" customHeight="1" s="297">
      <c r="B743" s="481" t="n"/>
      <c r="C743" s="479" t="n"/>
      <c r="D743" s="482" t="n"/>
      <c r="E743" s="482" t="n"/>
      <c r="F743" s="480" t="n"/>
      <c r="G743" s="479" t="n"/>
      <c r="H743" s="479" t="n"/>
      <c r="I743" s="452" t="n"/>
      <c r="J743" s="452" t="n"/>
      <c r="K743" s="452" t="n"/>
      <c r="L743" s="452" t="n"/>
      <c r="M743" s="452" t="n"/>
      <c r="N743" s="452" t="n"/>
      <c r="O743" s="452" t="n"/>
      <c r="P743" s="452" t="n"/>
      <c r="Q743" s="452" t="n"/>
      <c r="R743" s="365" t="n"/>
      <c r="S743" s="365" t="n"/>
      <c r="T743" s="365" t="n"/>
      <c r="U743" s="365" t="n"/>
      <c r="V743" s="365" t="n"/>
      <c r="W743" s="365" t="n"/>
      <c r="X743" s="365" t="n"/>
    </row>
    <row r="744" hidden="1" ht="15.5" customHeight="1" s="297">
      <c r="B744" s="481" t="n"/>
      <c r="C744" s="479" t="n"/>
      <c r="D744" s="482" t="n"/>
      <c r="E744" s="482" t="n"/>
      <c r="F744" s="480" t="n"/>
      <c r="G744" s="479" t="n"/>
      <c r="H744" s="479" t="n"/>
      <c r="I744" s="452" t="n"/>
      <c r="J744" s="452" t="n"/>
      <c r="K744" s="452" t="n"/>
      <c r="L744" s="452" t="n"/>
      <c r="M744" s="452" t="n"/>
      <c r="N744" s="452" t="n"/>
      <c r="O744" s="452" t="n"/>
      <c r="P744" s="452" t="n"/>
      <c r="Q744" s="452" t="n"/>
      <c r="R744" s="365" t="n"/>
      <c r="S744" s="365" t="n"/>
      <c r="T744" s="365" t="n"/>
      <c r="U744" s="365" t="n"/>
      <c r="V744" s="365" t="n"/>
      <c r="W744" s="365" t="n"/>
      <c r="X744" s="365" t="n"/>
    </row>
    <row r="745" hidden="1" ht="15.5" customHeight="1" s="297">
      <c r="B745" s="481" t="n"/>
      <c r="C745" s="479" t="n"/>
      <c r="D745" s="482" t="n"/>
      <c r="E745" s="482" t="n"/>
      <c r="F745" s="480" t="n"/>
      <c r="G745" s="479" t="n"/>
      <c r="H745" s="479" t="n"/>
      <c r="I745" s="452" t="n"/>
      <c r="J745" s="452" t="n"/>
      <c r="K745" s="452" t="n"/>
      <c r="L745" s="452" t="n"/>
      <c r="M745" s="452" t="n"/>
      <c r="N745" s="452" t="n"/>
      <c r="O745" s="452" t="n"/>
      <c r="P745" s="452" t="n"/>
      <c r="Q745" s="452" t="n"/>
      <c r="R745" s="365" t="n"/>
      <c r="S745" s="365" t="n"/>
      <c r="T745" s="365" t="n"/>
      <c r="U745" s="365" t="n"/>
      <c r="V745" s="365" t="n"/>
      <c r="W745" s="365" t="n"/>
      <c r="X745" s="365" t="n"/>
    </row>
    <row r="746" hidden="1" ht="15.5" customHeight="1" s="297">
      <c r="B746" s="481" t="n"/>
      <c r="C746" s="479" t="n"/>
      <c r="D746" s="482" t="n"/>
      <c r="E746" s="482" t="n"/>
      <c r="F746" s="480" t="n"/>
      <c r="G746" s="479" t="n"/>
      <c r="H746" s="479" t="n"/>
      <c r="I746" s="452" t="n"/>
      <c r="J746" s="452" t="n"/>
      <c r="K746" s="452" t="n"/>
      <c r="L746" s="452" t="n"/>
      <c r="M746" s="452" t="n"/>
      <c r="N746" s="452" t="n"/>
      <c r="O746" s="452" t="n"/>
      <c r="P746" s="452" t="n"/>
      <c r="Q746" s="452" t="n"/>
      <c r="R746" s="365" t="n"/>
      <c r="S746" s="365" t="n"/>
      <c r="T746" s="365" t="n"/>
      <c r="U746" s="365" t="n"/>
      <c r="V746" s="365" t="n"/>
      <c r="W746" s="365" t="n"/>
      <c r="X746" s="365" t="n"/>
    </row>
    <row r="747" hidden="1" ht="15.5" customHeight="1" s="297">
      <c r="B747" s="481" t="n"/>
      <c r="C747" s="479" t="n"/>
      <c r="D747" s="482" t="n"/>
      <c r="E747" s="482" t="n"/>
      <c r="F747" s="480" t="n"/>
      <c r="G747" s="479" t="n"/>
      <c r="H747" s="479" t="n"/>
      <c r="I747" s="452" t="n"/>
      <c r="J747" s="452" t="n"/>
      <c r="K747" s="452" t="n"/>
      <c r="L747" s="452" t="n"/>
      <c r="M747" s="452" t="n"/>
      <c r="N747" s="452" t="n"/>
      <c r="O747" s="452" t="n"/>
      <c r="P747" s="452" t="n"/>
      <c r="Q747" s="452" t="n"/>
      <c r="R747" s="365" t="n"/>
      <c r="S747" s="365" t="n"/>
      <c r="T747" s="365" t="n"/>
      <c r="U747" s="365" t="n"/>
      <c r="V747" s="365" t="n"/>
      <c r="W747" s="365" t="n"/>
      <c r="X747" s="365" t="n"/>
    </row>
    <row r="748" hidden="1" ht="15.5" customHeight="1" s="297">
      <c r="B748" s="481" t="n"/>
      <c r="C748" s="479" t="n"/>
      <c r="D748" s="482" t="n"/>
      <c r="E748" s="482" t="n"/>
      <c r="F748" s="480" t="n"/>
      <c r="G748" s="479" t="n"/>
      <c r="H748" s="479" t="n"/>
      <c r="I748" s="452" t="n"/>
      <c r="J748" s="452" t="n"/>
      <c r="K748" s="452" t="n"/>
      <c r="L748" s="452" t="n"/>
      <c r="M748" s="452" t="n"/>
      <c r="N748" s="452" t="n"/>
      <c r="O748" s="452" t="n"/>
      <c r="P748" s="452" t="n"/>
      <c r="Q748" s="452" t="n"/>
      <c r="R748" s="365" t="n"/>
      <c r="S748" s="365" t="n"/>
      <c r="T748" s="365" t="n"/>
      <c r="U748" s="365" t="n"/>
      <c r="V748" s="365" t="n"/>
      <c r="W748" s="365" t="n"/>
      <c r="X748" s="365" t="n"/>
    </row>
    <row r="749" hidden="1" ht="15.5" customHeight="1" s="297">
      <c r="B749" s="481" t="n"/>
      <c r="C749" s="479" t="n"/>
      <c r="D749" s="482" t="n"/>
      <c r="E749" s="482" t="n"/>
      <c r="F749" s="480" t="n"/>
      <c r="G749" s="479" t="n"/>
      <c r="H749" s="479" t="n"/>
      <c r="I749" s="452" t="n"/>
      <c r="J749" s="452" t="n"/>
      <c r="K749" s="452" t="n"/>
      <c r="L749" s="452" t="n"/>
      <c r="M749" s="452" t="n"/>
      <c r="N749" s="452" t="n"/>
      <c r="O749" s="452" t="n"/>
      <c r="P749" s="452" t="n"/>
      <c r="Q749" s="452" t="n"/>
      <c r="R749" s="365" t="n"/>
      <c r="S749" s="365" t="n"/>
      <c r="T749" s="365" t="n"/>
      <c r="U749" s="365" t="n"/>
      <c r="V749" s="365" t="n"/>
      <c r="W749" s="365" t="n"/>
      <c r="X749" s="365" t="n"/>
    </row>
    <row r="750" hidden="1" ht="15.5" customHeight="1" s="297">
      <c r="B750" s="481" t="n"/>
      <c r="C750" s="479" t="n"/>
      <c r="D750" s="482" t="n"/>
      <c r="E750" s="482" t="n"/>
      <c r="F750" s="480" t="n"/>
      <c r="G750" s="479" t="n"/>
      <c r="H750" s="479" t="n"/>
      <c r="I750" s="452" t="n">
        <v>991500000</v>
      </c>
      <c r="J750" s="452" t="n">
        <v>1165223146.932</v>
      </c>
      <c r="K750" s="452" t="n">
        <v>356012003</v>
      </c>
      <c r="L750" s="452" t="n">
        <v>367745000</v>
      </c>
      <c r="M750" s="452" t="n">
        <v>8769780</v>
      </c>
      <c r="N750" s="452" t="n">
        <v>200517570</v>
      </c>
      <c r="O750" s="452" t="n">
        <v>4995000</v>
      </c>
      <c r="P750" s="452" t="n">
        <v>38548717.5</v>
      </c>
      <c r="Q750" s="452" t="n">
        <v>202920000</v>
      </c>
      <c r="R750" s="365" t="n">
        <v>0</v>
      </c>
      <c r="S750" s="365" t="n">
        <v>0</v>
      </c>
      <c r="T750" s="365" t="n">
        <v>0</v>
      </c>
      <c r="U750" s="365" t="n">
        <v>0</v>
      </c>
      <c r="V750" s="365" t="n">
        <v>0</v>
      </c>
      <c r="W750" s="365" t="n">
        <v>0</v>
      </c>
      <c r="X750" s="365" t="n">
        <v>0</v>
      </c>
    </row>
    <row r="751" hidden="1" s="297">
      <c r="B751" s="481" t="n"/>
      <c r="C751" s="479" t="n"/>
      <c r="D751" s="482" t="n"/>
      <c r="E751" s="482" t="n"/>
      <c r="F751" s="480" t="n"/>
      <c r="G751" s="479" t="n"/>
      <c r="H751" s="479" t="n"/>
      <c r="I751" s="452" t="n"/>
      <c r="J751" s="452" t="n"/>
      <c r="K751" s="452" t="n"/>
      <c r="L751" s="452" t="n"/>
      <c r="M751" s="452" t="n"/>
      <c r="N751" s="452" t="n"/>
      <c r="O751" s="452" t="n"/>
      <c r="P751" s="452" t="n"/>
      <c r="Q751" s="452" t="n"/>
      <c r="R751" s="365" t="n"/>
      <c r="S751" s="365" t="n"/>
      <c r="T751" s="365" t="n"/>
      <c r="U751" s="365" t="n"/>
      <c r="V751" s="365" t="n"/>
      <c r="W751" s="365" t="n"/>
      <c r="X751" s="365" t="n"/>
    </row>
    <row r="752" hidden="1" s="297">
      <c r="B752" s="481" t="n"/>
      <c r="C752" s="479" t="n"/>
      <c r="D752" s="482" t="n"/>
      <c r="E752" s="482" t="n"/>
      <c r="F752" s="480" t="n"/>
      <c r="G752" s="479" t="n"/>
      <c r="H752" s="479" t="n"/>
      <c r="I752" s="452" t="n"/>
      <c r="J752" s="452" t="n"/>
      <c r="K752" s="452" t="n"/>
      <c r="L752" s="452" t="n"/>
      <c r="M752" s="452" t="n"/>
      <c r="N752" s="452" t="n"/>
      <c r="O752" s="452" t="n"/>
      <c r="P752" s="452" t="n"/>
      <c r="Q752" s="452" t="n"/>
      <c r="R752" s="365" t="n"/>
      <c r="S752" s="365" t="n"/>
      <c r="T752" s="365" t="n"/>
      <c r="U752" s="365" t="n"/>
      <c r="V752" s="365" t="n"/>
      <c r="W752" s="365" t="n"/>
      <c r="X752" s="365" t="n"/>
    </row>
    <row r="753" hidden="1" s="297">
      <c r="B753" s="481" t="n"/>
      <c r="C753" s="479" t="n"/>
      <c r="D753" s="482" t="n"/>
      <c r="E753" s="482" t="n"/>
      <c r="F753" s="480" t="n"/>
      <c r="G753" s="479" t="n"/>
      <c r="H753" s="479" t="n"/>
      <c r="I753" s="452" t="n"/>
      <c r="J753" s="452" t="n"/>
      <c r="K753" s="452" t="n"/>
      <c r="L753" s="452" t="n"/>
      <c r="M753" s="452" t="n"/>
      <c r="N753" s="452" t="n"/>
      <c r="O753" s="452" t="n"/>
      <c r="P753" s="452" t="n"/>
      <c r="Q753" s="452" t="n"/>
      <c r="R753" s="365" t="n"/>
      <c r="S753" s="365" t="n"/>
      <c r="T753" s="365" t="n"/>
      <c r="U753" s="365" t="n"/>
      <c r="V753" s="365" t="n"/>
      <c r="W753" s="365" t="n"/>
      <c r="X753" s="365" t="n"/>
    </row>
    <row r="754" hidden="1" s="297">
      <c r="B754" s="481" t="n"/>
      <c r="C754" s="479" t="n"/>
      <c r="D754" s="482" t="n"/>
      <c r="E754" s="482" t="n"/>
      <c r="F754" s="480" t="n"/>
      <c r="G754" s="479" t="n"/>
      <c r="H754" s="479" t="n"/>
      <c r="I754" s="452" t="n"/>
      <c r="J754" s="452" t="n"/>
      <c r="K754" s="452" t="n"/>
      <c r="L754" s="452" t="n"/>
      <c r="M754" s="452" t="n"/>
      <c r="N754" s="452" t="n"/>
      <c r="O754" s="452" t="n"/>
      <c r="P754" s="452" t="n"/>
      <c r="Q754" s="452" t="n"/>
      <c r="R754" s="365" t="n"/>
      <c r="S754" s="365" t="n"/>
      <c r="T754" s="365" t="n"/>
      <c r="U754" s="365" t="n"/>
      <c r="V754" s="365" t="n"/>
      <c r="W754" s="365" t="n"/>
      <c r="X754" s="365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401" t="n"/>
      <c r="F755" s="361" t="n"/>
      <c r="G755" s="380" t="n"/>
      <c r="H755" s="380" t="n"/>
      <c r="I755" s="458" t="n"/>
      <c r="J755" s="458" t="n"/>
      <c r="K755" s="458" t="n"/>
      <c r="L755" s="458" t="n"/>
      <c r="M755" s="458" t="n"/>
      <c r="N755" s="458" t="n"/>
      <c r="O755" s="458" t="n"/>
      <c r="P755" s="458" t="n"/>
      <c r="Q755" s="458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16" t="n">
        <v>2700000</v>
      </c>
      <c r="K756" s="415" t="n"/>
      <c r="L756" s="415" t="n"/>
      <c r="M756" s="415" t="n"/>
      <c r="N756" s="415" t="n"/>
      <c r="O756" s="415" t="n"/>
      <c r="P756" s="415" t="n"/>
      <c r="Q756" s="41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83" t="n"/>
      <c r="D757" s="484" t="inlineStr">
        <is>
          <t>Trip Rakan : BSTTraining at HSSE Training Center PT Pertamina EP Zone 7 Cirebon</t>
        </is>
      </c>
      <c r="E757" s="485" t="n"/>
      <c r="F757" s="483" t="n"/>
      <c r="G757" s="483" t="n"/>
      <c r="H757" s="483" t="n"/>
      <c r="I757" s="483" t="n"/>
      <c r="J757" s="483" t="n"/>
      <c r="K757" s="483" t="n"/>
      <c r="L757" s="483" t="n"/>
      <c r="M757" s="483" t="n"/>
      <c r="N757" s="483" t="n"/>
      <c r="O757" s="483" t="n"/>
      <c r="P757" s="458" t="n"/>
      <c r="Q757" s="458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86" t="n">
        <v>45656</v>
      </c>
      <c r="C758" s="318" t="n">
        <v>1</v>
      </c>
      <c r="D758" s="487" t="inlineStr">
        <is>
          <t>Meal Allowance 2 Days (29 - 30 December 2024)@ 150 rb</t>
        </is>
      </c>
      <c r="E758" s="487" t="n"/>
      <c r="F758" s="488" t="n">
        <v>300000</v>
      </c>
      <c r="G758" s="318" t="inlineStr">
        <is>
          <t>IDR</t>
        </is>
      </c>
      <c r="H758" s="324" t="n">
        <v>1</v>
      </c>
      <c r="I758" s="319" t="n"/>
      <c r="J758" s="489" t="n">
        <v>300000</v>
      </c>
      <c r="K758" s="490" t="n"/>
      <c r="L758" s="490" t="n"/>
      <c r="M758" s="490" t="n"/>
      <c r="N758" s="490" t="n"/>
      <c r="O758" s="490" t="n"/>
      <c r="P758" s="415" t="n"/>
      <c r="Q758" s="41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86" t="n">
        <v>45655</v>
      </c>
      <c r="C759" s="314" t="n">
        <v>2</v>
      </c>
      <c r="D759" s="487" t="inlineStr">
        <is>
          <t>Transport Train, (Jakarta to Cirebon)</t>
        </is>
      </c>
      <c r="E759" s="487" t="n"/>
      <c r="F759" s="491" t="n">
        <v>200000</v>
      </c>
      <c r="G759" s="314" t="inlineStr">
        <is>
          <t>IDR</t>
        </is>
      </c>
      <c r="H759" s="345" t="n">
        <v>1</v>
      </c>
      <c r="I759" s="319" t="n"/>
      <c r="J759" s="492" t="n">
        <v>200000</v>
      </c>
      <c r="K759" s="493" t="n"/>
      <c r="L759" s="490" t="n"/>
      <c r="M759" s="493" t="n"/>
      <c r="N759" s="493" t="n"/>
      <c r="O759" s="490" t="n"/>
      <c r="P759" s="415" t="n"/>
      <c r="Q759" s="41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86" t="n">
        <v>45655</v>
      </c>
      <c r="C760" s="314" t="n">
        <v>3</v>
      </c>
      <c r="D760" s="487" t="inlineStr">
        <is>
          <t>Gojek (Cirendeu to Gambir Station)</t>
        </is>
      </c>
      <c r="E760" s="487" t="n"/>
      <c r="F760" s="491" t="n">
        <v>61500</v>
      </c>
      <c r="G760" s="314" t="inlineStr">
        <is>
          <t>IDR</t>
        </is>
      </c>
      <c r="H760" s="345" t="n">
        <v>1</v>
      </c>
      <c r="I760" s="319" t="n"/>
      <c r="J760" s="492" t="n">
        <v>61500</v>
      </c>
      <c r="K760" s="493" t="n"/>
      <c r="L760" s="490" t="n"/>
      <c r="M760" s="493" t="n"/>
      <c r="N760" s="493" t="n"/>
      <c r="O760" s="490" t="n"/>
      <c r="P760" s="415" t="n"/>
      <c r="Q760" s="41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86" t="n">
        <v>45655</v>
      </c>
      <c r="C761" s="314" t="n">
        <v>4</v>
      </c>
      <c r="D761" s="487" t="inlineStr">
        <is>
          <t>Gojek (Cirebon Station to Hotel)</t>
        </is>
      </c>
      <c r="E761" s="487" t="n"/>
      <c r="F761" s="491" t="n">
        <v>12500</v>
      </c>
      <c r="G761" s="314" t="inlineStr">
        <is>
          <t>IDR</t>
        </is>
      </c>
      <c r="H761" s="345" t="n">
        <v>1</v>
      </c>
      <c r="I761" s="319" t="n"/>
      <c r="J761" s="492" t="n">
        <v>12500</v>
      </c>
      <c r="K761" s="493" t="n"/>
      <c r="L761" s="490" t="n"/>
      <c r="M761" s="493" t="n"/>
      <c r="N761" s="493" t="n"/>
      <c r="O761" s="490" t="n"/>
      <c r="P761" s="415" t="n"/>
      <c r="Q761" s="41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86" t="n">
        <v>45655</v>
      </c>
      <c r="C762" s="314" t="n">
        <v>5</v>
      </c>
      <c r="D762" s="487" t="inlineStr">
        <is>
          <t>Accomodation Hotel (Pia Hotel 29 - 30 des, 1 Night)</t>
        </is>
      </c>
      <c r="E762" s="487" t="n"/>
      <c r="F762" s="491" t="n">
        <v>224000</v>
      </c>
      <c r="G762" s="314" t="inlineStr">
        <is>
          <t>IDR</t>
        </is>
      </c>
      <c r="H762" s="345" t="n">
        <v>1</v>
      </c>
      <c r="I762" s="319" t="n"/>
      <c r="J762" s="492" t="n">
        <v>224000</v>
      </c>
      <c r="K762" s="493" t="n"/>
      <c r="L762" s="490" t="n"/>
      <c r="M762" s="493" t="n"/>
      <c r="N762" s="493" t="n"/>
      <c r="O762" s="490" t="n"/>
      <c r="P762" s="415" t="n"/>
      <c r="Q762" s="41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86" t="n">
        <v>45656</v>
      </c>
      <c r="C763" s="314" t="n">
        <v>6</v>
      </c>
      <c r="D763" s="487" t="inlineStr">
        <is>
          <t>Transport Train (Cirebon to Jakarta)</t>
        </is>
      </c>
      <c r="E763" s="487" t="n"/>
      <c r="F763" s="491" t="n">
        <v>140000</v>
      </c>
      <c r="G763" s="314" t="inlineStr">
        <is>
          <t>IDR</t>
        </is>
      </c>
      <c r="H763" s="345" t="n">
        <v>1</v>
      </c>
      <c r="I763" s="319" t="n"/>
      <c r="J763" s="492" t="n">
        <v>140000</v>
      </c>
      <c r="K763" s="493" t="n"/>
      <c r="L763" s="490" t="n"/>
      <c r="M763" s="493" t="n"/>
      <c r="N763" s="493" t="n"/>
      <c r="O763" s="490" t="n"/>
      <c r="P763" s="415" t="n"/>
      <c r="Q763" s="41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86" t="n">
        <v>45656</v>
      </c>
      <c r="C764" s="314" t="n">
        <v>7</v>
      </c>
      <c r="D764" s="487" t="inlineStr">
        <is>
          <t>Gojek (Hotel to HSSE Training Center PEP Zone 7)</t>
        </is>
      </c>
      <c r="E764" s="487" t="n"/>
      <c r="F764" s="491" t="n">
        <v>11000</v>
      </c>
      <c r="G764" s="314" t="inlineStr">
        <is>
          <t>IDR</t>
        </is>
      </c>
      <c r="H764" s="345" t="n">
        <v>1</v>
      </c>
      <c r="I764" s="319" t="n"/>
      <c r="J764" s="492" t="n">
        <v>11000</v>
      </c>
      <c r="K764" s="493" t="n"/>
      <c r="L764" s="490" t="n"/>
      <c r="M764" s="493" t="n"/>
      <c r="N764" s="493" t="n"/>
      <c r="O764" s="490" t="n"/>
      <c r="P764" s="415" t="n"/>
      <c r="Q764" s="41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86" t="n">
        <v>45656</v>
      </c>
      <c r="C765" s="314" t="n">
        <v>8</v>
      </c>
      <c r="D765" s="487" t="inlineStr">
        <is>
          <t>Gojek (CSB to Cirebon Train Station)</t>
        </is>
      </c>
      <c r="E765" s="487" t="n"/>
      <c r="F765" s="491" t="n">
        <v>11000</v>
      </c>
      <c r="G765" s="314" t="inlineStr">
        <is>
          <t>IDR</t>
        </is>
      </c>
      <c r="H765" s="345" t="n">
        <v>1</v>
      </c>
      <c r="I765" s="319" t="n"/>
      <c r="J765" s="492" t="n">
        <v>11000</v>
      </c>
      <c r="K765" s="493" t="n"/>
      <c r="L765" s="490" t="n"/>
      <c r="M765" s="493" t="n"/>
      <c r="N765" s="493" t="n"/>
      <c r="O765" s="490" t="n"/>
      <c r="P765" s="415" t="n"/>
      <c r="Q765" s="41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86" t="n">
        <v>45656</v>
      </c>
      <c r="C766" s="314" t="n">
        <v>9</v>
      </c>
      <c r="D766" s="487" t="inlineStr">
        <is>
          <t>Gojek (Gambir Station to Cirendeu)</t>
        </is>
      </c>
      <c r="E766" s="487" t="n"/>
      <c r="F766" s="491" t="n">
        <v>66000</v>
      </c>
      <c r="G766" s="314" t="inlineStr">
        <is>
          <t>IDR</t>
        </is>
      </c>
      <c r="H766" s="345" t="n">
        <v>1</v>
      </c>
      <c r="I766" s="319" t="n"/>
      <c r="J766" s="492" t="n">
        <v>66000</v>
      </c>
      <c r="K766" s="493" t="n"/>
      <c r="L766" s="493" t="n"/>
      <c r="M766" s="493" t="n"/>
      <c r="N766" s="493" t="n"/>
      <c r="O766" s="490" t="n"/>
      <c r="P766" s="415" t="n"/>
      <c r="Q766" s="41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90" t="n"/>
      <c r="C767" s="494" t="n"/>
      <c r="D767" s="278" t="n"/>
      <c r="E767" s="278" t="n"/>
      <c r="F767" s="278" t="n"/>
      <c r="G767" s="278" t="n"/>
      <c r="H767" s="279" t="n"/>
      <c r="I767" s="452" t="n"/>
      <c r="J767" s="452" t="n"/>
      <c r="K767" s="452" t="n"/>
      <c r="L767" s="452" t="n"/>
      <c r="M767" s="452" t="n"/>
      <c r="N767" s="452" t="n"/>
      <c r="O767" s="452" t="n"/>
      <c r="P767" s="452" t="n"/>
      <c r="Q767" s="452" t="n"/>
      <c r="R767" s="365" t="n"/>
      <c r="S767" s="365" t="n"/>
      <c r="T767" s="365" t="n"/>
      <c r="U767" s="365" t="n"/>
      <c r="V767" s="365" t="n"/>
      <c r="W767" s="365" t="n"/>
      <c r="X767" s="365" t="n"/>
    </row>
    <row r="768">
      <c r="B768" s="386" t="inlineStr">
        <is>
          <t>TOTAL</t>
        </is>
      </c>
      <c r="C768" s="365" t="n"/>
      <c r="D768" s="365" t="n"/>
      <c r="E768" s="365" t="n"/>
      <c r="F768" s="365" t="n"/>
      <c r="G768" s="365" t="n"/>
      <c r="H768" s="365" t="n"/>
      <c r="I768" s="386" t="n">
        <v>991500000</v>
      </c>
      <c r="J768" s="386" t="n">
        <v>1165223146.932</v>
      </c>
      <c r="K768" s="386" t="n">
        <v>356012003</v>
      </c>
      <c r="L768" s="386" t="n">
        <v>367745000</v>
      </c>
      <c r="M768" s="386" t="n">
        <v>8769780</v>
      </c>
      <c r="N768" s="386" t="n">
        <v>200517570</v>
      </c>
      <c r="O768" s="386" t="n">
        <v>4995000</v>
      </c>
      <c r="P768" s="386" t="n">
        <v>38548717.5</v>
      </c>
      <c r="Q768" s="386" t="n">
        <v>202920000</v>
      </c>
      <c r="R768" s="386" t="n">
        <v>0</v>
      </c>
      <c r="S768" s="386" t="n">
        <v>0</v>
      </c>
      <c r="T768" s="386" t="n">
        <v>0</v>
      </c>
      <c r="U768" s="386" t="n">
        <v>0</v>
      </c>
      <c r="V768" s="386" t="n">
        <v>0</v>
      </c>
      <c r="W768" s="386" t="n">
        <v>0</v>
      </c>
      <c r="X768" s="386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  <c r="G3" s="499" t="inlineStr">
        <is>
          <t>PT. EXSPAN WIRELINE INDONESIA</t>
        </is>
      </c>
      <c r="H3" s="499" t="n"/>
      <c r="I3" s="499" t="n"/>
      <c r="J3" s="499" t="n"/>
    </row>
    <row r="4" ht="20.5" customHeight="1" s="297">
      <c r="A4" s="495" t="n"/>
      <c r="B4" s="500" t="inlineStr">
        <is>
          <t>LABA RUGI | TAHUN 2024</t>
        </is>
      </c>
      <c r="F4" s="498" t="n"/>
      <c r="G4" s="501" t="inlineStr">
        <is>
          <t>NERACA | TAHUN YANG BERAKHIR, 31 DESEMBER 2024</t>
        </is>
      </c>
      <c r="H4" s="501" t="n"/>
      <c r="I4" s="501" t="n"/>
      <c r="J4" s="501" t="n"/>
      <c r="K4" s="502" t="inlineStr">
        <is>
          <t>CATATAN KEAMANAN</t>
        </is>
      </c>
    </row>
    <row r="5" ht="6" customHeight="1" s="297">
      <c r="A5" s="495" t="n"/>
      <c r="B5" s="495" t="n"/>
      <c r="C5" s="495" t="n"/>
      <c r="D5" s="495" t="n"/>
      <c r="E5" s="496" t="n"/>
      <c r="F5" s="498" t="n"/>
      <c r="G5" s="498" t="n"/>
      <c r="H5" s="503" t="n"/>
      <c r="I5" s="503" t="n"/>
      <c r="J5" s="503" t="n"/>
      <c r="K5" t="inlineStr">
        <is>
          <t>Kolom ini aman dari overwrite sistem.</t>
        </is>
      </c>
    </row>
    <row r="6" ht="15.5" customHeight="1" s="297">
      <c r="A6" s="495" t="n"/>
      <c r="B6" s="504" t="n"/>
      <c r="C6" s="505" t="n"/>
      <c r="D6" s="506" t="inlineStr">
        <is>
          <t>PT. Exspan Wireline Indonesia</t>
        </is>
      </c>
      <c r="E6" s="289" t="n"/>
      <c r="F6" s="498" t="n"/>
      <c r="G6" s="507" t="n"/>
      <c r="H6" s="508" t="n"/>
      <c r="I6" s="506" t="inlineStr">
        <is>
          <t>PT. Exspan Wireline Indonesia</t>
        </is>
      </c>
      <c r="J6" s="289" t="n"/>
      <c r="K6" t="inlineStr">
        <is>
          <t>Diverifikasi pada: 2026-03-29 16:46</t>
        </is>
      </c>
    </row>
    <row r="7" ht="15.5" customHeight="1" s="297">
      <c r="A7" s="495" t="n"/>
      <c r="B7" s="509" t="n"/>
      <c r="C7" s="510" t="n"/>
      <c r="D7" s="511" t="inlineStr">
        <is>
          <t>(Rp)</t>
        </is>
      </c>
      <c r="E7" s="290" t="n"/>
      <c r="F7" s="498" t="n"/>
      <c r="G7" s="512" t="n"/>
      <c r="H7" s="513" t="n"/>
      <c r="I7" s="511" t="inlineStr">
        <is>
          <t>(Rp)</t>
        </is>
      </c>
      <c r="J7" s="290" t="n"/>
    </row>
    <row r="8">
      <c r="A8" s="495" t="n"/>
      <c r="B8" s="514" t="inlineStr">
        <is>
          <t>PENDAPATAN</t>
        </is>
      </c>
      <c r="C8" s="515" t="n"/>
      <c r="D8" s="516" t="n"/>
      <c r="E8" s="517" t="n"/>
      <c r="F8" s="498" t="n"/>
      <c r="G8" s="518" t="inlineStr">
        <is>
          <t>AKTIVA</t>
        </is>
      </c>
      <c r="H8" s="519" t="n"/>
      <c r="I8" s="520" t="n"/>
      <c r="J8" s="521" t="n"/>
    </row>
    <row r="9">
      <c r="A9" s="495" t="n"/>
      <c r="B9" s="522" t="n"/>
      <c r="C9" s="515" t="inlineStr">
        <is>
          <t>PENDAPATAN LANGSUNG</t>
        </is>
      </c>
      <c r="D9" s="522" t="inlineStr">
        <is>
          <t>Rp</t>
        </is>
      </c>
      <c r="E9" s="523">
        <f>SUM('Revenue-Cost_2024'!F8:F20)</f>
        <v/>
      </c>
      <c r="F9" s="498" t="n"/>
      <c r="G9" s="524" t="inlineStr">
        <is>
          <t>AKTIVA LANCAR</t>
        </is>
      </c>
      <c r="H9" s="525" t="n"/>
      <c r="I9" s="524" t="n"/>
      <c r="J9" s="526" t="n"/>
    </row>
    <row r="10">
      <c r="A10" s="495" t="n"/>
      <c r="B10" s="522" t="n"/>
      <c r="C10" s="515" t="inlineStr">
        <is>
          <t>PENDAPATAN LAIN LAIN</t>
        </is>
      </c>
      <c r="D10" s="522" t="inlineStr">
        <is>
          <t>Rp</t>
        </is>
      </c>
      <c r="E10" s="523">
        <f>SUM('Revenue-Cost_2024'!F21)</f>
        <v/>
      </c>
      <c r="F10" s="498" t="n"/>
      <c r="G10" s="527" t="n"/>
      <c r="H10" s="528" t="inlineStr">
        <is>
          <t>KAS DAN SETARA KAS TAHUN SEBELUMNYA</t>
        </is>
      </c>
      <c r="I10" s="522" t="inlineStr">
        <is>
          <t>Rp</t>
        </is>
      </c>
      <c r="J10" s="529" t="n">
        <v>0</v>
      </c>
    </row>
    <row r="11">
      <c r="A11" s="495" t="n"/>
      <c r="B11" s="522" t="n"/>
      <c r="C11" s="515" t="n"/>
      <c r="D11" s="530" t="n"/>
      <c r="E11" s="531" t="n"/>
      <c r="F11" s="498" t="n"/>
      <c r="G11" s="527" t="n"/>
      <c r="H11" s="528" t="inlineStr">
        <is>
          <t>KAS DAN SETARA KAS TAHUN LAPORAN</t>
        </is>
      </c>
      <c r="I11" s="522" t="inlineStr">
        <is>
          <t>Rp</t>
        </is>
      </c>
      <c r="J11" s="529">
        <f>E46-'Business Summary'!E13</f>
        <v/>
      </c>
    </row>
    <row r="12">
      <c r="A12" s="495" t="n"/>
      <c r="B12" s="532" t="inlineStr">
        <is>
          <t>TOTALPENDAPATAN</t>
        </is>
      </c>
      <c r="C12" s="533" t="n"/>
      <c r="D12" s="534" t="inlineStr">
        <is>
          <t>Rp</t>
        </is>
      </c>
      <c r="E12" s="535">
        <f>SUM(E9:E11)</f>
        <v/>
      </c>
      <c r="F12" s="498" t="n"/>
      <c r="G12" s="527" t="n"/>
      <c r="H12" s="528" t="inlineStr">
        <is>
          <t>PIUTANG USAHA</t>
        </is>
      </c>
      <c r="I12" s="522" t="inlineStr">
        <is>
          <t>Rp</t>
        </is>
      </c>
      <c r="J12" s="529" t="n">
        <v>0</v>
      </c>
    </row>
    <row r="13">
      <c r="A13" s="495" t="n"/>
      <c r="B13" s="522" t="n"/>
      <c r="C13" s="515" t="n"/>
      <c r="D13" s="516" t="n"/>
      <c r="E13" s="536" t="n"/>
      <c r="F13" s="498" t="n"/>
      <c r="G13" s="527" t="n"/>
      <c r="H13" s="528" t="inlineStr">
        <is>
          <t>PAJAK BAYAR DI MUKA (pph23)</t>
        </is>
      </c>
      <c r="I13" s="522" t="inlineStr">
        <is>
          <t>Rp</t>
        </is>
      </c>
      <c r="J13" s="529" t="n">
        <v>0</v>
      </c>
    </row>
    <row r="14">
      <c r="A14" s="495" t="n"/>
      <c r="B14" s="537" t="inlineStr">
        <is>
          <t>BEBAN LANGSUNG</t>
        </is>
      </c>
      <c r="C14" s="515" t="n"/>
      <c r="D14" s="522" t="n"/>
      <c r="E14" s="538" t="n"/>
      <c r="F14" s="498" t="n"/>
      <c r="G14" s="527" t="n"/>
      <c r="H14" s="528" t="inlineStr">
        <is>
          <t>BIAYA BAYAR DI MUKA</t>
        </is>
      </c>
      <c r="I14" s="522" t="inlineStr">
        <is>
          <t>Rp</t>
        </is>
      </c>
      <c r="J14" s="529" t="n">
        <v>0</v>
      </c>
    </row>
    <row r="15">
      <c r="A15" s="495" t="n"/>
      <c r="B15" s="539" t="n"/>
      <c r="C15" s="515" t="inlineStr">
        <is>
          <t xml:space="preserve">Biaya Operasi </t>
        </is>
      </c>
      <c r="D15" s="522" t="inlineStr">
        <is>
          <t>Rp</t>
        </is>
      </c>
      <c r="E15" s="538">
        <f>'Revenue-Cost_2024'!I750</f>
        <v/>
      </c>
      <c r="F15" s="498" t="n"/>
      <c r="G15" s="540" t="n"/>
      <c r="H15" s="528" t="inlineStr">
        <is>
          <t>PIUTANG LAIN LAIN</t>
        </is>
      </c>
      <c r="I15" s="522" t="inlineStr">
        <is>
          <t>Rp</t>
        </is>
      </c>
      <c r="J15" s="529" t="n">
        <v>0</v>
      </c>
    </row>
    <row r="16">
      <c r="A16" s="495" t="n"/>
      <c r="B16" s="539" t="n"/>
      <c r="C16" s="515" t="inlineStr">
        <is>
          <t>Biaya research (R &amp; D)</t>
        </is>
      </c>
      <c r="D16" s="522" t="inlineStr">
        <is>
          <t>Rp</t>
        </is>
      </c>
      <c r="E16" s="538">
        <f>'Revenue-Cost_2024'!J750</f>
        <v/>
      </c>
      <c r="F16" s="498" t="n"/>
      <c r="G16" s="541" t="n"/>
      <c r="H16" s="542" t="inlineStr">
        <is>
          <t>TOTAL AKTIVA LANCAR</t>
        </is>
      </c>
      <c r="I16" s="534" t="inlineStr">
        <is>
          <t>Rp</t>
        </is>
      </c>
      <c r="J16" s="543">
        <f>SUM(J10:J15)</f>
        <v/>
      </c>
    </row>
    <row r="17">
      <c r="A17" s="495" t="n"/>
      <c r="B17" s="539" t="n"/>
      <c r="C17" s="515" t="inlineStr">
        <is>
          <t>BIAYA SEWA PERALATAN</t>
        </is>
      </c>
      <c r="D17" s="522" t="inlineStr">
        <is>
          <t>Rp</t>
        </is>
      </c>
      <c r="E17" s="538">
        <f>'Revenue-Cost_2024'!K750</f>
        <v/>
      </c>
      <c r="F17" s="498" t="n"/>
      <c r="G17" s="527" t="n"/>
      <c r="H17" s="528" t="n"/>
      <c r="I17" s="544" t="n"/>
      <c r="J17" s="545" t="n"/>
    </row>
    <row r="18">
      <c r="A18" s="495" t="n"/>
      <c r="B18" s="539" t="n"/>
      <c r="C18" s="515" t="inlineStr">
        <is>
          <t>BIAYA Data Processing</t>
        </is>
      </c>
      <c r="D18" s="522" t="inlineStr">
        <is>
          <t>Rp</t>
        </is>
      </c>
      <c r="E18" s="538">
        <f>'Revenue-Cost_2024'!L750</f>
        <v/>
      </c>
      <c r="F18" s="498" t="n"/>
      <c r="G18" s="524" t="inlineStr">
        <is>
          <t>ACTIVA TETAP</t>
        </is>
      </c>
      <c r="H18" s="546" t="n"/>
      <c r="I18" s="518" t="n"/>
      <c r="J18" s="529" t="n"/>
    </row>
    <row r="19">
      <c r="A19" s="495" t="n"/>
      <c r="B19" s="539" t="n"/>
      <c r="C19" s="515" t="n"/>
      <c r="D19" s="522" t="n"/>
      <c r="E19" s="538" t="n"/>
      <c r="F19" s="498" t="n"/>
      <c r="G19" s="524" t="n"/>
      <c r="H19" s="546" t="n"/>
      <c r="I19" s="518" t="n"/>
      <c r="J19" s="529" t="n"/>
    </row>
    <row r="20">
      <c r="A20" s="495" t="n"/>
      <c r="B20" s="539" t="n"/>
      <c r="C20" s="515" t="n"/>
      <c r="D20" s="530" t="n"/>
      <c r="E20" s="547" t="n"/>
      <c r="F20" s="498" t="n"/>
      <c r="G20" s="527" t="n"/>
      <c r="H20" s="528" t="inlineStr">
        <is>
          <t>INVENTARIS KANTOR</t>
        </is>
      </c>
      <c r="I20" s="522" t="inlineStr">
        <is>
          <t>Rp</t>
        </is>
      </c>
      <c r="J20" s="529" t="n">
        <v>0</v>
      </c>
    </row>
    <row r="21">
      <c r="A21" s="495" t="n"/>
      <c r="B21" s="532" t="inlineStr">
        <is>
          <t>TOTAL BIAYA LANGSUNG</t>
        </is>
      </c>
      <c r="C21" s="533" t="n"/>
      <c r="D21" s="534" t="inlineStr">
        <is>
          <t>Rp</t>
        </is>
      </c>
      <c r="E21" s="548">
        <f>SUM(E15:E20)</f>
        <v/>
      </c>
      <c r="F21" s="498" t="n"/>
      <c r="G21" s="527" t="n"/>
      <c r="H21" s="546" t="n"/>
      <c r="I21" s="549" t="n"/>
      <c r="J21" s="550" t="n"/>
    </row>
    <row r="22">
      <c r="A22" s="495" t="n"/>
      <c r="B22" s="522" t="n"/>
      <c r="C22" s="515" t="n"/>
      <c r="D22" s="516" t="n"/>
      <c r="E22" s="551" t="n"/>
      <c r="F22" s="498" t="n"/>
      <c r="G22" s="541" t="n"/>
      <c r="H22" s="542" t="inlineStr">
        <is>
          <t>TOTAL AKTIVA TETAP</t>
        </is>
      </c>
      <c r="I22" s="534" t="inlineStr">
        <is>
          <t>Rp</t>
        </is>
      </c>
      <c r="J22" s="543">
        <f>J20</f>
        <v/>
      </c>
    </row>
    <row r="23">
      <c r="A23" s="495" t="n"/>
      <c r="B23" s="537" t="inlineStr">
        <is>
          <t>BEBAN TIDAK LANGSUNG</t>
        </is>
      </c>
      <c r="C23" s="515" t="n"/>
      <c r="D23" s="522" t="n"/>
      <c r="E23" s="538">
        <f>'Revenue-Cost_2024'!Q750</f>
        <v/>
      </c>
      <c r="F23" s="498" t="n"/>
      <c r="G23" s="527" t="n"/>
      <c r="H23" s="528" t="n"/>
      <c r="I23" s="544" t="n"/>
      <c r="J23" s="521" t="n"/>
    </row>
    <row r="24">
      <c r="A24" s="495" t="n"/>
      <c r="B24" s="522" t="n"/>
      <c r="C24" s="515" t="n"/>
      <c r="D24" s="522" t="n"/>
      <c r="E24" s="538" t="n"/>
      <c r="F24" s="498" t="n"/>
      <c r="G24" s="524" t="inlineStr">
        <is>
          <t>ACTIVA LAIN LAIN</t>
        </is>
      </c>
      <c r="H24" s="546" t="n"/>
      <c r="I24" s="518" t="n"/>
      <c r="J24" s="529" t="n">
        <v>0</v>
      </c>
    </row>
    <row r="25">
      <c r="A25" s="495" t="n"/>
      <c r="B25" s="522" t="n"/>
      <c r="C25" s="515" t="n"/>
      <c r="D25" s="522" t="inlineStr">
        <is>
          <t>Rp</t>
        </is>
      </c>
      <c r="E25" s="538" t="n"/>
      <c r="F25" s="498" t="n"/>
      <c r="G25" s="527" t="n"/>
      <c r="H25" s="528" t="n"/>
      <c r="I25" s="552" t="n"/>
      <c r="J25" s="553" t="n">
        <v>0</v>
      </c>
    </row>
    <row r="26">
      <c r="A26" s="495" t="n"/>
      <c r="B26" s="522" t="n"/>
      <c r="C26" s="515" t="n"/>
      <c r="D26" s="530" t="n"/>
      <c r="E26" s="547" t="n"/>
      <c r="F26" s="498" t="n"/>
      <c r="G26" s="541" t="n"/>
      <c r="H26" s="542" t="inlineStr">
        <is>
          <t>TOTAL AKTIVA LAIN LAIN</t>
        </is>
      </c>
      <c r="I26" s="534" t="inlineStr">
        <is>
          <t>Rp</t>
        </is>
      </c>
      <c r="J26" s="543">
        <f>SUM(J25:J25)</f>
        <v/>
      </c>
    </row>
    <row r="27">
      <c r="A27" s="495" t="n"/>
      <c r="B27" s="532" t="inlineStr">
        <is>
          <t>TOTAL BIAYA TIDAK LANGSUNG</t>
        </is>
      </c>
      <c r="C27" s="533" t="n"/>
      <c r="D27" s="534" t="inlineStr">
        <is>
          <t>Rp</t>
        </is>
      </c>
      <c r="E27" s="548">
        <f>SUM(E22:E26)</f>
        <v/>
      </c>
      <c r="F27" s="498" t="n"/>
      <c r="G27" s="527" t="n"/>
      <c r="H27" s="528" t="n"/>
      <c r="I27" s="554" t="n"/>
      <c r="J27" s="555" t="n"/>
    </row>
    <row r="28">
      <c r="A28" s="495" t="n"/>
      <c r="B28" s="522" t="n"/>
      <c r="C28" s="515" t="n"/>
      <c r="D28" s="516" t="n"/>
      <c r="E28" s="551" t="n"/>
      <c r="F28" s="498" t="n"/>
      <c r="G28" s="532" t="inlineStr">
        <is>
          <t>TOTAL AKTIVA</t>
        </is>
      </c>
      <c r="H28" s="533" t="n"/>
      <c r="I28" s="534" t="inlineStr">
        <is>
          <t>Rp</t>
        </is>
      </c>
      <c r="J28" s="556">
        <f>J26+J22+J16</f>
        <v/>
      </c>
    </row>
    <row r="29">
      <c r="A29" s="495" t="n"/>
      <c r="B29" s="537" t="inlineStr">
        <is>
          <t>BIAYA ADMINISTRASI DAN UMUM</t>
        </is>
      </c>
      <c r="C29" s="515" t="n"/>
      <c r="D29" s="522" t="n"/>
      <c r="E29" s="538" t="n"/>
      <c r="F29" s="498" t="n"/>
      <c r="G29" s="557" t="n"/>
      <c r="H29" s="558" t="n"/>
      <c r="I29" s="557" t="n"/>
      <c r="J29" s="545" t="n"/>
    </row>
    <row r="30">
      <c r="A30" s="495" t="n"/>
      <c r="B30" s="539" t="n"/>
      <c r="C30" s="515" t="inlineStr">
        <is>
          <t>BIAYA ADMINISTRASI</t>
        </is>
      </c>
      <c r="D30" s="522" t="inlineStr">
        <is>
          <t>Rp</t>
        </is>
      </c>
      <c r="E30" s="538">
        <f>'Revenue-Cost_2024'!M750</f>
        <v/>
      </c>
      <c r="F30" s="498" t="n"/>
      <c r="G30" s="559" t="inlineStr">
        <is>
          <t>HUTANG DAN MODAL</t>
        </is>
      </c>
      <c r="H30" s="519" t="n"/>
      <c r="I30" s="559" t="n"/>
      <c r="J30" s="560" t="n"/>
    </row>
    <row r="31">
      <c r="A31" s="495" t="n"/>
      <c r="B31" s="539" t="n"/>
      <c r="C31" s="515" t="inlineStr">
        <is>
          <t>BIAYA PEMBELIAN Barang</t>
        </is>
      </c>
      <c r="D31" s="522" t="inlineStr">
        <is>
          <t>Rp</t>
        </is>
      </c>
      <c r="E31" s="538">
        <f>'Revenue-Cost_2024'!N750</f>
        <v/>
      </c>
      <c r="F31" s="498" t="n"/>
      <c r="G31" s="559" t="n"/>
      <c r="H31" s="519" t="n"/>
      <c r="I31" s="559" t="n"/>
      <c r="J31" s="560" t="n"/>
    </row>
    <row r="32">
      <c r="A32" s="495" t="n"/>
      <c r="B32" s="539" t="n"/>
      <c r="C32" s="515" t="inlineStr">
        <is>
          <t>BIAYA SEWA KANTOR</t>
        </is>
      </c>
      <c r="D32" s="522" t="inlineStr">
        <is>
          <t>Rp</t>
        </is>
      </c>
      <c r="E32" s="538">
        <f>'Revenue-Cost_2024'!O750</f>
        <v/>
      </c>
      <c r="F32" s="498" t="n"/>
      <c r="G32" s="524" t="inlineStr">
        <is>
          <t>HUTANG LANCAR</t>
        </is>
      </c>
      <c r="H32" s="525" t="n"/>
      <c r="I32" s="524" t="n"/>
      <c r="J32" s="526" t="n"/>
    </row>
    <row r="33">
      <c r="A33" s="495" t="n"/>
      <c r="B33" s="539" t="n"/>
      <c r="C33" s="515" t="inlineStr">
        <is>
          <t>BIAYA KESEHATAN</t>
        </is>
      </c>
      <c r="D33" s="522" t="inlineStr">
        <is>
          <t>Rp</t>
        </is>
      </c>
      <c r="E33" s="538">
        <f>'Revenue-Cost_2024'!P750</f>
        <v/>
      </c>
      <c r="F33" s="498" t="n"/>
      <c r="G33" s="527" t="n"/>
      <c r="H33" s="528" t="inlineStr">
        <is>
          <t>HUTANG USAHA</t>
        </is>
      </c>
      <c r="I33" s="522" t="inlineStr">
        <is>
          <t>Rp</t>
        </is>
      </c>
      <c r="J33" s="529" t="n">
        <v>0</v>
      </c>
    </row>
    <row r="34">
      <c r="A34" s="495" t="n"/>
      <c r="B34" s="539" t="n"/>
      <c r="C34" s="515" t="n"/>
      <c r="D34" s="530" t="n"/>
      <c r="E34" s="547" t="n"/>
      <c r="F34" s="498" t="n"/>
      <c r="G34" s="527" t="n"/>
      <c r="H34" s="561" t="inlineStr">
        <is>
          <t>HUTANG GAJI</t>
        </is>
      </c>
      <c r="I34" s="522" t="inlineStr">
        <is>
          <t>Rp</t>
        </is>
      </c>
      <c r="J34" s="529" t="n">
        <v>0</v>
      </c>
    </row>
    <row r="35">
      <c r="A35" s="495" t="n"/>
      <c r="B35" s="532" t="inlineStr">
        <is>
          <t>TOTAL BIAYA ADMINISTRASI DAN UMUM</t>
        </is>
      </c>
      <c r="C35" s="533" t="n"/>
      <c r="D35" s="534" t="inlineStr">
        <is>
          <t>Rp</t>
        </is>
      </c>
      <c r="E35" s="535">
        <f>SUM(E30:E34)</f>
        <v/>
      </c>
      <c r="F35" s="498" t="n"/>
      <c r="G35" s="527" t="n"/>
      <c r="H35" s="528" t="inlineStr">
        <is>
          <t>HUTANG PEMEGANG SAHAM</t>
        </is>
      </c>
      <c r="I35" s="522" t="inlineStr">
        <is>
          <t>Rp</t>
        </is>
      </c>
      <c r="J35" s="529" t="n">
        <v>0</v>
      </c>
    </row>
    <row r="36">
      <c r="A36" s="495" t="n"/>
      <c r="B36" s="539" t="n"/>
      <c r="C36" s="515" t="n"/>
      <c r="D36" s="534" t="n"/>
      <c r="E36" s="562" t="n"/>
      <c r="F36" s="498" t="n"/>
      <c r="G36" s="527" t="n"/>
      <c r="H36" s="528" t="inlineStr">
        <is>
          <t>BIAYA YANG MASIH HARUS DI BAYAR</t>
        </is>
      </c>
      <c r="I36" s="522" t="inlineStr">
        <is>
          <t>Rp</t>
        </is>
      </c>
      <c r="J36" s="529" t="n">
        <v>0</v>
      </c>
    </row>
    <row r="37">
      <c r="A37" s="495" t="n"/>
      <c r="B37" s="532" t="inlineStr">
        <is>
          <t>TOTAL BIAYA</t>
        </is>
      </c>
      <c r="C37" s="533" t="n"/>
      <c r="D37" s="534" t="inlineStr">
        <is>
          <t>Rp</t>
        </is>
      </c>
      <c r="E37" s="535">
        <f>E35+E21+E27</f>
        <v/>
      </c>
      <c r="F37" s="498" t="n"/>
      <c r="G37" s="563" t="n"/>
      <c r="H37" s="564" t="n"/>
      <c r="I37" s="563" t="n"/>
      <c r="J37" s="565" t="n"/>
    </row>
    <row r="38">
      <c r="A38" s="495" t="n"/>
      <c r="B38" s="514" t="n"/>
      <c r="C38" s="566" t="n"/>
      <c r="D38" s="516" t="n"/>
      <c r="E38" s="567" t="n"/>
      <c r="F38" s="498" t="n"/>
      <c r="G38" s="541" t="n"/>
      <c r="H38" s="542" t="inlineStr">
        <is>
          <t>TOTAL HUTANG LANCAR</t>
        </is>
      </c>
      <c r="I38" s="568" t="n"/>
      <c r="J38" s="543">
        <f>SUM(J33:J36)</f>
        <v/>
      </c>
    </row>
    <row r="39">
      <c r="A39" s="495" t="n"/>
      <c r="B39" s="537" t="inlineStr">
        <is>
          <t xml:space="preserve">PENDAPATAN/BEBAN LAIN LAIN </t>
        </is>
      </c>
      <c r="C39" s="515" t="n"/>
      <c r="D39" s="522" t="inlineStr">
        <is>
          <t>Rp</t>
        </is>
      </c>
      <c r="E39" s="569" t="n"/>
      <c r="F39" s="498" t="n"/>
      <c r="G39" s="527" t="n"/>
      <c r="H39" s="546" t="n"/>
      <c r="I39" s="570" t="n"/>
      <c r="J39" s="521" t="n"/>
    </row>
    <row r="40">
      <c r="A40" s="495" t="n"/>
      <c r="B40" s="537" t="n"/>
      <c r="C40" s="515" t="inlineStr">
        <is>
          <t>PENDAPATAN LAINNYA</t>
        </is>
      </c>
      <c r="D40" s="522" t="inlineStr">
        <is>
          <t>Rp</t>
        </is>
      </c>
      <c r="E40" s="523" t="n">
        <v>0</v>
      </c>
      <c r="F40" s="498" t="n"/>
      <c r="G40" s="524" t="inlineStr">
        <is>
          <t>MODAL</t>
        </is>
      </c>
      <c r="H40" s="525" t="n"/>
      <c r="I40" s="524" t="n"/>
      <c r="J40" s="526" t="n"/>
    </row>
    <row r="41">
      <c r="A41" s="495" t="n"/>
      <c r="B41" s="537" t="n"/>
      <c r="C41" s="515" t="n"/>
      <c r="D41" s="530" t="n"/>
      <c r="E41" s="571" t="n"/>
      <c r="F41" s="498" t="n"/>
      <c r="G41" s="527" t="n"/>
      <c r="H41" s="528" t="inlineStr">
        <is>
          <t>MODAL SAHAM</t>
        </is>
      </c>
      <c r="I41" s="522" t="inlineStr">
        <is>
          <t>Rp</t>
        </is>
      </c>
      <c r="J41" s="529" t="n">
        <v>0</v>
      </c>
    </row>
    <row r="42">
      <c r="A42" s="495" t="n"/>
      <c r="B42" s="532" t="inlineStr">
        <is>
          <t>LABA RUGI SEBELUM PAJAK</t>
        </is>
      </c>
      <c r="C42" s="533" t="n"/>
      <c r="D42" s="534" t="inlineStr">
        <is>
          <t>Rp</t>
        </is>
      </c>
      <c r="E42" s="535">
        <f>E12-E37</f>
        <v/>
      </c>
      <c r="F42" s="498" t="n"/>
      <c r="G42" s="527" t="n"/>
      <c r="H42" s="528" t="inlineStr">
        <is>
          <t>LABA DI TAHAN</t>
        </is>
      </c>
      <c r="I42" s="522" t="inlineStr">
        <is>
          <t>Rp</t>
        </is>
      </c>
      <c r="J42" s="529" t="n">
        <v>0</v>
      </c>
    </row>
    <row r="43">
      <c r="A43" s="495" t="n"/>
      <c r="B43" s="572" t="n"/>
      <c r="C43" s="566" t="n"/>
      <c r="D43" s="516" t="n"/>
      <c r="E43" s="536" t="n"/>
      <c r="F43" s="498" t="n"/>
      <c r="G43" s="524" t="n"/>
      <c r="H43" s="528" t="inlineStr">
        <is>
          <t>TOTAL LABA (RUGI) DITAHAN</t>
        </is>
      </c>
      <c r="I43" s="530" t="inlineStr">
        <is>
          <t>Rp</t>
        </is>
      </c>
      <c r="J43" s="553">
        <f>J28-J38-J41-J42</f>
        <v/>
      </c>
    </row>
    <row r="44">
      <c r="A44" s="495" t="n"/>
      <c r="B44" s="537" t="inlineStr">
        <is>
          <t>CORPORATE TAX (PPh 29)</t>
        </is>
      </c>
      <c r="D44" s="522" t="inlineStr">
        <is>
          <t>Rp</t>
        </is>
      </c>
      <c r="E44" s="523" t="n">
        <v>0</v>
      </c>
      <c r="F44" s="498" t="n"/>
      <c r="G44" s="541" t="n"/>
      <c r="H44" s="542" t="inlineStr">
        <is>
          <t>TOTAL MODAL</t>
        </is>
      </c>
      <c r="I44" s="534" t="inlineStr">
        <is>
          <t>Rp</t>
        </is>
      </c>
      <c r="J44" s="543">
        <f>SUM(J41:J43)</f>
        <v/>
      </c>
    </row>
    <row r="45">
      <c r="A45" s="495" t="n"/>
      <c r="B45" s="537" t="n"/>
      <c r="C45" s="515" t="n"/>
      <c r="D45" s="530" t="n"/>
      <c r="E45" s="571" t="n"/>
      <c r="F45" s="498" t="n"/>
      <c r="G45" s="527" t="n"/>
      <c r="H45" s="528" t="n"/>
      <c r="I45" s="554" t="n"/>
      <c r="J45" s="555" t="n"/>
    </row>
    <row r="46" ht="15" customHeight="1" s="297">
      <c r="A46" s="495" t="n"/>
      <c r="B46" s="573" t="inlineStr">
        <is>
          <t>LABA / RUGI BERSIH</t>
        </is>
      </c>
      <c r="C46" s="303" t="n"/>
      <c r="D46" s="574" t="n"/>
      <c r="E46" s="575">
        <f>E42-E44</f>
        <v/>
      </c>
      <c r="F46" s="498" t="n"/>
      <c r="G46" s="576" t="inlineStr">
        <is>
          <t>TOTAL HUTANG DAN MODAL</t>
        </is>
      </c>
      <c r="H46" s="577" t="n"/>
      <c r="I46" s="574" t="inlineStr">
        <is>
          <t>Rp</t>
        </is>
      </c>
      <c r="J46" s="578">
        <f>J44+J38</f>
        <v/>
      </c>
    </row>
    <row r="47" ht="4.5" customHeight="1" s="297">
      <c r="A47" s="495" t="n"/>
      <c r="F47" s="498" t="n"/>
    </row>
    <row r="48" ht="50.65" customHeight="1" s="297">
      <c r="A48" s="495" t="n"/>
      <c r="F48" s="498" t="n"/>
      <c r="G48" s="579" t="n"/>
    </row>
    <row r="49" ht="16.75" customHeight="1" s="297">
      <c r="A49" s="495" t="n"/>
      <c r="B49" s="580" t="n"/>
      <c r="F49" s="498" t="n"/>
      <c r="G49" s="580" t="n"/>
    </row>
    <row r="50" ht="15.65" customHeight="1" s="297">
      <c r="A50" s="515" t="n"/>
      <c r="B50" s="581" t="inlineStr">
        <is>
          <t>Direktur</t>
        </is>
      </c>
      <c r="F50" s="498" t="n"/>
      <c r="G50" s="581" t="inlineStr">
        <is>
          <t>Direktur</t>
        </is>
      </c>
    </row>
    <row r="51">
      <c r="A51" s="515" t="n"/>
      <c r="F51" s="498" t="n"/>
    </row>
    <row r="52">
      <c r="A52" s="515" t="n"/>
      <c r="F52" s="498" t="n"/>
      <c r="J52" s="58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</row>
    <row r="4" ht="20.5" customHeight="1" s="297">
      <c r="A4" s="495" t="n"/>
      <c r="B4" s="500" t="inlineStr">
        <is>
          <t>BUSINESS SUMMARY | TAHUN 2024</t>
        </is>
      </c>
      <c r="F4" s="498" t="n"/>
    </row>
    <row r="5" ht="6" customHeight="1" s="297">
      <c r="A5" s="495" t="n"/>
      <c r="B5" s="495" t="n"/>
      <c r="C5" s="495" t="n"/>
      <c r="D5" s="495" t="n"/>
      <c r="E5" s="496" t="n"/>
      <c r="F5" s="498" t="n"/>
    </row>
    <row r="6" ht="19" customHeight="1" s="297">
      <c r="A6" s="495" t="n"/>
      <c r="B6" s="583" t="inlineStr">
        <is>
          <t>#</t>
        </is>
      </c>
      <c r="C6" s="583" t="inlineStr">
        <is>
          <t>Items</t>
        </is>
      </c>
      <c r="D6" s="584" t="inlineStr">
        <is>
          <t>Amount</t>
        </is>
      </c>
      <c r="E6" s="279" t="n"/>
      <c r="F6" s="498" t="n"/>
    </row>
    <row r="7" ht="19" customHeight="1" s="297">
      <c r="A7" s="495" t="n"/>
      <c r="B7" s="585" t="n">
        <v>1</v>
      </c>
      <c r="C7" s="586" t="inlineStr">
        <is>
          <t>Revenue</t>
        </is>
      </c>
      <c r="D7" s="587" t="inlineStr">
        <is>
          <t>Rp</t>
        </is>
      </c>
      <c r="E7" s="588">
        <f>'Revenue-Cost_2024'!F22</f>
        <v/>
      </c>
      <c r="F7" s="498" t="n"/>
    </row>
    <row r="8" ht="19" customHeight="1" s="297">
      <c r="A8" s="495" t="n"/>
      <c r="B8" s="585" t="n">
        <v>2</v>
      </c>
      <c r="C8" s="586" t="inlineStr">
        <is>
          <t>Revenue Diterima (Setelah Pajak)</t>
        </is>
      </c>
      <c r="D8" s="587" t="inlineStr">
        <is>
          <t>Rp</t>
        </is>
      </c>
      <c r="E8" s="588">
        <f>E7-'Revenue-Cost_2024'!N22</f>
        <v/>
      </c>
      <c r="F8" s="498" t="n"/>
    </row>
    <row r="9" ht="19" customHeight="1" s="297">
      <c r="A9" s="495" t="n"/>
      <c r="B9" s="585" t="n">
        <v>3</v>
      </c>
      <c r="C9" s="586" t="inlineStr">
        <is>
          <t>Biaya</t>
        </is>
      </c>
      <c r="D9" s="587" t="inlineStr">
        <is>
          <t>Rp</t>
        </is>
      </c>
      <c r="E9" s="588">
        <f>SUM('Revenue-Cost_2024'!I750:Q750)</f>
        <v/>
      </c>
      <c r="F9" s="498" t="n"/>
    </row>
    <row r="10" ht="19" customHeight="1" s="297">
      <c r="A10" s="495" t="n"/>
      <c r="B10" s="585" t="n">
        <v>4</v>
      </c>
      <c r="C10" s="586" t="inlineStr">
        <is>
          <t>Profit SebelumTax</t>
        </is>
      </c>
      <c r="D10" s="587" t="inlineStr">
        <is>
          <t>Rp</t>
        </is>
      </c>
      <c r="E10" s="588">
        <f>E7-E9</f>
        <v/>
      </c>
      <c r="F10" s="498" t="n"/>
    </row>
    <row r="11" ht="19" customHeight="1" s="297">
      <c r="A11" s="495" t="n"/>
      <c r="B11" s="585" t="n">
        <v>5</v>
      </c>
      <c r="C11" s="586" t="inlineStr">
        <is>
          <t>PPh Badan (22%*50%)</t>
        </is>
      </c>
      <c r="D11" s="587" t="inlineStr">
        <is>
          <t>Rp</t>
        </is>
      </c>
      <c r="E11" s="588">
        <f>E10*22%*50%</f>
        <v/>
      </c>
      <c r="F11" s="498" t="n"/>
    </row>
    <row r="12" ht="19" customHeight="1" s="297">
      <c r="A12" s="495" t="n"/>
      <c r="B12" s="585" t="n">
        <v>6</v>
      </c>
      <c r="C12" s="586" t="inlineStr">
        <is>
          <t>PPh 23 Dipotong oleh client</t>
        </is>
      </c>
      <c r="D12" s="587" t="inlineStr">
        <is>
          <t>Rp</t>
        </is>
      </c>
      <c r="E12" s="588">
        <f>'Revenue-Cost_2024'!N22</f>
        <v/>
      </c>
      <c r="F12" s="498" t="n"/>
    </row>
    <row r="13" ht="19" customHeight="1" s="297">
      <c r="A13" s="495" t="n"/>
      <c r="B13" s="585" t="n">
        <v>7</v>
      </c>
      <c r="C13" s="586" t="inlineStr">
        <is>
          <t>Kekurangan Bayar PPh Badan</t>
        </is>
      </c>
      <c r="D13" s="587" t="inlineStr">
        <is>
          <t>Rp</t>
        </is>
      </c>
      <c r="E13" s="589">
        <f>E11-E12</f>
        <v/>
      </c>
      <c r="F13" s="498" t="n"/>
    </row>
    <row r="14" ht="19" customHeight="1" s="297">
      <c r="A14" s="495" t="n"/>
      <c r="B14" s="585" t="n">
        <v>8</v>
      </c>
      <c r="C14" s="586" t="inlineStr">
        <is>
          <t>Profit After Tax</t>
        </is>
      </c>
      <c r="D14" s="587" t="inlineStr">
        <is>
          <t>Rp</t>
        </is>
      </c>
      <c r="E14" s="588">
        <f>E10-E13</f>
        <v/>
      </c>
      <c r="F14" s="498" t="n"/>
    </row>
    <row r="15" ht="19" customHeight="1" s="297">
      <c r="A15" s="495" t="n"/>
      <c r="B15" s="585" t="n">
        <v>9</v>
      </c>
      <c r="C15" s="586" t="inlineStr">
        <is>
          <t>Deviden Dibagi</t>
        </is>
      </c>
      <c r="D15" s="587" t="inlineStr">
        <is>
          <t>Rp</t>
        </is>
      </c>
      <c r="E15" s="588">
        <f>E14-E16</f>
        <v/>
      </c>
      <c r="F15" s="498" t="n"/>
    </row>
    <row r="16" ht="19" customHeight="1" s="297">
      <c r="A16" s="495" t="n"/>
      <c r="B16" s="585" t="n">
        <v>10</v>
      </c>
      <c r="C16" s="586" t="inlineStr">
        <is>
          <t>Profit Ditahan</t>
        </is>
      </c>
      <c r="D16" s="587" t="inlineStr">
        <is>
          <t>Rp</t>
        </is>
      </c>
      <c r="E16" s="588" t="n">
        <v>33763737</v>
      </c>
      <c r="F16" s="498" t="n"/>
    </row>
    <row r="17">
      <c r="A17" s="495" t="n"/>
      <c r="B17" s="495" t="n"/>
      <c r="C17" s="495" t="n"/>
      <c r="D17" s="495" t="n"/>
      <c r="E17" s="496" t="n"/>
      <c r="F17" s="498" t="n"/>
    </row>
    <row r="18" ht="18" customHeight="1" s="297">
      <c r="A18" s="495" t="n"/>
      <c r="B18" s="270" t="inlineStr">
        <is>
          <t>DEVIDEN</t>
        </is>
      </c>
      <c r="F18" s="498" t="n"/>
    </row>
    <row r="19" ht="19" customHeight="1" s="297">
      <c r="A19" s="495" t="n">
        <v>1</v>
      </c>
      <c r="B19" s="271" t="inlineStr">
        <is>
          <t>Anevril Chairulsyah</t>
        </is>
      </c>
      <c r="C19" s="272" t="n"/>
      <c r="D19" s="586" t="inlineStr">
        <is>
          <t>Rp</t>
        </is>
      </c>
      <c r="E19" s="590">
        <f>IF(B19="","",$E$15/COUNTA($B$19:$B$79))</f>
        <v/>
      </c>
      <c r="F19" s="498" t="n"/>
      <c r="G19" s="591" t="inlineStr">
        <is>
          <t>Pajak 10%</t>
        </is>
      </c>
    </row>
    <row r="20" ht="19" customHeight="1" s="297">
      <c r="A20" s="495" t="n">
        <v>2</v>
      </c>
      <c r="B20" s="271" t="inlineStr">
        <is>
          <t>Alan Muhadjir</t>
        </is>
      </c>
      <c r="C20" s="272" t="n"/>
      <c r="D20" s="586" t="inlineStr">
        <is>
          <t>Rp</t>
        </is>
      </c>
      <c r="E20" s="590">
        <f>IF(B20="","",$E$15/COUNTA($B$19:$B$79))</f>
        <v/>
      </c>
      <c r="F20" s="498" t="n"/>
      <c r="G20" s="591" t="inlineStr">
        <is>
          <t>Pajak 10%</t>
        </is>
      </c>
    </row>
    <row r="21" ht="48.75" customHeight="1" s="297">
      <c r="A21" s="515" t="n"/>
      <c r="F21" s="498" t="n"/>
    </row>
    <row r="22">
      <c r="A22" s="515" t="n"/>
      <c r="F22" s="49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2026-03-29T09:46:11Z</dcterms:modified>
  <cp:lastModifiedBy>Diofavian - Student</cp:lastModifiedBy>
</cp:coreProperties>
</file>