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30" sheetId="1" state="visible" r:id="rId1"/>
    <sheet name="Laba rugi -2030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1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dd-mmm-yy"/>
    <numFmt numFmtId="173" formatCode="_(* #.##0_);_(* \(#.##0\);_(* &quot;-&quot;_);_(@_)"/>
    <numFmt numFmtId="174" formatCode="_-&quot;Rp&quot;* #,##0_-;\-&quot;Rp&quot;* #,##0_-;_-&quot;Rp&quot;* &quot;-&quot;??_-;_-@_-"/>
  </numFmts>
  <fonts count="4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name val="Arial Narrow"/>
      <family val="2"/>
      <i val="1"/>
      <color rgb="00808080"/>
      <sz val="12"/>
    </font>
    <font>
      <b val="1"/>
    </font>
    <font>
      <name val="Arial Narrow"/>
      <b val="1"/>
      <sz val="12"/>
    </font>
    <font>
      <b val="1"/>
      <color rgb="0000000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Trebuchet MS"/>
      <b val="1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440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4" applyAlignment="1" pivotButton="0" quotePrefix="0" xfId="0">
      <alignment horizontal="center"/>
    </xf>
    <xf numFmtId="0" fontId="1" fillId="0" borderId="0" pivotButton="0" quotePrefix="0" xfId="0"/>
    <xf numFmtId="0" fontId="26" fillId="0" borderId="4" applyAlignment="1" pivotButton="0" quotePrefix="0" xfId="0">
      <alignment horizontal="right" vertical="center"/>
    </xf>
    <xf numFmtId="3" fontId="10" fillId="0" borderId="4" pivotButton="0" quotePrefix="0" xfId="1"/>
    <xf numFmtId="0" fontId="10" fillId="9" borderId="4" applyAlignment="1" pivotButton="0" quotePrefix="0" xfId="0">
      <alignment horizontal="center"/>
    </xf>
    <xf numFmtId="0" fontId="10" fillId="9" borderId="4" pivotButton="0" quotePrefix="0" xfId="0"/>
    <xf numFmtId="3" fontId="10" fillId="9" borderId="4" pivotButton="0" quotePrefix="0" xfId="1"/>
    <xf numFmtId="3" fontId="11" fillId="9" borderId="4" pivotButton="0" quotePrefix="0" xfId="0"/>
    <xf numFmtId="3" fontId="10" fillId="0" borderId="4" pivotButton="0" quotePrefix="0" xfId="0"/>
    <xf numFmtId="0" fontId="10" fillId="0" borderId="9" pivotButton="0" quotePrefix="0" xfId="1"/>
    <xf numFmtId="0" fontId="10" fillId="0" borderId="10" pivotButton="0" quotePrefix="0" xfId="1"/>
    <xf numFmtId="0" fontId="10" fillId="0" borderId="0" pivotButton="0" quotePrefix="0" xfId="1"/>
    <xf numFmtId="0" fontId="10" fillId="6" borderId="4" applyAlignment="1" pivotButton="0" quotePrefix="0" xfId="0">
      <alignment horizontal="right" vertical="center"/>
    </xf>
    <xf numFmtId="0" fontId="10" fillId="0" borderId="4" applyAlignment="1" pivotButton="0" quotePrefix="0" xfId="1">
      <alignment horizontal="center" vertical="center"/>
    </xf>
    <xf numFmtId="0" fontId="10" fillId="0" borderId="4" applyAlignment="1" pivotButton="0" quotePrefix="0" xfId="0">
      <alignment vertical="center"/>
    </xf>
    <xf numFmtId="0" fontId="10" fillId="6" borderId="6" applyAlignment="1" pivotButton="0" quotePrefix="0" xfId="0">
      <alignment horizontal="right" vertical="center"/>
    </xf>
    <xf numFmtId="0" fontId="10" fillId="0" borderId="5" applyAlignment="1" pivotButton="0" quotePrefix="0" xfId="1">
      <alignment horizontal="center" vertical="center"/>
    </xf>
    <xf numFmtId="0" fontId="10" fillId="0" borderId="5" applyAlignment="1" pivotButton="0" quotePrefix="0" xfId="0">
      <alignment vertical="center"/>
    </xf>
    <xf numFmtId="0" fontId="8" fillId="0" borderId="8" pivotButton="0" quotePrefix="0" xfId="0"/>
    <xf numFmtId="0" fontId="8" fillId="7" borderId="10" pivotButton="0" quotePrefix="0" xfId="0"/>
    <xf numFmtId="0" fontId="8" fillId="7" borderId="8" pivotButton="0" quotePrefix="0" xfId="0"/>
    <xf numFmtId="0" fontId="8" fillId="7" borderId="4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applyAlignment="1" pivotButton="0" quotePrefix="0" xfId="0">
      <alignment horizontal="center"/>
    </xf>
    <xf numFmtId="0" fontId="26" fillId="0" borderId="9" pivotButton="0" quotePrefix="0" xfId="0"/>
    <xf numFmtId="0" fontId="26" fillId="0" borderId="8" pivotButton="0" quotePrefix="0" xfId="0"/>
    <xf numFmtId="165" fontId="26" fillId="0" borderId="9" pivotButton="0" quotePrefix="0" xfId="0"/>
    <xf numFmtId="3" fontId="26" fillId="7" borderId="8" pivotButton="0" quotePrefix="0" xfId="0"/>
    <xf numFmtId="0" fontId="26" fillId="0" borderId="4" pivotButton="0" quotePrefix="0" xfId="0"/>
    <xf numFmtId="3" fontId="26" fillId="7" borderId="4" pivotButton="0" quotePrefix="0" xfId="0"/>
    <xf numFmtId="165" fontId="26" fillId="0" borderId="0" pivotButton="0" quotePrefix="0" xfId="0"/>
    <xf numFmtId="15" fontId="27" fillId="2" borderId="4" applyAlignment="1" pivotButton="0" quotePrefix="0" xfId="0">
      <alignment horizontal="center" vertical="center"/>
    </xf>
    <xf numFmtId="0" fontId="27" fillId="2" borderId="4" applyAlignment="1" pivotButton="0" quotePrefix="0" xfId="0">
      <alignment horizontal="center" vertical="center"/>
    </xf>
    <xf numFmtId="0" fontId="27" fillId="2" borderId="4" applyAlignment="1" pivotButton="0" quotePrefix="0" xfId="0">
      <alignment horizontal="center" vertical="center" textRotation="90" wrapText="1"/>
    </xf>
    <xf numFmtId="165" fontId="27" fillId="2" borderId="4" applyAlignment="1" pivotButton="0" quotePrefix="0" xfId="2">
      <alignment horizontal="center" vertical="center"/>
    </xf>
    <xf numFmtId="167" fontId="27" fillId="10" borderId="15" applyAlignment="1" pivotButton="0" quotePrefix="0" xfId="0">
      <alignment horizontal="center" vertical="center" wrapText="1"/>
    </xf>
    <xf numFmtId="165" fontId="27" fillId="10" borderId="15" applyAlignment="1" pivotButton="0" quotePrefix="0" xfId="0">
      <alignment horizontal="center" vertical="center" wrapText="1"/>
    </xf>
    <xf numFmtId="0" fontId="27" fillId="10" borderId="15" applyAlignment="1" pivotButton="0" quotePrefix="0" xfId="0">
      <alignment horizontal="center" vertical="center" wrapText="1"/>
    </xf>
    <xf numFmtId="0" fontId="27" fillId="10" borderId="15" applyAlignment="1" pivotButton="0" quotePrefix="0" xfId="3">
      <alignment horizontal="center" vertical="center" wrapText="1"/>
    </xf>
    <xf numFmtId="15" fontId="10" fillId="11" borderId="15" pivotButton="0" quotePrefix="0" xfId="0"/>
    <xf numFmtId="0" fontId="10" fillId="11" borderId="15" applyAlignment="1" pivotButton="0" quotePrefix="0" xfId="0">
      <alignment horizontal="center"/>
    </xf>
    <xf numFmtId="0" fontId="8" fillId="11" borderId="15" pivotButton="0" quotePrefix="0" xfId="0"/>
    <xf numFmtId="0" fontId="10" fillId="11" borderId="15" pivotButton="0" quotePrefix="0" xfId="0"/>
    <xf numFmtId="165" fontId="10" fillId="11" borderId="15" pivotButton="0" quotePrefix="0" xfId="1"/>
    <xf numFmtId="0" fontId="10" fillId="11" borderId="15" applyAlignment="1" pivotButton="0" quotePrefix="0" xfId="0">
      <alignment horizontal="center" vertical="center"/>
    </xf>
    <xf numFmtId="165" fontId="8" fillId="11" borderId="15" applyAlignment="1" pivotButton="0" quotePrefix="0" xfId="0">
      <alignment vertical="top"/>
    </xf>
    <xf numFmtId="165" fontId="8" fillId="11" borderId="15" pivotButton="0" quotePrefix="0" xfId="0"/>
    <xf numFmtId="0" fontId="1" fillId="11" borderId="15" pivotButton="0" quotePrefix="0" xfId="0"/>
    <xf numFmtId="172" fontId="10" fillId="11" borderId="15" pivotButton="0" quotePrefix="0" xfId="0"/>
    <xf numFmtId="3" fontId="10" fillId="11" borderId="15" pivotButton="0" quotePrefix="0" xfId="1"/>
    <xf numFmtId="3" fontId="10" fillId="11" borderId="15" applyAlignment="1" pivotButton="0" quotePrefix="0" xfId="0">
      <alignment horizontal="center" vertical="center"/>
    </xf>
    <xf numFmtId="3" fontId="10" fillId="11" borderId="15" applyAlignment="1" pivotButton="0" quotePrefix="0" xfId="0">
      <alignment vertical="top"/>
    </xf>
    <xf numFmtId="165" fontId="10" fillId="11" borderId="15" applyAlignment="1" pivotButton="0" quotePrefix="0" xfId="0">
      <alignment vertical="top"/>
    </xf>
    <xf numFmtId="165" fontId="10" fillId="11" borderId="15" pivotButton="0" quotePrefix="0" xfId="0"/>
    <xf numFmtId="15" fontId="10" fillId="10" borderId="15" pivotButton="0" quotePrefix="0" xfId="0"/>
    <xf numFmtId="0" fontId="10" fillId="10" borderId="15" applyAlignment="1" pivotButton="0" quotePrefix="0" xfId="0">
      <alignment horizontal="center"/>
    </xf>
    <xf numFmtId="0" fontId="26" fillId="10" borderId="15" applyAlignment="1" pivotButton="0" quotePrefix="0" xfId="0">
      <alignment horizontal="left" vertical="center"/>
    </xf>
    <xf numFmtId="0" fontId="10" fillId="10" borderId="15" applyAlignment="1" pivotButton="0" quotePrefix="0" xfId="0">
      <alignment horizontal="left" vertical="center"/>
    </xf>
    <xf numFmtId="168" fontId="10" fillId="10" borderId="15" pivotButton="0" quotePrefix="0" xfId="1"/>
    <xf numFmtId="0" fontId="10" fillId="10" borderId="15" applyAlignment="1" pivotButton="0" quotePrefix="0" xfId="0">
      <alignment horizontal="center" vertical="center"/>
    </xf>
    <xf numFmtId="165" fontId="8" fillId="10" borderId="15" applyAlignment="1" pivotButton="0" quotePrefix="0" xfId="0">
      <alignment vertical="top"/>
    </xf>
    <xf numFmtId="165" fontId="8" fillId="10" borderId="15" pivotButton="0" quotePrefix="0" xfId="0"/>
    <xf numFmtId="0" fontId="8" fillId="10" borderId="15" pivotButton="0" quotePrefix="0" xfId="0"/>
    <xf numFmtId="0" fontId="0" fillId="10" borderId="15" pivotButton="0" quotePrefix="0" xfId="0"/>
    <xf numFmtId="15" fontId="28" fillId="12" borderId="15" pivotButton="0" quotePrefix="0" xfId="0"/>
    <xf numFmtId="0" fontId="10" fillId="12" borderId="15" applyAlignment="1" pivotButton="0" quotePrefix="0" xfId="0">
      <alignment horizontal="center"/>
    </xf>
    <xf numFmtId="0" fontId="28" fillId="12" borderId="15" applyAlignment="1" pivotButton="0" quotePrefix="0" xfId="0">
      <alignment vertical="center"/>
    </xf>
    <xf numFmtId="0" fontId="10" fillId="12" borderId="15" applyAlignment="1" pivotButton="0" quotePrefix="0" xfId="0">
      <alignment horizontal="left" vertical="center"/>
    </xf>
    <xf numFmtId="165" fontId="10" fillId="12" borderId="15" pivotButton="0" quotePrefix="0" xfId="2"/>
    <xf numFmtId="0" fontId="10" fillId="12" borderId="15" applyAlignment="1" pivotButton="0" quotePrefix="0" xfId="0">
      <alignment horizontal="center" vertical="center"/>
    </xf>
    <xf numFmtId="165" fontId="8" fillId="12" borderId="15" applyAlignment="1" pivotButton="0" quotePrefix="0" xfId="0">
      <alignment vertical="top"/>
    </xf>
    <xf numFmtId="0" fontId="8" fillId="12" borderId="15" pivotButton="0" quotePrefix="0" xfId="0"/>
    <xf numFmtId="0" fontId="0" fillId="12" borderId="15" pivotButton="0" quotePrefix="0" xfId="0"/>
    <xf numFmtId="15" fontId="10" fillId="11" borderId="15" applyAlignment="1" pivotButton="0" quotePrefix="0" xfId="0">
      <alignment horizontal="right" vertical="center"/>
    </xf>
    <xf numFmtId="0" fontId="26" fillId="11" borderId="15" applyAlignment="1" pivotButton="0" quotePrefix="0" xfId="0">
      <alignment vertical="center"/>
    </xf>
    <xf numFmtId="0" fontId="10" fillId="11" borderId="15" applyAlignment="1" pivotButton="0" quotePrefix="0" xfId="0">
      <alignment horizontal="left" vertical="center"/>
    </xf>
    <xf numFmtId="165" fontId="10" fillId="11" borderId="15" pivotButton="0" quotePrefix="0" xfId="2"/>
    <xf numFmtId="0" fontId="0" fillId="11" borderId="15" pivotButton="0" quotePrefix="0" xfId="0"/>
    <xf numFmtId="168" fontId="10" fillId="11" borderId="15" pivotButton="0" quotePrefix="0" xfId="1"/>
    <xf numFmtId="168" fontId="10" fillId="12" borderId="15" pivotButton="0" quotePrefix="0" xfId="1"/>
    <xf numFmtId="165" fontId="8" fillId="12" borderId="15" pivotButton="0" quotePrefix="0" xfId="0"/>
    <xf numFmtId="165" fontId="8" fillId="11" borderId="15" pivotButton="0" quotePrefix="0" xfId="1"/>
    <xf numFmtId="15" fontId="26" fillId="0" borderId="15" applyAlignment="1" pivotButton="0" quotePrefix="0" xfId="0">
      <alignment horizontal="right" vertical="center"/>
    </xf>
    <xf numFmtId="165" fontId="8" fillId="0" borderId="15" applyAlignment="1" pivotButton="0" quotePrefix="0" xfId="0">
      <alignment vertical="top"/>
    </xf>
    <xf numFmtId="0" fontId="8" fillId="0" borderId="15" pivotButton="0" quotePrefix="0" xfId="0"/>
    <xf numFmtId="168" fontId="8" fillId="0" borderId="15" pivotButton="0" quotePrefix="0" xfId="0"/>
    <xf numFmtId="0" fontId="0" fillId="0" borderId="15" pivotButton="0" quotePrefix="0" xfId="0"/>
    <xf numFmtId="0" fontId="29" fillId="6" borderId="0" pivotButton="0" quotePrefix="0" xfId="0"/>
    <xf numFmtId="165" fontId="29" fillId="6" borderId="0" pivotButton="0" quotePrefix="0" xfId="0"/>
    <xf numFmtId="0" fontId="30" fillId="6" borderId="0" applyAlignment="1" pivotButton="0" quotePrefix="0" xfId="0">
      <alignment horizontal="left"/>
    </xf>
    <xf numFmtId="0" fontId="29" fillId="13" borderId="0" pivotButton="0" quotePrefix="0" xfId="0"/>
    <xf numFmtId="0" fontId="30" fillId="6" borderId="0" pivotButton="0" quotePrefix="0" xfId="0"/>
    <xf numFmtId="0" fontId="31" fillId="6" borderId="0" applyAlignment="1" pivotButton="0" quotePrefix="0" xfId="0">
      <alignment horizontal="left"/>
    </xf>
    <xf numFmtId="0" fontId="31" fillId="6" borderId="0" pivotButton="0" quotePrefix="0" xfId="0"/>
    <xf numFmtId="0" fontId="32" fillId="13" borderId="0" applyAlignment="1" pivotButton="0" quotePrefix="0" xfId="0">
      <alignment horizontal="left"/>
    </xf>
    <xf numFmtId="0" fontId="33" fillId="6" borderId="2" pivotButton="0" quotePrefix="0" xfId="0"/>
    <xf numFmtId="0" fontId="33" fillId="6" borderId="11" pivotButton="0" quotePrefix="0" xfId="0"/>
    <xf numFmtId="165" fontId="32" fillId="6" borderId="1" applyAlignment="1" pivotButton="0" quotePrefix="0" xfId="0">
      <alignment horizontal="center" vertical="center"/>
    </xf>
    <xf numFmtId="0" fontId="33" fillId="13" borderId="2" pivotButton="0" quotePrefix="0" xfId="0"/>
    <xf numFmtId="0" fontId="33" fillId="13" borderId="11" pivotButton="0" quotePrefix="0" xfId="0"/>
    <xf numFmtId="0" fontId="33" fillId="6" borderId="6" pivotButton="0" quotePrefix="0" xfId="0"/>
    <xf numFmtId="0" fontId="33" fillId="6" borderId="16" pivotButton="0" quotePrefix="0" xfId="0"/>
    <xf numFmtId="0" fontId="6" fillId="6" borderId="5" applyAlignment="1" pivotButton="0" quotePrefix="0" xfId="0">
      <alignment horizontal="center" vertical="center"/>
    </xf>
    <xf numFmtId="0" fontId="33" fillId="13" borderId="6" pivotButton="0" quotePrefix="0" xfId="0"/>
    <xf numFmtId="0" fontId="33" fillId="13" borderId="16" pivotButton="0" quotePrefix="0" xfId="0"/>
    <xf numFmtId="173" fontId="34" fillId="6" borderId="2" pivotButton="0" quotePrefix="0" xfId="0"/>
    <xf numFmtId="0" fontId="35" fillId="6" borderId="0" pivotButton="0" quotePrefix="0" xfId="0"/>
    <xf numFmtId="0" fontId="35" fillId="6" borderId="2" pivotButton="0" quotePrefix="0" xfId="0"/>
    <xf numFmtId="173" fontId="35" fillId="6" borderId="3" pivotButton="0" quotePrefix="0" xfId="0"/>
    <xf numFmtId="2" fontId="34" fillId="13" borderId="12" applyAlignment="1" pivotButton="0" quotePrefix="0" xfId="0">
      <alignment horizontal="left"/>
    </xf>
    <xf numFmtId="2" fontId="34" fillId="13" borderId="0" pivotButton="0" quotePrefix="0" xfId="0"/>
    <xf numFmtId="2" fontId="34" fillId="13" borderId="2" pivotButton="0" quotePrefix="0" xfId="0"/>
    <xf numFmtId="3" fontId="34" fillId="13" borderId="3" applyAlignment="1" pivotButton="0" quotePrefix="0" xfId="0">
      <alignment horizontal="right"/>
    </xf>
    <xf numFmtId="0" fontId="35" fillId="6" borderId="12" pivotButton="0" quotePrefix="0" xfId="0"/>
    <xf numFmtId="37" fontId="35" fillId="6" borderId="14" pivotButton="0" quotePrefix="0" xfId="0"/>
    <xf numFmtId="2" fontId="36" fillId="13" borderId="12" pivotButton="0" quotePrefix="0" xfId="0"/>
    <xf numFmtId="2" fontId="36" fillId="13" borderId="0" pivotButton="0" quotePrefix="0" xfId="0"/>
    <xf numFmtId="3" fontId="36" fillId="13" borderId="14" applyAlignment="1" pivotButton="0" quotePrefix="0" xfId="0">
      <alignment horizontal="right"/>
    </xf>
    <xf numFmtId="2" fontId="35" fillId="13" borderId="12" pivotButton="0" quotePrefix="0" xfId="0"/>
    <xf numFmtId="2" fontId="35" fillId="13" borderId="0" applyAlignment="1" pivotButton="0" quotePrefix="0" xfId="0">
      <alignment horizontal="left"/>
    </xf>
    <xf numFmtId="3" fontId="35" fillId="13" borderId="14" applyAlignment="1" pivotButton="0" quotePrefix="0" xfId="0">
      <alignment horizontal="right"/>
    </xf>
    <xf numFmtId="0" fontId="35" fillId="6" borderId="6" pivotButton="0" quotePrefix="0" xfId="0"/>
    <xf numFmtId="37" fontId="35" fillId="6" borderId="7" pivotButton="0" quotePrefix="0" xfId="0"/>
    <xf numFmtId="173" fontId="34" fillId="6" borderId="10" pivotButton="0" quotePrefix="0" xfId="0"/>
    <xf numFmtId="0" fontId="35" fillId="6" borderId="9" pivotButton="0" quotePrefix="0" xfId="0"/>
    <xf numFmtId="0" fontId="35" fillId="6" borderId="10" pivotButton="0" quotePrefix="0" xfId="0"/>
    <xf numFmtId="37" fontId="34" fillId="6" borderId="8" pivotButton="0" quotePrefix="0" xfId="0"/>
    <xf numFmtId="37" fontId="35" fillId="6" borderId="3" pivotButton="0" quotePrefix="0" xfId="0"/>
    <xf numFmtId="173" fontId="34" fillId="6" borderId="12" pivotButton="0" quotePrefix="0" xfId="0"/>
    <xf numFmtId="37" fontId="35" fillId="0" borderId="14" pivotButton="0" quotePrefix="0" xfId="0"/>
    <xf numFmtId="173" fontId="35" fillId="6" borderId="12" pivotButton="0" quotePrefix="0" xfId="0"/>
    <xf numFmtId="174" fontId="34" fillId="13" borderId="12" applyAlignment="1" pivotButton="0" quotePrefix="0" xfId="0">
      <alignment horizontal="left"/>
    </xf>
    <xf numFmtId="2" fontId="35" fillId="13" borderId="10" pivotButton="0" quotePrefix="0" xfId="0"/>
    <xf numFmtId="2" fontId="34" fillId="13" borderId="9" applyAlignment="1" pivotButton="0" quotePrefix="0" xfId="0">
      <alignment horizontal="left"/>
    </xf>
    <xf numFmtId="3" fontId="34" fillId="13" borderId="8" applyAlignment="1" pivotButton="0" quotePrefix="0" xfId="0">
      <alignment horizontal="right"/>
    </xf>
    <xf numFmtId="2" fontId="35" fillId="13" borderId="2" applyAlignment="1" pivotButton="0" quotePrefix="0" xfId="0">
      <alignment horizontal="left"/>
    </xf>
    <xf numFmtId="3" fontId="35" fillId="13" borderId="3" applyAlignment="1" pivotButton="0" quotePrefix="0" xfId="0">
      <alignment horizontal="right"/>
    </xf>
    <xf numFmtId="2" fontId="34" fillId="13" borderId="0" applyAlignment="1" pivotButton="0" quotePrefix="0" xfId="0">
      <alignment horizontal="left"/>
    </xf>
    <xf numFmtId="37" fontId="35" fillId="0" borderId="7" pivotButton="0" quotePrefix="0" xfId="0"/>
    <xf numFmtId="37" fontId="34" fillId="0" borderId="8" pivotButton="0" quotePrefix="0" xfId="0"/>
    <xf numFmtId="2" fontId="34" fillId="13" borderId="6" applyAlignment="1" pivotButton="0" quotePrefix="0" xfId="0">
      <alignment horizontal="left"/>
    </xf>
    <xf numFmtId="3" fontId="34" fillId="13" borderId="7" applyAlignment="1" pivotButton="0" quotePrefix="0" xfId="0">
      <alignment horizontal="right"/>
    </xf>
    <xf numFmtId="37" fontId="35" fillId="0" borderId="3" pivotButton="0" quotePrefix="0" xfId="0"/>
    <xf numFmtId="2" fontId="35" fillId="13" borderId="6" applyAlignment="1" pivotButton="0" quotePrefix="0" xfId="0">
      <alignment horizontal="left"/>
    </xf>
    <xf numFmtId="3" fontId="35" fillId="13" borderId="7" applyAlignment="1" pivotButton="0" quotePrefix="0" xfId="0">
      <alignment horizontal="right"/>
    </xf>
    <xf numFmtId="2" fontId="35" fillId="13" borderId="10" applyAlignment="1" pivotButton="0" quotePrefix="0" xfId="0">
      <alignment horizontal="left"/>
    </xf>
    <xf numFmtId="3" fontId="35" fillId="13" borderId="8" applyAlignment="1" pivotButton="0" quotePrefix="0" xfId="0">
      <alignment horizontal="right"/>
    </xf>
    <xf numFmtId="3" fontId="34" fillId="6" borderId="8" applyAlignment="1" pivotButton="0" quotePrefix="0" xfId="0">
      <alignment horizontal="right"/>
    </xf>
    <xf numFmtId="2" fontId="35" fillId="13" borderId="2" pivotButton="0" quotePrefix="0" xfId="0"/>
    <xf numFmtId="2" fontId="35" fillId="13" borderId="11" pivotButton="0" quotePrefix="0" xfId="0"/>
    <xf numFmtId="2" fontId="34" fillId="13" borderId="12" pivotButton="0" quotePrefix="0" xfId="0"/>
    <xf numFmtId="3" fontId="34" fillId="13" borderId="14" applyAlignment="1" pivotButton="0" quotePrefix="0" xfId="0">
      <alignment horizontal="right"/>
    </xf>
    <xf numFmtId="0" fontId="35" fillId="13" borderId="0" pivotButton="0" quotePrefix="0" xfId="0"/>
    <xf numFmtId="37" fontId="35" fillId="6" borderId="8" pivotButton="0" quotePrefix="0" xfId="0"/>
    <xf numFmtId="0" fontId="1" fillId="6" borderId="6" pivotButton="0" quotePrefix="0" xfId="0"/>
    <xf numFmtId="0" fontId="1" fillId="6" borderId="16" pivotButton="0" quotePrefix="0" xfId="0"/>
    <xf numFmtId="3" fontId="1" fillId="6" borderId="7" applyAlignment="1" pivotButton="0" quotePrefix="0" xfId="0">
      <alignment horizontal="right"/>
    </xf>
    <xf numFmtId="0" fontId="35" fillId="6" borderId="11" pivotButton="0" quotePrefix="0" xfId="0"/>
    <xf numFmtId="37" fontId="34" fillId="6" borderId="3" pivotButton="0" quotePrefix="0" xfId="0"/>
    <xf numFmtId="2" fontId="34" fillId="13" borderId="10" applyAlignment="1" pivotButton="0" quotePrefix="0" xfId="0">
      <alignment horizontal="left"/>
    </xf>
    <xf numFmtId="37" fontId="34" fillId="6" borderId="14" pivotButton="0" quotePrefix="0" xfId="0"/>
    <xf numFmtId="2" fontId="34" fillId="13" borderId="2" applyAlignment="1" pivotButton="0" quotePrefix="0" xfId="0">
      <alignment horizontal="left"/>
    </xf>
    <xf numFmtId="37" fontId="34" fillId="6" borderId="7" pivotButton="0" quotePrefix="0" xfId="0"/>
    <xf numFmtId="173" fontId="35" fillId="6" borderId="2" pivotButton="0" quotePrefix="0" xfId="0"/>
    <xf numFmtId="173" fontId="34" fillId="6" borderId="17" applyAlignment="1" pivotButton="0" quotePrefix="0" xfId="0">
      <alignment horizontal="left"/>
    </xf>
    <xf numFmtId="0" fontId="0" fillId="0" borderId="18" pivotButton="0" quotePrefix="0" xfId="0"/>
    <xf numFmtId="0" fontId="35" fillId="6" borderId="19" pivotButton="0" quotePrefix="0" xfId="0"/>
    <xf numFmtId="37" fontId="34" fillId="6" borderId="18" pivotButton="0" quotePrefix="0" xfId="0"/>
    <xf numFmtId="2" fontId="34" fillId="13" borderId="19" pivotButton="0" quotePrefix="0" xfId="0"/>
    <xf numFmtId="2" fontId="34" fillId="13" borderId="20" pivotButton="0" quotePrefix="0" xfId="0"/>
    <xf numFmtId="3" fontId="34" fillId="13" borderId="18" applyAlignment="1" pivotButton="0" quotePrefix="0" xfId="0">
      <alignment horizontal="right"/>
    </xf>
    <xf numFmtId="2" fontId="35" fillId="13" borderId="0" pivotButton="0" quotePrefix="0" xfId="0"/>
    <xf numFmtId="0" fontId="37" fillId="6" borderId="0" applyAlignment="1" pivotButton="0" quotePrefix="0" xfId="0">
      <alignment horizontal="center"/>
    </xf>
    <xf numFmtId="0" fontId="33" fillId="6" borderId="0" applyAlignment="1" pivotButton="0" quotePrefix="0" xfId="0">
      <alignment horizontal="center"/>
    </xf>
    <xf numFmtId="174" fontId="1" fillId="6" borderId="0" pivotButton="0" quotePrefix="0" xfId="0"/>
    <xf numFmtId="0" fontId="31" fillId="6" borderId="4" applyAlignment="1" pivotButton="0" quotePrefix="0" xfId="0">
      <alignment horizontal="center"/>
    </xf>
    <xf numFmtId="165" fontId="31" fillId="6" borderId="4" applyAlignment="1" pivotButton="0" quotePrefix="0" xfId="0">
      <alignment horizontal="center"/>
    </xf>
    <xf numFmtId="0" fontId="38" fillId="6" borderId="4" applyAlignment="1" pivotButton="0" quotePrefix="0" xfId="0">
      <alignment horizontal="center"/>
    </xf>
    <xf numFmtId="0" fontId="38" fillId="6" borderId="4" pivotButton="0" quotePrefix="0" xfId="0"/>
    <xf numFmtId="0" fontId="38" fillId="6" borderId="10" pivotButton="0" quotePrefix="0" xfId="0"/>
    <xf numFmtId="165" fontId="38" fillId="6" borderId="8" pivotButton="0" quotePrefix="0" xfId="0"/>
    <xf numFmtId="165" fontId="38" fillId="7" borderId="8" pivotButton="0" quotePrefix="0" xfId="0"/>
    <xf numFmtId="0" fontId="40" fillId="6" borderId="0" pivotButton="0" quotePrefix="0" xfId="0"/>
    <xf numFmtId="0" fontId="40" fillId="6" borderId="15" applyAlignment="1" pivotButton="0" quotePrefix="0" xfId="0">
      <alignment horizontal="center" vertical="center"/>
    </xf>
    <xf numFmtId="0" fontId="40" fillId="6" borderId="21" applyAlignment="1" pivotButton="0" quotePrefix="0" xfId="0">
      <alignment horizontal="center" vertical="center"/>
    </xf>
    <xf numFmtId="165" fontId="40" fillId="6" borderId="22" applyAlignment="1" pivotButton="0" quotePrefix="0" xfId="0">
      <alignment horizontal="center" vertical="center"/>
    </xf>
    <xf numFmtId="0" fontId="40" fillId="6" borderId="0" applyAlignment="1" pivotButton="0" quotePrefix="0" xfId="0">
      <alignment horizontal="center" vertical="center"/>
    </xf>
    <xf numFmtId="0" fontId="39" fillId="6" borderId="4" applyAlignment="1" pivotButton="0" quotePrefix="0" xfId="0">
      <alignment horizontal="center"/>
    </xf>
    <xf numFmtId="0" fontId="39" fillId="6" borderId="4" pivotButton="0" quotePrefix="0" xfId="0"/>
    <xf numFmtId="165" fontId="38" fillId="6" borderId="4" pivotButton="0" quotePrefix="0" xfId="0"/>
    <xf numFmtId="0" fontId="1" fillId="6" borderId="0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50"/>
  <sheetViews>
    <sheetView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2030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2030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18" t="n"/>
      <c r="C8" s="15" t="n"/>
      <c r="D8" s="249" t="inlineStr">
        <is>
          <t>Belum ada data revenue dan pajak</t>
        </is>
      </c>
      <c r="E8" s="227" t="n"/>
      <c r="F8" s="28" t="n"/>
      <c r="G8" s="15" t="n"/>
      <c r="H8" s="15" t="n"/>
      <c r="I8" s="15" t="n"/>
      <c r="J8" s="18" t="n"/>
      <c r="K8" s="18" t="n"/>
      <c r="L8" s="18" t="n"/>
      <c r="M8" s="143" t="n"/>
      <c r="N8" s="143" t="n"/>
      <c r="O8" s="18" t="n"/>
      <c r="P8" s="18" t="n"/>
      <c r="Q8" s="250" t="n"/>
    </row>
    <row r="9" ht="15.5" customHeight="1">
      <c r="B9" s="251" t="inlineStr">
        <is>
          <t>REVENUE (IDR)</t>
        </is>
      </c>
      <c r="C9" s="230" t="n"/>
      <c r="D9" s="230" t="n"/>
      <c r="E9" s="227" t="n"/>
      <c r="F9" s="252">
        <f>SUM(F8:F8)</f>
        <v/>
      </c>
      <c r="G9" s="15" t="n"/>
      <c r="H9" s="15" t="n"/>
      <c r="I9" s="253" t="n"/>
      <c r="J9" s="254" t="n"/>
      <c r="K9" s="254" t="n"/>
      <c r="L9" s="255">
        <f>SUM(L8:L8)</f>
        <v/>
      </c>
      <c r="M9" s="256">
        <f>SUM(M8:M8)</f>
        <v/>
      </c>
      <c r="N9" s="256">
        <f>SUM(N8:N8)</f>
        <v/>
      </c>
      <c r="O9" s="257">
        <f>SUM(O8:O8)</f>
        <v/>
      </c>
      <c r="P9" s="18" t="n"/>
    </row>
    <row r="10">
      <c r="B10" s="250" t="n"/>
      <c r="C10" s="250" t="n"/>
      <c r="D10" s="250" t="n"/>
      <c r="E10" s="250" t="n"/>
      <c r="F10" s="250" t="n"/>
      <c r="G10" s="250" t="n"/>
      <c r="H10" s="250" t="n"/>
      <c r="I10" s="250" t="n"/>
      <c r="J10" s="250" t="n"/>
      <c r="K10" s="250" t="n"/>
      <c r="L10" s="250" t="n"/>
      <c r="M10" s="250" t="n"/>
      <c r="N10" s="250" t="n"/>
      <c r="O10" s="250" t="n"/>
      <c r="P10" s="250" t="n"/>
      <c r="Q10" s="250" t="n"/>
    </row>
    <row r="11" hidden="1" ht="15.5" customHeight="1">
      <c r="B11" s="18" t="n"/>
      <c r="C11" s="15" t="n"/>
      <c r="D11" s="170" t="n"/>
      <c r="F11" s="28" t="n"/>
      <c r="G11" s="15" t="n"/>
      <c r="H11" s="15" t="n"/>
      <c r="I11" s="15" t="n"/>
      <c r="J11" s="18" t="n"/>
      <c r="K11" s="18" t="n"/>
      <c r="L11" s="18" t="n"/>
      <c r="M11" s="143" t="n"/>
      <c r="N11" s="143" t="n"/>
      <c r="O11" s="18" t="n"/>
      <c r="P11" s="18" t="n"/>
    </row>
    <row r="12" hidden="1" ht="15.5" customHeight="1">
      <c r="B12" s="18" t="n"/>
      <c r="C12" s="15" t="n"/>
      <c r="D12" s="170" t="n"/>
      <c r="F12" s="28" t="n"/>
      <c r="G12" s="15" t="n"/>
      <c r="H12" s="15" t="n"/>
      <c r="I12" s="15" t="n"/>
      <c r="J12" s="18" t="n"/>
      <c r="K12" s="98" t="n"/>
      <c r="L12" s="18" t="n"/>
      <c r="M12" s="143" t="n"/>
      <c r="N12" s="143" t="n"/>
      <c r="O12" s="18" t="n"/>
      <c r="P12" s="18" t="n"/>
    </row>
    <row r="13" hidden="1" ht="15.5" customHeight="1">
      <c r="B13" s="18" t="n"/>
      <c r="C13" s="15" t="n"/>
      <c r="D13" s="170" t="n"/>
      <c r="F13" s="28" t="n"/>
      <c r="G13" s="15" t="n"/>
      <c r="H13" s="15" t="n"/>
      <c r="I13" s="15" t="n"/>
      <c r="J13" s="18" t="n"/>
      <c r="K13" s="98" t="n"/>
      <c r="L13" s="18" t="n"/>
      <c r="M13" s="143" t="n"/>
      <c r="N13" s="143" t="n"/>
      <c r="O13" s="18" t="n"/>
      <c r="P13" s="18" t="n"/>
    </row>
    <row r="14" hidden="1" ht="15.5" customHeight="1">
      <c r="B14" s="18" t="n"/>
      <c r="C14" s="15" t="n"/>
      <c r="D14" s="170" t="n"/>
      <c r="F14" s="28" t="n"/>
      <c r="G14" s="15" t="n"/>
      <c r="H14" s="15" t="n"/>
      <c r="I14" s="15" t="n"/>
      <c r="J14" s="18" t="n"/>
      <c r="K14" s="18" t="n"/>
      <c r="L14" s="18" t="n"/>
      <c r="M14" s="143" t="n"/>
      <c r="N14" s="143" t="n"/>
      <c r="O14" s="18" t="n"/>
      <c r="P14" s="18" t="n"/>
    </row>
    <row r="15" hidden="1" ht="15.5" customHeight="1">
      <c r="B15" s="18" t="n"/>
      <c r="C15" s="15" t="n"/>
      <c r="D15" s="170" t="n"/>
      <c r="F15" s="28" t="n"/>
      <c r="G15" s="15" t="n"/>
      <c r="H15" s="15" t="n"/>
      <c r="I15" s="15" t="n"/>
      <c r="J15" s="18" t="n"/>
      <c r="K15" s="98" t="n"/>
      <c r="L15" s="18" t="n"/>
      <c r="M15" s="143" t="n"/>
      <c r="N15" s="143" t="n"/>
      <c r="O15" s="18" t="n"/>
      <c r="P15" s="18" t="n"/>
    </row>
    <row r="16" hidden="1" ht="15.5" customHeight="1">
      <c r="B16" s="18" t="n"/>
      <c r="C16" s="15" t="n"/>
      <c r="D16" s="170" t="n"/>
      <c r="F16" s="28" t="n"/>
      <c r="G16" s="15" t="n"/>
      <c r="H16" s="15" t="n"/>
      <c r="I16" s="15" t="n"/>
      <c r="J16" s="18" t="n"/>
      <c r="K16" s="98" t="n"/>
      <c r="L16" s="18" t="n"/>
      <c r="M16" s="143" t="n"/>
      <c r="N16" s="143" t="n"/>
      <c r="O16" s="18" t="n"/>
      <c r="P16" s="18" t="n"/>
    </row>
    <row r="17" hidden="1" ht="15.5" customHeight="1">
      <c r="B17" s="18" t="n"/>
      <c r="C17" s="15" t="n"/>
      <c r="D17" s="170" t="n"/>
      <c r="F17" s="28" t="n"/>
      <c r="G17" s="15" t="n"/>
      <c r="H17" s="15" t="n"/>
      <c r="I17" s="15" t="n"/>
      <c r="J17" s="18" t="n"/>
      <c r="K17" s="98" t="n"/>
      <c r="L17" s="18" t="n"/>
      <c r="M17" s="143" t="n"/>
      <c r="N17" s="143" t="n"/>
      <c r="O17" s="18" t="n"/>
      <c r="P17" s="18" t="n"/>
    </row>
    <row r="18" hidden="1" ht="15.5" customHeight="1">
      <c r="B18" s="18" t="n"/>
      <c r="C18" s="15" t="n"/>
      <c r="D18" s="170" t="n"/>
      <c r="F18" s="258" t="n"/>
      <c r="G18" s="15" t="n"/>
      <c r="H18" s="15" t="n"/>
      <c r="I18" s="15" t="n"/>
      <c r="J18" s="18" t="n"/>
      <c r="K18" s="98" t="n"/>
      <c r="L18" s="259" t="n"/>
      <c r="M18" s="143" t="n"/>
      <c r="N18" s="143" t="n"/>
      <c r="O18" s="18" t="n"/>
      <c r="P18" s="18" t="n"/>
    </row>
    <row r="19" hidden="1" ht="15.5" customHeight="1">
      <c r="B19" s="18" t="n"/>
      <c r="C19" s="15" t="n"/>
      <c r="D19" s="170" t="n"/>
      <c r="F19" s="260" t="n"/>
      <c r="G19" s="15" t="n"/>
      <c r="H19" s="15" t="n"/>
      <c r="I19" s="15" t="n"/>
      <c r="J19" s="18" t="n"/>
      <c r="K19" s="261" t="n"/>
      <c r="L19" s="262" t="n"/>
      <c r="M19" s="143" t="n"/>
      <c r="N19" s="143" t="n"/>
      <c r="O19" s="263" t="n"/>
      <c r="P19" s="18" t="n"/>
    </row>
    <row r="20" hidden="1" ht="15.5" customHeight="1">
      <c r="B20" s="18" t="n"/>
      <c r="C20" s="15" t="n"/>
      <c r="D20" s="170" t="n"/>
      <c r="F20" s="28" t="n"/>
      <c r="G20" s="15" t="n"/>
      <c r="H20" s="15" t="n"/>
      <c r="I20" s="15" t="n"/>
      <c r="J20" s="18" t="n"/>
      <c r="M20" s="143" t="n"/>
      <c r="N20" s="143" t="n"/>
      <c r="P20" s="18" t="n"/>
    </row>
    <row r="21" hidden="1" ht="15.5" customHeight="1">
      <c r="B21" s="18" t="n"/>
      <c r="C21" s="15" t="n"/>
      <c r="D21" s="170" t="n"/>
      <c r="F21" s="28" t="n"/>
      <c r="G21" s="15" t="n"/>
      <c r="H21" s="15" t="n"/>
      <c r="I21" s="27" t="n"/>
      <c r="J21" s="28" t="n"/>
      <c r="K21" s="264" t="n"/>
      <c r="L21" s="265" t="n"/>
      <c r="M21" s="143" t="n"/>
      <c r="N21" s="143" t="n"/>
      <c r="O21" s="266" t="n"/>
      <c r="P21" s="18" t="n"/>
    </row>
    <row r="22" hidden="1" ht="15.5" customHeight="1">
      <c r="B22" s="174" t="n"/>
      <c r="F22" s="267" t="n"/>
      <c r="G22" s="33" t="n"/>
      <c r="H22" s="33" t="n"/>
      <c r="I22" s="268" t="n"/>
      <c r="J22" s="269" t="n"/>
      <c r="K22" s="268" t="n"/>
      <c r="L22" s="270" t="n"/>
      <c r="M22" s="270" t="n"/>
      <c r="N22" s="270" t="n"/>
      <c r="O22" s="18" t="n"/>
      <c r="P22" s="18" t="n"/>
    </row>
    <row r="23"/>
    <row r="24" ht="25" customHeight="1">
      <c r="B24" s="8" t="inlineStr">
        <is>
          <t>PAJAK PENGELUARAN</t>
        </is>
      </c>
      <c r="F24" s="22" t="n"/>
      <c r="I24" s="37" t="n"/>
      <c r="L24" s="8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71" t="inlineStr">
        <is>
          <t>Detail/Description</t>
        </is>
      </c>
      <c r="E25" s="221" t="n"/>
      <c r="F25" s="177" t="inlineStr">
        <is>
          <t>Transaction Value</t>
        </is>
      </c>
      <c r="G25" s="54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11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>
      <c r="B27" s="14" t="n"/>
      <c r="C27" s="15" t="n"/>
      <c r="D27" s="249" t="inlineStr">
        <is>
          <t>Belum ada data pajak</t>
        </is>
      </c>
      <c r="E27" s="227" t="n"/>
      <c r="F27" s="19" t="n"/>
      <c r="G27" s="15" t="inlineStr">
        <is>
          <t>IDR</t>
        </is>
      </c>
      <c r="H27" s="272" t="n">
        <v>1</v>
      </c>
      <c r="I27" s="18" t="n"/>
      <c r="J27" s="21" t="n"/>
      <c r="K27" s="41" t="n"/>
      <c r="L27" s="21" t="n"/>
      <c r="M27" s="41" t="n"/>
      <c r="N27" s="21" t="n"/>
      <c r="O27" s="41" t="n"/>
      <c r="P27" s="21" t="n"/>
      <c r="Q27" s="42" t="n"/>
    </row>
    <row r="28" ht="15.5" customHeight="1">
      <c r="B28" s="251" t="inlineStr">
        <is>
          <t>PENERIMAAN NEGARA (TAX) (IDR)</t>
        </is>
      </c>
      <c r="C28" s="273" t="n"/>
      <c r="D28" s="273" t="n"/>
      <c r="E28" s="273" t="n"/>
      <c r="F28" s="273" t="n"/>
      <c r="G28" s="273" t="n"/>
      <c r="H28" s="274" t="n"/>
      <c r="I28" s="275" t="inlineStr">
        <is>
          <t>PPN</t>
        </is>
      </c>
      <c r="J28" s="276">
        <f>SUM(J27:J27)</f>
        <v/>
      </c>
      <c r="K28" s="277" t="inlineStr">
        <is>
          <t>PPh</t>
        </is>
      </c>
      <c r="L28" s="278">
        <f>SUM(L27:L27)</f>
        <v/>
      </c>
      <c r="M28" s="277" t="inlineStr">
        <is>
          <t>PPh</t>
        </is>
      </c>
      <c r="N28" s="278">
        <f>SUM(N27:N27)</f>
        <v/>
      </c>
      <c r="O28" s="277" t="inlineStr">
        <is>
          <t>PPh</t>
        </is>
      </c>
      <c r="P28" s="278">
        <f>SUM(P27:P27)</f>
        <v/>
      </c>
      <c r="Q28" s="279" t="inlineStr">
        <is>
          <t>-</t>
        </is>
      </c>
    </row>
    <row r="29" hidden="1" ht="15.5" customHeight="1">
      <c r="B29" s="14" t="n"/>
      <c r="C29" s="15" t="n"/>
      <c r="D29" s="170" t="n"/>
      <c r="E29" s="250" t="n"/>
      <c r="F29" s="19" t="n"/>
      <c r="G29" s="15" t="n"/>
      <c r="H29" s="15" t="n"/>
      <c r="I29" s="18" t="n"/>
      <c r="J29" s="21" t="n"/>
      <c r="K29" s="41" t="n"/>
      <c r="L29" s="21" t="n"/>
      <c r="M29" s="41" t="n"/>
      <c r="N29" s="21" t="n"/>
      <c r="O29" s="41" t="n"/>
      <c r="P29" s="21" t="n"/>
      <c r="Q29" s="42" t="n"/>
    </row>
    <row r="30" hidden="1" ht="15.5" customHeight="1">
      <c r="B30" s="14" t="n"/>
      <c r="C30" s="15" t="n"/>
      <c r="D30" s="170" t="n"/>
      <c r="E30" s="250" t="n"/>
      <c r="F30" s="19" t="n"/>
      <c r="G30" s="15" t="n"/>
      <c r="H30" s="15" t="n"/>
      <c r="I30" s="18" t="n"/>
      <c r="J30" s="21" t="n"/>
      <c r="K30" s="41" t="n"/>
      <c r="L30" s="21" t="n"/>
      <c r="M30" s="41" t="n"/>
      <c r="N30" s="21" t="n"/>
      <c r="O30" s="41" t="n"/>
      <c r="P30" s="21" t="n"/>
      <c r="Q30" s="42" t="n"/>
    </row>
    <row r="31" hidden="1" ht="15.5" customHeight="1">
      <c r="B31" s="14" t="n"/>
      <c r="C31" s="15" t="n"/>
      <c r="D31" s="170" t="n"/>
      <c r="E31" s="250" t="n"/>
      <c r="F31" s="19" t="n"/>
      <c r="G31" s="15" t="n"/>
      <c r="H31" s="15" t="n"/>
      <c r="I31" s="18" t="n"/>
      <c r="J31" s="21" t="n"/>
      <c r="K31" s="41" t="n"/>
      <c r="L31" s="21" t="n"/>
      <c r="M31" s="41" t="n"/>
      <c r="N31" s="21" t="n"/>
      <c r="O31" s="41" t="n"/>
      <c r="P31" s="21" t="n"/>
      <c r="Q31" s="42" t="n"/>
    </row>
    <row r="32" hidden="1" ht="15.5" customHeight="1">
      <c r="B32" s="14" t="n"/>
      <c r="C32" s="15" t="n"/>
      <c r="D32" s="170" t="n"/>
      <c r="E32" s="250" t="n"/>
      <c r="F32" s="19" t="n"/>
      <c r="G32" s="15" t="n"/>
      <c r="H32" s="15" t="n"/>
      <c r="I32" s="18" t="n"/>
      <c r="J32" s="21" t="n"/>
      <c r="K32" s="41" t="n"/>
      <c r="L32" s="21" t="n"/>
      <c r="M32" s="41" t="n"/>
      <c r="N32" s="21" t="n"/>
      <c r="O32" s="41" t="n"/>
      <c r="P32" s="21" t="n"/>
      <c r="Q32" s="42" t="n"/>
    </row>
    <row r="33" hidden="1" ht="15.5" customHeight="1">
      <c r="B33" s="14" t="n"/>
      <c r="C33" s="15" t="n"/>
      <c r="D33" s="170" t="n"/>
      <c r="E33" s="250" t="n"/>
      <c r="F33" s="19" t="n"/>
      <c r="G33" s="15" t="n"/>
      <c r="H33" s="15" t="n"/>
      <c r="I33" s="18" t="n"/>
      <c r="J33" s="21" t="n"/>
      <c r="K33" s="41" t="n"/>
      <c r="L33" s="21" t="n"/>
      <c r="M33" s="41" t="n"/>
      <c r="N33" s="21" t="n"/>
      <c r="O33" s="41" t="n"/>
      <c r="P33" s="21" t="n"/>
      <c r="Q33" s="42" t="n"/>
    </row>
    <row r="34" hidden="1" ht="15.5" customHeight="1">
      <c r="B34" s="14" t="n"/>
      <c r="C34" s="15" t="n"/>
      <c r="D34" s="170" t="n"/>
      <c r="E34" s="250" t="n"/>
      <c r="F34" s="19" t="n"/>
      <c r="G34" s="15" t="n"/>
      <c r="H34" s="15" t="n"/>
      <c r="I34" s="18" t="n"/>
      <c r="J34" s="21" t="n"/>
      <c r="K34" s="41" t="n"/>
      <c r="L34" s="21" t="n"/>
      <c r="M34" s="41" t="n"/>
      <c r="N34" s="21" t="n"/>
      <c r="O34" s="41" t="n"/>
      <c r="P34" s="21" t="n"/>
      <c r="Q34" s="42" t="n"/>
    </row>
    <row r="35" hidden="1" ht="15.5" customHeight="1">
      <c r="B35" s="14" t="n"/>
      <c r="C35" s="15" t="n"/>
      <c r="D35" s="170" t="n"/>
      <c r="E35" s="250" t="n"/>
      <c r="F35" s="19" t="n"/>
      <c r="G35" s="15" t="n"/>
      <c r="H35" s="15" t="n"/>
      <c r="I35" s="18" t="n"/>
      <c r="J35" s="21" t="n"/>
      <c r="K35" s="41" t="n"/>
      <c r="L35" s="21" t="n"/>
      <c r="M35" s="41" t="n"/>
      <c r="N35" s="21" t="n"/>
      <c r="O35" s="41" t="n"/>
      <c r="P35" s="21" t="n"/>
      <c r="Q35" s="42" t="n"/>
    </row>
    <row r="36" hidden="1" ht="15.5" customHeight="1">
      <c r="B36" s="14" t="n"/>
      <c r="C36" s="15" t="n"/>
      <c r="D36" s="170" t="n"/>
      <c r="E36" s="250" t="n"/>
      <c r="F36" s="19" t="n"/>
      <c r="G36" s="15" t="n"/>
      <c r="H36" s="15" t="n"/>
      <c r="I36" s="18" t="n"/>
      <c r="J36" s="21" t="n"/>
      <c r="K36" s="41" t="n"/>
      <c r="L36" s="21" t="n"/>
      <c r="M36" s="41" t="n"/>
      <c r="N36" s="21" t="n"/>
      <c r="O36" s="41" t="n"/>
      <c r="P36" s="21" t="n"/>
      <c r="Q36" s="42" t="n"/>
    </row>
    <row r="37" hidden="1" ht="15.5" customHeight="1">
      <c r="B37" s="174" t="inlineStr">
        <is>
          <t>PENERIMAAN NEGARA (TAX) (IDR)</t>
        </is>
      </c>
      <c r="C37" s="230" t="n"/>
      <c r="D37" s="230" t="n"/>
      <c r="E37" s="230" t="n"/>
      <c r="F37" s="230" t="n"/>
      <c r="G37" s="230" t="n"/>
      <c r="H37" s="227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>
      <c r="B39" s="8" t="inlineStr">
        <is>
          <t>PENGELUARAN</t>
        </is>
      </c>
    </row>
    <row r="40" ht="60" customFormat="1" customHeight="1" s="49">
      <c r="B40" s="280" t="inlineStr">
        <is>
          <t>Date</t>
        </is>
      </c>
      <c r="C40" s="281" t="inlineStr">
        <is>
          <t>#</t>
        </is>
      </c>
      <c r="D40" s="281" t="inlineStr">
        <is>
          <t>Activity</t>
        </is>
      </c>
      <c r="E40" s="282" t="inlineStr">
        <is>
          <t>Source</t>
        </is>
      </c>
      <c r="F40" s="283" t="inlineStr">
        <is>
          <t>Jumlah</t>
        </is>
      </c>
      <c r="G40" s="282" t="inlineStr">
        <is>
          <t>Currency</t>
        </is>
      </c>
      <c r="H40" s="282" t="inlineStr">
        <is>
          <t>urrency Exchange</t>
        </is>
      </c>
      <c r="I40" s="284" t="inlineStr">
        <is>
          <t>Biaya Research (R&amp;D)</t>
        </is>
      </c>
      <c r="J40" s="285" t="inlineStr">
        <is>
          <t>Biaya Operasi</t>
        </is>
      </c>
      <c r="K40" s="286" t="inlineStr">
        <is>
          <t>diofavian</t>
        </is>
      </c>
      <c r="L40" s="286" t="inlineStr">
        <is>
          <t>Biaya Sewa Peralatan</t>
        </is>
      </c>
      <c r="M40" s="287" t="inlineStr">
        <is>
          <t>Biaya Interpretasi Log Data</t>
        </is>
      </c>
      <c r="N40" s="287" t="inlineStr">
        <is>
          <t>Administrasi</t>
        </is>
      </c>
      <c r="O40" s="287" t="inlineStr">
        <is>
          <t>Pembelian Barang</t>
        </is>
      </c>
      <c r="P40" s="287" t="inlineStr">
        <is>
          <t>Sewa Kantor</t>
        </is>
      </c>
      <c r="Q40" s="287" t="inlineStr">
        <is>
          <t>Kesehatan</t>
        </is>
      </c>
      <c r="R40" s="286" t="inlineStr">
        <is>
          <t>Bisnis Dev</t>
        </is>
      </c>
      <c r="S40" s="286" t="inlineStr">
        <is>
          <t>asdasd</t>
        </is>
      </c>
      <c r="T40" s="286" t="inlineStr">
        <is>
          <t>makanan jepang</t>
        </is>
      </c>
      <c r="U40" s="286" t="inlineStr">
        <is>
          <t>aaaaa</t>
        </is>
      </c>
      <c r="V40" s="286" t="inlineStr">
        <is>
          <t>bbbbb</t>
        </is>
      </c>
      <c r="W40" s="286" t="inlineStr">
        <is>
          <t>asdsad</t>
        </is>
      </c>
      <c r="X40" s="286" t="inlineStr">
        <is>
          <t>dfgdfgdfgd</t>
        </is>
      </c>
      <c r="Y40" s="286" t="inlineStr">
        <is>
          <t>12312</t>
        </is>
      </c>
    </row>
    <row r="41" ht="15.5" customHeight="1">
      <c r="B41" s="288" t="n"/>
      <c r="C41" s="289" t="n"/>
      <c r="D41" s="290" t="inlineStr">
        <is>
          <t>keysha , nabil</t>
        </is>
      </c>
      <c r="E41" s="291" t="n"/>
      <c r="F41" s="292" t="n"/>
      <c r="G41" s="293" t="n"/>
      <c r="H41" s="293" t="n"/>
      <c r="I41" s="294" t="n"/>
      <c r="J41" s="294" t="n"/>
      <c r="K41" s="295" t="n"/>
      <c r="L41" s="290" t="n"/>
      <c r="M41" s="290" t="n"/>
      <c r="N41" s="290" t="n"/>
      <c r="O41" s="290" t="n"/>
      <c r="P41" s="290" t="n"/>
      <c r="Q41" s="290" t="n"/>
      <c r="R41" s="296" t="n"/>
      <c r="S41" s="296" t="n"/>
      <c r="T41" s="296" t="n"/>
      <c r="U41" s="296" t="n"/>
      <c r="V41" s="296" t="n"/>
      <c r="W41" s="296" t="n"/>
      <c r="X41" s="296" t="n"/>
      <c r="Y41" s="296" t="n"/>
    </row>
    <row r="42" ht="15.5" customHeight="1">
      <c r="B42" s="297" t="inlineStr">
        <is>
          <t>13-Dec-30</t>
        </is>
      </c>
      <c r="C42" s="289" t="n">
        <v>1</v>
      </c>
      <c r="D42" s="291" t="inlineStr">
        <is>
          <t>23434</t>
        </is>
      </c>
      <c r="E42" s="291" t="inlineStr">
        <is>
          <t>BRI</t>
        </is>
      </c>
      <c r="F42" s="298" t="n">
        <v>220000</v>
      </c>
      <c r="G42" s="293" t="inlineStr">
        <is>
          <t>USD</t>
        </is>
      </c>
      <c r="H42" s="299" t="n">
        <v>10000</v>
      </c>
      <c r="I42" s="300" t="n">
        <v>220000</v>
      </c>
      <c r="J42" s="301" t="n"/>
      <c r="K42" s="302" t="n"/>
      <c r="L42" s="291" t="n"/>
      <c r="M42" s="291" t="n"/>
      <c r="N42" s="291" t="n"/>
      <c r="O42" s="291" t="n"/>
      <c r="P42" s="291" t="n"/>
      <c r="Q42" s="291" t="n"/>
      <c r="R42" s="296" t="n"/>
      <c r="S42" s="296" t="n"/>
      <c r="T42" s="296" t="n"/>
      <c r="U42" s="296" t="n"/>
      <c r="V42" s="296" t="n"/>
      <c r="W42" s="296" t="n"/>
      <c r="X42" s="296" t="n"/>
      <c r="Y42" s="296" t="n"/>
    </row>
    <row r="43" ht="15.5" customHeight="1">
      <c r="B43" s="288" t="n"/>
      <c r="C43" s="289" t="n"/>
      <c r="D43" s="290" t="inlineStr">
        <is>
          <t>Allowance</t>
        </is>
      </c>
      <c r="E43" s="291" t="n"/>
      <c r="F43" s="292" t="n"/>
      <c r="G43" s="293" t="n"/>
      <c r="H43" s="293" t="n"/>
      <c r="I43" s="294" t="n"/>
      <c r="J43" s="294" t="n"/>
      <c r="K43" s="295" t="n"/>
      <c r="L43" s="290" t="n"/>
      <c r="M43" s="290" t="n"/>
      <c r="N43" s="290" t="n"/>
      <c r="O43" s="290" t="n"/>
      <c r="P43" s="290" t="n"/>
      <c r="Q43" s="290" t="n"/>
      <c r="R43" s="296" t="n"/>
      <c r="S43" s="296" t="n"/>
      <c r="T43" s="296" t="n"/>
      <c r="U43" s="296" t="n"/>
      <c r="V43" s="296" t="n"/>
      <c r="W43" s="296" t="n"/>
      <c r="X43" s="296" t="n"/>
      <c r="Y43" s="296" t="n"/>
    </row>
    <row r="44" ht="15.5" customHeight="1">
      <c r="B44" s="297" t="inlineStr">
        <is>
          <t>31-Dec-30</t>
        </is>
      </c>
      <c r="C44" s="289" t="n">
        <v>2</v>
      </c>
      <c r="D44" s="291" t="inlineStr">
        <is>
          <t>87987000</t>
        </is>
      </c>
      <c r="E44" s="291" t="inlineStr">
        <is>
          <t>BNI</t>
        </is>
      </c>
      <c r="F44" s="298" t="n">
        <v>98098000</v>
      </c>
      <c r="G44" s="293" t="inlineStr">
        <is>
          <t>IDR</t>
        </is>
      </c>
      <c r="H44" s="299" t="n">
        <v>1</v>
      </c>
      <c r="I44" s="300" t="n">
        <v>98098000</v>
      </c>
      <c r="J44" s="301" t="n"/>
      <c r="K44" s="302" t="n"/>
      <c r="L44" s="291" t="n"/>
      <c r="M44" s="291" t="n"/>
      <c r="N44" s="291" t="n"/>
      <c r="O44" s="291" t="n"/>
      <c r="P44" s="291" t="n"/>
      <c r="Q44" s="291" t="n"/>
      <c r="R44" s="296" t="n"/>
      <c r="S44" s="296" t="n"/>
      <c r="T44" s="296" t="n"/>
      <c r="U44" s="296" t="n"/>
      <c r="V44" s="296" t="n"/>
      <c r="W44" s="296" t="n"/>
      <c r="X44" s="296" t="n"/>
      <c r="Y44" s="296" t="n"/>
    </row>
    <row r="45" ht="15.5" customHeight="1">
      <c r="B45" s="288" t="n"/>
      <c r="C45" s="289" t="n"/>
      <c r="D45" s="290" t="inlineStr">
        <is>
          <t>keysha</t>
        </is>
      </c>
      <c r="E45" s="291" t="n"/>
      <c r="F45" s="292" t="n"/>
      <c r="G45" s="293" t="n"/>
      <c r="H45" s="293" t="n"/>
      <c r="I45" s="294" t="n"/>
      <c r="J45" s="294" t="n"/>
      <c r="K45" s="295" t="n"/>
      <c r="L45" s="290" t="n"/>
      <c r="M45" s="290" t="n"/>
      <c r="N45" s="290" t="n"/>
      <c r="O45" s="290" t="n"/>
      <c r="P45" s="290" t="n"/>
      <c r="Q45" s="290" t="n"/>
      <c r="R45" s="296" t="n"/>
      <c r="S45" s="296" t="n"/>
      <c r="T45" s="296" t="n"/>
      <c r="U45" s="296" t="n"/>
      <c r="V45" s="296" t="n"/>
      <c r="W45" s="296" t="n"/>
      <c r="X45" s="296" t="n"/>
      <c r="Y45" s="296" t="n"/>
    </row>
    <row r="46" ht="15.5" customHeight="1">
      <c r="B46" s="297" t="inlineStr">
        <is>
          <t>01-Oct-30</t>
        </is>
      </c>
      <c r="C46" s="289" t="n">
        <v>3</v>
      </c>
      <c r="D46" s="291" t="inlineStr">
        <is>
          <t>sdasd</t>
        </is>
      </c>
      <c r="E46" s="291" t="inlineStr">
        <is>
          <t>Mandiri</t>
        </is>
      </c>
      <c r="F46" s="298" t="n">
        <v>14664</v>
      </c>
      <c r="G46" s="293" t="inlineStr">
        <is>
          <t>USD</t>
        </is>
      </c>
      <c r="H46" s="299" t="n">
        <v>1222</v>
      </c>
      <c r="I46" s="300" t="n">
        <v>14664</v>
      </c>
      <c r="J46" s="301" t="n"/>
      <c r="K46" s="302" t="n"/>
      <c r="L46" s="291" t="n"/>
      <c r="M46" s="291" t="n"/>
      <c r="N46" s="291" t="n"/>
      <c r="O46" s="291" t="n"/>
      <c r="P46" s="291" t="n"/>
      <c r="Q46" s="291" t="n"/>
      <c r="R46" s="296" t="n"/>
      <c r="S46" s="296" t="n"/>
      <c r="T46" s="296" t="n"/>
      <c r="U46" s="296" t="n"/>
      <c r="V46" s="296" t="n"/>
      <c r="W46" s="296" t="n"/>
      <c r="X46" s="296" t="n"/>
      <c r="Y46" s="296" t="n"/>
    </row>
    <row r="47" ht="15.5" customHeight="1">
      <c r="A47" s="66" t="n"/>
      <c r="B47" s="303" t="n"/>
      <c r="C47" s="304" t="n"/>
      <c r="D47" s="305" t="inlineStr">
        <is>
          <t>OPERATION COST AND OFFICE - Expenses Report</t>
        </is>
      </c>
      <c r="E47" s="306" t="n"/>
      <c r="F47" s="307" t="n"/>
      <c r="G47" s="308" t="n"/>
      <c r="H47" s="308" t="n"/>
      <c r="I47" s="309" t="n"/>
      <c r="J47" s="310" t="n"/>
      <c r="K47" s="311" t="n"/>
      <c r="L47" s="311" t="n"/>
      <c r="M47" s="311" t="n"/>
      <c r="N47" s="311" t="n"/>
      <c r="O47" s="311" t="n"/>
      <c r="P47" s="311" t="n"/>
      <c r="Q47" s="311" t="n"/>
      <c r="R47" s="312" t="n"/>
      <c r="S47" s="312" t="n"/>
      <c r="T47" s="312" t="n"/>
      <c r="U47" s="312" t="n"/>
      <c r="V47" s="312" t="n"/>
      <c r="W47" s="312" t="n"/>
      <c r="X47" s="312" t="n"/>
      <c r="Y47" s="312" t="n"/>
    </row>
    <row r="48" ht="15.5" customHeight="1">
      <c r="B48" s="313" t="inlineStr">
        <is>
          <t>Expense#1</t>
        </is>
      </c>
      <c r="C48" s="314" t="inlineStr">
        <is>
          <t>:</t>
        </is>
      </c>
      <c r="D48" s="315" t="inlineStr">
        <is>
          <t>Gudang</t>
        </is>
      </c>
      <c r="E48" s="316" t="n"/>
      <c r="F48" s="317" t="n"/>
      <c r="G48" s="318" t="n"/>
      <c r="H48" s="318" t="n"/>
      <c r="I48" s="319" t="n"/>
      <c r="J48" s="319" t="n"/>
      <c r="K48" s="320" t="n"/>
      <c r="L48" s="320" t="n"/>
      <c r="M48" s="320" t="n"/>
      <c r="N48" s="320" t="n"/>
      <c r="O48" s="320" t="n"/>
      <c r="P48" s="320" t="n"/>
      <c r="Q48" s="320" t="n"/>
      <c r="R48" s="321" t="n"/>
      <c r="S48" s="321" t="n"/>
      <c r="T48" s="321" t="n"/>
      <c r="U48" s="321" t="n"/>
      <c r="V48" s="321" t="n"/>
      <c r="W48" s="321" t="n"/>
      <c r="X48" s="321" t="n"/>
      <c r="Y48" s="321" t="n"/>
    </row>
    <row r="49" ht="15.5" customHeight="1">
      <c r="B49" s="322" t="n"/>
      <c r="C49" s="289" t="n"/>
      <c r="D49" s="323" t="inlineStr">
        <is>
          <t>123123</t>
        </is>
      </c>
      <c r="E49" s="324" t="n"/>
      <c r="F49" s="325" t="n"/>
      <c r="G49" s="293" t="n"/>
      <c r="H49" s="293" t="n"/>
      <c r="I49" s="294" t="n"/>
      <c r="J49" s="294" t="n"/>
      <c r="K49" s="290" t="n"/>
      <c r="L49" s="290" t="n"/>
      <c r="M49" s="290" t="n"/>
      <c r="N49" s="290" t="n"/>
      <c r="O49" s="290" t="n"/>
      <c r="P49" s="290" t="n"/>
      <c r="Q49" s="290" t="n"/>
      <c r="R49" s="326" t="n"/>
      <c r="S49" s="326" t="n"/>
      <c r="T49" s="326" t="n"/>
      <c r="U49" s="326" t="n"/>
      <c r="V49" s="326" t="n"/>
      <c r="W49" s="326" t="n"/>
      <c r="X49" s="326" t="n"/>
      <c r="Y49" s="326" t="n"/>
    </row>
    <row r="50" ht="15.5" customHeight="1">
      <c r="B50" s="297" t="inlineStr">
        <is>
          <t>31-Dec-30</t>
        </is>
      </c>
      <c r="C50" s="289" t="n">
        <v>1</v>
      </c>
      <c r="D50" s="291" t="inlineStr">
        <is>
          <t>123123</t>
        </is>
      </c>
      <c r="E50" s="291" t="inlineStr">
        <is>
          <t>BCA</t>
        </is>
      </c>
      <c r="F50" s="298" t="n">
        <v>123123</v>
      </c>
      <c r="G50" s="293" t="inlineStr">
        <is>
          <t>IDR</t>
        </is>
      </c>
      <c r="H50" s="299" t="n">
        <v>1</v>
      </c>
      <c r="I50" s="300" t="n">
        <v>123123</v>
      </c>
      <c r="J50" s="301" t="n"/>
      <c r="K50" s="302" t="n"/>
      <c r="L50" s="291" t="n"/>
      <c r="M50" s="291" t="n"/>
      <c r="N50" s="291" t="n"/>
      <c r="O50" s="291" t="n"/>
      <c r="P50" s="291" t="n"/>
      <c r="Q50" s="291" t="n"/>
      <c r="R50" s="296" t="n"/>
      <c r="S50" s="296" t="n"/>
      <c r="T50" s="296" t="n"/>
      <c r="U50" s="296" t="n"/>
      <c r="V50" s="296" t="n"/>
      <c r="W50" s="296" t="n"/>
      <c r="X50" s="296" t="n"/>
      <c r="Y50" s="296" t="n"/>
    </row>
    <row r="51" ht="15.5" customHeight="1">
      <c r="B51" s="288" t="n"/>
      <c r="C51" s="289" t="n"/>
      <c r="D51" s="323" t="inlineStr">
        <is>
          <t>Meal</t>
        </is>
      </c>
      <c r="E51" s="324" t="n"/>
      <c r="F51" s="327" t="n"/>
      <c r="G51" s="293" t="n"/>
      <c r="H51" s="293" t="n"/>
      <c r="I51" s="294" t="n"/>
      <c r="J51" s="294" t="n"/>
      <c r="K51" s="290" t="n"/>
      <c r="L51" s="290" t="n"/>
      <c r="M51" s="290" t="n"/>
      <c r="N51" s="290" t="n"/>
      <c r="O51" s="290" t="n"/>
      <c r="P51" s="290" t="n"/>
      <c r="Q51" s="290" t="n"/>
      <c r="R51" s="326" t="n"/>
      <c r="S51" s="326" t="n"/>
      <c r="T51" s="326" t="n"/>
      <c r="U51" s="326" t="n"/>
      <c r="V51" s="326" t="n"/>
      <c r="W51" s="326" t="n"/>
      <c r="X51" s="326" t="n"/>
      <c r="Y51" s="326" t="n"/>
    </row>
    <row r="52" ht="15.5" customFormat="1" customHeight="1" s="66">
      <c r="B52" s="297" t="inlineStr">
        <is>
          <t>31-Dec-30</t>
        </is>
      </c>
      <c r="C52" s="289" t="n">
        <v>2</v>
      </c>
      <c r="D52" s="291" t="inlineStr">
        <is>
          <t>werw</t>
        </is>
      </c>
      <c r="E52" s="291" t="inlineStr">
        <is>
          <t>BRI</t>
        </is>
      </c>
      <c r="F52" s="298" t="n">
        <v>123123</v>
      </c>
      <c r="G52" s="293" t="inlineStr">
        <is>
          <t>IDR</t>
        </is>
      </c>
      <c r="H52" s="299" t="n">
        <v>1</v>
      </c>
      <c r="I52" s="300" t="n">
        <v>123123</v>
      </c>
      <c r="J52" s="301" t="n"/>
      <c r="K52" s="302" t="n"/>
      <c r="L52" s="291" t="n"/>
      <c r="M52" s="291" t="n"/>
      <c r="N52" s="291" t="n"/>
      <c r="O52" s="291" t="n"/>
      <c r="P52" s="291" t="n"/>
      <c r="Q52" s="291" t="n"/>
      <c r="R52" s="296" t="n"/>
      <c r="S52" s="296" t="n"/>
      <c r="T52" s="296" t="n"/>
      <c r="U52" s="296" t="n"/>
      <c r="V52" s="296" t="n"/>
      <c r="W52" s="296" t="n"/>
      <c r="X52" s="296" t="n"/>
      <c r="Y52" s="296" t="n"/>
    </row>
    <row r="53" ht="15.5" customFormat="1" customHeight="1" s="66">
      <c r="B53" s="288" t="n"/>
      <c r="C53" s="289" t="n"/>
      <c r="D53" s="323" t="inlineStr">
        <is>
          <t>nabil</t>
        </is>
      </c>
      <c r="E53" s="324" t="n"/>
      <c r="F53" s="327" t="n"/>
      <c r="G53" s="293" t="n"/>
      <c r="H53" s="293" t="n"/>
      <c r="I53" s="295" t="n"/>
      <c r="J53" s="294" t="n"/>
      <c r="K53" s="290" t="n"/>
      <c r="L53" s="290" t="n"/>
      <c r="M53" s="290" t="n"/>
      <c r="N53" s="290" t="n"/>
      <c r="O53" s="290" t="n"/>
      <c r="P53" s="290" t="n"/>
      <c r="Q53" s="290" t="n"/>
      <c r="R53" s="326" t="n"/>
      <c r="S53" s="326" t="n"/>
      <c r="T53" s="326" t="n"/>
      <c r="U53" s="326" t="n"/>
      <c r="V53" s="326" t="n"/>
      <c r="W53" s="326" t="n"/>
      <c r="X53" s="326" t="n"/>
      <c r="Y53" s="326" t="n"/>
    </row>
    <row r="54" ht="15.5" customFormat="1" customHeight="1" s="66">
      <c r="B54" s="297" t="inlineStr">
        <is>
          <t>31-Dec-30</t>
        </is>
      </c>
      <c r="C54" s="289" t="n">
        <v>3</v>
      </c>
      <c r="D54" s="291" t="inlineStr">
        <is>
          <t>reza</t>
        </is>
      </c>
      <c r="E54" s="291" t="inlineStr">
        <is>
          <t>BCA</t>
        </is>
      </c>
      <c r="F54" s="298" t="n">
        <v>30000</v>
      </c>
      <c r="G54" s="293" t="inlineStr">
        <is>
          <t>IDR</t>
        </is>
      </c>
      <c r="H54" s="299" t="n">
        <v>1</v>
      </c>
      <c r="I54" s="300" t="n">
        <v>30000</v>
      </c>
      <c r="J54" s="301" t="n"/>
      <c r="K54" s="302" t="n"/>
      <c r="L54" s="291" t="n"/>
      <c r="M54" s="291" t="n"/>
      <c r="N54" s="291" t="n"/>
      <c r="O54" s="291" t="n"/>
      <c r="P54" s="291" t="n"/>
      <c r="Q54" s="291" t="n"/>
      <c r="R54" s="296" t="n"/>
      <c r="S54" s="296" t="n"/>
      <c r="T54" s="296" t="n"/>
      <c r="U54" s="296" t="n"/>
      <c r="V54" s="296" t="n"/>
      <c r="W54" s="296" t="n"/>
      <c r="X54" s="296" t="n"/>
      <c r="Y54" s="296" t="n"/>
    </row>
    <row r="55" ht="15.5" customFormat="1" customHeight="1" s="66">
      <c r="B55" s="313" t="inlineStr">
        <is>
          <t>Expense#2</t>
        </is>
      </c>
      <c r="C55" s="314" t="inlineStr">
        <is>
          <t>:</t>
        </is>
      </c>
      <c r="D55" s="315" t="inlineStr">
        <is>
          <t>sasdas</t>
        </is>
      </c>
      <c r="E55" s="316" t="n"/>
      <c r="F55" s="328" t="n"/>
      <c r="G55" s="318" t="n"/>
      <c r="H55" s="318" t="n"/>
      <c r="I55" s="329" t="n"/>
      <c r="J55" s="319" t="n"/>
      <c r="K55" s="320" t="n"/>
      <c r="L55" s="320" t="n"/>
      <c r="M55" s="320" t="n"/>
      <c r="N55" s="320" t="n"/>
      <c r="O55" s="320" t="n"/>
      <c r="P55" s="320" t="n"/>
      <c r="Q55" s="320" t="n"/>
      <c r="R55" s="321" t="n"/>
      <c r="S55" s="321" t="n"/>
      <c r="T55" s="321" t="n"/>
      <c r="U55" s="321" t="n"/>
      <c r="V55" s="321" t="n"/>
      <c r="W55" s="321" t="n"/>
      <c r="X55" s="321" t="n"/>
      <c r="Y55" s="321" t="n"/>
    </row>
    <row r="56" ht="15.5" customFormat="1" customHeight="1" s="66">
      <c r="B56" s="288" t="n"/>
      <c r="C56" s="289" t="n"/>
      <c r="D56" s="323" t="inlineStr">
        <is>
          <t>123123</t>
        </is>
      </c>
      <c r="E56" s="324" t="n"/>
      <c r="F56" s="327" t="n"/>
      <c r="G56" s="293" t="n"/>
      <c r="H56" s="293" t="n"/>
      <c r="I56" s="294" t="n"/>
      <c r="J56" s="294" t="n"/>
      <c r="K56" s="290" t="n"/>
      <c r="L56" s="290" t="n"/>
      <c r="M56" s="290" t="n"/>
      <c r="N56" s="290" t="n"/>
      <c r="O56" s="290" t="n"/>
      <c r="P56" s="290" t="n"/>
      <c r="Q56" s="330" t="n"/>
      <c r="R56" s="326" t="n"/>
      <c r="S56" s="326" t="n"/>
      <c r="T56" s="326" t="n"/>
      <c r="U56" s="326" t="n"/>
      <c r="V56" s="326" t="n"/>
      <c r="W56" s="326" t="n"/>
      <c r="X56" s="326" t="n"/>
      <c r="Y56" s="326" t="n"/>
    </row>
    <row r="57" ht="15.5" customFormat="1" customHeight="1" s="66">
      <c r="B57" s="297" t="inlineStr">
        <is>
          <t>31-Dec-30</t>
        </is>
      </c>
      <c r="C57" s="289" t="n">
        <v>1</v>
      </c>
      <c r="D57" s="291" t="inlineStr">
        <is>
          <t>123123</t>
        </is>
      </c>
      <c r="E57" s="291" t="inlineStr">
        <is>
          <t>Advance</t>
        </is>
      </c>
      <c r="F57" s="298" t="n">
        <v>101</v>
      </c>
      <c r="G57" s="293" t="inlineStr">
        <is>
          <t>USD</t>
        </is>
      </c>
      <c r="H57" s="299" t="n">
        <v>101</v>
      </c>
      <c r="I57" s="300" t="n">
        <v>101</v>
      </c>
      <c r="J57" s="301" t="n"/>
      <c r="K57" s="302" t="n"/>
      <c r="L57" s="291" t="n"/>
      <c r="M57" s="291" t="n"/>
      <c r="N57" s="291" t="n"/>
      <c r="O57" s="291" t="n"/>
      <c r="P57" s="291" t="n"/>
      <c r="Q57" s="291" t="n"/>
      <c r="R57" s="296" t="n"/>
      <c r="S57" s="296" t="n"/>
      <c r="T57" s="296" t="n"/>
      <c r="U57" s="296" t="n"/>
      <c r="V57" s="296" t="n"/>
      <c r="W57" s="296" t="n"/>
      <c r="X57" s="296" t="n"/>
      <c r="Y57" s="296" t="n"/>
    </row>
    <row r="58" ht="15.5" customFormat="1" customHeight="1" s="66">
      <c r="B58" s="288" t="n"/>
      <c r="C58" s="289" t="n"/>
      <c r="D58" s="323" t="inlineStr">
        <is>
          <t>Allowance</t>
        </is>
      </c>
      <c r="E58" s="324" t="n"/>
      <c r="F58" s="327" t="n"/>
      <c r="G58" s="293" t="n"/>
      <c r="H58" s="293" t="n"/>
      <c r="I58" s="294" t="n"/>
      <c r="J58" s="294" t="n"/>
      <c r="K58" s="290" t="n"/>
      <c r="L58" s="290" t="n"/>
      <c r="M58" s="290" t="n"/>
      <c r="N58" s="290" t="n"/>
      <c r="O58" s="290" t="n"/>
      <c r="P58" s="290" t="n"/>
      <c r="Q58" s="290" t="n"/>
      <c r="R58" s="326" t="n"/>
      <c r="S58" s="326" t="n"/>
      <c r="T58" s="326" t="n"/>
      <c r="U58" s="326" t="n"/>
      <c r="V58" s="326" t="n"/>
      <c r="W58" s="326" t="n"/>
      <c r="X58" s="326" t="n"/>
      <c r="Y58" s="326" t="n"/>
    </row>
    <row r="59" ht="15.5" customFormat="1" customHeight="1" s="66">
      <c r="B59" s="297" t="inlineStr">
        <is>
          <t>31-Dec-30</t>
        </is>
      </c>
      <c r="C59" s="289" t="n">
        <v>2</v>
      </c>
      <c r="D59" s="291" t="inlineStr">
        <is>
          <t>234234</t>
        </is>
      </c>
      <c r="E59" s="291" t="inlineStr">
        <is>
          <t>Advance</t>
        </is>
      </c>
      <c r="F59" s="298" t="n">
        <v>234324324</v>
      </c>
      <c r="G59" s="293" t="inlineStr">
        <is>
          <t>IDR</t>
        </is>
      </c>
      <c r="H59" s="299" t="n">
        <v>1</v>
      </c>
      <c r="I59" s="300" t="n">
        <v>234324324</v>
      </c>
      <c r="J59" s="301" t="n"/>
      <c r="K59" s="302" t="n"/>
      <c r="L59" s="291" t="n"/>
      <c r="M59" s="291" t="n"/>
      <c r="N59" s="291" t="n"/>
      <c r="O59" s="291" t="n"/>
      <c r="P59" s="291" t="n"/>
      <c r="Q59" s="291" t="n"/>
      <c r="R59" s="296" t="n"/>
      <c r="S59" s="296" t="n"/>
      <c r="T59" s="296" t="n"/>
      <c r="U59" s="296" t="n"/>
      <c r="V59" s="296" t="n"/>
      <c r="W59" s="296" t="n"/>
      <c r="X59" s="296" t="n"/>
      <c r="Y59" s="296" t="n"/>
    </row>
    <row r="60" ht="15.5" customFormat="1" customHeight="1" s="66">
      <c r="B60" s="288" t="n"/>
      <c r="C60" s="289" t="n"/>
      <c r="D60" s="323" t="inlineStr">
        <is>
          <t>Rental Tool</t>
        </is>
      </c>
      <c r="E60" s="324" t="n"/>
      <c r="F60" s="327" t="n"/>
      <c r="G60" s="293" t="n"/>
      <c r="H60" s="293" t="n"/>
      <c r="I60" s="294" t="n"/>
      <c r="J60" s="294" t="n"/>
      <c r="K60" s="290" t="n"/>
      <c r="L60" s="290" t="n"/>
      <c r="M60" s="290" t="n"/>
      <c r="N60" s="330" t="n"/>
      <c r="O60" s="290" t="n"/>
      <c r="P60" s="290" t="n"/>
      <c r="Q60" s="290" t="n"/>
      <c r="R60" s="326" t="n"/>
      <c r="S60" s="326" t="n"/>
      <c r="T60" s="326" t="n"/>
      <c r="U60" s="326" t="n"/>
      <c r="V60" s="326" t="n"/>
      <c r="W60" s="326" t="n"/>
      <c r="X60" s="326" t="n"/>
      <c r="Y60" s="326" t="n"/>
    </row>
    <row r="61" ht="15.5" customFormat="1" customHeight="1" s="66">
      <c r="B61" s="297" t="inlineStr">
        <is>
          <t>31-Dec-30</t>
        </is>
      </c>
      <c r="C61" s="289" t="n">
        <v>3</v>
      </c>
      <c r="D61" s="291" t="inlineStr">
        <is>
          <t>234</t>
        </is>
      </c>
      <c r="E61" s="291" t="inlineStr">
        <is>
          <t>Advance</t>
        </is>
      </c>
      <c r="F61" s="298" t="n">
        <v>57776</v>
      </c>
      <c r="G61" s="293" t="inlineStr">
        <is>
          <t>USD</t>
        </is>
      </c>
      <c r="H61" s="299" t="n">
        <v>14444</v>
      </c>
      <c r="I61" s="300" t="n">
        <v>57776</v>
      </c>
      <c r="J61" s="301" t="n"/>
      <c r="K61" s="302" t="n"/>
      <c r="L61" s="291" t="n"/>
      <c r="M61" s="291" t="n"/>
      <c r="N61" s="291" t="n"/>
      <c r="O61" s="291" t="n"/>
      <c r="P61" s="291" t="n"/>
      <c r="Q61" s="291" t="n"/>
      <c r="R61" s="296" t="n"/>
      <c r="S61" s="296" t="n"/>
      <c r="T61" s="296" t="n"/>
      <c r="U61" s="296" t="n"/>
      <c r="V61" s="296" t="n"/>
      <c r="W61" s="296" t="n"/>
      <c r="X61" s="296" t="n"/>
      <c r="Y61" s="296" t="n"/>
    </row>
    <row r="62" ht="15.5" customFormat="1" customHeight="1" s="66">
      <c r="B62" s="313" t="inlineStr">
        <is>
          <t>Expense#3</t>
        </is>
      </c>
      <c r="C62" s="314" t="inlineStr">
        <is>
          <t>:</t>
        </is>
      </c>
      <c r="D62" s="315" t="inlineStr">
        <is>
          <t>werwerewr</t>
        </is>
      </c>
      <c r="E62" s="316" t="n"/>
      <c r="F62" s="328" t="n"/>
      <c r="G62" s="318" t="n"/>
      <c r="H62" s="318" t="n"/>
      <c r="I62" s="329" t="n"/>
      <c r="J62" s="319" t="n"/>
      <c r="K62" s="320" t="n"/>
      <c r="L62" s="320" t="n"/>
      <c r="M62" s="320" t="n"/>
      <c r="N62" s="320" t="n"/>
      <c r="O62" s="320" t="n"/>
      <c r="P62" s="320" t="n"/>
      <c r="Q62" s="320" t="n"/>
      <c r="R62" s="321" t="n"/>
      <c r="S62" s="321" t="n"/>
      <c r="T62" s="321" t="n"/>
      <c r="U62" s="321" t="n"/>
      <c r="V62" s="321" t="n"/>
      <c r="W62" s="321" t="n"/>
      <c r="X62" s="321" t="n"/>
      <c r="Y62" s="321" t="n"/>
    </row>
    <row r="63" ht="15.5" customFormat="1" customHeight="1" s="66">
      <c r="B63" s="288" t="n"/>
      <c r="C63" s="289" t="n"/>
      <c r="D63" s="323" t="inlineStr">
        <is>
          <t>Accommodation , Transportation</t>
        </is>
      </c>
      <c r="E63" s="324" t="n"/>
      <c r="F63" s="327" t="n"/>
      <c r="G63" s="293" t="n"/>
      <c r="H63" s="293" t="n"/>
      <c r="I63" s="294" t="n"/>
      <c r="J63" s="294" t="n"/>
      <c r="K63" s="290" t="n"/>
      <c r="L63" s="290" t="n"/>
      <c r="M63" s="290" t="n"/>
      <c r="N63" s="290" t="n"/>
      <c r="O63" s="290" t="n"/>
      <c r="P63" s="290" t="n"/>
      <c r="Q63" s="295" t="n"/>
      <c r="R63" s="326" t="n"/>
      <c r="S63" s="326" t="n"/>
      <c r="T63" s="326" t="n"/>
      <c r="U63" s="326" t="n"/>
      <c r="V63" s="326" t="n"/>
      <c r="W63" s="326" t="n"/>
      <c r="X63" s="326" t="n"/>
      <c r="Y63" s="326" t="n"/>
    </row>
    <row r="64" ht="15.5" customFormat="1" customHeight="1" s="66">
      <c r="B64" s="297" t="inlineStr">
        <is>
          <t>31-Dec-30</t>
        </is>
      </c>
      <c r="C64" s="289" t="n">
        <v>1</v>
      </c>
      <c r="D64" s="291" t="inlineStr">
        <is>
          <t>werwerwer</t>
        </is>
      </c>
      <c r="E64" s="291" t="inlineStr">
        <is>
          <t>Mandiri</t>
        </is>
      </c>
      <c r="F64" s="298" t="n">
        <v>281106</v>
      </c>
      <c r="G64" s="293" t="inlineStr">
        <is>
          <t>EUR</t>
        </is>
      </c>
      <c r="H64" s="299" t="n">
        <v>12222</v>
      </c>
      <c r="I64" s="300" t="n">
        <v>281106</v>
      </c>
      <c r="J64" s="301" t="n"/>
      <c r="K64" s="302" t="n"/>
      <c r="L64" s="291" t="n"/>
      <c r="M64" s="291" t="n"/>
      <c r="N64" s="291" t="n"/>
      <c r="O64" s="291" t="n"/>
      <c r="P64" s="291" t="n"/>
      <c r="Q64" s="291" t="n"/>
      <c r="R64" s="296" t="n"/>
      <c r="S64" s="296" t="n"/>
      <c r="T64" s="296" t="n"/>
      <c r="U64" s="296" t="n"/>
      <c r="V64" s="296" t="n"/>
      <c r="W64" s="296" t="n"/>
      <c r="X64" s="296" t="n"/>
      <c r="Y64" s="296" t="n"/>
    </row>
    <row r="65" ht="15.5" customFormat="1" customHeight="1" s="66">
      <c r="B65" s="288" t="n"/>
      <c r="C65" s="289" t="n"/>
      <c r="D65" s="323" t="inlineStr">
        <is>
          <t>Meal , Shipping</t>
        </is>
      </c>
      <c r="E65" s="324" t="n"/>
      <c r="F65" s="327" t="n"/>
      <c r="G65" s="293" t="n"/>
      <c r="H65" s="293" t="n"/>
      <c r="I65" s="294" t="n"/>
      <c r="J65" s="294" t="n"/>
      <c r="K65" s="290" t="n"/>
      <c r="L65" s="290" t="n"/>
      <c r="M65" s="290" t="n"/>
      <c r="N65" s="290" t="n"/>
      <c r="O65" s="290" t="n"/>
      <c r="P65" s="290" t="n"/>
      <c r="Q65" s="330" t="n"/>
      <c r="R65" s="326" t="n"/>
      <c r="S65" s="326" t="n"/>
      <c r="T65" s="326" t="n"/>
      <c r="U65" s="326" t="n"/>
      <c r="V65" s="326" t="n"/>
      <c r="W65" s="326" t="n"/>
      <c r="X65" s="326" t="n"/>
      <c r="Y65" s="326" t="n"/>
    </row>
    <row r="66" ht="15.5" customFormat="1" customHeight="1" s="66">
      <c r="B66" s="297" t="inlineStr">
        <is>
          <t>31-Dec-30</t>
        </is>
      </c>
      <c r="C66" s="289" t="n">
        <v>2</v>
      </c>
      <c r="D66" s="291" t="inlineStr">
        <is>
          <t>we</t>
        </is>
      </c>
      <c r="E66" s="291" t="inlineStr">
        <is>
          <t>BRI</t>
        </is>
      </c>
      <c r="F66" s="298" t="n">
        <v>146664</v>
      </c>
      <c r="G66" s="293" t="inlineStr">
        <is>
          <t>EUR</t>
        </is>
      </c>
      <c r="H66" s="299" t="n">
        <v>12222</v>
      </c>
      <c r="I66" s="300" t="n">
        <v>146664</v>
      </c>
      <c r="J66" s="301" t="n"/>
      <c r="K66" s="302" t="n"/>
      <c r="L66" s="291" t="n"/>
      <c r="M66" s="291" t="n"/>
      <c r="N66" s="291" t="n"/>
      <c r="O66" s="291" t="n"/>
      <c r="P66" s="291" t="n"/>
      <c r="Q66" s="291" t="n"/>
      <c r="R66" s="296" t="n"/>
      <c r="S66" s="296" t="n"/>
      <c r="T66" s="296" t="n"/>
      <c r="U66" s="296" t="n"/>
      <c r="V66" s="296" t="n"/>
      <c r="W66" s="296" t="n"/>
      <c r="X66" s="296" t="n"/>
      <c r="Y66" s="296" t="n"/>
    </row>
    <row r="67" ht="15.5" customHeight="1">
      <c r="B67" s="288" t="n"/>
      <c r="C67" s="289" t="n"/>
      <c r="D67" s="323" t="inlineStr">
        <is>
          <t>Accommodation</t>
        </is>
      </c>
      <c r="E67" s="324" t="n"/>
      <c r="F67" s="327" t="n"/>
      <c r="G67" s="293" t="n"/>
      <c r="H67" s="293" t="n"/>
      <c r="I67" s="294" t="n"/>
      <c r="J67" s="294" t="n"/>
      <c r="K67" s="290" t="n"/>
      <c r="L67" s="290" t="n"/>
      <c r="M67" s="290" t="n"/>
      <c r="N67" s="330" t="n"/>
      <c r="O67" s="290" t="n"/>
      <c r="P67" s="290" t="n"/>
      <c r="Q67" s="290" t="n"/>
      <c r="R67" s="326" t="n"/>
      <c r="S67" s="326" t="n"/>
      <c r="T67" s="326" t="n"/>
      <c r="U67" s="326" t="n"/>
      <c r="V67" s="326" t="n"/>
      <c r="W67" s="326" t="n"/>
      <c r="X67" s="326" t="n"/>
      <c r="Y67" s="326" t="n"/>
    </row>
    <row r="68" ht="15.5" customHeight="1">
      <c r="A68" s="66" t="n"/>
      <c r="B68" s="297" t="inlineStr">
        <is>
          <t>31-Dec-30</t>
        </is>
      </c>
      <c r="C68" s="289" t="n">
        <v>3</v>
      </c>
      <c r="D68" s="291" t="inlineStr">
        <is>
          <t>23423423</t>
        </is>
      </c>
      <c r="E68" s="291" t="inlineStr">
        <is>
          <t>BCA</t>
        </is>
      </c>
      <c r="F68" s="298" t="n">
        <v>2888262</v>
      </c>
      <c r="G68" s="293" t="inlineStr">
        <is>
          <t>USD</t>
        </is>
      </c>
      <c r="H68" s="299" t="n">
        <v>12343</v>
      </c>
      <c r="I68" s="300" t="n">
        <v>2888262</v>
      </c>
      <c r="J68" s="301" t="n"/>
      <c r="K68" s="302" t="n"/>
      <c r="L68" s="291" t="n"/>
      <c r="M68" s="291" t="n"/>
      <c r="N68" s="291" t="n"/>
      <c r="O68" s="291" t="n"/>
      <c r="P68" s="291" t="n"/>
      <c r="Q68" s="291" t="n"/>
      <c r="R68" s="296" t="n"/>
      <c r="S68" s="296" t="n"/>
      <c r="T68" s="296" t="n"/>
      <c r="U68" s="296" t="n"/>
      <c r="V68" s="296" t="n"/>
      <c r="W68" s="296" t="n"/>
      <c r="X68" s="296" t="n"/>
      <c r="Y68" s="296" t="n"/>
    </row>
    <row r="69" ht="15.5" customHeight="1">
      <c r="A69" s="66" t="n"/>
      <c r="B69" s="288" t="n"/>
      <c r="C69" s="289" t="n"/>
      <c r="D69" s="323" t="inlineStr">
        <is>
          <t>Shipping</t>
        </is>
      </c>
      <c r="E69" s="324" t="n"/>
      <c r="F69" s="327" t="n"/>
      <c r="G69" s="293" t="n"/>
      <c r="H69" s="293" t="n"/>
      <c r="I69" s="294" t="n"/>
      <c r="J69" s="294" t="n"/>
      <c r="K69" s="290" t="n"/>
      <c r="L69" s="290" t="n"/>
      <c r="M69" s="290" t="n"/>
      <c r="N69" s="290" t="n"/>
      <c r="O69" s="295" t="n"/>
      <c r="P69" s="290" t="n"/>
      <c r="Q69" s="295" t="n"/>
      <c r="R69" s="326" t="n"/>
      <c r="S69" s="326" t="n"/>
      <c r="T69" s="326" t="n"/>
      <c r="U69" s="326" t="n"/>
      <c r="V69" s="326" t="n"/>
      <c r="W69" s="326" t="n"/>
      <c r="X69" s="326" t="n"/>
      <c r="Y69" s="326" t="n"/>
    </row>
    <row r="70" ht="15.5" customHeight="1">
      <c r="B70" s="297" t="inlineStr">
        <is>
          <t>31-Dec-30</t>
        </is>
      </c>
      <c r="C70" s="289" t="n">
        <v>4</v>
      </c>
      <c r="D70" s="291" t="inlineStr">
        <is>
          <t>23434</t>
        </is>
      </c>
      <c r="E70" s="291" t="inlineStr">
        <is>
          <t>BRI</t>
        </is>
      </c>
      <c r="F70" s="298" t="n">
        <v>28104</v>
      </c>
      <c r="G70" s="293" t="inlineStr">
        <is>
          <t>EUR</t>
        </is>
      </c>
      <c r="H70" s="299" t="n">
        <v>12</v>
      </c>
      <c r="I70" s="300" t="n">
        <v>28104</v>
      </c>
      <c r="J70" s="301" t="n"/>
      <c r="K70" s="302" t="n"/>
      <c r="L70" s="291" t="n"/>
      <c r="M70" s="291" t="n"/>
      <c r="N70" s="291" t="n"/>
      <c r="O70" s="291" t="n"/>
      <c r="P70" s="291" t="n"/>
      <c r="Q70" s="291" t="n"/>
      <c r="R70" s="296" t="n"/>
      <c r="S70" s="296" t="n"/>
      <c r="T70" s="296" t="n"/>
      <c r="U70" s="296" t="n"/>
      <c r="V70" s="296" t="n"/>
      <c r="W70" s="296" t="n"/>
      <c r="X70" s="296" t="n"/>
      <c r="Y70" s="296" t="n"/>
    </row>
    <row r="71" ht="15.5" customHeight="1">
      <c r="B71" s="331" t="inlineStr">
        <is>
          <t>TOTAL</t>
        </is>
      </c>
      <c r="C71" s="230" t="n"/>
      <c r="D71" s="230" t="n"/>
      <c r="E71" s="230" t="n"/>
      <c r="F71" s="230" t="n"/>
      <c r="G71" s="230" t="n"/>
      <c r="H71" s="227" t="n"/>
      <c r="I71" s="332" t="n">
        <v>0</v>
      </c>
      <c r="J71" s="332" t="n">
        <v>335889583</v>
      </c>
      <c r="K71" s="333" t="n">
        <v>264664</v>
      </c>
      <c r="L71" s="334" t="n">
        <v>57776</v>
      </c>
      <c r="M71" s="333" t="n">
        <v>0</v>
      </c>
      <c r="N71" s="333" t="n">
        <v>0</v>
      </c>
      <c r="O71" s="333" t="n">
        <v>0</v>
      </c>
      <c r="P71" s="333" t="n">
        <v>0</v>
      </c>
      <c r="Q71" s="333" t="n">
        <v>0</v>
      </c>
      <c r="R71" s="335" t="n">
        <v>0</v>
      </c>
      <c r="S71" s="335" t="n">
        <v>0</v>
      </c>
      <c r="T71" s="335" t="n">
        <v>0</v>
      </c>
      <c r="U71" s="335" t="n">
        <v>0</v>
      </c>
      <c r="V71" s="335" t="n">
        <v>0</v>
      </c>
      <c r="W71" s="335" t="n">
        <v>0</v>
      </c>
      <c r="X71" s="335" t="n">
        <v>0</v>
      </c>
      <c r="Y71" s="335" t="n">
        <v>123224</v>
      </c>
    </row>
    <row r="72" hidden="1" ht="15.5" customHeight="1">
      <c r="B72" s="14" t="n">
        <v>45535</v>
      </c>
      <c r="C72" s="15" t="n">
        <v>32</v>
      </c>
      <c r="D72" s="63" t="inlineStr">
        <is>
          <t>Gaji Agustus 2024_Yufitri</t>
        </is>
      </c>
      <c r="E72" s="63" t="inlineStr">
        <is>
          <t>BCA</t>
        </is>
      </c>
      <c r="F72" s="236" t="n">
        <v>3000000</v>
      </c>
      <c r="G72" s="60" t="inlineStr">
        <is>
          <t>IDR</t>
        </is>
      </c>
      <c r="H72" s="60" t="n">
        <v>1</v>
      </c>
      <c r="I72" s="61">
        <f>F72</f>
        <v/>
      </c>
      <c r="J72" s="61" t="n"/>
      <c r="K72" s="44" t="n"/>
      <c r="L72" s="44" t="n"/>
      <c r="M72" s="44" t="n"/>
      <c r="N72" s="44" t="n"/>
      <c r="O72" s="44" t="n"/>
      <c r="P72" s="44" t="n"/>
      <c r="Q72" s="44" t="n"/>
    </row>
    <row r="73" hidden="1" ht="15.5" customHeight="1">
      <c r="B73" s="14" t="n">
        <v>45537</v>
      </c>
      <c r="C73" s="15" t="n">
        <v>33</v>
      </c>
      <c r="D73" s="18" t="inlineStr">
        <is>
          <t>ALFA Service JRK-163 Pertamina Zona#4 - Rental Tool</t>
        </is>
      </c>
      <c r="E73" s="18" t="inlineStr">
        <is>
          <t>BCA</t>
        </is>
      </c>
      <c r="F73" s="21" t="n">
        <v>29640916</v>
      </c>
      <c r="G73" s="60" t="inlineStr">
        <is>
          <t>IDR</t>
        </is>
      </c>
      <c r="H73" s="60" t="n">
        <v>1</v>
      </c>
      <c r="I73" s="61" t="n"/>
      <c r="J73" s="61" t="n"/>
      <c r="K73" s="62">
        <f>$F73*$H73</f>
        <v/>
      </c>
      <c r="L73" s="44" t="n"/>
      <c r="M73" s="44" t="n"/>
      <c r="N73" s="44" t="n"/>
      <c r="O73" s="44" t="n"/>
      <c r="P73" s="44" t="n"/>
      <c r="Q73" s="44" t="n"/>
    </row>
    <row r="74" hidden="1" ht="15.5" customHeight="1">
      <c r="A74" s="66" t="n"/>
      <c r="B74" s="14" t="n">
        <v>45539</v>
      </c>
      <c r="C74" s="15" t="n">
        <v>34</v>
      </c>
      <c r="D74" s="63" t="inlineStr">
        <is>
          <t>MUTRI | Penambahan modal biaya kerja</t>
        </is>
      </c>
      <c r="E74" s="63" t="inlineStr">
        <is>
          <t>BRI</t>
        </is>
      </c>
      <c r="F74" s="21" t="n">
        <v>100000000</v>
      </c>
      <c r="G74" s="60" t="inlineStr">
        <is>
          <t>IDR</t>
        </is>
      </c>
      <c r="H74" s="60" t="n">
        <v>1</v>
      </c>
      <c r="I74" s="61" t="n"/>
      <c r="J74" s="61" t="n"/>
      <c r="K74" s="44" t="n"/>
      <c r="L74" s="44" t="n"/>
      <c r="M74" s="44" t="n"/>
      <c r="N74" s="44" t="n"/>
      <c r="O74" s="44" t="n"/>
      <c r="P74" s="44" t="n"/>
      <c r="Q74" s="62">
        <f>$F74*$H74</f>
        <v/>
      </c>
    </row>
    <row r="75" hidden="1" ht="15.5" customHeight="1">
      <c r="A75" s="66" t="n"/>
      <c r="B75" s="14" t="n">
        <v>45548</v>
      </c>
      <c r="C75" s="15" t="n">
        <v>35</v>
      </c>
      <c r="D75" s="63" t="inlineStr">
        <is>
          <t>Ralika Jaya Utama | Permbuatan alat EMR</t>
        </is>
      </c>
      <c r="E75" s="63" t="inlineStr">
        <is>
          <t>BRI</t>
        </is>
      </c>
      <c r="F75" s="21" t="n">
        <v>150000000</v>
      </c>
      <c r="G75" s="60" t="inlineStr">
        <is>
          <t>IDR</t>
        </is>
      </c>
      <c r="H75" s="60" t="n">
        <v>1</v>
      </c>
      <c r="I75" s="61" t="n"/>
      <c r="J75" s="62">
        <f>$F75*$H75</f>
        <v/>
      </c>
      <c r="K75" s="44" t="n"/>
      <c r="L75" s="44" t="n"/>
      <c r="M75" s="44" t="n"/>
      <c r="N75" s="44" t="n"/>
      <c r="O75" s="44" t="n"/>
      <c r="P75" s="44" t="n"/>
      <c r="Q75" s="44" t="n"/>
    </row>
    <row r="76" hidden="1" ht="15.5" customHeight="1">
      <c r="B76" s="14" t="n">
        <v>45556</v>
      </c>
      <c r="C76" s="15" t="n">
        <v>36</v>
      </c>
      <c r="D76" s="63" t="inlineStr">
        <is>
          <t>Downhole Sampling tool #2 GARINDO SARANA BARU</t>
        </is>
      </c>
      <c r="E76" s="63" t="inlineStr">
        <is>
          <t>BCA</t>
        </is>
      </c>
      <c r="F76" s="236" t="n">
        <v>34299000</v>
      </c>
      <c r="G76" s="60" t="inlineStr">
        <is>
          <t>IDR</t>
        </is>
      </c>
      <c r="H76" s="60" t="n">
        <v>1</v>
      </c>
      <c r="I76" s="61" t="n"/>
      <c r="J76" s="61" t="n"/>
      <c r="K76" s="44" t="n"/>
      <c r="L76" s="44" t="n"/>
      <c r="M76" s="44" t="n"/>
      <c r="N76" s="237">
        <f>F76</f>
        <v/>
      </c>
      <c r="O76" s="44" t="n"/>
      <c r="P76" s="44" t="n"/>
      <c r="Q76" s="44" t="n"/>
    </row>
    <row r="77" hidden="1" ht="15.5" customHeight="1">
      <c r="B77" s="14" t="n">
        <v>45568</v>
      </c>
      <c r="C77" s="15" t="n">
        <v>37</v>
      </c>
      <c r="D77" s="63" t="inlineStr">
        <is>
          <t>Gaji fitri bulan september 2024</t>
        </is>
      </c>
      <c r="E77" s="63" t="inlineStr">
        <is>
          <t>BRI</t>
        </is>
      </c>
      <c r="F77" s="21" t="n">
        <v>3000000</v>
      </c>
      <c r="G77" s="64" t="inlineStr">
        <is>
          <t>IDR</t>
        </is>
      </c>
      <c r="H77" s="60" t="n">
        <v>1</v>
      </c>
      <c r="I77" s="61">
        <f>F77</f>
        <v/>
      </c>
      <c r="J77" s="44" t="n"/>
      <c r="K77" s="232" t="n"/>
      <c r="L77" s="44" t="n"/>
      <c r="M77" s="44" t="n"/>
      <c r="N77" s="44" t="n"/>
      <c r="O77" s="44" t="n"/>
      <c r="P77" s="44" t="n"/>
      <c r="Q77" s="44" t="n"/>
    </row>
    <row r="78" hidden="1" ht="15.5" customHeight="1">
      <c r="B78" s="14" t="n">
        <v>45568</v>
      </c>
      <c r="C78" s="15" t="n">
        <v>38</v>
      </c>
      <c r="D78" s="63" t="inlineStr">
        <is>
          <t>Gaji fitri bulan October 2024</t>
        </is>
      </c>
      <c r="E78" s="63" t="inlineStr">
        <is>
          <t>BRI</t>
        </is>
      </c>
      <c r="F78" s="21" t="n">
        <v>3000000</v>
      </c>
      <c r="G78" s="64" t="inlineStr">
        <is>
          <t>IDR</t>
        </is>
      </c>
      <c r="H78" s="60" t="n">
        <v>1</v>
      </c>
      <c r="I78" s="61">
        <f>F78</f>
        <v/>
      </c>
      <c r="J78" s="44" t="n"/>
      <c r="K78" s="232" t="n"/>
      <c r="L78" s="44" t="n"/>
      <c r="M78" s="44" t="n"/>
      <c r="N78" s="44" t="n"/>
      <c r="O78" s="44" t="n"/>
      <c r="P78" s="44" t="n"/>
      <c r="Q78" s="44" t="n"/>
    </row>
    <row r="79" hidden="1" ht="15.5" customHeight="1">
      <c r="B79" s="14" t="n">
        <v>45569</v>
      </c>
      <c r="C79" s="15" t="n">
        <v>41</v>
      </c>
      <c r="D79" s="18" t="inlineStr">
        <is>
          <t>PLT Service TGB-033 Pertamina Cirebon - Rental Tool</t>
        </is>
      </c>
      <c r="E79" s="18" t="inlineStr">
        <is>
          <t>BCA</t>
        </is>
      </c>
      <c r="F79" s="19" t="n">
        <v>16165271</v>
      </c>
      <c r="G79" s="60" t="inlineStr">
        <is>
          <t>IDR</t>
        </is>
      </c>
      <c r="H79" s="60" t="n">
        <v>1</v>
      </c>
      <c r="I79" s="61" t="n"/>
      <c r="J79" s="61" t="n"/>
      <c r="K79" s="62">
        <f>$F79*$H79</f>
        <v/>
      </c>
      <c r="L79" s="44" t="n"/>
      <c r="M79" s="44" t="n"/>
      <c r="N79" s="44" t="n"/>
      <c r="O79" s="44" t="n"/>
      <c r="P79" s="44" t="n"/>
      <c r="Q79" s="68" t="n"/>
    </row>
    <row r="80" hidden="1" ht="15.5" customHeight="1">
      <c r="B80" s="14" t="n">
        <v>45569</v>
      </c>
      <c r="C80" s="15" t="n">
        <v>39</v>
      </c>
      <c r="D80" s="18" t="inlineStr">
        <is>
          <t>ALFA Service TGB-033 Pertamina Cirebon - Rental Tool</t>
        </is>
      </c>
      <c r="E80" s="18" t="inlineStr">
        <is>
          <t>BCA</t>
        </is>
      </c>
      <c r="F80" s="21" t="n">
        <v>25967616</v>
      </c>
      <c r="G80" s="60" t="inlineStr">
        <is>
          <t>IDR</t>
        </is>
      </c>
      <c r="H80" s="60" t="n">
        <v>1</v>
      </c>
      <c r="I80" s="61" t="n"/>
      <c r="J80" s="61" t="n"/>
      <c r="K80" s="62">
        <f>$F80*$H80</f>
        <v/>
      </c>
      <c r="L80" s="44" t="n"/>
      <c r="M80" s="44" t="n"/>
      <c r="N80" s="44" t="n"/>
      <c r="O80" s="44" t="n"/>
      <c r="P80" s="44" t="n"/>
      <c r="Q80" s="44" t="n"/>
    </row>
    <row r="81" hidden="1" ht="15.5" customHeight="1">
      <c r="B81" s="14" t="n">
        <v>45569</v>
      </c>
      <c r="C81" s="15" t="n">
        <v>40</v>
      </c>
      <c r="D81" s="18" t="inlineStr">
        <is>
          <t>MFC Service TGB-033 Pertamina Cirebon - Rental Tool</t>
        </is>
      </c>
      <c r="E81" s="18" t="inlineStr">
        <is>
          <t>BCA</t>
        </is>
      </c>
      <c r="F81" s="213" t="n">
        <v>32101247</v>
      </c>
      <c r="G81" s="60" t="inlineStr">
        <is>
          <t>IDR</t>
        </is>
      </c>
      <c r="H81" s="60" t="n">
        <v>1</v>
      </c>
      <c r="I81" s="61" t="n"/>
      <c r="J81" s="61" t="n"/>
      <c r="K81" s="62">
        <f>$F81*$H81</f>
        <v/>
      </c>
      <c r="L81" s="44" t="n"/>
      <c r="M81" s="44" t="n"/>
      <c r="N81" s="44" t="n"/>
      <c r="O81" s="44" t="n"/>
      <c r="P81" s="44" t="n"/>
      <c r="Q81" s="68" t="n"/>
    </row>
    <row r="82" hidden="1" ht="15.5" customHeight="1">
      <c r="B82" s="14" t="n">
        <v>45572</v>
      </c>
      <c r="C82" s="15" t="n">
        <v>42</v>
      </c>
      <c r="D82" s="18" t="inlineStr">
        <is>
          <t>ALFA Service JRK-095 Pertamina Zona#4 - Rental Tool</t>
        </is>
      </c>
      <c r="E82" s="18" t="inlineStr">
        <is>
          <t>BCA</t>
        </is>
      </c>
      <c r="F82" s="21" t="n">
        <v>29640916</v>
      </c>
      <c r="G82" s="60" t="inlineStr">
        <is>
          <t>IDR</t>
        </is>
      </c>
      <c r="H82" s="60" t="n">
        <v>1</v>
      </c>
      <c r="I82" s="61" t="n"/>
      <c r="J82" s="61" t="n"/>
      <c r="K82" s="62">
        <f>$F82*$H82</f>
        <v/>
      </c>
      <c r="L82" s="68" t="n"/>
      <c r="M82" s="44" t="n"/>
      <c r="N82" s="44" t="n"/>
      <c r="O82" s="44" t="n"/>
      <c r="P82" s="44" t="n"/>
      <c r="Q82" s="44" t="n"/>
    </row>
    <row r="83" hidden="1" ht="15.5" customHeight="1">
      <c r="B83" s="14" t="n">
        <v>45576</v>
      </c>
      <c r="C83" s="15" t="n">
        <v>43</v>
      </c>
      <c r="D83" s="18" t="inlineStr">
        <is>
          <t>MPLT/GR-CCL/ALFA TIS - Rental Tool</t>
        </is>
      </c>
      <c r="E83" s="18" t="inlineStr">
        <is>
          <t>BCA</t>
        </is>
      </c>
      <c r="F83" s="19" t="n">
        <v>74291457</v>
      </c>
      <c r="G83" s="60" t="inlineStr">
        <is>
          <t>IDR</t>
        </is>
      </c>
      <c r="H83" s="60" t="n">
        <v>1</v>
      </c>
      <c r="I83" s="61" t="n"/>
      <c r="J83" s="61" t="n"/>
      <c r="K83" s="62">
        <f>$F83*$H83</f>
        <v/>
      </c>
      <c r="L83" s="44" t="n"/>
      <c r="M83" s="44" t="n"/>
      <c r="N83" s="44" t="n"/>
      <c r="O83" s="44" t="n"/>
      <c r="P83" s="44" t="n"/>
      <c r="Q83" s="44" t="n"/>
    </row>
    <row r="84" hidden="1" ht="15.5" customHeight="1">
      <c r="A84" s="66" t="n"/>
      <c r="B84" s="14" t="n">
        <v>45581</v>
      </c>
      <c r="C84" s="15" t="n">
        <v>44</v>
      </c>
      <c r="D84" s="63" t="inlineStr">
        <is>
          <t>PT Laka Indonesia | Project Lampu Taman Istana Negara Jakarta</t>
        </is>
      </c>
      <c r="E84" s="63" t="inlineStr">
        <is>
          <t>BRI</t>
        </is>
      </c>
      <c r="F84" s="21" t="n">
        <v>100000000</v>
      </c>
      <c r="G84" s="60" t="inlineStr">
        <is>
          <t>IDR</t>
        </is>
      </c>
      <c r="H84" s="60" t="n">
        <v>1</v>
      </c>
      <c r="I84" s="62">
        <f>$F84*$H84</f>
        <v/>
      </c>
      <c r="J84" s="61" t="n"/>
      <c r="K84" s="44" t="n"/>
      <c r="L84" s="44" t="n"/>
      <c r="M84" s="44" t="n"/>
      <c r="N84" s="44" t="n"/>
      <c r="O84" s="44" t="n"/>
      <c r="P84" s="44" t="n"/>
      <c r="Q84" s="44" t="n"/>
    </row>
    <row r="85" hidden="1" ht="15.5" customHeight="1">
      <c r="B85" s="14" t="n">
        <v>45589</v>
      </c>
      <c r="C85" s="15" t="n">
        <v>45</v>
      </c>
      <c r="D85" s="63" t="inlineStr">
        <is>
          <t>Data Processing 8 Well Alan Project SIJAK</t>
        </is>
      </c>
      <c r="E85" s="63" t="inlineStr">
        <is>
          <t>BRI</t>
        </is>
      </c>
      <c r="F85" s="21" t="n">
        <v>144000000</v>
      </c>
      <c r="G85" s="64" t="inlineStr">
        <is>
          <t>IDR</t>
        </is>
      </c>
      <c r="H85" s="60" t="n">
        <v>1</v>
      </c>
      <c r="I85" s="61" t="n"/>
      <c r="J85" s="44" t="n"/>
      <c r="K85" s="232" t="n"/>
      <c r="L85" s="62">
        <f>F85</f>
        <v/>
      </c>
      <c r="M85" s="44" t="n"/>
      <c r="N85" s="44" t="n"/>
      <c r="O85" s="44" t="n"/>
      <c r="P85" s="44" t="n"/>
      <c r="Q85" s="44" t="n"/>
    </row>
    <row r="86" hidden="1" ht="15.5" customHeight="1">
      <c r="B86" s="14" t="n">
        <v>45601</v>
      </c>
      <c r="C86" s="15" t="n">
        <v>46</v>
      </c>
      <c r="D86" s="63" t="inlineStr">
        <is>
          <t xml:space="preserve">Sales fee 2 Well Integrity Pertamina Z.4 </t>
        </is>
      </c>
      <c r="E86" s="63" t="inlineStr">
        <is>
          <t>BRI</t>
        </is>
      </c>
      <c r="F86" s="21" t="n">
        <v>38838700</v>
      </c>
      <c r="G86" s="64" t="inlineStr">
        <is>
          <t>IDR</t>
        </is>
      </c>
      <c r="H86" s="60" t="n">
        <v>1</v>
      </c>
      <c r="I86" s="62">
        <f>$F86*$H86</f>
        <v/>
      </c>
      <c r="J86" s="44" t="n"/>
      <c r="K86" s="232" t="n"/>
      <c r="L86" s="44" t="n"/>
      <c r="M86" s="44" t="n"/>
      <c r="N86" s="44" t="n"/>
      <c r="O86" s="44" t="n"/>
      <c r="P86" s="44" t="n"/>
      <c r="Q86" s="44" t="n"/>
    </row>
    <row r="87" hidden="1" ht="15.5" customHeight="1">
      <c r="A87" s="66" t="n"/>
      <c r="B87" s="14" t="n">
        <v>45625</v>
      </c>
      <c r="C87" s="15" t="n">
        <v>47</v>
      </c>
      <c r="D87" s="63" t="inlineStr">
        <is>
          <t>MUTRI | Penambahan modal biaya kerja 3rd</t>
        </is>
      </c>
      <c r="E87" s="63" t="inlineStr">
        <is>
          <t>BRI</t>
        </is>
      </c>
      <c r="F87" s="21" t="n">
        <v>75000000</v>
      </c>
      <c r="G87" s="60" t="inlineStr">
        <is>
          <t>IDR</t>
        </is>
      </c>
      <c r="H87" s="60" t="n">
        <v>1</v>
      </c>
      <c r="I87" s="61" t="n"/>
      <c r="J87" s="61" t="n"/>
      <c r="K87" s="44" t="n"/>
      <c r="L87" s="44" t="n"/>
      <c r="M87" s="44" t="n"/>
      <c r="N87" s="44" t="n"/>
      <c r="O87" s="44" t="n"/>
      <c r="P87" s="44" t="n"/>
      <c r="Q87" s="62">
        <f>$F87*$H87</f>
        <v/>
      </c>
    </row>
    <row r="88" hidden="1" ht="15.5" customHeight="1">
      <c r="B88" s="14" t="n">
        <v>45625</v>
      </c>
      <c r="C88" s="15" t="n">
        <v>48</v>
      </c>
      <c r="D88" s="63" t="inlineStr">
        <is>
          <t>Gaji fitri bulan November 2024</t>
        </is>
      </c>
      <c r="E88" s="63" t="inlineStr">
        <is>
          <t>BRI</t>
        </is>
      </c>
      <c r="F88" s="21" t="n">
        <v>3000000</v>
      </c>
      <c r="G88" s="60" t="inlineStr">
        <is>
          <t>IDR</t>
        </is>
      </c>
      <c r="H88" s="60" t="n">
        <v>1</v>
      </c>
      <c r="I88" s="61">
        <f>F88</f>
        <v/>
      </c>
      <c r="J88" s="44" t="n"/>
      <c r="K88" s="232" t="n"/>
      <c r="L88" s="44" t="n"/>
      <c r="M88" s="44" t="n"/>
      <c r="N88" s="44" t="n"/>
      <c r="O88" s="44" t="n"/>
      <c r="P88" s="44" t="n"/>
      <c r="Q88" s="44" t="n"/>
    </row>
    <row r="89" hidden="1" ht="15.5" customHeight="1">
      <c r="B89" s="14" t="n">
        <v>45630</v>
      </c>
      <c r="C89" s="15" t="n">
        <v>49</v>
      </c>
      <c r="D89" s="63" t="inlineStr">
        <is>
          <t>Payment ke UPS Biaya Import pembelian sparepart dari Pei-Genesis</t>
        </is>
      </c>
      <c r="E89" s="63" t="inlineStr">
        <is>
          <t>BRI</t>
        </is>
      </c>
      <c r="F89" s="21" t="n">
        <v>777246</v>
      </c>
      <c r="G89" s="60" t="inlineStr">
        <is>
          <t>IDR</t>
        </is>
      </c>
      <c r="H89" s="60" t="n">
        <v>1</v>
      </c>
      <c r="I89" s="61" t="n"/>
      <c r="J89" s="44" t="n"/>
      <c r="K89" s="232" t="n"/>
      <c r="L89" s="44" t="n"/>
      <c r="M89" s="44" t="n"/>
      <c r="N89" s="62">
        <f>F89</f>
        <v/>
      </c>
      <c r="O89" s="44" t="n"/>
      <c r="P89" s="44" t="n"/>
      <c r="Q89" s="44" t="n"/>
    </row>
    <row r="90" hidden="1" ht="15.5" customHeight="1">
      <c r="A90" s="66" t="n"/>
      <c r="B90" s="14" t="n">
        <v>45631</v>
      </c>
      <c r="C90" s="15" t="n">
        <v>50</v>
      </c>
      <c r="D90" s="63" t="inlineStr">
        <is>
          <t>Ralika Jaya Utama | Permbuatan alat injeksi listrik (EAS)</t>
        </is>
      </c>
      <c r="E90" s="63" t="inlineStr">
        <is>
          <t>BRI</t>
        </is>
      </c>
      <c r="F90" s="21" t="n">
        <v>400000000</v>
      </c>
      <c r="G90" s="60" t="inlineStr">
        <is>
          <t>IDR</t>
        </is>
      </c>
      <c r="H90" s="60" t="n">
        <v>1</v>
      </c>
      <c r="I90" s="61" t="n"/>
      <c r="J90" s="62">
        <f>$F90*$H90</f>
        <v/>
      </c>
      <c r="K90" s="44" t="n"/>
      <c r="L90" s="44" t="n"/>
      <c r="M90" s="44" t="n"/>
      <c r="N90" s="44" t="n"/>
      <c r="O90" s="44" t="n"/>
      <c r="P90" s="44" t="n"/>
      <c r="Q90" s="44" t="n"/>
    </row>
    <row r="91" hidden="1" ht="15.5" customHeight="1">
      <c r="B91" s="14" t="n">
        <v>45632</v>
      </c>
      <c r="C91" s="15" t="n">
        <v>51</v>
      </c>
      <c r="D91" s="63" t="inlineStr">
        <is>
          <t>Sewa Virtual Office 1th, 1jan25 - 31des25_BBC_ Ganesha Dwipaya B</t>
        </is>
      </c>
      <c r="E91" s="63" t="inlineStr">
        <is>
          <t>BCA</t>
        </is>
      </c>
      <c r="F91" s="236" t="n">
        <v>4995000</v>
      </c>
      <c r="G91" s="60" t="inlineStr">
        <is>
          <t>IDR</t>
        </is>
      </c>
      <c r="H91" s="60" t="n">
        <v>1</v>
      </c>
      <c r="I91" s="61" t="n"/>
      <c r="J91" s="61" t="n"/>
      <c r="K91" s="44" t="n"/>
      <c r="L91" s="44" t="n"/>
      <c r="M91" s="44" t="n"/>
      <c r="N91" s="44" t="n"/>
      <c r="O91" s="237">
        <f>F91</f>
        <v/>
      </c>
      <c r="P91" s="44" t="n"/>
      <c r="Q91" s="44" t="n"/>
    </row>
    <row r="92" hidden="1" ht="15.5" customHeight="1">
      <c r="B92" s="14" t="n">
        <v>45644</v>
      </c>
      <c r="C92" s="15" t="n">
        <v>52</v>
      </c>
      <c r="D92" s="63" t="inlineStr">
        <is>
          <t>Team building EWI dengan team Well Intervention PEP Reg. 2</t>
        </is>
      </c>
      <c r="E92" s="63" t="inlineStr">
        <is>
          <t>BCA</t>
        </is>
      </c>
      <c r="F92" s="236" t="n">
        <v>39201350</v>
      </c>
      <c r="G92" s="60" t="inlineStr">
        <is>
          <t>IDR</t>
        </is>
      </c>
      <c r="H92" s="60" t="n">
        <v>1</v>
      </c>
      <c r="I92" s="62">
        <f>$F92*$H92</f>
        <v/>
      </c>
      <c r="J92" s="61" t="n"/>
      <c r="K92" s="44" t="n"/>
      <c r="L92" s="44" t="n"/>
      <c r="M92" s="44" t="n"/>
      <c r="N92" s="44" t="n"/>
      <c r="O92" s="44" t="n"/>
      <c r="P92" s="44" t="n"/>
      <c r="Q92" s="44" t="n"/>
    </row>
    <row r="93" hidden="1" ht="15.5" customHeight="1">
      <c r="B93" s="14" t="n">
        <v>45651</v>
      </c>
      <c r="C93" s="15" t="n">
        <v>53</v>
      </c>
      <c r="D93" s="63" t="inlineStr">
        <is>
          <t>Gaji Desember 2024 + Bomnus akhir tahun - 4 bulan_Yufitri</t>
        </is>
      </c>
      <c r="E93" s="63" t="inlineStr">
        <is>
          <t>BCA</t>
        </is>
      </c>
      <c r="F93" s="236" t="n">
        <v>15000000</v>
      </c>
      <c r="G93" s="60" t="inlineStr">
        <is>
          <t>IDR</t>
        </is>
      </c>
      <c r="H93" s="60" t="n">
        <v>1</v>
      </c>
      <c r="I93" s="61">
        <f>F93</f>
        <v/>
      </c>
      <c r="J93" s="61" t="n"/>
      <c r="K93" s="44" t="n"/>
      <c r="L93" s="44" t="n"/>
      <c r="M93" s="44" t="n"/>
      <c r="N93" s="44" t="n"/>
      <c r="O93" s="44" t="n"/>
      <c r="P93" s="44" t="n"/>
      <c r="Q93" s="44" t="n"/>
    </row>
    <row r="94" hidden="1" ht="15.5" customHeight="1">
      <c r="A94" s="66" t="n"/>
      <c r="B94" s="14" t="n">
        <v>45653</v>
      </c>
      <c r="C94" s="15" t="n">
        <v>54</v>
      </c>
      <c r="D94" s="63" t="inlineStr">
        <is>
          <t>KUPA | Pembelian Mesin Retort Horizontal 500 Lt Automatic Control</t>
        </is>
      </c>
      <c r="E94" s="63" t="inlineStr">
        <is>
          <t>BCA</t>
        </is>
      </c>
      <c r="F94" s="236" t="n">
        <v>141500000</v>
      </c>
      <c r="G94" s="60" t="inlineStr">
        <is>
          <t>IDR</t>
        </is>
      </c>
      <c r="H94" s="60" t="n">
        <v>1</v>
      </c>
      <c r="I94" s="61" t="n"/>
      <c r="J94" s="62">
        <f>$F94*$H94</f>
        <v/>
      </c>
      <c r="K94" s="44" t="n"/>
      <c r="L94" s="44" t="n"/>
      <c r="M94" s="44" t="n"/>
      <c r="N94" s="44" t="n"/>
      <c r="O94" s="44" t="n"/>
      <c r="P94" s="44" t="n"/>
      <c r="Q94" s="44" t="n"/>
    </row>
    <row r="95" hidden="1" ht="15.5" customHeight="1">
      <c r="B95" s="72" t="n"/>
      <c r="C95" s="73" t="n"/>
      <c r="D95" s="74" t="inlineStr">
        <is>
          <t>Biaya Bank</t>
        </is>
      </c>
      <c r="E95" s="74" t="n"/>
      <c r="F95" s="75" t="n"/>
      <c r="G95" s="76" t="n"/>
      <c r="H95" s="76" t="n"/>
      <c r="I95" s="77" t="n"/>
      <c r="J95" s="77" t="n"/>
      <c r="K95" s="77" t="n"/>
      <c r="L95" s="77" t="n"/>
      <c r="M95" s="78" t="n"/>
      <c r="N95" s="78" t="n"/>
      <c r="O95" s="78" t="n"/>
      <c r="P95" s="78" t="n"/>
      <c r="Q95" s="78" t="n"/>
    </row>
    <row r="96" hidden="1" ht="15.5" customHeight="1">
      <c r="B96" s="14" t="n">
        <v>45657</v>
      </c>
      <c r="C96" s="64" t="n">
        <v>1</v>
      </c>
      <c r="D96" s="63" t="inlineStr">
        <is>
          <t>Total Biaya Transaksi Bank selama 1 tahun</t>
        </is>
      </c>
      <c r="E96" s="63" t="n"/>
      <c r="F96" s="236" t="n">
        <v>1998587</v>
      </c>
      <c r="G96" s="60" t="inlineStr">
        <is>
          <t>IDR</t>
        </is>
      </c>
      <c r="H96" s="60" t="n">
        <v>1</v>
      </c>
      <c r="I96" s="61" t="n"/>
      <c r="J96" s="44" t="n"/>
      <c r="K96" s="61" t="n"/>
      <c r="L96" s="44" t="n"/>
      <c r="M96" s="62">
        <f>$F96*$H96</f>
        <v/>
      </c>
      <c r="N96" s="44" t="n"/>
      <c r="O96" s="44" t="n"/>
      <c r="P96" s="44" t="n"/>
      <c r="Q96" s="44" t="n"/>
    </row>
    <row r="97" hidden="1" ht="15.5" customHeight="1">
      <c r="B97" s="79" t="n"/>
      <c r="C97" s="80" t="n"/>
      <c r="D97" s="80" t="inlineStr">
        <is>
          <t>OPERATION COST AND OFFICE - Expenses Report</t>
        </is>
      </c>
      <c r="E97" s="80" t="n"/>
      <c r="F97" s="238" t="n"/>
      <c r="G97" s="82" t="n"/>
      <c r="H97" s="83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</row>
    <row r="98" hidden="1" ht="15.5" customHeight="1">
      <c r="B98" s="78" t="inlineStr">
        <is>
          <t>Expense#1</t>
        </is>
      </c>
      <c r="C98" s="85" t="inlineStr">
        <is>
          <t>:</t>
        </is>
      </c>
      <c r="D98" s="86" t="inlineStr">
        <is>
          <t>ALFA_ TLJ-58 (PEPZ4-Prabumulih field) SIJak- IC</t>
        </is>
      </c>
      <c r="E98" s="86" t="n"/>
      <c r="F98" s="87" t="n"/>
      <c r="G98" s="88" t="n"/>
      <c r="H98" s="89" t="n"/>
      <c r="I98" s="90" t="n"/>
      <c r="J98" s="90" t="n"/>
      <c r="K98" s="90" t="n"/>
      <c r="L98" s="90" t="n"/>
      <c r="M98" s="90" t="n"/>
      <c r="N98" s="90" t="n"/>
      <c r="O98" s="90" t="n"/>
      <c r="P98" s="90" t="n"/>
      <c r="Q98" s="90" t="n"/>
    </row>
    <row r="99" hidden="1" ht="15.5" customHeight="1">
      <c r="B99" s="24" t="n"/>
      <c r="C99" s="91" t="n"/>
      <c r="D99" s="92" t="inlineStr">
        <is>
          <t>PRABUMULIH Field-ALFA by SI</t>
        </is>
      </c>
      <c r="E99" s="92" t="n"/>
      <c r="F99" s="93" t="n"/>
      <c r="G99" s="91" t="n"/>
      <c r="H99" s="91" t="n"/>
      <c r="I99" s="62" t="n"/>
      <c r="J99" s="62" t="n"/>
      <c r="K99" s="44" t="n"/>
      <c r="L99" s="44" t="n"/>
      <c r="M99" s="44" t="n"/>
      <c r="N99" s="44" t="n"/>
      <c r="O99" s="44" t="n"/>
      <c r="P99" s="44" t="n"/>
      <c r="Q99" s="44" t="n"/>
    </row>
    <row r="100" hidden="1" ht="15.5" customHeight="1">
      <c r="B100" s="24" t="n"/>
      <c r="C100" s="91" t="n"/>
      <c r="D100" s="94" t="inlineStr">
        <is>
          <t>Airplane</t>
        </is>
      </c>
      <c r="E100" s="94" t="n"/>
      <c r="F100" s="93" t="n"/>
      <c r="G100" s="91" t="n"/>
      <c r="H100" s="91" t="n"/>
      <c r="I100" s="44" t="n"/>
      <c r="J100" s="62" t="n"/>
      <c r="K100" s="44" t="n"/>
      <c r="L100" s="44" t="n"/>
      <c r="M100" s="44" t="n"/>
      <c r="N100" s="44" t="n"/>
      <c r="O100" s="44" t="n"/>
      <c r="P100" s="44" t="n"/>
      <c r="Q100" s="44" t="n"/>
    </row>
    <row r="101" hidden="1" ht="15.5" customHeight="1">
      <c r="B101" s="67" t="n">
        <v>45329</v>
      </c>
      <c r="C101" s="91" t="n">
        <v>2</v>
      </c>
      <c r="D101" s="95" t="inlineStr">
        <is>
          <t>Airplane Ticket CGK-PLM</t>
        </is>
      </c>
      <c r="E101" s="95" t="n"/>
      <c r="F101" s="93" t="n">
        <v>1608000</v>
      </c>
      <c r="G101" s="91" t="inlineStr">
        <is>
          <t>IDR</t>
        </is>
      </c>
      <c r="H101" s="91" t="n">
        <v>1</v>
      </c>
      <c r="I101" s="61">
        <f>$H101*$F101</f>
        <v/>
      </c>
      <c r="J101" s="62" t="n"/>
      <c r="K101" s="44" t="n"/>
      <c r="L101" s="44" t="n"/>
      <c r="M101" s="44" t="n"/>
      <c r="N101" s="44" t="n"/>
      <c r="O101" s="44" t="n"/>
      <c r="P101" s="44" t="n"/>
      <c r="Q101" s="44" t="n"/>
    </row>
    <row r="102" hidden="1" ht="15.5" customHeight="1">
      <c r="B102" s="67" t="n">
        <v>45355</v>
      </c>
      <c r="C102" s="91" t="n">
        <v>3</v>
      </c>
      <c r="D102" s="95" t="inlineStr">
        <is>
          <t>Airplane Ticket PLM-CGK</t>
        </is>
      </c>
      <c r="E102" s="95" t="n"/>
      <c r="F102" s="93" t="n">
        <v>1119500</v>
      </c>
      <c r="G102" s="91" t="inlineStr">
        <is>
          <t>IDR</t>
        </is>
      </c>
      <c r="H102" s="91" t="n">
        <v>1</v>
      </c>
      <c r="I102" s="61">
        <f>$H102*$F102</f>
        <v/>
      </c>
      <c r="J102" s="62" t="n"/>
      <c r="K102" s="44" t="n"/>
      <c r="L102" s="44" t="n"/>
      <c r="M102" s="44" t="n"/>
      <c r="N102" s="44" t="n"/>
      <c r="O102" s="44" t="n"/>
      <c r="P102" s="44" t="n"/>
      <c r="Q102" s="44" t="n"/>
    </row>
    <row r="103" hidden="1" ht="15.5" customHeight="1">
      <c r="B103" s="67" t="n"/>
      <c r="C103" s="91" t="n"/>
      <c r="D103" s="94" t="inlineStr">
        <is>
          <t>Land Transportation</t>
        </is>
      </c>
      <c r="E103" s="94" t="n"/>
      <c r="F103" s="93" t="n"/>
      <c r="G103" s="91" t="n"/>
      <c r="H103" s="91" t="n"/>
      <c r="I103" s="44" t="n"/>
      <c r="J103" s="62" t="n"/>
      <c r="K103" s="44" t="n"/>
      <c r="L103" s="44" t="n"/>
      <c r="M103" s="44" t="n"/>
      <c r="N103" s="44" t="n"/>
      <c r="O103" s="44" t="n"/>
      <c r="P103" s="44" t="n"/>
      <c r="Q103" s="44" t="n"/>
    </row>
    <row r="104" hidden="1" ht="15.5" customHeight="1">
      <c r="B104" s="67" t="n">
        <v>45329</v>
      </c>
      <c r="C104" s="91" t="n">
        <v>4</v>
      </c>
      <c r="D104" s="95" t="inlineStr">
        <is>
          <t>Taxi Bintaro-CGK</t>
        </is>
      </c>
      <c r="E104" s="95" t="n"/>
      <c r="F104" s="93" t="n">
        <v>250000</v>
      </c>
      <c r="G104" s="91" t="inlineStr">
        <is>
          <t>IDR</t>
        </is>
      </c>
      <c r="H104" s="91" t="n">
        <v>1</v>
      </c>
      <c r="I104" s="61">
        <f>$H104*$F104</f>
        <v/>
      </c>
      <c r="J104" s="62" t="n"/>
      <c r="K104" s="44" t="n"/>
      <c r="L104" s="44" t="n"/>
      <c r="M104" s="44" t="n"/>
      <c r="N104" s="44" t="n"/>
      <c r="O104" s="44" t="n"/>
      <c r="P104" s="44" t="n"/>
      <c r="Q104" s="44" t="n"/>
    </row>
    <row r="105" hidden="1" ht="15.5" customHeight="1">
      <c r="B105" s="67" t="n">
        <v>45330</v>
      </c>
      <c r="C105" s="91" t="n">
        <v>5</v>
      </c>
      <c r="D105" s="95" t="inlineStr">
        <is>
          <t>Rental Mobil Pajero 1 Hari</t>
        </is>
      </c>
      <c r="E105" s="95" t="n"/>
      <c r="F105" s="93" t="n">
        <v>900000</v>
      </c>
      <c r="G105" s="91" t="inlineStr">
        <is>
          <t>IDR</t>
        </is>
      </c>
      <c r="H105" s="91" t="n">
        <v>1</v>
      </c>
      <c r="I105" s="61">
        <f>$H105*$F105</f>
        <v/>
      </c>
      <c r="J105" s="62" t="n"/>
      <c r="K105" s="44" t="n"/>
      <c r="L105" s="44" t="n"/>
      <c r="M105" s="44" t="n"/>
      <c r="N105" s="44" t="n"/>
      <c r="O105" s="44" t="n"/>
      <c r="P105" s="44" t="n"/>
      <c r="Q105" s="44" t="n"/>
    </row>
    <row r="106" hidden="1" ht="15.5" customHeight="1">
      <c r="B106" s="67" t="n">
        <v>45330</v>
      </c>
      <c r="C106" s="91" t="n">
        <v>6</v>
      </c>
      <c r="D106" s="95" t="inlineStr">
        <is>
          <t>Rental Mobil Pajero Sebulan</t>
        </is>
      </c>
      <c r="E106" s="95" t="n"/>
      <c r="F106" s="93" t="n">
        <v>18000000</v>
      </c>
      <c r="G106" s="91" t="inlineStr">
        <is>
          <t>IDR</t>
        </is>
      </c>
      <c r="H106" s="91" t="n">
        <v>1</v>
      </c>
      <c r="I106" s="61">
        <f>$H106*$F106</f>
        <v/>
      </c>
      <c r="J106" s="62" t="n"/>
      <c r="K106" s="44" t="n"/>
      <c r="L106" s="44" t="n"/>
      <c r="M106" s="44" t="n"/>
      <c r="N106" s="44" t="n"/>
      <c r="O106" s="44" t="n"/>
      <c r="P106" s="44" t="n"/>
      <c r="Q106" s="44" t="n"/>
    </row>
    <row r="107" hidden="1" ht="15.5" customHeight="1">
      <c r="B107" s="67" t="n">
        <v>45355</v>
      </c>
      <c r="C107" s="91" t="n">
        <v>7</v>
      </c>
      <c r="D107" s="95" t="inlineStr">
        <is>
          <t>Taxi CGK-Bintaro</t>
        </is>
      </c>
      <c r="E107" s="95" t="n"/>
      <c r="F107" s="93" t="n">
        <v>250000</v>
      </c>
      <c r="G107" s="91" t="inlineStr">
        <is>
          <t>IDR</t>
        </is>
      </c>
      <c r="H107" s="91" t="n">
        <v>1</v>
      </c>
      <c r="I107" s="61">
        <f>$H107*$F107</f>
        <v/>
      </c>
      <c r="J107" s="62" t="n"/>
      <c r="K107" s="44" t="n"/>
      <c r="L107" s="44" t="n"/>
      <c r="M107" s="44" t="n"/>
      <c r="N107" s="44" t="n"/>
      <c r="O107" s="44" t="n"/>
      <c r="P107" s="44" t="n"/>
      <c r="Q107" s="44" t="n"/>
    </row>
    <row r="108" hidden="1" ht="15.5" customHeight="1">
      <c r="B108" s="67" t="n">
        <v>45355</v>
      </c>
      <c r="C108" s="91" t="n">
        <v>8</v>
      </c>
      <c r="D108" s="95" t="inlineStr">
        <is>
          <t>Fuel</t>
        </is>
      </c>
      <c r="E108" s="95" t="n"/>
      <c r="F108" s="96" t="n">
        <v>1498484</v>
      </c>
      <c r="G108" s="91" t="inlineStr">
        <is>
          <t>IDR</t>
        </is>
      </c>
      <c r="H108" s="91" t="n">
        <v>1</v>
      </c>
      <c r="I108" s="61">
        <f>$H108*$F108</f>
        <v/>
      </c>
      <c r="J108" s="62" t="n"/>
      <c r="K108" s="44" t="n"/>
      <c r="L108" s="44" t="n"/>
      <c r="M108" s="44" t="n"/>
      <c r="N108" s="44" t="n"/>
      <c r="O108" s="44" t="n"/>
      <c r="P108" s="44" t="n"/>
      <c r="Q108" s="44" t="n"/>
    </row>
    <row r="109" hidden="1" ht="15.5" customHeight="1">
      <c r="B109" s="67" t="n">
        <v>45355</v>
      </c>
      <c r="C109" s="91" t="n">
        <v>9</v>
      </c>
      <c r="D109" s="95" t="inlineStr">
        <is>
          <t>Toll Fee</t>
        </is>
      </c>
      <c r="E109" s="95" t="n"/>
      <c r="F109" s="96" t="n">
        <v>378000</v>
      </c>
      <c r="G109" s="91" t="inlineStr">
        <is>
          <t>IDR</t>
        </is>
      </c>
      <c r="H109" s="91" t="n">
        <v>1</v>
      </c>
      <c r="I109" s="61">
        <f>$H109*$F109</f>
        <v/>
      </c>
      <c r="J109" s="62" t="n"/>
      <c r="K109" s="44" t="n"/>
      <c r="L109" s="44" t="n"/>
      <c r="M109" s="61" t="n"/>
      <c r="N109" s="44" t="n"/>
      <c r="O109" s="44" t="n"/>
      <c r="P109" s="44" t="n"/>
      <c r="Q109" s="44" t="n"/>
    </row>
    <row r="110" hidden="1" ht="15.5" customHeight="1">
      <c r="B110" s="67" t="n"/>
      <c r="C110" s="91" t="n"/>
      <c r="D110" s="97" t="inlineStr">
        <is>
          <t>Hotel and Loundry</t>
        </is>
      </c>
      <c r="E110" s="97" t="n"/>
      <c r="F110" s="93" t="n"/>
      <c r="G110" s="91" t="n"/>
      <c r="H110" s="91" t="n"/>
      <c r="I110" s="62" t="n"/>
      <c r="J110" s="62" t="n"/>
      <c r="K110" s="44" t="n"/>
      <c r="L110" s="44" t="n"/>
      <c r="M110" s="44" t="n"/>
      <c r="N110" s="44" t="n"/>
      <c r="O110" s="44" t="n"/>
      <c r="P110" s="44" t="n"/>
      <c r="Q110" s="44" t="n"/>
    </row>
    <row r="111" hidden="1" ht="15.5" customHeight="1">
      <c r="B111" s="67" t="n">
        <v>45329</v>
      </c>
      <c r="C111" s="91" t="n">
        <v>10</v>
      </c>
      <c r="D111" s="95" t="inlineStr">
        <is>
          <t>Hotel 7 Feb-8 Feb 2024 (1 days)</t>
        </is>
      </c>
      <c r="E111" s="95" t="n"/>
      <c r="F111" s="93" t="n">
        <v>200000</v>
      </c>
      <c r="G111" s="91" t="inlineStr">
        <is>
          <t>IDR</t>
        </is>
      </c>
      <c r="H111" s="91" t="n">
        <v>1</v>
      </c>
      <c r="I111" s="61">
        <f>F111</f>
        <v/>
      </c>
      <c r="J111" s="62" t="n"/>
      <c r="K111" s="44" t="n"/>
      <c r="L111" s="44" t="n"/>
      <c r="M111" s="44" t="n"/>
      <c r="N111" s="61" t="n"/>
      <c r="O111" s="44" t="n"/>
      <c r="P111" s="44" t="n"/>
      <c r="Q111" s="44" t="n"/>
    </row>
    <row r="112" hidden="1" ht="15.5" customHeight="1">
      <c r="B112" s="67" t="n">
        <v>45329</v>
      </c>
      <c r="C112" s="91" t="n">
        <v>11</v>
      </c>
      <c r="D112" s="95" t="inlineStr">
        <is>
          <t>Hotel Prabumulih 8 Feb- 7 Mar 2024 (1 Month)</t>
        </is>
      </c>
      <c r="E112" s="95" t="n"/>
      <c r="F112" s="93" t="n">
        <v>3300000</v>
      </c>
      <c r="G112" s="91" t="inlineStr">
        <is>
          <t>IDR</t>
        </is>
      </c>
      <c r="H112" s="91" t="n">
        <v>1</v>
      </c>
      <c r="I112" s="61">
        <f>F112</f>
        <v/>
      </c>
      <c r="J112" s="62" t="n"/>
      <c r="K112" s="44" t="n"/>
      <c r="L112" s="44" t="n"/>
      <c r="M112" s="44" t="n"/>
      <c r="N112" s="61" t="n"/>
      <c r="O112" s="44" t="n"/>
      <c r="P112" s="44" t="n"/>
      <c r="Q112" s="44" t="n"/>
    </row>
    <row r="113" hidden="1" ht="15.5" customHeight="1">
      <c r="B113" s="67" t="n">
        <v>45355</v>
      </c>
      <c r="C113" s="91" t="n">
        <v>12</v>
      </c>
      <c r="D113" s="95" t="inlineStr">
        <is>
          <t>Laundry 27 days 1 Persons @ 50K IDR/day</t>
        </is>
      </c>
      <c r="E113" s="95" t="n"/>
      <c r="F113" s="93" t="n">
        <v>1350000</v>
      </c>
      <c r="G113" s="91" t="inlineStr">
        <is>
          <t>IDR</t>
        </is>
      </c>
      <c r="H113" s="91" t="n">
        <v>1</v>
      </c>
      <c r="I113" s="61">
        <f>F113</f>
        <v/>
      </c>
      <c r="J113" s="62" t="n"/>
      <c r="K113" s="44" t="n"/>
      <c r="L113" s="44" t="n"/>
      <c r="M113" s="44" t="n"/>
      <c r="N113" s="61" t="n"/>
      <c r="O113" s="44" t="n"/>
      <c r="P113" s="44" t="n"/>
      <c r="Q113" s="44" t="n"/>
    </row>
    <row r="114" hidden="1" ht="15.5" customHeight="1">
      <c r="B114" s="67" t="n"/>
      <c r="C114" s="91" t="n"/>
      <c r="D114" s="97" t="inlineStr">
        <is>
          <t>Logistik</t>
        </is>
      </c>
      <c r="E114" s="97" t="n"/>
      <c r="F114" s="93" t="n"/>
      <c r="G114" s="91" t="n"/>
      <c r="H114" s="91" t="n"/>
      <c r="I114" s="61" t="n"/>
      <c r="J114" s="62" t="n"/>
      <c r="K114" s="44" t="n"/>
      <c r="L114" s="44" t="n"/>
      <c r="M114" s="44" t="n"/>
      <c r="N114" s="61" t="n"/>
      <c r="O114" s="44" t="n"/>
      <c r="P114" s="44" t="n"/>
      <c r="Q114" s="44" t="n"/>
    </row>
    <row r="115" hidden="1" ht="15.5" customHeight="1">
      <c r="B115" s="67" t="n">
        <v>45329</v>
      </c>
      <c r="C115" s="91" t="n">
        <v>13</v>
      </c>
      <c r="D115" s="98" t="inlineStr">
        <is>
          <t>Gloves</t>
        </is>
      </c>
      <c r="E115" s="98" t="n"/>
      <c r="F115" s="93" t="n">
        <v>58500</v>
      </c>
      <c r="G115" s="91" t="inlineStr">
        <is>
          <t>IDR</t>
        </is>
      </c>
      <c r="H115" s="91" t="n">
        <v>1</v>
      </c>
      <c r="I115" s="61" t="n"/>
      <c r="J115" s="62" t="n"/>
      <c r="K115" s="44" t="n"/>
      <c r="L115" s="44" t="n"/>
      <c r="M115" s="44" t="n"/>
      <c r="N115" s="61">
        <f>F115</f>
        <v/>
      </c>
      <c r="O115" s="44" t="n"/>
      <c r="P115" s="44" t="n"/>
      <c r="Q115" s="44" t="n"/>
    </row>
    <row r="116" hidden="1" ht="15.5" customHeight="1">
      <c r="B116" s="67" t="n">
        <v>45341</v>
      </c>
      <c r="C116" s="91" t="n">
        <v>14</v>
      </c>
      <c r="D116" s="98" t="inlineStr">
        <is>
          <t>Battery A3</t>
        </is>
      </c>
      <c r="E116" s="98" t="n"/>
      <c r="F116" s="93" t="n">
        <v>82100</v>
      </c>
      <c r="G116" s="91" t="inlineStr">
        <is>
          <t>IDR</t>
        </is>
      </c>
      <c r="H116" s="91" t="n">
        <v>1</v>
      </c>
      <c r="I116" s="61" t="n"/>
      <c r="J116" s="62" t="n"/>
      <c r="K116" s="44" t="n"/>
      <c r="L116" s="44" t="n"/>
      <c r="M116" s="44" t="n"/>
      <c r="N116" s="61">
        <f>F116</f>
        <v/>
      </c>
      <c r="O116" s="44" t="n"/>
      <c r="P116" s="44" t="n"/>
      <c r="Q116" s="44" t="n"/>
    </row>
    <row r="117" hidden="1" ht="15.5" customHeight="1">
      <c r="B117" s="67" t="n">
        <v>45341</v>
      </c>
      <c r="C117" s="91" t="n">
        <v>15</v>
      </c>
      <c r="D117" s="98" t="inlineStr">
        <is>
          <t>Steker</t>
        </is>
      </c>
      <c r="E117" s="98" t="n"/>
      <c r="F117" s="93" t="n">
        <v>14000</v>
      </c>
      <c r="G117" s="91" t="inlineStr">
        <is>
          <t>IDR</t>
        </is>
      </c>
      <c r="H117" s="91" t="n">
        <v>1</v>
      </c>
      <c r="I117" s="61" t="n"/>
      <c r="J117" s="62" t="n"/>
      <c r="K117" s="44" t="n"/>
      <c r="L117" s="44" t="n"/>
      <c r="M117" s="44" t="n"/>
      <c r="N117" s="61">
        <f>F117</f>
        <v/>
      </c>
      <c r="O117" s="44" t="n"/>
      <c r="P117" s="44" t="n"/>
      <c r="Q117" s="44" t="n"/>
    </row>
    <row r="118" hidden="1" ht="15.5" customHeight="1">
      <c r="B118" s="67" t="n">
        <v>45344</v>
      </c>
      <c r="C118" s="91" t="n">
        <v>16</v>
      </c>
      <c r="D118" s="98" t="inlineStr">
        <is>
          <t>Gloves</t>
        </is>
      </c>
      <c r="E118" s="98" t="n"/>
      <c r="F118" s="93" t="n">
        <v>65000</v>
      </c>
      <c r="G118" s="91" t="inlineStr">
        <is>
          <t>IDR</t>
        </is>
      </c>
      <c r="H118" s="91" t="n">
        <v>1</v>
      </c>
      <c r="I118" s="61" t="n"/>
      <c r="J118" s="62" t="n"/>
      <c r="K118" s="44" t="n"/>
      <c r="L118" s="44" t="n"/>
      <c r="M118" s="44" t="n"/>
      <c r="N118" s="61">
        <f>F118</f>
        <v/>
      </c>
      <c r="O118" s="44" t="n"/>
      <c r="P118" s="44" t="n"/>
      <c r="Q118" s="44" t="n"/>
    </row>
    <row r="119" hidden="1" ht="15.5" customHeight="1">
      <c r="B119" s="67" t="n">
        <v>45347</v>
      </c>
      <c r="C119" s="91" t="n">
        <v>17</v>
      </c>
      <c r="D119" s="98" t="inlineStr">
        <is>
          <t>White Marker</t>
        </is>
      </c>
      <c r="E119" s="98" t="n"/>
      <c r="F119" s="93" t="n">
        <v>19000</v>
      </c>
      <c r="G119" s="91" t="inlineStr">
        <is>
          <t>IDR</t>
        </is>
      </c>
      <c r="H119" s="91" t="n">
        <v>1</v>
      </c>
      <c r="I119" s="62" t="n"/>
      <c r="J119" s="62" t="n"/>
      <c r="K119" s="44" t="n"/>
      <c r="L119" s="44" t="n"/>
      <c r="M119" s="44" t="n"/>
      <c r="N119" s="61">
        <f>F119</f>
        <v/>
      </c>
      <c r="O119" s="44" t="n"/>
      <c r="P119" s="44" t="n"/>
      <c r="Q119" s="44" t="n"/>
    </row>
    <row r="120" hidden="1" ht="15.5" customHeight="1">
      <c r="B120" s="67" t="n">
        <v>45350</v>
      </c>
      <c r="C120" s="91" t="n">
        <v>18</v>
      </c>
      <c r="D120" s="98" t="inlineStr">
        <is>
          <t>Internet Data</t>
        </is>
      </c>
      <c r="E120" s="98" t="n"/>
      <c r="F120" s="93" t="n">
        <v>87000</v>
      </c>
      <c r="G120" s="91" t="inlineStr">
        <is>
          <t>IDR</t>
        </is>
      </c>
      <c r="H120" s="91" t="n">
        <v>1</v>
      </c>
      <c r="I120" s="44" t="n"/>
      <c r="J120" s="62" t="n"/>
      <c r="K120" s="44" t="n"/>
      <c r="L120" s="44" t="n"/>
      <c r="M120" s="61" t="n"/>
      <c r="N120" s="61">
        <f>F120</f>
        <v/>
      </c>
      <c r="O120" s="44" t="n"/>
      <c r="P120" s="44" t="n"/>
      <c r="Q120" s="44" t="n"/>
    </row>
    <row r="121" hidden="1" ht="15.5" customHeight="1">
      <c r="B121" s="67" t="n"/>
      <c r="C121" s="91" t="n"/>
      <c r="D121" s="97" t="inlineStr">
        <is>
          <t>Entertaiment on field Site</t>
        </is>
      </c>
      <c r="E121" s="97" t="n"/>
      <c r="F121" s="93" t="n"/>
      <c r="G121" s="91" t="n"/>
      <c r="H121" s="91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</row>
    <row r="122" hidden="1" ht="15.5" customHeight="1">
      <c r="B122" s="67" t="n">
        <v>45355</v>
      </c>
      <c r="C122" s="91" t="n">
        <v>19</v>
      </c>
      <c r="D122" s="95" t="inlineStr">
        <is>
          <t>Meal Crew's Operational</t>
        </is>
      </c>
      <c r="E122" s="95" t="n"/>
      <c r="F122" s="99" t="n">
        <v>1966300</v>
      </c>
      <c r="G122" s="91" t="inlineStr">
        <is>
          <t>IDR</t>
        </is>
      </c>
      <c r="H122" s="91" t="n">
        <v>1</v>
      </c>
      <c r="I122" s="62">
        <f>F122</f>
        <v/>
      </c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idden="1" ht="15.5" customHeight="1">
      <c r="B123" s="67" t="n"/>
      <c r="C123" s="91" t="n"/>
      <c r="D123" s="97" t="inlineStr">
        <is>
          <t>Meal Allowance</t>
        </is>
      </c>
      <c r="E123" s="97" t="n"/>
      <c r="F123" s="93" t="n"/>
      <c r="G123" s="91" t="n"/>
      <c r="H123" s="91" t="n"/>
      <c r="I123" s="62" t="n"/>
      <c r="J123" s="62" t="n"/>
      <c r="K123" s="44" t="n"/>
      <c r="L123" s="44" t="n"/>
      <c r="M123" s="62" t="n"/>
      <c r="N123" s="44" t="n"/>
      <c r="O123" s="44" t="n"/>
      <c r="P123" s="44" t="n"/>
      <c r="Q123" s="44" t="n"/>
    </row>
    <row r="124" hidden="1" ht="15.5" customHeight="1">
      <c r="B124" s="67" t="n">
        <v>45355</v>
      </c>
      <c r="C124" s="91" t="n">
        <v>20</v>
      </c>
      <c r="D124" s="95" t="inlineStr">
        <is>
          <t>Meals 27 days 1 Persons @ 150K IDR/day</t>
        </is>
      </c>
      <c r="E124" s="95" t="n"/>
      <c r="F124" s="93" t="n">
        <v>4050000</v>
      </c>
      <c r="G124" s="91" t="inlineStr">
        <is>
          <t>IDR</t>
        </is>
      </c>
      <c r="H124" s="91" t="n">
        <v>1</v>
      </c>
      <c r="I124" s="61">
        <f>F124</f>
        <v/>
      </c>
      <c r="J124" s="62" t="n"/>
      <c r="K124" s="44" t="n"/>
      <c r="L124" s="44" t="n"/>
      <c r="M124" s="62" t="n"/>
      <c r="N124" s="44" t="n"/>
      <c r="O124" s="44" t="n"/>
      <c r="P124" s="44" t="n"/>
      <c r="Q124" s="44" t="n"/>
    </row>
    <row r="125" hidden="1" ht="15.5" customHeight="1">
      <c r="B125" s="67" t="n"/>
      <c r="C125" s="91" t="n"/>
      <c r="D125" s="97" t="inlineStr">
        <is>
          <t>Allowance</t>
        </is>
      </c>
      <c r="E125" s="97" t="n"/>
      <c r="F125" s="93" t="n"/>
      <c r="G125" s="91" t="n"/>
      <c r="H125" s="91" t="n"/>
      <c r="I125" s="62" t="n"/>
      <c r="J125" s="62" t="n"/>
      <c r="K125" s="44" t="n"/>
      <c r="L125" s="44" t="n"/>
      <c r="M125" s="62" t="n"/>
      <c r="N125" s="44" t="n"/>
      <c r="O125" s="44" t="n"/>
      <c r="P125" s="44" t="n"/>
      <c r="Q125" s="44" t="n"/>
    </row>
    <row r="126" hidden="1" ht="15.5" customHeight="1">
      <c r="B126" s="67" t="n">
        <v>45355</v>
      </c>
      <c r="C126" s="91" t="n">
        <v>21</v>
      </c>
      <c r="D126" s="95" t="inlineStr">
        <is>
          <t>Tunjangan Lapangan for 27 days</t>
        </is>
      </c>
      <c r="E126" s="95" t="n"/>
      <c r="F126" s="93" t="n">
        <v>2700</v>
      </c>
      <c r="G126" s="91" t="inlineStr">
        <is>
          <t>USD</t>
        </is>
      </c>
      <c r="H126" s="100" t="n">
        <v>15774</v>
      </c>
      <c r="I126" s="62">
        <f>H126*F126</f>
        <v/>
      </c>
      <c r="J126" s="62" t="n"/>
      <c r="K126" s="44" t="n"/>
      <c r="L126" s="44" t="n"/>
      <c r="M126" s="44" t="n"/>
      <c r="N126" s="44" t="n"/>
      <c r="O126" s="44" t="n"/>
      <c r="P126" s="44" t="n"/>
      <c r="Q126" s="44" t="n"/>
    </row>
    <row r="127" hidden="1" ht="15.5" customHeight="1">
      <c r="B127" s="78" t="inlineStr">
        <is>
          <t>Expense#2</t>
        </is>
      </c>
      <c r="C127" s="85" t="inlineStr">
        <is>
          <t>:</t>
        </is>
      </c>
      <c r="D127" s="86" t="inlineStr">
        <is>
          <t>Training ALFA _TLJ-58 (PEPZ4-Prabumulih field_ Titis Maulana</t>
        </is>
      </c>
      <c r="E127" s="86" t="n"/>
      <c r="F127" s="87" t="n"/>
      <c r="G127" s="73" t="n"/>
      <c r="H127" s="73" t="n"/>
      <c r="I127" s="101" t="n"/>
      <c r="J127" s="90" t="n"/>
      <c r="K127" s="78" t="n"/>
      <c r="L127" s="78" t="n"/>
      <c r="M127" s="101" t="n"/>
      <c r="N127" s="78" t="n"/>
      <c r="O127" s="78" t="n"/>
      <c r="P127" s="78" t="n"/>
      <c r="Q127" s="78" t="n"/>
    </row>
    <row r="128" hidden="1" ht="15.5" customHeight="1">
      <c r="B128" s="24" t="n"/>
      <c r="C128" s="91" t="n"/>
      <c r="D128" s="94" t="inlineStr">
        <is>
          <t>Airplane</t>
        </is>
      </c>
      <c r="E128" s="94" t="n"/>
      <c r="F128" s="93" t="n"/>
      <c r="G128" s="91" t="n"/>
      <c r="H128" s="91" t="n"/>
      <c r="I128" s="61" t="n"/>
      <c r="J128" s="62" t="n"/>
      <c r="K128" s="44" t="n"/>
      <c r="L128" s="44" t="n"/>
      <c r="M128" s="61" t="n"/>
      <c r="N128" s="44" t="n"/>
      <c r="O128" s="44" t="n"/>
      <c r="P128" s="44" t="n"/>
      <c r="Q128" s="44" t="n"/>
    </row>
    <row r="129" hidden="1" ht="15.5" customHeight="1">
      <c r="B129" s="67" t="n">
        <v>45357</v>
      </c>
      <c r="C129" s="91" t="n">
        <v>1</v>
      </c>
      <c r="D129" s="95" t="inlineStr">
        <is>
          <t>Airplane Ticket PLM-CGK</t>
        </is>
      </c>
      <c r="E129" s="95" t="n"/>
      <c r="F129" s="93" t="n">
        <v>1000106</v>
      </c>
      <c r="G129" s="91" t="inlineStr">
        <is>
          <t>IDR</t>
        </is>
      </c>
      <c r="H129" s="91" t="n">
        <v>1</v>
      </c>
      <c r="I129" s="61">
        <f>$H129*$F129</f>
        <v/>
      </c>
      <c r="J129" s="44" t="n"/>
      <c r="K129" s="44" t="n"/>
      <c r="L129" s="44" t="n"/>
      <c r="M129" s="44" t="n"/>
      <c r="N129" s="44" t="n"/>
      <c r="O129" s="44" t="n"/>
      <c r="P129" s="44" t="n"/>
      <c r="Q129" s="44" t="n"/>
    </row>
    <row r="130" hidden="1" ht="15.5" customHeight="1">
      <c r="B130" s="67" t="n"/>
      <c r="C130" s="91" t="n"/>
      <c r="D130" s="94" t="inlineStr">
        <is>
          <t>Land Transportation</t>
        </is>
      </c>
      <c r="E130" s="94" t="n"/>
      <c r="F130" s="93" t="n"/>
      <c r="G130" s="91" t="n"/>
      <c r="H130" s="91" t="n"/>
      <c r="I130" s="61" t="n"/>
      <c r="J130" s="62" t="n"/>
      <c r="K130" s="44" t="n"/>
      <c r="L130" s="44" t="n"/>
      <c r="M130" s="61" t="n"/>
      <c r="N130" s="44" t="n"/>
      <c r="O130" s="44" t="n"/>
      <c r="P130" s="44" t="n"/>
      <c r="Q130" s="44" t="n"/>
    </row>
    <row r="131" hidden="1" ht="15.5" customHeight="1">
      <c r="B131" s="67" t="n">
        <v>45329</v>
      </c>
      <c r="C131" s="91" t="n">
        <v>2</v>
      </c>
      <c r="D131" s="95" t="inlineStr">
        <is>
          <t>Taxi Pondok Cabe-CGK</t>
        </is>
      </c>
      <c r="E131" s="95" t="n"/>
      <c r="F131" s="93" t="n">
        <v>250000</v>
      </c>
      <c r="G131" s="91" t="inlineStr">
        <is>
          <t>IDR</t>
        </is>
      </c>
      <c r="H131" s="91" t="n">
        <v>1</v>
      </c>
      <c r="I131" s="61">
        <f>$H131*$F131</f>
        <v/>
      </c>
      <c r="J131" s="62" t="n"/>
      <c r="K131" s="44" t="n"/>
      <c r="L131" s="44" t="n"/>
      <c r="M131" s="44" t="n"/>
      <c r="N131" s="44" t="n"/>
      <c r="O131" s="44" t="n"/>
      <c r="P131" s="44" t="n"/>
      <c r="Q131" s="44" t="n"/>
    </row>
    <row r="132" hidden="1" ht="15.5" customHeight="1">
      <c r="B132" s="67" t="n">
        <v>45358</v>
      </c>
      <c r="C132" s="91" t="n">
        <v>3</v>
      </c>
      <c r="D132" s="95" t="inlineStr">
        <is>
          <t>Taxi CGK-Pondok Cabe</t>
        </is>
      </c>
      <c r="E132" s="95" t="n"/>
      <c r="F132" s="93" t="n">
        <v>250000</v>
      </c>
      <c r="G132" s="91" t="inlineStr">
        <is>
          <t>IDR</t>
        </is>
      </c>
      <c r="H132" s="91" t="n">
        <v>1</v>
      </c>
      <c r="I132" s="61">
        <f>$H132*$F132</f>
        <v/>
      </c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idden="1" ht="15.5" customHeight="1">
      <c r="B133" s="67" t="n">
        <v>45355</v>
      </c>
      <c r="C133" s="91" t="n">
        <v>4</v>
      </c>
      <c r="D133" s="95" t="inlineStr">
        <is>
          <t>Fuel</t>
        </is>
      </c>
      <c r="E133" s="95" t="n"/>
      <c r="F133" s="96" t="n">
        <v>200000</v>
      </c>
      <c r="G133" s="91" t="inlineStr">
        <is>
          <t>IDR</t>
        </is>
      </c>
      <c r="H133" s="91" t="n">
        <v>1</v>
      </c>
      <c r="I133" s="61">
        <f>$H133*$F133</f>
        <v/>
      </c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idden="1" ht="15.5" customHeight="1">
      <c r="B134" s="67" t="n">
        <v>45358</v>
      </c>
      <c r="C134" s="91" t="n">
        <v>5</v>
      </c>
      <c r="D134" s="95" t="inlineStr">
        <is>
          <t>Toll Fee</t>
        </is>
      </c>
      <c r="E134" s="95" t="n"/>
      <c r="F134" s="96" t="n">
        <v>105000</v>
      </c>
      <c r="G134" s="91" t="inlineStr">
        <is>
          <t>IDR</t>
        </is>
      </c>
      <c r="H134" s="91" t="n">
        <v>1</v>
      </c>
      <c r="I134" s="61">
        <f>$H134*$F134</f>
        <v/>
      </c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idden="1" ht="15.5" customHeight="1">
      <c r="B135" s="67" t="n"/>
      <c r="C135" s="91" t="n"/>
      <c r="D135" s="97" t="inlineStr">
        <is>
          <t>Hotel and Loundry</t>
        </is>
      </c>
      <c r="E135" s="97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idden="1" ht="15.5" customHeight="1">
      <c r="B136" s="67" t="n">
        <v>45358</v>
      </c>
      <c r="C136" s="91" t="n">
        <v>6</v>
      </c>
      <c r="D136" s="95" t="inlineStr">
        <is>
          <t>Laundry 30 days 1 Persons @ 50K IDR/day</t>
        </is>
      </c>
      <c r="E136" s="95" t="n"/>
      <c r="F136" s="93" t="n">
        <v>1500000</v>
      </c>
      <c r="G136" s="91" t="inlineStr">
        <is>
          <t>IDR</t>
        </is>
      </c>
      <c r="H136" s="91" t="n">
        <v>1</v>
      </c>
      <c r="I136" s="61">
        <f>F136</f>
        <v/>
      </c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idden="1" ht="15.5" customHeight="1">
      <c r="B137" s="67" t="n"/>
      <c r="C137" s="91" t="n"/>
      <c r="D137" s="97" t="inlineStr">
        <is>
          <t>Logistik</t>
        </is>
      </c>
      <c r="E137" s="97" t="n"/>
      <c r="F137" s="93" t="n"/>
      <c r="G137" s="91" t="n"/>
      <c r="H137" s="91" t="n"/>
      <c r="I137" s="61" t="n"/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idden="1" ht="15.5" customHeight="1">
      <c r="B138" s="67" t="n">
        <v>45324</v>
      </c>
      <c r="C138" s="91" t="n">
        <v>7</v>
      </c>
      <c r="D138" s="98" t="inlineStr">
        <is>
          <t>Safety Shoes</t>
        </is>
      </c>
      <c r="E138" s="98" t="n"/>
      <c r="F138" s="93" t="n">
        <v>499940</v>
      </c>
      <c r="G138" s="91" t="inlineStr">
        <is>
          <t>IDR</t>
        </is>
      </c>
      <c r="H138" s="91" t="n">
        <v>1</v>
      </c>
      <c r="I138" s="61" t="n"/>
      <c r="J138" s="62" t="n"/>
      <c r="K138" s="44" t="n"/>
      <c r="L138" s="44" t="n"/>
      <c r="M138" s="44" t="n"/>
      <c r="N138" s="62">
        <f>F138</f>
        <v/>
      </c>
      <c r="O138" s="44" t="n"/>
      <c r="P138" s="44" t="n"/>
      <c r="Q138" s="44" t="n"/>
    </row>
    <row r="139" hidden="1" ht="15.5" customHeight="1">
      <c r="B139" s="67" t="n">
        <v>45354</v>
      </c>
      <c r="C139" s="91" t="n">
        <v>8</v>
      </c>
      <c r="D139" s="98" t="inlineStr">
        <is>
          <t>Internet Data</t>
        </is>
      </c>
      <c r="E139" s="98" t="n"/>
      <c r="F139" s="93" t="n">
        <v>70000</v>
      </c>
      <c r="G139" s="91" t="inlineStr">
        <is>
          <t>IDR</t>
        </is>
      </c>
      <c r="H139" s="91" t="n">
        <v>1</v>
      </c>
      <c r="I139" s="44" t="n"/>
      <c r="J139" s="62" t="n"/>
      <c r="K139" s="44" t="n"/>
      <c r="L139" s="44" t="n"/>
      <c r="M139" s="61" t="n"/>
      <c r="N139" s="62">
        <f>F139</f>
        <v/>
      </c>
      <c r="O139" s="44" t="n"/>
      <c r="P139" s="44" t="n"/>
      <c r="Q139" s="44" t="n"/>
    </row>
    <row r="140" hidden="1" ht="15.5" customHeight="1">
      <c r="B140" s="67" t="n">
        <v>45358</v>
      </c>
      <c r="C140" s="91" t="n"/>
      <c r="D140" s="98" t="inlineStr">
        <is>
          <t>Extra Baggage</t>
        </is>
      </c>
      <c r="E140" s="98" t="n"/>
      <c r="F140" s="93" t="n">
        <v>540000</v>
      </c>
      <c r="G140" s="91" t="inlineStr">
        <is>
          <t>IDR</t>
        </is>
      </c>
      <c r="H140" s="91" t="n">
        <v>1</v>
      </c>
      <c r="I140" s="62" t="n"/>
      <c r="J140" s="62" t="n"/>
      <c r="K140" s="62" t="n"/>
      <c r="L140" s="62" t="n"/>
      <c r="M140" s="62" t="n"/>
      <c r="N140" s="62">
        <f>F140</f>
        <v/>
      </c>
      <c r="O140" s="62" t="n"/>
      <c r="P140" s="62" t="n"/>
      <c r="Q140" s="62" t="n"/>
    </row>
    <row r="141" hidden="1" ht="15.5" customHeight="1">
      <c r="B141" s="67" t="n"/>
      <c r="C141" s="91" t="n">
        <v>9</v>
      </c>
      <c r="D141" s="97" t="inlineStr">
        <is>
          <t>Meal Allowance</t>
        </is>
      </c>
      <c r="E141" s="97" t="n"/>
      <c r="F141" s="93" t="n"/>
      <c r="G141" s="91" t="n"/>
      <c r="H141" s="91" t="n"/>
      <c r="I141" s="62" t="n"/>
      <c r="J141" s="62" t="n"/>
      <c r="K141" s="44" t="n"/>
      <c r="L141" s="44" t="n"/>
      <c r="M141" s="44" t="n"/>
      <c r="N141" s="44" t="n"/>
      <c r="O141" s="44" t="n"/>
      <c r="P141" s="44" t="n"/>
      <c r="Q141" s="44" t="n"/>
    </row>
    <row r="142" hidden="1" ht="15.5" customHeight="1">
      <c r="B142" s="67" t="n">
        <v>45358</v>
      </c>
      <c r="C142" s="91" t="n">
        <v>10</v>
      </c>
      <c r="D142" s="95" t="inlineStr">
        <is>
          <t>Meals 30 days 1 Persons @ 150K IDR/day</t>
        </is>
      </c>
      <c r="E142" s="95" t="n"/>
      <c r="F142" s="93" t="n">
        <v>4500000</v>
      </c>
      <c r="G142" s="91" t="inlineStr">
        <is>
          <t>IDR</t>
        </is>
      </c>
      <c r="H142" s="91" t="n">
        <v>1</v>
      </c>
      <c r="I142" s="61">
        <f>F142</f>
        <v/>
      </c>
      <c r="J142" s="62" t="n"/>
      <c r="K142" s="44" t="n"/>
      <c r="L142" s="44" t="n"/>
      <c r="M142" s="44" t="n"/>
      <c r="N142" s="44" t="n"/>
      <c r="O142" s="44" t="n"/>
      <c r="P142" s="44" t="n"/>
      <c r="Q142" s="44" t="n"/>
    </row>
    <row r="143" hidden="1" ht="15.5" customHeight="1">
      <c r="B143" s="67" t="n"/>
      <c r="C143" s="91" t="n"/>
      <c r="D143" s="97" t="inlineStr">
        <is>
          <t>Allowance</t>
        </is>
      </c>
      <c r="E143" s="97" t="n"/>
      <c r="F143" s="93" t="n"/>
      <c r="G143" s="91" t="n"/>
      <c r="H143" s="91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idden="1" ht="15.5" customHeight="1">
      <c r="B144" s="67" t="n">
        <v>45358</v>
      </c>
      <c r="C144" s="91" t="n">
        <v>11</v>
      </c>
      <c r="D144" s="95" t="inlineStr">
        <is>
          <t>Tunjangan Lapangan (Training) untuk 27 days</t>
        </is>
      </c>
      <c r="E144" s="95" t="n"/>
      <c r="F144" s="93" t="n">
        <v>750</v>
      </c>
      <c r="G144" s="91" t="inlineStr">
        <is>
          <t>USD</t>
        </is>
      </c>
      <c r="H144" s="100" t="n">
        <v>15607</v>
      </c>
      <c r="I144" s="62">
        <f>H144*F144</f>
        <v/>
      </c>
      <c r="J144" s="62" t="n"/>
      <c r="K144" s="44" t="n"/>
      <c r="L144" s="44" t="n"/>
      <c r="M144" s="61" t="n"/>
      <c r="N144" s="44" t="n"/>
      <c r="O144" s="44" t="n"/>
      <c r="P144" s="44" t="n"/>
      <c r="Q144" s="44" t="n"/>
    </row>
    <row r="145" hidden="1" ht="15.5" customHeight="1">
      <c r="B145" s="78" t="inlineStr">
        <is>
          <t>Expense#3</t>
        </is>
      </c>
      <c r="C145" s="85" t="inlineStr">
        <is>
          <t>:</t>
        </is>
      </c>
      <c r="D145" s="86" t="inlineStr">
        <is>
          <t>MPLT (SAKA-UjungPangkah field) GOWell - TGE _IC</t>
        </is>
      </c>
      <c r="E145" s="86" t="n"/>
      <c r="F145" s="87" t="n"/>
      <c r="G145" s="73" t="n"/>
      <c r="H145" s="73" t="n"/>
      <c r="I145" s="90" t="n"/>
      <c r="J145" s="90" t="n"/>
      <c r="K145" s="78" t="n"/>
      <c r="L145" s="78" t="n"/>
      <c r="M145" s="101" t="n"/>
      <c r="N145" s="78" t="n"/>
      <c r="O145" s="78" t="n"/>
      <c r="P145" s="78" t="n"/>
      <c r="Q145" s="78" t="n"/>
    </row>
    <row r="146" hidden="1" ht="15.5" customHeight="1">
      <c r="B146" s="67" t="n"/>
      <c r="C146" s="91" t="n"/>
      <c r="D146" s="94" t="inlineStr">
        <is>
          <t>Land Transportation</t>
        </is>
      </c>
      <c r="E146" s="94" t="n"/>
      <c r="F146" s="93" t="n"/>
      <c r="G146" s="91" t="n"/>
      <c r="H146" s="91" t="n"/>
      <c r="I146" s="62" t="n"/>
      <c r="J146" s="62" t="n"/>
      <c r="K146" s="44" t="n"/>
      <c r="L146" s="44" t="n"/>
      <c r="M146" s="61" t="n"/>
      <c r="N146" s="44" t="n"/>
      <c r="O146" s="44" t="n"/>
      <c r="P146" s="44" t="n"/>
      <c r="Q146" s="44" t="n"/>
    </row>
    <row r="147" hidden="1" ht="15.5" customHeight="1">
      <c r="B147" s="67" t="n">
        <v>45370</v>
      </c>
      <c r="C147" s="91" t="n">
        <v>4</v>
      </c>
      <c r="D147" s="95" t="inlineStr">
        <is>
          <t>Taxi Bintaro-CGK</t>
        </is>
      </c>
      <c r="E147" s="95" t="n"/>
      <c r="F147" s="93" t="n">
        <v>250000</v>
      </c>
      <c r="G147" s="91" t="inlineStr">
        <is>
          <t>IDR</t>
        </is>
      </c>
      <c r="H147" s="91" t="n">
        <v>1</v>
      </c>
      <c r="I147" s="61">
        <f>$H147*$F147</f>
        <v/>
      </c>
      <c r="J147" s="62" t="n"/>
      <c r="K147" s="44" t="n"/>
      <c r="L147" s="44" t="n"/>
      <c r="M147" s="61" t="n"/>
      <c r="N147" s="44" t="n"/>
      <c r="O147" s="44" t="n"/>
      <c r="P147" s="44" t="n"/>
      <c r="Q147" s="44" t="n"/>
    </row>
    <row r="148" hidden="1" ht="15.5" customHeight="1">
      <c r="B148" s="67" t="n">
        <v>45375</v>
      </c>
      <c r="C148" s="91" t="n">
        <v>7</v>
      </c>
      <c r="D148" s="95" t="inlineStr">
        <is>
          <t>Taxi CGK-Bintaro</t>
        </is>
      </c>
      <c r="E148" s="95" t="n"/>
      <c r="F148" s="93" t="n">
        <v>250000</v>
      </c>
      <c r="G148" s="91" t="inlineStr">
        <is>
          <t>IDR</t>
        </is>
      </c>
      <c r="H148" s="91" t="n">
        <v>1</v>
      </c>
      <c r="I148" s="61">
        <f>$H148*$F148</f>
        <v/>
      </c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idden="1" ht="15.5" customHeight="1">
      <c r="B149" s="67" t="n"/>
      <c r="C149" s="91" t="n"/>
      <c r="D149" s="97" t="inlineStr">
        <is>
          <t>Hotel and Loundry</t>
        </is>
      </c>
      <c r="E149" s="97" t="n"/>
      <c r="F149" s="93" t="n"/>
      <c r="G149" s="91" t="n"/>
      <c r="H149" s="91" t="n"/>
      <c r="I149" s="62" t="n"/>
      <c r="J149" s="62" t="n"/>
      <c r="K149" s="44" t="n"/>
      <c r="L149" s="44" t="n"/>
      <c r="M149" s="44" t="n"/>
      <c r="N149" s="44" t="n"/>
      <c r="O149" s="44" t="n"/>
      <c r="P149" s="44" t="n"/>
      <c r="Q149" s="44" t="n"/>
    </row>
    <row r="150" hidden="1" ht="15.5" customHeight="1">
      <c r="B150" s="67" t="n">
        <v>45375</v>
      </c>
      <c r="C150" s="91" t="n">
        <v>12</v>
      </c>
      <c r="D150" s="95" t="inlineStr">
        <is>
          <t>Laundry 6 days 1 Persons @ 50K IDR/day</t>
        </is>
      </c>
      <c r="E150" s="95" t="n"/>
      <c r="F150" s="93" t="n">
        <v>300000</v>
      </c>
      <c r="G150" s="91" t="inlineStr">
        <is>
          <t>IDR</t>
        </is>
      </c>
      <c r="H150" s="91" t="n">
        <v>1</v>
      </c>
      <c r="I150" s="62">
        <f>F150</f>
        <v/>
      </c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idden="1" ht="15.5" customHeight="1">
      <c r="B151" s="67" t="n"/>
      <c r="C151" s="91" t="n"/>
      <c r="D151" s="97" t="inlineStr">
        <is>
          <t>Meal Allowance</t>
        </is>
      </c>
      <c r="E151" s="97" t="n"/>
      <c r="F151" s="93" t="n"/>
      <c r="G151" s="91" t="n"/>
      <c r="H151" s="91" t="n"/>
      <c r="I151" s="62" t="n"/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idden="1" ht="15.5" customHeight="1">
      <c r="B152" s="67" t="n">
        <v>45375</v>
      </c>
      <c r="C152" s="91" t="n">
        <v>20</v>
      </c>
      <c r="D152" s="95" t="inlineStr">
        <is>
          <t>Meals 6 days 1 Persons @ 150K IDR/day</t>
        </is>
      </c>
      <c r="E152" s="95" t="n"/>
      <c r="F152" s="93" t="n">
        <v>900000</v>
      </c>
      <c r="G152" s="91" t="inlineStr">
        <is>
          <t>IDR</t>
        </is>
      </c>
      <c r="H152" s="91" t="n">
        <v>1</v>
      </c>
      <c r="I152" s="62">
        <f>F152</f>
        <v/>
      </c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idden="1" ht="15.5" customHeight="1">
      <c r="B153" s="67" t="n"/>
      <c r="C153" s="91" t="n"/>
      <c r="D153" s="97" t="inlineStr">
        <is>
          <t>Allowance</t>
        </is>
      </c>
      <c r="E153" s="97" t="n"/>
      <c r="F153" s="93" t="n"/>
      <c r="G153" s="91" t="n"/>
      <c r="H153" s="91" t="n"/>
      <c r="I153" s="44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idden="1" ht="15.5" customHeight="1">
      <c r="B154" s="67" t="n">
        <v>45375</v>
      </c>
      <c r="C154" s="91" t="n">
        <v>21</v>
      </c>
      <c r="D154" s="95" t="inlineStr">
        <is>
          <t>Tunjangan Lapangan untuk 6 days</t>
        </is>
      </c>
      <c r="E154" s="95" t="n"/>
      <c r="F154" s="93" t="n">
        <v>600</v>
      </c>
      <c r="G154" s="91" t="inlineStr">
        <is>
          <t>USD</t>
        </is>
      </c>
      <c r="H154" s="100" t="n">
        <v>15835</v>
      </c>
      <c r="I154" s="62">
        <f>H154*F154</f>
        <v/>
      </c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idden="1" ht="15.5" customHeight="1">
      <c r="B155" s="78" t="inlineStr">
        <is>
          <t>Expense#4</t>
        </is>
      </c>
      <c r="C155" s="85" t="inlineStr">
        <is>
          <t>:</t>
        </is>
      </c>
      <c r="D155" s="86" t="inlineStr">
        <is>
          <t xml:space="preserve">Non project (3rd) _ Ivan Chairulsyah </t>
        </is>
      </c>
      <c r="E155" s="86" t="n"/>
      <c r="F155" s="87" t="n"/>
      <c r="G155" s="73" t="n"/>
      <c r="H155" s="73" t="n"/>
      <c r="I155" s="90" t="n"/>
      <c r="J155" s="90" t="n"/>
      <c r="K155" s="78" t="n"/>
      <c r="L155" s="78" t="n"/>
      <c r="M155" s="101" t="n"/>
      <c r="N155" s="78" t="n"/>
      <c r="O155" s="78" t="n"/>
      <c r="P155" s="78" t="n"/>
      <c r="Q155" s="78" t="n"/>
    </row>
    <row r="156" hidden="1" ht="15.5" customHeight="1">
      <c r="B156" s="102" t="n">
        <v>45369</v>
      </c>
      <c r="C156" s="15" t="n">
        <v>1</v>
      </c>
      <c r="D156" s="63" t="inlineStr">
        <is>
          <t>Buy Cable type C to A</t>
        </is>
      </c>
      <c r="E156" s="63" t="n"/>
      <c r="F156" s="96" t="n">
        <v>69009</v>
      </c>
      <c r="G156" s="15" t="inlineStr">
        <is>
          <t>IDR</t>
        </is>
      </c>
      <c r="H156" s="15" t="n">
        <v>1</v>
      </c>
      <c r="I156" s="62" t="n"/>
      <c r="J156" s="62" t="n"/>
      <c r="K156" s="44" t="n"/>
      <c r="L156" s="44" t="n"/>
      <c r="M156" s="61" t="n"/>
      <c r="N156" s="62">
        <f>F156</f>
        <v/>
      </c>
      <c r="O156" s="44" t="n"/>
      <c r="P156" s="44" t="n"/>
      <c r="Q156" s="44" t="n"/>
    </row>
    <row r="157" hidden="1" ht="15.5" customHeight="1">
      <c r="B157" s="102" t="n">
        <v>45369</v>
      </c>
      <c r="C157" s="15" t="n">
        <v>1</v>
      </c>
      <c r="D157" s="63" t="inlineStr">
        <is>
          <t>Buy Cable type C to C</t>
        </is>
      </c>
      <c r="E157" s="63" t="n"/>
      <c r="F157" s="96" t="n">
        <v>145800</v>
      </c>
      <c r="G157" s="15" t="inlineStr">
        <is>
          <t>IDR</t>
        </is>
      </c>
      <c r="H157" s="15" t="n">
        <v>1</v>
      </c>
      <c r="I157" s="62" t="n"/>
      <c r="J157" s="62" t="n"/>
      <c r="K157" s="44" t="n"/>
      <c r="L157" s="44" t="n"/>
      <c r="M157" s="61" t="n"/>
      <c r="N157" s="62">
        <f>F157</f>
        <v/>
      </c>
      <c r="O157" s="44" t="n"/>
      <c r="P157" s="44" t="n"/>
      <c r="Q157" s="44" t="n"/>
    </row>
    <row r="158" hidden="1" ht="15.5" customHeight="1">
      <c r="B158" s="102" t="n">
        <v>45369</v>
      </c>
      <c r="C158" s="15" t="n">
        <v>2</v>
      </c>
      <c r="D158" s="63" t="inlineStr">
        <is>
          <t>Buy Jack 3 Pin Socket</t>
        </is>
      </c>
      <c r="E158" s="63" t="n"/>
      <c r="F158" s="96" t="n">
        <v>20891</v>
      </c>
      <c r="G158" s="15" t="inlineStr">
        <is>
          <t>IDR</t>
        </is>
      </c>
      <c r="H158" s="15" t="n">
        <v>1</v>
      </c>
      <c r="I158" s="62" t="n"/>
      <c r="J158" s="62" t="n"/>
      <c r="K158" s="44" t="n"/>
      <c r="L158" s="44" t="n"/>
      <c r="M158" s="61" t="n"/>
      <c r="N158" s="62">
        <f>F158</f>
        <v/>
      </c>
      <c r="O158" s="44" t="n"/>
      <c r="P158" s="44" t="n"/>
      <c r="Q158" s="44" t="n"/>
    </row>
    <row r="159" hidden="1" ht="15.5" customHeight="1">
      <c r="B159" s="102" t="n">
        <v>45369</v>
      </c>
      <c r="C159" s="15" t="n">
        <v>3</v>
      </c>
      <c r="D159" s="63" t="inlineStr">
        <is>
          <t>Buy Powerbank 2 ea 27kmah &amp; 52kmah</t>
        </is>
      </c>
      <c r="E159" s="63" t="n"/>
      <c r="F159" s="96" t="n">
        <v>3325760</v>
      </c>
      <c r="G159" s="15" t="inlineStr">
        <is>
          <t>IDR</t>
        </is>
      </c>
      <c r="H159" s="15" t="n">
        <v>1</v>
      </c>
      <c r="I159" s="62" t="n"/>
      <c r="J159" s="62" t="n"/>
      <c r="K159" s="44" t="n"/>
      <c r="L159" s="44" t="n"/>
      <c r="M159" s="61" t="n"/>
      <c r="N159" s="62">
        <f>F159</f>
        <v/>
      </c>
      <c r="O159" s="44" t="n"/>
      <c r="P159" s="44" t="n"/>
      <c r="Q159" s="44" t="n"/>
    </row>
    <row r="160" hidden="1" ht="15.5" customHeight="1">
      <c r="B160" s="102" t="n">
        <v>45369</v>
      </c>
      <c r="C160" s="15" t="n">
        <v>4</v>
      </c>
      <c r="D160" s="63" t="inlineStr">
        <is>
          <t>Buy Fluke-117</t>
        </is>
      </c>
      <c r="E160" s="63" t="n"/>
      <c r="F160" s="96" t="n">
        <v>4332000</v>
      </c>
      <c r="G160" s="15" t="inlineStr">
        <is>
          <t>IDR</t>
        </is>
      </c>
      <c r="H160" s="15" t="n">
        <v>1</v>
      </c>
      <c r="I160" s="62" t="n"/>
      <c r="J160" s="62" t="n"/>
      <c r="K160" s="44" t="n"/>
      <c r="L160" s="44" t="n"/>
      <c r="M160" s="44" t="n"/>
      <c r="N160" s="62">
        <f>F160</f>
        <v/>
      </c>
      <c r="O160" s="44" t="n"/>
      <c r="P160" s="44" t="n"/>
      <c r="Q160" s="44" t="n"/>
    </row>
    <row r="161" hidden="1" ht="15.5" customHeight="1">
      <c r="B161" s="102" t="n">
        <v>45369</v>
      </c>
      <c r="C161" s="15" t="n">
        <v>5</v>
      </c>
      <c r="D161" s="63" t="inlineStr">
        <is>
          <t>Buy SANWA YX360TRF</t>
        </is>
      </c>
      <c r="E161" s="63" t="n"/>
      <c r="F161" s="96" t="n">
        <v>455600</v>
      </c>
      <c r="G161" s="15" t="inlineStr">
        <is>
          <t>IDR</t>
        </is>
      </c>
      <c r="H161" s="15" t="n">
        <v>1</v>
      </c>
      <c r="I161" s="62" t="n"/>
      <c r="J161" s="62" t="n"/>
      <c r="K161" s="44" t="n"/>
      <c r="L161" s="44" t="n"/>
      <c r="M161" s="61" t="n"/>
      <c r="N161" s="62">
        <f>F161</f>
        <v/>
      </c>
      <c r="O161" s="44" t="n"/>
      <c r="P161" s="44" t="n"/>
      <c r="Q161" s="44" t="n"/>
    </row>
    <row r="162" hidden="1" ht="15.5" customHeight="1">
      <c r="B162" s="102" t="n">
        <v>45370</v>
      </c>
      <c r="C162" s="15" t="n">
        <v>6</v>
      </c>
      <c r="D162" s="63" t="inlineStr">
        <is>
          <t>Send Tool from Gowell to TGE</t>
        </is>
      </c>
      <c r="E162" s="63" t="n"/>
      <c r="F162" s="96" t="n">
        <v>168732</v>
      </c>
      <c r="G162" s="15" t="inlineStr">
        <is>
          <t>IDR</t>
        </is>
      </c>
      <c r="H162" s="15" t="n">
        <v>1</v>
      </c>
      <c r="I162" s="62" t="n"/>
      <c r="J162" s="62" t="n"/>
      <c r="K162" s="62" t="n"/>
      <c r="L162" s="62" t="n"/>
      <c r="M162" s="62" t="n"/>
      <c r="N162" s="62">
        <f>F162</f>
        <v/>
      </c>
      <c r="O162" s="62" t="n"/>
      <c r="P162" s="62" t="n"/>
      <c r="Q162" s="62" t="n"/>
    </row>
    <row r="163" hidden="1" ht="15.5" customHeight="1">
      <c r="B163" s="102" t="n">
        <v>45354</v>
      </c>
      <c r="C163" s="15" t="n">
        <v>6</v>
      </c>
      <c r="D163" s="63" t="inlineStr">
        <is>
          <t>Send Tool from Bintaro to Gowell</t>
        </is>
      </c>
      <c r="E163" s="63" t="n"/>
      <c r="F163" s="96" t="n">
        <v>168732</v>
      </c>
      <c r="G163" s="15" t="inlineStr">
        <is>
          <t>IDR</t>
        </is>
      </c>
      <c r="H163" s="15" t="n">
        <v>1</v>
      </c>
      <c r="I163" s="62" t="n"/>
      <c r="J163" s="62" t="n"/>
      <c r="K163" s="44" t="n"/>
      <c r="L163" s="44" t="n"/>
      <c r="M163" s="44" t="n"/>
      <c r="N163" s="62">
        <f>F163</f>
        <v/>
      </c>
      <c r="O163" s="44" t="n"/>
      <c r="P163" s="44" t="n"/>
      <c r="Q163" s="44" t="n"/>
    </row>
    <row r="164" hidden="1" ht="15.5" customHeight="1">
      <c r="B164" s="78" t="inlineStr">
        <is>
          <t>Expense#5</t>
        </is>
      </c>
      <c r="C164" s="85" t="inlineStr">
        <is>
          <t>:</t>
        </is>
      </c>
      <c r="D164" s="86" t="inlineStr">
        <is>
          <t xml:space="preserve">MCU RS PP _Titis Maulana </t>
        </is>
      </c>
      <c r="E164" s="86" t="n"/>
      <c r="F164" s="87" t="n"/>
      <c r="G164" s="73" t="n"/>
      <c r="H164" s="73" t="n"/>
      <c r="I164" s="90" t="n"/>
      <c r="J164" s="90" t="n"/>
      <c r="K164" s="78" t="n"/>
      <c r="L164" s="78" t="n"/>
      <c r="M164" s="78" t="n"/>
      <c r="N164" s="78" t="n"/>
      <c r="O164" s="78" t="n"/>
      <c r="P164" s="78" t="n"/>
      <c r="Q164" s="78" t="n"/>
    </row>
    <row r="165" hidden="1" ht="15.5" customHeight="1">
      <c r="B165" s="67" t="n">
        <v>45384</v>
      </c>
      <c r="C165" s="91" t="n">
        <v>1</v>
      </c>
      <c r="D165" s="95" t="inlineStr">
        <is>
          <t>MCU RS PP</t>
        </is>
      </c>
      <c r="E165" s="95" t="n"/>
      <c r="F165" s="103" t="n">
        <v>5407000</v>
      </c>
      <c r="G165" s="91" t="inlineStr">
        <is>
          <t>IDR</t>
        </is>
      </c>
      <c r="H165" s="91" t="n">
        <v>1</v>
      </c>
      <c r="I165" s="62" t="n"/>
      <c r="J165" s="62" t="n"/>
      <c r="K165" s="44" t="n"/>
      <c r="L165" s="44" t="n"/>
      <c r="M165" s="44" t="n"/>
      <c r="N165" s="44" t="n"/>
      <c r="O165" s="44" t="n"/>
      <c r="P165" s="62">
        <f>F165</f>
        <v/>
      </c>
      <c r="Q165" s="44" t="n"/>
    </row>
    <row r="166" hidden="1" ht="15.5" customHeight="1">
      <c r="B166" s="78" t="inlineStr">
        <is>
          <t>Expense#6</t>
        </is>
      </c>
      <c r="C166" s="85" t="inlineStr">
        <is>
          <t>:</t>
        </is>
      </c>
      <c r="D166" s="86" t="inlineStr">
        <is>
          <t>MPLT (SAKA-UjungPangkah field) by TGE - GOWell project_IC</t>
        </is>
      </c>
      <c r="E166" s="86" t="n"/>
      <c r="F166" s="87" t="n"/>
      <c r="G166" s="73" t="n"/>
      <c r="H166" s="73" t="n"/>
      <c r="I166" s="90" t="n"/>
      <c r="J166" s="90" t="n"/>
      <c r="K166" s="78" t="n"/>
      <c r="L166" s="78" t="n"/>
      <c r="M166" s="90" t="n"/>
      <c r="N166" s="78" t="n"/>
      <c r="O166" s="78" t="n"/>
      <c r="P166" s="78" t="n"/>
      <c r="Q166" s="78" t="n"/>
    </row>
    <row r="167" hidden="1" ht="15.5" customHeight="1">
      <c r="B167" s="67" t="n"/>
      <c r="C167" s="91" t="n"/>
      <c r="D167" s="94" t="inlineStr">
        <is>
          <t>Land Transportation</t>
        </is>
      </c>
      <c r="E167" s="94" t="n"/>
      <c r="F167" s="93" t="n"/>
      <c r="G167" s="91" t="n"/>
      <c r="H167" s="91" t="n"/>
      <c r="I167" s="62" t="n"/>
      <c r="J167" s="62" t="n"/>
      <c r="K167" s="44" t="n"/>
      <c r="L167" s="44" t="n"/>
      <c r="M167" s="62" t="n"/>
      <c r="N167" s="44" t="n"/>
      <c r="O167" s="44" t="n"/>
      <c r="P167" s="44" t="n"/>
      <c r="Q167" s="44" t="n"/>
    </row>
    <row r="168" hidden="1" ht="15.5" customHeight="1">
      <c r="B168" s="67" t="n">
        <v>45398</v>
      </c>
      <c r="C168" s="91" t="n">
        <v>1</v>
      </c>
      <c r="D168" s="95" t="inlineStr">
        <is>
          <t>Taxi Bintaro-CGK</t>
        </is>
      </c>
      <c r="E168" s="95" t="n"/>
      <c r="F168" s="93" t="n">
        <v>250000</v>
      </c>
      <c r="G168" s="91" t="inlineStr">
        <is>
          <t>IDR</t>
        </is>
      </c>
      <c r="H168" s="91" t="n">
        <v>1</v>
      </c>
      <c r="I168" s="61">
        <f>$H168*$F168</f>
        <v/>
      </c>
      <c r="J168" s="62" t="n"/>
      <c r="K168" s="44" t="n"/>
      <c r="L168" s="44" t="n"/>
      <c r="M168" s="62" t="n"/>
      <c r="N168" s="44" t="n"/>
      <c r="O168" s="44" t="n"/>
      <c r="P168" s="44" t="n"/>
      <c r="Q168" s="44" t="n"/>
    </row>
    <row r="169" hidden="1" ht="15.5" customHeight="1">
      <c r="B169" s="67" t="n">
        <v>45402</v>
      </c>
      <c r="C169" s="91" t="n">
        <v>2</v>
      </c>
      <c r="D169" s="95" t="inlineStr">
        <is>
          <t>Taxi CGK-Bintaro</t>
        </is>
      </c>
      <c r="E169" s="95" t="n"/>
      <c r="F169" s="93" t="n">
        <v>250000</v>
      </c>
      <c r="G169" s="91" t="inlineStr">
        <is>
          <t>IDR</t>
        </is>
      </c>
      <c r="H169" s="91" t="n">
        <v>1</v>
      </c>
      <c r="I169" s="61">
        <f>$H169*$F169</f>
        <v/>
      </c>
      <c r="J169" s="62" t="n"/>
      <c r="K169" s="44" t="n"/>
      <c r="L169" s="44" t="n"/>
      <c r="M169" s="62" t="n"/>
      <c r="N169" s="44" t="n"/>
      <c r="O169" s="44" t="n"/>
      <c r="P169" s="44" t="n"/>
      <c r="Q169" s="44" t="n"/>
    </row>
    <row r="170" hidden="1" ht="15.5" customHeight="1">
      <c r="B170" s="67" t="n"/>
      <c r="C170" s="91" t="n"/>
      <c r="D170" s="97" t="inlineStr">
        <is>
          <t>Hotel and Loundry</t>
        </is>
      </c>
      <c r="E170" s="97" t="n"/>
      <c r="F170" s="93" t="n"/>
      <c r="G170" s="91" t="n"/>
      <c r="H170" s="91" t="n"/>
      <c r="I170" s="62" t="n"/>
      <c r="J170" s="62" t="n"/>
      <c r="K170" s="44" t="n"/>
      <c r="L170" s="44" t="n"/>
      <c r="M170" s="62" t="n"/>
      <c r="N170" s="44" t="n"/>
      <c r="O170" s="44" t="n"/>
      <c r="P170" s="44" t="n"/>
      <c r="Q170" s="44" t="n"/>
    </row>
    <row r="171" hidden="1" ht="15.5" customHeight="1">
      <c r="B171" s="67" t="n">
        <v>45402</v>
      </c>
      <c r="C171" s="91" t="n">
        <v>3</v>
      </c>
      <c r="D171" s="95" t="inlineStr">
        <is>
          <t>Laundry 5 days 1 Persons @ 50K IDR/day</t>
        </is>
      </c>
      <c r="E171" s="95" t="n"/>
      <c r="F171" s="93" t="n">
        <v>250000</v>
      </c>
      <c r="G171" s="91" t="inlineStr">
        <is>
          <t>IDR</t>
        </is>
      </c>
      <c r="H171" s="91" t="n">
        <v>1</v>
      </c>
      <c r="I171" s="62">
        <f>F171</f>
        <v/>
      </c>
      <c r="J171" s="62" t="n"/>
      <c r="K171" s="44" t="n"/>
      <c r="L171" s="44" t="n"/>
      <c r="M171" s="62" t="n"/>
      <c r="N171" s="44" t="n"/>
      <c r="O171" s="44" t="n"/>
      <c r="P171" s="44" t="n"/>
      <c r="Q171" s="44" t="n"/>
    </row>
    <row r="172" hidden="1" ht="15.5" customHeight="1">
      <c r="B172" s="67" t="n"/>
      <c r="C172" s="91" t="n"/>
      <c r="D172" s="97" t="inlineStr">
        <is>
          <t>Meal Allowance</t>
        </is>
      </c>
      <c r="E172" s="97" t="n"/>
      <c r="F172" s="93" t="n"/>
      <c r="G172" s="91" t="n"/>
      <c r="H172" s="91" t="n"/>
      <c r="I172" s="62" t="n"/>
      <c r="J172" s="62" t="n"/>
      <c r="K172" s="44" t="n"/>
      <c r="L172" s="44" t="n"/>
      <c r="M172" s="62" t="n"/>
      <c r="N172" s="44" t="n"/>
      <c r="O172" s="44" t="n"/>
      <c r="P172" s="44" t="n"/>
      <c r="Q172" s="44" t="n"/>
    </row>
    <row r="173" hidden="1" ht="15.5" customHeight="1">
      <c r="B173" s="67" t="n">
        <v>45402</v>
      </c>
      <c r="C173" s="91" t="n">
        <v>4</v>
      </c>
      <c r="D173" s="95" t="inlineStr">
        <is>
          <t>Meals 5 days 1 Persons @ 150K IDR/day</t>
        </is>
      </c>
      <c r="E173" s="95" t="n"/>
      <c r="F173" s="93" t="n">
        <v>750000</v>
      </c>
      <c r="G173" s="91" t="inlineStr">
        <is>
          <t>IDR</t>
        </is>
      </c>
      <c r="H173" s="91" t="n">
        <v>1</v>
      </c>
      <c r="I173" s="62">
        <f>F173</f>
        <v/>
      </c>
      <c r="J173" s="62" t="n"/>
      <c r="K173" s="44" t="n"/>
      <c r="L173" s="44" t="n"/>
      <c r="M173" s="62" t="n"/>
      <c r="N173" s="44" t="n"/>
      <c r="O173" s="44" t="n"/>
      <c r="P173" s="44" t="n"/>
      <c r="Q173" s="44" t="n"/>
    </row>
    <row r="174" hidden="1" ht="15.5" customHeight="1">
      <c r="B174" s="67" t="n"/>
      <c r="C174" s="91" t="n"/>
      <c r="D174" s="97" t="inlineStr">
        <is>
          <t>Shipping</t>
        </is>
      </c>
      <c r="E174" s="97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idden="1" ht="15.5" customHeight="1">
      <c r="B175" s="67" t="n">
        <v>45385</v>
      </c>
      <c r="C175" s="91" t="n">
        <v>5</v>
      </c>
      <c r="D175" s="95" t="inlineStr">
        <is>
          <t>Send DTR Bintaro - Gowell</t>
        </is>
      </c>
      <c r="E175" s="95" t="n"/>
      <c r="F175" s="93" t="n">
        <v>38121</v>
      </c>
      <c r="G175" s="91" t="inlineStr">
        <is>
          <t>IDR</t>
        </is>
      </c>
      <c r="H175" s="91" t="n">
        <v>1</v>
      </c>
      <c r="I175" s="61">
        <f>$H175*$F175</f>
        <v/>
      </c>
      <c r="J175" s="62" t="n"/>
      <c r="K175" s="44" t="n"/>
      <c r="L175" s="44" t="n"/>
      <c r="M175" s="61" t="n"/>
      <c r="N175" s="44" t="n"/>
      <c r="O175" s="44" t="n"/>
      <c r="P175" s="44" t="n"/>
      <c r="Q175" s="44" t="n"/>
    </row>
    <row r="176" hidden="1" ht="15.5" customHeight="1">
      <c r="B176" s="67" t="n">
        <v>45398</v>
      </c>
      <c r="C176" s="91" t="n">
        <v>6</v>
      </c>
      <c r="D176" s="95" t="inlineStr">
        <is>
          <t>Send QPS Gowell - TGE</t>
        </is>
      </c>
      <c r="E176" s="95" t="n"/>
      <c r="F176" s="93" t="n">
        <v>105879</v>
      </c>
      <c r="G176" s="91" t="inlineStr">
        <is>
          <t>IDR</t>
        </is>
      </c>
      <c r="H176" s="91" t="n">
        <v>1</v>
      </c>
      <c r="I176" s="61">
        <f>$H176*$F176</f>
        <v/>
      </c>
      <c r="J176" s="62" t="n"/>
      <c r="K176" s="44" t="n"/>
      <c r="L176" s="44" t="n"/>
      <c r="M176" s="61" t="n"/>
      <c r="N176" s="44" t="n"/>
      <c r="O176" s="44" t="n"/>
      <c r="P176" s="44" t="n"/>
      <c r="Q176" s="44" t="n"/>
    </row>
    <row r="177" hidden="1" ht="15.5" customHeight="1">
      <c r="B177" s="67" t="n">
        <v>45403</v>
      </c>
      <c r="C177" s="91" t="n">
        <v>7</v>
      </c>
      <c r="D177" s="95" t="inlineStr">
        <is>
          <t>Send ALFA Bintaro - Andara</t>
        </is>
      </c>
      <c r="E177" s="95" t="n"/>
      <c r="F177" s="93" t="n">
        <v>39654</v>
      </c>
      <c r="G177" s="91" t="inlineStr">
        <is>
          <t>IDR</t>
        </is>
      </c>
      <c r="H177" s="91" t="n">
        <v>1</v>
      </c>
      <c r="I177" s="61">
        <f>$H177*$F177</f>
        <v/>
      </c>
      <c r="J177" s="62" t="n"/>
      <c r="K177" s="44" t="n"/>
      <c r="L177" s="44" t="n"/>
      <c r="M177" s="44" t="n"/>
      <c r="N177" s="44" t="n"/>
      <c r="O177" s="44" t="n"/>
      <c r="P177" s="44" t="n"/>
      <c r="Q177" s="44" t="n"/>
    </row>
    <row r="178" hidden="1" ht="15.5" customHeight="1">
      <c r="B178" s="67" t="n">
        <v>45403</v>
      </c>
      <c r="C178" s="91" t="n">
        <v>8</v>
      </c>
      <c r="D178" s="95" t="inlineStr">
        <is>
          <t>Send HPTC Bintaro - Andara</t>
        </is>
      </c>
      <c r="E178" s="95" t="n"/>
      <c r="F178" s="93" t="n">
        <v>39654</v>
      </c>
      <c r="G178" s="91" t="inlineStr">
        <is>
          <t>IDR</t>
        </is>
      </c>
      <c r="H178" s="91" t="n">
        <v>1</v>
      </c>
      <c r="I178" s="61">
        <f>$H178*$F178</f>
        <v/>
      </c>
      <c r="J178" s="62" t="n"/>
      <c r="K178" s="44" t="n"/>
      <c r="L178" s="44" t="n"/>
      <c r="M178" s="61" t="n"/>
      <c r="N178" s="44" t="n"/>
      <c r="O178" s="44" t="n"/>
      <c r="P178" s="44" t="n"/>
      <c r="Q178" s="44" t="n"/>
    </row>
    <row r="179" hidden="1" ht="15.5" customHeight="1">
      <c r="B179" s="67" t="n">
        <v>45405</v>
      </c>
      <c r="C179" s="91" t="n">
        <v>9</v>
      </c>
      <c r="D179" s="95" t="inlineStr">
        <is>
          <t>Send BA Bintaro - TGE</t>
        </is>
      </c>
      <c r="E179" s="95" t="n"/>
      <c r="F179" s="93" t="n">
        <v>18000</v>
      </c>
      <c r="G179" s="91" t="inlineStr">
        <is>
          <t>IDR</t>
        </is>
      </c>
      <c r="H179" s="91" t="n">
        <v>1</v>
      </c>
      <c r="I179" s="61">
        <f>$H179*$F179</f>
        <v/>
      </c>
      <c r="J179" s="62" t="n"/>
      <c r="K179" s="44" t="n"/>
      <c r="L179" s="44" t="n"/>
      <c r="M179" s="44" t="n"/>
      <c r="N179" s="44" t="n"/>
      <c r="O179" s="44" t="n"/>
      <c r="P179" s="44" t="n"/>
      <c r="Q179" s="44" t="n"/>
    </row>
    <row r="180" hidden="1" ht="15.5" customHeight="1">
      <c r="B180" s="67" t="n">
        <v>45407</v>
      </c>
      <c r="C180" s="91" t="n">
        <v>6</v>
      </c>
      <c r="D180" s="95" t="inlineStr">
        <is>
          <t>Send MPLT TGE - Gowell</t>
        </is>
      </c>
      <c r="E180" s="95" t="n"/>
      <c r="F180" s="93" t="n">
        <v>167297</v>
      </c>
      <c r="G180" s="91" t="inlineStr">
        <is>
          <t>IDR</t>
        </is>
      </c>
      <c r="H180" s="91" t="n">
        <v>1</v>
      </c>
      <c r="I180" s="61">
        <f>$H180*$F180</f>
        <v/>
      </c>
      <c r="J180" s="62" t="n"/>
      <c r="K180" s="44" t="n"/>
      <c r="L180" s="44" t="n"/>
      <c r="M180" s="44" t="n"/>
      <c r="N180" s="61" t="n"/>
      <c r="O180" s="44" t="n"/>
      <c r="P180" s="44" t="n"/>
      <c r="Q180" s="44" t="n"/>
    </row>
    <row r="181" hidden="1" ht="15.5" customHeight="1">
      <c r="B181" s="67" t="n"/>
      <c r="C181" s="91" t="n"/>
      <c r="D181" s="97" t="inlineStr">
        <is>
          <t>Meals at wellsite</t>
        </is>
      </c>
      <c r="E181" s="97" t="n"/>
      <c r="F181" s="93" t="n"/>
      <c r="G181" s="91" t="n"/>
      <c r="H181" s="91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</row>
    <row r="182" hidden="1" ht="15.5" customHeight="1">
      <c r="B182" s="67" t="n">
        <v>45402</v>
      </c>
      <c r="C182" s="91" t="n">
        <v>10</v>
      </c>
      <c r="D182" s="95" t="inlineStr">
        <is>
          <t>Crews' Food</t>
        </is>
      </c>
      <c r="E182" s="95" t="n"/>
      <c r="F182" s="93" t="n">
        <v>160000</v>
      </c>
      <c r="G182" s="91" t="inlineStr">
        <is>
          <t>IDR</t>
        </is>
      </c>
      <c r="H182" s="91" t="n">
        <v>1</v>
      </c>
      <c r="I182" s="61">
        <f>F182</f>
        <v/>
      </c>
      <c r="J182" s="44" t="n"/>
      <c r="K182" s="44" t="n"/>
      <c r="L182" s="44" t="n"/>
      <c r="M182" s="44" t="n"/>
      <c r="N182" s="44" t="n"/>
      <c r="O182" s="44" t="n"/>
      <c r="P182" s="44" t="n"/>
      <c r="Q182" s="44" t="n"/>
    </row>
    <row r="183" hidden="1" ht="15.5" customHeight="1">
      <c r="B183" s="67" t="n"/>
      <c r="C183" s="91" t="n"/>
      <c r="D183" s="97" t="inlineStr">
        <is>
          <t>Allowance</t>
        </is>
      </c>
      <c r="E183" s="97" t="n"/>
      <c r="F183" s="93" t="n"/>
      <c r="G183" s="91" t="n"/>
      <c r="H183" s="91" t="n"/>
      <c r="I183" s="239" t="n"/>
      <c r="J183" s="44" t="n"/>
      <c r="K183" s="44" t="n"/>
      <c r="L183" s="44" t="n"/>
      <c r="M183" s="44" t="n"/>
      <c r="N183" s="44" t="n"/>
      <c r="O183" s="44" t="n"/>
      <c r="P183" s="44" t="n"/>
      <c r="Q183" s="44" t="n"/>
    </row>
    <row r="184" hidden="1" ht="15.5" customHeight="1">
      <c r="B184" s="67" t="n"/>
      <c r="C184" s="91" t="n">
        <v>1</v>
      </c>
      <c r="D184" s="95" t="inlineStr">
        <is>
          <t>Tunjangan lapangan untuk 5 days</t>
        </is>
      </c>
      <c r="E184" s="95" t="n"/>
      <c r="F184" s="93" t="n">
        <v>500</v>
      </c>
      <c r="G184" s="91" t="inlineStr">
        <is>
          <t>USD</t>
        </is>
      </c>
      <c r="H184" s="100" t="n">
        <v>16207</v>
      </c>
      <c r="I184" s="62">
        <f>H184*F184</f>
        <v/>
      </c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idden="1" ht="15.5" customHeight="1">
      <c r="B185" s="78" t="inlineStr">
        <is>
          <t>Expense#7</t>
        </is>
      </c>
      <c r="C185" s="85" t="inlineStr">
        <is>
          <t>:</t>
        </is>
      </c>
      <c r="D185" s="86" t="inlineStr">
        <is>
          <t>PLT SRO_ TGB-33 (Jatibarang Field) Elnusa _ IC</t>
        </is>
      </c>
      <c r="E185" s="86" t="n"/>
      <c r="F185" s="87" t="n"/>
      <c r="G185" s="73" t="n"/>
      <c r="H185" s="73" t="n"/>
      <c r="I185" s="90" t="n"/>
      <c r="J185" s="90" t="n"/>
      <c r="K185" s="78" t="n"/>
      <c r="L185" s="78" t="n"/>
      <c r="M185" s="78" t="n"/>
      <c r="N185" s="78" t="n"/>
      <c r="O185" s="78" t="n"/>
      <c r="P185" s="78" t="n"/>
      <c r="Q185" s="78" t="n"/>
    </row>
    <row r="186" hidden="1" ht="15.5" customHeight="1">
      <c r="B186" s="24" t="n"/>
      <c r="C186" s="91" t="n"/>
      <c r="D186" s="92" t="inlineStr">
        <is>
          <t>Transportation</t>
        </is>
      </c>
      <c r="E186" s="92" t="n"/>
      <c r="F186" s="93" t="n"/>
      <c r="G186" s="91" t="n"/>
      <c r="H186" s="91" t="n"/>
      <c r="I186" s="105" t="n"/>
      <c r="J186" s="62" t="n"/>
      <c r="K186" s="44" t="n"/>
      <c r="L186" s="44" t="n"/>
      <c r="M186" s="61" t="n"/>
      <c r="N186" s="44" t="n"/>
      <c r="O186" s="44" t="n"/>
      <c r="P186" s="44" t="n"/>
      <c r="Q186" s="44" t="n"/>
    </row>
    <row r="187" hidden="1" ht="15.5" customHeight="1">
      <c r="B187" s="67" t="n">
        <v>45408</v>
      </c>
      <c r="C187" s="91" t="n">
        <v>1</v>
      </c>
      <c r="D187" s="95" t="inlineStr">
        <is>
          <t>Fuels</t>
        </is>
      </c>
      <c r="E187" s="95" t="n"/>
      <c r="F187" s="93" t="n">
        <v>284308</v>
      </c>
      <c r="G187" s="91" t="inlineStr">
        <is>
          <t>IDR</t>
        </is>
      </c>
      <c r="H187" s="91" t="n">
        <v>1</v>
      </c>
      <c r="I187" s="61">
        <f>$H187*$F187</f>
        <v/>
      </c>
      <c r="J187" s="62" t="n"/>
      <c r="K187" s="44" t="n"/>
      <c r="L187" s="44" t="n"/>
      <c r="M187" s="61" t="n"/>
      <c r="N187" s="44" t="n"/>
      <c r="O187" s="44" t="n"/>
      <c r="P187" s="44" t="n"/>
      <c r="Q187" s="44" t="n"/>
    </row>
    <row r="188" hidden="1" ht="15.5" customHeight="1">
      <c r="B188" s="67" t="n">
        <v>45410</v>
      </c>
      <c r="C188" s="91" t="n">
        <v>2</v>
      </c>
      <c r="D188" s="95" t="inlineStr">
        <is>
          <t>Toll</t>
        </is>
      </c>
      <c r="E188" s="95" t="n"/>
      <c r="F188" s="93" t="n">
        <v>298000</v>
      </c>
      <c r="G188" s="91" t="inlineStr">
        <is>
          <t>IDR</t>
        </is>
      </c>
      <c r="H188" s="91" t="n">
        <v>1</v>
      </c>
      <c r="I188" s="61">
        <f>$H188*$F188</f>
        <v/>
      </c>
      <c r="J188" s="62" t="n"/>
      <c r="K188" s="44" t="n"/>
      <c r="L188" s="44" t="n"/>
      <c r="M188" s="44" t="n"/>
      <c r="N188" s="44" t="n"/>
      <c r="O188" s="44" t="n"/>
      <c r="P188" s="44" t="n"/>
      <c r="Q188" s="44" t="n"/>
    </row>
    <row r="189" hidden="1" ht="15.5" customHeight="1">
      <c r="B189" s="67" t="n"/>
      <c r="C189" s="91" t="n"/>
      <c r="D189" s="97" t="inlineStr">
        <is>
          <t>Hotel and Loundry</t>
        </is>
      </c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44" t="n"/>
      <c r="N189" s="61" t="n"/>
      <c r="O189" s="44" t="n"/>
      <c r="P189" s="44" t="n"/>
      <c r="Q189" s="44" t="n"/>
    </row>
    <row r="190" hidden="1" ht="15.5" customHeight="1">
      <c r="B190" s="67" t="n">
        <v>45410</v>
      </c>
      <c r="C190" s="91" t="n">
        <v>3</v>
      </c>
      <c r="D190" s="95" t="inlineStr">
        <is>
          <t>Hotel 2 days</t>
        </is>
      </c>
      <c r="E190" s="95" t="n"/>
      <c r="F190" s="93" t="n">
        <v>1357481</v>
      </c>
      <c r="G190" s="91" t="inlineStr">
        <is>
          <t>IDR</t>
        </is>
      </c>
      <c r="H190" s="91" t="n">
        <v>1</v>
      </c>
      <c r="I190" s="61">
        <f>F190</f>
        <v/>
      </c>
      <c r="J190" s="62" t="n"/>
      <c r="K190" s="44" t="n"/>
      <c r="L190" s="44" t="n"/>
      <c r="M190" s="44" t="n"/>
      <c r="N190" s="61" t="n"/>
      <c r="O190" s="44" t="n"/>
      <c r="P190" s="44" t="n"/>
      <c r="Q190" s="44" t="n"/>
    </row>
    <row r="191" hidden="1" ht="15.5" customHeight="1">
      <c r="B191" s="67" t="n">
        <v>45410</v>
      </c>
      <c r="C191" s="91" t="n">
        <v>4</v>
      </c>
      <c r="D191" s="95" t="inlineStr">
        <is>
          <t>Laundry 2 days</t>
        </is>
      </c>
      <c r="E191" s="95" t="n"/>
      <c r="F191" s="93" t="n">
        <v>100000</v>
      </c>
      <c r="G191" s="91" t="inlineStr">
        <is>
          <t>IDR</t>
        </is>
      </c>
      <c r="H191" s="91" t="n">
        <v>1</v>
      </c>
      <c r="I191" s="61">
        <f>F191</f>
        <v/>
      </c>
      <c r="J191" s="62" t="n"/>
      <c r="K191" s="44" t="n"/>
      <c r="L191" s="44" t="n"/>
      <c r="M191" s="44" t="n"/>
      <c r="N191" s="61" t="n"/>
      <c r="O191" s="44" t="n"/>
      <c r="P191" s="44" t="n"/>
      <c r="Q191" s="44" t="n"/>
    </row>
    <row r="192" hidden="1" ht="15.5" customHeight="1">
      <c r="B192" s="67" t="n"/>
      <c r="C192" s="91" t="n"/>
      <c r="D192" s="97" t="inlineStr">
        <is>
          <t>Meal Allowance</t>
        </is>
      </c>
      <c r="E192" s="97" t="n"/>
      <c r="F192" s="93" t="n"/>
      <c r="G192" s="91" t="n"/>
      <c r="H192" s="91" t="n"/>
      <c r="I192" s="61" t="n"/>
      <c r="J192" s="62" t="n"/>
      <c r="K192" s="44" t="n"/>
      <c r="L192" s="44" t="n"/>
      <c r="M192" s="44" t="n"/>
      <c r="N192" s="61" t="n"/>
      <c r="O192" s="44" t="n"/>
      <c r="P192" s="44" t="n"/>
      <c r="Q192" s="44" t="n"/>
    </row>
    <row r="193" hidden="1" ht="15.5" customHeight="1">
      <c r="B193" s="67" t="n">
        <v>45410</v>
      </c>
      <c r="C193" s="91" t="n">
        <v>6</v>
      </c>
      <c r="D193" s="95" t="inlineStr">
        <is>
          <t>Meals 2 days 1 Persons @ 150K IDR/day</t>
        </is>
      </c>
      <c r="E193" s="95" t="n"/>
      <c r="F193" s="93" t="n">
        <v>300000</v>
      </c>
      <c r="G193" s="91" t="inlineStr">
        <is>
          <t>IDR</t>
        </is>
      </c>
      <c r="H193" s="91" t="n">
        <v>1</v>
      </c>
      <c r="I193" s="61">
        <f>F193</f>
        <v/>
      </c>
      <c r="J193" s="62" t="n"/>
      <c r="K193" s="44" t="n"/>
      <c r="L193" s="44" t="n"/>
      <c r="M193" s="44" t="n"/>
      <c r="N193" s="61" t="n"/>
      <c r="O193" s="44" t="n"/>
      <c r="P193" s="44" t="n"/>
      <c r="Q193" s="44" t="n"/>
    </row>
    <row r="194" hidden="1" ht="15.5" customHeight="1">
      <c r="B194" s="67" t="n"/>
      <c r="C194" s="91" t="n"/>
      <c r="D194" s="97" t="inlineStr">
        <is>
          <t>Allowance</t>
        </is>
      </c>
      <c r="E194" s="97" t="n"/>
      <c r="F194" s="93" t="n"/>
      <c r="G194" s="91" t="n"/>
      <c r="H194" s="91" t="n"/>
      <c r="I194" s="44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idden="1" ht="15.5" customHeight="1">
      <c r="B195" s="67" t="n">
        <v>45410</v>
      </c>
      <c r="C195" s="91" t="n">
        <v>7</v>
      </c>
      <c r="D195" s="95" t="inlineStr">
        <is>
          <t>Tunjangan Lapangan for 2 days</t>
        </is>
      </c>
      <c r="E195" s="95" t="n"/>
      <c r="F195" s="93" t="n">
        <v>200</v>
      </c>
      <c r="G195" s="91" t="inlineStr">
        <is>
          <t>USD</t>
        </is>
      </c>
      <c r="H195" s="100" t="n">
        <v>16257</v>
      </c>
      <c r="I195" s="62">
        <f>H195*F195</f>
        <v/>
      </c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idden="1" ht="15.5" customHeight="1">
      <c r="B196" s="78" t="inlineStr">
        <is>
          <t>Expense#8</t>
        </is>
      </c>
      <c r="C196" s="85" t="inlineStr">
        <is>
          <t>:</t>
        </is>
      </c>
      <c r="D196" s="86" t="inlineStr">
        <is>
          <t>Training BST_ PHR-zona 4 (Dwiyanto) (Dwi_Febri dan Ilham)</t>
        </is>
      </c>
      <c r="E196" s="86" t="n"/>
      <c r="F196" s="87" t="n"/>
      <c r="G196" s="73" t="n"/>
      <c r="H196" s="73" t="n"/>
      <c r="I196" s="78" t="n"/>
      <c r="J196" s="90" t="n"/>
      <c r="K196" s="78" t="n"/>
      <c r="L196" s="78" t="n"/>
      <c r="M196" s="101" t="n"/>
      <c r="N196" s="78" t="n"/>
      <c r="O196" s="78" t="n"/>
      <c r="P196" s="78" t="n"/>
      <c r="Q196" s="78" t="n"/>
    </row>
    <row r="197" hidden="1" ht="15.5" customHeight="1">
      <c r="B197" s="14" t="n"/>
      <c r="C197" s="15" t="n"/>
      <c r="D197" s="106" t="inlineStr">
        <is>
          <t>Air Tikect</t>
        </is>
      </c>
      <c r="E197" s="106" t="n"/>
      <c r="F197" s="21" t="n"/>
      <c r="G197" s="15" t="n"/>
      <c r="H197" s="15" t="n"/>
      <c r="I197" s="62" t="n"/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idden="1" ht="15.5" customHeight="1">
      <c r="B198" s="102" t="n">
        <v>45418</v>
      </c>
      <c r="C198" s="15" t="n">
        <v>1</v>
      </c>
      <c r="D198" s="18" t="inlineStr">
        <is>
          <t>Jakarta - Palembang - Jakarta</t>
        </is>
      </c>
      <c r="E198" s="18" t="n"/>
      <c r="F198" s="21" t="n">
        <v>1387800</v>
      </c>
      <c r="G198" s="15" t="inlineStr">
        <is>
          <t>IDR</t>
        </is>
      </c>
      <c r="H198" s="15" t="n">
        <v>1</v>
      </c>
      <c r="I198" s="61">
        <f>$H198*$F198</f>
        <v/>
      </c>
      <c r="J198" s="62" t="n"/>
      <c r="K198" s="44" t="n"/>
      <c r="L198" s="44" t="n"/>
      <c r="M198" s="61" t="n"/>
      <c r="N198" s="44" t="n"/>
      <c r="O198" s="44" t="n"/>
      <c r="P198" s="44" t="n"/>
      <c r="Q198" s="44" t="n"/>
    </row>
    <row r="199" hidden="1" ht="15.5" customHeight="1">
      <c r="B199" s="102" t="n"/>
      <c r="C199" s="15" t="n"/>
      <c r="D199" s="106" t="inlineStr">
        <is>
          <t>transportasi Darat</t>
        </is>
      </c>
      <c r="E199" s="106" t="n"/>
      <c r="F199" s="21" t="n"/>
      <c r="G199" s="15" t="n"/>
      <c r="H199" s="15" t="n"/>
      <c r="I199" s="62" t="n"/>
      <c r="J199" s="62" t="n"/>
      <c r="K199" s="44" t="n"/>
      <c r="L199" s="44" t="n"/>
      <c r="M199" s="62" t="n"/>
      <c r="N199" s="44" t="n"/>
      <c r="O199" s="44" t="n"/>
      <c r="P199" s="44" t="n"/>
      <c r="Q199" s="44" t="n"/>
    </row>
    <row r="200" hidden="1" ht="15.5" customHeight="1">
      <c r="B200" s="107" t="n">
        <v>45419</v>
      </c>
      <c r="C200" s="15" t="n">
        <v>2</v>
      </c>
      <c r="D200" s="63" t="inlineStr">
        <is>
          <t>Taxi + Tol to Airport Jakarta</t>
        </is>
      </c>
      <c r="E200" s="63" t="n"/>
      <c r="F200" s="21">
        <f>55000+179140</f>
        <v/>
      </c>
      <c r="G200" s="15" t="inlineStr">
        <is>
          <t>IDR</t>
        </is>
      </c>
      <c r="H200" s="15" t="n">
        <v>1</v>
      </c>
      <c r="I200" s="61">
        <f>$H200*$F200</f>
        <v/>
      </c>
      <c r="J200" s="62" t="n"/>
      <c r="K200" s="44" t="n"/>
      <c r="L200" s="44" t="n"/>
      <c r="M200" s="61" t="n"/>
      <c r="N200" s="44" t="n"/>
      <c r="O200" s="44" t="n"/>
      <c r="P200" s="44" t="n"/>
      <c r="Q200" s="44" t="n"/>
    </row>
    <row r="201" hidden="1" ht="15.5" customHeight="1">
      <c r="B201" s="102" t="n">
        <v>45419</v>
      </c>
      <c r="C201" s="15" t="n">
        <v>3</v>
      </c>
      <c r="D201" s="63" t="inlineStr">
        <is>
          <t>Airport park + fuel + tol Indralaya</t>
        </is>
      </c>
      <c r="E201" s="63" t="n"/>
      <c r="F201" s="21">
        <f>5000+200000+27000</f>
        <v/>
      </c>
      <c r="G201" s="15" t="inlineStr">
        <is>
          <t>IDR</t>
        </is>
      </c>
      <c r="H201" s="15" t="n">
        <v>1</v>
      </c>
      <c r="I201" s="61">
        <f>$H201*$F201</f>
        <v/>
      </c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idden="1" ht="15.5" customHeight="1">
      <c r="B202" s="102" t="n">
        <v>45420</v>
      </c>
      <c r="C202" s="15" t="n">
        <v>4</v>
      </c>
      <c r="D202" s="63" t="inlineStr">
        <is>
          <t>Car Rental</t>
        </is>
      </c>
      <c r="E202" s="63" t="n"/>
      <c r="F202" s="21">
        <f>1.5*400000</f>
        <v/>
      </c>
      <c r="G202" s="15" t="inlineStr">
        <is>
          <t>IDR</t>
        </is>
      </c>
      <c r="H202" s="15" t="n">
        <v>1</v>
      </c>
      <c r="I202" s="61">
        <f>$H202*$F202</f>
        <v/>
      </c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idden="1" ht="15.5" customHeight="1">
      <c r="B203" s="102" t="n">
        <v>45420</v>
      </c>
      <c r="C203" s="15" t="n">
        <v>5</v>
      </c>
      <c r="D203" s="63" t="inlineStr">
        <is>
          <t>Tol Indralaya</t>
        </is>
      </c>
      <c r="E203" s="63" t="n"/>
      <c r="F203" s="21" t="n">
        <v>27000</v>
      </c>
      <c r="G203" s="15" t="inlineStr">
        <is>
          <t>IDR</t>
        </is>
      </c>
      <c r="H203" s="15" t="n">
        <v>1</v>
      </c>
      <c r="I203" s="61">
        <f>$H203*$F203</f>
        <v/>
      </c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idden="1" ht="15.5" customHeight="1">
      <c r="B204" s="102" t="n">
        <v>45421</v>
      </c>
      <c r="C204" s="15" t="n">
        <v>6</v>
      </c>
      <c r="D204" s="63" t="inlineStr">
        <is>
          <t>Tol + Taxi From Airport Jakarta</t>
        </is>
      </c>
      <c r="E204" s="63" t="n"/>
      <c r="F204" s="21">
        <f>55000+221900</f>
        <v/>
      </c>
      <c r="G204" s="15" t="inlineStr">
        <is>
          <t>IDR</t>
        </is>
      </c>
      <c r="H204" s="15" t="n">
        <v>1</v>
      </c>
      <c r="I204" s="61">
        <f>$H204*$F204</f>
        <v/>
      </c>
      <c r="J204" s="62" t="n"/>
      <c r="K204" s="44" t="n"/>
      <c r="L204" s="44" t="n"/>
      <c r="M204" s="44" t="n"/>
      <c r="N204" s="44" t="n"/>
      <c r="O204" s="44" t="n"/>
      <c r="P204" s="44" t="n"/>
      <c r="Q204" s="44" t="n"/>
    </row>
    <row r="205" hidden="1" ht="15.5" customHeight="1">
      <c r="B205" s="102" t="n"/>
      <c r="C205" s="15" t="n"/>
      <c r="D205" s="108" t="inlineStr">
        <is>
          <t>Hotel</t>
        </is>
      </c>
      <c r="E205" s="108" t="n"/>
      <c r="F205" s="21" t="n"/>
      <c r="G205" s="15" t="n"/>
      <c r="H205" s="15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idden="1" ht="15.5" customHeight="1">
      <c r="B206" s="102" t="n">
        <v>45420</v>
      </c>
      <c r="C206" s="15" t="n">
        <v>7</v>
      </c>
      <c r="D206" s="63" t="inlineStr">
        <is>
          <t xml:space="preserve">Hotel </t>
        </is>
      </c>
      <c r="E206" s="63" t="n"/>
      <c r="F206" s="21">
        <f>3*120000</f>
        <v/>
      </c>
      <c r="G206" s="15" t="inlineStr">
        <is>
          <t>IDR</t>
        </is>
      </c>
      <c r="H206" s="15" t="n">
        <v>1</v>
      </c>
      <c r="I206" s="240">
        <f>F206</f>
        <v/>
      </c>
      <c r="J206" s="62" t="n"/>
      <c r="K206" s="44" t="n"/>
      <c r="L206" s="44" t="n"/>
      <c r="M206" s="44" t="n"/>
      <c r="N206" s="44" t="n"/>
      <c r="O206" s="44" t="n"/>
      <c r="P206" s="44" t="n"/>
      <c r="Q206" s="44" t="n"/>
    </row>
    <row r="207" hidden="1" ht="15.5" customHeight="1">
      <c r="B207" s="102" t="n"/>
      <c r="C207" s="15" t="n"/>
      <c r="D207" s="108" t="inlineStr">
        <is>
          <t>Meal</t>
        </is>
      </c>
      <c r="E207" s="108" t="n"/>
      <c r="F207" s="21" t="n"/>
      <c r="G207" s="15" t="n"/>
      <c r="H207" s="15" t="n"/>
      <c r="I207" s="240" t="n"/>
      <c r="J207" s="62" t="n"/>
      <c r="K207" s="44" t="n"/>
      <c r="L207" s="44" t="n"/>
      <c r="M207" s="44" t="n"/>
      <c r="N207" s="44" t="n"/>
      <c r="O207" s="44" t="n"/>
      <c r="P207" s="44" t="n"/>
      <c r="Q207" s="44" t="n"/>
    </row>
    <row r="208" hidden="1" ht="15.5" customHeight="1">
      <c r="B208" s="102" t="n">
        <v>45419</v>
      </c>
      <c r="C208" s="15" t="n">
        <v>8</v>
      </c>
      <c r="D208" s="63" t="inlineStr">
        <is>
          <t>Dinner (Dwi, Febri, Ilham)</t>
        </is>
      </c>
      <c r="E208" s="63" t="n"/>
      <c r="F208" s="21" t="n">
        <v>103400</v>
      </c>
      <c r="G208" s="15" t="inlineStr">
        <is>
          <t>IDR</t>
        </is>
      </c>
      <c r="H208" s="15" t="n">
        <v>1</v>
      </c>
      <c r="I208" s="62">
        <f>F208</f>
        <v/>
      </c>
      <c r="J208" s="62" t="n"/>
      <c r="K208" s="44" t="n"/>
      <c r="L208" s="44" t="n"/>
      <c r="M208" s="44" t="n"/>
      <c r="N208" s="44" t="n"/>
      <c r="O208" s="44" t="n"/>
      <c r="P208" s="44" t="n"/>
      <c r="Q208" s="44" t="n"/>
    </row>
    <row r="209" hidden="1" ht="15.5" customHeight="1">
      <c r="B209" s="78" t="inlineStr">
        <is>
          <t>Expense#9</t>
        </is>
      </c>
      <c r="C209" s="85" t="inlineStr">
        <is>
          <t>:</t>
        </is>
      </c>
      <c r="D209" s="86" t="inlineStr">
        <is>
          <t>MFC and ALFA Memory (Jatibarang Field) TGB-033_Elnusa_ AC</t>
        </is>
      </c>
      <c r="E209" s="86" t="n"/>
      <c r="F209" s="110" t="n"/>
      <c r="G209" s="73" t="n"/>
      <c r="H209" s="73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</row>
    <row r="210" hidden="1" ht="15.5" customHeight="1">
      <c r="B210" s="102" t="n"/>
      <c r="C210" s="15" t="n"/>
      <c r="D210" s="106" t="inlineStr">
        <is>
          <t>transportasi Darat</t>
        </is>
      </c>
      <c r="E210" s="106" t="n"/>
      <c r="F210" s="21" t="n"/>
      <c r="G210" s="15" t="n"/>
      <c r="H210" s="15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</row>
    <row r="211" hidden="1" ht="15.5" customHeight="1">
      <c r="B211" s="102" t="n">
        <v>45403</v>
      </c>
      <c r="C211" s="15" t="n">
        <v>1</v>
      </c>
      <c r="D211" s="63" t="inlineStr">
        <is>
          <t>Train (Jati barang - Jati Negara)</t>
        </is>
      </c>
      <c r="E211" s="63" t="n"/>
      <c r="F211" s="21" t="n">
        <v>255500</v>
      </c>
      <c r="G211" s="15" t="inlineStr">
        <is>
          <t>IDR</t>
        </is>
      </c>
      <c r="H211" s="15" t="n">
        <v>1</v>
      </c>
      <c r="I211" s="61">
        <f>$H211*$F211</f>
        <v/>
      </c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idden="1" ht="15.5" customHeight="1">
      <c r="B212" s="102" t="n">
        <v>45403</v>
      </c>
      <c r="C212" s="15" t="n">
        <v>2</v>
      </c>
      <c r="D212" s="63" t="inlineStr">
        <is>
          <t xml:space="preserve">Taksi </t>
        </is>
      </c>
      <c r="E212" s="63" t="n"/>
      <c r="F212" s="21" t="n">
        <v>150000</v>
      </c>
      <c r="G212" s="15" t="inlineStr">
        <is>
          <t>IDR</t>
        </is>
      </c>
      <c r="H212" s="15" t="n">
        <v>1</v>
      </c>
      <c r="I212" s="61">
        <f>$H212*$F212</f>
        <v/>
      </c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idden="1" ht="15.5" customHeight="1">
      <c r="B213" s="102" t="n"/>
      <c r="C213" s="15" t="n"/>
      <c r="D213" s="108" t="inlineStr">
        <is>
          <t>Hotel and Loundry</t>
        </is>
      </c>
      <c r="E213" s="108" t="n"/>
      <c r="F213" s="21" t="n"/>
      <c r="G213" s="15" t="n"/>
      <c r="H213" s="15" t="n"/>
      <c r="I213" s="62" t="n"/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idden="1" ht="15.5" customHeight="1">
      <c r="B214" s="102" t="n">
        <v>45403</v>
      </c>
      <c r="C214" s="15" t="n">
        <v>3</v>
      </c>
      <c r="D214" s="63" t="inlineStr">
        <is>
          <t>Laundry 3 days @ Rp. 50.000</t>
        </is>
      </c>
      <c r="E214" s="63" t="n"/>
      <c r="F214" s="21" t="n">
        <v>150000</v>
      </c>
      <c r="G214" s="15" t="inlineStr">
        <is>
          <t>IDR</t>
        </is>
      </c>
      <c r="H214" s="15" t="n">
        <v>1</v>
      </c>
      <c r="I214" s="62">
        <f>F214</f>
        <v/>
      </c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idden="1" ht="15.5" customHeight="1">
      <c r="B215" s="102" t="n"/>
      <c r="C215" s="15" t="n"/>
      <c r="D215" s="108" t="inlineStr">
        <is>
          <t>Perdiem uang makan</t>
        </is>
      </c>
      <c r="E215" s="108" t="n"/>
      <c r="F215" s="21" t="n"/>
      <c r="G215" s="15" t="n"/>
      <c r="H215" s="15" t="n"/>
      <c r="I215" s="62" t="n"/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idden="1" ht="15.5" customHeight="1">
      <c r="B216" s="102" t="n">
        <v>45403</v>
      </c>
      <c r="C216" s="15" t="n">
        <v>4</v>
      </c>
      <c r="D216" s="63" t="inlineStr">
        <is>
          <t>Uang makan utk 3 hari (19-21 apr-24) @150.000</t>
        </is>
      </c>
      <c r="E216" s="63" t="n"/>
      <c r="F216" s="21">
        <f>150000*3</f>
        <v/>
      </c>
      <c r="G216" s="15" t="inlineStr">
        <is>
          <t>IDR</t>
        </is>
      </c>
      <c r="H216" s="15" t="n">
        <v>1</v>
      </c>
      <c r="I216" s="62">
        <f>F216</f>
        <v/>
      </c>
      <c r="J216" s="62" t="n"/>
      <c r="K216" s="44" t="n"/>
      <c r="L216" s="44" t="n"/>
      <c r="M216" s="44" t="n"/>
      <c r="N216" s="44" t="n"/>
      <c r="O216" s="44" t="n"/>
      <c r="P216" s="44" t="n"/>
      <c r="Q216" s="44" t="n"/>
    </row>
    <row r="217" hidden="1" ht="15.5" customHeight="1">
      <c r="B217" s="102" t="n"/>
      <c r="C217" s="15" t="n"/>
      <c r="D217" s="108" t="inlineStr">
        <is>
          <t>Allowance</t>
        </is>
      </c>
      <c r="E217" s="108" t="n"/>
      <c r="F217" s="21" t="n"/>
      <c r="G217" s="15" t="n"/>
      <c r="H217" s="15" t="n"/>
      <c r="I217" s="62" t="n"/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idden="1" ht="15.5" customHeight="1">
      <c r="B218" s="102" t="n">
        <v>45403</v>
      </c>
      <c r="C218" s="15" t="n">
        <v>5</v>
      </c>
      <c r="D218" s="63" t="inlineStr">
        <is>
          <t>Tunajngan lapangan for 3 days (19-21 apr24) Anevril</t>
        </is>
      </c>
      <c r="E218" s="63" t="n"/>
      <c r="F218" s="21" t="n">
        <v>300</v>
      </c>
      <c r="G218" s="15" t="inlineStr">
        <is>
          <t>USD</t>
        </is>
      </c>
      <c r="H218" s="15" t="n">
        <v>16051</v>
      </c>
      <c r="I218" s="62">
        <f>H218*F218</f>
        <v/>
      </c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idden="1" ht="15.5" customHeight="1">
      <c r="B219" s="102" t="n">
        <v>45420</v>
      </c>
      <c r="C219" s="15" t="n">
        <v>9</v>
      </c>
      <c r="D219" s="63" t="inlineStr">
        <is>
          <t>Dinner (Dwi, Febri, Ilham)</t>
        </is>
      </c>
      <c r="E219" s="63" t="n"/>
      <c r="F219" s="21" t="n">
        <v>128000</v>
      </c>
      <c r="G219" s="15" t="inlineStr">
        <is>
          <t>IDR</t>
        </is>
      </c>
      <c r="H219" s="15" t="n">
        <v>1</v>
      </c>
      <c r="I219" s="62">
        <f>F219</f>
        <v/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idden="1" ht="15.5" customHeight="1">
      <c r="B220" s="78" t="inlineStr">
        <is>
          <t>Expense#10</t>
        </is>
      </c>
      <c r="C220" s="85" t="inlineStr">
        <is>
          <t>:</t>
        </is>
      </c>
      <c r="D220" s="86" t="inlineStr">
        <is>
          <t>ALFA+PLT (TGB-033 Zona 7) Elnusa_TMA</t>
        </is>
      </c>
      <c r="E220" s="86" t="n"/>
      <c r="F220" s="110" t="n"/>
      <c r="G220" s="73" t="n"/>
      <c r="H220" s="73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</row>
    <row r="221" hidden="1" ht="15.5" customHeight="1">
      <c r="B221" s="67" t="n"/>
      <c r="C221" s="91" t="n"/>
      <c r="D221" s="97" t="inlineStr">
        <is>
          <t>Hotel and Loundry</t>
        </is>
      </c>
      <c r="E221" s="97" t="n"/>
      <c r="F221" s="103" t="n"/>
      <c r="G221" s="98" t="n"/>
      <c r="H221" s="98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</row>
    <row r="222" hidden="1" ht="15.5" customHeight="1">
      <c r="B222" s="67" t="n">
        <v>45407</v>
      </c>
      <c r="C222" s="91" t="n">
        <v>1</v>
      </c>
      <c r="D222" s="95" t="inlineStr">
        <is>
          <t>Hotel 25 Apr - 27 Apr &amp; 29 Apr- 2 May 2024 (6 days)</t>
        </is>
      </c>
      <c r="E222" s="95" t="n"/>
      <c r="F222" s="103" t="n">
        <v>3292802</v>
      </c>
      <c r="G222" s="98" t="inlineStr">
        <is>
          <t>IDR</t>
        </is>
      </c>
      <c r="H222" s="91" t="n">
        <v>1</v>
      </c>
      <c r="I222" s="61">
        <f>$F222*$H222</f>
        <v/>
      </c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idden="1" ht="15.5" customHeight="1">
      <c r="B223" s="67" t="n">
        <v>45407</v>
      </c>
      <c r="C223" s="91" t="n">
        <v>2</v>
      </c>
      <c r="D223" s="95" t="inlineStr">
        <is>
          <t>Laundry 7 days 1 Persons @ 50K IDR/day</t>
        </is>
      </c>
      <c r="E223" s="95" t="n"/>
      <c r="F223" s="103" t="n">
        <v>350000</v>
      </c>
      <c r="G223" s="98" t="inlineStr">
        <is>
          <t>IDR</t>
        </is>
      </c>
      <c r="H223" s="91" t="n">
        <v>1</v>
      </c>
      <c r="I223" s="61">
        <f>$F223*$H223</f>
        <v/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idden="1" ht="15.5" customHeight="1">
      <c r="B224" s="67" t="n"/>
      <c r="C224" s="91" t="n"/>
      <c r="D224" s="97" t="inlineStr">
        <is>
          <t>Logistik</t>
        </is>
      </c>
      <c r="E224" s="97" t="n"/>
      <c r="F224" s="103" t="n"/>
      <c r="G224" s="98" t="n"/>
      <c r="H224" s="91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idden="1" ht="15.5" customHeight="1">
      <c r="B225" s="67" t="n">
        <v>45401</v>
      </c>
      <c r="C225" s="91" t="n">
        <v>3</v>
      </c>
      <c r="D225" s="98" t="inlineStr">
        <is>
          <t>Tekiro Kunci L, Tekiro Tang, Obeng Set</t>
        </is>
      </c>
      <c r="E225" s="98" t="n"/>
      <c r="F225" s="103" t="n">
        <v>349000</v>
      </c>
      <c r="G225" s="98" t="inlineStr">
        <is>
          <t>IDR</t>
        </is>
      </c>
      <c r="H225" s="91" t="n">
        <v>1</v>
      </c>
      <c r="I225" s="62" t="n"/>
      <c r="J225" s="62" t="n"/>
      <c r="K225" s="44" t="n"/>
      <c r="L225" s="44" t="n"/>
      <c r="M225" s="44" t="n"/>
      <c r="N225" s="61">
        <f>$F225*$H225</f>
        <v/>
      </c>
      <c r="O225" s="44" t="n"/>
      <c r="P225" s="44" t="n"/>
      <c r="Q225" s="44" t="n"/>
    </row>
    <row r="226" hidden="1" ht="15.5" customHeight="1">
      <c r="B226" s="67" t="n">
        <v>45411</v>
      </c>
      <c r="C226" s="91" t="n">
        <v>4</v>
      </c>
      <c r="D226" s="98" t="inlineStr">
        <is>
          <t>Internet Data</t>
        </is>
      </c>
      <c r="E226" s="98" t="n"/>
      <c r="F226" s="103" t="n">
        <v>75000</v>
      </c>
      <c r="G226" s="98" t="inlineStr">
        <is>
          <t>IDR</t>
        </is>
      </c>
      <c r="H226" s="91" t="n">
        <v>1</v>
      </c>
      <c r="I226" s="61">
        <f>$F226*$H226</f>
        <v/>
      </c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idden="1" ht="15.5" customHeight="1">
      <c r="B227" s="67" t="n"/>
      <c r="C227" s="91" t="n"/>
      <c r="D227" s="97" t="inlineStr">
        <is>
          <t>Entertaiment on field Site</t>
        </is>
      </c>
      <c r="E227" s="97" t="n"/>
      <c r="F227" s="103" t="n"/>
      <c r="G227" s="98" t="n"/>
      <c r="H227" s="91" t="n"/>
      <c r="I227" s="62" t="n"/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idden="1" ht="15.5" customHeight="1">
      <c r="B228" s="67" t="n">
        <v>45407</v>
      </c>
      <c r="C228" s="91" t="n">
        <v>5</v>
      </c>
      <c r="D228" s="95" t="inlineStr">
        <is>
          <t>Crew's Operational</t>
        </is>
      </c>
      <c r="E228" s="95" t="n"/>
      <c r="F228" s="99" t="n">
        <v>657000</v>
      </c>
      <c r="G228" s="98" t="inlineStr">
        <is>
          <t>IDR</t>
        </is>
      </c>
      <c r="H228" s="91" t="n">
        <v>1</v>
      </c>
      <c r="I228" s="61">
        <f>$F228*$H228</f>
        <v/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idden="1" ht="15.5" customHeight="1">
      <c r="B229" s="67" t="n"/>
      <c r="C229" s="91" t="n"/>
      <c r="D229" s="97" t="inlineStr">
        <is>
          <t>Meal Allowance</t>
        </is>
      </c>
      <c r="E229" s="97" t="n"/>
      <c r="F229" s="103" t="n"/>
      <c r="G229" s="98" t="n"/>
      <c r="H229" s="91" t="n"/>
      <c r="I229" s="62" t="n"/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idden="1" ht="15.5" customHeight="1">
      <c r="B230" s="67" t="n">
        <v>45407</v>
      </c>
      <c r="C230" s="91" t="n">
        <v>6</v>
      </c>
      <c r="D230" s="95" t="inlineStr">
        <is>
          <t>Meals 7 days 1 Persons @ 150K IDR/day</t>
        </is>
      </c>
      <c r="E230" s="95" t="n"/>
      <c r="F230" s="103" t="n">
        <v>1050000</v>
      </c>
      <c r="G230" s="98" t="inlineStr">
        <is>
          <t>IDR</t>
        </is>
      </c>
      <c r="H230" s="91" t="n">
        <v>1</v>
      </c>
      <c r="I230" s="61">
        <f>$F230*$H230</f>
        <v/>
      </c>
      <c r="J230" s="44" t="n"/>
      <c r="K230" s="44" t="n"/>
      <c r="L230" s="44" t="n"/>
      <c r="M230" s="44" t="n"/>
      <c r="N230" s="44" t="n"/>
      <c r="O230" s="44" t="n"/>
      <c r="P230" s="44" t="n"/>
      <c r="Q230" s="44" t="n"/>
    </row>
    <row r="231" hidden="1" ht="15.5" customHeight="1">
      <c r="B231" s="67" t="n"/>
      <c r="C231" s="91" t="n"/>
      <c r="D231" s="97" t="inlineStr">
        <is>
          <t>Field Bonus</t>
        </is>
      </c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idden="1" ht="15.5" customHeight="1">
      <c r="B232" s="67" t="n">
        <v>45407</v>
      </c>
      <c r="C232" s="91" t="n">
        <v>7</v>
      </c>
      <c r="D232" s="95" t="inlineStr">
        <is>
          <t>Field Bonus for 7 days (25$/Day)</t>
        </is>
      </c>
      <c r="E232" s="95" t="n"/>
      <c r="F232" s="103" t="n">
        <v>75</v>
      </c>
      <c r="G232" s="98" t="inlineStr">
        <is>
          <t>USD</t>
        </is>
      </c>
      <c r="H232" s="100" t="n">
        <v>16050.85</v>
      </c>
      <c r="I232" s="61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idden="1" ht="15.5" customHeight="1">
      <c r="B233" s="67" t="n">
        <v>45407</v>
      </c>
      <c r="C233" s="91" t="n">
        <v>8</v>
      </c>
      <c r="D233" s="95" t="inlineStr">
        <is>
          <t>Field Bonus for 4 days 29 April-2 May 2024 (100$/Day</t>
        </is>
      </c>
      <c r="E233" s="95" t="n"/>
      <c r="F233" s="103" t="n">
        <v>400</v>
      </c>
      <c r="G233" s="98" t="inlineStr">
        <is>
          <t>USD</t>
        </is>
      </c>
      <c r="H233" s="100" t="n">
        <v>16050.85</v>
      </c>
      <c r="I233" s="61">
        <f>$F233*$H233</f>
        <v/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>
      <c r="B234" s="78" t="inlineStr">
        <is>
          <t>Expense#11</t>
        </is>
      </c>
      <c r="C234" s="85" t="inlineStr">
        <is>
          <t>:</t>
        </is>
      </c>
      <c r="D234" s="86" t="inlineStr">
        <is>
          <t>ALFA+MFC (TGB-033 Zona 7) Elnusa_TMA</t>
        </is>
      </c>
      <c r="E234" s="86" t="n"/>
      <c r="F234" s="110" t="n"/>
      <c r="G234" s="73" t="n"/>
      <c r="H234" s="73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</row>
    <row r="235" hidden="1" ht="15.5" customHeight="1">
      <c r="B235" s="67" t="n"/>
      <c r="C235" s="91" t="n"/>
      <c r="D235" s="97" t="inlineStr">
        <is>
          <t>Hotel and Loundry</t>
        </is>
      </c>
      <c r="E235" s="97" t="n"/>
      <c r="F235" s="103" t="n"/>
      <c r="G235" s="98" t="n"/>
      <c r="H235" s="98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>
      <c r="B236" s="67" t="n">
        <v>45401</v>
      </c>
      <c r="C236" s="91" t="n">
        <v>1</v>
      </c>
      <c r="D236" s="95" t="inlineStr">
        <is>
          <t>Hotel 19 Apr-22 Apr 2024 (3 days)</t>
        </is>
      </c>
      <c r="E236" s="95" t="n"/>
      <c r="F236" s="103">
        <f>650000*3</f>
        <v/>
      </c>
      <c r="G236" s="98" t="inlineStr">
        <is>
          <t>IDR</t>
        </is>
      </c>
      <c r="H236" s="98" t="n">
        <v>1</v>
      </c>
      <c r="I236" s="61">
        <f>$F236*$H236</f>
        <v/>
      </c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idden="1" ht="15.5" customHeight="1">
      <c r="B237" s="67" t="n">
        <v>45401</v>
      </c>
      <c r="C237" s="91" t="n">
        <v>2</v>
      </c>
      <c r="D237" s="95" t="inlineStr">
        <is>
          <t>Laundry 4 days 1 Persons @ 50K IDR/day</t>
        </is>
      </c>
      <c r="E237" s="95" t="n"/>
      <c r="F237" s="103">
        <f>4*50000</f>
        <v/>
      </c>
      <c r="G237" s="98" t="inlineStr">
        <is>
          <t>IDR</t>
        </is>
      </c>
      <c r="H237" s="98" t="n">
        <v>1</v>
      </c>
      <c r="I237" s="61">
        <f>$F237*$H237</f>
        <v/>
      </c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idden="1" ht="15.5" customHeight="1">
      <c r="B238" s="67" t="n"/>
      <c r="C238" s="91" t="n"/>
      <c r="D238" s="97" t="inlineStr">
        <is>
          <t>Logistik</t>
        </is>
      </c>
      <c r="E238" s="97" t="n"/>
      <c r="F238" s="103" t="n"/>
      <c r="G238" s="98" t="n"/>
      <c r="H238" s="98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idden="1" ht="15.5" customHeight="1">
      <c r="B239" s="67" t="n">
        <v>45401</v>
      </c>
      <c r="C239" s="91" t="n">
        <v>3</v>
      </c>
      <c r="D239" s="98" t="inlineStr">
        <is>
          <t>Battery A2</t>
        </is>
      </c>
      <c r="E239" s="98" t="n"/>
      <c r="F239" s="103" t="n">
        <v>101800</v>
      </c>
      <c r="G239" s="98" t="inlineStr">
        <is>
          <t>IDR</t>
        </is>
      </c>
      <c r="H239" s="98" t="n">
        <v>1</v>
      </c>
      <c r="I239" s="61">
        <f>$F239*$H239</f>
        <v/>
      </c>
      <c r="J239" s="62" t="n"/>
      <c r="K239" s="44" t="n"/>
      <c r="L239" s="44" t="n"/>
      <c r="M239" s="44" t="n"/>
      <c r="N239" s="61" t="n"/>
      <c r="O239" s="44" t="n"/>
      <c r="P239" s="44" t="n"/>
      <c r="Q239" s="44" t="n"/>
    </row>
    <row r="240" hidden="1" ht="15.5" customHeight="1">
      <c r="B240" s="67" t="n"/>
      <c r="C240" s="91" t="n"/>
      <c r="D240" s="97" t="inlineStr">
        <is>
          <t>Meals on field Site</t>
        </is>
      </c>
      <c r="E240" s="97" t="n"/>
      <c r="F240" s="103" t="n"/>
      <c r="G240" s="98" t="n"/>
      <c r="H240" s="98" t="n"/>
      <c r="I240" s="61">
        <f>$F240*$H240</f>
        <v/>
      </c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idden="1" ht="15.5" customHeight="1">
      <c r="B241" s="67" t="n">
        <v>45401</v>
      </c>
      <c r="C241" s="91" t="n">
        <v>4</v>
      </c>
      <c r="D241" s="95" t="inlineStr">
        <is>
          <t>Crew's Operational</t>
        </is>
      </c>
      <c r="E241" s="95" t="n"/>
      <c r="F241" s="99" t="n">
        <v>481900</v>
      </c>
      <c r="G241" s="98" t="inlineStr">
        <is>
          <t>IDR</t>
        </is>
      </c>
      <c r="H241" s="98" t="n">
        <v>1</v>
      </c>
      <c r="I241" s="61">
        <f>$F241*$H241</f>
        <v/>
      </c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idden="1" ht="15.5" customHeight="1">
      <c r="B242" s="67" t="n"/>
      <c r="C242" s="91" t="n"/>
      <c r="D242" s="97" t="inlineStr">
        <is>
          <t>Meal Allowance</t>
        </is>
      </c>
      <c r="E242" s="97" t="n"/>
      <c r="F242" s="103" t="n"/>
      <c r="G242" s="98" t="n"/>
      <c r="H242" s="98" t="n"/>
      <c r="I242" s="61">
        <f>$F242*$H242</f>
        <v/>
      </c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idden="1" ht="15.5" customHeight="1">
      <c r="B243" s="67" t="n">
        <v>45401</v>
      </c>
      <c r="C243" s="91" t="n">
        <v>5</v>
      </c>
      <c r="D243" s="95" t="inlineStr">
        <is>
          <t>Meals 4 days 1 Persons @ 150K IDR/day</t>
        </is>
      </c>
      <c r="E243" s="95" t="n"/>
      <c r="F243" s="103">
        <f>4*150000</f>
        <v/>
      </c>
      <c r="G243" s="98" t="inlineStr">
        <is>
          <t>IDR</t>
        </is>
      </c>
      <c r="H243" s="98" t="n">
        <v>1</v>
      </c>
      <c r="I243" s="61">
        <f>$F243*$H243</f>
        <v/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>
      <c r="B244" s="67" t="n"/>
      <c r="C244" s="91" t="n"/>
      <c r="D244" s="97" t="inlineStr">
        <is>
          <t>Accomadation &amp; Transportation</t>
        </is>
      </c>
      <c r="E244" s="97" t="n"/>
      <c r="F244" s="103" t="n"/>
      <c r="G244" s="98" t="n"/>
      <c r="H244" s="98" t="n"/>
      <c r="I244" s="61">
        <f>$F244*$H244</f>
        <v/>
      </c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idden="1" ht="15.5" customHeight="1">
      <c r="B245" s="67" t="n">
        <v>45404</v>
      </c>
      <c r="C245" s="91" t="n">
        <v>6</v>
      </c>
      <c r="D245" s="95" t="inlineStr">
        <is>
          <t>Taxi Bintaro-Wisma Mas</t>
        </is>
      </c>
      <c r="E245" s="95" t="n"/>
      <c r="F245" s="103" t="n">
        <v>78500</v>
      </c>
      <c r="G245" s="98" t="inlineStr">
        <is>
          <t>IDR</t>
        </is>
      </c>
      <c r="H245" s="98" t="n">
        <v>1</v>
      </c>
      <c r="I245" s="61">
        <f>$H245*$F245</f>
        <v/>
      </c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>
      <c r="B246" s="67" t="n"/>
      <c r="C246" s="91" t="n"/>
      <c r="D246" s="97" t="inlineStr">
        <is>
          <t>Field Bonus</t>
        </is>
      </c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idden="1" ht="15.5" customHeight="1">
      <c r="B247" s="67" t="n">
        <v>45401</v>
      </c>
      <c r="C247" s="91" t="n">
        <v>7</v>
      </c>
      <c r="D247" s="95" t="inlineStr">
        <is>
          <t>Field Bonus for 4 days (25$/Day)</t>
        </is>
      </c>
      <c r="E247" s="95" t="n"/>
      <c r="F247" s="103">
        <f>4*25</f>
        <v/>
      </c>
      <c r="G247" s="98" t="inlineStr">
        <is>
          <t>USD</t>
        </is>
      </c>
      <c r="H247" s="111" t="n">
        <v>16050.85</v>
      </c>
      <c r="I247" s="61">
        <f>$F247*$H247</f>
        <v/>
      </c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idden="1" ht="15.5" customHeight="1">
      <c r="B248" s="78" t="inlineStr">
        <is>
          <t>Expense#12</t>
        </is>
      </c>
      <c r="C248" s="85" t="inlineStr">
        <is>
          <t>:</t>
        </is>
      </c>
      <c r="D248" s="86" t="inlineStr">
        <is>
          <t>BOSIET Training -_TMA</t>
        </is>
      </c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idden="1" ht="15.5" customHeight="1">
      <c r="B249" s="67" t="inlineStr">
        <is>
          <t>17/5/2024</t>
        </is>
      </c>
      <c r="C249" s="91" t="n">
        <v>1</v>
      </c>
      <c r="D249" s="95" t="inlineStr">
        <is>
          <t>BOSIET Training</t>
        </is>
      </c>
      <c r="E249" s="95" t="n"/>
      <c r="F249" s="103" t="n">
        <v>9693878</v>
      </c>
      <c r="G249" s="91" t="inlineStr">
        <is>
          <t>IDR</t>
        </is>
      </c>
      <c r="H249" s="91" t="n">
        <v>1</v>
      </c>
      <c r="I249" s="61">
        <f>$F249*$H249</f>
        <v/>
      </c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>
      <c r="B250" s="78" t="inlineStr">
        <is>
          <t>Expense#13</t>
        </is>
      </c>
      <c r="C250" s="85" t="inlineStr">
        <is>
          <t>:</t>
        </is>
      </c>
      <c r="D250" s="86" t="inlineStr">
        <is>
          <t>Non Trip MCU Dwiyanto</t>
        </is>
      </c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idden="1" ht="15.5" customHeight="1">
      <c r="B251" s="14" t="n">
        <v>45432</v>
      </c>
      <c r="C251" s="15" t="n">
        <v>1</v>
      </c>
      <c r="D251" s="18" t="inlineStr">
        <is>
          <t>MCU Paket Umum Basic 1</t>
        </is>
      </c>
      <c r="E251" s="18" t="n"/>
      <c r="F251" s="21" t="n">
        <v>5322000</v>
      </c>
      <c r="G251" s="15" t="inlineStr">
        <is>
          <t>IDR</t>
        </is>
      </c>
      <c r="H251" s="15" t="n">
        <v>1</v>
      </c>
      <c r="I251" s="62" t="n"/>
      <c r="J251" s="62" t="n"/>
      <c r="K251" s="44" t="n"/>
      <c r="L251" s="44" t="n"/>
      <c r="M251" s="44" t="n"/>
      <c r="N251" s="44" t="n"/>
      <c r="O251" s="44" t="n"/>
      <c r="P251" s="62">
        <f>F251</f>
        <v/>
      </c>
      <c r="Q251" s="44" t="n"/>
    </row>
    <row r="252" hidden="1" ht="15.5" customHeight="1">
      <c r="B252" s="14" t="n">
        <v>45433</v>
      </c>
      <c r="C252" s="15" t="n">
        <v>2</v>
      </c>
      <c r="D252" s="18" t="inlineStr">
        <is>
          <t>Safety shoes</t>
        </is>
      </c>
      <c r="E252" s="18" t="n"/>
      <c r="F252" s="21" t="n">
        <v>2402000</v>
      </c>
      <c r="G252" s="15" t="inlineStr">
        <is>
          <t>IDR</t>
        </is>
      </c>
      <c r="H252" s="15" t="n">
        <v>1</v>
      </c>
      <c r="I252" s="62" t="n"/>
      <c r="J252" s="62" t="n"/>
      <c r="K252" s="44" t="n"/>
      <c r="L252" s="44" t="n"/>
      <c r="M252" s="44" t="n"/>
      <c r="N252" s="62">
        <f>F252</f>
        <v/>
      </c>
      <c r="O252" s="44" t="n"/>
      <c r="P252" s="44" t="n"/>
      <c r="Q252" s="44" t="n"/>
    </row>
    <row r="253" hidden="1" ht="15.5" customHeight="1">
      <c r="B253" s="78" t="inlineStr">
        <is>
          <t>Expense#14</t>
        </is>
      </c>
      <c r="C253" s="85" t="inlineStr">
        <is>
          <t>:</t>
        </is>
      </c>
      <c r="D253" s="112" t="inlineStr">
        <is>
          <t>Non project _ MCU - Ilham BR</t>
        </is>
      </c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idden="1" ht="15.5" customHeight="1">
      <c r="B254" s="14" t="n">
        <v>45432</v>
      </c>
      <c r="C254" s="15" t="n">
        <v>1</v>
      </c>
      <c r="D254" s="18" t="inlineStr">
        <is>
          <t>Biaya MCU</t>
        </is>
      </c>
      <c r="E254" s="18" t="n"/>
      <c r="F254" s="21" t="n">
        <v>5407000</v>
      </c>
      <c r="G254" s="15" t="inlineStr">
        <is>
          <t>IDR</t>
        </is>
      </c>
      <c r="H254" s="15" t="n">
        <v>1</v>
      </c>
      <c r="I254" s="61" t="n"/>
      <c r="J254" s="62" t="n"/>
      <c r="K254" s="44" t="n"/>
      <c r="L254" s="44" t="n"/>
      <c r="M254" s="44" t="n"/>
      <c r="N254" s="44" t="n"/>
      <c r="O254" s="44" t="n"/>
      <c r="P254" s="62">
        <f>F254</f>
        <v/>
      </c>
      <c r="Q254" s="44" t="n"/>
    </row>
    <row r="255" hidden="1" ht="15.5" customHeight="1">
      <c r="B255" s="78" t="inlineStr">
        <is>
          <t>Expense#15</t>
        </is>
      </c>
      <c r="C255" s="85" t="inlineStr">
        <is>
          <t>:</t>
        </is>
      </c>
      <c r="D255" s="86" t="inlineStr">
        <is>
          <t>ALFA Job - Jrk-193 _ OJT_ Ilham BR</t>
        </is>
      </c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idden="1" ht="15.5" customHeight="1">
      <c r="B256" s="102" t="n">
        <v>45433</v>
      </c>
      <c r="C256" s="15" t="n"/>
      <c r="D256" s="63" t="inlineStr">
        <is>
          <t>Tiket Pesawat Citilink (CGK-PLM 25 Mei 2024)</t>
        </is>
      </c>
      <c r="E256" s="63" t="n"/>
      <c r="F256" s="21" t="n">
        <v>773238</v>
      </c>
      <c r="G256" s="15" t="inlineStr">
        <is>
          <t>IDR</t>
        </is>
      </c>
      <c r="H256" s="15" t="n">
        <v>1</v>
      </c>
      <c r="I256" s="61">
        <f>$H256*$F256</f>
        <v/>
      </c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>
      <c r="B257" s="102" t="n">
        <v>45436</v>
      </c>
      <c r="C257" s="15" t="n"/>
      <c r="D257" s="113" t="inlineStr">
        <is>
          <t>Reschedule Tiket Pesawat dari Citilink ke Super Air Jet (CGK-PLg)</t>
        </is>
      </c>
      <c r="E257" s="113" t="n"/>
      <c r="F257" s="21" t="n">
        <v>296853</v>
      </c>
      <c r="G257" s="15" t="inlineStr">
        <is>
          <t>IDR</t>
        </is>
      </c>
      <c r="H257" s="15" t="n">
        <v>1</v>
      </c>
      <c r="I257" s="61">
        <f>$H257*$F257</f>
        <v/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idden="1" ht="15.5" customHeight="1">
      <c r="B258" s="102" t="n">
        <v>45436</v>
      </c>
      <c r="C258" s="15" t="n"/>
      <c r="D258" s="63" t="inlineStr">
        <is>
          <t>Taxi + Tol To Airport CGK</t>
        </is>
      </c>
      <c r="E258" s="63" t="n"/>
      <c r="F258" s="21" t="n">
        <v>250000</v>
      </c>
      <c r="G258" s="15" t="inlineStr">
        <is>
          <t>IDR</t>
        </is>
      </c>
      <c r="H258" s="15" t="n">
        <v>1</v>
      </c>
      <c r="I258" s="61">
        <f>$H258*$F258</f>
        <v/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>
      <c r="B259" s="102" t="n"/>
      <c r="C259" s="15" t="n"/>
      <c r="D259" s="114" t="inlineStr">
        <is>
          <t>Perdiem Uang Makan</t>
        </is>
      </c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idden="1" ht="15.5" customHeight="1">
      <c r="B260" s="102" t="n">
        <v>45437</v>
      </c>
      <c r="C260" s="15" t="n"/>
      <c r="D260" s="63" t="inlineStr">
        <is>
          <t>Uang makan (25 - 30 May 2024)</t>
        </is>
      </c>
      <c r="E260" s="63" t="n"/>
      <c r="F260" s="21" t="n">
        <v>900000</v>
      </c>
      <c r="G260" s="15" t="inlineStr">
        <is>
          <t>IDR</t>
        </is>
      </c>
      <c r="H260" s="15" t="n">
        <v>1</v>
      </c>
      <c r="I260" s="61">
        <f>F260</f>
        <v/>
      </c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idden="1" ht="15.5" customHeight="1">
      <c r="B261" s="102" t="n"/>
      <c r="C261" s="15" t="n"/>
      <c r="D261" s="63" t="inlineStr">
        <is>
          <t>Laundry (25 - 30 May 2024)</t>
        </is>
      </c>
      <c r="E261" s="63" t="n"/>
      <c r="F261" s="21" t="n">
        <v>300000</v>
      </c>
      <c r="G261" s="15" t="inlineStr">
        <is>
          <t>IDR</t>
        </is>
      </c>
      <c r="H261" s="15" t="n">
        <v>1</v>
      </c>
      <c r="I261" s="61">
        <f>F261</f>
        <v/>
      </c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idden="1" ht="15.5" customHeight="1">
      <c r="B262" s="102" t="n"/>
      <c r="C262" s="15" t="n"/>
      <c r="D262" s="114" t="inlineStr">
        <is>
          <t>Allowance</t>
        </is>
      </c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idden="1" ht="15.5" customHeight="1">
      <c r="B263" s="102" t="n">
        <v>45437</v>
      </c>
      <c r="C263" s="15" t="n"/>
      <c r="D263" s="113" t="inlineStr">
        <is>
          <t xml:space="preserve">Tunjangan Lapangan JRK-193 (25 - 30 May 2024) </t>
        </is>
      </c>
      <c r="E263" s="113" t="n"/>
      <c r="F263" s="115">
        <f>25*6</f>
        <v/>
      </c>
      <c r="G263" s="60" t="inlineStr">
        <is>
          <t>$</t>
        </is>
      </c>
      <c r="H263" s="60" t="n">
        <v>16200</v>
      </c>
      <c r="I263" s="62">
        <f>H263*F263</f>
        <v/>
      </c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>
      <c r="B264" s="78" t="inlineStr">
        <is>
          <t>Expense#16</t>
        </is>
      </c>
      <c r="C264" s="85" t="inlineStr">
        <is>
          <t>:</t>
        </is>
      </c>
      <c r="D264" s="86" t="inlineStr">
        <is>
          <t>ALFA job - JRK-193 OJT - Dwiyanto S</t>
        </is>
      </c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idden="1" ht="15.5" customHeight="1">
      <c r="B265" s="102" t="n"/>
      <c r="C265" s="15" t="n"/>
      <c r="D265" s="106" t="inlineStr">
        <is>
          <t>transportasi Darat</t>
        </is>
      </c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idden="1" ht="15.5" customHeight="1">
      <c r="B266" s="107" t="n">
        <v>45437</v>
      </c>
      <c r="C266" s="15" t="n">
        <v>1</v>
      </c>
      <c r="D266" s="63" t="inlineStr">
        <is>
          <t>Taxi + Tol to Airport Jakarta</t>
        </is>
      </c>
      <c r="E266" s="63" t="n"/>
      <c r="F266" s="21">
        <f> 48000+7000+177520</f>
        <v/>
      </c>
      <c r="G266" s="15" t="inlineStr">
        <is>
          <t>IDR</t>
        </is>
      </c>
      <c r="H266" s="15" t="n">
        <v>1</v>
      </c>
      <c r="I266" s="61">
        <f>$H266*$F266</f>
        <v/>
      </c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idden="1" ht="15.5" customHeight="1">
      <c r="B267" s="102" t="n">
        <v>45437</v>
      </c>
      <c r="C267" s="15" t="n">
        <v>2</v>
      </c>
      <c r="D267" s="63" t="inlineStr">
        <is>
          <t>fuel + tol PLM-Prabu</t>
        </is>
      </c>
      <c r="E267" s="63" t="n"/>
      <c r="F267" s="21">
        <f>200000+112000</f>
        <v/>
      </c>
      <c r="G267" s="15" t="inlineStr">
        <is>
          <t>IDR</t>
        </is>
      </c>
      <c r="H267" s="15" t="n">
        <v>1</v>
      </c>
      <c r="I267" s="61">
        <f>$H267*$F267</f>
        <v/>
      </c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idden="1" ht="15.5" customHeight="1">
      <c r="B268" s="102" t="n">
        <v>45442</v>
      </c>
      <c r="C268" s="15" t="n">
        <v>4</v>
      </c>
      <c r="D268" s="63" t="inlineStr">
        <is>
          <t>Tol Prabu - PLM</t>
        </is>
      </c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idden="1" ht="15.5" customHeight="1">
      <c r="B269" s="102" t="n"/>
      <c r="C269" s="15" t="n"/>
      <c r="D269" s="108" t="inlineStr">
        <is>
          <t>Hand Tools</t>
        </is>
      </c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idden="1" ht="15.5" customHeight="1">
      <c r="B270" s="102" t="n">
        <v>45443</v>
      </c>
      <c r="C270" s="15" t="n"/>
      <c r="D270" s="18" t="inlineStr">
        <is>
          <t>Allen key, pliers, screwdrivers</t>
        </is>
      </c>
      <c r="E270" s="18" t="n"/>
      <c r="F270" s="21" t="n">
        <v>268000</v>
      </c>
      <c r="G270" s="15" t="inlineStr">
        <is>
          <t>IDR</t>
        </is>
      </c>
      <c r="H270" s="15" t="n">
        <v>1</v>
      </c>
      <c r="I270" s="61" t="n"/>
      <c r="J270" s="62" t="n"/>
      <c r="K270" s="44" t="n"/>
      <c r="L270" s="44" t="n"/>
      <c r="M270" s="44" t="n"/>
      <c r="N270" s="61">
        <f>F270</f>
        <v/>
      </c>
      <c r="O270" s="44" t="n"/>
      <c r="P270" s="44" t="n"/>
      <c r="Q270" s="44" t="n"/>
    </row>
    <row r="271" hidden="1" ht="15.5" customHeight="1">
      <c r="B271" s="102" t="n"/>
      <c r="C271" s="15" t="n"/>
      <c r="D271" s="108" t="inlineStr">
        <is>
          <t>Logistik</t>
        </is>
      </c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idden="1" ht="15.5" customHeight="1">
      <c r="B272" s="102" t="n">
        <v>45437</v>
      </c>
      <c r="C272" s="15" t="n">
        <v>3</v>
      </c>
      <c r="D272" s="170" t="inlineStr">
        <is>
          <t>Wrapping Alfa Box</t>
        </is>
      </c>
      <c r="E272" s="170" t="n"/>
      <c r="F272" s="21" t="n">
        <v>80000</v>
      </c>
      <c r="G272" s="15" t="inlineStr">
        <is>
          <t>IDR</t>
        </is>
      </c>
      <c r="H272" s="15" t="n">
        <v>1</v>
      </c>
      <c r="I272" s="61" t="n"/>
      <c r="J272" s="62" t="n"/>
      <c r="K272" s="44" t="n"/>
      <c r="L272" s="44" t="n"/>
      <c r="M272" s="44" t="n"/>
      <c r="N272" s="61">
        <f>F272</f>
        <v/>
      </c>
      <c r="O272" s="44" t="n"/>
      <c r="P272" s="44" t="n"/>
      <c r="Q272" s="44" t="n"/>
    </row>
    <row r="273" hidden="1" ht="15.5" customHeight="1">
      <c r="B273" s="102" t="n">
        <v>45439</v>
      </c>
      <c r="C273" s="15" t="n">
        <v>5</v>
      </c>
      <c r="D273" s="63" t="inlineStr">
        <is>
          <t>Hand gloves</t>
        </is>
      </c>
      <c r="E273" s="63" t="n"/>
      <c r="F273" s="21" t="n">
        <v>21900</v>
      </c>
      <c r="G273" s="15" t="inlineStr">
        <is>
          <t>IDR</t>
        </is>
      </c>
      <c r="H273" s="15" t="n">
        <v>1</v>
      </c>
      <c r="I273" s="116" t="n"/>
      <c r="J273" s="62" t="n"/>
      <c r="K273" s="44" t="n"/>
      <c r="L273" s="44" t="n"/>
      <c r="M273" s="44" t="n"/>
      <c r="N273" s="61">
        <f>F273</f>
        <v/>
      </c>
      <c r="O273" s="44" t="n"/>
      <c r="P273" s="44" t="n"/>
      <c r="Q273" s="44" t="n"/>
    </row>
    <row r="274" hidden="1" ht="15.5" customHeight="1">
      <c r="B274" s="102" t="n"/>
      <c r="C274" s="15" t="n"/>
      <c r="D274" s="108" t="inlineStr">
        <is>
          <t>Perdiem uang makan</t>
        </is>
      </c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>
        <f>F274</f>
        <v/>
      </c>
      <c r="O274" s="44" t="n"/>
      <c r="P274" s="44" t="n"/>
      <c r="Q274" s="44" t="n"/>
    </row>
    <row r="275" hidden="1" ht="15.5" customHeight="1">
      <c r="B275" s="102" t="n">
        <v>45437</v>
      </c>
      <c r="C275" s="15" t="n"/>
      <c r="D275" s="63" t="inlineStr">
        <is>
          <t>Uang Makan (25 - 30 May 2024)</t>
        </is>
      </c>
      <c r="E275" s="63" t="n"/>
      <c r="F275" s="21">
        <f>900000</f>
        <v/>
      </c>
      <c r="G275" s="15" t="inlineStr">
        <is>
          <t>IDR</t>
        </is>
      </c>
      <c r="H275" s="15" t="n">
        <v>1</v>
      </c>
      <c r="I275" s="62">
        <f>F275</f>
        <v/>
      </c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>
      <c r="B276" s="102" t="n"/>
      <c r="C276" s="15" t="n"/>
      <c r="D276" s="108" t="inlineStr">
        <is>
          <t>Laundry</t>
        </is>
      </c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>
      <c r="B277" s="102" t="n">
        <v>45437</v>
      </c>
      <c r="C277" s="15" t="n"/>
      <c r="D277" s="63" t="inlineStr">
        <is>
          <t>Laundry (25 - 30 May 2024)</t>
        </is>
      </c>
      <c r="E277" s="63" t="n"/>
      <c r="F277" s="21" t="n">
        <v>300000</v>
      </c>
      <c r="G277" s="15" t="inlineStr">
        <is>
          <t>IDR</t>
        </is>
      </c>
      <c r="H277" s="15" t="n">
        <v>1</v>
      </c>
      <c r="I277" s="62">
        <f>F277</f>
        <v/>
      </c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idden="1" ht="15.5" customHeight="1">
      <c r="B278" s="102" t="n"/>
      <c r="C278" s="15" t="n"/>
      <c r="D278" s="108" t="inlineStr">
        <is>
          <t>Aloowance</t>
        </is>
      </c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>
      <c r="B279" s="102" t="n">
        <v>45437</v>
      </c>
      <c r="C279" s="15" t="n"/>
      <c r="D279" s="113" t="inlineStr">
        <is>
          <t>Tunjangan Lapangan JRK-193 (25 - 30 May 2024). 1US$=16.200</t>
        </is>
      </c>
      <c r="E279" s="113" t="n"/>
      <c r="F279" s="21">
        <f>25*6</f>
        <v/>
      </c>
      <c r="G279" s="15" t="inlineStr">
        <is>
          <t>IDR</t>
        </is>
      </c>
      <c r="H279" s="15" t="n">
        <v>16200</v>
      </c>
      <c r="I279" s="62">
        <f>H279*F279</f>
        <v/>
      </c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idden="1" ht="15.5" customHeight="1">
      <c r="B280" s="78" t="inlineStr">
        <is>
          <t>Expense#17</t>
        </is>
      </c>
      <c r="C280" s="85" t="inlineStr">
        <is>
          <t>:</t>
        </is>
      </c>
      <c r="D280" s="112" t="inlineStr">
        <is>
          <t>ALFA JRK-193 - project SI_ TMA</t>
        </is>
      </c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idden="1" ht="15.5" customHeight="1">
      <c r="B281" s="67" t="n"/>
      <c r="C281" s="91" t="n"/>
      <c r="D281" s="97" t="inlineStr">
        <is>
          <t>Hotel and Loundry</t>
        </is>
      </c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idden="1" ht="15.5" customHeight="1">
      <c r="B282" s="67" t="n">
        <v>45437</v>
      </c>
      <c r="C282" s="91" t="n">
        <v>1</v>
      </c>
      <c r="D282" s="95" t="inlineStr">
        <is>
          <t>Hotel 24 May - 30 May (6 days)</t>
        </is>
      </c>
      <c r="E282" s="95" t="n"/>
      <c r="F282" s="93" t="n">
        <v>1650000</v>
      </c>
      <c r="G282" s="91" t="inlineStr">
        <is>
          <t>IDR</t>
        </is>
      </c>
      <c r="H282" s="91" t="n">
        <v>1</v>
      </c>
      <c r="I282" s="62">
        <f>F282</f>
        <v/>
      </c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idden="1" ht="15.5" customHeight="1">
      <c r="B283" s="67" t="n">
        <v>45437</v>
      </c>
      <c r="C283" s="91" t="n">
        <v>2</v>
      </c>
      <c r="D283" s="95" t="inlineStr">
        <is>
          <t>Laundry 6 days 1 Persons @ 50K IDR/day</t>
        </is>
      </c>
      <c r="E283" s="95" t="n"/>
      <c r="F283" s="93" t="n">
        <v>300000</v>
      </c>
      <c r="G283" s="91" t="inlineStr">
        <is>
          <t>IDR</t>
        </is>
      </c>
      <c r="H283" s="91" t="n">
        <v>1</v>
      </c>
      <c r="I283" s="62">
        <f>F283</f>
        <v/>
      </c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idden="1" ht="15.5" customHeight="1">
      <c r="B284" s="67" t="n"/>
      <c r="C284" s="91" t="n"/>
      <c r="D284" s="97" t="inlineStr">
        <is>
          <t>Transportation</t>
        </is>
      </c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idden="1" ht="15.5" customHeight="1">
      <c r="B285" s="67" t="n">
        <v>45437</v>
      </c>
      <c r="C285" s="91" t="n">
        <v>3</v>
      </c>
      <c r="D285" s="95" t="inlineStr">
        <is>
          <t>Airplane Ticket CGK-PLM (2 Person)</t>
        </is>
      </c>
      <c r="E285" s="95" t="n"/>
      <c r="F285" s="93" t="n">
        <v>1418800</v>
      </c>
      <c r="G285" s="91" t="inlineStr">
        <is>
          <t>IDR</t>
        </is>
      </c>
      <c r="H285" s="91" t="n">
        <v>1</v>
      </c>
      <c r="I285" s="61">
        <f>$H285*$F285</f>
        <v/>
      </c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idden="1" ht="15.5" customHeight="1">
      <c r="B286" s="67" t="n">
        <v>45437</v>
      </c>
      <c r="C286" s="91" t="n">
        <v>4</v>
      </c>
      <c r="D286" s="95" t="inlineStr">
        <is>
          <t>Taxi Pondok Cabe-CGK</t>
        </is>
      </c>
      <c r="E286" s="95" t="n"/>
      <c r="F286" s="93" t="n">
        <v>166000</v>
      </c>
      <c r="G286" s="91" t="inlineStr">
        <is>
          <t>IDR</t>
        </is>
      </c>
      <c r="H286" s="91" t="n">
        <v>1</v>
      </c>
      <c r="I286" s="61">
        <f>$H286*$F286</f>
        <v/>
      </c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idden="1" ht="15.5" customHeight="1">
      <c r="B287" s="67" t="n">
        <v>45437</v>
      </c>
      <c r="C287" s="91" t="n">
        <v>5</v>
      </c>
      <c r="D287" s="95" t="inlineStr">
        <is>
          <t>Toll (Pondok Cabe-CGK)</t>
        </is>
      </c>
      <c r="E287" s="95" t="n"/>
      <c r="F287" s="93" t="n">
        <v>60000</v>
      </c>
      <c r="G287" s="91" t="inlineStr">
        <is>
          <t>IDR</t>
        </is>
      </c>
      <c r="H287" s="91" t="n">
        <v>1</v>
      </c>
      <c r="I287" s="61">
        <f>$H287*$F287</f>
        <v/>
      </c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idden="1" ht="15.5" customHeight="1">
      <c r="B288" s="67" t="n">
        <v>45437</v>
      </c>
      <c r="C288" s="91" t="n">
        <v>6</v>
      </c>
      <c r="D288" s="95" t="inlineStr">
        <is>
          <t>Rent Car 6 Days</t>
        </is>
      </c>
      <c r="E288" s="95" t="n"/>
      <c r="F288" s="93" t="n">
        <v>2900000</v>
      </c>
      <c r="G288" s="91" t="inlineStr">
        <is>
          <t>IDR</t>
        </is>
      </c>
      <c r="H288" s="91" t="n">
        <v>1</v>
      </c>
      <c r="I288" s="61">
        <f>$H288*$F288</f>
        <v/>
      </c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idden="1" ht="15.5" customHeight="1">
      <c r="B289" s="67" t="n">
        <v>45437</v>
      </c>
      <c r="C289" s="91" t="n">
        <v>7</v>
      </c>
      <c r="D289" s="98" t="inlineStr">
        <is>
          <t>Gasoline</t>
        </is>
      </c>
      <c r="E289" s="98" t="n"/>
      <c r="F289" s="93" t="n">
        <v>400000</v>
      </c>
      <c r="G289" s="91" t="inlineStr">
        <is>
          <t>IDR</t>
        </is>
      </c>
      <c r="H289" s="91" t="n">
        <v>1</v>
      </c>
      <c r="I289" s="61">
        <f>$H289*$F289</f>
        <v/>
      </c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idden="1" ht="15.5" customHeight="1">
      <c r="B290" s="67" t="n">
        <v>45442</v>
      </c>
      <c r="C290" s="91" t="n">
        <v>8</v>
      </c>
      <c r="D290" s="98" t="inlineStr">
        <is>
          <t>Taxi CGK-Pondok Cabe (inc Toll+Parking)</t>
        </is>
      </c>
      <c r="E290" s="98" t="n"/>
      <c r="F290" s="93" t="n">
        <v>300000</v>
      </c>
      <c r="G290" s="91" t="inlineStr">
        <is>
          <t>IDR</t>
        </is>
      </c>
      <c r="H290" s="91" t="n">
        <v>1</v>
      </c>
      <c r="I290" s="61">
        <f>$H290*$F290</f>
        <v/>
      </c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idden="1" ht="15.5" customHeight="1">
      <c r="B291" s="67" t="n">
        <v>45442</v>
      </c>
      <c r="C291" s="91" t="n">
        <v>9</v>
      </c>
      <c r="D291" s="95" t="inlineStr">
        <is>
          <t>Airplane Ticket PLM-CGK (2 Person)</t>
        </is>
      </c>
      <c r="E291" s="95" t="n"/>
      <c r="F291" s="93" t="n">
        <v>1326410</v>
      </c>
      <c r="G291" s="91" t="inlineStr">
        <is>
          <t>IDR</t>
        </is>
      </c>
      <c r="H291" s="91" t="n">
        <v>1</v>
      </c>
      <c r="I291" s="61">
        <f>$H291*$F291</f>
        <v/>
      </c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idden="1" ht="15.5" customHeight="1">
      <c r="B292" s="67" t="n"/>
      <c r="C292" s="117" t="n"/>
      <c r="D292" s="97" t="inlineStr">
        <is>
          <t>Entertaiment on field Site</t>
        </is>
      </c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idden="1" ht="15.5" customHeight="1">
      <c r="B293" s="67" t="n">
        <v>45437</v>
      </c>
      <c r="C293" s="91" t="n">
        <v>9</v>
      </c>
      <c r="D293" s="95" t="inlineStr">
        <is>
          <t>Meal Crew's Operational</t>
        </is>
      </c>
      <c r="E293" s="95" t="n"/>
      <c r="F293" s="99" t="n">
        <v>709300</v>
      </c>
      <c r="G293" s="91" t="inlineStr">
        <is>
          <t>IDR</t>
        </is>
      </c>
      <c r="H293" s="91" t="n">
        <v>1</v>
      </c>
      <c r="I293" s="62">
        <f>F293</f>
        <v/>
      </c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idden="1" ht="15.5" customHeight="1">
      <c r="B294" s="67" t="n"/>
      <c r="C294" s="117" t="n"/>
      <c r="D294" s="97" t="inlineStr">
        <is>
          <t>Meal Allowance</t>
        </is>
      </c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idden="1" ht="15.5" customHeight="1">
      <c r="B295" s="67" t="n">
        <v>45437</v>
      </c>
      <c r="C295" s="91" t="n">
        <v>10</v>
      </c>
      <c r="D295" s="95" t="inlineStr">
        <is>
          <t>Meals 7 days 1 Persons @ 150K IDR/day</t>
        </is>
      </c>
      <c r="E295" s="95" t="n"/>
      <c r="F295" s="93" t="n">
        <v>900000</v>
      </c>
      <c r="G295" s="91" t="inlineStr">
        <is>
          <t>IDR</t>
        </is>
      </c>
      <c r="H295" s="91" t="n">
        <v>1</v>
      </c>
      <c r="I295" s="62">
        <f>F295</f>
        <v/>
      </c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>
      <c r="B296" s="67" t="n"/>
      <c r="C296" s="117" t="n"/>
      <c r="D296" s="97" t="inlineStr">
        <is>
          <t>Allowance</t>
        </is>
      </c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idden="1" ht="15.5" customHeight="1">
      <c r="B297" s="67" t="n">
        <v>45437</v>
      </c>
      <c r="C297" s="117" t="n">
        <v>11</v>
      </c>
      <c r="D297" s="95" t="inlineStr">
        <is>
          <t>Tunjangan Lapangan for 6 days</t>
        </is>
      </c>
      <c r="E297" s="95" t="n"/>
      <c r="F297" s="93" t="n">
        <v>600</v>
      </c>
      <c r="G297" s="91" t="inlineStr">
        <is>
          <t>USD</t>
        </is>
      </c>
      <c r="H297" s="100" t="n">
        <v>16196</v>
      </c>
      <c r="I297" s="62">
        <f>H297*F297</f>
        <v/>
      </c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idden="1" ht="15.5" customHeight="1">
      <c r="B298" s="78" t="inlineStr">
        <is>
          <t>Expense#18</t>
        </is>
      </c>
      <c r="C298" s="85" t="inlineStr">
        <is>
          <t>:</t>
        </is>
      </c>
      <c r="D298" s="86" t="inlineStr">
        <is>
          <t>Non Trip - BOSIET Training - DS</t>
        </is>
      </c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idden="1" ht="15.5" customHeight="1">
      <c r="B299" s="14" t="n"/>
      <c r="C299" s="15" t="n"/>
      <c r="D299" s="106" t="inlineStr">
        <is>
          <t>Training</t>
        </is>
      </c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idden="1" ht="15.5" customHeight="1">
      <c r="B300" s="14" t="n">
        <v>45450</v>
      </c>
      <c r="C300" s="15" t="n">
        <v>1</v>
      </c>
      <c r="D300" s="18" t="inlineStr">
        <is>
          <t>BOSIET 5 - 7 June 2024</t>
        </is>
      </c>
      <c r="E300" s="18" t="n"/>
      <c r="F300" s="21" t="n">
        <v>9693878</v>
      </c>
      <c r="G300" s="15" t="inlineStr">
        <is>
          <t>IDR</t>
        </is>
      </c>
      <c r="H300" s="15" t="n">
        <v>1</v>
      </c>
      <c r="I300" s="61">
        <f>$F300*$H300</f>
        <v/>
      </c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idden="1" ht="15.5" customHeight="1">
      <c r="B301" s="102" t="n"/>
      <c r="C301" s="15" t="n"/>
      <c r="D301" s="106" t="inlineStr">
        <is>
          <t>transportasi Darat</t>
        </is>
      </c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idden="1" ht="15.5" customHeight="1">
      <c r="B302" s="107" t="n">
        <v>45448</v>
      </c>
      <c r="C302" s="15" t="n">
        <v>2</v>
      </c>
      <c r="D302" s="113" t="inlineStr">
        <is>
          <t>Personal Car from Home to PT. LTJ (converted) DAY-1</t>
        </is>
      </c>
      <c r="E302" s="113" t="n"/>
      <c r="F302" s="21">
        <f>120000+113000</f>
        <v/>
      </c>
      <c r="G302" s="15" t="inlineStr">
        <is>
          <t>IDR</t>
        </is>
      </c>
      <c r="H302" s="15" t="n">
        <v>1</v>
      </c>
      <c r="I302" s="61">
        <f>$H302*$F302</f>
        <v/>
      </c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idden="1" ht="15.5" customHeight="1">
      <c r="B303" s="107" t="n">
        <v>45449</v>
      </c>
      <c r="C303" s="15" t="n">
        <v>3</v>
      </c>
      <c r="D303" s="113" t="inlineStr">
        <is>
          <t xml:space="preserve">Transport DAY - 2 BOSIET </t>
        </is>
      </c>
      <c r="E303" s="113" t="n"/>
      <c r="F303" s="21">
        <f>25000+10000+25000+3000+10000</f>
        <v/>
      </c>
      <c r="G303" s="15" t="inlineStr">
        <is>
          <t>IDR</t>
        </is>
      </c>
      <c r="H303" s="15" t="n">
        <v>1</v>
      </c>
      <c r="I303" s="61">
        <f>$H303*$F303</f>
        <v/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idden="1" ht="15.5" customHeight="1">
      <c r="B304" s="102" t="n">
        <v>45450</v>
      </c>
      <c r="C304" s="15" t="n">
        <v>4</v>
      </c>
      <c r="D304" s="63" t="inlineStr">
        <is>
          <t xml:space="preserve">Transport DAY - 3 BOSIET </t>
        </is>
      </c>
      <c r="E304" s="63" t="n"/>
      <c r="F304" s="21">
        <f>25000+10000+16000+3000+5000</f>
        <v/>
      </c>
      <c r="G304" s="15" t="inlineStr">
        <is>
          <t>IDR</t>
        </is>
      </c>
      <c r="H304" s="15" t="n">
        <v>1</v>
      </c>
      <c r="I304" s="61">
        <f>$H304*$F304</f>
        <v/>
      </c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idden="1" ht="15.5" customHeight="1">
      <c r="B305" s="78" t="inlineStr">
        <is>
          <t>Expense#19</t>
        </is>
      </c>
      <c r="C305" s="85" t="inlineStr">
        <is>
          <t>:</t>
        </is>
      </c>
      <c r="D305" s="86" t="inlineStr">
        <is>
          <t>ALFA JRK-163 (Pending job) - TMA</t>
        </is>
      </c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idden="1" ht="15.5" customHeight="1">
      <c r="B306" s="67" t="n"/>
      <c r="C306" s="91" t="n"/>
      <c r="D306" s="97" t="inlineStr">
        <is>
          <t>Hotel and Loundry</t>
        </is>
      </c>
      <c r="E306" s="97" t="n"/>
      <c r="F306" s="103" t="n"/>
      <c r="G306" s="91" t="n"/>
      <c r="H306" s="91" t="n"/>
      <c r="I306" s="241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idden="1" ht="15.5" customHeight="1">
      <c r="B307" s="67" t="n">
        <v>45428</v>
      </c>
      <c r="C307" s="91" t="n">
        <v>1</v>
      </c>
      <c r="D307" s="95" t="inlineStr">
        <is>
          <t>Hotel 16 June - 19 June (3 days)</t>
        </is>
      </c>
      <c r="E307" s="95" t="n"/>
      <c r="F307" s="103" t="n">
        <v>720000</v>
      </c>
      <c r="G307" s="91" t="inlineStr">
        <is>
          <t>IDR</t>
        </is>
      </c>
      <c r="H307" s="91" t="n">
        <v>1</v>
      </c>
      <c r="I307" s="241">
        <f>F307</f>
        <v/>
      </c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idden="1" ht="15.5" customHeight="1">
      <c r="B308" s="67" t="n">
        <v>45428</v>
      </c>
      <c r="C308" s="91" t="n">
        <v>2</v>
      </c>
      <c r="D308" s="95" t="inlineStr">
        <is>
          <t>Laundry 4 days 1 Persons @ 50K IDR/day</t>
        </is>
      </c>
      <c r="E308" s="95" t="n"/>
      <c r="F308" s="103">
        <f>4*50000</f>
        <v/>
      </c>
      <c r="G308" s="91" t="inlineStr">
        <is>
          <t>IDR</t>
        </is>
      </c>
      <c r="H308" s="91" t="n">
        <v>1</v>
      </c>
      <c r="I308" s="61">
        <f>F308</f>
        <v/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>
      <c r="B309" s="67" t="n"/>
      <c r="C309" s="91" t="n"/>
      <c r="D309" s="97" t="inlineStr">
        <is>
          <t>Transportation</t>
        </is>
      </c>
      <c r="E309" s="97" t="n"/>
      <c r="F309" s="103" t="n"/>
      <c r="G309" s="91" t="n"/>
      <c r="H309" s="91" t="n"/>
      <c r="I309" s="241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>
      <c r="B310" s="67" t="n">
        <v>45428</v>
      </c>
      <c r="C310" s="91" t="n">
        <v>3</v>
      </c>
      <c r="D310" s="95" t="inlineStr">
        <is>
          <t xml:space="preserve">Airplane Ticket CGK-PLM </t>
        </is>
      </c>
      <c r="E310" s="95" t="n"/>
      <c r="F310" s="103" t="n">
        <v>995500</v>
      </c>
      <c r="G310" s="91" t="inlineStr">
        <is>
          <t>IDR</t>
        </is>
      </c>
      <c r="H310" s="91" t="n">
        <v>1</v>
      </c>
      <c r="I310" s="61">
        <f>$H310*$F310</f>
        <v/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>
      <c r="B311" s="67" t="n">
        <v>45428</v>
      </c>
      <c r="C311" s="91" t="n">
        <v>4</v>
      </c>
      <c r="D311" s="95" t="inlineStr">
        <is>
          <t>Taxi Pondok Cabe-CGK</t>
        </is>
      </c>
      <c r="E311" s="95" t="n"/>
      <c r="F311" s="103" t="n">
        <v>273500</v>
      </c>
      <c r="G311" s="91" t="inlineStr">
        <is>
          <t>IDR</t>
        </is>
      </c>
      <c r="H311" s="91" t="n">
        <v>1</v>
      </c>
      <c r="I311" s="61">
        <f>$H311*$F311</f>
        <v/>
      </c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>
      <c r="B312" s="67" t="n">
        <v>45428</v>
      </c>
      <c r="C312" s="91" t="n">
        <v>5</v>
      </c>
      <c r="D312" s="95" t="inlineStr">
        <is>
          <t>Toll Prabumulih (PP)</t>
        </is>
      </c>
      <c r="E312" s="95" t="n"/>
      <c r="F312" s="103" t="n">
        <v>224000</v>
      </c>
      <c r="G312" s="91" t="inlineStr">
        <is>
          <t>IDR</t>
        </is>
      </c>
      <c r="H312" s="91" t="n">
        <v>1</v>
      </c>
      <c r="I312" s="61">
        <f>$H312*$F312</f>
        <v/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>
      <c r="B313" s="67" t="n">
        <v>45428</v>
      </c>
      <c r="C313" s="91" t="n">
        <v>6</v>
      </c>
      <c r="D313" s="95" t="inlineStr">
        <is>
          <t>Rent Car 4 Days</t>
        </is>
      </c>
      <c r="E313" s="95" t="n"/>
      <c r="F313" s="103" t="n">
        <v>2000000</v>
      </c>
      <c r="G313" s="91" t="inlineStr">
        <is>
          <t>IDR</t>
        </is>
      </c>
      <c r="H313" s="91" t="n">
        <v>1</v>
      </c>
      <c r="I313" s="61">
        <f>$H313*$F313</f>
        <v/>
      </c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idden="1" ht="15.5" customHeight="1">
      <c r="B314" s="67" t="n">
        <v>45428</v>
      </c>
      <c r="C314" s="91" t="n">
        <v>7</v>
      </c>
      <c r="D314" s="98" t="inlineStr">
        <is>
          <t>Gasoline</t>
        </is>
      </c>
      <c r="E314" s="98" t="n"/>
      <c r="F314" s="103" t="n">
        <v>330000</v>
      </c>
      <c r="G314" s="91" t="inlineStr">
        <is>
          <t>IDR</t>
        </is>
      </c>
      <c r="H314" s="91" t="n">
        <v>1</v>
      </c>
      <c r="I314" s="61">
        <f>$H314*$F314</f>
        <v/>
      </c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idden="1" ht="15.5" customHeight="1">
      <c r="B315" s="67" t="n">
        <v>45428</v>
      </c>
      <c r="C315" s="91" t="n">
        <v>8</v>
      </c>
      <c r="D315" s="98" t="inlineStr">
        <is>
          <t>Taxi HLP-Pondok Cabe (inc Toll+Parking)</t>
        </is>
      </c>
      <c r="E315" s="98" t="n"/>
      <c r="F315" s="103" t="n">
        <v>270000</v>
      </c>
      <c r="G315" s="91" t="inlineStr">
        <is>
          <t>IDR</t>
        </is>
      </c>
      <c r="H315" s="91" t="n">
        <v>1</v>
      </c>
      <c r="I315" s="61">
        <f>$H315*$F315</f>
        <v/>
      </c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idden="1" ht="15.5" customHeight="1">
      <c r="B316" s="67" t="n">
        <v>45428</v>
      </c>
      <c r="C316" s="91" t="n">
        <v>9</v>
      </c>
      <c r="D316" s="95" t="inlineStr">
        <is>
          <t>Airplane Ticket PLM-HLP</t>
        </is>
      </c>
      <c r="E316" s="95" t="n"/>
      <c r="F316" s="103" t="n">
        <v>1004000</v>
      </c>
      <c r="G316" s="91" t="inlineStr">
        <is>
          <t>IDR</t>
        </is>
      </c>
      <c r="H316" s="91" t="n">
        <v>1</v>
      </c>
      <c r="I316" s="61">
        <f>$H316*$F316</f>
        <v/>
      </c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idden="1" ht="15.5" customHeight="1">
      <c r="B317" s="67" t="n"/>
      <c r="C317" s="117" t="n"/>
      <c r="D317" s="97" t="inlineStr">
        <is>
          <t>Logistic</t>
        </is>
      </c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idden="1" ht="15.5" customHeight="1">
      <c r="B318" s="67" t="n">
        <v>45428</v>
      </c>
      <c r="C318" s="91" t="n">
        <v>9</v>
      </c>
      <c r="D318" s="95" t="inlineStr">
        <is>
          <t>Uneed Power Station</t>
        </is>
      </c>
      <c r="E318" s="95" t="n"/>
      <c r="F318" s="99" t="n">
        <v>2371000</v>
      </c>
      <c r="G318" s="91" t="inlineStr">
        <is>
          <t>IDR</t>
        </is>
      </c>
      <c r="H318" s="91" t="n">
        <v>1</v>
      </c>
      <c r="I318" s="62" t="n"/>
      <c r="J318" s="62" t="n"/>
      <c r="K318" s="44" t="n"/>
      <c r="L318" s="44" t="n"/>
      <c r="M318" s="61" t="n"/>
      <c r="N318" s="62">
        <f>F318</f>
        <v/>
      </c>
      <c r="O318" s="44" t="n"/>
      <c r="P318" s="44" t="n"/>
      <c r="Q318" s="44" t="n"/>
    </row>
    <row r="319" hidden="1" ht="15.5" customHeight="1">
      <c r="B319" s="67" t="n"/>
      <c r="C319" s="117" t="n"/>
      <c r="D319" s="97" t="inlineStr">
        <is>
          <t>Meal Allowance</t>
        </is>
      </c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>
      <c r="B320" s="67" t="n">
        <v>45428</v>
      </c>
      <c r="C320" s="91" t="n">
        <v>10</v>
      </c>
      <c r="D320" s="95" t="inlineStr">
        <is>
          <t>Meals 4 days 1 Persons @ 150K IDR/day</t>
        </is>
      </c>
      <c r="E320" s="95" t="n"/>
      <c r="F320" s="103">
        <f>4*150000</f>
        <v/>
      </c>
      <c r="G320" s="91" t="inlineStr">
        <is>
          <t>IDR</t>
        </is>
      </c>
      <c r="H320" s="91" t="n">
        <v>1</v>
      </c>
      <c r="I320" s="62">
        <f>F320</f>
        <v/>
      </c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idden="1" ht="15.5" customHeight="1">
      <c r="B321" s="67" t="n"/>
      <c r="C321" s="117" t="n"/>
      <c r="D321" s="97" t="inlineStr">
        <is>
          <t>Allowance</t>
        </is>
      </c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idden="1" ht="15.5" customHeight="1">
      <c r="B322" s="67" t="n">
        <v>45428</v>
      </c>
      <c r="C322" s="117" t="n">
        <v>11</v>
      </c>
      <c r="D322" s="95" t="inlineStr">
        <is>
          <t xml:space="preserve">Tunjangan Lapangan for 4 days </t>
        </is>
      </c>
      <c r="E322" s="95" t="n"/>
      <c r="F322" s="103">
        <f>4*100</f>
        <v/>
      </c>
      <c r="G322" s="91" t="inlineStr">
        <is>
          <t>USD</t>
        </is>
      </c>
      <c r="H322" s="100" t="n">
        <v>16378</v>
      </c>
      <c r="I322" s="62">
        <f>H322*F322</f>
        <v/>
      </c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idden="1" ht="15.5" customHeight="1">
      <c r="B323" s="78" t="inlineStr">
        <is>
          <t>Expense#20</t>
        </is>
      </c>
      <c r="C323" s="85" t="inlineStr">
        <is>
          <t>:</t>
        </is>
      </c>
      <c r="D323" s="86" t="inlineStr">
        <is>
          <t>Preparation TIS Petroleum - TMA</t>
        </is>
      </c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idden="1" ht="15.5" customHeight="1">
      <c r="B324" s="67" t="n"/>
      <c r="C324" s="91" t="n"/>
      <c r="D324" s="97" t="inlineStr">
        <is>
          <t>Transportation</t>
        </is>
      </c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idden="1" ht="15.5" customHeight="1">
      <c r="B325" s="67" t="n">
        <v>45478</v>
      </c>
      <c r="C325" s="91" t="n">
        <v>1</v>
      </c>
      <c r="D325" s="95" t="inlineStr">
        <is>
          <t>Lalamove Gowell-Bogor-Gowell</t>
        </is>
      </c>
      <c r="E325" s="95" t="n"/>
      <c r="F325" s="103">
        <f>288715+306089</f>
        <v/>
      </c>
      <c r="G325" s="91" t="inlineStr">
        <is>
          <t>IDR</t>
        </is>
      </c>
      <c r="H325" s="91" t="n">
        <v>1</v>
      </c>
      <c r="I325" s="61">
        <f>$H325*$F325</f>
        <v/>
      </c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idden="1" ht="15.5" customHeight="1">
      <c r="B326" s="67" t="n"/>
      <c r="C326" s="91" t="n"/>
      <c r="D326" s="97" t="inlineStr">
        <is>
          <t>Logistic</t>
        </is>
      </c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idden="1" ht="15.5" customHeight="1">
      <c r="B327" s="67" t="n">
        <v>45483</v>
      </c>
      <c r="C327" s="91" t="n">
        <v>2</v>
      </c>
      <c r="D327" s="95" t="inlineStr">
        <is>
          <t>Pin Punch</t>
        </is>
      </c>
      <c r="E327" s="95" t="n"/>
      <c r="F327" s="103" t="n">
        <v>381960</v>
      </c>
      <c r="G327" s="91" t="inlineStr">
        <is>
          <t>IDR</t>
        </is>
      </c>
      <c r="H327" s="91" t="n">
        <v>1</v>
      </c>
      <c r="I327" s="62" t="n"/>
      <c r="J327" s="62" t="n"/>
      <c r="K327" s="44" t="n"/>
      <c r="L327" s="44" t="n"/>
      <c r="M327" s="61" t="n"/>
      <c r="N327" s="61">
        <f>F327</f>
        <v/>
      </c>
      <c r="O327" s="44" t="n"/>
      <c r="P327" s="44" t="n"/>
      <c r="Q327" s="44" t="n"/>
    </row>
    <row r="328" hidden="1" ht="15.5" customHeight="1">
      <c r="B328" s="67" t="n">
        <v>45483</v>
      </c>
      <c r="C328" s="91" t="n">
        <v>3</v>
      </c>
      <c r="D328" s="95" t="inlineStr">
        <is>
          <t>Hardcase Custom</t>
        </is>
      </c>
      <c r="E328" s="95" t="n"/>
      <c r="F328" s="103" t="n">
        <v>3595000</v>
      </c>
      <c r="G328" s="91" t="inlineStr">
        <is>
          <t>IDR</t>
        </is>
      </c>
      <c r="H328" s="91" t="n">
        <v>1</v>
      </c>
      <c r="I328" s="62" t="n"/>
      <c r="J328" s="62" t="n"/>
      <c r="K328" s="44" t="n"/>
      <c r="L328" s="44" t="n"/>
      <c r="M328" s="61" t="n"/>
      <c r="N328" s="61">
        <f>F328</f>
        <v/>
      </c>
      <c r="O328" s="44" t="n"/>
      <c r="P328" s="44" t="n"/>
      <c r="Q328" s="44" t="n"/>
    </row>
    <row r="329" hidden="1" ht="15.5" customHeight="1">
      <c r="B329" s="78" t="inlineStr">
        <is>
          <t>Expense#21</t>
        </is>
      </c>
      <c r="C329" s="85" t="inlineStr">
        <is>
          <t>:</t>
        </is>
      </c>
      <c r="D329" s="86" t="inlineStr">
        <is>
          <t>Delivery Tools Sonoecho (KL) - TMA</t>
        </is>
      </c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idden="1" ht="15.5" customHeight="1">
      <c r="B330" s="67" t="n"/>
      <c r="C330" s="91" t="n"/>
      <c r="D330" s="97" t="inlineStr">
        <is>
          <t>Hotel</t>
        </is>
      </c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idden="1" ht="15.5" customHeight="1">
      <c r="B331" s="67" t="n">
        <v>45481</v>
      </c>
      <c r="C331" s="91" t="n">
        <v>1</v>
      </c>
      <c r="D331" s="95" t="inlineStr">
        <is>
          <t>Hotel</t>
        </is>
      </c>
      <c r="E331" s="95" t="n"/>
      <c r="F331" s="93" t="n">
        <v>344305</v>
      </c>
      <c r="G331" s="91" t="inlineStr">
        <is>
          <t>IDR</t>
        </is>
      </c>
      <c r="H331" s="91" t="n">
        <v>1</v>
      </c>
      <c r="I331" s="241">
        <f>F331</f>
        <v/>
      </c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idden="1" ht="15.5" customHeight="1">
      <c r="B332" s="67" t="n">
        <v>45481</v>
      </c>
      <c r="C332" s="91" t="n">
        <v>2</v>
      </c>
      <c r="D332" s="98" t="inlineStr">
        <is>
          <t>Hotel Tax Foreigner</t>
        </is>
      </c>
      <c r="E332" s="98" t="n"/>
      <c r="F332" s="93" t="n">
        <v>10</v>
      </c>
      <c r="G332" s="91" t="inlineStr">
        <is>
          <t>MYR</t>
        </is>
      </c>
      <c r="H332" s="91" t="n">
        <v>3462</v>
      </c>
      <c r="I332" s="61">
        <f>H332*F332</f>
        <v/>
      </c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idden="1" ht="15.5" customHeight="1">
      <c r="B333" s="67" t="n"/>
      <c r="C333" s="91" t="n"/>
      <c r="D333" s="97" t="inlineStr">
        <is>
          <t>Transportation</t>
        </is>
      </c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idden="1" ht="15.5" customHeight="1">
      <c r="B334" s="67" t="n">
        <v>45481</v>
      </c>
      <c r="C334" s="91" t="n">
        <v>3</v>
      </c>
      <c r="D334" s="95" t="inlineStr">
        <is>
          <t>Airplane Ticket CGK-KLIA</t>
        </is>
      </c>
      <c r="E334" s="95" t="n"/>
      <c r="F334" s="93" t="n">
        <v>4912100</v>
      </c>
      <c r="G334" s="91" t="inlineStr">
        <is>
          <t>IDR</t>
        </is>
      </c>
      <c r="H334" s="91" t="n">
        <v>1</v>
      </c>
      <c r="I334" s="61">
        <f>$H334*$F334</f>
        <v/>
      </c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idden="1" ht="15.5" customHeight="1">
      <c r="B335" s="67" t="n">
        <v>45481</v>
      </c>
      <c r="C335" s="91" t="n">
        <v>4</v>
      </c>
      <c r="D335" s="98" t="inlineStr">
        <is>
          <t>Taxi Home - CGK</t>
        </is>
      </c>
      <c r="E335" s="98" t="n"/>
      <c r="F335" s="93" t="n">
        <v>250000</v>
      </c>
      <c r="G335" s="91" t="inlineStr">
        <is>
          <t>IDR</t>
        </is>
      </c>
      <c r="H335" s="91" t="n">
        <v>1</v>
      </c>
      <c r="I335" s="61">
        <f>$H335*$F335</f>
        <v/>
      </c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idden="1" ht="15.5" customHeight="1">
      <c r="B336" s="67" t="n">
        <v>45481</v>
      </c>
      <c r="C336" s="91" t="n">
        <v>5</v>
      </c>
      <c r="D336" s="98" t="inlineStr">
        <is>
          <t>Taxi KLIA - Hotel</t>
        </is>
      </c>
      <c r="E336" s="98" t="n"/>
      <c r="F336" s="93" t="n">
        <v>72</v>
      </c>
      <c r="G336" s="91" t="inlineStr">
        <is>
          <t>MYR</t>
        </is>
      </c>
      <c r="H336" s="91" t="n">
        <v>3462</v>
      </c>
      <c r="I336" s="61">
        <f>$H336*$F336</f>
        <v/>
      </c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idden="1" ht="15.5" customHeight="1">
      <c r="B337" s="67" t="n">
        <v>45482</v>
      </c>
      <c r="C337" s="91" t="n">
        <v>6</v>
      </c>
      <c r="D337" s="95" t="inlineStr">
        <is>
          <t>Taxi Hyperseal - Hotel</t>
        </is>
      </c>
      <c r="E337" s="95" t="n"/>
      <c r="F337" s="93" t="n">
        <v>8</v>
      </c>
      <c r="G337" s="91" t="inlineStr">
        <is>
          <t>MYR</t>
        </is>
      </c>
      <c r="H337" s="91" t="n">
        <v>3462</v>
      </c>
      <c r="I337" s="61">
        <f>$H337*$F337</f>
        <v/>
      </c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idden="1" ht="15.5" customHeight="1">
      <c r="B338" s="67" t="n">
        <v>45482</v>
      </c>
      <c r="C338" s="91" t="n">
        <v>7</v>
      </c>
      <c r="D338" s="95" t="inlineStr">
        <is>
          <t>Taxi Hotel - KLIA</t>
        </is>
      </c>
      <c r="E338" s="95" t="n"/>
      <c r="F338" s="93" t="n">
        <v>82.03</v>
      </c>
      <c r="G338" s="91" t="inlineStr">
        <is>
          <t>MYR</t>
        </is>
      </c>
      <c r="H338" s="91" t="n">
        <v>3462</v>
      </c>
      <c r="I338" s="61">
        <f>$H338*$F338</f>
        <v/>
      </c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idden="1" ht="15.5" customHeight="1">
      <c r="B339" s="67" t="n">
        <v>45482</v>
      </c>
      <c r="C339" s="91" t="n">
        <v>8</v>
      </c>
      <c r="D339" s="98" t="inlineStr">
        <is>
          <t>Taxi CGK - Home</t>
        </is>
      </c>
      <c r="E339" s="98" t="n"/>
      <c r="F339" s="93" t="n">
        <v>259120</v>
      </c>
      <c r="G339" s="91" t="inlineStr">
        <is>
          <t>IDR</t>
        </is>
      </c>
      <c r="H339" s="91" t="n">
        <v>1</v>
      </c>
      <c r="I339" s="61">
        <f>$H339*$F339</f>
        <v/>
      </c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idden="1" ht="15.5" customHeight="1">
      <c r="B340" s="67" t="n"/>
      <c r="C340" s="91" t="n"/>
      <c r="D340" s="97" t="inlineStr">
        <is>
          <t>Logistic</t>
        </is>
      </c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idden="1" ht="15.5" customHeight="1">
      <c r="B341" s="102" t="n">
        <v>45483</v>
      </c>
      <c r="C341" s="15" t="n">
        <v>9</v>
      </c>
      <c r="D341" s="18" t="inlineStr">
        <is>
          <t>Asus Slate 13 (tablet asus)</t>
        </is>
      </c>
      <c r="E341" s="18" t="n"/>
      <c r="F341" s="96" t="n">
        <v>9778400</v>
      </c>
      <c r="G341" s="91" t="inlineStr">
        <is>
          <t>IDR</t>
        </is>
      </c>
      <c r="H341" s="91" t="n">
        <v>1</v>
      </c>
      <c r="I341" s="62" t="n"/>
      <c r="J341" s="62" t="n"/>
      <c r="K341" s="62" t="n"/>
      <c r="L341" s="62" t="n"/>
      <c r="M341" s="62" t="n"/>
      <c r="N341" s="62">
        <f>F341</f>
        <v/>
      </c>
      <c r="O341" s="62" t="n"/>
      <c r="P341" s="62" t="n"/>
      <c r="Q341" s="62" t="n"/>
    </row>
    <row r="342" hidden="1" ht="15.5" customHeight="1">
      <c r="B342" s="67" t="n">
        <v>45483</v>
      </c>
      <c r="C342" s="91" t="n">
        <v>10</v>
      </c>
      <c r="D342" s="98" t="inlineStr">
        <is>
          <t>OTG Type C</t>
        </is>
      </c>
      <c r="E342" s="98" t="n"/>
      <c r="F342" s="93" t="n">
        <v>163100</v>
      </c>
      <c r="G342" s="91" t="inlineStr">
        <is>
          <t>IDR</t>
        </is>
      </c>
      <c r="H342" s="91" t="n">
        <v>1</v>
      </c>
      <c r="I342" s="62" t="n"/>
      <c r="J342" s="44" t="n"/>
      <c r="K342" s="44" t="n"/>
      <c r="L342" s="44" t="n"/>
      <c r="M342" s="44" t="n"/>
      <c r="N342" s="62">
        <f>F342</f>
        <v/>
      </c>
      <c r="O342" s="44" t="n"/>
      <c r="P342" s="44" t="n"/>
      <c r="Q342" s="44" t="n"/>
    </row>
    <row r="343" hidden="1" ht="15.5" customHeight="1">
      <c r="B343" s="78" t="inlineStr">
        <is>
          <t>Expense#22</t>
        </is>
      </c>
      <c r="C343" s="85" t="inlineStr">
        <is>
          <t>:</t>
        </is>
      </c>
      <c r="D343" s="112" t="inlineStr">
        <is>
          <t>Non project ( MCU ulang )_ IBR</t>
        </is>
      </c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idden="1" ht="15.5" customHeight="1">
      <c r="B344" s="14" t="n"/>
      <c r="C344" s="15" t="n"/>
      <c r="D344" s="44" t="inlineStr">
        <is>
          <t>Medical</t>
        </is>
      </c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idden="1" ht="15.5" customHeight="1">
      <c r="B345" s="14" t="n">
        <v>45446</v>
      </c>
      <c r="C345" s="15" t="n">
        <v>1</v>
      </c>
      <c r="D345" s="18" t="inlineStr">
        <is>
          <t>Konsultasi Spesialis Penyakit Dalam</t>
        </is>
      </c>
      <c r="E345" s="18" t="n"/>
      <c r="F345" s="21" t="n">
        <v>206000</v>
      </c>
      <c r="G345" s="15" t="inlineStr">
        <is>
          <t>IDR</t>
        </is>
      </c>
      <c r="H345" s="15" t="n">
        <v>1</v>
      </c>
      <c r="I345" s="44" t="n"/>
      <c r="J345" s="44" t="n"/>
      <c r="K345" s="44" t="n"/>
      <c r="L345" s="44" t="n"/>
      <c r="M345" s="62" t="n"/>
      <c r="N345" s="44" t="n"/>
      <c r="O345" s="44" t="n"/>
      <c r="P345" s="62">
        <f>F345</f>
        <v/>
      </c>
      <c r="Q345" s="44" t="n"/>
    </row>
    <row r="346" hidden="1" ht="15.5" customHeight="1">
      <c r="B346" s="14" t="n">
        <v>45446</v>
      </c>
      <c r="C346" s="15" t="n">
        <v>2</v>
      </c>
      <c r="D346" s="18" t="inlineStr">
        <is>
          <t>Unit Labolatorium</t>
        </is>
      </c>
      <c r="E346" s="18" t="n"/>
      <c r="F346" s="21" t="n">
        <v>1474000</v>
      </c>
      <c r="G346" s="15" t="inlineStr">
        <is>
          <t>IDR</t>
        </is>
      </c>
      <c r="H346" s="15" t="n">
        <v>1</v>
      </c>
      <c r="I346" s="44" t="n"/>
      <c r="J346" s="44" t="n"/>
      <c r="K346" s="44" t="n"/>
      <c r="L346" s="44" t="n"/>
      <c r="M346" s="61" t="n"/>
      <c r="N346" s="44" t="n"/>
      <c r="O346" s="44" t="n"/>
      <c r="P346" s="62">
        <f>F346</f>
        <v/>
      </c>
      <c r="Q346" s="44" t="n"/>
    </row>
    <row r="347" hidden="1" ht="15.5" customHeight="1">
      <c r="B347" s="14" t="n">
        <v>45453</v>
      </c>
      <c r="C347" s="15" t="n">
        <v>3</v>
      </c>
      <c r="D347" s="18" t="inlineStr">
        <is>
          <t>Konsultasi Spesialis Penyakit Dalam</t>
        </is>
      </c>
      <c r="E347" s="18" t="n"/>
      <c r="F347" s="21" t="n">
        <v>206000</v>
      </c>
      <c r="G347" s="15" t="inlineStr">
        <is>
          <t>IDR</t>
        </is>
      </c>
      <c r="H347" s="15" t="n">
        <v>1</v>
      </c>
      <c r="I347" s="44" t="n"/>
      <c r="J347" s="44" t="n"/>
      <c r="K347" s="44" t="n"/>
      <c r="L347" s="44" t="n"/>
      <c r="M347" s="61" t="n"/>
      <c r="N347" s="44" t="n"/>
      <c r="O347" s="44" t="n"/>
      <c r="P347" s="62">
        <f>F347</f>
        <v/>
      </c>
      <c r="Q347" s="44" t="n"/>
    </row>
    <row r="348" hidden="1" ht="15.5" customHeight="1">
      <c r="B348" s="14" t="n">
        <v>45453</v>
      </c>
      <c r="C348" s="15" t="n">
        <v>4</v>
      </c>
      <c r="D348" s="18" t="inlineStr">
        <is>
          <t xml:space="preserve">Farmasi </t>
        </is>
      </c>
      <c r="E348" s="18" t="n"/>
      <c r="F348" s="21" t="n">
        <v>109000</v>
      </c>
      <c r="G348" s="15" t="inlineStr">
        <is>
          <t>IDR</t>
        </is>
      </c>
      <c r="H348" s="15" t="n">
        <v>1</v>
      </c>
      <c r="I348" s="44" t="n"/>
      <c r="J348" s="44" t="n"/>
      <c r="K348" s="44" t="n"/>
      <c r="L348" s="44" t="n"/>
      <c r="M348" s="61" t="n"/>
      <c r="N348" s="44" t="n"/>
      <c r="O348" s="44" t="n"/>
      <c r="P348" s="62">
        <f>F348</f>
        <v/>
      </c>
      <c r="Q348" s="44" t="n"/>
    </row>
    <row r="349" hidden="1" ht="15.5" customHeight="1">
      <c r="B349" s="78" t="inlineStr">
        <is>
          <t>Expense#23</t>
        </is>
      </c>
      <c r="C349" s="85" t="inlineStr">
        <is>
          <t>:</t>
        </is>
      </c>
      <c r="D349" s="86" t="inlineStr">
        <is>
          <t>ALFA job - JRK-163 (Job)_undr Sijak_ DS</t>
        </is>
      </c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idden="1" ht="15.5" customHeight="1">
      <c r="B350" s="14" t="n"/>
      <c r="C350" s="15" t="n"/>
      <c r="D350" s="106" t="inlineStr">
        <is>
          <t>Air Tikect</t>
        </is>
      </c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idden="1" ht="15.5" customHeight="1">
      <c r="B351" s="102" t="n">
        <v>45494</v>
      </c>
      <c r="C351" s="15" t="n"/>
      <c r="D351" s="18" t="inlineStr">
        <is>
          <t>Jakarta - Palembang</t>
        </is>
      </c>
      <c r="E351" s="18" t="n"/>
      <c r="F351" s="21" t="n">
        <v>985367</v>
      </c>
      <c r="G351" s="15" t="inlineStr">
        <is>
          <t>IDR</t>
        </is>
      </c>
      <c r="H351" s="15" t="n">
        <v>1</v>
      </c>
      <c r="I351" s="61">
        <f>$H351*$F351</f>
        <v/>
      </c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idden="1" ht="15.5" customHeight="1">
      <c r="B352" s="102" t="n">
        <v>45500</v>
      </c>
      <c r="C352" s="15" t="n"/>
      <c r="D352" s="18" t="inlineStr">
        <is>
          <t>Palembang - Jakarta + Extra Bagage</t>
        </is>
      </c>
      <c r="E352" s="18" t="n"/>
      <c r="F352" s="21" t="n">
        <v>1175717</v>
      </c>
      <c r="G352" s="15" t="inlineStr">
        <is>
          <t>IDR</t>
        </is>
      </c>
      <c r="H352" s="15" t="n">
        <v>1</v>
      </c>
      <c r="I352" s="61">
        <f>$H352*$F352</f>
        <v/>
      </c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idden="1" ht="15.5" customHeight="1">
      <c r="B353" s="102" t="n"/>
      <c r="C353" s="15" t="n"/>
      <c r="D353" s="106" t="inlineStr">
        <is>
          <t>transportasi Darat</t>
        </is>
      </c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idden="1" ht="15.5" customHeight="1">
      <c r="B354" s="107" t="n">
        <v>45494</v>
      </c>
      <c r="C354" s="15" t="n"/>
      <c r="D354" s="63" t="inlineStr">
        <is>
          <t>Taxi + Tol to Airport Jakarta</t>
        </is>
      </c>
      <c r="E354" s="63" t="n"/>
      <c r="F354" s="21">
        <f> 48000+177520</f>
        <v/>
      </c>
      <c r="G354" s="15" t="inlineStr">
        <is>
          <t>IDR</t>
        </is>
      </c>
      <c r="H354" s="15" t="n">
        <v>1</v>
      </c>
      <c r="I354" s="61">
        <f>$H354*$F354</f>
        <v/>
      </c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idden="1" ht="15.5" customHeight="1">
      <c r="B355" s="102" t="n">
        <v>45494</v>
      </c>
      <c r="C355" s="15" t="n"/>
      <c r="D355" s="63" t="inlineStr">
        <is>
          <t>fuel + tol PLM-Prabu</t>
        </is>
      </c>
      <c r="E355" s="63" t="n"/>
      <c r="F355" s="21">
        <f>180060+112000</f>
        <v/>
      </c>
      <c r="G355" s="15" t="inlineStr">
        <is>
          <t>IDR</t>
        </is>
      </c>
      <c r="H355" s="15" t="n">
        <v>1</v>
      </c>
      <c r="I355" s="61">
        <f>$H355*$F355</f>
        <v/>
      </c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idden="1" ht="15.5" customHeight="1">
      <c r="B356" s="102" t="n">
        <v>45497</v>
      </c>
      <c r="C356" s="15" t="n"/>
      <c r="D356" s="63" t="inlineStr">
        <is>
          <t xml:space="preserve">fuel </t>
        </is>
      </c>
      <c r="E356" s="63" t="n"/>
      <c r="F356" s="21" t="n">
        <v>190430</v>
      </c>
      <c r="G356" s="15" t="inlineStr">
        <is>
          <t>IDR</t>
        </is>
      </c>
      <c r="H356" s="15" t="n">
        <v>1</v>
      </c>
      <c r="I356" s="61">
        <f>$H356*$F356</f>
        <v/>
      </c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idden="1" ht="15.5" customHeight="1">
      <c r="B357" s="102" t="n">
        <v>45500</v>
      </c>
      <c r="C357" s="15" t="n"/>
      <c r="D357" s="63" t="inlineStr">
        <is>
          <t>Tol Prabu - PLM + Fuel</t>
        </is>
      </c>
      <c r="E357" s="63" t="n"/>
      <c r="F357" s="21">
        <f>112000+150000</f>
        <v/>
      </c>
      <c r="G357" s="15" t="inlineStr">
        <is>
          <t>IDR</t>
        </is>
      </c>
      <c r="H357" s="15" t="n">
        <v>1</v>
      </c>
      <c r="I357" s="61">
        <f>$H357*$F357</f>
        <v/>
      </c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>
      <c r="B358" s="102" t="n">
        <v>45500</v>
      </c>
      <c r="C358" s="15" t="n"/>
      <c r="D358" s="63" t="inlineStr">
        <is>
          <t>Tol + Taxi From Airport Jakarta</t>
        </is>
      </c>
      <c r="E358" s="63" t="n"/>
      <c r="F358" s="21">
        <f>180000+55000</f>
        <v/>
      </c>
      <c r="G358" s="15" t="inlineStr">
        <is>
          <t>IDR</t>
        </is>
      </c>
      <c r="H358" s="15" t="n">
        <v>1</v>
      </c>
      <c r="I358" s="61">
        <f>$H358*$F358</f>
        <v/>
      </c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idden="1" ht="15.5" customHeight="1">
      <c r="B359" s="102" t="n">
        <v>45500</v>
      </c>
      <c r="C359" s="15" t="n"/>
      <c r="D359" s="63" t="inlineStr">
        <is>
          <t>Car rental 21 - 27 Jul 2024</t>
        </is>
      </c>
      <c r="E359" s="63" t="n"/>
      <c r="F359" s="21">
        <f>7*500000</f>
        <v/>
      </c>
      <c r="G359" s="15" t="inlineStr">
        <is>
          <t>IDR</t>
        </is>
      </c>
      <c r="H359" s="15" t="n">
        <v>1</v>
      </c>
      <c r="I359" s="61">
        <f>$H359*$F359</f>
        <v/>
      </c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idden="1" ht="15.5" customHeight="1">
      <c r="B360" s="102" t="n"/>
      <c r="C360" s="15" t="n"/>
      <c r="D360" s="118" t="inlineStr">
        <is>
          <t>Transportasi Tools</t>
        </is>
      </c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idden="1" ht="15.5" customHeight="1">
      <c r="B361" s="102" t="n">
        <v>45494</v>
      </c>
      <c r="C361" s="15" t="n"/>
      <c r="D361" s="18" t="inlineStr">
        <is>
          <t>Jakarta - Palembang</t>
        </is>
      </c>
      <c r="E361" s="18" t="n"/>
      <c r="F361" s="21" t="n">
        <v>400000</v>
      </c>
      <c r="G361" s="15" t="inlineStr">
        <is>
          <t>IDR</t>
        </is>
      </c>
      <c r="H361" s="15" t="n">
        <v>1</v>
      </c>
      <c r="I361" s="61">
        <f>$H361*$F361</f>
        <v/>
      </c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idden="1" ht="15.5" customHeight="1">
      <c r="B362" s="102" t="n"/>
      <c r="C362" s="15" t="n"/>
      <c r="D362" s="108" t="inlineStr">
        <is>
          <t>Hotel</t>
        </is>
      </c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idden="1" ht="15.5" customHeight="1">
      <c r="B363" s="102" t="n">
        <v>45500</v>
      </c>
      <c r="C363" s="15" t="n"/>
      <c r="D363" s="63" t="inlineStr">
        <is>
          <t>Lodge 21-27 Jul 2024 (3 rooms)</t>
        </is>
      </c>
      <c r="E363" s="63" t="n"/>
      <c r="F363" s="21">
        <f>6*3*120000</f>
        <v/>
      </c>
      <c r="G363" s="15" t="inlineStr">
        <is>
          <t>IDR</t>
        </is>
      </c>
      <c r="H363" s="15" t="n">
        <v>1</v>
      </c>
      <c r="I363" s="62">
        <f>F363</f>
        <v/>
      </c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idden="1" ht="15.5" customHeight="1">
      <c r="B364" s="102" t="n"/>
      <c r="C364" s="15" t="n"/>
      <c r="D364" s="108" t="inlineStr">
        <is>
          <t>Perdiem uang makan</t>
        </is>
      </c>
      <c r="E364" s="108" t="n"/>
      <c r="F364" s="21" t="n"/>
      <c r="G364" s="15" t="n"/>
      <c r="H364" s="15" t="n"/>
      <c r="I364" s="241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idden="1" ht="15.5" customHeight="1">
      <c r="B365" s="102" t="n">
        <v>45500</v>
      </c>
      <c r="C365" s="15" t="n"/>
      <c r="D365" s="63" t="inlineStr">
        <is>
          <t>Uang Makan (21 - 27 Juli 2024)</t>
        </is>
      </c>
      <c r="E365" s="63" t="n"/>
      <c r="F365" s="21">
        <f>7*150000</f>
        <v/>
      </c>
      <c r="G365" s="15" t="inlineStr">
        <is>
          <t>IDR</t>
        </is>
      </c>
      <c r="H365" s="15" t="n">
        <v>1</v>
      </c>
      <c r="I365" s="241">
        <f>F365</f>
        <v/>
      </c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idden="1" ht="15.5" customHeight="1">
      <c r="B366" s="102" t="n"/>
      <c r="C366" s="15" t="n"/>
      <c r="D366" s="108" t="inlineStr">
        <is>
          <t>Laundry</t>
        </is>
      </c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idden="1" ht="15.5" customHeight="1">
      <c r="B367" s="102" t="n">
        <v>45500</v>
      </c>
      <c r="C367" s="15" t="n"/>
      <c r="D367" s="63" t="inlineStr">
        <is>
          <t>Laundry (21 - 27 Juli 2024)</t>
        </is>
      </c>
      <c r="E367" s="63" t="n"/>
      <c r="F367" s="21">
        <f>7*50000</f>
        <v/>
      </c>
      <c r="G367" s="15" t="inlineStr">
        <is>
          <t>IDR</t>
        </is>
      </c>
      <c r="H367" s="15" t="n">
        <v>1</v>
      </c>
      <c r="I367" s="62">
        <f>F367</f>
        <v/>
      </c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idden="1" ht="15.5" customHeight="1">
      <c r="B368" s="102" t="n"/>
      <c r="C368" s="15" t="n"/>
      <c r="D368" s="108" t="inlineStr">
        <is>
          <t>Allowance</t>
        </is>
      </c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idden="1" ht="15.5" customHeight="1">
      <c r="B369" s="102" t="n">
        <v>45500</v>
      </c>
      <c r="C369" s="15" t="n"/>
      <c r="D369" s="113" t="inlineStr">
        <is>
          <t>Tunajngan Lapangan JRK-163 (21-27 Juli 2024). 1US$=16.200</t>
        </is>
      </c>
      <c r="E369" s="113" t="n"/>
      <c r="F369" s="21">
        <f>7*100</f>
        <v/>
      </c>
      <c r="G369" s="15" t="inlineStr">
        <is>
          <t>IDR</t>
        </is>
      </c>
      <c r="H369" s="15" t="n">
        <v>16200</v>
      </c>
      <c r="I369" s="62">
        <f>H369*F369</f>
        <v/>
      </c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idden="1" ht="15.5" customHeight="1">
      <c r="B370" s="102" t="n"/>
      <c r="C370" s="15" t="n"/>
      <c r="D370" s="119" t="inlineStr">
        <is>
          <t>OPERATION</t>
        </is>
      </c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idden="1" ht="15.5" customHeight="1">
      <c r="B371" s="102" t="n">
        <v>45495</v>
      </c>
      <c r="C371" s="15" t="n"/>
      <c r="D371" s="113" t="inlineStr">
        <is>
          <t>Rags - Gloves</t>
        </is>
      </c>
      <c r="E371" s="113" t="n"/>
      <c r="F371" s="21" t="n">
        <v>70000</v>
      </c>
      <c r="G371" s="15" t="inlineStr">
        <is>
          <t>IDR</t>
        </is>
      </c>
      <c r="H371" s="15" t="n">
        <v>1</v>
      </c>
      <c r="I371" s="44" t="n"/>
      <c r="J371" s="44" t="n"/>
      <c r="K371" s="44" t="n"/>
      <c r="L371" s="44" t="n"/>
      <c r="M371" s="44" t="n"/>
      <c r="N371" s="62">
        <f>F371</f>
        <v/>
      </c>
      <c r="O371" s="44" t="n"/>
      <c r="P371" s="44" t="n"/>
      <c r="Q371" s="44" t="n"/>
    </row>
    <row r="372" hidden="1" ht="15.5" customHeight="1">
      <c r="B372" s="102" t="n">
        <v>45498</v>
      </c>
      <c r="C372" s="15" t="n"/>
      <c r="D372" s="113" t="inlineStr">
        <is>
          <t>Snacks</t>
        </is>
      </c>
      <c r="E372" s="113" t="n"/>
      <c r="F372" s="21" t="n">
        <v>195000</v>
      </c>
      <c r="G372" s="15" t="inlineStr">
        <is>
          <t>IDR</t>
        </is>
      </c>
      <c r="H372" s="15" t="n">
        <v>1</v>
      </c>
      <c r="I372" s="44" t="n"/>
      <c r="J372" s="44" t="n"/>
      <c r="K372" s="44" t="n"/>
      <c r="L372" s="44" t="n"/>
      <c r="M372" s="44" t="n"/>
      <c r="N372" s="62">
        <f>F372</f>
        <v/>
      </c>
      <c r="O372" s="44" t="n"/>
      <c r="P372" s="44" t="n"/>
      <c r="Q372" s="44" t="n"/>
    </row>
    <row r="373" hidden="1" ht="15.5" customHeight="1">
      <c r="B373" s="102" t="n">
        <v>45498</v>
      </c>
      <c r="C373" s="15" t="n"/>
      <c r="D373" s="113" t="inlineStr">
        <is>
          <t>Battery for DTR (Spare)</t>
        </is>
      </c>
      <c r="E373" s="113" t="n"/>
      <c r="F373" s="21" t="n">
        <v>38900</v>
      </c>
      <c r="G373" s="15" t="inlineStr">
        <is>
          <t>IDR</t>
        </is>
      </c>
      <c r="H373" s="15" t="n">
        <v>1</v>
      </c>
      <c r="I373" s="44" t="n"/>
      <c r="J373" s="44" t="n"/>
      <c r="K373" s="44" t="n"/>
      <c r="L373" s="44" t="n"/>
      <c r="M373" s="61" t="n"/>
      <c r="N373" s="62">
        <f>F373</f>
        <v/>
      </c>
      <c r="O373" s="44" t="n"/>
      <c r="P373" s="44" t="n"/>
      <c r="Q373" s="44" t="n"/>
    </row>
    <row r="374" hidden="1" ht="15.5" customHeight="1">
      <c r="B374" s="78" t="inlineStr">
        <is>
          <t>Expense#24</t>
        </is>
      </c>
      <c r="C374" s="85" t="inlineStr">
        <is>
          <t>:</t>
        </is>
      </c>
      <c r="D374" s="86" t="inlineStr">
        <is>
          <t>ALFA JOB - JRK 163 (training 2nd_ IBR)</t>
        </is>
      </c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idden="1" ht="15.5" customHeight="1">
      <c r="B375" s="102" t="n"/>
      <c r="C375" s="15" t="n"/>
      <c r="D375" s="118" t="inlineStr">
        <is>
          <t>Perdiem Uang Makan</t>
        </is>
      </c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idden="1" ht="15.5" customHeight="1">
      <c r="B376" s="102" t="n">
        <v>45463</v>
      </c>
      <c r="C376" s="15" t="n">
        <v>1</v>
      </c>
      <c r="D376" s="63" t="inlineStr">
        <is>
          <t>Uang makan (16 - 19 June 2024) pending job /Job Postponed</t>
        </is>
      </c>
      <c r="E376" s="63" t="n"/>
      <c r="F376" s="21">
        <f>150000*4</f>
        <v/>
      </c>
      <c r="G376" s="15" t="inlineStr">
        <is>
          <t>IDR</t>
        </is>
      </c>
      <c r="H376" s="15" t="n">
        <v>1</v>
      </c>
      <c r="I376" s="62">
        <f>F376</f>
        <v/>
      </c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idden="1" ht="15.5" customHeight="1">
      <c r="B377" s="102" t="n">
        <v>45463</v>
      </c>
      <c r="C377" s="15" t="n">
        <v>2</v>
      </c>
      <c r="D377" s="63" t="inlineStr">
        <is>
          <t>Laundry (16 - 19 June 2024) pending job /Job Postponed</t>
        </is>
      </c>
      <c r="E377" s="63" t="n"/>
      <c r="F377" s="21">
        <f>50000*4</f>
        <v/>
      </c>
      <c r="G377" s="15" t="inlineStr">
        <is>
          <t>IDR</t>
        </is>
      </c>
      <c r="H377" s="15" t="n">
        <v>1</v>
      </c>
      <c r="I377" s="62">
        <f>F377</f>
        <v/>
      </c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idden="1" ht="15.5" customHeight="1">
      <c r="B378" s="102" t="n">
        <v>45501</v>
      </c>
      <c r="C378" s="15" t="n">
        <v>4</v>
      </c>
      <c r="D378" s="63" t="inlineStr">
        <is>
          <t>Uang makan (21 - 27 Juli 2024)</t>
        </is>
      </c>
      <c r="E378" s="63" t="n"/>
      <c r="F378" s="21">
        <f>150000*7</f>
        <v/>
      </c>
      <c r="G378" s="15" t="inlineStr">
        <is>
          <t>IDR</t>
        </is>
      </c>
      <c r="H378" s="15" t="n">
        <v>1</v>
      </c>
      <c r="I378" s="62">
        <f>F378</f>
        <v/>
      </c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idden="1" ht="15.5" customHeight="1">
      <c r="B379" s="102" t="n">
        <v>45501</v>
      </c>
      <c r="C379" s="15" t="n">
        <v>5</v>
      </c>
      <c r="D379" s="63" t="inlineStr">
        <is>
          <t>Laundry (21 - 27 Juli 2024)</t>
        </is>
      </c>
      <c r="E379" s="63" t="n"/>
      <c r="F379" s="21">
        <f>50000*7</f>
        <v/>
      </c>
      <c r="G379" s="15" t="inlineStr">
        <is>
          <t>IDR</t>
        </is>
      </c>
      <c r="H379" s="15" t="n">
        <v>1</v>
      </c>
      <c r="I379" s="62">
        <f>F379</f>
        <v/>
      </c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idden="1" ht="15.5" customHeight="1">
      <c r="B380" s="102" t="n"/>
      <c r="C380" s="15" t="n"/>
      <c r="D380" s="118" t="inlineStr">
        <is>
          <t>Allowance</t>
        </is>
      </c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idden="1" ht="15.5" customFormat="1" customHeight="1" s="122">
      <c r="B381" s="102" t="n">
        <v>45463</v>
      </c>
      <c r="C381" s="60" t="n">
        <v>3</v>
      </c>
      <c r="D381" s="113" t="inlineStr">
        <is>
          <t>Tunjangan LapanganJRK-163 (16 - 19 Juni 2024) pending job</t>
        </is>
      </c>
      <c r="E381" s="113" t="n"/>
      <c r="F381" s="115" t="n">
        <v>100</v>
      </c>
      <c r="G381" s="60" t="inlineStr">
        <is>
          <t>$</t>
        </is>
      </c>
      <c r="H381" s="60" t="n">
        <v>16300</v>
      </c>
      <c r="I381" s="120">
        <f>H381*F381</f>
        <v/>
      </c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idden="1" ht="15.5" customHeight="1">
      <c r="B382" s="102" t="n">
        <v>45501</v>
      </c>
      <c r="C382" s="15" t="n">
        <v>6</v>
      </c>
      <c r="D382" s="63" t="inlineStr">
        <is>
          <t>Tunjangan Lapangan JRK-163 (21 - 27 Juli 2024)</t>
        </is>
      </c>
      <c r="E382" s="63" t="n"/>
      <c r="F382" s="21" t="n">
        <v>175</v>
      </c>
      <c r="G382" s="15" t="inlineStr">
        <is>
          <t>$</t>
        </is>
      </c>
      <c r="H382" s="15" t="n">
        <v>16300</v>
      </c>
      <c r="I382" s="62">
        <f>H382*F382</f>
        <v/>
      </c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idden="1" ht="15.5" customHeight="1">
      <c r="B383" s="123" t="inlineStr">
        <is>
          <t>Expense#25</t>
        </is>
      </c>
      <c r="C383" s="73" t="inlineStr">
        <is>
          <t>:</t>
        </is>
      </c>
      <c r="D383" s="74" t="inlineStr">
        <is>
          <t>TIS-Blora Field-PLT ALFA BHS by BARIKIN - IC</t>
        </is>
      </c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idden="1" ht="15.5" customHeight="1">
      <c r="B384" s="67" t="n"/>
      <c r="C384" s="91" t="n"/>
      <c r="D384" s="97" t="inlineStr">
        <is>
          <t>Laundry</t>
        </is>
      </c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>
      <c r="B385" s="67" t="n">
        <v>45511</v>
      </c>
      <c r="C385" s="91" t="n">
        <v>1</v>
      </c>
      <c r="D385" s="95" t="inlineStr">
        <is>
          <t>Laundry 10 days 1 Persons @ 50K IDR/day</t>
        </is>
      </c>
      <c r="E385" s="95" t="n"/>
      <c r="F385" s="93" t="n">
        <v>500000</v>
      </c>
      <c r="G385" s="91" t="inlineStr">
        <is>
          <t>IDR</t>
        </is>
      </c>
      <c r="H385" s="91" t="n">
        <v>1</v>
      </c>
      <c r="I385" s="62">
        <f>F385</f>
        <v/>
      </c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>
      <c r="B386" s="67" t="n"/>
      <c r="C386" s="91" t="n"/>
      <c r="D386" s="97" t="inlineStr">
        <is>
          <t>Meal Allowance</t>
        </is>
      </c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>
      <c r="B387" s="67" t="n">
        <v>45511</v>
      </c>
      <c r="C387" s="91" t="n">
        <v>2</v>
      </c>
      <c r="D387" s="95" t="inlineStr">
        <is>
          <t>Meals 10 days 1 Persons @ 150K IDR/day</t>
        </is>
      </c>
      <c r="E387" s="95" t="n"/>
      <c r="F387" s="93" t="n">
        <v>1500000</v>
      </c>
      <c r="G387" s="91" t="inlineStr">
        <is>
          <t>IDR</t>
        </is>
      </c>
      <c r="H387" s="91" t="n">
        <v>1</v>
      </c>
      <c r="I387" s="62">
        <f>F387</f>
        <v/>
      </c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>
      <c r="B388" s="67" t="n"/>
      <c r="C388" s="91" t="n"/>
      <c r="D388" s="97" t="inlineStr">
        <is>
          <t>Logistic</t>
        </is>
      </c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idden="1" ht="15.5" customHeight="1">
      <c r="B389" s="67" t="n">
        <v>45516</v>
      </c>
      <c r="C389" s="91" t="n">
        <v>3</v>
      </c>
      <c r="D389" s="95" t="inlineStr">
        <is>
          <t>Pelican Long Case 1770</t>
        </is>
      </c>
      <c r="E389" s="95" t="n"/>
      <c r="F389" s="93" t="n">
        <v>15166600</v>
      </c>
      <c r="G389" s="91" t="inlineStr">
        <is>
          <t>IDR</t>
        </is>
      </c>
      <c r="H389" s="91" t="n">
        <v>1</v>
      </c>
      <c r="I389" s="44" t="n"/>
      <c r="J389" s="44" t="n"/>
      <c r="K389" s="44" t="n"/>
      <c r="L389" s="44" t="n"/>
      <c r="M389" s="44" t="n"/>
      <c r="N389" s="62">
        <f>F389</f>
        <v/>
      </c>
      <c r="O389" s="44" t="n"/>
      <c r="P389" s="44" t="n"/>
      <c r="Q389" s="44" t="n"/>
    </row>
    <row r="390" hidden="1" ht="15.5" customHeight="1">
      <c r="B390" s="67" t="n"/>
      <c r="C390" s="91" t="n"/>
      <c r="D390" s="97" t="inlineStr">
        <is>
          <t>Allowance</t>
        </is>
      </c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idden="1" ht="15.5" customHeight="1">
      <c r="B391" s="67" t="n">
        <v>45512</v>
      </c>
      <c r="C391" s="91" t="n">
        <v>4</v>
      </c>
      <c r="D391" s="95" t="inlineStr">
        <is>
          <t>Tunjangan Lapangan for 10 days</t>
        </is>
      </c>
      <c r="E391" s="95" t="n"/>
      <c r="F391" s="93" t="n">
        <v>1000</v>
      </c>
      <c r="G391" s="91" t="inlineStr">
        <is>
          <t>USD</t>
        </is>
      </c>
      <c r="H391" s="100" t="n">
        <v>16100</v>
      </c>
      <c r="I391" s="62">
        <f>H391*F391</f>
        <v/>
      </c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idden="1" ht="15.5" customHeight="1">
      <c r="B392" s="78" t="inlineStr">
        <is>
          <t>Expense#26</t>
        </is>
      </c>
      <c r="C392" s="85" t="inlineStr">
        <is>
          <t>:</t>
        </is>
      </c>
      <c r="D392" s="86" t="inlineStr">
        <is>
          <t>ALFA-MPLT-BHS_ RBG 3B PT. TIS under Barikin sakti _DS</t>
        </is>
      </c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idden="1" ht="15.5" customHeight="1">
      <c r="B393" s="14" t="n"/>
      <c r="C393" s="15" t="n"/>
      <c r="D393" s="106" t="inlineStr">
        <is>
          <t>Train Ticket</t>
        </is>
      </c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idden="1" ht="15.5" customHeight="1">
      <c r="B394" s="102" t="n">
        <v>45507</v>
      </c>
      <c r="C394" s="15" t="n"/>
      <c r="D394" s="18" t="inlineStr">
        <is>
          <t>Jakarta - Semarang</t>
        </is>
      </c>
      <c r="E394" s="18" t="n"/>
      <c r="F394" s="96" t="n">
        <v>673500</v>
      </c>
      <c r="G394" s="15" t="inlineStr">
        <is>
          <t>IDR</t>
        </is>
      </c>
      <c r="H394" s="15" t="n">
        <v>1</v>
      </c>
      <c r="I394" s="61">
        <f>$H394*$F394</f>
        <v/>
      </c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idden="1" ht="15.5" customHeight="1">
      <c r="B395" s="102" t="n"/>
      <c r="C395" s="15" t="n"/>
      <c r="D395" s="106" t="inlineStr">
        <is>
          <t>transportasi Darat</t>
        </is>
      </c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idden="1" ht="15.5" customHeight="1">
      <c r="B396" s="107" t="n">
        <v>45507</v>
      </c>
      <c r="C396" s="15" t="n"/>
      <c r="D396" s="63" t="inlineStr">
        <is>
          <t>Taxi+Tol Serpong - Gambir</t>
        </is>
      </c>
      <c r="E396" s="63" t="n"/>
      <c r="F396" s="96" t="n">
        <v>154000</v>
      </c>
      <c r="G396" s="15" t="inlineStr">
        <is>
          <t>IDR</t>
        </is>
      </c>
      <c r="H396" s="15" t="n">
        <v>1</v>
      </c>
      <c r="I396" s="61">
        <f>$H396*$F396</f>
        <v/>
      </c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idden="1" ht="15.5" customHeight="1">
      <c r="B397" s="107" t="n">
        <v>45507</v>
      </c>
      <c r="C397" s="15" t="n"/>
      <c r="D397" s="63" t="inlineStr">
        <is>
          <t>Gocar St. Tawang - PT. TIS</t>
        </is>
      </c>
      <c r="E397" s="63" t="n"/>
      <c r="F397" s="96" t="n">
        <v>129000</v>
      </c>
      <c r="G397" s="15" t="inlineStr">
        <is>
          <t>IDR</t>
        </is>
      </c>
      <c r="H397" s="15" t="n">
        <v>1</v>
      </c>
      <c r="I397" s="61">
        <f>$H397*$F397</f>
        <v/>
      </c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idden="1" ht="15.5" customHeight="1">
      <c r="B398" s="102" t="n">
        <v>45511</v>
      </c>
      <c r="C398" s="15" t="n"/>
      <c r="D398" s="63" t="inlineStr">
        <is>
          <t>Gocar Hotel to Tawang</t>
        </is>
      </c>
      <c r="E398" s="63" t="n"/>
      <c r="F398" s="96" t="n">
        <v>45000</v>
      </c>
      <c r="G398" s="15" t="inlineStr">
        <is>
          <t>IDR</t>
        </is>
      </c>
      <c r="H398" s="15" t="n">
        <v>1</v>
      </c>
      <c r="I398" s="61">
        <f>$H398*$F398</f>
        <v/>
      </c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>
      <c r="B399" s="102" t="n"/>
      <c r="C399" s="15" t="n"/>
      <c r="D399" s="108" t="inlineStr">
        <is>
          <t>Hotel</t>
        </is>
      </c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idden="1" ht="15.5" customHeight="1">
      <c r="B400" s="102" t="n">
        <v>45507</v>
      </c>
      <c r="C400" s="15" t="n"/>
      <c r="D400" s="63" t="inlineStr">
        <is>
          <t>Hotel 3 Aug - 6 Aug 2024 (2 rooms)</t>
        </is>
      </c>
      <c r="E400" s="63" t="n"/>
      <c r="F400" s="96" t="n">
        <v>1591200</v>
      </c>
      <c r="G400" s="15" t="inlineStr">
        <is>
          <t>IDR</t>
        </is>
      </c>
      <c r="H400" s="15" t="n">
        <v>1</v>
      </c>
      <c r="I400" s="62">
        <f>F400</f>
        <v/>
      </c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idden="1" ht="15.5" customHeight="1">
      <c r="B401" s="102" t="n">
        <v>45509</v>
      </c>
      <c r="C401" s="15" t="n"/>
      <c r="D401" s="63" t="inlineStr">
        <is>
          <t>Hotel 6 Aug - 7 Aug 2024 (2 rooms)</t>
        </is>
      </c>
      <c r="E401" s="63" t="n"/>
      <c r="F401" s="96" t="n">
        <v>795600</v>
      </c>
      <c r="G401" s="15" t="inlineStr">
        <is>
          <t>IDR</t>
        </is>
      </c>
      <c r="H401" s="15" t="n">
        <v>1</v>
      </c>
      <c r="I401" s="62">
        <f>F401</f>
        <v/>
      </c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idden="1" ht="15.5" customHeight="1">
      <c r="B402" s="102" t="n"/>
      <c r="C402" s="15" t="n"/>
      <c r="D402" s="108" t="inlineStr">
        <is>
          <t>Perdiem uang makan</t>
        </is>
      </c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idden="1" ht="15.5" customHeight="1">
      <c r="B403" s="102" t="n">
        <v>45511</v>
      </c>
      <c r="C403" s="15" t="n"/>
      <c r="D403" s="63" t="inlineStr">
        <is>
          <t>Uang Makan (3 - 7 Aug 2024)</t>
        </is>
      </c>
      <c r="E403" s="63" t="n"/>
      <c r="F403" s="96" t="n">
        <v>750000</v>
      </c>
      <c r="G403" s="15" t="inlineStr">
        <is>
          <t>IDR</t>
        </is>
      </c>
      <c r="H403" s="15" t="n">
        <v>1</v>
      </c>
      <c r="I403" s="62">
        <f>F403</f>
        <v/>
      </c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idden="1" ht="15.5" customHeight="1">
      <c r="B404" s="102" t="n"/>
      <c r="C404" s="15" t="n"/>
      <c r="D404" s="108" t="inlineStr">
        <is>
          <t>Laundry</t>
        </is>
      </c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>
      <c r="B405" s="102" t="n">
        <v>45511</v>
      </c>
      <c r="C405" s="15" t="n"/>
      <c r="D405" s="63" t="inlineStr">
        <is>
          <t>Laundry (3 - 7 Aug 2024)</t>
        </is>
      </c>
      <c r="E405" s="63" t="n"/>
      <c r="F405" s="96" t="n">
        <v>250000</v>
      </c>
      <c r="G405" s="15" t="inlineStr">
        <is>
          <t>IDR</t>
        </is>
      </c>
      <c r="H405" s="15" t="n">
        <v>1</v>
      </c>
      <c r="I405" s="62">
        <f>F405</f>
        <v/>
      </c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>
      <c r="B406" s="102" t="n"/>
      <c r="C406" s="15" t="n"/>
      <c r="D406" s="108" t="inlineStr">
        <is>
          <t>Allowance</t>
        </is>
      </c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idden="1" ht="15.5" customHeight="1">
      <c r="B407" s="102" t="n">
        <v>45511</v>
      </c>
      <c r="C407" s="15" t="n"/>
      <c r="D407" s="113" t="inlineStr">
        <is>
          <t>Tunjangan LapanganRBG-3B PT. TIS (3-7 Aug 2024)</t>
        </is>
      </c>
      <c r="E407" s="113" t="n"/>
      <c r="F407" s="96" t="n">
        <v>500</v>
      </c>
      <c r="G407" s="15" t="inlineStr">
        <is>
          <t>IDR</t>
        </is>
      </c>
      <c r="H407" s="15" t="n">
        <v>15900</v>
      </c>
      <c r="I407" s="62">
        <f>H407*F407</f>
        <v/>
      </c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>
      <c r="B408" s="78" t="inlineStr">
        <is>
          <t>Expense#27</t>
        </is>
      </c>
      <c r="C408" s="85" t="inlineStr">
        <is>
          <t>:</t>
        </is>
      </c>
      <c r="D408" s="86" t="inlineStr">
        <is>
          <t>Non tripo 1st -- MCU + Pembelian barang kelengkapan pump AC</t>
        </is>
      </c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idden="1" ht="15.5" customHeight="1">
      <c r="B409" s="14" t="n"/>
      <c r="C409" s="15" t="n"/>
      <c r="D409" s="44" t="inlineStr">
        <is>
          <t>Medical</t>
        </is>
      </c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idden="1" ht="15.5" customHeight="1">
      <c r="B410" s="14" t="n">
        <v>45474</v>
      </c>
      <c r="C410" s="15" t="n">
        <v>1</v>
      </c>
      <c r="D410" s="18" t="inlineStr">
        <is>
          <t>Biaya MCU di RSPP</t>
        </is>
      </c>
      <c r="E410" s="18" t="n"/>
      <c r="F410" s="21" t="n">
        <v>5630000</v>
      </c>
      <c r="G410" s="15" t="inlineStr">
        <is>
          <t>IDR</t>
        </is>
      </c>
      <c r="H410" s="15" t="n">
        <v>1</v>
      </c>
      <c r="I410" s="44" t="n"/>
      <c r="J410" s="44" t="n"/>
      <c r="K410" s="44" t="n"/>
      <c r="L410" s="44" t="n"/>
      <c r="M410" s="61" t="n"/>
      <c r="N410" s="44" t="n"/>
      <c r="O410" s="44" t="n"/>
      <c r="P410" s="62">
        <f>F410</f>
        <v/>
      </c>
      <c r="Q410" s="44" t="n"/>
    </row>
    <row r="411" hidden="1" ht="15.5" customHeight="1">
      <c r="B411" s="14" t="n">
        <v>45476</v>
      </c>
      <c r="C411" s="15" t="n">
        <v>2</v>
      </c>
      <c r="D411" s="18" t="inlineStr">
        <is>
          <t>Biaya Konsul Dokter Jantung</t>
        </is>
      </c>
      <c r="E411" s="18" t="n"/>
      <c r="F411" s="21" t="n">
        <v>460000</v>
      </c>
      <c r="G411" s="15" t="inlineStr">
        <is>
          <t>IDR</t>
        </is>
      </c>
      <c r="H411" s="15" t="n">
        <v>1</v>
      </c>
      <c r="I411" s="44" t="n"/>
      <c r="J411" s="44" t="n"/>
      <c r="K411" s="44" t="n"/>
      <c r="L411" s="44" t="n"/>
      <c r="M411" s="62" t="n"/>
      <c r="N411" s="44" t="n"/>
      <c r="O411" s="44" t="n"/>
      <c r="P411" s="62">
        <f>F411</f>
        <v/>
      </c>
      <c r="Q411" s="44" t="n"/>
    </row>
    <row r="412" hidden="1" ht="15.5" customHeight="1">
      <c r="B412" s="14" t="n">
        <v>45476</v>
      </c>
      <c r="C412" s="15" t="n">
        <v>3</v>
      </c>
      <c r="D412" s="18" t="inlineStr">
        <is>
          <t>Biaya Echo_ kardio non Invasif</t>
        </is>
      </c>
      <c r="E412" s="18" t="n"/>
      <c r="F412" s="21" t="n">
        <v>2108000</v>
      </c>
      <c r="G412" s="15" t="inlineStr">
        <is>
          <t>IDR</t>
        </is>
      </c>
      <c r="H412" s="15" t="n">
        <v>1</v>
      </c>
      <c r="I412" s="44" t="n"/>
      <c r="J412" s="44" t="n"/>
      <c r="K412" s="44" t="n"/>
      <c r="L412" s="44" t="n"/>
      <c r="M412" s="61" t="n"/>
      <c r="N412" s="44" t="n"/>
      <c r="O412" s="44" t="n"/>
      <c r="P412" s="62">
        <f>F412</f>
        <v/>
      </c>
      <c r="Q412" s="44" t="n"/>
    </row>
    <row r="413" hidden="1" ht="15.5" customHeight="1">
      <c r="B413" s="14" t="n">
        <v>45483</v>
      </c>
      <c r="C413" s="15" t="n">
        <v>4</v>
      </c>
      <c r="D413" s="18" t="inlineStr">
        <is>
          <t>Biaya Obat Candesartan</t>
        </is>
      </c>
      <c r="E413" s="18" t="n"/>
      <c r="F413" s="21" t="n">
        <v>149850</v>
      </c>
      <c r="G413" s="15" t="inlineStr">
        <is>
          <t>IDR</t>
        </is>
      </c>
      <c r="H413" s="15" t="n">
        <v>1</v>
      </c>
      <c r="I413" s="44" t="n"/>
      <c r="J413" s="44" t="n"/>
      <c r="K413" s="44" t="n"/>
      <c r="L413" s="44" t="n"/>
      <c r="M413" s="61" t="n"/>
      <c r="N413" s="44" t="n"/>
      <c r="O413" s="44" t="n"/>
      <c r="P413" s="62">
        <f>F413</f>
        <v/>
      </c>
      <c r="Q413" s="44" t="n"/>
    </row>
    <row r="414" hidden="1" ht="15.5" customHeight="1">
      <c r="B414" s="14" t="n">
        <v>45482</v>
      </c>
      <c r="C414" s="15" t="n">
        <v>5</v>
      </c>
      <c r="D414" s="18" t="inlineStr">
        <is>
          <t>Fisioterapi 1st</t>
        </is>
      </c>
      <c r="E414" s="18" t="n"/>
      <c r="F414" s="21" t="n">
        <v>285000</v>
      </c>
      <c r="G414" s="15" t="inlineStr">
        <is>
          <t>IDR</t>
        </is>
      </c>
      <c r="H414" s="15" t="n">
        <v>1</v>
      </c>
      <c r="I414" s="44" t="n"/>
      <c r="J414" s="44" t="n"/>
      <c r="K414" s="44" t="n"/>
      <c r="L414" s="44" t="n"/>
      <c r="M414" s="61" t="n"/>
      <c r="N414" s="44" t="n"/>
      <c r="O414" s="44" t="n"/>
      <c r="P414" s="62">
        <f>F414</f>
        <v/>
      </c>
      <c r="Q414" s="44" t="n"/>
    </row>
    <row r="415" hidden="1" ht="15.5" customHeight="1">
      <c r="B415" s="14" t="n">
        <v>45483</v>
      </c>
      <c r="C415" s="15" t="n">
        <v>6</v>
      </c>
      <c r="D415" s="18" t="inlineStr">
        <is>
          <t>Fisioterapi 2nd</t>
        </is>
      </c>
      <c r="E415" s="18" t="n"/>
      <c r="F415" s="21" t="n">
        <v>285000</v>
      </c>
      <c r="G415" s="15" t="inlineStr">
        <is>
          <t>IDR</t>
        </is>
      </c>
      <c r="H415" s="15" t="n">
        <v>1</v>
      </c>
      <c r="I415" s="44" t="n"/>
      <c r="J415" s="44" t="n"/>
      <c r="K415" s="44" t="n"/>
      <c r="L415" s="44" t="n"/>
      <c r="M415" s="62" t="n"/>
      <c r="N415" s="44" t="n"/>
      <c r="O415" s="44" t="n"/>
      <c r="P415" s="62">
        <f>F415</f>
        <v/>
      </c>
      <c r="Q415" s="44" t="n"/>
    </row>
    <row r="416" hidden="1" ht="15.5" customHeight="1">
      <c r="B416" s="14" t="n">
        <v>45484</v>
      </c>
      <c r="C416" s="15" t="n">
        <v>7</v>
      </c>
      <c r="D416" s="18" t="inlineStr">
        <is>
          <t>Fisioterapi 3rd</t>
        </is>
      </c>
      <c r="E416" s="18" t="n"/>
      <c r="F416" s="21" t="n">
        <v>285000</v>
      </c>
      <c r="G416" s="15" t="inlineStr">
        <is>
          <t>IDR</t>
        </is>
      </c>
      <c r="H416" s="15" t="n">
        <v>1</v>
      </c>
      <c r="I416" s="44" t="n"/>
      <c r="J416" s="44" t="n"/>
      <c r="K416" s="44" t="n"/>
      <c r="L416" s="44" t="n"/>
      <c r="M416" s="61" t="n"/>
      <c r="N416" s="44" t="n"/>
      <c r="O416" s="44" t="n"/>
      <c r="P416" s="62">
        <f>F416</f>
        <v/>
      </c>
      <c r="Q416" s="44" t="n"/>
    </row>
    <row r="417" hidden="1" ht="15.5" customHeight="1">
      <c r="B417" s="102" t="n"/>
      <c r="C417" s="15" t="n"/>
      <c r="D417" s="106" t="inlineStr">
        <is>
          <t>ATK dan dokumen sent</t>
        </is>
      </c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idden="1" ht="15.5" customHeight="1">
      <c r="B418" s="102" t="n">
        <v>45110</v>
      </c>
      <c r="C418" s="15" t="n">
        <v>8</v>
      </c>
      <c r="D418" s="63" t="inlineStr">
        <is>
          <t>Pengiriman dokumen ke Rachmansyah-Sijak</t>
        </is>
      </c>
      <c r="E418" s="63" t="n"/>
      <c r="F418" s="21" t="n">
        <v>106000</v>
      </c>
      <c r="G418" s="15" t="inlineStr">
        <is>
          <t>IDR</t>
        </is>
      </c>
      <c r="H418" s="15" t="n">
        <v>1</v>
      </c>
      <c r="I418" s="61">
        <f>$H418*$F418</f>
        <v/>
      </c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idden="1" ht="15.5" customHeight="1">
      <c r="B419" s="102" t="n"/>
      <c r="C419" s="15" t="n"/>
      <c r="D419" s="108" t="inlineStr">
        <is>
          <t>Transportation</t>
        </is>
      </c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>
      <c r="B420" s="14" t="n">
        <v>45484</v>
      </c>
      <c r="C420" s="15" t="n">
        <v>9</v>
      </c>
      <c r="D420" s="63" t="inlineStr">
        <is>
          <t>Fuel ( trip ambil tool Sampler and to Andara )</t>
        </is>
      </c>
      <c r="E420" s="63" t="n"/>
      <c r="F420" s="21" t="n">
        <v>164100</v>
      </c>
      <c r="G420" s="15" t="inlineStr">
        <is>
          <t>IDR</t>
        </is>
      </c>
      <c r="H420" s="15" t="n">
        <v>1</v>
      </c>
      <c r="I420" s="61">
        <f>$H420*$F420</f>
        <v/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>
      <c r="B421" s="14" t="n">
        <v>45484</v>
      </c>
      <c r="C421" s="15" t="n">
        <v>10</v>
      </c>
      <c r="D421" s="63" t="inlineStr">
        <is>
          <t>Fuel ( trip ke Lemigas and Workshop sampler)</t>
        </is>
      </c>
      <c r="E421" s="63" t="n"/>
      <c r="F421" s="21" t="n">
        <v>291000</v>
      </c>
      <c r="G421" s="15" t="inlineStr">
        <is>
          <t>IDR</t>
        </is>
      </c>
      <c r="H421" s="15" t="n">
        <v>1</v>
      </c>
      <c r="I421" s="61">
        <f>$H421*$F421</f>
        <v/>
      </c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>
      <c r="B422" s="14" t="n">
        <v>45490</v>
      </c>
      <c r="C422" s="15" t="n">
        <v>11</v>
      </c>
      <c r="D422" s="63" t="inlineStr">
        <is>
          <t>Fuel ( trip ke Lemigas and Workshop sampler)</t>
        </is>
      </c>
      <c r="E422" s="63" t="n"/>
      <c r="F422" s="21" t="n">
        <v>177350</v>
      </c>
      <c r="G422" s="15" t="inlineStr">
        <is>
          <t>IDR</t>
        </is>
      </c>
      <c r="H422" s="15" t="n">
        <v>1</v>
      </c>
      <c r="I422" s="61">
        <f>$H422*$F422</f>
        <v/>
      </c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idden="1" ht="15.5" customHeight="1">
      <c r="B423" s="14" t="n">
        <v>45498</v>
      </c>
      <c r="C423" s="15" t="n">
        <v>12</v>
      </c>
      <c r="D423" s="63" t="inlineStr">
        <is>
          <t>Fuel ( trip ke Barekin Bogor, inspeksi tool)</t>
        </is>
      </c>
      <c r="E423" s="63" t="n"/>
      <c r="F423" s="21" t="n">
        <v>319700</v>
      </c>
      <c r="G423" s="15" t="inlineStr">
        <is>
          <t>IDR</t>
        </is>
      </c>
      <c r="H423" s="15" t="n">
        <v>1</v>
      </c>
      <c r="I423" s="61">
        <f>$H423*$F423</f>
        <v/>
      </c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idden="1" ht="15.5" customHeight="1">
      <c r="B424" s="14" t="n">
        <v>45501</v>
      </c>
      <c r="C424" s="15" t="n">
        <v>13</v>
      </c>
      <c r="D424" s="63" t="inlineStr">
        <is>
          <t>Fuel trip ke Glodok buy Hydralic pump assesories</t>
        </is>
      </c>
      <c r="E424" s="63" t="n"/>
      <c r="F424" s="21" t="n">
        <v>217350</v>
      </c>
      <c r="G424" s="15" t="inlineStr">
        <is>
          <t>IDR</t>
        </is>
      </c>
      <c r="H424" s="15" t="n">
        <v>1</v>
      </c>
      <c r="I424" s="61">
        <f>$H424*$F424</f>
        <v/>
      </c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idden="1" ht="15.5" customHeight="1">
      <c r="B425" s="14" t="n"/>
      <c r="C425" s="15" t="n"/>
      <c r="D425" s="63" t="inlineStr">
        <is>
          <t>Logictic</t>
        </is>
      </c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idden="1" ht="15.5" customHeight="1">
      <c r="B426" s="14" t="n">
        <v>45497</v>
      </c>
      <c r="C426" s="15" t="n">
        <v>14</v>
      </c>
      <c r="D426" s="63" t="inlineStr">
        <is>
          <t>Buy Tang Bnegkok (Tekiro)</t>
        </is>
      </c>
      <c r="E426" s="63" t="n"/>
      <c r="F426" s="21" t="n">
        <v>75000</v>
      </c>
      <c r="G426" s="15" t="inlineStr">
        <is>
          <t>IDR</t>
        </is>
      </c>
      <c r="H426" s="15" t="n">
        <v>1</v>
      </c>
      <c r="I426" s="44" t="n"/>
      <c r="J426" s="44" t="n"/>
      <c r="K426" s="44" t="n"/>
      <c r="L426" s="44" t="n"/>
      <c r="M426" s="61" t="n"/>
      <c r="N426" s="62">
        <f>F426</f>
        <v/>
      </c>
      <c r="O426" s="44" t="n"/>
      <c r="P426" s="44" t="n"/>
      <c r="Q426" s="44" t="n"/>
    </row>
    <row r="427" hidden="1" ht="15.5" customHeight="1">
      <c r="B427" s="14" t="n">
        <v>45498</v>
      </c>
      <c r="C427" s="15" t="n">
        <v>15</v>
      </c>
      <c r="D427" s="63" t="inlineStr">
        <is>
          <t>Buy Hose 1/4"</t>
        </is>
      </c>
      <c r="E427" s="63" t="n"/>
      <c r="F427" s="21" t="n">
        <v>133000</v>
      </c>
      <c r="G427" s="15" t="inlineStr">
        <is>
          <t>IDR</t>
        </is>
      </c>
      <c r="H427" s="15" t="n">
        <v>1</v>
      </c>
      <c r="I427" s="44" t="n"/>
      <c r="J427" s="44" t="n"/>
      <c r="K427" s="44" t="n"/>
      <c r="L427" s="44" t="n"/>
      <c r="M427" s="62" t="n"/>
      <c r="N427" s="62">
        <f>F427</f>
        <v/>
      </c>
      <c r="O427" s="44" t="n"/>
      <c r="P427" s="44" t="n"/>
      <c r="Q427" s="44" t="n"/>
    </row>
    <row r="428" hidden="1" ht="15.5" customHeight="1">
      <c r="B428" s="14" t="n">
        <v>45498</v>
      </c>
      <c r="C428" s="15" t="n">
        <v>16</v>
      </c>
      <c r="D428" s="63" t="inlineStr">
        <is>
          <t>Buy Needle Neple</t>
        </is>
      </c>
      <c r="E428" s="63" t="n"/>
      <c r="F428" s="21" t="n">
        <v>700000</v>
      </c>
      <c r="G428" s="15" t="inlineStr">
        <is>
          <t>IDR</t>
        </is>
      </c>
      <c r="H428" s="15" t="n">
        <v>1</v>
      </c>
      <c r="I428" s="44" t="n"/>
      <c r="J428" s="44" t="n"/>
      <c r="K428" s="44" t="n"/>
      <c r="L428" s="44" t="n"/>
      <c r="M428" s="61" t="n"/>
      <c r="N428" s="62">
        <f>F428</f>
        <v/>
      </c>
      <c r="O428" s="44" t="n"/>
      <c r="P428" s="44" t="n"/>
      <c r="Q428" s="44" t="n"/>
    </row>
    <row r="429" hidden="1" ht="15.5" customHeight="1">
      <c r="B429" s="14" t="n">
        <v>45499</v>
      </c>
      <c r="C429" s="15" t="n">
        <v>17</v>
      </c>
      <c r="D429" s="63" t="inlineStr">
        <is>
          <t>buy Adapter</t>
        </is>
      </c>
      <c r="E429" s="63" t="n"/>
      <c r="F429" s="21" t="n">
        <v>20000</v>
      </c>
      <c r="G429" s="15" t="inlineStr">
        <is>
          <t>IDR</t>
        </is>
      </c>
      <c r="H429" s="15" t="n">
        <v>1</v>
      </c>
      <c r="I429" s="68" t="n"/>
      <c r="J429" s="68" t="n"/>
      <c r="K429" s="68" t="n"/>
      <c r="L429" s="68" t="n"/>
      <c r="M429" s="68" t="n"/>
      <c r="N429" s="62">
        <f>F429</f>
        <v/>
      </c>
      <c r="O429" s="68" t="n"/>
      <c r="P429" s="68" t="n"/>
      <c r="Q429" s="68" t="n"/>
    </row>
    <row r="430" hidden="1" ht="15.5" customHeight="1">
      <c r="B430" s="14" t="n">
        <v>45500</v>
      </c>
      <c r="C430" s="15" t="n">
        <v>18</v>
      </c>
      <c r="D430" s="63" t="inlineStr">
        <is>
          <t>Buy Hose 1/4"</t>
        </is>
      </c>
      <c r="E430" s="63" t="n"/>
      <c r="F430" s="21" t="n">
        <v>155000</v>
      </c>
      <c r="G430" s="15" t="inlineStr">
        <is>
          <t>IDR</t>
        </is>
      </c>
      <c r="H430" s="15" t="n">
        <v>1</v>
      </c>
      <c r="I430" s="44" t="n"/>
      <c r="J430" s="44" t="n"/>
      <c r="K430" s="44" t="n"/>
      <c r="L430" s="44" t="n"/>
      <c r="M430" s="44" t="n"/>
      <c r="N430" s="62">
        <f>F430</f>
        <v/>
      </c>
      <c r="O430" s="44" t="n"/>
      <c r="P430" s="44" t="n"/>
      <c r="Q430" s="44" t="n"/>
    </row>
    <row r="431" hidden="1" ht="15.5" customHeight="1">
      <c r="B431" s="14" t="n">
        <v>45500</v>
      </c>
      <c r="C431" s="15" t="n">
        <v>19</v>
      </c>
      <c r="D431" s="63" t="inlineStr">
        <is>
          <t>Buy Needle Neple</t>
        </is>
      </c>
      <c r="E431" s="63" t="n"/>
      <c r="F431" s="21" t="n">
        <v>660000</v>
      </c>
      <c r="G431" s="15" t="inlineStr">
        <is>
          <t>IDR</t>
        </is>
      </c>
      <c r="H431" s="15" t="n">
        <v>1</v>
      </c>
      <c r="I431" s="44" t="n"/>
      <c r="J431" s="44" t="n"/>
      <c r="K431" s="44" t="n"/>
      <c r="L431" s="44" t="n"/>
      <c r="M431" s="44" t="n"/>
      <c r="N431" s="62">
        <f>F431</f>
        <v/>
      </c>
      <c r="O431" s="44" t="n"/>
      <c r="P431" s="44" t="n"/>
      <c r="Q431" s="44" t="n"/>
    </row>
    <row r="432" hidden="1" ht="15.5" customHeight="1">
      <c r="B432" s="14" t="n">
        <v>45500</v>
      </c>
      <c r="C432" s="15" t="n">
        <v>20</v>
      </c>
      <c r="D432" s="63" t="inlineStr">
        <is>
          <t>Buy Connection 1/4"</t>
        </is>
      </c>
      <c r="E432" s="63" t="n"/>
      <c r="F432" s="21" t="n">
        <v>1760000</v>
      </c>
      <c r="G432" s="15" t="inlineStr">
        <is>
          <t>IDR</t>
        </is>
      </c>
      <c r="H432" s="15" t="n">
        <v>1</v>
      </c>
      <c r="I432" s="44" t="n"/>
      <c r="J432" s="44" t="n"/>
      <c r="K432" s="44" t="n"/>
      <c r="L432" s="44" t="n"/>
      <c r="M432" s="44" t="n"/>
      <c r="N432" s="62">
        <f>F432</f>
        <v/>
      </c>
      <c r="O432" s="44" t="n"/>
      <c r="P432" s="44" t="n"/>
      <c r="Q432" s="44" t="n"/>
    </row>
    <row r="433" hidden="1" ht="15.5" customHeight="1">
      <c r="B433" s="14" t="n">
        <v>45501</v>
      </c>
      <c r="C433" s="15" t="n">
        <v>21</v>
      </c>
      <c r="D433" s="63" t="inlineStr">
        <is>
          <t>Buy Case for tools box dan hydraulic pump</t>
        </is>
      </c>
      <c r="E433" s="63" t="n"/>
      <c r="F433" s="21" t="n">
        <v>2636800</v>
      </c>
      <c r="G433" s="15" t="inlineStr">
        <is>
          <t>IDR</t>
        </is>
      </c>
      <c r="H433" s="15" t="n">
        <v>1</v>
      </c>
      <c r="I433" s="44" t="n"/>
      <c r="J433" s="44" t="n"/>
      <c r="K433" s="44" t="n"/>
      <c r="L433" s="44" t="n"/>
      <c r="M433" s="44" t="n"/>
      <c r="N433" s="62">
        <f>F433</f>
        <v/>
      </c>
      <c r="O433" s="44" t="n"/>
      <c r="P433" s="44" t="n"/>
      <c r="Q433" s="44" t="n"/>
    </row>
    <row r="434" hidden="1" ht="15.5" customHeight="1">
      <c r="B434" s="102" t="n"/>
      <c r="C434" s="15" t="n"/>
      <c r="D434" s="108" t="inlineStr">
        <is>
          <t>Meal</t>
        </is>
      </c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idden="1" ht="15.5" customHeight="1">
      <c r="B435" s="14" t="n">
        <v>45476</v>
      </c>
      <c r="C435" s="15" t="n"/>
      <c r="D435" s="63" t="inlineStr">
        <is>
          <t>Coffe drink visit to MEPI Jakarta ( Bondan)</t>
        </is>
      </c>
      <c r="E435" s="63" t="n"/>
      <c r="F435" s="21" t="n">
        <v>144100</v>
      </c>
      <c r="G435" s="15" t="inlineStr">
        <is>
          <t>IDR</t>
        </is>
      </c>
      <c r="H435" s="15" t="n">
        <v>1</v>
      </c>
      <c r="I435" s="62">
        <f>F435</f>
        <v/>
      </c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idden="1" ht="15.5" customHeight="1">
      <c r="B436" s="14" t="n">
        <v>45477</v>
      </c>
      <c r="C436" s="15" t="n"/>
      <c r="D436" s="63" t="inlineStr">
        <is>
          <t>Meal lunch when inspect Sample tool</t>
        </is>
      </c>
      <c r="E436" s="63" t="n"/>
      <c r="F436" s="21" t="n">
        <v>157000</v>
      </c>
      <c r="G436" s="15" t="inlineStr">
        <is>
          <t>IDR</t>
        </is>
      </c>
      <c r="H436" s="15" t="n">
        <v>1</v>
      </c>
      <c r="I436" s="62">
        <f>F436</f>
        <v/>
      </c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idden="1" ht="15.5" customHeight="1">
      <c r="B437" s="14" t="n">
        <v>45484</v>
      </c>
      <c r="C437" s="15" t="n"/>
      <c r="D437" s="63" t="inlineStr">
        <is>
          <t>Meal lunch when visit to Lemigas (Sample Botol)</t>
        </is>
      </c>
      <c r="E437" s="63" t="n"/>
      <c r="F437" s="21" t="n">
        <v>81000</v>
      </c>
      <c r="G437" s="15" t="inlineStr">
        <is>
          <t>IDR</t>
        </is>
      </c>
      <c r="H437" s="15" t="n">
        <v>1</v>
      </c>
      <c r="I437" s="62">
        <f>F437</f>
        <v/>
      </c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idden="1" ht="15.5" customHeight="1">
      <c r="B438" s="78" t="inlineStr">
        <is>
          <t>Expense#28</t>
        </is>
      </c>
      <c r="C438" s="85" t="inlineStr">
        <is>
          <t>:</t>
        </is>
      </c>
      <c r="D438" s="86" t="inlineStr">
        <is>
          <t>ALFA-MPLT-Sampler project TIS Energy Blora_well RBG-3B by Barekin Sakti- AC</t>
        </is>
      </c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idden="1" ht="15.5" customHeight="1">
      <c r="B439" s="14" t="n"/>
      <c r="C439" s="15" t="n"/>
      <c r="D439" s="124" t="inlineStr">
        <is>
          <t>Transportation</t>
        </is>
      </c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idden="1" ht="15.5" customHeight="1">
      <c r="B440" s="102" t="n">
        <v>45511</v>
      </c>
      <c r="C440" s="15" t="n">
        <v>1</v>
      </c>
      <c r="D440" s="63" t="inlineStr">
        <is>
          <t xml:space="preserve">Rental car (include Fuel ) 10 days, @Rp1.100.000 </t>
        </is>
      </c>
      <c r="E440" s="63" t="n"/>
      <c r="F440" s="21" t="n">
        <v>11000000</v>
      </c>
      <c r="G440" s="15" t="inlineStr">
        <is>
          <t>IDR</t>
        </is>
      </c>
      <c r="H440" s="15" t="n">
        <v>1</v>
      </c>
      <c r="I440" s="61">
        <f>$H440*$F440</f>
        <v/>
      </c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idden="1" ht="15.5" customHeight="1">
      <c r="B441" s="102" t="n">
        <v>45502</v>
      </c>
      <c r="C441" s="15" t="n">
        <v>2</v>
      </c>
      <c r="D441" s="63" t="inlineStr">
        <is>
          <t>Toll (Jkt Blora - PP)</t>
        </is>
      </c>
      <c r="E441" s="63" t="n"/>
      <c r="F441" s="21">
        <f>15000+27000+400000+8000+27500+5500</f>
        <v/>
      </c>
      <c r="G441" s="15" t="inlineStr">
        <is>
          <t>IDR</t>
        </is>
      </c>
      <c r="H441" s="15" t="n">
        <v>1</v>
      </c>
      <c r="I441" s="61">
        <f>$H441*$F441</f>
        <v/>
      </c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idden="1" ht="15.5" customHeight="1">
      <c r="B442" s="102" t="n">
        <v>45511</v>
      </c>
      <c r="C442" s="15" t="n">
        <v>3</v>
      </c>
      <c r="D442" s="63" t="inlineStr">
        <is>
          <t>Toll (Gubug - Jakarta)</t>
        </is>
      </c>
      <c r="E442" s="63" t="n"/>
      <c r="F442" s="21">
        <f>5500+59500+20500+5500+405000</f>
        <v/>
      </c>
      <c r="G442" s="15" t="inlineStr">
        <is>
          <t>IDR</t>
        </is>
      </c>
      <c r="H442" s="15" t="n">
        <v>1</v>
      </c>
      <c r="I442" s="61">
        <f>$H442*$F442</f>
        <v/>
      </c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idden="1" ht="15.5" customHeight="1">
      <c r="B443" s="102" t="n"/>
      <c r="C443" s="15" t="n"/>
      <c r="D443" s="108" t="inlineStr">
        <is>
          <t>Hotel and Loundry</t>
        </is>
      </c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idden="1" ht="15.5" customHeight="1">
      <c r="B444" s="102" t="n">
        <v>45511</v>
      </c>
      <c r="C444" s="15" t="n">
        <v>4</v>
      </c>
      <c r="D444" s="63" t="inlineStr">
        <is>
          <t>Laundry dor 10 days @Rp.50.000.</t>
        </is>
      </c>
      <c r="E444" s="63" t="n"/>
      <c r="F444" s="21" t="n">
        <v>500000</v>
      </c>
      <c r="G444" s="15" t="inlineStr">
        <is>
          <t>IDR</t>
        </is>
      </c>
      <c r="H444" s="15" t="n">
        <v>1</v>
      </c>
      <c r="I444" s="62">
        <f>F444</f>
        <v/>
      </c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idden="1" ht="15.5" customHeight="1">
      <c r="B445" s="102" t="n">
        <v>45507</v>
      </c>
      <c r="C445" s="15" t="n">
        <v>5</v>
      </c>
      <c r="D445" s="63" t="inlineStr">
        <is>
          <t>Hotel for 6 days ( 29 Jul - 3 aug 24)</t>
        </is>
      </c>
      <c r="E445" s="63" t="n"/>
      <c r="F445" s="21" t="n">
        <v>2700000</v>
      </c>
      <c r="G445" s="15" t="inlineStr">
        <is>
          <t>IDR</t>
        </is>
      </c>
      <c r="H445" s="15" t="n">
        <v>1</v>
      </c>
      <c r="I445" s="62">
        <f>F445</f>
        <v/>
      </c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idden="1" ht="15.5" customHeight="1">
      <c r="B446" s="102" t="n"/>
      <c r="C446" s="15" t="n"/>
      <c r="D446" s="108" t="inlineStr">
        <is>
          <t>Logistik</t>
        </is>
      </c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idden="1" ht="15.5" customHeight="1">
      <c r="B447" s="102" t="n">
        <v>45502</v>
      </c>
      <c r="C447" s="15" t="n">
        <v>6</v>
      </c>
      <c r="D447" s="63" t="inlineStr">
        <is>
          <t>buy Zirolic</t>
        </is>
      </c>
      <c r="E447" s="63" t="n"/>
      <c r="F447" s="21" t="n">
        <v>34200</v>
      </c>
      <c r="G447" s="15" t="inlineStr">
        <is>
          <t>IDR</t>
        </is>
      </c>
      <c r="H447" s="15" t="n">
        <v>1</v>
      </c>
      <c r="I447" s="44" t="n"/>
      <c r="J447" s="44" t="n"/>
      <c r="K447" s="44" t="n"/>
      <c r="L447" s="44" t="n"/>
      <c r="M447" s="61" t="n"/>
      <c r="N447" s="44" t="n"/>
      <c r="O447" s="44" t="n"/>
      <c r="P447" s="62">
        <f>F447</f>
        <v/>
      </c>
      <c r="Q447" s="44" t="n"/>
    </row>
    <row r="448" hidden="1" ht="15.5" customHeight="1">
      <c r="B448" s="102" t="n">
        <v>45502</v>
      </c>
      <c r="C448" s="15" t="n">
        <v>7</v>
      </c>
      <c r="D448" s="63" t="inlineStr">
        <is>
          <t>buy Soft drink</t>
        </is>
      </c>
      <c r="E448" s="63" t="n"/>
      <c r="F448" s="21" t="n">
        <v>199900</v>
      </c>
      <c r="G448" s="15" t="inlineStr">
        <is>
          <t>IDR</t>
        </is>
      </c>
      <c r="H448" s="15" t="n">
        <v>1</v>
      </c>
      <c r="I448" s="62">
        <f>F448</f>
        <v/>
      </c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idden="1" ht="15.5" customHeight="1">
      <c r="B449" s="102" t="n">
        <v>45504</v>
      </c>
      <c r="C449" s="15" t="n">
        <v>8</v>
      </c>
      <c r="D449" s="63" t="inlineStr">
        <is>
          <t>buy Soft drink</t>
        </is>
      </c>
      <c r="E449" s="63" t="n"/>
      <c r="F449" s="21" t="n">
        <v>69000</v>
      </c>
      <c r="G449" s="15" t="inlineStr">
        <is>
          <t>IDR</t>
        </is>
      </c>
      <c r="H449" s="15" t="n">
        <v>1</v>
      </c>
      <c r="I449" s="62">
        <f>F449</f>
        <v/>
      </c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idden="1" ht="15.5" customHeight="1">
      <c r="B450" s="102" t="n">
        <v>45476</v>
      </c>
      <c r="C450" s="15" t="n">
        <v>9</v>
      </c>
      <c r="D450" s="63" t="inlineStr">
        <is>
          <t>buy Soft drink</t>
        </is>
      </c>
      <c r="E450" s="63" t="n"/>
      <c r="F450" s="21" t="n">
        <v>98000</v>
      </c>
      <c r="G450" s="15" t="inlineStr">
        <is>
          <t>IDR</t>
        </is>
      </c>
      <c r="H450" s="15" t="n">
        <v>1</v>
      </c>
      <c r="I450" s="62">
        <f>F450</f>
        <v/>
      </c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idden="1" ht="15.5" customHeight="1">
      <c r="B451" s="102" t="n">
        <v>45505</v>
      </c>
      <c r="C451" s="15" t="n">
        <v>10</v>
      </c>
      <c r="D451" s="63" t="inlineStr">
        <is>
          <t>Buy WD 40</t>
        </is>
      </c>
      <c r="E451" s="63" t="n"/>
      <c r="F451" s="21" t="n">
        <v>65000</v>
      </c>
      <c r="G451" s="15" t="inlineStr">
        <is>
          <t>IDR</t>
        </is>
      </c>
      <c r="H451" s="15" t="n">
        <v>1</v>
      </c>
      <c r="I451" s="44" t="n"/>
      <c r="J451" s="44" t="n"/>
      <c r="K451" s="44" t="n"/>
      <c r="L451" s="44" t="n"/>
      <c r="M451" s="44" t="n"/>
      <c r="N451" s="62">
        <f>F451</f>
        <v/>
      </c>
      <c r="O451" s="44" t="n"/>
      <c r="P451" s="44" t="n"/>
      <c r="Q451" s="44" t="n"/>
    </row>
    <row r="452" hidden="1" ht="15.5" customHeight="1">
      <c r="B452" s="102" t="n">
        <v>45505</v>
      </c>
      <c r="C452" s="15" t="n">
        <v>11</v>
      </c>
      <c r="D452" s="63" t="inlineStr">
        <is>
          <t>buy Soft drink</t>
        </is>
      </c>
      <c r="E452" s="63" t="n"/>
      <c r="F452" s="21" t="n">
        <v>109800</v>
      </c>
      <c r="G452" s="15" t="inlineStr">
        <is>
          <t>IDR</t>
        </is>
      </c>
      <c r="H452" s="15" t="n">
        <v>1</v>
      </c>
      <c r="I452" s="62">
        <f>F452</f>
        <v/>
      </c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>
      <c r="B453" s="102" t="n">
        <v>45507</v>
      </c>
      <c r="C453" s="15" t="n">
        <v>12</v>
      </c>
      <c r="D453" s="63" t="inlineStr">
        <is>
          <t>buy Soft drink</t>
        </is>
      </c>
      <c r="E453" s="63" t="n"/>
      <c r="F453" s="21" t="n">
        <v>96600</v>
      </c>
      <c r="G453" s="15" t="inlineStr">
        <is>
          <t>IDR</t>
        </is>
      </c>
      <c r="H453" s="15" t="n">
        <v>1</v>
      </c>
      <c r="I453" s="62">
        <f>F453</f>
        <v/>
      </c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>
      <c r="B454" s="102" t="n">
        <v>45508</v>
      </c>
      <c r="C454" s="15" t="n">
        <v>13</v>
      </c>
      <c r="D454" s="63" t="inlineStr">
        <is>
          <t>buy Soft drink</t>
        </is>
      </c>
      <c r="E454" s="63" t="n"/>
      <c r="F454" s="21" t="n">
        <v>56600</v>
      </c>
      <c r="G454" s="15" t="inlineStr">
        <is>
          <t>IDR</t>
        </is>
      </c>
      <c r="H454" s="15" t="n">
        <v>1</v>
      </c>
      <c r="I454" s="62">
        <f>F454</f>
        <v/>
      </c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idden="1" ht="15.5" customHeight="1">
      <c r="B455" s="102" t="n">
        <v>45509</v>
      </c>
      <c r="C455" s="15" t="n">
        <v>14</v>
      </c>
      <c r="D455" s="63" t="inlineStr">
        <is>
          <t>Buy connection T dan nipple</t>
        </is>
      </c>
      <c r="E455" s="63" t="n"/>
      <c r="F455" s="21" t="n">
        <v>72500</v>
      </c>
      <c r="G455" s="15" t="inlineStr">
        <is>
          <t>IDR</t>
        </is>
      </c>
      <c r="H455" s="15" t="n">
        <v>1</v>
      </c>
      <c r="I455" s="44" t="n"/>
      <c r="J455" s="44" t="n"/>
      <c r="K455" s="44" t="n"/>
      <c r="L455" s="44" t="n"/>
      <c r="M455" s="44" t="n"/>
      <c r="N455" s="62">
        <f>F455</f>
        <v/>
      </c>
      <c r="O455" s="44" t="n"/>
      <c r="P455" s="44" t="n"/>
      <c r="Q455" s="44" t="n"/>
    </row>
    <row r="456" hidden="1" ht="15.5" customHeight="1">
      <c r="B456" s="102" t="n">
        <v>45509</v>
      </c>
      <c r="C456" s="15" t="n">
        <v>15</v>
      </c>
      <c r="D456" s="63" t="inlineStr">
        <is>
          <t>Buy Quick connection</t>
        </is>
      </c>
      <c r="E456" s="63" t="n"/>
      <c r="F456" s="21" t="n">
        <v>400000</v>
      </c>
      <c r="G456" s="15" t="inlineStr">
        <is>
          <t>IDR</t>
        </is>
      </c>
      <c r="H456" s="15" t="n">
        <v>1</v>
      </c>
      <c r="I456" s="44" t="n"/>
      <c r="J456" s="44" t="n"/>
      <c r="K456" s="44" t="n"/>
      <c r="L456" s="44" t="n"/>
      <c r="M456" s="44" t="n"/>
      <c r="N456" s="62">
        <f>F456</f>
        <v/>
      </c>
      <c r="O456" s="44" t="n"/>
      <c r="P456" s="44" t="n"/>
      <c r="Q456" s="44" t="n"/>
    </row>
    <row r="457" hidden="1" ht="15.5" customHeight="1">
      <c r="B457" s="102" t="n">
        <v>45510</v>
      </c>
      <c r="C457" s="15" t="n">
        <v>16</v>
      </c>
      <c r="D457" s="63" t="inlineStr">
        <is>
          <t>Buy Paint nippon</t>
        </is>
      </c>
      <c r="E457" s="63" t="n"/>
      <c r="F457" s="21" t="n">
        <v>60000</v>
      </c>
      <c r="G457" s="15" t="inlineStr">
        <is>
          <t>IDR</t>
        </is>
      </c>
      <c r="H457" s="15" t="n">
        <v>1</v>
      </c>
      <c r="I457" s="44" t="n"/>
      <c r="J457" s="44" t="n"/>
      <c r="K457" s="44" t="n"/>
      <c r="L457" s="44" t="n"/>
      <c r="M457" s="61" t="n"/>
      <c r="N457" s="62">
        <f>F457</f>
        <v/>
      </c>
      <c r="O457" s="44" t="n"/>
      <c r="P457" s="44" t="n"/>
      <c r="Q457" s="44" t="n"/>
    </row>
    <row r="458" hidden="1" ht="15.5" customHeight="1">
      <c r="B458" s="102" t="n">
        <v>45510</v>
      </c>
      <c r="C458" s="15" t="n">
        <v>17</v>
      </c>
      <c r="D458" s="63" t="inlineStr">
        <is>
          <t>buy Soft drink</t>
        </is>
      </c>
      <c r="E458" s="63" t="n"/>
      <c r="F458" s="21" t="n">
        <v>118100</v>
      </c>
      <c r="G458" s="15" t="inlineStr">
        <is>
          <t>IDR</t>
        </is>
      </c>
      <c r="H458" s="15" t="n">
        <v>1</v>
      </c>
      <c r="I458" s="62">
        <f>F458</f>
        <v/>
      </c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idden="1" ht="15.5" customHeight="1">
      <c r="B459" s="102" t="n"/>
      <c r="C459" s="15" t="n"/>
      <c r="D459" s="108" t="inlineStr">
        <is>
          <t>Meal on field Site</t>
        </is>
      </c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idden="1" ht="15.5" customHeight="1">
      <c r="B460" s="102" t="n">
        <v>45502</v>
      </c>
      <c r="C460" s="15" t="n">
        <v>18</v>
      </c>
      <c r="D460" s="63" t="inlineStr">
        <is>
          <t>w/ Crew Barekin</t>
        </is>
      </c>
      <c r="E460" s="63" t="n"/>
      <c r="F460" s="21" t="n">
        <v>275000</v>
      </c>
      <c r="G460" s="15" t="inlineStr">
        <is>
          <t>IDR</t>
        </is>
      </c>
      <c r="H460" s="15" t="n">
        <v>1</v>
      </c>
      <c r="I460" s="62">
        <f>$F460*$H460</f>
        <v/>
      </c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idden="1" ht="15.5" customHeight="1">
      <c r="B461" s="102" t="n">
        <v>45505</v>
      </c>
      <c r="C461" s="15" t="n">
        <v>19</v>
      </c>
      <c r="D461" s="63" t="inlineStr">
        <is>
          <t>W/ TIS Petroleum personnel</t>
        </is>
      </c>
      <c r="E461" s="63" t="n"/>
      <c r="F461" s="21" t="n">
        <v>157000</v>
      </c>
      <c r="G461" s="15" t="inlineStr">
        <is>
          <t>IDR</t>
        </is>
      </c>
      <c r="H461" s="15" t="n">
        <v>1</v>
      </c>
      <c r="I461" s="62">
        <f>$F461*$H461</f>
        <v/>
      </c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idden="1" ht="15.5" customHeight="1">
      <c r="B462" s="102" t="n">
        <v>45506</v>
      </c>
      <c r="C462" s="15" t="n">
        <v>20</v>
      </c>
      <c r="D462" s="63" t="inlineStr">
        <is>
          <t>w/ Crew Barekin (buy ice sirop) No reciept</t>
        </is>
      </c>
      <c r="E462" s="63" t="n"/>
      <c r="F462" s="21" t="n">
        <v>80000</v>
      </c>
      <c r="G462" s="15" t="inlineStr">
        <is>
          <t>IDR</t>
        </is>
      </c>
      <c r="H462" s="15" t="n">
        <v>1</v>
      </c>
      <c r="I462" s="62">
        <f>$F462*$H462</f>
        <v/>
      </c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idden="1" ht="15.5" customHeight="1">
      <c r="B463" s="102" t="n">
        <v>45507</v>
      </c>
      <c r="C463" s="15" t="n">
        <v>21</v>
      </c>
      <c r="D463" s="63" t="inlineStr">
        <is>
          <t>w/ TIS Lemigas Personnel</t>
        </is>
      </c>
      <c r="E463" s="63" t="n"/>
      <c r="F463" s="21">
        <f>251350 +19000</f>
        <v/>
      </c>
      <c r="G463" s="15" t="inlineStr">
        <is>
          <t>IDR</t>
        </is>
      </c>
      <c r="H463" s="15" t="n">
        <v>1</v>
      </c>
      <c r="I463" s="62">
        <f>$F463*$H463</f>
        <v/>
      </c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idden="1" ht="15.5" customHeight="1">
      <c r="B464" s="102" t="n">
        <v>45507</v>
      </c>
      <c r="C464" s="15" t="n">
        <v>22</v>
      </c>
      <c r="D464" s="63" t="inlineStr">
        <is>
          <t>w/ TIS Petroleum Personnel</t>
        </is>
      </c>
      <c r="E464" s="63" t="n"/>
      <c r="F464" s="21" t="n">
        <v>401000</v>
      </c>
      <c r="G464" s="15" t="inlineStr">
        <is>
          <t>IDR</t>
        </is>
      </c>
      <c r="H464" s="15" t="n">
        <v>1</v>
      </c>
      <c r="I464" s="62">
        <f>$F464*$H464</f>
        <v/>
      </c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idden="1" ht="15.5" customHeight="1">
      <c r="B465" s="102" t="n"/>
      <c r="C465" s="15" t="n"/>
      <c r="D465" s="108" t="inlineStr">
        <is>
          <t>Perdiem uang makan</t>
        </is>
      </c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idden="1" ht="15.5" customHeight="1">
      <c r="B466" s="102" t="n">
        <v>45511</v>
      </c>
      <c r="C466" s="15" t="n">
        <v>23</v>
      </c>
      <c r="D466" s="63" t="inlineStr">
        <is>
          <t>Meal utk 10 hari (29 Jul -7Aug-24) @Rp. 150.000</t>
        </is>
      </c>
      <c r="E466" s="63" t="n"/>
      <c r="F466" s="21" t="n">
        <v>1500000</v>
      </c>
      <c r="G466" s="15" t="inlineStr">
        <is>
          <t>IDR</t>
        </is>
      </c>
      <c r="H466" s="15" t="n">
        <v>1</v>
      </c>
      <c r="I466" s="62">
        <f>F466</f>
        <v/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idden="1" ht="15.5" customHeight="1">
      <c r="B467" s="102" t="n"/>
      <c r="C467" s="15" t="n"/>
      <c r="D467" s="108" t="inlineStr">
        <is>
          <t>Allowance</t>
        </is>
      </c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idden="1" ht="15.5" customHeight="1">
      <c r="B468" s="102" t="n">
        <v>45511</v>
      </c>
      <c r="C468" s="15" t="n">
        <v>24</v>
      </c>
      <c r="D468" s="63" t="inlineStr">
        <is>
          <t>Tunjangan lapangan for 10 days (29Jul - 07Aug24) Anevril</t>
        </is>
      </c>
      <c r="E468" s="63" t="n"/>
      <c r="F468" s="21" t="n">
        <v>1000</v>
      </c>
      <c r="G468" s="15" t="inlineStr">
        <is>
          <t>USD</t>
        </is>
      </c>
      <c r="H468" s="15" t="n">
        <v>16100</v>
      </c>
      <c r="I468" s="62">
        <f>H468*F468</f>
        <v/>
      </c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idden="1" ht="15.5" customHeight="1">
      <c r="B469" s="78" t="inlineStr">
        <is>
          <t>Expense#29</t>
        </is>
      </c>
      <c r="C469" s="85" t="inlineStr">
        <is>
          <t>:</t>
        </is>
      </c>
      <c r="D469" s="86" t="inlineStr">
        <is>
          <t>ALFA-MPLT-BHS_ RBG 3B PT. TIS under Barikin sakti _TMA</t>
        </is>
      </c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idden="1" ht="15.5" customHeight="1">
      <c r="B470" s="67" t="n"/>
      <c r="C470" s="91" t="n"/>
      <c r="D470" s="97" t="inlineStr">
        <is>
          <t>Hotel</t>
        </is>
      </c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idden="1" ht="15.5" customHeight="1">
      <c r="B471" s="67" t="n">
        <v>45502</v>
      </c>
      <c r="C471" s="91" t="n">
        <v>1</v>
      </c>
      <c r="D471" s="95" t="inlineStr">
        <is>
          <t>Electrical Bill</t>
        </is>
      </c>
      <c r="E471" s="95" t="n"/>
      <c r="F471" s="93" t="n">
        <v>159682</v>
      </c>
      <c r="G471" s="91" t="inlineStr">
        <is>
          <t>IDR</t>
        </is>
      </c>
      <c r="H471" s="91" t="n">
        <v>1</v>
      </c>
      <c r="I471" s="62">
        <f>F471</f>
        <v/>
      </c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idden="1" ht="15.5" customHeight="1">
      <c r="B472" s="67" t="n">
        <v>45502</v>
      </c>
      <c r="C472" s="91" t="n">
        <v>2</v>
      </c>
      <c r="D472" s="95" t="inlineStr">
        <is>
          <t>Laundry 10 days 1 Persons @ 50K IDR/day</t>
        </is>
      </c>
      <c r="E472" s="95" t="n"/>
      <c r="F472" s="93" t="n">
        <v>500000</v>
      </c>
      <c r="G472" s="91" t="inlineStr">
        <is>
          <t>IDR</t>
        </is>
      </c>
      <c r="H472" s="91" t="n">
        <v>1</v>
      </c>
      <c r="I472" s="62">
        <f>F472</f>
        <v/>
      </c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idden="1" ht="15.5" customHeight="1">
      <c r="B473" s="67" t="n"/>
      <c r="C473" s="91" t="n"/>
      <c r="D473" s="97" t="inlineStr">
        <is>
          <t>Transportation</t>
        </is>
      </c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idden="1" ht="15.5" customHeight="1">
      <c r="B474" s="67" t="n">
        <v>45499</v>
      </c>
      <c r="C474" s="91" t="n">
        <v>3</v>
      </c>
      <c r="D474" s="95" t="inlineStr">
        <is>
          <t>Lalamove Base to Barikin</t>
        </is>
      </c>
      <c r="E474" s="95" t="n"/>
      <c r="F474" s="93" t="n">
        <v>276500</v>
      </c>
      <c r="G474" s="91" t="inlineStr">
        <is>
          <t>IDR</t>
        </is>
      </c>
      <c r="H474" s="91" t="n">
        <v>1</v>
      </c>
      <c r="I474" s="61">
        <f>$H474*$F474</f>
        <v/>
      </c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idden="1" ht="15.5" customHeight="1">
      <c r="B475" s="67" t="n">
        <v>45499</v>
      </c>
      <c r="C475" s="91" t="n">
        <v>4</v>
      </c>
      <c r="D475" s="95" t="inlineStr">
        <is>
          <t>Lalamove Pak Subi to Base</t>
        </is>
      </c>
      <c r="E475" s="95" t="n"/>
      <c r="F475" s="93" t="n">
        <v>63568</v>
      </c>
      <c r="G475" s="91" t="inlineStr">
        <is>
          <t>IDR</t>
        </is>
      </c>
      <c r="H475" s="91" t="n">
        <v>1</v>
      </c>
      <c r="I475" s="61">
        <f>$H475*$F475</f>
        <v/>
      </c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idden="1" ht="15.5" customHeight="1">
      <c r="B476" s="67" t="n">
        <v>45517</v>
      </c>
      <c r="C476" s="91" t="n">
        <v>5</v>
      </c>
      <c r="D476" s="95" t="inlineStr">
        <is>
          <t>Lalamove Barikin to Base</t>
        </is>
      </c>
      <c r="E476" s="95" t="n"/>
      <c r="F476" s="93" t="n">
        <v>161885</v>
      </c>
      <c r="G476" s="91" t="inlineStr">
        <is>
          <t>IDR</t>
        </is>
      </c>
      <c r="H476" s="91" t="n">
        <v>1</v>
      </c>
      <c r="I476" s="61">
        <f>$H476*$F476</f>
        <v/>
      </c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idden="1" ht="15.5" customHeight="1">
      <c r="B477" s="67" t="n"/>
      <c r="C477" s="91" t="n"/>
      <c r="D477" s="97" t="inlineStr">
        <is>
          <t>Operation Need</t>
        </is>
      </c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idden="1" ht="15.5" customHeight="1">
      <c r="B478" s="67" t="n">
        <v>45499</v>
      </c>
      <c r="C478" s="91" t="n">
        <v>6</v>
      </c>
      <c r="D478" s="95" t="inlineStr">
        <is>
          <t>TOP 1 High Temp Grease</t>
        </is>
      </c>
      <c r="E478" s="95" t="n"/>
      <c r="F478" s="93" t="n">
        <v>144900</v>
      </c>
      <c r="G478" s="91" t="inlineStr">
        <is>
          <t>IDR</t>
        </is>
      </c>
      <c r="H478" s="91" t="n">
        <v>1</v>
      </c>
      <c r="I478" s="44" t="n"/>
      <c r="J478" s="44" t="n"/>
      <c r="K478" s="44" t="n"/>
      <c r="L478" s="44" t="n"/>
      <c r="M478" s="62" t="n"/>
      <c r="N478" s="62">
        <f>F478</f>
        <v/>
      </c>
      <c r="O478" s="44" t="n"/>
      <c r="P478" s="44" t="n"/>
      <c r="Q478" s="44" t="n"/>
    </row>
    <row r="479" hidden="1" ht="15.5" customHeight="1">
      <c r="B479" s="67" t="n"/>
      <c r="C479" s="117" t="n"/>
      <c r="D479" s="97" t="inlineStr">
        <is>
          <t>Entertaiment on field Site</t>
        </is>
      </c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idden="1" ht="15.5" customHeight="1">
      <c r="B480" s="67" t="n">
        <v>45502</v>
      </c>
      <c r="C480" s="91" t="n">
        <v>7</v>
      </c>
      <c r="D480" s="95" t="inlineStr">
        <is>
          <t>Meal Crew's Operational</t>
        </is>
      </c>
      <c r="E480" s="95" t="n"/>
      <c r="F480" s="99" t="n">
        <v>263200</v>
      </c>
      <c r="G480" s="91" t="inlineStr">
        <is>
          <t>IDR</t>
        </is>
      </c>
      <c r="H480" s="91" t="n">
        <v>1</v>
      </c>
      <c r="I480" s="62">
        <f>F480</f>
        <v/>
      </c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idden="1" ht="15.5" customHeight="1">
      <c r="B481" s="67" t="n"/>
      <c r="C481" s="117" t="n"/>
      <c r="D481" s="97" t="inlineStr">
        <is>
          <t>Meal Allowance</t>
        </is>
      </c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idden="1" ht="15.5" customHeight="1">
      <c r="B482" s="67" t="n">
        <v>45502</v>
      </c>
      <c r="C482" s="91" t="n">
        <v>8</v>
      </c>
      <c r="D482" s="95" t="inlineStr">
        <is>
          <t>Meals 10 days 1 Persons @ 150K IDR/day</t>
        </is>
      </c>
      <c r="E482" s="95" t="n"/>
      <c r="F482" s="93" t="n">
        <v>1500000</v>
      </c>
      <c r="G482" s="91" t="inlineStr">
        <is>
          <t>IDR</t>
        </is>
      </c>
      <c r="H482" s="91" t="n">
        <v>1</v>
      </c>
      <c r="I482" s="62">
        <f>F482</f>
        <v/>
      </c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idden="1" ht="15.5" customHeight="1">
      <c r="B483" s="67" t="n"/>
      <c r="C483" s="117" t="n"/>
      <c r="D483" s="97" t="inlineStr">
        <is>
          <t>Allowance</t>
        </is>
      </c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>
      <c r="B484" s="67" t="n">
        <v>45502</v>
      </c>
      <c r="C484" s="91" t="n">
        <v>9</v>
      </c>
      <c r="D484" s="95" t="inlineStr">
        <is>
          <t xml:space="preserve">Tunjangan Lapangan for 10 days </t>
        </is>
      </c>
      <c r="E484" s="95" t="n"/>
      <c r="F484" s="93" t="n">
        <v>1000</v>
      </c>
      <c r="G484" s="91" t="inlineStr">
        <is>
          <t>USD</t>
        </is>
      </c>
      <c r="H484" s="100" t="n">
        <v>15513</v>
      </c>
      <c r="I484" s="62">
        <f>H484*F484</f>
        <v/>
      </c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idden="1" ht="15.5" customHeight="1">
      <c r="B485" s="78" t="inlineStr">
        <is>
          <t>Expense#30</t>
        </is>
      </c>
      <c r="C485" s="85" t="inlineStr">
        <is>
          <t>:</t>
        </is>
      </c>
      <c r="D485" s="86" t="inlineStr">
        <is>
          <t>ALFA JOB - PMB 009 (cancel job) - IBR</t>
        </is>
      </c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idden="1" ht="15.5" customFormat="1" customHeight="1" s="126">
      <c r="B486" s="102" t="n"/>
      <c r="C486" s="15" t="n"/>
      <c r="D486" s="114" t="inlineStr">
        <is>
          <t>Perdiem Uang Makan</t>
        </is>
      </c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idden="1" ht="15.5" customHeight="1">
      <c r="B487" s="102" t="n">
        <v>45548</v>
      </c>
      <c r="C487" s="15" t="n">
        <v>1</v>
      </c>
      <c r="D487" s="63" t="inlineStr">
        <is>
          <t>Uang makan (6 - 11 September 2024) 6 days</t>
        </is>
      </c>
      <c r="E487" s="63" t="n"/>
      <c r="F487" s="21">
        <f>150000*6</f>
        <v/>
      </c>
      <c r="G487" s="15" t="inlineStr">
        <is>
          <t>IDR</t>
        </is>
      </c>
      <c r="H487" s="15" t="n">
        <v>1</v>
      </c>
      <c r="I487" s="62">
        <f>H487*F487</f>
        <v/>
      </c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idden="1" ht="15.5" customHeight="1">
      <c r="B488" s="102" t="n">
        <v>45548</v>
      </c>
      <c r="C488" s="15" t="n">
        <v>2</v>
      </c>
      <c r="D488" s="63" t="inlineStr">
        <is>
          <t>Laundry (6 - 11 September 2024) 6 days</t>
        </is>
      </c>
      <c r="E488" s="63" t="n"/>
      <c r="F488" s="21">
        <f>50000*6</f>
        <v/>
      </c>
      <c r="G488" s="15" t="inlineStr">
        <is>
          <t>IDR</t>
        </is>
      </c>
      <c r="H488" s="15" t="n">
        <v>1</v>
      </c>
      <c r="I488" s="62">
        <f>H488*F488</f>
        <v/>
      </c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idden="1" ht="15.5" customHeight="1">
      <c r="B489" s="102" t="n"/>
      <c r="C489" s="15" t="n"/>
      <c r="D489" s="114" t="inlineStr">
        <is>
          <t>Allowance</t>
        </is>
      </c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idden="1" ht="15.5" customHeight="1">
      <c r="B490" s="102" t="n">
        <v>45548</v>
      </c>
      <c r="C490" s="15" t="n">
        <v>3</v>
      </c>
      <c r="D490" s="63" t="inlineStr">
        <is>
          <t xml:space="preserve">Tunjangan Lapangan PBM - 009 (6 - 11 September 2024) </t>
        </is>
      </c>
      <c r="E490" s="63" t="n"/>
      <c r="F490" s="21" t="n">
        <v>150</v>
      </c>
      <c r="G490" s="15" t="inlineStr">
        <is>
          <t>$</t>
        </is>
      </c>
      <c r="H490" s="15" t="n">
        <v>15450</v>
      </c>
      <c r="I490" s="62">
        <f>H490*F490</f>
        <v/>
      </c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idden="1" ht="15.5" customHeight="1">
      <c r="B491" s="78" t="inlineStr">
        <is>
          <t>Expense#31</t>
        </is>
      </c>
      <c r="C491" s="85" t="inlineStr">
        <is>
          <t>:</t>
        </is>
      </c>
      <c r="D491" s="86" t="inlineStr">
        <is>
          <t>ALFA PMB-009 (Cancel)_ TMA</t>
        </is>
      </c>
      <c r="E491" s="86" t="n"/>
      <c r="F491" s="87" t="n"/>
      <c r="G491" s="73" t="n"/>
      <c r="H491" s="73" t="n"/>
      <c r="I491" s="242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idden="1" ht="15.5" customHeight="1">
      <c r="B492" s="67" t="n"/>
      <c r="C492" s="91" t="n"/>
      <c r="D492" s="127" t="inlineStr">
        <is>
          <t>Hotel and Loundry</t>
        </is>
      </c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idden="1" ht="15.5" customHeight="1">
      <c r="B493" s="67" t="n">
        <v>45541</v>
      </c>
      <c r="C493" s="91" t="n">
        <v>1</v>
      </c>
      <c r="D493" s="95" t="inlineStr">
        <is>
          <t>Hotel 6 Sept - 11 Sept (5 days)</t>
        </is>
      </c>
      <c r="E493" s="95" t="n"/>
      <c r="F493" s="93" t="n">
        <v>1800000</v>
      </c>
      <c r="G493" s="91" t="inlineStr">
        <is>
          <t>IDR</t>
        </is>
      </c>
      <c r="H493" s="91" t="n">
        <v>1</v>
      </c>
      <c r="I493" s="241">
        <f>F493</f>
        <v/>
      </c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idden="1" ht="15.5" customHeight="1">
      <c r="B494" s="67" t="n">
        <v>45541</v>
      </c>
      <c r="C494" s="91" t="n">
        <v>2</v>
      </c>
      <c r="D494" s="95" t="inlineStr">
        <is>
          <t>Laundry 6 days 1 Persons @ 50K IDR/day</t>
        </is>
      </c>
      <c r="E494" s="95" t="n"/>
      <c r="F494" s="93" t="n">
        <v>300000</v>
      </c>
      <c r="G494" s="91" t="inlineStr">
        <is>
          <t>IDR</t>
        </is>
      </c>
      <c r="H494" s="91" t="n">
        <v>1</v>
      </c>
      <c r="I494" s="62">
        <f>F494</f>
        <v/>
      </c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idden="1" ht="15.5" customHeight="1">
      <c r="B495" s="67" t="n"/>
      <c r="C495" s="91" t="n"/>
      <c r="D495" s="127" t="inlineStr">
        <is>
          <t>Transportation</t>
        </is>
      </c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>
      <c r="B496" s="67" t="n">
        <v>45541</v>
      </c>
      <c r="C496" s="91" t="n">
        <v>3</v>
      </c>
      <c r="D496" s="95" t="inlineStr">
        <is>
          <t>Airplane Ticket CGK-PLM</t>
        </is>
      </c>
      <c r="E496" s="95" t="n"/>
      <c r="F496" s="93" t="n">
        <v>904682</v>
      </c>
      <c r="G496" s="91" t="inlineStr">
        <is>
          <t>IDR</t>
        </is>
      </c>
      <c r="H496" s="91" t="n">
        <v>1</v>
      </c>
      <c r="I496" s="61">
        <f>$H496*$F496</f>
        <v/>
      </c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idden="1" ht="15.5" customHeight="1">
      <c r="B497" s="67" t="n">
        <v>45541</v>
      </c>
      <c r="C497" s="91" t="n">
        <v>4</v>
      </c>
      <c r="D497" s="95" t="inlineStr">
        <is>
          <t>Taxi Pondok Cabe-Vania-CGK (inc Toll)</t>
        </is>
      </c>
      <c r="E497" s="95" t="n"/>
      <c r="F497" s="93" t="n">
        <v>256500</v>
      </c>
      <c r="G497" s="91" t="inlineStr">
        <is>
          <t>IDR</t>
        </is>
      </c>
      <c r="H497" s="91" t="n">
        <v>1</v>
      </c>
      <c r="I497" s="61">
        <f>$H497*$F497</f>
        <v/>
      </c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>
      <c r="B498" s="67" t="n">
        <v>45541</v>
      </c>
      <c r="C498" s="91" t="n">
        <v>5</v>
      </c>
      <c r="D498" s="95" t="inlineStr">
        <is>
          <t>Toll (PLM-Prabumulih-PLM)</t>
        </is>
      </c>
      <c r="E498" s="95" t="n"/>
      <c r="F498" s="93" t="n">
        <v>224000</v>
      </c>
      <c r="G498" s="91" t="inlineStr">
        <is>
          <t>IDR</t>
        </is>
      </c>
      <c r="H498" s="91" t="n">
        <v>1</v>
      </c>
      <c r="I498" s="61">
        <f>$H498*$F498</f>
        <v/>
      </c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>
      <c r="B499" s="67" t="n">
        <v>45541</v>
      </c>
      <c r="C499" s="91" t="n">
        <v>6</v>
      </c>
      <c r="D499" s="95" t="inlineStr">
        <is>
          <t>Rent Car 6 Days</t>
        </is>
      </c>
      <c r="E499" s="95" t="n"/>
      <c r="F499" s="93" t="n">
        <v>3000000</v>
      </c>
      <c r="G499" s="91" t="inlineStr">
        <is>
          <t>IDR</t>
        </is>
      </c>
      <c r="H499" s="91" t="n">
        <v>1</v>
      </c>
      <c r="I499" s="61">
        <f>$H499*$F499</f>
        <v/>
      </c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idden="1" ht="15.5" customHeight="1">
      <c r="B500" s="67" t="n">
        <v>45541</v>
      </c>
      <c r="C500" s="91" t="n">
        <v>7</v>
      </c>
      <c r="D500" s="98" t="inlineStr">
        <is>
          <t>Gasoline</t>
        </is>
      </c>
      <c r="E500" s="98" t="n"/>
      <c r="F500" s="93" t="n">
        <v>400000</v>
      </c>
      <c r="G500" s="91" t="inlineStr">
        <is>
          <t>IDR</t>
        </is>
      </c>
      <c r="H500" s="91" t="n">
        <v>1</v>
      </c>
      <c r="I500" s="61">
        <f>$H500*$F500</f>
        <v/>
      </c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>
      <c r="B501" s="67" t="n">
        <v>45541</v>
      </c>
      <c r="C501" s="91" t="n">
        <v>8</v>
      </c>
      <c r="D501" s="98" t="inlineStr">
        <is>
          <t>Taxi CGK-Pondok Cabe (inc Toll+Parking)</t>
        </is>
      </c>
      <c r="E501" s="98" t="n"/>
      <c r="F501" s="93" t="n">
        <v>310660</v>
      </c>
      <c r="G501" s="91" t="inlineStr">
        <is>
          <t>IDR</t>
        </is>
      </c>
      <c r="H501" s="91" t="n">
        <v>1</v>
      </c>
      <c r="I501" s="61">
        <f>$H501*$F501</f>
        <v/>
      </c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idden="1" ht="15.5" customHeight="1">
      <c r="B502" s="67" t="n">
        <v>45543</v>
      </c>
      <c r="C502" s="91" t="n">
        <v>9</v>
      </c>
      <c r="D502" s="95" t="inlineStr">
        <is>
          <t>Airplane Ticket PLM-CGK</t>
        </is>
      </c>
      <c r="E502" s="95" t="n"/>
      <c r="F502" s="93" t="n">
        <v>836100</v>
      </c>
      <c r="G502" s="91" t="inlineStr">
        <is>
          <t>IDR</t>
        </is>
      </c>
      <c r="H502" s="91" t="n">
        <v>1</v>
      </c>
      <c r="I502" s="61">
        <f>$H502*$F502</f>
        <v/>
      </c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idden="1" ht="15.5" customHeight="1">
      <c r="B503" s="67" t="n"/>
      <c r="C503" s="117" t="n"/>
      <c r="D503" s="127" t="inlineStr">
        <is>
          <t>Allowance</t>
        </is>
      </c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idden="1" ht="15.5" customHeight="1">
      <c r="B504" s="67" t="n">
        <v>45541</v>
      </c>
      <c r="C504" s="91" t="n">
        <v>10</v>
      </c>
      <c r="D504" s="95" t="inlineStr">
        <is>
          <t>Field Allowance</t>
        </is>
      </c>
      <c r="E504" s="95" t="n"/>
      <c r="F504" s="93" t="n">
        <v>600</v>
      </c>
      <c r="G504" s="91" t="inlineStr">
        <is>
          <t>USD</t>
        </is>
      </c>
      <c r="H504" s="100" t="n">
        <v>15438</v>
      </c>
      <c r="I504" s="62">
        <f>H504*F504</f>
        <v/>
      </c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idden="1" ht="15.5" customHeight="1">
      <c r="B505" s="67" t="n">
        <v>45541</v>
      </c>
      <c r="C505" s="91" t="n">
        <v>11</v>
      </c>
      <c r="D505" s="95" t="inlineStr">
        <is>
          <t>Meals</t>
        </is>
      </c>
      <c r="E505" s="95" t="n"/>
      <c r="F505" s="93" t="n">
        <v>900000</v>
      </c>
      <c r="G505" s="91" t="inlineStr">
        <is>
          <t>IDR</t>
        </is>
      </c>
      <c r="H505" s="91" t="n">
        <v>1</v>
      </c>
      <c r="I505" s="62">
        <f>F505</f>
        <v/>
      </c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idden="1" ht="15.5" customHeight="1">
      <c r="B506" s="78" t="inlineStr">
        <is>
          <t>Expense#32</t>
        </is>
      </c>
      <c r="C506" s="85" t="inlineStr">
        <is>
          <t>:</t>
        </is>
      </c>
      <c r="D506" s="86" t="inlineStr">
        <is>
          <t>ALFA PMB-009 (Cancel)_ TMA</t>
        </is>
      </c>
      <c r="E506" s="86" t="n"/>
      <c r="F506" s="87" t="n"/>
      <c r="G506" s="73" t="n"/>
      <c r="H506" s="73" t="n"/>
      <c r="I506" s="242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idden="1" ht="15.5" customHeight="1">
      <c r="B507" s="128" t="n"/>
      <c r="C507" s="129" t="n"/>
      <c r="D507" s="130" t="inlineStr">
        <is>
          <t>transportasi Darat</t>
        </is>
      </c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idden="1" ht="15.5" customHeight="1">
      <c r="B508" s="107" t="n">
        <v>45557</v>
      </c>
      <c r="C508" s="15" t="n">
        <v>1</v>
      </c>
      <c r="D508" s="63" t="inlineStr">
        <is>
          <t>Taxi+Tol Serpong - Gambir</t>
        </is>
      </c>
      <c r="E508" s="63" t="n"/>
      <c r="F508" s="21" t="n">
        <v>241280</v>
      </c>
      <c r="G508" s="18" t="inlineStr">
        <is>
          <t>IDR</t>
        </is>
      </c>
      <c r="H508" s="133" t="n">
        <v>1</v>
      </c>
      <c r="I508" s="61">
        <f>$H508*$F508</f>
        <v/>
      </c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idden="1" ht="15.5" customHeight="1">
      <c r="B509" s="107" t="n">
        <v>45558</v>
      </c>
      <c r="C509" s="15" t="n">
        <v>2</v>
      </c>
      <c r="D509" s="63" t="inlineStr">
        <is>
          <t>Gocar St. Cepu, Kalog - Bojonegoro</t>
        </is>
      </c>
      <c r="E509" s="63" t="n"/>
      <c r="F509" s="21" t="n">
        <v>250000</v>
      </c>
      <c r="G509" s="18" t="inlineStr">
        <is>
          <t>IDR</t>
        </is>
      </c>
      <c r="H509" s="133" t="n">
        <v>1</v>
      </c>
      <c r="I509" s="61">
        <f>$H509*$F509</f>
        <v/>
      </c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idden="1" ht="15.5" customHeight="1">
      <c r="B510" s="102" t="n">
        <v>45561</v>
      </c>
      <c r="C510" s="15" t="n">
        <v>3</v>
      </c>
      <c r="D510" s="63" t="inlineStr">
        <is>
          <t>Taxi+Tol Gambir - Serpong</t>
        </is>
      </c>
      <c r="E510" s="63" t="n"/>
      <c r="F510" s="21">
        <f>206000+34000</f>
        <v/>
      </c>
      <c r="G510" s="18" t="inlineStr">
        <is>
          <t>IDR</t>
        </is>
      </c>
      <c r="H510" s="133" t="n">
        <v>1</v>
      </c>
      <c r="I510" s="61">
        <f>$H510*$F510</f>
        <v/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idden="1" ht="15.5" customHeight="1">
      <c r="B511" s="128" t="n"/>
      <c r="C511" s="129" t="n"/>
      <c r="D511" s="134" t="inlineStr">
        <is>
          <t>Perdiem uang makan</t>
        </is>
      </c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idden="1" ht="15.5" customHeight="1">
      <c r="B512" s="102" t="n">
        <v>45561</v>
      </c>
      <c r="C512" s="15" t="n">
        <v>4</v>
      </c>
      <c r="D512" s="63" t="inlineStr">
        <is>
          <t>Uang Makan (22 - 26 Sept 2024)</t>
        </is>
      </c>
      <c r="E512" s="63" t="n"/>
      <c r="F512" s="21">
        <f>5*150000</f>
        <v/>
      </c>
      <c r="G512" s="18" t="inlineStr">
        <is>
          <t>IDR</t>
        </is>
      </c>
      <c r="H512" s="133" t="n">
        <v>1</v>
      </c>
      <c r="I512" s="241">
        <f>$F512*$H512</f>
        <v/>
      </c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idden="1" ht="15.5" customHeight="1">
      <c r="B513" s="128" t="n"/>
      <c r="C513" s="129" t="n"/>
      <c r="D513" s="134" t="inlineStr">
        <is>
          <t>Laundry</t>
        </is>
      </c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idden="1" ht="15.5" customHeight="1">
      <c r="B514" s="102" t="n">
        <v>45561</v>
      </c>
      <c r="C514" s="15" t="n">
        <v>5</v>
      </c>
      <c r="D514" s="63" t="inlineStr">
        <is>
          <t>Laundry (22 - 26 Sept 2024)</t>
        </is>
      </c>
      <c r="E514" s="63" t="n"/>
      <c r="F514" s="21">
        <f>5*50000</f>
        <v/>
      </c>
      <c r="G514" s="18" t="inlineStr">
        <is>
          <t>IDR</t>
        </is>
      </c>
      <c r="H514" s="133" t="n">
        <v>1</v>
      </c>
      <c r="I514" s="241">
        <f>$F514*$H514</f>
        <v/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idden="1" ht="15.5" customHeight="1">
      <c r="B515" s="102" t="n"/>
      <c r="C515" s="15" t="n"/>
      <c r="D515" s="108" t="inlineStr">
        <is>
          <t>FIELD BONUS</t>
        </is>
      </c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idden="1" ht="15.5" customHeight="1">
      <c r="B516" s="102" t="n">
        <v>45561</v>
      </c>
      <c r="C516" s="15" t="n">
        <v>6</v>
      </c>
      <c r="D516" s="113" t="inlineStr">
        <is>
          <t>Field Bonus SKW#26 (22 - 26 Sept 2024). 1US$=15.100</t>
        </is>
      </c>
      <c r="E516" s="113" t="n"/>
      <c r="F516" s="21">
        <f>5*100</f>
        <v/>
      </c>
      <c r="G516" s="18" t="inlineStr">
        <is>
          <t>IDR</t>
        </is>
      </c>
      <c r="H516" s="133" t="n">
        <v>15100</v>
      </c>
      <c r="I516" s="241">
        <f>$F516*$H516</f>
        <v/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idden="1" ht="15.5" customHeight="1">
      <c r="B517" s="78" t="inlineStr">
        <is>
          <t>Expense#33</t>
        </is>
      </c>
      <c r="C517" s="85" t="inlineStr">
        <is>
          <t>:</t>
        </is>
      </c>
      <c r="D517" s="86" t="inlineStr">
        <is>
          <t>ALFA Job JRK-095 (Jirak) - IBR</t>
        </is>
      </c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idden="1" ht="15.5" customHeight="1">
      <c r="B518" s="67" t="n"/>
      <c r="C518" s="91" t="n"/>
      <c r="D518" s="97" t="inlineStr">
        <is>
          <t>Hotel and Loundry</t>
        </is>
      </c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idden="1" ht="15.5" customHeight="1">
      <c r="B519" s="67" t="n">
        <v>45563</v>
      </c>
      <c r="C519" s="91" t="n">
        <v>1</v>
      </c>
      <c r="D519" s="95" t="inlineStr">
        <is>
          <t xml:space="preserve">Hotel 21 Sept - 27 Sept 2024 (6 days) </t>
        </is>
      </c>
      <c r="E519" s="95" t="n"/>
      <c r="F519" s="93" t="n">
        <v>1680000</v>
      </c>
      <c r="G519" s="91" t="inlineStr">
        <is>
          <t>IDR</t>
        </is>
      </c>
      <c r="H519" s="91" t="n">
        <v>1</v>
      </c>
      <c r="I519" s="61">
        <f>F519</f>
        <v/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>
      <c r="B520" s="67" t="n">
        <v>45563</v>
      </c>
      <c r="C520" s="91" t="n">
        <v>2</v>
      </c>
      <c r="D520" s="95" t="inlineStr">
        <is>
          <t>Laundry 20 Sept - 27 Sept 2024 (7days) @ Rp. 50000</t>
        </is>
      </c>
      <c r="E520" s="95" t="n"/>
      <c r="F520" s="93" t="n">
        <v>350000</v>
      </c>
      <c r="G520" s="91" t="inlineStr">
        <is>
          <t>IDR</t>
        </is>
      </c>
      <c r="H520" s="91" t="n">
        <v>1</v>
      </c>
      <c r="I520" s="62">
        <f>F520</f>
        <v/>
      </c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>
      <c r="B521" s="67" t="n"/>
      <c r="C521" s="91" t="n"/>
      <c r="D521" s="97" t="inlineStr">
        <is>
          <t>Transportation</t>
        </is>
      </c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>
      <c r="B522" s="67" t="n">
        <v>45563</v>
      </c>
      <c r="C522" s="91" t="n"/>
      <c r="D522" s="95" t="inlineStr">
        <is>
          <t>Gasoline</t>
        </is>
      </c>
      <c r="E522" s="95" t="n"/>
      <c r="F522" s="93" t="n">
        <v>200000</v>
      </c>
      <c r="G522" s="91" t="inlineStr">
        <is>
          <t>IDR</t>
        </is>
      </c>
      <c r="H522" s="91" t="n">
        <v>1</v>
      </c>
      <c r="I522" s="61">
        <f>$H522*$F522</f>
        <v/>
      </c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idden="1" ht="15.5" customHeight="1">
      <c r="B523" s="67" t="n">
        <v>45563</v>
      </c>
      <c r="C523" s="91" t="n"/>
      <c r="D523" s="95" t="inlineStr">
        <is>
          <t>Gasoline</t>
        </is>
      </c>
      <c r="E523" s="95" t="n"/>
      <c r="F523" s="93" t="n">
        <v>215000</v>
      </c>
      <c r="G523" s="91" t="inlineStr">
        <is>
          <t>IDR</t>
        </is>
      </c>
      <c r="H523" s="91" t="n">
        <v>1</v>
      </c>
      <c r="I523" s="61">
        <f>$H523*$F523</f>
        <v/>
      </c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idden="1" ht="15.5" customHeight="1">
      <c r="B524" s="67" t="n">
        <v>45563</v>
      </c>
      <c r="C524" s="91" t="n"/>
      <c r="D524" s="95" t="inlineStr">
        <is>
          <t>Gasoline</t>
        </is>
      </c>
      <c r="E524" s="95" t="n"/>
      <c r="F524" s="93" t="n">
        <v>197000</v>
      </c>
      <c r="G524" s="91" t="inlineStr">
        <is>
          <t>IDR</t>
        </is>
      </c>
      <c r="H524" s="91" t="n">
        <v>1</v>
      </c>
      <c r="I524" s="61">
        <f>$H524*$F524</f>
        <v/>
      </c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idden="1" ht="15.5" customHeight="1">
      <c r="B525" s="67" t="n">
        <v>45563</v>
      </c>
      <c r="C525" s="91" t="n"/>
      <c r="D525" s="95" t="inlineStr">
        <is>
          <t>Gasoline</t>
        </is>
      </c>
      <c r="E525" s="95" t="n"/>
      <c r="F525" s="93" t="n">
        <v>200000</v>
      </c>
      <c r="G525" s="91" t="inlineStr">
        <is>
          <t>IDR</t>
        </is>
      </c>
      <c r="H525" s="91" t="n">
        <v>1</v>
      </c>
      <c r="I525" s="61">
        <f>$H525*$F525</f>
        <v/>
      </c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idden="1" ht="15.5" customHeight="1">
      <c r="B526" s="67" t="n">
        <v>45563</v>
      </c>
      <c r="C526" s="91" t="n"/>
      <c r="D526" s="95" t="inlineStr">
        <is>
          <t>Gasoline</t>
        </is>
      </c>
      <c r="E526" s="95" t="n"/>
      <c r="F526" s="93" t="n">
        <v>220000</v>
      </c>
      <c r="G526" s="91" t="inlineStr">
        <is>
          <t>IDR</t>
        </is>
      </c>
      <c r="H526" s="91" t="n">
        <v>1</v>
      </c>
      <c r="I526" s="61">
        <f>$H526*$F526</f>
        <v/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idden="1" ht="15.5" customHeight="1">
      <c r="B527" s="67" t="n">
        <v>45563</v>
      </c>
      <c r="C527" s="91" t="n"/>
      <c r="D527" s="95" t="inlineStr">
        <is>
          <t>Toll (PLM-Prabumulih)</t>
        </is>
      </c>
      <c r="E527" s="95" t="n"/>
      <c r="F527" s="93" t="n">
        <v>112000</v>
      </c>
      <c r="G527" s="91" t="inlineStr">
        <is>
          <t>IDR</t>
        </is>
      </c>
      <c r="H527" s="91" t="n">
        <v>1</v>
      </c>
      <c r="I527" s="61">
        <f>$H527*$F527</f>
        <v/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idden="1" ht="15.5" customHeight="1">
      <c r="B528" s="67" t="n">
        <v>45563</v>
      </c>
      <c r="C528" s="91" t="n"/>
      <c r="D528" s="95" t="inlineStr">
        <is>
          <t>Toll (Prabumulih-PLM)</t>
        </is>
      </c>
      <c r="E528" s="95" t="n"/>
      <c r="F528" s="93" t="n">
        <v>117000</v>
      </c>
      <c r="G528" s="91" t="inlineStr">
        <is>
          <t>IDR</t>
        </is>
      </c>
      <c r="H528" s="91" t="n">
        <v>1</v>
      </c>
      <c r="I528" s="61">
        <f>$H528*$F528</f>
        <v/>
      </c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idden="1" ht="15.5" customHeight="1">
      <c r="B529" s="67" t="n">
        <v>45563</v>
      </c>
      <c r="C529" s="91" t="n"/>
      <c r="D529" s="95" t="inlineStr">
        <is>
          <t>Car Wash</t>
        </is>
      </c>
      <c r="E529" s="95" t="n"/>
      <c r="F529" s="93" t="n">
        <v>40000</v>
      </c>
      <c r="G529" s="91" t="inlineStr">
        <is>
          <t>IDR</t>
        </is>
      </c>
      <c r="H529" s="91" t="n">
        <v>1</v>
      </c>
      <c r="I529" s="61">
        <f>$H529*$F529</f>
        <v/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>
      <c r="B530" s="67" t="n"/>
      <c r="C530" s="91" t="n"/>
      <c r="D530" s="97" t="inlineStr">
        <is>
          <t>Operation</t>
        </is>
      </c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>
      <c r="B531" s="67" t="n">
        <v>45563</v>
      </c>
      <c r="C531" s="91" t="n"/>
      <c r="D531" s="98" t="inlineStr">
        <is>
          <t>Aqua 600 ML + Sunlight</t>
        </is>
      </c>
      <c r="E531" s="98" t="n"/>
      <c r="F531" s="93" t="n">
        <v>65000</v>
      </c>
      <c r="G531" s="91" t="inlineStr">
        <is>
          <t>IDR</t>
        </is>
      </c>
      <c r="H531" s="91" t="n">
        <v>1</v>
      </c>
      <c r="I531" s="62">
        <f>F531</f>
        <v/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>
      <c r="B532" s="67" t="n">
        <v>45563</v>
      </c>
      <c r="C532" s="91" t="n"/>
      <c r="D532" s="98" t="inlineStr">
        <is>
          <t>Fried Food + Soft Drink</t>
        </is>
      </c>
      <c r="E532" s="98" t="n"/>
      <c r="F532" s="93" t="n">
        <v>150000</v>
      </c>
      <c r="G532" s="91" t="inlineStr">
        <is>
          <t>IDR</t>
        </is>
      </c>
      <c r="H532" s="91" t="n">
        <v>1</v>
      </c>
      <c r="I532" s="62">
        <f>F532</f>
        <v/>
      </c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>
      <c r="B533" s="67" t="n">
        <v>45563</v>
      </c>
      <c r="C533" s="91" t="n"/>
      <c r="D533" s="98" t="inlineStr">
        <is>
          <t>Meal's Crew</t>
        </is>
      </c>
      <c r="E533" s="98" t="n"/>
      <c r="F533" s="93" t="n">
        <v>120000</v>
      </c>
      <c r="G533" s="91" t="inlineStr">
        <is>
          <t>IDR</t>
        </is>
      </c>
      <c r="H533" s="91" t="n">
        <v>1</v>
      </c>
      <c r="I533" s="62">
        <f>F533</f>
        <v/>
      </c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idden="1" ht="15.5" customHeight="1">
      <c r="B534" s="67" t="n">
        <v>45563</v>
      </c>
      <c r="C534" s="91" t="n"/>
      <c r="D534" s="98" t="inlineStr">
        <is>
          <t>Snack's Crew</t>
        </is>
      </c>
      <c r="E534" s="98" t="n"/>
      <c r="F534" s="93" t="n">
        <v>172000</v>
      </c>
      <c r="G534" s="91" t="inlineStr">
        <is>
          <t>IDR</t>
        </is>
      </c>
      <c r="H534" s="91" t="n">
        <v>1</v>
      </c>
      <c r="I534" s="62">
        <f>F534</f>
        <v/>
      </c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idden="1" ht="15.5" customHeight="1">
      <c r="B535" s="67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>
      <c r="B536" s="67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>
      <c r="B537" s="67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>
      <c r="B538" s="67" t="n">
        <v>45563</v>
      </c>
      <c r="C538" s="91" t="n"/>
      <c r="D538" s="98" t="inlineStr">
        <is>
          <t>Snack's Crew</t>
        </is>
      </c>
      <c r="E538" s="98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>
      <c r="B539" s="67" t="n">
        <v>45563</v>
      </c>
      <c r="C539" s="91" t="n"/>
      <c r="D539" s="98" t="inlineStr">
        <is>
          <t xml:space="preserve">Meal's + Soft Drink Crew </t>
        </is>
      </c>
      <c r="E539" s="98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>
      <c r="B540" s="67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>
      <c r="B541" s="67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>
      <c r="B542" s="67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>
      <c r="B543" s="67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>
      <c r="B544" s="67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>
      <c r="B545" s="78" t="inlineStr">
        <is>
          <t>Expense#34</t>
        </is>
      </c>
      <c r="C545" s="85" t="inlineStr">
        <is>
          <t>:</t>
        </is>
      </c>
      <c r="D545" s="86" t="inlineStr">
        <is>
          <t>ALFA_JRK-095 well (PEPZ4-PEndopo field) SI jakarta _ AC</t>
        </is>
      </c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>
      <c r="B546" s="14" t="n"/>
      <c r="C546" s="15" t="n"/>
      <c r="D546" s="106" t="inlineStr">
        <is>
          <t>Air Tikect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>
      <c r="B549" s="102" t="n"/>
      <c r="C549" s="15" t="n"/>
      <c r="D549" s="106" t="inlineStr">
        <is>
          <t>transportasi Darat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>
      <c r="B553" s="102" t="n"/>
      <c r="C553" s="15" t="n"/>
      <c r="D553" s="118" t="inlineStr">
        <is>
          <t>Transportasi Tools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>
      <c r="B554" s="102" t="n"/>
      <c r="C554" s="15" t="n"/>
      <c r="D554" s="108" t="inlineStr">
        <is>
          <t>Hotel and Loundry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>
      <c r="B556" s="102" t="n"/>
      <c r="C556" s="15" t="n"/>
      <c r="D556" s="108" t="inlineStr">
        <is>
          <t>Perdiem uang makan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241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>
      <c r="B560" s="78" t="inlineStr">
        <is>
          <t>Expense#35</t>
        </is>
      </c>
      <c r="C560" s="85" t="inlineStr">
        <is>
          <t>:</t>
        </is>
      </c>
      <c r="D560" s="86" t="inlineStr">
        <is>
          <t>Trip to Cirebon Meeting MTD job X-ray field with PEP Zona 7 Region2_AC</t>
        </is>
      </c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>
      <c r="B572" s="135" t="n"/>
      <c r="C572" s="136" t="n"/>
      <c r="D572" s="137" t="inlineStr">
        <is>
          <t>trip to Meeting at Cirebon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>
      <c r="B577" s="128" t="n"/>
      <c r="C577" s="129" t="n"/>
      <c r="D577" s="134" t="inlineStr">
        <is>
          <t>Hotel and Loundry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>
      <c r="B583" s="78" t="inlineStr">
        <is>
          <t>Expense#36</t>
        </is>
      </c>
      <c r="C583" s="85" t="inlineStr">
        <is>
          <t>:</t>
        </is>
      </c>
      <c r="D583" s="86" t="inlineStr">
        <is>
          <t>Non project (follow up MCU concul &amp; inspection tool)_AC_ 2 nd</t>
        </is>
      </c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>
      <c r="B594" s="102" t="n"/>
      <c r="C594" s="15" t="n"/>
      <c r="D594" s="106" t="inlineStr">
        <is>
          <t>ATK dan dokumen sent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>
      <c r="B600" s="78" t="inlineStr">
        <is>
          <t>Expense#37</t>
        </is>
      </c>
      <c r="C600" s="85" t="inlineStr">
        <is>
          <t>:</t>
        </is>
      </c>
      <c r="D600" s="86" t="inlineStr">
        <is>
          <t>MTD SKW-26_sukowati_TMA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>
      <c r="B601" s="67" t="n"/>
      <c r="C601" s="91" t="n"/>
      <c r="D601" s="97" t="inlineStr">
        <is>
          <t>Hotel and Loundry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>
      <c r="B602" s="67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>
      <c r="B603" s="67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>
      <c r="B604" s="67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>
      <c r="B605" s="67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>
      <c r="B606" s="67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>
      <c r="B607" s="67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>
      <c r="B608" s="67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>
      <c r="B609" s="67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>
      <c r="B610" s="67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>
      <c r="B611" s="67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>
      <c r="B612" s="67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>
      <c r="B613" s="67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>
      <c r="B614" s="78" t="inlineStr">
        <is>
          <t>Expense#38</t>
        </is>
      </c>
      <c r="C614" s="85" t="inlineStr">
        <is>
          <t>:</t>
        </is>
      </c>
      <c r="D614" s="86" t="inlineStr">
        <is>
          <t>MTD_STM_HDP 01 s/d 03 well (BHI project ndr Gowell) Sumbawa</t>
        </is>
      </c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>
      <c r="B615" s="102" t="n"/>
      <c r="C615" s="15" t="n"/>
      <c r="D615" s="106" t="inlineStr">
        <is>
          <t>transportasi Darat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>
      <c r="B618" s="102" t="n"/>
      <c r="C618" s="15" t="n"/>
      <c r="D618" s="118" t="inlineStr">
        <is>
          <t>Hotel and Loundry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>
      <c r="B620" s="102" t="n"/>
      <c r="C620" s="15" t="n"/>
      <c r="D620" s="108" t="inlineStr">
        <is>
          <t>Logistik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>
      <c r="B621" s="102" t="n"/>
      <c r="C621" s="15" t="n"/>
      <c r="D621" s="118" t="inlineStr">
        <is>
          <t>Entertaiment on field Site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>
      <c r="B623" s="102" t="n"/>
      <c r="C623" s="15" t="n"/>
      <c r="D623" s="118" t="inlineStr">
        <is>
          <t>Perdiem uang makan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241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>
      <c r="B627" s="78" t="inlineStr">
        <is>
          <t>Expense#39</t>
        </is>
      </c>
      <c r="C627" s="85" t="inlineStr">
        <is>
          <t>:</t>
        </is>
      </c>
      <c r="D627" s="86" t="inlineStr">
        <is>
          <t>Training Basic Sea Survival_IBR</t>
        </is>
      </c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>
      <c r="B628" s="67" t="n"/>
      <c r="C628" s="91" t="n"/>
      <c r="D628" s="97" t="inlineStr">
        <is>
          <t>Training Course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>
      <c r="B629" s="67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>
      <c r="B630" s="67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>
      <c r="B631" s="67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>
      <c r="B632" s="67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>
      <c r="B633" s="67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>
      <c r="B634" s="67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>
      <c r="B635" s="67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>
      <c r="B636" s="78" t="inlineStr">
        <is>
          <t>Expense#40</t>
        </is>
      </c>
      <c r="C636" s="85" t="inlineStr">
        <is>
          <t>:</t>
        </is>
      </c>
      <c r="D636" s="86" t="inlineStr">
        <is>
          <t>Non trip 1st - project _ Pety cash 1st - YY</t>
        </is>
      </c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>
      <c r="B637" s="140" t="n"/>
      <c r="C637" s="141" t="n"/>
      <c r="D637" s="142" t="inlineStr">
        <is>
          <t>ATK dan dokumen sent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>
      <c r="B638" s="243" t="n">
        <v>45071</v>
      </c>
      <c r="C638" s="141" t="n"/>
      <c r="D638" s="145" t="inlineStr">
        <is>
          <t>Materai 15 pcs</t>
        </is>
      </c>
      <c r="E638" s="145" t="n"/>
      <c r="F638" s="244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>
      <c r="B639" s="243" t="n">
        <v>45085</v>
      </c>
      <c r="C639" s="141" t="n"/>
      <c r="D639" s="145" t="inlineStr">
        <is>
          <t>Plastic folder 3 pcs</t>
        </is>
      </c>
      <c r="E639" s="145" t="n"/>
      <c r="F639" s="245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>
      <c r="B640" s="243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>
      <c r="B641" s="243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>
      <c r="B642" s="243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>
      <c r="B643" s="243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>
      <c r="B644" s="243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>
      <c r="B645" s="243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>
      <c r="B646" s="243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>
      <c r="B647" s="243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>
      <c r="B648" s="243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>
      <c r="B649" s="243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>
      <c r="B650" s="243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>
      <c r="B651" s="243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>
      <c r="B653" s="243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>
      <c r="B654" s="243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>
      <c r="B655" s="243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>
      <c r="B656" s="243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>
      <c r="B657" s="243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>
      <c r="B658" s="243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>
      <c r="B659" s="243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>
      <c r="B660" s="243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>
      <c r="B666" s="174" t="n"/>
      <c r="C666" s="174" t="n"/>
      <c r="D666" s="153" t="inlineStr">
        <is>
          <t>Medical</t>
        </is>
      </c>
      <c r="E666" s="153" t="n"/>
      <c r="F666" s="174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>
      <c r="B675" s="102" t="n"/>
      <c r="C675" s="15" t="n"/>
      <c r="D675" s="106" t="inlineStr">
        <is>
          <t>transportasi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>
      <c r="B683" s="102" t="n"/>
      <c r="C683" s="15" t="n"/>
      <c r="D683" s="106" t="inlineStr">
        <is>
          <t>transportasi Darat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>
      <c r="B687" s="102" t="n"/>
      <c r="C687" s="15" t="n"/>
      <c r="D687" s="108" t="inlineStr">
        <is>
          <t xml:space="preserve">Meal 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>
      <c r="B690" s="102" t="n"/>
      <c r="C690" s="15" t="n"/>
      <c r="D690" s="108" t="inlineStr">
        <is>
          <t>Hotel and Logistic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>
      <c r="B692" s="102" t="n"/>
      <c r="C692" s="15" t="n"/>
      <c r="D692" s="63" t="inlineStr">
        <is>
          <t>buy spare part connector from Pei-Genesis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>
      <c r="B694" s="156" t="n"/>
      <c r="C694" s="15" t="n"/>
      <c r="D694" s="156" t="inlineStr">
        <is>
          <t>Trip to KL - Benchmark DTR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>
      <c r="B703" s="156" t="n"/>
      <c r="C703" s="64" t="n"/>
      <c r="D703" s="156" t="inlineStr">
        <is>
          <t>Trip Alan to TGB-033 Pertamina Cirebon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>
      <c r="B707" s="156" t="n"/>
      <c r="C707" s="64" t="n"/>
      <c r="D707" s="156" t="inlineStr">
        <is>
          <t>Trip Zurailey to TGB-033 Pertamina Cirebon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>
      <c r="B709" s="156" t="n"/>
      <c r="C709" s="64" t="n"/>
      <c r="D709" s="156" t="inlineStr">
        <is>
          <t>Trip to Bandung - Upskilling event Elnusa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>
      <c r="B715" s="156" t="n"/>
      <c r="C715" s="64" t="n"/>
      <c r="D715" s="156" t="inlineStr">
        <is>
          <t>Google Domain and Email Services PT. Exspan Wireline Indonesia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idden="1" ht="15.5" customHeight="1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217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idden="1" ht="15.5" customHeight="1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217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idden="1" ht="15.5" customHeight="1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217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idden="1" ht="15.5" customHeight="1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217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idden="1" ht="15.5" customHeight="1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217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idden="1" ht="15.5" customHeight="1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217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idden="1" ht="15.5" customHeight="1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217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idden="1" ht="15.5" customHeight="1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217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idden="1" ht="15.5" customHeight="1">
      <c r="B750" s="128" t="n"/>
      <c r="C750" s="175" t="inlineStr">
        <is>
          <t>TOTAL</t>
        </is>
      </c>
      <c r="D750" s="230" t="n"/>
      <c r="E750" s="230" t="n"/>
      <c r="F750" s="230" t="n"/>
      <c r="G750" s="230" t="n"/>
      <c r="H750" s="227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27">
    <mergeCell ref="B9:E9"/>
    <mergeCell ref="K25:L25"/>
    <mergeCell ref="H6:H7"/>
    <mergeCell ref="B1:J1"/>
    <mergeCell ref="P6:P7"/>
    <mergeCell ref="J6:J7"/>
    <mergeCell ref="D25:E26"/>
    <mergeCell ref="I25:J25"/>
    <mergeCell ref="D27:E27"/>
    <mergeCell ref="C25:C26"/>
    <mergeCell ref="G6:G7"/>
    <mergeCell ref="B6:B7"/>
    <mergeCell ref="M25:N25"/>
    <mergeCell ref="O25:P25"/>
    <mergeCell ref="B71:H71"/>
    <mergeCell ref="D6:E7"/>
    <mergeCell ref="G25:G26"/>
    <mergeCell ref="D8:E8"/>
    <mergeCell ref="C750:H750"/>
    <mergeCell ref="I6:I7"/>
    <mergeCell ref="K6:K7"/>
    <mergeCell ref="B25:B26"/>
    <mergeCell ref="C6:C7"/>
    <mergeCell ref="O6:O7"/>
    <mergeCell ref="H25:H26"/>
    <mergeCell ref="B37:H37"/>
    <mergeCell ref="B28:H28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ColWidth="9.08984375" defaultRowHeight="14.5"/>
  <cols>
    <col width="1.08984375" customWidth="1" min="1" max="1"/>
    <col width="5.54296875" customWidth="1" min="2" max="2"/>
    <col width="38.36328125" customWidth="1" min="3" max="3"/>
    <col width="3.6328125" customWidth="1" min="4" max="4"/>
    <col width="30.08984375" customWidth="1" min="5" max="5"/>
    <col width="1.08984375" customWidth="1" min="6" max="6"/>
    <col width="5.54296875" customWidth="1" min="7" max="7"/>
    <col width="38.36328125" customWidth="1" min="8" max="8"/>
    <col width="3.6328125" customWidth="1" min="9" max="9"/>
    <col width="30.08984375" customWidth="1" min="10" max="10"/>
    <col width="9.08984375" customWidth="1" min="11" max="11"/>
  </cols>
  <sheetData>
    <row r="1" ht="15" customHeight="1">
      <c r="A1" s="336" t="n"/>
      <c r="B1" s="336" t="n"/>
      <c r="C1" s="336" t="n"/>
      <c r="D1" s="336" t="n"/>
      <c r="E1" s="337" t="n"/>
    </row>
    <row r="2" ht="37.25" customHeight="1">
      <c r="A2" s="336" t="n"/>
      <c r="B2" s="336" t="n"/>
      <c r="C2" s="336" t="n"/>
      <c r="D2" s="336" t="n"/>
      <c r="E2" s="337" t="n"/>
    </row>
    <row r="3" ht="33.65" customHeight="1">
      <c r="A3" s="336" t="n"/>
      <c r="B3" s="338" t="inlineStr">
        <is>
          <t>PT. EXSPAN WIRELINE INDONESIA</t>
        </is>
      </c>
      <c r="F3" s="339" t="n"/>
      <c r="G3" s="340" t="inlineStr">
        <is>
          <t>PT. EXSPAN WIRELINE INDONESIA</t>
        </is>
      </c>
      <c r="H3" s="340" t="n"/>
      <c r="I3" s="340" t="n"/>
      <c r="J3" s="340" t="n"/>
    </row>
    <row r="4" ht="20.5" customHeight="1">
      <c r="A4" s="336" t="n"/>
      <c r="B4" s="341" t="inlineStr">
        <is>
          <t>LABA RUGI | TAHUN 2024</t>
        </is>
      </c>
      <c r="F4" s="339" t="n"/>
      <c r="G4" s="342" t="inlineStr">
        <is>
          <t>NERACA |TAHUN YANG BERAKHIR, 31 DESEMBER 2024</t>
        </is>
      </c>
      <c r="H4" s="342" t="n"/>
      <c r="I4" s="342" t="n"/>
      <c r="J4" s="342" t="n"/>
    </row>
    <row r="5" ht="6" customHeight="1">
      <c r="A5" s="336" t="n"/>
      <c r="B5" s="336" t="n"/>
      <c r="C5" s="336" t="n"/>
      <c r="D5" s="336" t="n"/>
      <c r="E5" s="337" t="n"/>
      <c r="F5" s="339" t="n"/>
      <c r="G5" s="339" t="n"/>
      <c r="H5" s="343" t="n"/>
      <c r="I5" s="343" t="n"/>
      <c r="J5" s="343" t="n"/>
    </row>
    <row r="6" ht="15.5" customHeight="1">
      <c r="A6" s="336" t="n"/>
      <c r="B6" s="344" t="n"/>
      <c r="C6" s="345" t="n"/>
      <c r="D6" s="346" t="inlineStr">
        <is>
          <t>PT. Exspan Wireline Indonesia</t>
        </is>
      </c>
      <c r="E6" s="221" t="n"/>
      <c r="F6" s="339" t="n"/>
      <c r="G6" s="347" t="n"/>
      <c r="H6" s="348" t="n"/>
      <c r="I6" s="346" t="inlineStr">
        <is>
          <t>PT. Exspan Wireline Indonesia</t>
        </is>
      </c>
      <c r="J6" s="221" t="n"/>
    </row>
    <row r="7" ht="15.5" customHeight="1">
      <c r="A7" s="336" t="n"/>
      <c r="B7" s="349" t="n"/>
      <c r="C7" s="350" t="n"/>
      <c r="D7" s="351" t="inlineStr">
        <is>
          <t>(Rp)</t>
        </is>
      </c>
      <c r="E7" s="226" t="n"/>
      <c r="F7" s="339" t="n"/>
      <c r="G7" s="352" t="n"/>
      <c r="H7" s="353" t="n"/>
      <c r="I7" s="351" t="inlineStr">
        <is>
          <t>(Rp)</t>
        </is>
      </c>
      <c r="J7" s="226" t="n"/>
    </row>
    <row r="8">
      <c r="A8" s="336" t="n"/>
      <c r="B8" s="354" t="inlineStr">
        <is>
          <t>PENDAPATAN</t>
        </is>
      </c>
      <c r="C8" s="355" t="n"/>
      <c r="D8" s="356" t="n"/>
      <c r="E8" s="357" t="n"/>
      <c r="F8" s="339" t="n"/>
      <c r="G8" s="358" t="inlineStr">
        <is>
          <t>AKTIVA</t>
        </is>
      </c>
      <c r="H8" s="359" t="n"/>
      <c r="I8" s="360" t="n"/>
      <c r="J8" s="361" t="n"/>
    </row>
    <row r="9">
      <c r="A9" s="336" t="n"/>
      <c r="B9" s="362" t="n"/>
      <c r="C9" s="355" t="inlineStr">
        <is>
          <t>PENDAPATAN LANGSUNG</t>
        </is>
      </c>
      <c r="D9" s="362" t="inlineStr">
        <is>
          <t>Rp</t>
        </is>
      </c>
      <c r="E9" s="363" t="n">
        <v>0</v>
      </c>
      <c r="F9" s="339" t="n"/>
      <c r="G9" s="364" t="inlineStr">
        <is>
          <t>AKTIVA LANCAR</t>
        </is>
      </c>
      <c r="H9" s="365" t="n"/>
      <c r="I9" s="364" t="n"/>
      <c r="J9" s="366" t="n"/>
    </row>
    <row r="10">
      <c r="A10" s="336" t="n"/>
      <c r="B10" s="362" t="n"/>
      <c r="C10" s="355" t="inlineStr">
        <is>
          <t>PENDAPATAN LAIN LAIN</t>
        </is>
      </c>
      <c r="D10" s="362" t="inlineStr">
        <is>
          <t>Rp</t>
        </is>
      </c>
      <c r="E10" s="363" t="n">
        <v>0</v>
      </c>
      <c r="F10" s="339" t="n"/>
      <c r="G10" s="367" t="n"/>
      <c r="H10" s="368" t="inlineStr">
        <is>
          <t>KAS DAN SETARA KAS TAHUN SEBELUMNYA</t>
        </is>
      </c>
      <c r="I10" s="362" t="inlineStr">
        <is>
          <t>Rp</t>
        </is>
      </c>
      <c r="J10" s="369" t="n">
        <v>0</v>
      </c>
    </row>
    <row r="11">
      <c r="A11" s="336" t="n"/>
      <c r="B11" s="362" t="n"/>
      <c r="C11" s="355" t="n"/>
      <c r="D11" s="370" t="n"/>
      <c r="E11" s="371" t="n"/>
      <c r="F11" s="339" t="n"/>
      <c r="G11" s="367" t="n"/>
      <c r="H11" s="368" t="inlineStr">
        <is>
          <t>KAS DAN SETARA KAS TAHUN LAPORAN</t>
        </is>
      </c>
      <c r="I11" s="362" t="inlineStr">
        <is>
          <t>Rp</t>
        </is>
      </c>
      <c r="J11" s="369">
        <f>E46-'Business Summary'!E13</f>
        <v/>
      </c>
    </row>
    <row r="12">
      <c r="A12" s="336" t="n"/>
      <c r="B12" s="372" t="inlineStr">
        <is>
          <t>TOTALPENDAPATAN</t>
        </is>
      </c>
      <c r="C12" s="373" t="n"/>
      <c r="D12" s="374" t="inlineStr">
        <is>
          <t>Rp</t>
        </is>
      </c>
      <c r="E12" s="375">
        <f>SUM(E9:E11)</f>
        <v/>
      </c>
      <c r="F12" s="339" t="n"/>
      <c r="G12" s="367" t="n"/>
      <c r="H12" s="368" t="inlineStr">
        <is>
          <t>PIUTANG USAHA</t>
        </is>
      </c>
      <c r="I12" s="362" t="inlineStr">
        <is>
          <t>Rp</t>
        </is>
      </c>
      <c r="J12" s="369" t="n">
        <v>0</v>
      </c>
    </row>
    <row r="13">
      <c r="A13" s="336" t="n"/>
      <c r="B13" s="362" t="n"/>
      <c r="C13" s="355" t="n"/>
      <c r="D13" s="356" t="n"/>
      <c r="E13" s="376" t="n"/>
      <c r="F13" s="339" t="n"/>
      <c r="G13" s="367" t="n"/>
      <c r="H13" s="368" t="inlineStr">
        <is>
          <t>PAJAK BAYAR DI MUKA (pph23)</t>
        </is>
      </c>
      <c r="I13" s="362" t="inlineStr">
        <is>
          <t>Rp</t>
        </is>
      </c>
      <c r="J13" s="369" t="n">
        <v>0</v>
      </c>
    </row>
    <row r="14">
      <c r="A14" s="336" t="n"/>
      <c r="B14" s="377" t="inlineStr">
        <is>
          <t>BEBAN LANGSUNG</t>
        </is>
      </c>
      <c r="C14" s="355" t="n"/>
      <c r="D14" s="362" t="n"/>
      <c r="E14" s="378" t="n"/>
      <c r="F14" s="339" t="n"/>
      <c r="G14" s="367" t="n"/>
      <c r="H14" s="368" t="inlineStr">
        <is>
          <t>BIAYA BAYAR DI MUKA</t>
        </is>
      </c>
      <c r="I14" s="362" t="inlineStr">
        <is>
          <t>Rp</t>
        </is>
      </c>
      <c r="J14" s="369" t="n">
        <v>0</v>
      </c>
    </row>
    <row r="15">
      <c r="A15" s="336" t="n"/>
      <c r="B15" s="379" t="n"/>
      <c r="C15" s="355" t="inlineStr">
        <is>
          <t xml:space="preserve">Biaya Operasi </t>
        </is>
      </c>
      <c r="D15" s="362" t="inlineStr">
        <is>
          <t>Rp</t>
        </is>
      </c>
      <c r="E15" s="378">
        <f>'Revenue-Cost_2030'!I71</f>
        <v/>
      </c>
      <c r="F15" s="339" t="n"/>
      <c r="G15" s="380" t="n"/>
      <c r="H15" s="368" t="inlineStr">
        <is>
          <t>PIUTANG LAIN LAIN</t>
        </is>
      </c>
      <c r="I15" s="362" t="inlineStr">
        <is>
          <t>Rp</t>
        </is>
      </c>
      <c r="J15" s="369" t="n">
        <v>0</v>
      </c>
    </row>
    <row r="16">
      <c r="A16" s="336" t="n"/>
      <c r="B16" s="379" t="n"/>
      <c r="C16" s="355" t="inlineStr">
        <is>
          <t>Biaya research (R &amp; D)</t>
        </is>
      </c>
      <c r="D16" s="362" t="inlineStr">
        <is>
          <t>Rp</t>
        </is>
      </c>
      <c r="E16" s="378">
        <f>'Revenue-Cost_2030'!J71</f>
        <v/>
      </c>
      <c r="F16" s="339" t="n"/>
      <c r="G16" s="381" t="n"/>
      <c r="H16" s="382" t="inlineStr">
        <is>
          <t>TOTAL AKTIVA LANCAR</t>
        </is>
      </c>
      <c r="I16" s="374" t="inlineStr">
        <is>
          <t>Rp</t>
        </is>
      </c>
      <c r="J16" s="383">
        <f>SUM(J10:J15)</f>
        <v/>
      </c>
    </row>
    <row r="17">
      <c r="A17" s="336" t="n"/>
      <c r="B17" s="379" t="n"/>
      <c r="C17" s="355" t="inlineStr">
        <is>
          <t>BIAYA SEWA PERALATAN</t>
        </is>
      </c>
      <c r="D17" s="362" t="inlineStr">
        <is>
          <t>Rp</t>
        </is>
      </c>
      <c r="E17" s="378">
        <f>'Revenue-Cost_2030'!K71</f>
        <v/>
      </c>
      <c r="F17" s="339" t="n"/>
      <c r="G17" s="367" t="n"/>
      <c r="H17" s="368" t="n"/>
      <c r="I17" s="384" t="n"/>
      <c r="J17" s="385" t="n"/>
    </row>
    <row r="18">
      <c r="A18" s="336" t="n"/>
      <c r="B18" s="379" t="n"/>
      <c r="C18" s="355" t="inlineStr">
        <is>
          <t>BIAYA Data Processing</t>
        </is>
      </c>
      <c r="D18" s="362" t="inlineStr">
        <is>
          <t>Rp</t>
        </is>
      </c>
      <c r="E18" s="378">
        <f>'Revenue-Cost_2030'!L71</f>
        <v/>
      </c>
      <c r="F18" s="339" t="n"/>
      <c r="G18" s="364" t="inlineStr">
        <is>
          <t>ACTIVA TETAP</t>
        </is>
      </c>
      <c r="H18" s="386" t="n"/>
      <c r="I18" s="358" t="n"/>
      <c r="J18" s="369" t="n"/>
    </row>
    <row r="19">
      <c r="A19" s="336" t="n"/>
      <c r="B19" s="379" t="n"/>
      <c r="C19" s="355" t="n"/>
      <c r="D19" s="362" t="n"/>
      <c r="E19" s="378" t="n"/>
      <c r="F19" s="339" t="n"/>
      <c r="G19" s="364" t="n"/>
      <c r="H19" s="386" t="n"/>
      <c r="I19" s="358" t="n"/>
      <c r="J19" s="369" t="n"/>
    </row>
    <row r="20">
      <c r="A20" s="336" t="n"/>
      <c r="B20" s="379" t="n"/>
      <c r="C20" s="355" t="n"/>
      <c r="D20" s="370" t="n"/>
      <c r="E20" s="387" t="n"/>
      <c r="F20" s="339" t="n"/>
      <c r="G20" s="367" t="n"/>
      <c r="H20" s="368" t="inlineStr">
        <is>
          <t>INVENTARIS KANTOR</t>
        </is>
      </c>
      <c r="I20" s="362" t="inlineStr">
        <is>
          <t>Rp</t>
        </is>
      </c>
      <c r="J20" s="369" t="n">
        <v>0</v>
      </c>
    </row>
    <row r="21">
      <c r="A21" s="336" t="n"/>
      <c r="B21" s="372" t="inlineStr">
        <is>
          <t>TOTAL BIAYA LANGSUNG</t>
        </is>
      </c>
      <c r="C21" s="373" t="n"/>
      <c r="D21" s="374" t="inlineStr">
        <is>
          <t>Rp</t>
        </is>
      </c>
      <c r="E21" s="388">
        <f>SUM(E15:E20)</f>
        <v/>
      </c>
      <c r="F21" s="339" t="n"/>
      <c r="G21" s="367" t="n"/>
      <c r="H21" s="386" t="n"/>
      <c r="I21" s="389" t="n"/>
      <c r="J21" s="390" t="n"/>
    </row>
    <row r="22">
      <c r="A22" s="336" t="n"/>
      <c r="B22" s="362" t="n"/>
      <c r="C22" s="355" t="n"/>
      <c r="D22" s="356" t="n"/>
      <c r="E22" s="391" t="n"/>
      <c r="F22" s="339" t="n"/>
      <c r="G22" s="381" t="n"/>
      <c r="H22" s="382" t="inlineStr">
        <is>
          <t>TOTAL AKTIVA TETAP</t>
        </is>
      </c>
      <c r="I22" s="374" t="inlineStr">
        <is>
          <t>Rp</t>
        </is>
      </c>
      <c r="J22" s="383">
        <f>J20</f>
        <v/>
      </c>
    </row>
    <row r="23">
      <c r="A23" s="336" t="n"/>
      <c r="B23" s="377" t="inlineStr">
        <is>
          <t>BEBAN TIDAK LANGSUNG</t>
        </is>
      </c>
      <c r="C23" s="355" t="n"/>
      <c r="D23" s="362" t="n"/>
      <c r="E23" s="378">
        <f>'Revenue-Cost_2030'!Q71</f>
        <v/>
      </c>
      <c r="F23" s="339" t="n"/>
      <c r="G23" s="367" t="n"/>
      <c r="H23" s="368" t="n"/>
      <c r="I23" s="384" t="n"/>
      <c r="J23" s="361" t="n"/>
    </row>
    <row r="24">
      <c r="A24" s="336" t="n"/>
      <c r="B24" s="362" t="n"/>
      <c r="C24" s="355" t="n"/>
      <c r="D24" s="362" t="n"/>
      <c r="E24" s="378" t="n"/>
      <c r="F24" s="339" t="n"/>
      <c r="G24" s="364" t="inlineStr">
        <is>
          <t>ACTIVA LAIN LAIN</t>
        </is>
      </c>
      <c r="H24" s="386" t="n"/>
      <c r="I24" s="358" t="n"/>
      <c r="J24" s="369" t="n">
        <v>0</v>
      </c>
    </row>
    <row r="25">
      <c r="A25" s="336" t="n"/>
      <c r="B25" s="362" t="n"/>
      <c r="C25" s="355" t="n"/>
      <c r="D25" s="362" t="inlineStr">
        <is>
          <t>Rp</t>
        </is>
      </c>
      <c r="E25" s="378" t="n"/>
      <c r="F25" s="339" t="n"/>
      <c r="G25" s="367" t="n"/>
      <c r="H25" s="368" t="n"/>
      <c r="I25" s="392" t="n"/>
      <c r="J25" s="393" t="n">
        <v>0</v>
      </c>
    </row>
    <row r="26">
      <c r="A26" s="336" t="n"/>
      <c r="B26" s="362" t="n"/>
      <c r="C26" s="355" t="n"/>
      <c r="D26" s="370" t="n"/>
      <c r="E26" s="387" t="n"/>
      <c r="F26" s="339" t="n"/>
      <c r="G26" s="381" t="n"/>
      <c r="H26" s="382" t="inlineStr">
        <is>
          <t>TOTAL AKTIVA LAIN LAIN</t>
        </is>
      </c>
      <c r="I26" s="374" t="inlineStr">
        <is>
          <t>Rp</t>
        </is>
      </c>
      <c r="J26" s="383">
        <f>SUM(J25:J25)</f>
        <v/>
      </c>
    </row>
    <row r="27">
      <c r="A27" s="336" t="n"/>
      <c r="B27" s="372" t="inlineStr">
        <is>
          <t>TOTAL BIAYA TIDAK LANGSUNG</t>
        </is>
      </c>
      <c r="C27" s="373" t="n"/>
      <c r="D27" s="374" t="inlineStr">
        <is>
          <t>Rp</t>
        </is>
      </c>
      <c r="E27" s="388">
        <f>SUM(E22:E26)</f>
        <v/>
      </c>
      <c r="F27" s="339" t="n"/>
      <c r="G27" s="367" t="n"/>
      <c r="H27" s="368" t="n"/>
      <c r="I27" s="394" t="n"/>
      <c r="J27" s="395" t="n"/>
    </row>
    <row r="28">
      <c r="A28" s="336" t="n"/>
      <c r="B28" s="362" t="n"/>
      <c r="C28" s="355" t="n"/>
      <c r="D28" s="356" t="n"/>
      <c r="E28" s="391" t="n"/>
      <c r="F28" s="339" t="n"/>
      <c r="G28" s="372" t="inlineStr">
        <is>
          <t>TOTAL AKTIVA</t>
        </is>
      </c>
      <c r="H28" s="373" t="n"/>
      <c r="I28" s="374" t="inlineStr">
        <is>
          <t>Rp</t>
        </is>
      </c>
      <c r="J28" s="396">
        <f>J26+J22+J16</f>
        <v/>
      </c>
    </row>
    <row r="29">
      <c r="A29" s="336" t="n"/>
      <c r="B29" s="377" t="inlineStr">
        <is>
          <t>BIAYA ADMINISTRASI DAN UMUM</t>
        </is>
      </c>
      <c r="C29" s="355" t="n"/>
      <c r="D29" s="362" t="n"/>
      <c r="E29" s="378" t="n"/>
      <c r="F29" s="339" t="n"/>
      <c r="G29" s="397" t="n"/>
      <c r="H29" s="398" t="n"/>
      <c r="I29" s="397" t="n"/>
      <c r="J29" s="385" t="n"/>
    </row>
    <row r="30">
      <c r="A30" s="336" t="n"/>
      <c r="B30" s="379" t="n"/>
      <c r="C30" s="355" t="inlineStr">
        <is>
          <t>BIAYA ADMINISTRASI</t>
        </is>
      </c>
      <c r="D30" s="362" t="inlineStr">
        <is>
          <t>Rp</t>
        </is>
      </c>
      <c r="E30" s="378">
        <f>'Revenue-Cost_2030'!M71</f>
        <v/>
      </c>
      <c r="F30" s="339" t="n"/>
      <c r="G30" s="399" t="inlineStr">
        <is>
          <t>HUTANG DAN MODAL</t>
        </is>
      </c>
      <c r="H30" s="359" t="n"/>
      <c r="I30" s="399" t="n"/>
      <c r="J30" s="400" t="n"/>
    </row>
    <row r="31">
      <c r="A31" s="336" t="n"/>
      <c r="B31" s="379" t="n"/>
      <c r="C31" s="355" t="inlineStr">
        <is>
          <t>BIAYA PEMBELIAN Barang</t>
        </is>
      </c>
      <c r="D31" s="362" t="inlineStr">
        <is>
          <t>Rp</t>
        </is>
      </c>
      <c r="E31" s="378">
        <f>'Revenue-Cost_2030'!N71</f>
        <v/>
      </c>
      <c r="F31" s="339" t="n"/>
      <c r="G31" s="399" t="n"/>
      <c r="H31" s="359" t="n"/>
      <c r="I31" s="399" t="n"/>
      <c r="J31" s="400" t="n"/>
    </row>
    <row r="32">
      <c r="A32" s="336" t="n"/>
      <c r="B32" s="379" t="n"/>
      <c r="C32" s="355" t="inlineStr">
        <is>
          <t>BIAYA SEWA KANTOR</t>
        </is>
      </c>
      <c r="D32" s="362" t="inlineStr">
        <is>
          <t>Rp</t>
        </is>
      </c>
      <c r="E32" s="378">
        <f>'Revenue-Cost_2030'!O71</f>
        <v/>
      </c>
      <c r="F32" s="339" t="n"/>
      <c r="G32" s="364" t="inlineStr">
        <is>
          <t>HUTANG LANCAR</t>
        </is>
      </c>
      <c r="H32" s="365" t="n"/>
      <c r="I32" s="364" t="n"/>
      <c r="J32" s="366" t="n"/>
    </row>
    <row r="33">
      <c r="A33" s="336" t="n"/>
      <c r="B33" s="379" t="n"/>
      <c r="C33" s="355" t="inlineStr">
        <is>
          <t>BIAYA KESEHATAN</t>
        </is>
      </c>
      <c r="D33" s="362" t="inlineStr">
        <is>
          <t>Rp</t>
        </is>
      </c>
      <c r="E33" s="378">
        <f>'Revenue-Cost_2030'!P71</f>
        <v/>
      </c>
      <c r="F33" s="339" t="n"/>
      <c r="G33" s="367" t="n"/>
      <c r="H33" s="368" t="inlineStr">
        <is>
          <t>HUTANG USAHA</t>
        </is>
      </c>
      <c r="I33" s="362" t="inlineStr">
        <is>
          <t>Rp</t>
        </is>
      </c>
      <c r="J33" s="369" t="n">
        <v>0</v>
      </c>
    </row>
    <row r="34">
      <c r="A34" s="336" t="n"/>
      <c r="B34" s="379" t="n"/>
      <c r="C34" s="355" t="n"/>
      <c r="D34" s="370" t="n"/>
      <c r="E34" s="387" t="n"/>
      <c r="F34" s="339" t="n"/>
      <c r="G34" s="367" t="n"/>
      <c r="H34" s="401" t="inlineStr">
        <is>
          <t>HUTANG GAJI</t>
        </is>
      </c>
      <c r="I34" s="362" t="inlineStr">
        <is>
          <t>Rp</t>
        </is>
      </c>
      <c r="J34" s="369" t="n">
        <v>0</v>
      </c>
    </row>
    <row r="35">
      <c r="A35" s="336" t="n"/>
      <c r="B35" s="372" t="inlineStr">
        <is>
          <t>TOTAL BIAYA ADMINISTRASI DAN UMUM</t>
        </is>
      </c>
      <c r="C35" s="373" t="n"/>
      <c r="D35" s="374" t="inlineStr">
        <is>
          <t>Rp</t>
        </is>
      </c>
      <c r="E35" s="375">
        <f>SUM(E30:E34)</f>
        <v/>
      </c>
      <c r="F35" s="339" t="n"/>
      <c r="G35" s="367" t="n"/>
      <c r="H35" s="368" t="inlineStr">
        <is>
          <t>HUTANG PEMEGANG SAHAM</t>
        </is>
      </c>
      <c r="I35" s="362" t="inlineStr">
        <is>
          <t>Rp</t>
        </is>
      </c>
      <c r="J35" s="369" t="n">
        <v>0</v>
      </c>
    </row>
    <row r="36">
      <c r="A36" s="336" t="n"/>
      <c r="B36" s="379" t="n"/>
      <c r="C36" s="355" t="n"/>
      <c r="D36" s="374" t="n"/>
      <c r="E36" s="402" t="n"/>
      <c r="F36" s="339" t="n"/>
      <c r="G36" s="367" t="n"/>
      <c r="H36" s="368" t="inlineStr">
        <is>
          <t>BIAYA YANG MASIH HARUS DI BAYAR</t>
        </is>
      </c>
      <c r="I36" s="362" t="inlineStr">
        <is>
          <t>Rp</t>
        </is>
      </c>
      <c r="J36" s="369" t="n">
        <v>0</v>
      </c>
    </row>
    <row r="37">
      <c r="A37" s="336" t="n"/>
      <c r="B37" s="372" t="inlineStr">
        <is>
          <t>TOTAL BIAYA</t>
        </is>
      </c>
      <c r="C37" s="373" t="n"/>
      <c r="D37" s="374" t="inlineStr">
        <is>
          <t>Rp</t>
        </is>
      </c>
      <c r="E37" s="375">
        <f>E35+E21+E27</f>
        <v/>
      </c>
      <c r="F37" s="339" t="n"/>
      <c r="G37" s="403" t="n"/>
      <c r="H37" s="404" t="n"/>
      <c r="I37" s="403" t="n"/>
      <c r="J37" s="405" t="n"/>
    </row>
    <row r="38">
      <c r="A38" s="336" t="n"/>
      <c r="B38" s="354" t="n"/>
      <c r="C38" s="406" t="n"/>
      <c r="D38" s="356" t="n"/>
      <c r="E38" s="407" t="n"/>
      <c r="F38" s="339" t="n"/>
      <c r="G38" s="381" t="n"/>
      <c r="H38" s="382" t="inlineStr">
        <is>
          <t>TOTAL HUTANG LANCAR</t>
        </is>
      </c>
      <c r="I38" s="408" t="n"/>
      <c r="J38" s="383">
        <f>SUM(J33:J36)</f>
        <v/>
      </c>
    </row>
    <row r="39">
      <c r="A39" s="336" t="n"/>
      <c r="B39" s="377" t="inlineStr">
        <is>
          <t xml:space="preserve">PENDAPATAN/BEBAN LAIN LAIN </t>
        </is>
      </c>
      <c r="C39" s="355" t="n"/>
      <c r="D39" s="362" t="inlineStr">
        <is>
          <t>Rp</t>
        </is>
      </c>
      <c r="E39" s="409" t="n"/>
      <c r="F39" s="339" t="n"/>
      <c r="G39" s="367" t="n"/>
      <c r="H39" s="386" t="n"/>
      <c r="I39" s="410" t="n"/>
      <c r="J39" s="361" t="n"/>
    </row>
    <row r="40">
      <c r="A40" s="336" t="n"/>
      <c r="B40" s="377" t="n"/>
      <c r="C40" s="355" t="inlineStr">
        <is>
          <t>PENDAPATAN LAINNYA</t>
        </is>
      </c>
      <c r="D40" s="362" t="inlineStr">
        <is>
          <t>Rp</t>
        </is>
      </c>
      <c r="E40" s="363" t="n">
        <v>0</v>
      </c>
      <c r="F40" s="339" t="n"/>
      <c r="G40" s="364" t="inlineStr">
        <is>
          <t>MODAL</t>
        </is>
      </c>
      <c r="H40" s="365" t="n"/>
      <c r="I40" s="364" t="n"/>
      <c r="J40" s="366" t="n"/>
    </row>
    <row r="41">
      <c r="A41" s="336" t="n"/>
      <c r="B41" s="377" t="n"/>
      <c r="C41" s="355" t="n"/>
      <c r="D41" s="370" t="n"/>
      <c r="E41" s="411" t="n"/>
      <c r="F41" s="339" t="n"/>
      <c r="G41" s="367" t="n"/>
      <c r="H41" s="368" t="inlineStr">
        <is>
          <t>MODAL SAHAM</t>
        </is>
      </c>
      <c r="I41" s="362" t="inlineStr">
        <is>
          <t>Rp</t>
        </is>
      </c>
      <c r="J41" s="369" t="n">
        <v>0</v>
      </c>
    </row>
    <row r="42">
      <c r="A42" s="336" t="n"/>
      <c r="B42" s="372" t="inlineStr">
        <is>
          <t>LABA RUGI SEBELUM PAJAK</t>
        </is>
      </c>
      <c r="C42" s="373" t="n"/>
      <c r="D42" s="374" t="inlineStr">
        <is>
          <t>Rp</t>
        </is>
      </c>
      <c r="E42" s="375">
        <f>E12-E37</f>
        <v/>
      </c>
      <c r="F42" s="339" t="n"/>
      <c r="G42" s="367" t="n"/>
      <c r="H42" s="368" t="inlineStr">
        <is>
          <t>LABA DI TAHAN</t>
        </is>
      </c>
      <c r="I42" s="362" t="inlineStr">
        <is>
          <t>Rp</t>
        </is>
      </c>
      <c r="J42" s="369" t="n">
        <v>0</v>
      </c>
    </row>
    <row r="43">
      <c r="A43" s="336" t="n"/>
      <c r="B43" s="412" t="n"/>
      <c r="C43" s="406" t="n"/>
      <c r="D43" s="356" t="n"/>
      <c r="E43" s="376" t="n"/>
      <c r="F43" s="339" t="n"/>
      <c r="G43" s="364" t="n"/>
      <c r="H43" s="368" t="inlineStr">
        <is>
          <t>TOTAL LABA (RUGI) DITAHAN</t>
        </is>
      </c>
      <c r="I43" s="370" t="inlineStr">
        <is>
          <t>Rp</t>
        </is>
      </c>
      <c r="J43" s="393">
        <f>J28-J38-J41-J42</f>
        <v/>
      </c>
    </row>
    <row r="44">
      <c r="A44" s="336" t="n"/>
      <c r="B44" s="377" t="inlineStr">
        <is>
          <t>CORPORATE TAX (PPh 29)</t>
        </is>
      </c>
      <c r="D44" s="362" t="inlineStr">
        <is>
          <t>Rp</t>
        </is>
      </c>
      <c r="E44" s="363" t="n">
        <v>0</v>
      </c>
      <c r="F44" s="339" t="n"/>
      <c r="G44" s="381" t="n"/>
      <c r="H44" s="382" t="inlineStr">
        <is>
          <t>TOTAL MODAL</t>
        </is>
      </c>
      <c r="I44" s="374" t="inlineStr">
        <is>
          <t>Rp</t>
        </is>
      </c>
      <c r="J44" s="383">
        <f>SUM(J41:J43)</f>
        <v/>
      </c>
    </row>
    <row r="45">
      <c r="A45" s="336" t="n"/>
      <c r="B45" s="377" t="n"/>
      <c r="C45" s="355" t="n"/>
      <c r="D45" s="370" t="n"/>
      <c r="E45" s="411" t="n"/>
      <c r="F45" s="339" t="n"/>
      <c r="G45" s="367" t="n"/>
      <c r="H45" s="368" t="n"/>
      <c r="I45" s="394" t="n"/>
      <c r="J45" s="395" t="n"/>
    </row>
    <row r="46" ht="15" customHeight="1">
      <c r="A46" s="336" t="n"/>
      <c r="B46" s="413" t="inlineStr">
        <is>
          <t>LABA / RUGI BERSIH</t>
        </is>
      </c>
      <c r="C46" s="414" t="n"/>
      <c r="D46" s="415" t="n"/>
      <c r="E46" s="416">
        <f>E42-E44</f>
        <v/>
      </c>
      <c r="F46" s="339" t="n"/>
      <c r="G46" s="417" t="inlineStr">
        <is>
          <t>TOTAL HUTANG DAN MODAL</t>
        </is>
      </c>
      <c r="H46" s="418" t="n"/>
      <c r="I46" s="415" t="inlineStr">
        <is>
          <t>Rp</t>
        </is>
      </c>
      <c r="J46" s="419">
        <f>J44+J38</f>
        <v/>
      </c>
    </row>
    <row r="47" ht="4.5" customHeight="1">
      <c r="A47" s="336" t="n"/>
      <c r="F47" s="339" t="n"/>
    </row>
    <row r="48" ht="50.65" customHeight="1">
      <c r="A48" s="336" t="n"/>
      <c r="F48" s="339" t="n"/>
      <c r="G48" s="420" t="n"/>
    </row>
    <row r="49" ht="16.75" customHeight="1">
      <c r="A49" s="336" t="n"/>
      <c r="B49" s="421" t="n"/>
      <c r="F49" s="339" t="n"/>
      <c r="G49" s="421" t="n"/>
    </row>
    <row r="50" ht="15.65" customHeight="1">
      <c r="A50" s="355" t="n"/>
      <c r="B50" s="422" t="inlineStr">
        <is>
          <t>Direktur</t>
        </is>
      </c>
      <c r="F50" s="339" t="n"/>
      <c r="G50" s="422" t="inlineStr">
        <is>
          <t>Direktur</t>
        </is>
      </c>
    </row>
    <row r="51">
      <c r="A51" s="355" t="n"/>
      <c r="F51" s="339" t="n"/>
    </row>
    <row r="52">
      <c r="A52" s="355" t="n"/>
      <c r="F52" s="339" t="n"/>
      <c r="J52" s="423" t="n"/>
    </row>
    <row r="96" ht="64.5" customHeight="1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" customWidth="1" min="1" max="1"/>
    <col width="5" customWidth="1" min="2" max="2"/>
    <col width="40" customWidth="1" min="3" max="3"/>
    <col width="5" customWidth="1" min="4" max="4"/>
    <col width="25" customWidth="1" min="5" max="5"/>
    <col width="4" customWidth="1" min="6" max="6"/>
    <col width="10" customWidth="1" min="7" max="7"/>
  </cols>
  <sheetData>
    <row r="1" ht="15" customHeight="1">
      <c r="A1" s="336" t="n"/>
      <c r="B1" s="336" t="n"/>
      <c r="C1" s="336" t="n"/>
      <c r="D1" s="336" t="n"/>
      <c r="E1" s="337" t="n"/>
    </row>
    <row r="2" ht="37.25" customHeight="1">
      <c r="A2" s="336" t="n"/>
      <c r="B2" s="336" t="n"/>
      <c r="C2" s="336" t="n"/>
      <c r="D2" s="336" t="n"/>
      <c r="E2" s="337" t="n"/>
    </row>
    <row r="3" ht="33.65" customHeight="1">
      <c r="A3" s="336" t="n"/>
      <c r="B3" s="338" t="inlineStr">
        <is>
          <t>PT. EXSPAN WIRELINE INDONESIA</t>
        </is>
      </c>
      <c r="F3" s="339" t="n"/>
    </row>
    <row r="4" ht="20.5" customHeight="1">
      <c r="A4" s="336" t="n"/>
      <c r="B4" s="341" t="inlineStr">
        <is>
          <t>BUSINESS SUMMARY | TAHUN 2030</t>
        </is>
      </c>
      <c r="F4" s="339" t="n"/>
    </row>
    <row r="5" ht="6" customHeight="1">
      <c r="A5" s="336" t="n"/>
      <c r="B5" s="336" t="n"/>
      <c r="C5" s="336" t="n"/>
      <c r="D5" s="336" t="n"/>
      <c r="E5" s="337" t="n"/>
      <c r="F5" s="339" t="n"/>
    </row>
    <row r="6" ht="20" customHeight="1">
      <c r="A6" s="336" t="n"/>
      <c r="B6" s="424" t="inlineStr">
        <is>
          <t>#</t>
        </is>
      </c>
      <c r="C6" s="424" t="inlineStr">
        <is>
          <t>Items</t>
        </is>
      </c>
      <c r="D6" s="425" t="inlineStr">
        <is>
          <t>Amount</t>
        </is>
      </c>
      <c r="E6" s="227" t="n"/>
      <c r="F6" s="339" t="n"/>
    </row>
    <row r="7" ht="20" customHeight="1">
      <c r="A7" s="336" t="n"/>
      <c r="B7" s="426" t="n">
        <v>1</v>
      </c>
      <c r="C7" s="427" t="inlineStr">
        <is>
          <t>Revenue</t>
        </is>
      </c>
      <c r="D7" s="428" t="inlineStr">
        <is>
          <t>Rp</t>
        </is>
      </c>
      <c r="E7" s="429">
        <f>SUM('Revenue-Cost_2030'!L8:L8)</f>
        <v/>
      </c>
      <c r="F7" s="339" t="n"/>
    </row>
    <row r="8" ht="20" customHeight="1">
      <c r="A8" s="336" t="n"/>
      <c r="B8" s="426" t="n">
        <v>2</v>
      </c>
      <c r="C8" s="427" t="inlineStr">
        <is>
          <t>Revenue Diterima (Setelah Pajak)</t>
        </is>
      </c>
      <c r="D8" s="428" t="inlineStr">
        <is>
          <t>Rp</t>
        </is>
      </c>
      <c r="E8" s="429">
        <f>E7-SUM('Revenue-Cost_2030'!N8:N8)</f>
        <v/>
      </c>
      <c r="F8" s="339" t="n"/>
    </row>
    <row r="9" ht="20" customHeight="1">
      <c r="A9" s="336" t="n"/>
      <c r="B9" s="426" t="n">
        <v>3</v>
      </c>
      <c r="C9" s="427" t="inlineStr">
        <is>
          <t>Biaya</t>
        </is>
      </c>
      <c r="D9" s="428" t="inlineStr">
        <is>
          <t>Rp</t>
        </is>
      </c>
      <c r="E9" s="429">
        <f>SUM('Revenue-Cost_2030'!I71:Q71)</f>
        <v/>
      </c>
      <c r="F9" s="339" t="n"/>
    </row>
    <row r="10" ht="20" customHeight="1">
      <c r="A10" s="336" t="n"/>
      <c r="B10" s="426" t="n">
        <v>4</v>
      </c>
      <c r="C10" s="427" t="inlineStr">
        <is>
          <t>Profit SebelumTax</t>
        </is>
      </c>
      <c r="D10" s="428" t="inlineStr">
        <is>
          <t>Rp</t>
        </is>
      </c>
      <c r="E10" s="429">
        <f>E7-E9</f>
        <v/>
      </c>
      <c r="F10" s="339" t="n"/>
    </row>
    <row r="11" ht="20" customHeight="1">
      <c r="A11" s="336" t="n"/>
      <c r="B11" s="426" t="n">
        <v>5</v>
      </c>
      <c r="C11" s="427" t="inlineStr">
        <is>
          <t>PPh Badan (22%*50%)</t>
        </is>
      </c>
      <c r="D11" s="428" t="inlineStr">
        <is>
          <t>Rp</t>
        </is>
      </c>
      <c r="E11" s="429">
        <f>E10*22%*50%</f>
        <v/>
      </c>
      <c r="F11" s="339" t="n"/>
    </row>
    <row r="12" ht="20" customHeight="1">
      <c r="A12" s="336" t="n"/>
      <c r="B12" s="426" t="n">
        <v>6</v>
      </c>
      <c r="C12" s="427" t="inlineStr">
        <is>
          <t>PPh 23 Dipotong oleh client</t>
        </is>
      </c>
      <c r="D12" s="428" t="inlineStr">
        <is>
          <t>Rp</t>
        </is>
      </c>
      <c r="E12" s="429">
        <f>SUM('Revenue-Cost_2030'!N8:N8)</f>
        <v/>
      </c>
      <c r="F12" s="339" t="n"/>
    </row>
    <row r="13" ht="20" customHeight="1">
      <c r="A13" s="336" t="n"/>
      <c r="B13" s="426" t="n">
        <v>7</v>
      </c>
      <c r="C13" s="427" t="inlineStr">
        <is>
          <t>Kekurangan Bayar PPh Badan</t>
        </is>
      </c>
      <c r="D13" s="428" t="inlineStr">
        <is>
          <t>Rp</t>
        </is>
      </c>
      <c r="E13" s="430">
        <f>E11-E12</f>
        <v/>
      </c>
      <c r="F13" s="339" t="n"/>
    </row>
    <row r="14" ht="20" customHeight="1">
      <c r="A14" s="336" t="n"/>
      <c r="B14" s="426" t="n">
        <v>8</v>
      </c>
      <c r="C14" s="427" t="inlineStr">
        <is>
          <t>Profit After Tax</t>
        </is>
      </c>
      <c r="D14" s="428" t="inlineStr">
        <is>
          <t>Rp</t>
        </is>
      </c>
      <c r="E14" s="429">
        <f>E10-E13</f>
        <v/>
      </c>
      <c r="F14" s="339" t="n"/>
    </row>
    <row r="15" ht="20" customHeight="1">
      <c r="A15" s="336" t="n"/>
      <c r="B15" s="426" t="n">
        <v>9</v>
      </c>
      <c r="C15" s="427" t="inlineStr">
        <is>
          <t>Deviden Dibagi</t>
        </is>
      </c>
      <c r="D15" s="428" t="inlineStr">
        <is>
          <t>Rp</t>
        </is>
      </c>
      <c r="E15" s="429">
        <f>E14-E16</f>
        <v/>
      </c>
      <c r="F15" s="339" t="n"/>
    </row>
    <row r="16" ht="20" customHeight="1">
      <c r="A16" s="336" t="n"/>
      <c r="B16" s="426" t="n">
        <v>10</v>
      </c>
      <c r="C16" s="427" t="inlineStr">
        <is>
          <t>Profit Ditahan</t>
        </is>
      </c>
      <c r="D16" s="428" t="inlineStr">
        <is>
          <t>Rp</t>
        </is>
      </c>
      <c r="E16" s="429" t="n">
        <v>0</v>
      </c>
      <c r="F16" s="339" t="n"/>
    </row>
    <row r="17">
      <c r="A17" s="336" t="n"/>
      <c r="B17" s="336" t="n"/>
      <c r="C17" s="336" t="n"/>
      <c r="D17" s="336" t="n"/>
      <c r="E17" s="337" t="n"/>
      <c r="F17" s="339" t="n"/>
    </row>
    <row r="18" ht="18" customHeight="1">
      <c r="A18" s="336" t="n"/>
      <c r="B18" s="431" t="inlineStr">
        <is>
          <t>DEVIDEN</t>
        </is>
      </c>
      <c r="F18" s="339" t="n"/>
    </row>
    <row r="19" ht="20" customHeight="1">
      <c r="A19" s="336" t="n"/>
      <c r="B19" s="432" t="inlineStr">
        <is>
          <t>#</t>
        </is>
      </c>
      <c r="C19" s="432" t="inlineStr">
        <is>
          <t>Nama Lengkap</t>
        </is>
      </c>
      <c r="D19" s="433" t="inlineStr"/>
      <c r="E19" s="434" t="inlineStr">
        <is>
          <t>Amount</t>
        </is>
      </c>
      <c r="F19" s="339" t="inlineStr"/>
      <c r="G19" s="435" t="inlineStr">
        <is>
          <t>Pajak</t>
        </is>
      </c>
    </row>
    <row r="20" ht="19" customHeight="1">
      <c r="A20" s="336" t="n"/>
      <c r="B20" s="436" t="n"/>
      <c r="C20" s="437" t="n"/>
      <c r="D20" s="427" t="n"/>
      <c r="E20" s="438" t="n"/>
      <c r="F20" s="339" t="n"/>
      <c r="G20" s="439" t="n"/>
    </row>
    <row r="21" ht="48.75" customHeight="1">
      <c r="A21" s="355" t="n"/>
      <c r="F21" s="339" t="n"/>
    </row>
    <row r="22">
      <c r="A22" s="355" t="n"/>
      <c r="F22" s="339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 ht="20" customHeight="1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2026-04-18T13:01:31Z</dcterms:modified>
  <cp:lastModifiedBy>Diofavian - Student</cp:lastModifiedBy>
</cp:coreProperties>
</file>