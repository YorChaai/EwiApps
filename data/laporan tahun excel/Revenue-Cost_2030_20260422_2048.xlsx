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30" sheetId="1" state="visible" r:id="rId1"/>
    <sheet name="Laba rugi -203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b val="1"/>
      <color rgb="00000000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sz val="11"/>
    </font>
    <font>
      <name val="Arial Narrow"/>
      <b val="1"/>
      <sz val="11"/>
    </font>
    <font>
      <name val="Trebuchet MS"/>
      <b val="1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/>
    </border>
    <border>
      <left style="thin"/>
      <top/>
      <bottom/>
    </border>
    <border>
      <top/>
      <bottom/>
    </border>
    <border>
      <right style="thin"/>
      <top/>
      <bottom/>
    </border>
    <border>
      <left style="thin"/>
      <top style="thin"/>
      <bottom/>
    </border>
    <border>
      <top style="thin"/>
      <bottom/>
    </border>
    <border>
      <right style="thin"/>
      <top style="thin"/>
      <bottom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02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15" fontId="26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9" borderId="4" applyAlignment="1" pivotButton="0" quotePrefix="0" xfId="0">
      <alignment horizontal="center"/>
    </xf>
    <xf numFmtId="0" fontId="10" fillId="9" borderId="4" pivotButton="0" quotePrefix="0" xfId="0"/>
    <xf numFmtId="15" fontId="10" fillId="9" borderId="4" pivotButton="0" quotePrefix="0" xfId="0"/>
    <xf numFmtId="3" fontId="10" fillId="9" borderId="4" pivotButton="0" quotePrefix="0" xfId="1"/>
    <xf numFmtId="3" fontId="11" fillId="9" borderId="4" pivotButton="0" quotePrefix="0" xfId="0"/>
    <xf numFmtId="3" fontId="10" fillId="0" borderId="4" pivotButton="0" quotePrefix="0" xfId="0"/>
    <xf numFmtId="0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applyAlignment="1" pivotButton="0" quotePrefix="0" xfId="0">
      <alignment horizontal="center"/>
    </xf>
    <xf numFmtId="0" fontId="26" fillId="0" borderId="4" applyAlignment="1" pivotButton="0" quotePrefix="0" xfId="0">
      <alignment horizontal="right" vertic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5" applyAlignment="1" pivotButton="0" quotePrefix="0" xfId="0">
      <alignment horizontal="center" vertical="center" wrapText="1"/>
    </xf>
    <xf numFmtId="165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0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3" fontId="10" fillId="11" borderId="15" pivotButton="0" quotePrefix="0" xfId="0"/>
    <xf numFmtId="0" fontId="1" fillId="11" borderId="15" pivotButton="0" quotePrefix="0" xfId="0"/>
    <xf numFmtId="3" fontId="1" fillId="11" borderId="15" pivotButton="0" quotePrefix="0" xfId="0"/>
    <xf numFmtId="15" fontId="10" fillId="10" borderId="15" pivotButton="0" quotePrefix="0" xfId="0"/>
    <xf numFmtId="0" fontId="10" fillId="10" borderId="15" applyAlignment="1" pivotButton="0" quotePrefix="0" xfId="0">
      <alignment horizontal="center"/>
    </xf>
    <xf numFmtId="0" fontId="26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8" fontId="10" fillId="10" borderId="15" pivotButton="0" quotePrefix="0" xfId="1"/>
    <xf numFmtId="0" fontId="10" fillId="10" borderId="15" applyAlignment="1" pivotButton="0" quotePrefix="0" xfId="0">
      <alignment horizontal="center" vertical="center"/>
    </xf>
    <xf numFmtId="165" fontId="8" fillId="10" borderId="15" pivotButton="0" quotePrefix="0" xfId="0"/>
    <xf numFmtId="165" fontId="8" fillId="10" borderId="15" applyAlignment="1" pivotButton="0" quotePrefix="0" xfId="0">
      <alignment vertical="top"/>
    </xf>
    <xf numFmtId="0" fontId="8" fillId="10" borderId="15" pivotButton="0" quotePrefix="0" xfId="0"/>
    <xf numFmtId="0" fontId="0" fillId="10" borderId="15" pivotButton="0" quotePrefix="0" xfId="0"/>
    <xf numFmtId="15" fontId="28" fillId="12" borderId="15" pivotButton="0" quotePrefix="0" xfId="0"/>
    <xf numFmtId="0" fontId="10" fillId="12" borderId="15" applyAlignment="1" pivotButton="0" quotePrefix="0" xfId="0">
      <alignment horizontal="center"/>
    </xf>
    <xf numFmtId="0" fontId="28" fillId="12" borderId="15" applyAlignment="1" pivotButton="0" quotePrefix="0" xfId="0">
      <alignment vertical="center"/>
    </xf>
    <xf numFmtId="0" fontId="10" fillId="12" borderId="15" pivotButton="0" quotePrefix="0" xfId="0"/>
    <xf numFmtId="165" fontId="10" fillId="12" borderId="15" pivotButton="0" quotePrefix="0" xfId="1"/>
    <xf numFmtId="0" fontId="10" fillId="12" borderId="15" applyAlignment="1" pivotButton="0" quotePrefix="0" xfId="0">
      <alignment horizontal="center" vertical="center"/>
    </xf>
    <xf numFmtId="165" fontId="8" fillId="12" borderId="15" applyAlignment="1" pivotButton="0" quotePrefix="0" xfId="0">
      <alignment vertical="top"/>
    </xf>
    <xf numFmtId="165" fontId="8" fillId="12" borderId="15" pivotButton="0" quotePrefix="0" xfId="0"/>
    <xf numFmtId="165" fontId="8" fillId="12" borderId="15" pivotButton="0" quotePrefix="0" xfId="1"/>
    <xf numFmtId="0" fontId="8" fillId="12" borderId="15" pivotButton="0" quotePrefix="0" xfId="0"/>
    <xf numFmtId="0" fontId="0" fillId="12" borderId="15" pivotButton="0" quotePrefix="0" xfId="0"/>
    <xf numFmtId="0" fontId="26" fillId="11" borderId="15" applyAlignment="1" pivotButton="0" quotePrefix="0" xfId="0">
      <alignment vertical="center"/>
    </xf>
    <xf numFmtId="0" fontId="10" fillId="11" borderId="15" applyAlignment="1" pivotButton="0" quotePrefix="0" xfId="0">
      <alignment horizontal="left" vertical="center"/>
    </xf>
    <xf numFmtId="168" fontId="10" fillId="11" borderId="15" pivotButton="0" quotePrefix="0" xfId="1"/>
    <xf numFmtId="165" fontId="8" fillId="11" borderId="15" pivotButton="0" quotePrefix="0" xfId="1"/>
    <xf numFmtId="0" fontId="10" fillId="12" borderId="15" applyAlignment="1" pivotButton="0" quotePrefix="0" xfId="0">
      <alignment horizontal="left" vertical="center"/>
    </xf>
    <xf numFmtId="0" fontId="10" fillId="12" borderId="15" applyAlignment="1" pivotButton="0" quotePrefix="0" xfId="0">
      <alignment horizontal="center" vertical="top"/>
    </xf>
    <xf numFmtId="167" fontId="8" fillId="12" borderId="15" applyAlignment="1" pivotButton="0" quotePrefix="0" xfId="1">
      <alignment vertical="top"/>
    </xf>
    <xf numFmtId="3" fontId="10" fillId="11" borderId="15" applyAlignment="1" pivotButton="0" quotePrefix="0" xfId="0">
      <alignment vertical="top"/>
    </xf>
    <xf numFmtId="168" fontId="8" fillId="11" borderId="15" pivotButton="0" quotePrefix="0" xfId="0"/>
    <xf numFmtId="0" fontId="10" fillId="11" borderId="15" applyAlignment="1" pivotButton="0" quotePrefix="0" xfId="0">
      <alignment horizontal="center" vertical="top"/>
    </xf>
    <xf numFmtId="167" fontId="8" fillId="11" borderId="15" applyAlignment="1" pivotButton="0" quotePrefix="0" xfId="1">
      <alignment vertical="top"/>
    </xf>
    <xf numFmtId="168" fontId="10" fillId="12" borderId="15" pivotButton="0" quotePrefix="0" xfId="1"/>
    <xf numFmtId="168" fontId="8" fillId="12" borderId="15" pivotButton="0" quotePrefix="0" xfId="0"/>
    <xf numFmtId="15" fontId="26" fillId="0" borderId="15" applyAlignment="1" pivotButton="0" quotePrefix="0" xfId="0">
      <alignment horizontal="right" vertical="center"/>
    </xf>
    <xf numFmtId="3" fontId="26" fillId="0" borderId="15" applyAlignment="1" pivotButton="0" quotePrefix="0" xfId="0">
      <alignment vertical="top"/>
    </xf>
    <xf numFmtId="3" fontId="26" fillId="0" borderId="15" pivotButton="0" quotePrefix="0" xfId="0"/>
    <xf numFmtId="0" fontId="29" fillId="5" borderId="4" applyAlignment="1" pivotButton="0" quotePrefix="0" xfId="0">
      <alignment horizontal="center"/>
    </xf>
    <xf numFmtId="15" fontId="26" fillId="6" borderId="4" applyAlignment="1" pivotButton="0" quotePrefix="0" xfId="0">
      <alignment horizontal="center"/>
    </xf>
    <xf numFmtId="0" fontId="30" fillId="6" borderId="0" pivotButton="0" quotePrefix="0" xfId="0"/>
    <xf numFmtId="165" fontId="30" fillId="6" borderId="0" pivotButton="0" quotePrefix="0" xfId="0"/>
    <xf numFmtId="0" fontId="31" fillId="6" borderId="0" applyAlignment="1" pivotButton="0" quotePrefix="0" xfId="0">
      <alignment horizontal="left"/>
    </xf>
    <xf numFmtId="0" fontId="30" fillId="13" borderId="0" pivotButton="0" quotePrefix="0" xfId="0"/>
    <xf numFmtId="0" fontId="31" fillId="6" borderId="0" pivotButton="0" quotePrefix="0" xfId="0"/>
    <xf numFmtId="0" fontId="32" fillId="6" borderId="0" applyAlignment="1" pivotButton="0" quotePrefix="0" xfId="0">
      <alignment horizontal="left"/>
    </xf>
    <xf numFmtId="0" fontId="32" fillId="6" borderId="0" pivotButton="0" quotePrefix="0" xfId="0"/>
    <xf numFmtId="0" fontId="33" fillId="13" borderId="0" applyAlignment="1" pivotButton="0" quotePrefix="0" xfId="0">
      <alignment horizontal="left"/>
    </xf>
    <xf numFmtId="0" fontId="34" fillId="6" borderId="2" pivotButton="0" quotePrefix="0" xfId="0"/>
    <xf numFmtId="0" fontId="34" fillId="6" borderId="11" pivotButton="0" quotePrefix="0" xfId="0"/>
    <xf numFmtId="165" fontId="33" fillId="6" borderId="1" applyAlignment="1" pivotButton="0" quotePrefix="0" xfId="0">
      <alignment horizontal="center" vertical="center"/>
    </xf>
    <xf numFmtId="0" fontId="34" fillId="13" borderId="2" pivotButton="0" quotePrefix="0" xfId="0"/>
    <xf numFmtId="0" fontId="34" fillId="13" borderId="11" pivotButton="0" quotePrefix="0" xfId="0"/>
    <xf numFmtId="0" fontId="34" fillId="6" borderId="6" pivotButton="0" quotePrefix="0" xfId="0"/>
    <xf numFmtId="0" fontId="34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4" fillId="13" borderId="6" pivotButton="0" quotePrefix="0" xfId="0"/>
    <xf numFmtId="0" fontId="34" fillId="13" borderId="16" pivotButton="0" quotePrefix="0" xfId="0"/>
    <xf numFmtId="0" fontId="41" fillId="0" borderId="21" applyAlignment="1" pivotButton="0" quotePrefix="0" xfId="0">
      <alignment horizontal="general" vertical="bottom"/>
    </xf>
    <xf numFmtId="0" fontId="43" fillId="0" borderId="25" applyAlignment="1" pivotButton="0" quotePrefix="0" xfId="0">
      <alignment horizontal="left" vertical="center"/>
    </xf>
    <xf numFmtId="0" fontId="43" fillId="0" borderId="26" applyAlignment="1" pivotButton="0" quotePrefix="0" xfId="0">
      <alignment horizontal="left" vertical="center"/>
    </xf>
    <xf numFmtId="0" fontId="43" fillId="0" borderId="26" applyAlignment="1" pivotButton="0" quotePrefix="0" xfId="0">
      <alignment horizontal="right" vertical="center"/>
    </xf>
    <xf numFmtId="3" fontId="43" fillId="0" borderId="27" applyAlignment="1" pivotButton="0" quotePrefix="0" xfId="0">
      <alignment horizontal="right" vertical="center"/>
    </xf>
    <xf numFmtId="2" fontId="43" fillId="0" borderId="25" applyAlignment="1" pivotButton="0" quotePrefix="0" xfId="0">
      <alignment horizontal="left" vertical="center"/>
    </xf>
    <xf numFmtId="2" fontId="43" fillId="0" borderId="26" applyAlignment="1" pivotButton="0" quotePrefix="0" xfId="0">
      <alignment horizontal="left" vertical="center"/>
    </xf>
    <xf numFmtId="2" fontId="43" fillId="0" borderId="26" applyAlignment="1" pivotButton="0" quotePrefix="0" xfId="0">
      <alignment horizontal="right" vertical="center"/>
    </xf>
    <xf numFmtId="0" fontId="42" fillId="0" borderId="22" applyAlignment="1" pivotButton="0" quotePrefix="0" xfId="0">
      <alignment horizontal="left" vertical="center"/>
    </xf>
    <xf numFmtId="0" fontId="42" fillId="0" borderId="23" applyAlignment="1" pivotButton="0" quotePrefix="0" xfId="0">
      <alignment horizontal="left" vertical="center"/>
    </xf>
    <xf numFmtId="0" fontId="42" fillId="0" borderId="23" applyAlignment="1" pivotButton="0" quotePrefix="0" xfId="0">
      <alignment horizontal="right" vertical="center"/>
    </xf>
    <xf numFmtId="3" fontId="42" fillId="0" borderId="24" applyAlignment="1" pivotButton="0" quotePrefix="0" xfId="0">
      <alignment horizontal="right" vertical="center"/>
    </xf>
    <xf numFmtId="2" fontId="42" fillId="0" borderId="22" applyAlignment="1" pivotButton="0" quotePrefix="0" xfId="0">
      <alignment horizontal="left" vertical="center"/>
    </xf>
    <xf numFmtId="2" fontId="42" fillId="0" borderId="23" applyAlignment="1" pivotButton="0" quotePrefix="0" xfId="0">
      <alignment horizontal="left" vertical="center"/>
    </xf>
    <xf numFmtId="2" fontId="42" fillId="0" borderId="23" applyAlignment="1" pivotButton="0" quotePrefix="0" xfId="0">
      <alignment horizontal="right" vertical="center"/>
    </xf>
    <xf numFmtId="0" fontId="43" fillId="0" borderId="28" applyAlignment="1" pivotButton="0" quotePrefix="0" xfId="0">
      <alignment horizontal="left" vertical="center"/>
    </xf>
    <xf numFmtId="0" fontId="43" fillId="0" borderId="29" applyAlignment="1" pivotButton="0" quotePrefix="0" xfId="0">
      <alignment horizontal="left" vertical="center"/>
    </xf>
    <xf numFmtId="0" fontId="43" fillId="0" borderId="29" applyAlignment="1" pivotButton="0" quotePrefix="0" xfId="0">
      <alignment horizontal="right" vertical="center"/>
    </xf>
    <xf numFmtId="3" fontId="43" fillId="0" borderId="30" applyAlignment="1" pivotButton="0" quotePrefix="0" xfId="0">
      <alignment horizontal="right" vertical="center"/>
    </xf>
    <xf numFmtId="2" fontId="43" fillId="0" borderId="28" applyAlignment="1" pivotButton="0" quotePrefix="0" xfId="0">
      <alignment horizontal="left" vertical="center"/>
    </xf>
    <xf numFmtId="2" fontId="43" fillId="0" borderId="29" applyAlignment="1" pivotButton="0" quotePrefix="0" xfId="0">
      <alignment horizontal="left" vertical="center"/>
    </xf>
    <xf numFmtId="173" fontId="42" fillId="0" borderId="22" applyAlignment="1" pivotButton="0" quotePrefix="0" xfId="0">
      <alignment horizontal="left" vertical="center"/>
    </xf>
    <xf numFmtId="2" fontId="43" fillId="0" borderId="29" applyAlignment="1" pivotButton="0" quotePrefix="0" xfId="0">
      <alignment horizontal="right" vertical="center"/>
    </xf>
    <xf numFmtId="41" fontId="42" fillId="0" borderId="22" applyAlignment="1" pivotButton="0" quotePrefix="0" xfId="0">
      <alignment horizontal="left" vertical="center"/>
    </xf>
    <xf numFmtId="0" fontId="43" fillId="0" borderId="31" applyAlignment="1" pivotButton="0" quotePrefix="0" xfId="0">
      <alignment horizontal="left" vertical="center"/>
    </xf>
    <xf numFmtId="0" fontId="43" fillId="0" borderId="32" applyAlignment="1" pivotButton="0" quotePrefix="0" xfId="0">
      <alignment horizontal="left" vertical="center"/>
    </xf>
    <xf numFmtId="0" fontId="43" fillId="0" borderId="32" applyAlignment="1" pivotButton="0" quotePrefix="0" xfId="0">
      <alignment horizontal="right" vertical="center"/>
    </xf>
    <xf numFmtId="3" fontId="43" fillId="0" borderId="33" applyAlignment="1" pivotButton="0" quotePrefix="0" xfId="0">
      <alignment horizontal="right" vertical="center"/>
    </xf>
    <xf numFmtId="173" fontId="12" fillId="6" borderId="0" pivotButton="0" quotePrefix="0" xfId="0"/>
    <xf numFmtId="0" fontId="29" fillId="0" borderId="21" applyAlignment="1" pivotButton="0" quotePrefix="0" xfId="0">
      <alignment horizontal="center"/>
    </xf>
    <xf numFmtId="0" fontId="26" fillId="0" borderId="21" applyAlignment="1" pivotButton="0" quotePrefix="0" xfId="0">
      <alignment horizontal="center"/>
    </xf>
    <xf numFmtId="0" fontId="32" fillId="6" borderId="4" applyAlignment="1" pivotButton="0" quotePrefix="0" xfId="0">
      <alignment horizontal="center"/>
    </xf>
    <xf numFmtId="165" fontId="32" fillId="6" borderId="4" applyAlignment="1" pivotButton="0" quotePrefix="0" xfId="0">
      <alignment horizontal="center"/>
    </xf>
    <xf numFmtId="0" fontId="39" fillId="6" borderId="15" applyAlignment="1" pivotButton="0" quotePrefix="0" xfId="0">
      <alignment horizontal="center"/>
    </xf>
    <xf numFmtId="0" fontId="39" fillId="6" borderId="15" pivotButton="0" quotePrefix="0" xfId="0"/>
    <xf numFmtId="0" fontId="39" fillId="6" borderId="34" applyAlignment="1" pivotButton="0" quotePrefix="0" xfId="0">
      <alignment horizontal="left"/>
    </xf>
    <xf numFmtId="3" fontId="39" fillId="6" borderId="35" applyAlignment="1" pivotButton="0" quotePrefix="0" xfId="0">
      <alignment horizontal="right"/>
    </xf>
    <xf numFmtId="3" fontId="39" fillId="9" borderId="35" applyAlignment="1" pivotButton="0" quotePrefix="0" xfId="0">
      <alignment horizontal="right"/>
    </xf>
    <xf numFmtId="0" fontId="44" fillId="6" borderId="0" pivotButton="0" quotePrefix="0" xfId="0"/>
    <xf numFmtId="0" fontId="44" fillId="6" borderId="15" applyAlignment="1" pivotButton="0" quotePrefix="0" xfId="0">
      <alignment horizontal="center" vertical="center"/>
    </xf>
    <xf numFmtId="0" fontId="44" fillId="6" borderId="34" applyAlignment="1" pivotButton="0" quotePrefix="0" xfId="0">
      <alignment horizontal="center" vertical="center"/>
    </xf>
    <xf numFmtId="165" fontId="44" fillId="6" borderId="35" applyAlignment="1" pivotButton="0" quotePrefix="0" xfId="0">
      <alignment horizontal="center" vertical="center"/>
    </xf>
    <xf numFmtId="0" fontId="44" fillId="6" borderId="0" applyAlignment="1" pivotButton="0" quotePrefix="0" xfId="0">
      <alignment horizontal="center" vertical="center"/>
    </xf>
    <xf numFmtId="0" fontId="40" fillId="6" borderId="36" applyAlignment="1" pivotButton="0" quotePrefix="0" xfId="0">
      <alignment horizontal="center"/>
    </xf>
    <xf numFmtId="0" fontId="40" fillId="6" borderId="36" pivotButton="0" quotePrefix="0" xfId="0"/>
    <xf numFmtId="0" fontId="39" fillId="6" borderId="36" pivotButton="0" quotePrefix="0" xfId="0"/>
    <xf numFmtId="165" fontId="39" fillId="6" borderId="36" pivotButton="0" quotePrefix="0" xfId="0"/>
    <xf numFmtId="0" fontId="30" fillId="13" borderId="36" pivotButton="0" quotePrefix="0" xfId="0"/>
    <xf numFmtId="0" fontId="12" fillId="6" borderId="36" pivotButton="0" quotePrefix="0" xfId="0"/>
    <xf numFmtId="0" fontId="36" fillId="6" borderId="0" pivotButton="0" quotePrefix="0" xfId="0"/>
    <xf numFmtId="0" fontId="0" fillId="0" borderId="36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 /><Relationship Type="http://schemas.openxmlformats.org/officeDocument/2006/relationships/image" Target="/xl/media/image5.png" Id="rId2" /><Relationship Type="http://schemas.openxmlformats.org/officeDocument/2006/relationships/image" Target="/xl/media/image6.png" Id="rId3" /><Relationship Type="http://schemas.openxmlformats.org/officeDocument/2006/relationships/image" Target="/xl/media/image7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8.png" Id="rId1" /><Relationship Type="http://schemas.openxmlformats.org/officeDocument/2006/relationships/image" Target="/xl/media/image9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  <oneCellAnchor>
    <from>
      <col>10</col>
      <colOff>0</colOff>
      <row>1</row>
      <rowOff>0</rowOff>
    </from>
    <ext cx="2381250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100</row>
      <rowOff>0</rowOff>
    </from>
    <ext cx="523875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381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0</row>
      <rowOff>0</rowOff>
    </from>
    <ext cx="2381250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</row>
      <rowOff>0</rowOff>
    </from>
    <ext cx="523875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55</row>
      <rowOff>0</rowOff>
    </from>
    <ext cx="5238750" cy="4286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2030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2030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4" t="n"/>
      <c r="C8" s="15" t="n"/>
      <c r="D8" s="249" t="inlineStr">
        <is>
          <t>Belum ada data revenue dan pajak</t>
        </is>
      </c>
      <c r="E8" s="227" t="n"/>
      <c r="F8" s="17" t="n"/>
      <c r="G8" s="15" t="n"/>
      <c r="H8" s="15" t="n"/>
      <c r="I8" s="15" t="n"/>
      <c r="J8" s="18" t="n"/>
      <c r="K8" s="14" t="n"/>
      <c r="L8" s="19" t="n"/>
      <c r="M8" s="20" t="n"/>
      <c r="N8" s="20" t="n"/>
      <c r="O8" s="19" t="n"/>
      <c r="P8" s="18" t="n"/>
    </row>
    <row r="9" ht="15.5" customHeight="1">
      <c r="B9" s="250" t="inlineStr">
        <is>
          <t>REVENUE (IDR)</t>
        </is>
      </c>
      <c r="C9" s="230" t="n"/>
      <c r="D9" s="230" t="n"/>
      <c r="E9" s="227" t="n"/>
      <c r="F9" s="251">
        <f>SUM(F8:F8)</f>
        <v/>
      </c>
      <c r="G9" s="15" t="n"/>
      <c r="H9" s="15" t="n"/>
      <c r="I9" s="252" t="n"/>
      <c r="J9" s="253" t="n"/>
      <c r="K9" s="254" t="n"/>
      <c r="L9" s="255">
        <f>SUM(L8:L8)</f>
        <v/>
      </c>
      <c r="M9" s="256">
        <f>SUM(M8:M8)</f>
        <v/>
      </c>
      <c r="N9" s="256">
        <f>SUM(N8:N8)</f>
        <v/>
      </c>
      <c r="O9" s="257">
        <f>SUM(O8:O8)</f>
        <v/>
      </c>
      <c r="P9" s="18" t="n"/>
      <c r="Q9" s="22" t="n"/>
    </row>
    <row r="10"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</row>
    <row r="11" hidden="1" ht="15.5" customHeight="1">
      <c r="B11" s="14" t="n"/>
      <c r="C11" s="15" t="n"/>
      <c r="D11" s="170" t="n"/>
      <c r="F11" s="17" t="n"/>
      <c r="G11" s="15" t="n"/>
      <c r="H11" s="15" t="n"/>
      <c r="I11" s="15" t="n"/>
      <c r="J11" s="18" t="n"/>
      <c r="K11" s="14" t="n"/>
      <c r="L11" s="19" t="n"/>
      <c r="M11" s="20" t="n"/>
      <c r="N11" s="20" t="n"/>
      <c r="O11" s="19" t="n"/>
      <c r="P11" s="18" t="n"/>
      <c r="Q11" s="22" t="n"/>
    </row>
    <row r="12" hidden="1" ht="15.5" customHeight="1">
      <c r="B12" s="14" t="n"/>
      <c r="C12" s="15" t="n"/>
      <c r="D12" s="170" t="n"/>
      <c r="F12" s="17" t="n"/>
      <c r="G12" s="15" t="n"/>
      <c r="H12" s="15" t="n"/>
      <c r="I12" s="15" t="n"/>
      <c r="J12" s="18" t="n"/>
      <c r="K12" s="24" t="n"/>
      <c r="L12" s="19" t="n"/>
      <c r="M12" s="20" t="n"/>
      <c r="N12" s="20" t="n"/>
      <c r="O12" s="19" t="n"/>
      <c r="P12" s="18" t="n"/>
    </row>
    <row r="13" hidden="1" ht="15.5" customHeight="1">
      <c r="B13" s="14" t="n"/>
      <c r="C13" s="15" t="n"/>
      <c r="D13" s="170" t="n"/>
      <c r="F13" s="17" t="n"/>
      <c r="G13" s="15" t="n"/>
      <c r="H13" s="15" t="n"/>
      <c r="I13" s="15" t="n"/>
      <c r="J13" s="18" t="n"/>
      <c r="K13" s="24" t="n"/>
      <c r="L13" s="19" t="n"/>
      <c r="M13" s="20" t="n"/>
      <c r="N13" s="20" t="n"/>
      <c r="O13" s="19" t="n"/>
      <c r="P13" s="18" t="n"/>
    </row>
    <row r="14" hidden="1" ht="15.5" customHeight="1">
      <c r="B14" s="14" t="n"/>
      <c r="C14" s="15" t="n"/>
      <c r="D14" s="170" t="n"/>
      <c r="F14" s="17" t="n"/>
      <c r="G14" s="15" t="n"/>
      <c r="H14" s="15" t="n"/>
      <c r="I14" s="15" t="n"/>
      <c r="J14" s="18" t="n"/>
      <c r="K14" s="14" t="n"/>
      <c r="L14" s="19" t="n"/>
      <c r="M14" s="20" t="n"/>
      <c r="N14" s="20" t="n"/>
      <c r="O14" s="19" t="n"/>
      <c r="P14" s="18" t="n"/>
      <c r="Q14" s="22" t="n"/>
    </row>
    <row r="15" hidden="1" ht="15.5" customHeight="1">
      <c r="B15" s="14" t="n"/>
      <c r="C15" s="15" t="n"/>
      <c r="D15" s="170" t="n"/>
      <c r="F15" s="17" t="n"/>
      <c r="G15" s="15" t="n"/>
      <c r="H15" s="15" t="n"/>
      <c r="I15" s="15" t="n"/>
      <c r="J15" s="18" t="n"/>
      <c r="K15" s="24" t="n"/>
      <c r="L15" s="19" t="n"/>
      <c r="M15" s="20" t="n"/>
      <c r="N15" s="20" t="n"/>
      <c r="O15" s="19" t="n"/>
      <c r="P15" s="18" t="n"/>
    </row>
    <row r="16" hidden="1" ht="15.5" customHeight="1">
      <c r="B16" s="14" t="n"/>
      <c r="C16" s="15" t="n"/>
      <c r="D16" s="170" t="n"/>
      <c r="F16" s="17" t="n"/>
      <c r="G16" s="15" t="n"/>
      <c r="H16" s="15" t="n"/>
      <c r="I16" s="15" t="n"/>
      <c r="J16" s="18" t="n"/>
      <c r="K16" s="24" t="n"/>
      <c r="L16" s="19" t="n"/>
      <c r="M16" s="20" t="n"/>
      <c r="N16" s="20" t="n"/>
      <c r="O16" s="19" t="n"/>
      <c r="P16" s="18" t="n"/>
      <c r="Q16" s="22" t="n"/>
    </row>
    <row r="17" hidden="1" ht="15.5" customHeight="1">
      <c r="B17" s="14" t="n"/>
      <c r="C17" s="15" t="n"/>
      <c r="D17" s="170" t="n"/>
      <c r="F17" s="17" t="n"/>
      <c r="G17" s="15" t="n"/>
      <c r="H17" s="15" t="n"/>
      <c r="I17" s="15" t="n"/>
      <c r="J17" s="18" t="n"/>
      <c r="K17" s="24" t="n"/>
      <c r="L17" s="19" t="n"/>
      <c r="M17" s="20" t="n"/>
      <c r="N17" s="20" t="n"/>
      <c r="O17" s="19" t="n"/>
      <c r="P17" s="18" t="n"/>
    </row>
    <row r="18" hidden="1" ht="15.5" customHeight="1">
      <c r="B18" s="14" t="n"/>
      <c r="C18" s="15" t="n"/>
      <c r="D18" s="170" t="n"/>
      <c r="F18" s="25" t="n"/>
      <c r="G18" s="15" t="n"/>
      <c r="H18" s="15" t="n"/>
      <c r="I18" s="15" t="n"/>
      <c r="J18" s="18" t="n"/>
      <c r="K18" s="24" t="n"/>
      <c r="L18" s="194" t="n"/>
      <c r="M18" s="20" t="n"/>
      <c r="N18" s="20" t="n"/>
      <c r="O18" s="19" t="n"/>
      <c r="P18" s="18" t="n"/>
    </row>
    <row r="19" hidden="1" ht="15.5" customHeight="1">
      <c r="B19" s="14" t="n"/>
      <c r="C19" s="15" t="n"/>
      <c r="D19" s="170" t="n"/>
      <c r="F19" s="195" t="n"/>
      <c r="G19" s="15" t="n"/>
      <c r="H19" s="15" t="n"/>
      <c r="I19" s="15" t="n"/>
      <c r="J19" s="18" t="n"/>
      <c r="K19" s="67" t="n"/>
      <c r="L19" s="228" t="n"/>
      <c r="M19" s="20" t="n"/>
      <c r="N19" s="20" t="n"/>
      <c r="O19" s="229" t="n"/>
      <c r="P19" s="18" t="n"/>
    </row>
    <row r="20" hidden="1" ht="15.5" customHeight="1">
      <c r="B20" s="14" t="n"/>
      <c r="C20" s="15" t="n"/>
      <c r="D20" s="170" t="n"/>
      <c r="F20" s="17" t="n"/>
      <c r="G20" s="15" t="n"/>
      <c r="H20" s="15" t="n"/>
      <c r="I20" s="15" t="n"/>
      <c r="J20" s="18" t="n"/>
      <c r="M20" s="20" t="n"/>
      <c r="N20" s="20" t="n"/>
      <c r="P20" s="18" t="n"/>
    </row>
    <row r="21" hidden="1" ht="15.5" customHeight="1">
      <c r="B21" s="14" t="n"/>
      <c r="C21" s="15" t="n"/>
      <c r="D21" s="170" t="n"/>
      <c r="F21" s="17" t="n"/>
      <c r="G21" s="15" t="n"/>
      <c r="H21" s="15" t="n"/>
      <c r="I21" s="27" t="n"/>
      <c r="J21" s="28" t="n"/>
      <c r="K21" s="29" t="n"/>
      <c r="L21" s="200" t="n"/>
      <c r="M21" s="20" t="n"/>
      <c r="N21" s="20" t="n"/>
      <c r="O21" s="201" t="n"/>
      <c r="P21" s="18" t="n"/>
    </row>
    <row r="22" hidden="1" ht="15.5" customHeight="1">
      <c r="B22" s="174" t="n"/>
      <c r="F22" s="32" t="n"/>
      <c r="G22" s="33" t="n"/>
      <c r="H22" s="33" t="n"/>
      <c r="I22" s="34" t="n"/>
      <c r="J22" s="35" t="n"/>
      <c r="K22" s="34" t="n"/>
      <c r="L22" s="36" t="n"/>
      <c r="M22" s="36" t="n"/>
      <c r="N22" s="36" t="n"/>
      <c r="O22" s="18" t="n"/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n"/>
      <c r="C27" s="15" t="n"/>
      <c r="D27" s="249" t="inlineStr">
        <is>
          <t>Belum ada data pajak</t>
        </is>
      </c>
      <c r="E27" s="227" t="n"/>
      <c r="F27" s="19" t="n"/>
      <c r="G27" s="15" t="inlineStr">
        <is>
          <t>IDR</t>
        </is>
      </c>
      <c r="H27" s="260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61" t="inlineStr">
        <is>
          <t>PENERIMAAN NEGARA (TAX) (IDR)</t>
        </is>
      </c>
      <c r="C28" s="262" t="n"/>
      <c r="D28" s="262" t="n"/>
      <c r="E28" s="262" t="n"/>
      <c r="F28" s="262" t="n"/>
      <c r="G28" s="262" t="n"/>
      <c r="H28" s="263" t="n"/>
      <c r="I28" s="264" t="inlineStr">
        <is>
          <t>PPN</t>
        </is>
      </c>
      <c r="J28" s="265">
        <f>SUM(J27:J27)</f>
        <v/>
      </c>
      <c r="K28" s="266" t="inlineStr">
        <is>
          <t>PPh</t>
        </is>
      </c>
      <c r="L28" s="267">
        <f>SUM(L27:L27)</f>
        <v/>
      </c>
      <c r="M28" s="266" t="inlineStr">
        <is>
          <t>PPh</t>
        </is>
      </c>
      <c r="N28" s="267">
        <f>SUM(N27:N27)</f>
        <v/>
      </c>
      <c r="O28" s="266" t="inlineStr">
        <is>
          <t>PPh</t>
        </is>
      </c>
      <c r="P28" s="267">
        <f>SUM(P27:P27)</f>
        <v/>
      </c>
      <c r="Q28" s="268" t="inlineStr">
        <is>
          <t>-</t>
        </is>
      </c>
    </row>
    <row r="29" hidden="1" ht="15.5" customHeight="1">
      <c r="B29" s="14" t="n"/>
      <c r="C29" s="15" t="n"/>
      <c r="D29" s="170" t="n"/>
      <c r="E29" s="258" t="n"/>
      <c r="F29" s="19" t="n"/>
      <c r="G29" s="15" t="n"/>
      <c r="H29" s="15" t="n"/>
      <c r="I29" s="18" t="n"/>
      <c r="J29" s="21" t="n"/>
      <c r="K29" s="41" t="n"/>
      <c r="L29" s="21" t="n"/>
      <c r="M29" s="41" t="n"/>
      <c r="N29" s="21" t="n"/>
      <c r="O29" s="41" t="n"/>
      <c r="P29" s="21" t="n"/>
      <c r="Q29" s="42" t="n"/>
    </row>
    <row r="30" hidden="1" ht="15.5" customHeight="1">
      <c r="B30" s="14" t="n"/>
      <c r="C30" s="15" t="n"/>
      <c r="D30" s="170" t="n"/>
      <c r="E30" s="258" t="n"/>
      <c r="F30" s="19" t="n"/>
      <c r="G30" s="15" t="n"/>
      <c r="H30" s="15" t="n"/>
      <c r="I30" s="18" t="n"/>
      <c r="J30" s="21" t="n"/>
      <c r="K30" s="41" t="n"/>
      <c r="L30" s="21" t="n"/>
      <c r="M30" s="41" t="n"/>
      <c r="N30" s="21" t="n"/>
      <c r="O30" s="41" t="n"/>
      <c r="P30" s="21" t="n"/>
      <c r="Q30" s="42" t="n"/>
    </row>
    <row r="31" hidden="1" ht="15.5" customHeight="1">
      <c r="B31" s="14" t="n"/>
      <c r="C31" s="15" t="n"/>
      <c r="D31" s="170" t="n"/>
      <c r="E31" s="258" t="n"/>
      <c r="F31" s="19" t="n"/>
      <c r="G31" s="15" t="n"/>
      <c r="H31" s="15" t="n"/>
      <c r="I31" s="18" t="n"/>
      <c r="J31" s="21" t="n"/>
      <c r="K31" s="41" t="n"/>
      <c r="L31" s="21" t="n"/>
      <c r="M31" s="41" t="n"/>
      <c r="N31" s="21" t="n"/>
      <c r="O31" s="41" t="n"/>
      <c r="P31" s="21" t="n"/>
      <c r="Q31" s="42" t="n"/>
    </row>
    <row r="32" hidden="1" ht="15.5" customHeight="1">
      <c r="B32" s="14" t="n"/>
      <c r="C32" s="15" t="n"/>
      <c r="D32" s="170" t="n"/>
      <c r="E32" s="258" t="n"/>
      <c r="F32" s="19" t="n"/>
      <c r="G32" s="15" t="n"/>
      <c r="H32" s="15" t="n"/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idden="1" ht="15.5" customHeight="1">
      <c r="B33" s="14" t="n"/>
      <c r="C33" s="15" t="n"/>
      <c r="D33" s="170" t="n"/>
      <c r="E33" s="258" t="n"/>
      <c r="F33" s="19" t="n"/>
      <c r="G33" s="15" t="n"/>
      <c r="H33" s="15" t="n"/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idden="1" ht="15.5" customHeight="1">
      <c r="B34" s="14" t="n"/>
      <c r="C34" s="15" t="n"/>
      <c r="D34" s="170" t="n"/>
      <c r="E34" s="258" t="n"/>
      <c r="F34" s="19" t="n"/>
      <c r="G34" s="15" t="n"/>
      <c r="H34" s="15" t="n"/>
      <c r="I34" s="18" t="n"/>
      <c r="J34" s="21" t="n"/>
      <c r="K34" s="41" t="n"/>
      <c r="L34" s="21" t="n"/>
      <c r="M34" s="41" t="n"/>
      <c r="N34" s="21" t="n"/>
      <c r="O34" s="41" t="n"/>
      <c r="P34" s="21" t="n"/>
      <c r="Q34" s="42" t="n"/>
    </row>
    <row r="35" hidden="1" ht="15.5" customHeight="1">
      <c r="B35" s="14" t="n"/>
      <c r="C35" s="15" t="n"/>
      <c r="D35" s="170" t="n"/>
      <c r="E35" s="258" t="n"/>
      <c r="F35" s="19" t="n"/>
      <c r="G35" s="15" t="n"/>
      <c r="H35" s="15" t="n"/>
      <c r="I35" s="18" t="n"/>
      <c r="J35" s="21" t="n"/>
      <c r="K35" s="41" t="n"/>
      <c r="L35" s="21" t="n"/>
      <c r="M35" s="41" t="n"/>
      <c r="N35" s="21" t="n"/>
      <c r="O35" s="41" t="n"/>
      <c r="P35" s="21" t="n"/>
      <c r="Q35" s="42" t="n"/>
    </row>
    <row r="36" hidden="1" ht="15.5" customHeight="1">
      <c r="B36" s="14" t="n"/>
      <c r="C36" s="15" t="n"/>
      <c r="D36" s="170" t="n"/>
      <c r="E36" s="258" t="n"/>
      <c r="F36" s="19" t="n"/>
      <c r="G36" s="15" t="n"/>
      <c r="H36" s="15" t="n"/>
      <c r="I36" s="18" t="n"/>
      <c r="J36" s="21" t="n"/>
      <c r="K36" s="41" t="n"/>
      <c r="L36" s="21" t="n"/>
      <c r="M36" s="41" t="n"/>
      <c r="N36" s="21" t="n"/>
      <c r="O36" s="41" t="n"/>
      <c r="P36" s="21" t="n"/>
      <c r="Q36" s="42" t="n"/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Research (R&amp;D)</t>
        </is>
      </c>
      <c r="J40" s="274" t="inlineStr">
        <is>
          <t>Biaya Sewa Peralatan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diofavian</t>
        </is>
      </c>
      <c r="N40" s="276" t="inlineStr">
        <is>
          <t>Administrasi</t>
        </is>
      </c>
      <c r="O40" s="276" t="inlineStr">
        <is>
          <t>Pembelian Barang</t>
        </is>
      </c>
      <c r="P40" s="276" t="inlineStr">
        <is>
          <t>Sewa Kantor</t>
        </is>
      </c>
      <c r="Q40" s="276" t="inlineStr">
        <is>
          <t>Kesehatan</t>
        </is>
      </c>
      <c r="R40" s="275" t="inlineStr">
        <is>
          <t>Bisnis Dev</t>
        </is>
      </c>
      <c r="S40" s="275" t="inlineStr">
        <is>
          <t>asdasd</t>
        </is>
      </c>
      <c r="T40" s="275" t="inlineStr">
        <is>
          <t>makanan jepang</t>
        </is>
      </c>
      <c r="U40" s="275" t="inlineStr">
        <is>
          <t>aaaaa</t>
        </is>
      </c>
      <c r="V40" s="275" t="inlineStr">
        <is>
          <t>bbbbb</t>
        </is>
      </c>
      <c r="W40" s="275" t="inlineStr">
        <is>
          <t>asdsad</t>
        </is>
      </c>
      <c r="X40" s="275" t="inlineStr">
        <is>
          <t>dfgdfgdfgd</t>
        </is>
      </c>
      <c r="Y40" s="275" t="inlineStr">
        <is>
          <t>12312</t>
        </is>
      </c>
    </row>
    <row r="41" ht="15.5" customHeight="1">
      <c r="B41" s="277" t="n"/>
      <c r="C41" s="278" t="n"/>
      <c r="D41" s="279" t="inlineStr">
        <is>
          <t>keysha , nabil</t>
        </is>
      </c>
      <c r="E41" s="280" t="n"/>
      <c r="F41" s="281" t="n"/>
      <c r="G41" s="282" t="n"/>
      <c r="H41" s="282" t="n"/>
      <c r="I41" s="283" t="n"/>
      <c r="J41" s="283" t="n"/>
      <c r="K41" s="284" t="n"/>
      <c r="L41" s="279" t="n"/>
      <c r="M41" s="279" t="n"/>
      <c r="N41" s="279" t="n"/>
      <c r="O41" s="279" t="n"/>
      <c r="P41" s="279" t="n"/>
      <c r="Q41" s="279" t="n"/>
      <c r="R41" s="285" t="n"/>
      <c r="S41" s="285" t="n"/>
      <c r="T41" s="285" t="n"/>
      <c r="U41" s="285" t="n"/>
      <c r="V41" s="285" t="n"/>
      <c r="W41" s="285" t="n"/>
      <c r="X41" s="285" t="n"/>
      <c r="Y41" s="285" t="n"/>
    </row>
    <row r="42" ht="15.5" customHeight="1">
      <c r="B42" s="286" t="n">
        <v>47830</v>
      </c>
      <c r="C42" s="278" t="n">
        <v>1</v>
      </c>
      <c r="D42" s="280" t="inlineStr">
        <is>
          <t>23434</t>
        </is>
      </c>
      <c r="E42" s="280" t="inlineStr">
        <is>
          <t>BRI</t>
        </is>
      </c>
      <c r="F42" s="287" t="n">
        <v>220000</v>
      </c>
      <c r="G42" s="282" t="inlineStr">
        <is>
          <t>USD</t>
        </is>
      </c>
      <c r="H42" s="288" t="n">
        <v>10000</v>
      </c>
      <c r="I42" s="289" t="n"/>
      <c r="J42" s="289" t="n"/>
      <c r="K42" s="290" t="n"/>
      <c r="L42" s="280" t="n"/>
      <c r="M42" s="291" t="n">
        <v>220000</v>
      </c>
      <c r="N42" s="280" t="n"/>
      <c r="O42" s="280" t="n"/>
      <c r="P42" s="280" t="n"/>
      <c r="Q42" s="280" t="n"/>
      <c r="R42" s="292" t="n"/>
      <c r="S42" s="292" t="n"/>
      <c r="T42" s="292" t="n"/>
      <c r="U42" s="292" t="n"/>
      <c r="V42" s="292" t="n"/>
      <c r="W42" s="292" t="n"/>
      <c r="X42" s="292" t="n"/>
      <c r="Y42" s="292" t="n"/>
    </row>
    <row r="43" ht="15.5" customHeight="1">
      <c r="B43" s="277" t="n"/>
      <c r="C43" s="278" t="n"/>
      <c r="D43" s="279" t="inlineStr">
        <is>
          <t>-</t>
        </is>
      </c>
      <c r="E43" s="280" t="n"/>
      <c r="F43" s="281" t="n"/>
      <c r="G43" s="282" t="n"/>
      <c r="H43" s="282" t="n"/>
      <c r="I43" s="283" t="n"/>
      <c r="J43" s="283" t="n"/>
      <c r="K43" s="284" t="n"/>
      <c r="L43" s="279" t="n"/>
      <c r="M43" s="279" t="n"/>
      <c r="N43" s="279" t="n"/>
      <c r="O43" s="279" t="n"/>
      <c r="P43" s="279" t="n"/>
      <c r="Q43" s="279" t="n"/>
      <c r="R43" s="285" t="n"/>
      <c r="S43" s="285" t="n"/>
      <c r="T43" s="285" t="n"/>
      <c r="U43" s="285" t="n"/>
      <c r="V43" s="285" t="n"/>
      <c r="W43" s="285" t="n"/>
      <c r="X43" s="285" t="n"/>
      <c r="Y43" s="285" t="n"/>
    </row>
    <row r="44" ht="15.5" customHeight="1">
      <c r="B44" s="286" t="n">
        <v>47848</v>
      </c>
      <c r="C44" s="278" t="n">
        <v>2</v>
      </c>
      <c r="D44" s="280" t="inlineStr">
        <is>
          <t>asdasd</t>
        </is>
      </c>
      <c r="E44" s="280" t="inlineStr">
        <is>
          <t>Advance</t>
        </is>
      </c>
      <c r="F44" s="287" t="n">
        <v>234234</v>
      </c>
      <c r="G44" s="282" t="inlineStr">
        <is>
          <t>IDR</t>
        </is>
      </c>
      <c r="H44" s="288" t="n">
        <v>1</v>
      </c>
      <c r="I44" s="289" t="n"/>
      <c r="J44" s="289" t="n"/>
      <c r="K44" s="290" t="n"/>
      <c r="L44" s="280" t="n"/>
      <c r="M44" s="280" t="n"/>
      <c r="N44" s="280" t="n"/>
      <c r="O44" s="280" t="n"/>
      <c r="P44" s="280" t="n"/>
      <c r="Q44" s="280" t="n"/>
      <c r="R44" s="292" t="n"/>
      <c r="S44" s="293" t="n">
        <v>234234</v>
      </c>
      <c r="T44" s="292" t="n"/>
      <c r="U44" s="292" t="n"/>
      <c r="V44" s="292" t="n"/>
      <c r="W44" s="292" t="n"/>
      <c r="X44" s="292" t="n"/>
      <c r="Y44" s="292" t="n"/>
    </row>
    <row r="45" ht="15.5" customHeight="1">
      <c r="B45" s="277" t="n"/>
      <c r="C45" s="278" t="n"/>
      <c r="D45" s="279" t="inlineStr">
        <is>
          <t>Accommodation</t>
        </is>
      </c>
      <c r="E45" s="280" t="n"/>
      <c r="F45" s="281" t="n"/>
      <c r="G45" s="282" t="n"/>
      <c r="H45" s="282" t="n"/>
      <c r="I45" s="283" t="n"/>
      <c r="J45" s="283" t="n"/>
      <c r="K45" s="284" t="n"/>
      <c r="L45" s="279" t="n"/>
      <c r="M45" s="279" t="n"/>
      <c r="N45" s="279" t="n"/>
      <c r="O45" s="279" t="n"/>
      <c r="P45" s="279" t="n"/>
      <c r="Q45" s="279" t="n"/>
      <c r="R45" s="285" t="n"/>
      <c r="S45" s="285" t="n"/>
      <c r="T45" s="285" t="n"/>
      <c r="U45" s="285" t="n"/>
      <c r="V45" s="285" t="n"/>
      <c r="W45" s="285" t="n"/>
      <c r="X45" s="285" t="n"/>
      <c r="Y45" s="285" t="n"/>
    </row>
    <row r="46" ht="15.5" customHeight="1">
      <c r="B46" s="286" t="n">
        <v>47848</v>
      </c>
      <c r="C46" s="278" t="n">
        <v>3</v>
      </c>
      <c r="D46" s="280" t="inlineStr">
        <is>
          <t>qweqw</t>
        </is>
      </c>
      <c r="E46" s="280" t="inlineStr">
        <is>
          <t>BRI</t>
        </is>
      </c>
      <c r="F46" s="287" t="n">
        <v>138282273129</v>
      </c>
      <c r="G46" s="282" t="inlineStr">
        <is>
          <t>GBP</t>
        </is>
      </c>
      <c r="H46" s="288" t="n">
        <v>1123123</v>
      </c>
      <c r="I46" s="289" t="n"/>
      <c r="J46" s="289" t="n"/>
      <c r="K46" s="290" t="n"/>
      <c r="L46" s="291" t="n">
        <v>138282273129</v>
      </c>
      <c r="M46" s="280" t="n"/>
      <c r="N46" s="280" t="n"/>
      <c r="O46" s="280" t="n"/>
      <c r="P46" s="280" t="n"/>
      <c r="Q46" s="280" t="n"/>
      <c r="R46" s="292" t="n"/>
      <c r="S46" s="292" t="n"/>
      <c r="T46" s="292" t="n"/>
      <c r="U46" s="292" t="n"/>
      <c r="V46" s="292" t="n"/>
      <c r="W46" s="292" t="n"/>
      <c r="X46" s="292" t="n"/>
      <c r="Y46" s="292" t="n"/>
    </row>
    <row r="47" ht="15.5" customHeight="1">
      <c r="A47" s="66" t="n"/>
      <c r="B47" s="277" t="n"/>
      <c r="C47" s="278" t="n"/>
      <c r="D47" s="279" t="inlineStr">
        <is>
          <t>Allowance</t>
        </is>
      </c>
      <c r="E47" s="280" t="n"/>
      <c r="F47" s="281" t="n"/>
      <c r="G47" s="282" t="n"/>
      <c r="H47" s="282" t="n"/>
      <c r="I47" s="283" t="n"/>
      <c r="J47" s="283" t="n"/>
      <c r="K47" s="284" t="n"/>
      <c r="L47" s="279" t="n"/>
      <c r="M47" s="279" t="n"/>
      <c r="N47" s="279" t="n"/>
      <c r="O47" s="279" t="n"/>
      <c r="P47" s="279" t="n"/>
      <c r="Q47" s="279" t="n"/>
      <c r="R47" s="285" t="n"/>
      <c r="S47" s="285" t="n"/>
      <c r="T47" s="285" t="n"/>
      <c r="U47" s="285" t="n"/>
      <c r="V47" s="285" t="n"/>
      <c r="W47" s="285" t="n"/>
      <c r="X47" s="285" t="n"/>
      <c r="Y47" s="285" t="n"/>
    </row>
    <row r="48" ht="15.5" customHeight="1">
      <c r="B48" s="286" t="n">
        <v>47848</v>
      </c>
      <c r="C48" s="278" t="n">
        <v>4</v>
      </c>
      <c r="D48" s="280" t="inlineStr">
        <is>
          <t>87987000</t>
        </is>
      </c>
      <c r="E48" s="280" t="inlineStr">
        <is>
          <t>BNI</t>
        </is>
      </c>
      <c r="F48" s="287" t="n">
        <v>98098000</v>
      </c>
      <c r="G48" s="282" t="inlineStr">
        <is>
          <t>IDR</t>
        </is>
      </c>
      <c r="H48" s="288" t="n">
        <v>1</v>
      </c>
      <c r="I48" s="289" t="n"/>
      <c r="J48" s="289" t="n"/>
      <c r="K48" s="290" t="n"/>
      <c r="L48" s="291" t="n">
        <v>98098000</v>
      </c>
      <c r="M48" s="280" t="n"/>
      <c r="N48" s="280" t="n"/>
      <c r="O48" s="280" t="n"/>
      <c r="P48" s="280" t="n"/>
      <c r="Q48" s="280" t="n"/>
      <c r="R48" s="292" t="n"/>
      <c r="S48" s="292" t="n"/>
      <c r="T48" s="292" t="n"/>
      <c r="U48" s="292" t="n"/>
      <c r="V48" s="292" t="n"/>
      <c r="W48" s="292" t="n"/>
      <c r="X48" s="292" t="n"/>
      <c r="Y48" s="292" t="n"/>
    </row>
    <row r="49" ht="15.5" customHeight="1">
      <c r="B49" s="277" t="n"/>
      <c r="C49" s="278" t="n"/>
      <c r="D49" s="279" t="inlineStr">
        <is>
          <t>keysha</t>
        </is>
      </c>
      <c r="E49" s="280" t="n"/>
      <c r="F49" s="281" t="n"/>
      <c r="G49" s="282" t="n"/>
      <c r="H49" s="282" t="n"/>
      <c r="I49" s="283" t="n"/>
      <c r="J49" s="283" t="n"/>
      <c r="K49" s="284" t="n"/>
      <c r="L49" s="279" t="n"/>
      <c r="M49" s="279" t="n"/>
      <c r="N49" s="279" t="n"/>
      <c r="O49" s="279" t="n"/>
      <c r="P49" s="279" t="n"/>
      <c r="Q49" s="279" t="n"/>
      <c r="R49" s="285" t="n"/>
      <c r="S49" s="285" t="n"/>
      <c r="T49" s="285" t="n"/>
      <c r="U49" s="285" t="n"/>
      <c r="V49" s="285" t="n"/>
      <c r="W49" s="285" t="n"/>
      <c r="X49" s="285" t="n"/>
      <c r="Y49" s="285" t="n"/>
    </row>
    <row r="50" ht="15.5" customHeight="1">
      <c r="B50" s="286" t="n">
        <v>47757</v>
      </c>
      <c r="C50" s="278" t="n">
        <v>5</v>
      </c>
      <c r="D50" s="280" t="inlineStr">
        <is>
          <t>sdasd</t>
        </is>
      </c>
      <c r="E50" s="280" t="inlineStr">
        <is>
          <t>Mandiri</t>
        </is>
      </c>
      <c r="F50" s="287" t="n">
        <v>14664</v>
      </c>
      <c r="G50" s="282" t="inlineStr">
        <is>
          <t>USD</t>
        </is>
      </c>
      <c r="H50" s="288" t="n">
        <v>1222</v>
      </c>
      <c r="I50" s="289" t="n"/>
      <c r="J50" s="289" t="n"/>
      <c r="K50" s="290" t="n"/>
      <c r="L50" s="280" t="n"/>
      <c r="M50" s="291" t="n">
        <v>14664</v>
      </c>
      <c r="N50" s="280" t="n"/>
      <c r="O50" s="280" t="n"/>
      <c r="P50" s="280" t="n"/>
      <c r="Q50" s="280" t="n"/>
      <c r="R50" s="292" t="n"/>
      <c r="S50" s="292" t="n"/>
      <c r="T50" s="292" t="n"/>
      <c r="U50" s="292" t="n"/>
      <c r="V50" s="292" t="n"/>
      <c r="W50" s="292" t="n"/>
      <c r="X50" s="292" t="n"/>
      <c r="Y50" s="292" t="n"/>
    </row>
    <row r="51" ht="15.5" customHeight="1">
      <c r="B51" s="286" t="n">
        <v>47848</v>
      </c>
      <c r="C51" s="278" t="n">
        <v>6</v>
      </c>
      <c r="D51" s="280" t="inlineStr">
        <is>
          <t>3234234</t>
        </is>
      </c>
      <c r="E51" s="280" t="inlineStr">
        <is>
          <t>Mandiri</t>
        </is>
      </c>
      <c r="F51" s="287" t="n">
        <v>234234</v>
      </c>
      <c r="G51" s="282" t="inlineStr">
        <is>
          <t>IDR</t>
        </is>
      </c>
      <c r="H51" s="288" t="n">
        <v>1</v>
      </c>
      <c r="I51" s="289" t="n"/>
      <c r="J51" s="289" t="n"/>
      <c r="K51" s="290" t="n"/>
      <c r="L51" s="280" t="n"/>
      <c r="M51" s="291" t="n">
        <v>234234</v>
      </c>
      <c r="N51" s="280" t="n"/>
      <c r="O51" s="280" t="n"/>
      <c r="P51" s="280" t="n"/>
      <c r="Q51" s="280" t="n"/>
      <c r="R51" s="292" t="n"/>
      <c r="S51" s="292" t="n"/>
      <c r="T51" s="292" t="n"/>
      <c r="U51" s="292" t="n"/>
      <c r="V51" s="292" t="n"/>
      <c r="W51" s="292" t="n"/>
      <c r="X51" s="292" t="n"/>
      <c r="Y51" s="292" t="n"/>
    </row>
    <row r="52" ht="15.5" customFormat="1" customHeight="1" s="66">
      <c r="B52" s="286" t="n">
        <v>47848</v>
      </c>
      <c r="C52" s="278" t="n">
        <v>7</v>
      </c>
      <c r="D52" s="280" t="inlineStr">
        <is>
          <t>23</t>
        </is>
      </c>
      <c r="E52" s="280" t="inlineStr">
        <is>
          <t>Mandiri</t>
        </is>
      </c>
      <c r="F52" s="287" t="n">
        <v>13838729</v>
      </c>
      <c r="G52" s="282" t="inlineStr">
        <is>
          <t>EUR</t>
        </is>
      </c>
      <c r="H52" s="288" t="n">
        <v>1123</v>
      </c>
      <c r="I52" s="289" t="n"/>
      <c r="J52" s="289" t="n"/>
      <c r="K52" s="290" t="n"/>
      <c r="L52" s="280" t="n"/>
      <c r="M52" s="291" t="n">
        <v>13838729</v>
      </c>
      <c r="N52" s="280" t="n"/>
      <c r="O52" s="280" t="n"/>
      <c r="P52" s="280" t="n"/>
      <c r="Q52" s="280" t="n"/>
      <c r="R52" s="292" t="n"/>
      <c r="S52" s="292" t="n"/>
      <c r="T52" s="292" t="n"/>
      <c r="U52" s="292" t="n"/>
      <c r="V52" s="292" t="n"/>
      <c r="W52" s="292" t="n"/>
      <c r="X52" s="292" t="n"/>
      <c r="Y52" s="292" t="n"/>
    </row>
    <row r="53" ht="15.5" customFormat="1" customHeight="1" s="66">
      <c r="B53" s="294" t="n"/>
      <c r="C53" s="295" t="n"/>
      <c r="D53" s="296" t="inlineStr">
        <is>
          <t>OPERATION COST AND OFFICE - Expenses Report</t>
        </is>
      </c>
      <c r="E53" s="297" t="n"/>
      <c r="F53" s="298" t="n"/>
      <c r="G53" s="299" t="n"/>
      <c r="H53" s="299" t="n"/>
      <c r="I53" s="300" t="n"/>
      <c r="J53" s="301" t="n"/>
      <c r="K53" s="302" t="n"/>
      <c r="L53" s="302" t="n"/>
      <c r="M53" s="302" t="n"/>
      <c r="N53" s="302" t="n"/>
      <c r="O53" s="302" t="n"/>
      <c r="P53" s="302" t="n"/>
      <c r="Q53" s="302" t="n"/>
      <c r="R53" s="303" t="n"/>
      <c r="S53" s="303" t="n"/>
      <c r="T53" s="303" t="n"/>
      <c r="U53" s="303" t="n"/>
      <c r="V53" s="303" t="n"/>
      <c r="W53" s="303" t="n"/>
      <c r="X53" s="303" t="n"/>
      <c r="Y53" s="303" t="n"/>
    </row>
    <row r="54" ht="15.5" customFormat="1" customHeight="1" s="66">
      <c r="B54" s="304" t="inlineStr">
        <is>
          <t>Expense#1</t>
        </is>
      </c>
      <c r="C54" s="305" t="inlineStr">
        <is>
          <t>:</t>
        </is>
      </c>
      <c r="D54" s="306" t="inlineStr">
        <is>
          <t>Gudang</t>
        </is>
      </c>
      <c r="E54" s="307" t="n"/>
      <c r="F54" s="308" t="n"/>
      <c r="G54" s="309" t="n"/>
      <c r="H54" s="309" t="n"/>
      <c r="I54" s="310" t="n"/>
      <c r="J54" s="310" t="n"/>
      <c r="K54" s="311" t="n"/>
      <c r="L54" s="312" t="n"/>
      <c r="M54" s="313" t="n"/>
      <c r="N54" s="313" t="n"/>
      <c r="O54" s="313" t="n"/>
      <c r="P54" s="313" t="n"/>
      <c r="Q54" s="313" t="n"/>
      <c r="R54" s="314" t="n"/>
      <c r="S54" s="314" t="n"/>
      <c r="T54" s="314" t="n"/>
      <c r="U54" s="314" t="n"/>
      <c r="V54" s="314" t="n"/>
      <c r="W54" s="314" t="n"/>
      <c r="X54" s="314" t="n"/>
      <c r="Y54" s="314" t="n"/>
    </row>
    <row r="55" ht="15.5" customFormat="1" customHeight="1" s="66">
      <c r="B55" s="277" t="n"/>
      <c r="C55" s="278" t="n"/>
      <c r="D55" s="315" t="inlineStr">
        <is>
          <t>123123</t>
        </is>
      </c>
      <c r="E55" s="316" t="n"/>
      <c r="F55" s="317" t="n"/>
      <c r="G55" s="282" t="n"/>
      <c r="H55" s="282" t="n"/>
      <c r="I55" s="284" t="n"/>
      <c r="J55" s="283" t="n"/>
      <c r="K55" s="279" t="n"/>
      <c r="L55" s="279" t="n"/>
      <c r="M55" s="279" t="n"/>
      <c r="N55" s="279" t="n"/>
      <c r="O55" s="279" t="n"/>
      <c r="P55" s="279" t="n"/>
      <c r="Q55" s="279" t="n"/>
      <c r="R55" s="285" t="n"/>
      <c r="S55" s="285" t="n"/>
      <c r="T55" s="285" t="n"/>
      <c r="U55" s="285" t="n"/>
      <c r="V55" s="285" t="n"/>
      <c r="W55" s="285" t="n"/>
      <c r="X55" s="285" t="n"/>
      <c r="Y55" s="285" t="n"/>
    </row>
    <row r="56" ht="15.5" customFormat="1" customHeight="1" s="66">
      <c r="B56" s="286" t="n">
        <v>47848</v>
      </c>
      <c r="C56" s="278" t="n">
        <v>8</v>
      </c>
      <c r="D56" s="280" t="inlineStr">
        <is>
          <t>123123</t>
        </is>
      </c>
      <c r="E56" s="280" t="inlineStr">
        <is>
          <t>BCA</t>
        </is>
      </c>
      <c r="F56" s="287" t="n">
        <v>123123</v>
      </c>
      <c r="G56" s="282" t="inlineStr">
        <is>
          <t>IDR</t>
        </is>
      </c>
      <c r="H56" s="288" t="n">
        <v>1</v>
      </c>
      <c r="I56" s="289" t="n"/>
      <c r="J56" s="289" t="n"/>
      <c r="K56" s="290" t="n"/>
      <c r="L56" s="280" t="n"/>
      <c r="M56" s="280" t="n"/>
      <c r="N56" s="280" t="n"/>
      <c r="O56" s="280" t="n"/>
      <c r="P56" s="280" t="n"/>
      <c r="Q56" s="280" t="n"/>
      <c r="R56" s="292" t="n"/>
      <c r="S56" s="292" t="n"/>
      <c r="T56" s="292" t="n"/>
      <c r="U56" s="292" t="n"/>
      <c r="V56" s="292" t="n"/>
      <c r="W56" s="292" t="n"/>
      <c r="X56" s="292" t="n"/>
      <c r="Y56" s="293" t="n">
        <v>123123</v>
      </c>
    </row>
    <row r="57" ht="15.5" customFormat="1" customHeight="1" s="66">
      <c r="B57" s="277" t="n"/>
      <c r="C57" s="278" t="n"/>
      <c r="D57" s="315" t="inlineStr">
        <is>
          <t>Meal</t>
        </is>
      </c>
      <c r="E57" s="280" t="n"/>
      <c r="F57" s="281" t="n"/>
      <c r="G57" s="282" t="n"/>
      <c r="H57" s="282" t="n"/>
      <c r="I57" s="283" t="n"/>
      <c r="J57" s="283" t="n"/>
      <c r="K57" s="284" t="n"/>
      <c r="L57" s="279" t="n"/>
      <c r="M57" s="279" t="n"/>
      <c r="N57" s="279" t="n"/>
      <c r="O57" s="279" t="n"/>
      <c r="P57" s="279" t="n"/>
      <c r="Q57" s="279" t="n"/>
      <c r="R57" s="285" t="n"/>
      <c r="S57" s="285" t="n"/>
      <c r="T57" s="285" t="n"/>
      <c r="U57" s="285" t="n"/>
      <c r="V57" s="285" t="n"/>
      <c r="W57" s="285" t="n"/>
      <c r="X57" s="285" t="n"/>
      <c r="Y57" s="285" t="n"/>
    </row>
    <row r="58" ht="15.5" customFormat="1" customHeight="1" s="66">
      <c r="B58" s="286" t="n">
        <v>47848</v>
      </c>
      <c r="C58" s="278" t="n">
        <v>9</v>
      </c>
      <c r="D58" s="280" t="inlineStr">
        <is>
          <t>werw</t>
        </is>
      </c>
      <c r="E58" s="280" t="inlineStr">
        <is>
          <t>BRI</t>
        </is>
      </c>
      <c r="F58" s="287" t="n">
        <v>123123</v>
      </c>
      <c r="G58" s="282" t="inlineStr">
        <is>
          <t>IDR</t>
        </is>
      </c>
      <c r="H58" s="288" t="n">
        <v>1</v>
      </c>
      <c r="I58" s="289" t="n"/>
      <c r="J58" s="289" t="n"/>
      <c r="K58" s="290" t="n"/>
      <c r="L58" s="291" t="n">
        <v>123123</v>
      </c>
      <c r="M58" s="280" t="n"/>
      <c r="N58" s="280" t="n"/>
      <c r="O58" s="280" t="n"/>
      <c r="P58" s="280" t="n"/>
      <c r="Q58" s="280" t="n"/>
      <c r="R58" s="292" t="n"/>
      <c r="S58" s="292" t="n"/>
      <c r="T58" s="292" t="n"/>
      <c r="U58" s="292" t="n"/>
      <c r="V58" s="292" t="n"/>
      <c r="W58" s="292" t="n"/>
      <c r="X58" s="292" t="n"/>
      <c r="Y58" s="292" t="n"/>
    </row>
    <row r="59" ht="15.5" customFormat="1" customHeight="1" s="66">
      <c r="B59" s="277" t="n"/>
      <c r="C59" s="278" t="n"/>
      <c r="D59" s="315" t="inlineStr">
        <is>
          <t>nabil</t>
        </is>
      </c>
      <c r="E59" s="316" t="n"/>
      <c r="F59" s="317" t="n"/>
      <c r="G59" s="282" t="n"/>
      <c r="H59" s="282" t="n"/>
      <c r="I59" s="283" t="n"/>
      <c r="J59" s="283" t="n"/>
      <c r="K59" s="279" t="n"/>
      <c r="L59" s="279" t="n"/>
      <c r="M59" s="279" t="n"/>
      <c r="N59" s="318" t="n"/>
      <c r="O59" s="279" t="n"/>
      <c r="P59" s="279" t="n"/>
      <c r="Q59" s="279" t="n"/>
      <c r="R59" s="285" t="n"/>
      <c r="S59" s="285" t="n"/>
      <c r="T59" s="285" t="n"/>
      <c r="U59" s="285" t="n"/>
      <c r="V59" s="285" t="n"/>
      <c r="W59" s="285" t="n"/>
      <c r="X59" s="285" t="n"/>
      <c r="Y59" s="285" t="n"/>
    </row>
    <row r="60" ht="15.5" customFormat="1" customHeight="1" s="66">
      <c r="B60" s="286" t="n">
        <v>47848</v>
      </c>
      <c r="C60" s="278" t="n">
        <v>10</v>
      </c>
      <c r="D60" s="280" t="inlineStr">
        <is>
          <t>reza</t>
        </is>
      </c>
      <c r="E60" s="280" t="inlineStr">
        <is>
          <t>BCA</t>
        </is>
      </c>
      <c r="F60" s="287" t="n">
        <v>30000</v>
      </c>
      <c r="G60" s="282" t="inlineStr">
        <is>
          <t>IDR</t>
        </is>
      </c>
      <c r="H60" s="288" t="n">
        <v>1</v>
      </c>
      <c r="I60" s="289" t="n"/>
      <c r="J60" s="289" t="n"/>
      <c r="K60" s="290" t="n"/>
      <c r="L60" s="280" t="n"/>
      <c r="M60" s="291" t="n">
        <v>30000</v>
      </c>
      <c r="N60" s="280" t="n"/>
      <c r="O60" s="280" t="n"/>
      <c r="P60" s="280" t="n"/>
      <c r="Q60" s="280" t="n"/>
      <c r="R60" s="292" t="n"/>
      <c r="S60" s="292" t="n"/>
      <c r="T60" s="292" t="n"/>
      <c r="U60" s="292" t="n"/>
      <c r="V60" s="292" t="n"/>
      <c r="W60" s="292" t="n"/>
      <c r="X60" s="292" t="n"/>
      <c r="Y60" s="292" t="n"/>
    </row>
    <row r="61" ht="15.5" customFormat="1" customHeight="1" s="66">
      <c r="B61" s="304" t="inlineStr">
        <is>
          <t>Expense#2</t>
        </is>
      </c>
      <c r="C61" s="305" t="inlineStr">
        <is>
          <t>:</t>
        </is>
      </c>
      <c r="D61" s="306" t="inlineStr">
        <is>
          <t>sasdas</t>
        </is>
      </c>
      <c r="E61" s="319" t="n"/>
      <c r="F61" s="308" t="n"/>
      <c r="G61" s="320" t="n"/>
      <c r="H61" s="309" t="n"/>
      <c r="I61" s="310" t="n"/>
      <c r="J61" s="311" t="n"/>
      <c r="K61" s="321" t="n"/>
      <c r="L61" s="313" t="n"/>
      <c r="M61" s="313" t="n"/>
      <c r="N61" s="313" t="n"/>
      <c r="O61" s="313" t="n"/>
      <c r="P61" s="313" t="n"/>
      <c r="Q61" s="313" t="n"/>
      <c r="R61" s="314" t="n"/>
      <c r="S61" s="314" t="n"/>
      <c r="T61" s="314" t="n"/>
      <c r="U61" s="314" t="n"/>
      <c r="V61" s="314" t="n"/>
      <c r="W61" s="314" t="n"/>
      <c r="X61" s="314" t="n"/>
      <c r="Y61" s="314" t="n"/>
    </row>
    <row r="62" ht="15.5" customFormat="1" customHeight="1" s="66">
      <c r="B62" s="277" t="n"/>
      <c r="C62" s="278" t="n"/>
      <c r="D62" s="315" t="inlineStr">
        <is>
          <t>123123</t>
        </is>
      </c>
      <c r="E62" s="316" t="n"/>
      <c r="F62" s="317" t="n"/>
      <c r="G62" s="282" t="n"/>
      <c r="H62" s="282" t="n"/>
      <c r="I62" s="284" t="n"/>
      <c r="J62" s="283" t="n"/>
      <c r="K62" s="279" t="n"/>
      <c r="L62" s="279" t="n"/>
      <c r="M62" s="279" t="n"/>
      <c r="N62" s="279" t="n"/>
      <c r="O62" s="279" t="n"/>
      <c r="P62" s="279" t="n"/>
      <c r="Q62" s="279" t="n"/>
      <c r="R62" s="285" t="n"/>
      <c r="S62" s="285" t="n"/>
      <c r="T62" s="285" t="n"/>
      <c r="U62" s="285" t="n"/>
      <c r="V62" s="285" t="n"/>
      <c r="W62" s="285" t="n"/>
      <c r="X62" s="285" t="n"/>
      <c r="Y62" s="285" t="n"/>
    </row>
    <row r="63" ht="15.5" customFormat="1" customHeight="1" s="66">
      <c r="B63" s="286" t="n">
        <v>47848</v>
      </c>
      <c r="C63" s="278" t="n">
        <v>11</v>
      </c>
      <c r="D63" s="280" t="inlineStr">
        <is>
          <t>123123</t>
        </is>
      </c>
      <c r="E63" s="280" t="inlineStr">
        <is>
          <t>Advance</t>
        </is>
      </c>
      <c r="F63" s="287" t="n">
        <v>101</v>
      </c>
      <c r="G63" s="282" t="inlineStr">
        <is>
          <t>USD</t>
        </is>
      </c>
      <c r="H63" s="288" t="n">
        <v>101</v>
      </c>
      <c r="I63" s="289" t="n"/>
      <c r="J63" s="289" t="n"/>
      <c r="K63" s="290" t="n"/>
      <c r="L63" s="280" t="n"/>
      <c r="M63" s="280" t="n"/>
      <c r="N63" s="280" t="n"/>
      <c r="O63" s="280" t="n"/>
      <c r="P63" s="280" t="n"/>
      <c r="Q63" s="280" t="n"/>
      <c r="R63" s="292" t="n"/>
      <c r="S63" s="292" t="n"/>
      <c r="T63" s="292" t="n"/>
      <c r="U63" s="292" t="n"/>
      <c r="V63" s="292" t="n"/>
      <c r="W63" s="292" t="n"/>
      <c r="X63" s="292" t="n"/>
      <c r="Y63" s="293" t="n">
        <v>101</v>
      </c>
    </row>
    <row r="64" ht="15.5" customFormat="1" customHeight="1" s="66">
      <c r="B64" s="277" t="n"/>
      <c r="C64" s="278" t="n"/>
      <c r="D64" s="315" t="inlineStr">
        <is>
          <t>Allowance</t>
        </is>
      </c>
      <c r="E64" s="316" t="n"/>
      <c r="F64" s="317" t="n"/>
      <c r="G64" s="282" t="n"/>
      <c r="H64" s="282" t="n"/>
      <c r="I64" s="284" t="n"/>
      <c r="J64" s="283" t="n"/>
      <c r="K64" s="279" t="n"/>
      <c r="L64" s="279" t="n"/>
      <c r="M64" s="279" t="n"/>
      <c r="N64" s="279" t="n"/>
      <c r="O64" s="279" t="n"/>
      <c r="P64" s="279" t="n"/>
      <c r="Q64" s="279" t="n"/>
      <c r="R64" s="285" t="n"/>
      <c r="S64" s="285" t="n"/>
      <c r="T64" s="285" t="n"/>
      <c r="U64" s="285" t="n"/>
      <c r="V64" s="285" t="n"/>
      <c r="W64" s="285" t="n"/>
      <c r="X64" s="285" t="n"/>
      <c r="Y64" s="285" t="n"/>
    </row>
    <row r="65" ht="15.5" customFormat="1" customHeight="1" s="66">
      <c r="B65" s="286" t="n">
        <v>47848</v>
      </c>
      <c r="C65" s="278" t="n">
        <v>12</v>
      </c>
      <c r="D65" s="280" t="inlineStr">
        <is>
          <t>234234</t>
        </is>
      </c>
      <c r="E65" s="280" t="inlineStr">
        <is>
          <t>Advance</t>
        </is>
      </c>
      <c r="F65" s="287" t="n">
        <v>234324324</v>
      </c>
      <c r="G65" s="282" t="inlineStr">
        <is>
          <t>IDR</t>
        </is>
      </c>
      <c r="H65" s="288" t="n">
        <v>1</v>
      </c>
      <c r="I65" s="289" t="n"/>
      <c r="J65" s="289" t="n"/>
      <c r="K65" s="290" t="n"/>
      <c r="L65" s="291" t="n">
        <v>234324324</v>
      </c>
      <c r="M65" s="280" t="n"/>
      <c r="N65" s="280" t="n"/>
      <c r="O65" s="280" t="n"/>
      <c r="P65" s="280" t="n"/>
      <c r="Q65" s="280" t="n"/>
      <c r="R65" s="292" t="n"/>
      <c r="S65" s="292" t="n"/>
      <c r="T65" s="292" t="n"/>
      <c r="U65" s="292" t="n"/>
      <c r="V65" s="292" t="n"/>
      <c r="W65" s="292" t="n"/>
      <c r="X65" s="292" t="n"/>
      <c r="Y65" s="292" t="n"/>
    </row>
    <row r="66" ht="15.5" customFormat="1" customHeight="1" s="66">
      <c r="B66" s="277" t="n"/>
      <c r="C66" s="278" t="n"/>
      <c r="D66" s="315" t="inlineStr">
        <is>
          <t>Rental Tool</t>
        </is>
      </c>
      <c r="E66" s="316" t="n"/>
      <c r="F66" s="317" t="n"/>
      <c r="G66" s="282" t="n"/>
      <c r="H66" s="282" t="n"/>
      <c r="I66" s="283" t="n"/>
      <c r="J66" s="283" t="n"/>
      <c r="K66" s="279" t="n"/>
      <c r="L66" s="279" t="n"/>
      <c r="M66" s="279" t="n"/>
      <c r="N66" s="318" t="n"/>
      <c r="O66" s="279" t="n"/>
      <c r="P66" s="279" t="n"/>
      <c r="Q66" s="279" t="n"/>
      <c r="R66" s="285" t="n"/>
      <c r="S66" s="285" t="n"/>
      <c r="T66" s="285" t="n"/>
      <c r="U66" s="285" t="n"/>
      <c r="V66" s="285" t="n"/>
      <c r="W66" s="285" t="n"/>
      <c r="X66" s="285" t="n"/>
      <c r="Y66" s="285" t="n"/>
    </row>
    <row r="67" ht="15.5" customHeight="1">
      <c r="B67" s="286" t="n">
        <v>47848</v>
      </c>
      <c r="C67" s="278" t="n">
        <v>13</v>
      </c>
      <c r="D67" s="280" t="inlineStr">
        <is>
          <t>234</t>
        </is>
      </c>
      <c r="E67" s="280" t="inlineStr">
        <is>
          <t>Advance</t>
        </is>
      </c>
      <c r="F67" s="287" t="n">
        <v>57776</v>
      </c>
      <c r="G67" s="282" t="inlineStr">
        <is>
          <t>USD</t>
        </is>
      </c>
      <c r="H67" s="288" t="n">
        <v>14444</v>
      </c>
      <c r="I67" s="289" t="n"/>
      <c r="J67" s="322" t="n">
        <v>57776</v>
      </c>
      <c r="K67" s="290" t="n"/>
      <c r="L67" s="280" t="n"/>
      <c r="M67" s="280" t="n"/>
      <c r="N67" s="280" t="n"/>
      <c r="O67" s="280" t="n"/>
      <c r="P67" s="280" t="n"/>
      <c r="Q67" s="280" t="n"/>
      <c r="R67" s="292" t="n"/>
      <c r="S67" s="292" t="n"/>
      <c r="T67" s="292" t="n"/>
      <c r="U67" s="292" t="n"/>
      <c r="V67" s="292" t="n"/>
      <c r="W67" s="292" t="n"/>
      <c r="X67" s="292" t="n"/>
      <c r="Y67" s="292" t="n"/>
    </row>
    <row r="68" ht="15.5" customHeight="1">
      <c r="A68" s="66" t="n"/>
      <c r="B68" s="304" t="inlineStr">
        <is>
          <t>Expense#3</t>
        </is>
      </c>
      <c r="C68" s="305" t="inlineStr">
        <is>
          <t>:</t>
        </is>
      </c>
      <c r="D68" s="306" t="inlineStr">
        <is>
          <t>werwerewr</t>
        </is>
      </c>
      <c r="E68" s="319" t="n"/>
      <c r="F68" s="308" t="n"/>
      <c r="G68" s="309" t="n"/>
      <c r="H68" s="309" t="n"/>
      <c r="I68" s="310" t="n"/>
      <c r="J68" s="311" t="n"/>
      <c r="K68" s="313" t="n"/>
      <c r="L68" s="313" t="n"/>
      <c r="M68" s="313" t="n"/>
      <c r="N68" s="313" t="n"/>
      <c r="O68" s="313" t="n"/>
      <c r="P68" s="313" t="n"/>
      <c r="Q68" s="313" t="n"/>
      <c r="R68" s="314" t="n"/>
      <c r="S68" s="314" t="n"/>
      <c r="T68" s="314" t="n"/>
      <c r="U68" s="314" t="n"/>
      <c r="V68" s="314" t="n"/>
      <c r="W68" s="314" t="n"/>
      <c r="X68" s="314" t="n"/>
      <c r="Y68" s="314" t="n"/>
    </row>
    <row r="69" ht="15.5" customHeight="1">
      <c r="A69" s="66" t="n"/>
      <c r="B69" s="277" t="n"/>
      <c r="C69" s="278" t="n"/>
      <c r="D69" s="315" t="inlineStr">
        <is>
          <t>Accommodation , Transportation</t>
        </is>
      </c>
      <c r="E69" s="316" t="n"/>
      <c r="F69" s="317" t="n"/>
      <c r="G69" s="282" t="n"/>
      <c r="H69" s="282" t="n"/>
      <c r="I69" s="283" t="n"/>
      <c r="J69" s="283" t="n"/>
      <c r="K69" s="279" t="n"/>
      <c r="L69" s="279" t="n"/>
      <c r="M69" s="279" t="n"/>
      <c r="N69" s="279" t="n"/>
      <c r="O69" s="284" t="n"/>
      <c r="P69" s="279" t="n"/>
      <c r="Q69" s="284" t="n"/>
      <c r="R69" s="285" t="n"/>
      <c r="S69" s="285" t="n"/>
      <c r="T69" s="285" t="n"/>
      <c r="U69" s="285" t="n"/>
      <c r="V69" s="285" t="n"/>
      <c r="W69" s="285" t="n"/>
      <c r="X69" s="285" t="n"/>
      <c r="Y69" s="285" t="n"/>
    </row>
    <row r="70" ht="15.5" customHeight="1">
      <c r="B70" s="286" t="n">
        <v>47848</v>
      </c>
      <c r="C70" s="278" t="n">
        <v>14</v>
      </c>
      <c r="D70" s="280" t="inlineStr">
        <is>
          <t>werwerwer</t>
        </is>
      </c>
      <c r="E70" s="280" t="inlineStr">
        <is>
          <t>Mandiri</t>
        </is>
      </c>
      <c r="F70" s="287" t="n">
        <v>281106</v>
      </c>
      <c r="G70" s="282" t="inlineStr">
        <is>
          <t>EUR</t>
        </is>
      </c>
      <c r="H70" s="288" t="n">
        <v>12222</v>
      </c>
      <c r="I70" s="289" t="n"/>
      <c r="J70" s="289" t="n"/>
      <c r="K70" s="290" t="n"/>
      <c r="L70" s="291" t="n">
        <v>281106</v>
      </c>
      <c r="M70" s="280" t="n"/>
      <c r="N70" s="280" t="n"/>
      <c r="O70" s="280" t="n"/>
      <c r="P70" s="280" t="n"/>
      <c r="Q70" s="280" t="n"/>
      <c r="R70" s="292" t="n"/>
      <c r="S70" s="292" t="n"/>
      <c r="T70" s="292" t="n"/>
      <c r="U70" s="292" t="n"/>
      <c r="V70" s="292" t="n"/>
      <c r="W70" s="292" t="n"/>
      <c r="X70" s="292" t="n"/>
      <c r="Y70" s="292" t="n"/>
    </row>
    <row r="71" ht="15.5" customHeight="1">
      <c r="B71" s="277" t="n"/>
      <c r="C71" s="278" t="n"/>
      <c r="D71" s="315" t="inlineStr">
        <is>
          <t>Meal , Shipping</t>
        </is>
      </c>
      <c r="E71" s="316" t="n"/>
      <c r="F71" s="317" t="n"/>
      <c r="G71" s="282" t="n"/>
      <c r="H71" s="282" t="n"/>
      <c r="I71" s="283" t="n"/>
      <c r="J71" s="283" t="n"/>
      <c r="K71" s="279" t="n"/>
      <c r="L71" s="323" t="n"/>
      <c r="M71" s="279" t="n"/>
      <c r="N71" s="279" t="n"/>
      <c r="O71" s="279" t="n"/>
      <c r="P71" s="279" t="n"/>
      <c r="Q71" s="279" t="n"/>
      <c r="R71" s="285" t="n"/>
      <c r="S71" s="285" t="n"/>
      <c r="T71" s="285" t="n"/>
      <c r="U71" s="285" t="n"/>
      <c r="V71" s="285" t="n"/>
      <c r="W71" s="285" t="n"/>
      <c r="X71" s="285" t="n"/>
      <c r="Y71" s="285" t="n"/>
    </row>
    <row r="72" ht="15.5" customHeight="1">
      <c r="B72" s="286" t="n">
        <v>47848</v>
      </c>
      <c r="C72" s="278" t="n">
        <v>15</v>
      </c>
      <c r="D72" s="280" t="inlineStr">
        <is>
          <t>we</t>
        </is>
      </c>
      <c r="E72" s="280" t="inlineStr">
        <is>
          <t>BRI</t>
        </is>
      </c>
      <c r="F72" s="287" t="n">
        <v>146664</v>
      </c>
      <c r="G72" s="282" t="inlineStr">
        <is>
          <t>EUR</t>
        </is>
      </c>
      <c r="H72" s="288" t="n">
        <v>12222</v>
      </c>
      <c r="I72" s="289" t="n"/>
      <c r="J72" s="289" t="n"/>
      <c r="K72" s="290" t="n"/>
      <c r="L72" s="291" t="n">
        <v>146664</v>
      </c>
      <c r="M72" s="280" t="n"/>
      <c r="N72" s="280" t="n"/>
      <c r="O72" s="280" t="n"/>
      <c r="P72" s="280" t="n"/>
      <c r="Q72" s="280" t="n"/>
      <c r="R72" s="292" t="n"/>
      <c r="S72" s="292" t="n"/>
      <c r="T72" s="292" t="n"/>
      <c r="U72" s="292" t="n"/>
      <c r="V72" s="292" t="n"/>
      <c r="W72" s="292" t="n"/>
      <c r="X72" s="292" t="n"/>
      <c r="Y72" s="292" t="n"/>
    </row>
    <row r="73" ht="15.5" customHeight="1">
      <c r="B73" s="277" t="n"/>
      <c r="C73" s="278" t="n"/>
      <c r="D73" s="315" t="inlineStr">
        <is>
          <t>Accommodation</t>
        </is>
      </c>
      <c r="E73" s="280" t="n"/>
      <c r="F73" s="281" t="n"/>
      <c r="G73" s="282" t="n"/>
      <c r="H73" s="282" t="n"/>
      <c r="I73" s="283" t="n"/>
      <c r="J73" s="283" t="n"/>
      <c r="K73" s="284" t="n"/>
      <c r="L73" s="279" t="n"/>
      <c r="M73" s="279" t="n"/>
      <c r="N73" s="279" t="n"/>
      <c r="O73" s="279" t="n"/>
      <c r="P73" s="279" t="n"/>
      <c r="Q73" s="279" t="n"/>
      <c r="R73" s="285" t="n"/>
      <c r="S73" s="285" t="n"/>
      <c r="T73" s="285" t="n"/>
      <c r="U73" s="285" t="n"/>
      <c r="V73" s="285" t="n"/>
      <c r="W73" s="285" t="n"/>
      <c r="X73" s="285" t="n"/>
      <c r="Y73" s="285" t="n"/>
    </row>
    <row r="74" ht="15.5" customHeight="1">
      <c r="A74" s="66" t="n"/>
      <c r="B74" s="286" t="n">
        <v>47848</v>
      </c>
      <c r="C74" s="278" t="n">
        <v>16</v>
      </c>
      <c r="D74" s="280" t="inlineStr">
        <is>
          <t>23423423</t>
        </is>
      </c>
      <c r="E74" s="280" t="inlineStr">
        <is>
          <t>BCA</t>
        </is>
      </c>
      <c r="F74" s="287" t="n">
        <v>2888262</v>
      </c>
      <c r="G74" s="282" t="inlineStr">
        <is>
          <t>USD</t>
        </is>
      </c>
      <c r="H74" s="288" t="n">
        <v>12343</v>
      </c>
      <c r="I74" s="289" t="n"/>
      <c r="J74" s="289" t="n"/>
      <c r="K74" s="290" t="n"/>
      <c r="L74" s="291" t="n">
        <v>2888262</v>
      </c>
      <c r="M74" s="280" t="n"/>
      <c r="N74" s="280" t="n"/>
      <c r="O74" s="280" t="n"/>
      <c r="P74" s="280" t="n"/>
      <c r="Q74" s="280" t="n"/>
      <c r="R74" s="292" t="n"/>
      <c r="S74" s="292" t="n"/>
      <c r="T74" s="292" t="n"/>
      <c r="U74" s="292" t="n"/>
      <c r="V74" s="292" t="n"/>
      <c r="W74" s="292" t="n"/>
      <c r="X74" s="292" t="n"/>
      <c r="Y74" s="292" t="n"/>
    </row>
    <row r="75" ht="15.5" customHeight="1">
      <c r="A75" s="66" t="n"/>
      <c r="B75" s="277" t="n"/>
      <c r="C75" s="278" t="n"/>
      <c r="D75" s="315" t="inlineStr">
        <is>
          <t>Shipping</t>
        </is>
      </c>
      <c r="E75" s="316" t="n"/>
      <c r="F75" s="281" t="n"/>
      <c r="G75" s="282" t="n"/>
      <c r="H75" s="282" t="n"/>
      <c r="I75" s="283" t="n"/>
      <c r="J75" s="284" t="n"/>
      <c r="K75" s="279" t="n"/>
      <c r="L75" s="279" t="n"/>
      <c r="M75" s="279" t="n"/>
      <c r="N75" s="279" t="n"/>
      <c r="O75" s="279" t="n"/>
      <c r="P75" s="279" t="n"/>
      <c r="Q75" s="279" t="n"/>
      <c r="R75" s="285" t="n"/>
      <c r="S75" s="285" t="n"/>
      <c r="T75" s="285" t="n"/>
      <c r="U75" s="285" t="n"/>
      <c r="V75" s="285" t="n"/>
      <c r="W75" s="285" t="n"/>
      <c r="X75" s="285" t="n"/>
      <c r="Y75" s="285" t="n"/>
    </row>
    <row r="76" ht="15.5" customHeight="1">
      <c r="B76" s="286" t="n">
        <v>47848</v>
      </c>
      <c r="C76" s="278" t="n">
        <v>17</v>
      </c>
      <c r="D76" s="280" t="inlineStr">
        <is>
          <t>23434</t>
        </is>
      </c>
      <c r="E76" s="280" t="inlineStr">
        <is>
          <t>BRI</t>
        </is>
      </c>
      <c r="F76" s="287" t="n">
        <v>28104</v>
      </c>
      <c r="G76" s="282" t="inlineStr">
        <is>
          <t>EUR</t>
        </is>
      </c>
      <c r="H76" s="288" t="n">
        <v>12</v>
      </c>
      <c r="I76" s="289" t="n"/>
      <c r="J76" s="289" t="n"/>
      <c r="K76" s="290" t="n"/>
      <c r="L76" s="291" t="n">
        <v>28104</v>
      </c>
      <c r="M76" s="280" t="n"/>
      <c r="N76" s="280" t="n"/>
      <c r="O76" s="280" t="n"/>
      <c r="P76" s="280" t="n"/>
      <c r="Q76" s="280" t="n"/>
      <c r="R76" s="292" t="n"/>
      <c r="S76" s="292" t="n"/>
      <c r="T76" s="292" t="n"/>
      <c r="U76" s="292" t="n"/>
      <c r="V76" s="292" t="n"/>
      <c r="W76" s="292" t="n"/>
      <c r="X76" s="292" t="n"/>
      <c r="Y76" s="292" t="n"/>
    </row>
    <row r="77" ht="15.5" customHeight="1">
      <c r="B77" s="304" t="inlineStr">
        <is>
          <t>Expense#4</t>
        </is>
      </c>
      <c r="C77" s="305" t="inlineStr">
        <is>
          <t>:</t>
        </is>
      </c>
      <c r="D77" s="306" t="inlineStr">
        <is>
          <t>1234567890</t>
        </is>
      </c>
      <c r="E77" s="319" t="n"/>
      <c r="F77" s="308" t="n"/>
      <c r="G77" s="320" t="n"/>
      <c r="H77" s="309" t="n"/>
      <c r="I77" s="310" t="n"/>
      <c r="J77" s="313" t="n"/>
      <c r="K77" s="321" t="n"/>
      <c r="L77" s="313" t="n"/>
      <c r="M77" s="313" t="n"/>
      <c r="N77" s="313" t="n"/>
      <c r="O77" s="313" t="n"/>
      <c r="P77" s="313" t="n"/>
      <c r="Q77" s="313" t="n"/>
      <c r="R77" s="314" t="n"/>
      <c r="S77" s="314" t="n"/>
      <c r="T77" s="314" t="n"/>
      <c r="U77" s="314" t="n"/>
      <c r="V77" s="314" t="n"/>
      <c r="W77" s="314" t="n"/>
      <c r="X77" s="314" t="n"/>
      <c r="Y77" s="314" t="n"/>
    </row>
    <row r="78" ht="15.5" customHeight="1">
      <c r="B78" s="277" t="n"/>
      <c r="C78" s="278" t="n"/>
      <c r="D78" s="315" t="inlineStr">
        <is>
          <t>Accommodation , Allowance</t>
        </is>
      </c>
      <c r="E78" s="316" t="n"/>
      <c r="F78" s="281" t="n"/>
      <c r="G78" s="324" t="n"/>
      <c r="H78" s="282" t="n"/>
      <c r="I78" s="283" t="n"/>
      <c r="J78" s="279" t="n"/>
      <c r="K78" s="325" t="n"/>
      <c r="L78" s="279" t="n"/>
      <c r="M78" s="279" t="n"/>
      <c r="N78" s="279" t="n"/>
      <c r="O78" s="279" t="n"/>
      <c r="P78" s="279" t="n"/>
      <c r="Q78" s="279" t="n"/>
      <c r="R78" s="285" t="n"/>
      <c r="S78" s="285" t="n"/>
      <c r="T78" s="285" t="n"/>
      <c r="U78" s="285" t="n"/>
      <c r="V78" s="285" t="n"/>
      <c r="W78" s="285" t="n"/>
      <c r="X78" s="285" t="n"/>
      <c r="Y78" s="285" t="n"/>
    </row>
    <row r="79" ht="15.5" customHeight="1">
      <c r="B79" s="286" t="n">
        <v>47848</v>
      </c>
      <c r="C79" s="278" t="n">
        <v>18</v>
      </c>
      <c r="D79" s="280" t="inlineStr">
        <is>
          <t>123123</t>
        </is>
      </c>
      <c r="E79" s="280" t="inlineStr">
        <is>
          <t>Advance</t>
        </is>
      </c>
      <c r="F79" s="287" t="n">
        <v>123123</v>
      </c>
      <c r="G79" s="282" t="inlineStr">
        <is>
          <t>IDR</t>
        </is>
      </c>
      <c r="H79" s="288" t="n">
        <v>1</v>
      </c>
      <c r="I79" s="289" t="n"/>
      <c r="J79" s="289" t="n"/>
      <c r="K79" s="290" t="n"/>
      <c r="L79" s="291" t="n">
        <v>123123</v>
      </c>
      <c r="M79" s="280" t="n"/>
      <c r="N79" s="280" t="n"/>
      <c r="O79" s="280" t="n"/>
      <c r="P79" s="280" t="n"/>
      <c r="Q79" s="280" t="n"/>
      <c r="R79" s="292" t="n"/>
      <c r="S79" s="292" t="n"/>
      <c r="T79" s="292" t="n"/>
      <c r="U79" s="292" t="n"/>
      <c r="V79" s="292" t="n"/>
      <c r="W79" s="292" t="n"/>
      <c r="X79" s="292" t="n"/>
      <c r="Y79" s="292" t="n"/>
    </row>
    <row r="80" ht="15.5" customHeight="1">
      <c r="B80" s="277" t="n"/>
      <c r="C80" s="278" t="n"/>
      <c r="D80" s="315" t="inlineStr">
        <is>
          <t>Accommodation</t>
        </is>
      </c>
      <c r="E80" s="280" t="n"/>
      <c r="F80" s="281" t="n"/>
      <c r="G80" s="282" t="n"/>
      <c r="H80" s="282" t="n"/>
      <c r="I80" s="283" t="n"/>
      <c r="J80" s="283" t="n"/>
      <c r="K80" s="284" t="n"/>
      <c r="L80" s="279" t="n"/>
      <c r="M80" s="279" t="n"/>
      <c r="N80" s="279" t="n"/>
      <c r="O80" s="279" t="n"/>
      <c r="P80" s="279" t="n"/>
      <c r="Q80" s="279" t="n"/>
      <c r="R80" s="285" t="n"/>
      <c r="S80" s="285" t="n"/>
      <c r="T80" s="285" t="n"/>
      <c r="U80" s="285" t="n"/>
      <c r="V80" s="285" t="n"/>
      <c r="W80" s="285" t="n"/>
      <c r="X80" s="285" t="n"/>
      <c r="Y80" s="285" t="n"/>
    </row>
    <row r="81" ht="15.5" customHeight="1">
      <c r="B81" s="286" t="n">
        <v>47848</v>
      </c>
      <c r="C81" s="278" t="n">
        <v>19</v>
      </c>
      <c r="D81" s="280" t="inlineStr">
        <is>
          <t>324234</t>
        </is>
      </c>
      <c r="E81" s="280" t="inlineStr">
        <is>
          <t>Advance</t>
        </is>
      </c>
      <c r="F81" s="287" t="n">
        <v>234324</v>
      </c>
      <c r="G81" s="282" t="inlineStr">
        <is>
          <t>IDR</t>
        </is>
      </c>
      <c r="H81" s="288" t="n">
        <v>1</v>
      </c>
      <c r="I81" s="289" t="n"/>
      <c r="J81" s="289" t="n"/>
      <c r="K81" s="290" t="n"/>
      <c r="L81" s="291" t="n">
        <v>234324</v>
      </c>
      <c r="M81" s="280" t="n"/>
      <c r="N81" s="280" t="n"/>
      <c r="O81" s="280" t="n"/>
      <c r="P81" s="280" t="n"/>
      <c r="Q81" s="280" t="n"/>
      <c r="R81" s="292" t="n"/>
      <c r="S81" s="292" t="n"/>
      <c r="T81" s="292" t="n"/>
      <c r="U81" s="292" t="n"/>
      <c r="V81" s="292" t="n"/>
      <c r="W81" s="292" t="n"/>
      <c r="X81" s="292" t="n"/>
      <c r="Y81" s="292" t="n"/>
    </row>
    <row r="82" ht="15.5" customHeight="1">
      <c r="B82" s="277" t="n"/>
      <c r="C82" s="278" t="n"/>
      <c r="D82" s="315" t="inlineStr">
        <is>
          <t>Transportation</t>
        </is>
      </c>
      <c r="E82" s="280" t="n"/>
      <c r="F82" s="281" t="n"/>
      <c r="G82" s="282" t="n"/>
      <c r="H82" s="282" t="n"/>
      <c r="I82" s="283" t="n"/>
      <c r="J82" s="283" t="n"/>
      <c r="K82" s="284" t="n"/>
      <c r="L82" s="318" t="n"/>
      <c r="M82" s="279" t="n"/>
      <c r="N82" s="279" t="n"/>
      <c r="O82" s="279" t="n"/>
      <c r="P82" s="279" t="n"/>
      <c r="Q82" s="279" t="n"/>
      <c r="R82" s="285" t="n"/>
      <c r="S82" s="285" t="n"/>
      <c r="T82" s="285" t="n"/>
      <c r="U82" s="285" t="n"/>
      <c r="V82" s="285" t="n"/>
      <c r="W82" s="285" t="n"/>
      <c r="X82" s="285" t="n"/>
      <c r="Y82" s="285" t="n"/>
    </row>
    <row r="83" ht="15.5" customHeight="1">
      <c r="B83" s="286" t="n">
        <v>47704</v>
      </c>
      <c r="C83" s="278" t="n">
        <v>20</v>
      </c>
      <c r="D83" s="280" t="inlineStr">
        <is>
          <t>234324</t>
        </is>
      </c>
      <c r="E83" s="280" t="inlineStr">
        <is>
          <t>BCA</t>
        </is>
      </c>
      <c r="F83" s="287" t="n">
        <v>134772</v>
      </c>
      <c r="G83" s="282" t="inlineStr">
        <is>
          <t>USD</t>
        </is>
      </c>
      <c r="H83" s="288" t="n">
        <v>11231</v>
      </c>
      <c r="I83" s="289" t="n"/>
      <c r="J83" s="289" t="n"/>
      <c r="K83" s="290" t="n"/>
      <c r="L83" s="291" t="n">
        <v>134772</v>
      </c>
      <c r="M83" s="280" t="n"/>
      <c r="N83" s="280" t="n"/>
      <c r="O83" s="280" t="n"/>
      <c r="P83" s="280" t="n"/>
      <c r="Q83" s="280" t="n"/>
      <c r="R83" s="292" t="n"/>
      <c r="S83" s="292" t="n"/>
      <c r="T83" s="292" t="n"/>
      <c r="U83" s="292" t="n"/>
      <c r="V83" s="292" t="n"/>
      <c r="W83" s="292" t="n"/>
      <c r="X83" s="292" t="n"/>
      <c r="Y83" s="292" t="n"/>
    </row>
    <row r="84" ht="15.5" customHeight="1">
      <c r="A84" s="66" t="n"/>
      <c r="B84" s="304" t="inlineStr">
        <is>
          <t>Expense#5</t>
        </is>
      </c>
      <c r="C84" s="305" t="inlineStr">
        <is>
          <t>:</t>
        </is>
      </c>
      <c r="D84" s="306" t="inlineStr">
        <is>
          <t>werwer</t>
        </is>
      </c>
      <c r="E84" s="319" t="n"/>
      <c r="F84" s="308" t="n"/>
      <c r="G84" s="309" t="n"/>
      <c r="H84" s="309" t="n"/>
      <c r="I84" s="311" t="n"/>
      <c r="J84" s="310" t="n"/>
      <c r="K84" s="313" t="n"/>
      <c r="L84" s="313" t="n"/>
      <c r="M84" s="313" t="n"/>
      <c r="N84" s="313" t="n"/>
      <c r="O84" s="313" t="n"/>
      <c r="P84" s="313" t="n"/>
      <c r="Q84" s="313" t="n"/>
      <c r="R84" s="314" t="n"/>
      <c r="S84" s="314" t="n"/>
      <c r="T84" s="314" t="n"/>
      <c r="U84" s="314" t="n"/>
      <c r="V84" s="314" t="n"/>
      <c r="W84" s="314" t="n"/>
      <c r="X84" s="314" t="n"/>
      <c r="Y84" s="314" t="n"/>
    </row>
    <row r="85" ht="15.5" customHeight="1">
      <c r="B85" s="277" t="n"/>
      <c r="C85" s="278" t="n"/>
      <c r="D85" s="315" t="inlineStr">
        <is>
          <t>Accommodation , Transportation</t>
        </is>
      </c>
      <c r="E85" s="316" t="n"/>
      <c r="F85" s="281" t="n"/>
      <c r="G85" s="324" t="n"/>
      <c r="H85" s="282" t="n"/>
      <c r="I85" s="283" t="n"/>
      <c r="J85" s="279" t="n"/>
      <c r="K85" s="325" t="n"/>
      <c r="L85" s="284" t="n"/>
      <c r="M85" s="279" t="n"/>
      <c r="N85" s="279" t="n"/>
      <c r="O85" s="279" t="n"/>
      <c r="P85" s="279" t="n"/>
      <c r="Q85" s="279" t="n"/>
      <c r="R85" s="285" t="n"/>
      <c r="S85" s="285" t="n"/>
      <c r="T85" s="285" t="n"/>
      <c r="U85" s="285" t="n"/>
      <c r="V85" s="285" t="n"/>
      <c r="W85" s="285" t="n"/>
      <c r="X85" s="285" t="n"/>
      <c r="Y85" s="285" t="n"/>
    </row>
    <row r="86" ht="15.5" customHeight="1">
      <c r="B86" s="286" t="n">
        <v>47848</v>
      </c>
      <c r="C86" s="278" t="n">
        <v>21</v>
      </c>
      <c r="D86" s="280" t="inlineStr">
        <is>
          <t>wqew</t>
        </is>
      </c>
      <c r="E86" s="280" t="inlineStr">
        <is>
          <t>Advance</t>
        </is>
      </c>
      <c r="F86" s="287" t="n">
        <v>123123</v>
      </c>
      <c r="G86" s="282" t="inlineStr">
        <is>
          <t>IDR</t>
        </is>
      </c>
      <c r="H86" s="288" t="n">
        <v>1</v>
      </c>
      <c r="I86" s="289" t="n"/>
      <c r="J86" s="289" t="n"/>
      <c r="K86" s="290" t="n"/>
      <c r="L86" s="291" t="n">
        <v>123123</v>
      </c>
      <c r="M86" s="280" t="n"/>
      <c r="N86" s="280" t="n"/>
      <c r="O86" s="280" t="n"/>
      <c r="P86" s="280" t="n"/>
      <c r="Q86" s="280" t="n"/>
      <c r="R86" s="292" t="n"/>
      <c r="S86" s="292" t="n"/>
      <c r="T86" s="292" t="n"/>
      <c r="U86" s="292" t="n"/>
      <c r="V86" s="292" t="n"/>
      <c r="W86" s="292" t="n"/>
      <c r="X86" s="292" t="n"/>
      <c r="Y86" s="292" t="n"/>
    </row>
    <row r="87" ht="15.5" customHeight="1">
      <c r="A87" s="66" t="n"/>
      <c r="B87" s="304" t="inlineStr">
        <is>
          <t>Expense#6</t>
        </is>
      </c>
      <c r="C87" s="305" t="inlineStr">
        <is>
          <t>:</t>
        </is>
      </c>
      <c r="D87" s="306" t="inlineStr">
        <is>
          <t>asdasd</t>
        </is>
      </c>
      <c r="E87" s="319" t="n"/>
      <c r="F87" s="308" t="n"/>
      <c r="G87" s="309" t="n"/>
      <c r="H87" s="309" t="n"/>
      <c r="I87" s="310" t="n"/>
      <c r="J87" s="310" t="n"/>
      <c r="K87" s="313" t="n"/>
      <c r="L87" s="313" t="n"/>
      <c r="M87" s="313" t="n"/>
      <c r="N87" s="313" t="n"/>
      <c r="O87" s="313" t="n"/>
      <c r="P87" s="313" t="n"/>
      <c r="Q87" s="311" t="n"/>
      <c r="R87" s="314" t="n"/>
      <c r="S87" s="314" t="n"/>
      <c r="T87" s="314" t="n"/>
      <c r="U87" s="314" t="n"/>
      <c r="V87" s="314" t="n"/>
      <c r="W87" s="314" t="n"/>
      <c r="X87" s="314" t="n"/>
      <c r="Y87" s="314" t="n"/>
    </row>
    <row r="88" ht="15.5" customHeight="1">
      <c r="B88" s="277" t="n"/>
      <c r="C88" s="278" t="n"/>
      <c r="D88" s="315" t="inlineStr">
        <is>
          <t>Rental Tool</t>
        </is>
      </c>
      <c r="E88" s="316" t="n"/>
      <c r="F88" s="281" t="n"/>
      <c r="G88" s="282" t="n"/>
      <c r="H88" s="282" t="n"/>
      <c r="I88" s="283" t="n"/>
      <c r="J88" s="279" t="n"/>
      <c r="K88" s="325" t="n"/>
      <c r="L88" s="279" t="n"/>
      <c r="M88" s="279" t="n"/>
      <c r="N88" s="279" t="n"/>
      <c r="O88" s="279" t="n"/>
      <c r="P88" s="279" t="n"/>
      <c r="Q88" s="279" t="n"/>
      <c r="R88" s="285" t="n"/>
      <c r="S88" s="285" t="n"/>
      <c r="T88" s="285" t="n"/>
      <c r="U88" s="285" t="n"/>
      <c r="V88" s="285" t="n"/>
      <c r="W88" s="285" t="n"/>
      <c r="X88" s="285" t="n"/>
      <c r="Y88" s="285" t="n"/>
    </row>
    <row r="89" ht="15.5" customHeight="1">
      <c r="B89" s="286" t="n">
        <v>47848</v>
      </c>
      <c r="C89" s="278" t="n">
        <v>22</v>
      </c>
      <c r="D89" s="280" t="inlineStr">
        <is>
          <t>wqeqwe</t>
        </is>
      </c>
      <c r="E89" s="280" t="inlineStr">
        <is>
          <t>Advance</t>
        </is>
      </c>
      <c r="F89" s="287" t="n">
        <v>123123</v>
      </c>
      <c r="G89" s="282" t="inlineStr">
        <is>
          <t>IDR</t>
        </is>
      </c>
      <c r="H89" s="288" t="n">
        <v>1</v>
      </c>
      <c r="I89" s="289" t="n"/>
      <c r="J89" s="322" t="n">
        <v>123123</v>
      </c>
      <c r="K89" s="290" t="n"/>
      <c r="L89" s="280" t="n"/>
      <c r="M89" s="280" t="n"/>
      <c r="N89" s="280" t="n"/>
      <c r="O89" s="280" t="n"/>
      <c r="P89" s="280" t="n"/>
      <c r="Q89" s="280" t="n"/>
      <c r="R89" s="292" t="n"/>
      <c r="S89" s="292" t="n"/>
      <c r="T89" s="292" t="n"/>
      <c r="U89" s="292" t="n"/>
      <c r="V89" s="292" t="n"/>
      <c r="W89" s="292" t="n"/>
      <c r="X89" s="292" t="n"/>
      <c r="Y89" s="292" t="n"/>
    </row>
    <row r="90" ht="15.5" customHeight="1">
      <c r="A90" s="66" t="n"/>
      <c r="B90" s="286" t="n">
        <v>47848</v>
      </c>
      <c r="C90" s="278" t="n">
        <v>23</v>
      </c>
      <c r="D90" s="280" t="inlineStr">
        <is>
          <t>213123</t>
        </is>
      </c>
      <c r="E90" s="280" t="inlineStr">
        <is>
          <t>Advance</t>
        </is>
      </c>
      <c r="F90" s="287" t="n">
        <v>247126</v>
      </c>
      <c r="G90" s="282" t="inlineStr">
        <is>
          <t>USD</t>
        </is>
      </c>
      <c r="H90" s="288" t="n">
        <v>11233</v>
      </c>
      <c r="I90" s="289" t="n"/>
      <c r="J90" s="322" t="n">
        <v>247126</v>
      </c>
      <c r="K90" s="290" t="n"/>
      <c r="L90" s="280" t="n"/>
      <c r="M90" s="280" t="n"/>
      <c r="N90" s="280" t="n"/>
      <c r="O90" s="280" t="n"/>
      <c r="P90" s="280" t="n"/>
      <c r="Q90" s="280" t="n"/>
      <c r="R90" s="292" t="n"/>
      <c r="S90" s="292" t="n"/>
      <c r="T90" s="292" t="n"/>
      <c r="U90" s="292" t="n"/>
      <c r="V90" s="292" t="n"/>
      <c r="W90" s="292" t="n"/>
      <c r="X90" s="292" t="n"/>
      <c r="Y90" s="292" t="n"/>
    </row>
    <row r="91" ht="15.5" customHeight="1">
      <c r="B91" s="304" t="inlineStr">
        <is>
          <t>Expense#7</t>
        </is>
      </c>
      <c r="C91" s="305" t="inlineStr">
        <is>
          <t>:</t>
        </is>
      </c>
      <c r="D91" s="306" t="inlineStr">
        <is>
          <t>lala</t>
        </is>
      </c>
      <c r="E91" s="319" t="n"/>
      <c r="F91" s="326" t="n"/>
      <c r="G91" s="309" t="n"/>
      <c r="H91" s="309" t="n"/>
      <c r="I91" s="310" t="n"/>
      <c r="J91" s="310" t="n"/>
      <c r="K91" s="313" t="n"/>
      <c r="L91" s="313" t="n"/>
      <c r="M91" s="313" t="n"/>
      <c r="N91" s="313" t="n"/>
      <c r="O91" s="327" t="n"/>
      <c r="P91" s="313" t="n"/>
      <c r="Q91" s="313" t="n"/>
      <c r="R91" s="314" t="n"/>
      <c r="S91" s="314" t="n"/>
      <c r="T91" s="314" t="n"/>
      <c r="U91" s="314" t="n"/>
      <c r="V91" s="314" t="n"/>
      <c r="W91" s="314" t="n"/>
      <c r="X91" s="314" t="n"/>
      <c r="Y91" s="314" t="n"/>
    </row>
    <row r="92" ht="15.5" customHeight="1">
      <c r="B92" s="277" t="n"/>
      <c r="C92" s="278" t="n"/>
      <c r="D92" s="315" t="inlineStr">
        <is>
          <t>Allowance , Transportation</t>
        </is>
      </c>
      <c r="E92" s="316" t="n"/>
      <c r="F92" s="317" t="n"/>
      <c r="G92" s="282" t="n"/>
      <c r="H92" s="282" t="n"/>
      <c r="I92" s="284" t="n"/>
      <c r="J92" s="283" t="n"/>
      <c r="K92" s="279" t="n"/>
      <c r="L92" s="279" t="n"/>
      <c r="M92" s="279" t="n"/>
      <c r="N92" s="279" t="n"/>
      <c r="O92" s="279" t="n"/>
      <c r="P92" s="279" t="n"/>
      <c r="Q92" s="279" t="n"/>
      <c r="R92" s="285" t="n"/>
      <c r="S92" s="285" t="n"/>
      <c r="T92" s="285" t="n"/>
      <c r="U92" s="285" t="n"/>
      <c r="V92" s="285" t="n"/>
      <c r="W92" s="285" t="n"/>
      <c r="X92" s="285" t="n"/>
      <c r="Y92" s="285" t="n"/>
    </row>
    <row r="93" ht="15.5" customHeight="1">
      <c r="B93" s="286" t="n">
        <v>47848</v>
      </c>
      <c r="C93" s="278" t="n">
        <v>24</v>
      </c>
      <c r="D93" s="280" t="inlineStr">
        <is>
          <t>jsj</t>
        </is>
      </c>
      <c r="E93" s="280" t="inlineStr">
        <is>
          <t>Advance</t>
        </is>
      </c>
      <c r="F93" s="287" t="n">
        <v>646</v>
      </c>
      <c r="G93" s="282" t="inlineStr">
        <is>
          <t>IDR</t>
        </is>
      </c>
      <c r="H93" s="288" t="n">
        <v>1</v>
      </c>
      <c r="I93" s="289" t="n"/>
      <c r="J93" s="289" t="n"/>
      <c r="K93" s="290" t="n"/>
      <c r="L93" s="291" t="n">
        <v>646</v>
      </c>
      <c r="M93" s="280" t="n"/>
      <c r="N93" s="280" t="n"/>
      <c r="O93" s="280" t="n"/>
      <c r="P93" s="280" t="n"/>
      <c r="Q93" s="280" t="n"/>
      <c r="R93" s="292" t="n"/>
      <c r="S93" s="292" t="n"/>
      <c r="T93" s="292" t="n"/>
      <c r="U93" s="292" t="n"/>
      <c r="V93" s="292" t="n"/>
      <c r="W93" s="292" t="n"/>
      <c r="X93" s="292" t="n"/>
      <c r="Y93" s="292" t="n"/>
    </row>
    <row r="94" ht="15.5" customHeight="1">
      <c r="A94" s="66" t="n"/>
      <c r="B94" s="328" t="inlineStr">
        <is>
          <t>TOTAL</t>
        </is>
      </c>
      <c r="C94" s="230" t="n"/>
      <c r="D94" s="230" t="n"/>
      <c r="E94" s="230" t="n"/>
      <c r="F94" s="230" t="n"/>
      <c r="G94" s="230" t="n"/>
      <c r="H94" s="227" t="n"/>
      <c r="I94" s="329" t="n">
        <v>0</v>
      </c>
      <c r="J94" s="330" t="n">
        <v>428025</v>
      </c>
      <c r="K94" s="330" t="n">
        <v>0</v>
      </c>
      <c r="L94" s="330" t="n">
        <v>138618778700</v>
      </c>
      <c r="M94" s="330" t="n">
        <v>14337627</v>
      </c>
      <c r="N94" s="330" t="n">
        <v>0</v>
      </c>
      <c r="O94" s="330" t="n">
        <v>0</v>
      </c>
      <c r="P94" s="330" t="n">
        <v>0</v>
      </c>
      <c r="Q94" s="330" t="n">
        <v>0</v>
      </c>
      <c r="R94" s="330" t="n">
        <v>0</v>
      </c>
      <c r="S94" s="330" t="n">
        <v>234234</v>
      </c>
      <c r="T94" s="330" t="n">
        <v>0</v>
      </c>
      <c r="U94" s="330" t="n">
        <v>0</v>
      </c>
      <c r="V94" s="330" t="n">
        <v>0</v>
      </c>
      <c r="W94" s="330" t="n">
        <v>0</v>
      </c>
      <c r="X94" s="330" t="n">
        <v>0</v>
      </c>
      <c r="Y94" s="330" t="n">
        <v>123224</v>
      </c>
    </row>
    <row r="95" hidden="1" ht="15.5" customHeight="1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236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>
      <c r="B97" s="79" t="n"/>
      <c r="C97" s="80" t="n"/>
      <c r="D97" s="80" t="inlineStr">
        <is>
          <t>OPERATION COST AND OFFICE - Expenses Report</t>
        </is>
      </c>
      <c r="E97" s="80" t="n"/>
      <c r="F97" s="23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>
      <c r="B98" s="331" t="inlineStr">
        <is>
          <t>Nama Lengkap</t>
        </is>
      </c>
      <c r="C98" s="230" t="n"/>
      <c r="D98" s="230" t="n"/>
      <c r="E98" s="227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>
      <c r="B99" s="332" t="inlineStr">
        <is>
          <t>Direktur</t>
        </is>
      </c>
      <c r="C99" s="230" t="n"/>
      <c r="D99" s="230" t="n"/>
      <c r="E99" s="227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>
      <c r="B100" s="24" t="n"/>
      <c r="C100" s="91" t="n"/>
      <c r="D100" s="94" t="inlineStr">
        <is>
          <t>Airplane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>
      <c r="B101" s="67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>
      <c r="B102" s="67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>
      <c r="B103" s="67" t="n"/>
      <c r="C103" s="91" t="n"/>
      <c r="D103" s="94" t="inlineStr">
        <is>
          <t>Land 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>
      <c r="B104" s="67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>
      <c r="B105" s="67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>
      <c r="B106" s="67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>
      <c r="B107" s="67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>
      <c r="B108" s="67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>
      <c r="B109" s="67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>
      <c r="B110" s="67" t="n"/>
      <c r="C110" s="91" t="n"/>
      <c r="D110" s="97" t="inlineStr">
        <is>
          <t>Hotel and Loundry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>
      <c r="B111" s="67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>
      <c r="B112" s="67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>
      <c r="B113" s="67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>
      <c r="B114" s="67" t="n"/>
      <c r="C114" s="91" t="n"/>
      <c r="D114" s="97" t="inlineStr">
        <is>
          <t>Logistik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>
      <c r="B115" s="67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>
      <c r="B116" s="67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>
      <c r="B117" s="67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>
      <c r="B118" s="67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>
      <c r="B119" s="67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>
      <c r="B120" s="67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>
      <c r="B121" s="67" t="n"/>
      <c r="C121" s="91" t="n"/>
      <c r="D121" s="97" t="inlineStr">
        <is>
          <t>Entertaiment on field Site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>
      <c r="B122" s="67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>
      <c r="B123" s="67" t="n"/>
      <c r="C123" s="91" t="n"/>
      <c r="D123" s="97" t="inlineStr">
        <is>
          <t>Meal Allowance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>
      <c r="B124" s="67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>
      <c r="B125" s="67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>
      <c r="B126" s="67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>
      <c r="B128" s="24" t="n"/>
      <c r="C128" s="91" t="n"/>
      <c r="D128" s="94" t="inlineStr">
        <is>
          <t>Airplane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>
      <c r="B129" s="67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>
      <c r="B130" s="67" t="n"/>
      <c r="C130" s="91" t="n"/>
      <c r="D130" s="94" t="inlineStr">
        <is>
          <t>Land 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>
      <c r="B131" s="67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>
      <c r="B132" s="67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>
      <c r="B133" s="67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>
      <c r="B134" s="67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>
      <c r="B135" s="67" t="n"/>
      <c r="C135" s="91" t="n"/>
      <c r="D135" s="97" t="inlineStr">
        <is>
          <t>Hotel and Loundry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>
      <c r="B136" s="67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>
      <c r="B137" s="67" t="n"/>
      <c r="C137" s="91" t="n"/>
      <c r="D137" s="97" t="inlineStr">
        <is>
          <t>Logistik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>
      <c r="B138" s="67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>
      <c r="B139" s="67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>
      <c r="B140" s="67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>
      <c r="B141" s="67" t="n"/>
      <c r="C141" s="91" t="n">
        <v>9</v>
      </c>
      <c r="D141" s="97" t="inlineStr">
        <is>
          <t>Meal Allowance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>
      <c r="B142" s="67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>
      <c r="B143" s="67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>
      <c r="B144" s="67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>
      <c r="B146" s="67" t="n"/>
      <c r="C146" s="91" t="n"/>
      <c r="D146" s="94" t="inlineStr">
        <is>
          <t>Land 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>
      <c r="B147" s="67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>
      <c r="B148" s="67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>
      <c r="B149" s="67" t="n"/>
      <c r="C149" s="91" t="n"/>
      <c r="D149" s="97" t="inlineStr">
        <is>
          <t>Hotel and Loundry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>
      <c r="B150" s="67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>
      <c r="B151" s="67" t="n"/>
      <c r="C151" s="91" t="n"/>
      <c r="D151" s="97" t="inlineStr">
        <is>
          <t>Meal Allowance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>
      <c r="B152" s="67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>
      <c r="B153" s="67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>
      <c r="B154" s="67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>
      <c r="B165" s="67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>
      <c r="B167" s="67" t="n"/>
      <c r="C167" s="91" t="n"/>
      <c r="D167" s="94" t="inlineStr">
        <is>
          <t>Land 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>
      <c r="B168" s="67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>
      <c r="B169" s="67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>
      <c r="B170" s="67" t="n"/>
      <c r="C170" s="91" t="n"/>
      <c r="D170" s="97" t="inlineStr">
        <is>
          <t>Hotel and Loundry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>
      <c r="B171" s="67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>
      <c r="B172" s="67" t="n"/>
      <c r="C172" s="91" t="n"/>
      <c r="D172" s="97" t="inlineStr">
        <is>
          <t>Meal Allowance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>
      <c r="B173" s="67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>
      <c r="B174" s="67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>
      <c r="B175" s="67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>
      <c r="B176" s="67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>
      <c r="B177" s="67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>
      <c r="B178" s="67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>
      <c r="B179" s="67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>
      <c r="B180" s="67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>
      <c r="B181" s="67" t="n"/>
      <c r="C181" s="91" t="n"/>
      <c r="D181" s="97" t="inlineStr">
        <is>
          <t>Meals at wellsite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>
      <c r="B182" s="67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>
      <c r="B183" s="67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23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>
      <c r="B184" s="67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>
      <c r="B187" s="67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>
      <c r="B188" s="67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>
      <c r="B189" s="67" t="n"/>
      <c r="C189" s="91" t="n"/>
      <c r="D189" s="97" t="inlineStr">
        <is>
          <t>Hotel and Loundry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>
      <c r="B190" s="67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>
      <c r="B191" s="67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>
      <c r="B192" s="67" t="n"/>
      <c r="C192" s="91" t="n"/>
      <c r="D192" s="97" t="inlineStr">
        <is>
          <t>Meal Allowance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>
      <c r="B193" s="67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>
      <c r="B194" s="67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>
      <c r="B195" s="67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>
      <c r="B197" s="14" t="n"/>
      <c r="C197" s="15" t="n"/>
      <c r="D197" s="106" t="inlineStr">
        <is>
          <t>Air Tikect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>
      <c r="B199" s="102" t="n"/>
      <c r="C199" s="15" t="n"/>
      <c r="D199" s="106" t="inlineStr">
        <is>
          <t>transportasi Darat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>
      <c r="B205" s="102" t="n"/>
      <c r="C205" s="15" t="n"/>
      <c r="D205" s="108" t="inlineStr">
        <is>
          <t>Hotel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240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24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>
      <c r="B210" s="102" t="n"/>
      <c r="C210" s="15" t="n"/>
      <c r="D210" s="106" t="inlineStr">
        <is>
          <t>transportasi Darat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>
      <c r="B213" s="102" t="n"/>
      <c r="C213" s="15" t="n"/>
      <c r="D213" s="108" t="inlineStr">
        <is>
          <t>Hotel and Loundry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>
      <c r="B215" s="102" t="n"/>
      <c r="C215" s="15" t="n"/>
      <c r="D215" s="108" t="inlineStr">
        <is>
          <t>Perdiem uang makan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>
      <c r="B221" s="67" t="n"/>
      <c r="C221" s="91" t="n"/>
      <c r="D221" s="97" t="inlineStr">
        <is>
          <t>Hotel and Loundry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>
      <c r="B222" s="67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>
      <c r="B223" s="67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>
      <c r="B224" s="67" t="n"/>
      <c r="C224" s="91" t="n"/>
      <c r="D224" s="97" t="inlineStr">
        <is>
          <t>Logistik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>
      <c r="B225" s="67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>
      <c r="B226" s="67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>
      <c r="B227" s="67" t="n"/>
      <c r="C227" s="91" t="n"/>
      <c r="D227" s="97" t="inlineStr">
        <is>
          <t>Entertaiment on field Site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>
      <c r="B228" s="67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>
      <c r="B229" s="67" t="n"/>
      <c r="C229" s="91" t="n"/>
      <c r="D229" s="97" t="inlineStr">
        <is>
          <t>Meal Allowance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>
      <c r="B230" s="67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>
      <c r="B231" s="67" t="n"/>
      <c r="C231" s="91" t="n"/>
      <c r="D231" s="97" t="inlineStr">
        <is>
          <t>Field Bonus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>
      <c r="B232" s="67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>
      <c r="B233" s="67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>
      <c r="B235" s="67" t="n"/>
      <c r="C235" s="91" t="n"/>
      <c r="D235" s="97" t="inlineStr">
        <is>
          <t>Hotel and Loundry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>
      <c r="B236" s="67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>
      <c r="B237" s="67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>
      <c r="B238" s="67" t="n"/>
      <c r="C238" s="91" t="n"/>
      <c r="D238" s="97" t="inlineStr">
        <is>
          <t>Logistik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>
      <c r="B239" s="67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>
      <c r="B240" s="67" t="n"/>
      <c r="C240" s="91" t="n"/>
      <c r="D240" s="97" t="inlineStr">
        <is>
          <t>Meals on field Site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>
      <c r="B241" s="67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>
      <c r="B242" s="67" t="n"/>
      <c r="C242" s="91" t="n"/>
      <c r="D242" s="97" t="inlineStr">
        <is>
          <t>Meal Allowance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>
      <c r="B243" s="67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>
      <c r="B244" s="67" t="n"/>
      <c r="C244" s="91" t="n"/>
      <c r="D244" s="97" t="inlineStr">
        <is>
          <t>Accomadation &amp; 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>
      <c r="B245" s="67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>
      <c r="B246" s="67" t="n"/>
      <c r="C246" s="91" t="n"/>
      <c r="D246" s="97" t="inlineStr">
        <is>
          <t>Field Bonus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>
      <c r="B247" s="67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>
      <c r="B249" s="67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>
      <c r="B259" s="102" t="n"/>
      <c r="C259" s="15" t="n"/>
      <c r="D259" s="114" t="inlineStr">
        <is>
          <t>Perdiem Uang Makan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>
      <c r="B265" s="102" t="n"/>
      <c r="C265" s="15" t="n"/>
      <c r="D265" s="106" t="inlineStr">
        <is>
          <t>transportasi Darat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 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>
      <c r="B271" s="102" t="n"/>
      <c r="C271" s="15" t="n"/>
      <c r="D271" s="108" t="inlineStr">
        <is>
          <t>Logistik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>
      <c r="B272" s="102" t="n">
        <v>45437</v>
      </c>
      <c r="C272" s="15" t="n">
        <v>3</v>
      </c>
      <c r="D272" s="170" t="inlineStr">
        <is>
          <t>Wrapping Alfa Box</t>
        </is>
      </c>
      <c r="E272" s="170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>
      <c r="B274" s="102" t="n"/>
      <c r="C274" s="15" t="n"/>
      <c r="D274" s="108" t="inlineStr">
        <is>
          <t>Perdiem uang makan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>
      <c r="B278" s="102" t="n"/>
      <c r="C278" s="15" t="n"/>
      <c r="D278" s="108" t="inlineStr">
        <is>
          <t>Aloowance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>
      <c r="B281" s="67" t="n"/>
      <c r="C281" s="91" t="n"/>
      <c r="D281" s="97" t="inlineStr">
        <is>
          <t>Hotel and Loundry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>
      <c r="B282" s="67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>
      <c r="B283" s="67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>
      <c r="B284" s="67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>
      <c r="B285" s="67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>
      <c r="B286" s="67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>
      <c r="B287" s="67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>
      <c r="B288" s="67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>
      <c r="B289" s="67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>
      <c r="B290" s="67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>
      <c r="B291" s="67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>
      <c r="B292" s="67" t="n"/>
      <c r="C292" s="117" t="n"/>
      <c r="D292" s="97" t="inlineStr">
        <is>
          <t>Entertaiment on field Site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>
      <c r="B293" s="67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>
      <c r="B294" s="67" t="n"/>
      <c r="C294" s="117" t="n"/>
      <c r="D294" s="97" t="inlineStr">
        <is>
          <t>Meal Allowance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>
      <c r="B295" s="67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>
      <c r="B296" s="67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>
      <c r="B297" s="67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>
      <c r="B301" s="102" t="n"/>
      <c r="C301" s="15" t="n"/>
      <c r="D301" s="106" t="inlineStr">
        <is>
          <t>transportasi Darat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>
      <c r="B306" s="67" t="n"/>
      <c r="C306" s="91" t="n"/>
      <c r="D306" s="97" t="inlineStr">
        <is>
          <t>Hotel and Loundry</t>
        </is>
      </c>
      <c r="E306" s="97" t="n"/>
      <c r="F306" s="103" t="n"/>
      <c r="G306" s="91" t="n"/>
      <c r="H306" s="91" t="n"/>
      <c r="I306" s="24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>
      <c r="B307" s="67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241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>
      <c r="B308" s="67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>
      <c r="B309" s="67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24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>
      <c r="B310" s="67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>
      <c r="B311" s="67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>
      <c r="B312" s="67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>
      <c r="B313" s="67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>
      <c r="B314" s="67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>
      <c r="B315" s="67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>
      <c r="B316" s="67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>
      <c r="B317" s="67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>
      <c r="B318" s="67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>
      <c r="B319" s="67" t="n"/>
      <c r="C319" s="117" t="n"/>
      <c r="D319" s="97" t="inlineStr">
        <is>
          <t>Meal Allowance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>
      <c r="B320" s="67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>
      <c r="B321" s="67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>
      <c r="B322" s="67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>
      <c r="B324" s="67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>
      <c r="B325" s="67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>
      <c r="B326" s="67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>
      <c r="B327" s="67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>
      <c r="B328" s="67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>
      <c r="B330" s="67" t="n"/>
      <c r="C330" s="91" t="n"/>
      <c r="D330" s="97" t="inlineStr">
        <is>
          <t>Hotel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>
      <c r="B331" s="67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241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>
      <c r="B332" s="67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>
      <c r="B333" s="67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>
      <c r="B334" s="67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>
      <c r="B335" s="67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>
      <c r="B336" s="67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>
      <c r="B337" s="67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>
      <c r="B338" s="67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>
      <c r="B339" s="67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>
      <c r="B340" s="67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>
      <c r="B342" s="67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>
      <c r="B350" s="14" t="n"/>
      <c r="C350" s="15" t="n"/>
      <c r="D350" s="106" t="inlineStr">
        <is>
          <t>Air Tikect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>
      <c r="B353" s="102" t="n"/>
      <c r="C353" s="15" t="n"/>
      <c r="D353" s="106" t="inlineStr">
        <is>
          <t>transportasi Darat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 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>
      <c r="B360" s="102" t="n"/>
      <c r="C360" s="15" t="n"/>
      <c r="D360" s="118" t="inlineStr">
        <is>
          <t>Transportasi Tools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>
      <c r="B362" s="102" t="n"/>
      <c r="C362" s="15" t="n"/>
      <c r="D362" s="108" t="inlineStr">
        <is>
          <t>Hotel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>
      <c r="B364" s="102" t="n"/>
      <c r="C364" s="15" t="n"/>
      <c r="D364" s="108" t="inlineStr">
        <is>
          <t>Perdiem uang makan</t>
        </is>
      </c>
      <c r="E364" s="108" t="n"/>
      <c r="F364" s="21" t="n"/>
      <c r="G364" s="15" t="n"/>
      <c r="H364" s="15" t="n"/>
      <c r="I364" s="24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241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>
      <c r="B375" s="102" t="n"/>
      <c r="C375" s="15" t="n"/>
      <c r="D375" s="118" t="inlineStr">
        <is>
          <t>Perdiem Uang Makan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>
      <c r="B384" s="67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>
      <c r="B385" s="67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>
      <c r="B386" s="67" t="n"/>
      <c r="C386" s="91" t="n"/>
      <c r="D386" s="97" t="inlineStr">
        <is>
          <t>Meal Allowance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>
      <c r="B387" s="67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>
      <c r="B388" s="67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>
      <c r="B389" s="67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>
      <c r="B390" s="67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>
      <c r="B391" s="67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>
      <c r="B393" s="14" t="n"/>
      <c r="C393" s="15" t="n"/>
      <c r="D393" s="106" t="inlineStr">
        <is>
          <t>Train Ticket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>
      <c r="B395" s="102" t="n"/>
      <c r="C395" s="15" t="n"/>
      <c r="D395" s="106" t="inlineStr">
        <is>
          <t>transportasi Darat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>
      <c r="B399" s="102" t="n"/>
      <c r="C399" s="15" t="n"/>
      <c r="D399" s="108" t="inlineStr">
        <is>
          <t>Hotel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>
      <c r="B402" s="102" t="n"/>
      <c r="C402" s="15" t="n"/>
      <c r="D402" s="108" t="inlineStr">
        <is>
          <t>Perdiem uang makan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>
      <c r="B417" s="102" t="n"/>
      <c r="C417" s="15" t="n"/>
      <c r="D417" s="106" t="inlineStr">
        <is>
          <t>ATK dan dokumen sent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>
      <c r="B425" s="14" t="n"/>
      <c r="C425" s="15" t="n"/>
      <c r="D425" s="63" t="inlineStr">
        <is>
          <t>Logictic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>
      <c r="B443" s="102" t="n"/>
      <c r="C443" s="15" t="n"/>
      <c r="D443" s="108" t="inlineStr">
        <is>
          <t>Hotel and Loundry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>
      <c r="B446" s="102" t="n"/>
      <c r="C446" s="15" t="n"/>
      <c r="D446" s="108" t="inlineStr">
        <is>
          <t>Logistik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>
      <c r="B459" s="102" t="n"/>
      <c r="C459" s="15" t="n"/>
      <c r="D459" s="108" t="inlineStr">
        <is>
          <t>Meal on field Site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>
      <c r="B465" s="102" t="n"/>
      <c r="C465" s="15" t="n"/>
      <c r="D465" s="108" t="inlineStr">
        <is>
          <t>Perdiem uang makan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>
      <c r="B470" s="67" t="n"/>
      <c r="C470" s="91" t="n"/>
      <c r="D470" s="97" t="inlineStr">
        <is>
          <t>Hotel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>
      <c r="B471" s="67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>
      <c r="B472" s="67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>
      <c r="B473" s="67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>
      <c r="B474" s="67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>
      <c r="B475" s="67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>
      <c r="B476" s="67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>
      <c r="B477" s="67" t="n"/>
      <c r="C477" s="91" t="n"/>
      <c r="D477" s="97" t="inlineStr">
        <is>
          <t>Operation Need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>
      <c r="B478" s="67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>
      <c r="B479" s="67" t="n"/>
      <c r="C479" s="117" t="n"/>
      <c r="D479" s="97" t="inlineStr">
        <is>
          <t>Entertaiment on field Site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>
      <c r="B480" s="67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>
      <c r="B481" s="67" t="n"/>
      <c r="C481" s="117" t="n"/>
      <c r="D481" s="97" t="inlineStr">
        <is>
          <t>Meal Allowance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>
      <c r="B482" s="67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>
      <c r="B483" s="67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>
      <c r="B484" s="67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Perdiem Uang Makan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2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>
      <c r="B492" s="67" t="n"/>
      <c r="C492" s="91" t="n"/>
      <c r="D492" s="127" t="inlineStr">
        <is>
          <t>Hotel and Loundry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>
      <c r="B493" s="67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241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>
      <c r="B494" s="67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>
      <c r="B495" s="67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>
      <c r="B496" s="67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>
      <c r="B497" s="67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>
      <c r="B498" s="67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>
      <c r="B499" s="67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>
      <c r="B500" s="67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>
      <c r="B501" s="67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>
      <c r="B502" s="67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>
      <c r="B503" s="67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>
      <c r="B504" s="67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>
      <c r="B505" s="67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2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>
      <c r="B507" s="128" t="n"/>
      <c r="C507" s="129" t="n"/>
      <c r="D507" s="130" t="inlineStr">
        <is>
          <t>transportasi Darat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>
      <c r="B511" s="128" t="n"/>
      <c r="C511" s="129" t="n"/>
      <c r="D511" s="134" t="inlineStr">
        <is>
          <t>Perdiem uang makan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241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241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>
      <c r="B515" s="102" t="n"/>
      <c r="C515" s="15" t="n"/>
      <c r="D515" s="108" t="inlineStr">
        <is>
          <t>FIELD BONUS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241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>
      <c r="B518" s="67" t="n"/>
      <c r="C518" s="91" t="n"/>
      <c r="D518" s="97" t="inlineStr">
        <is>
          <t>Hotel and Loundry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>
      <c r="B519" s="67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>
      <c r="B520" s="67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>
      <c r="B521" s="67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>
      <c r="B522" s="67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>
      <c r="B523" s="67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>
      <c r="B524" s="67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>
      <c r="B525" s="67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>
      <c r="B526" s="67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>
      <c r="B527" s="67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>
      <c r="B528" s="67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>
      <c r="B529" s="67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>
      <c r="B530" s="67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>
      <c r="B531" s="67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>
      <c r="B532" s="67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>
      <c r="B533" s="67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>
      <c r="B534" s="67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67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9">
    <mergeCell ref="B9:E9"/>
    <mergeCell ref="K25:L25"/>
    <mergeCell ref="H6:H7"/>
    <mergeCell ref="B1:J1"/>
    <mergeCell ref="P6:P7"/>
    <mergeCell ref="J6:J7"/>
    <mergeCell ref="D25:E26"/>
    <mergeCell ref="B94:H94"/>
    <mergeCell ref="I25:J25"/>
    <mergeCell ref="D27:E27"/>
    <mergeCell ref="C25:C26"/>
    <mergeCell ref="G6:G7"/>
    <mergeCell ref="B6:B7"/>
    <mergeCell ref="M25:N25"/>
    <mergeCell ref="O25:P25"/>
    <mergeCell ref="D6:E7"/>
    <mergeCell ref="G25:G26"/>
    <mergeCell ref="B98:E98"/>
    <mergeCell ref="D8:E8"/>
    <mergeCell ref="C750:H750"/>
    <mergeCell ref="I6:I7"/>
    <mergeCell ref="K6:K7"/>
    <mergeCell ref="B25:B26"/>
    <mergeCell ref="C6:C7"/>
    <mergeCell ref="O6:O7"/>
    <mergeCell ref="H25:H26"/>
    <mergeCell ref="B37:H37"/>
    <mergeCell ref="B99:E99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33" t="n"/>
      <c r="B1" s="333" t="n"/>
      <c r="C1" s="333" t="n"/>
      <c r="D1" s="333" t="n"/>
      <c r="E1" s="334" t="n"/>
    </row>
    <row r="2" ht="37.25" customHeight="1">
      <c r="A2" s="333" t="n"/>
      <c r="B2" s="333" t="n"/>
      <c r="C2" s="333" t="n"/>
      <c r="D2" s="333" t="n"/>
      <c r="E2" s="334" t="n"/>
    </row>
    <row r="3" ht="33.6" customHeight="1">
      <c r="A3" s="333" t="n"/>
      <c r="B3" s="335" t="inlineStr">
        <is>
          <t>PT. EXSPAN WIRELINE INDONESIA</t>
        </is>
      </c>
      <c r="F3" s="336" t="n"/>
      <c r="G3" s="337" t="inlineStr">
        <is>
          <t>PT. EXSPAN WIRELINE INDONESIA</t>
        </is>
      </c>
      <c r="H3" s="337" t="n"/>
      <c r="I3" s="337" t="n"/>
      <c r="J3" s="337" t="n"/>
    </row>
    <row r="4" ht="20.45" customHeight="1">
      <c r="A4" s="333" t="n"/>
      <c r="B4" s="338" t="inlineStr">
        <is>
          <t>LABA RUGI | TAHUN 2030</t>
        </is>
      </c>
      <c r="F4" s="336" t="n"/>
      <c r="G4" s="339" t="inlineStr">
        <is>
          <t>NERACA |TAHUN YANG BERAKHIR, 31 DESEMBER 2030</t>
        </is>
      </c>
      <c r="H4" s="339" t="n"/>
      <c r="I4" s="339" t="n"/>
      <c r="J4" s="339" t="n"/>
    </row>
    <row r="5" ht="6" customHeight="1">
      <c r="A5" s="333" t="n"/>
      <c r="B5" s="333" t="n"/>
      <c r="C5" s="333" t="n"/>
      <c r="D5" s="333" t="n"/>
      <c r="E5" s="334" t="n"/>
      <c r="F5" s="336" t="n"/>
      <c r="G5" s="336" t="n"/>
      <c r="H5" s="340" t="n"/>
      <c r="I5" s="340" t="n"/>
      <c r="J5" s="340" t="n"/>
    </row>
    <row r="6" ht="15.4" customHeight="1">
      <c r="A6" s="333" t="n"/>
      <c r="B6" s="341" t="n"/>
      <c r="C6" s="342" t="n"/>
      <c r="D6" s="343" t="inlineStr">
        <is>
          <t>PT. Exspan Wireline Indonesia</t>
        </is>
      </c>
      <c r="E6" s="221" t="n"/>
      <c r="F6" s="336" t="n"/>
      <c r="G6" s="344" t="n"/>
      <c r="H6" s="345" t="n"/>
      <c r="I6" s="343" t="inlineStr">
        <is>
          <t>PT. Exspan Wireline Indonesia</t>
        </is>
      </c>
      <c r="J6" s="221" t="n"/>
    </row>
    <row r="7" ht="15.4" customHeight="1">
      <c r="A7" s="333" t="n"/>
      <c r="B7" s="346" t="n"/>
      <c r="C7" s="347" t="n"/>
      <c r="D7" s="348" t="inlineStr">
        <is>
          <t>(Rp)</t>
        </is>
      </c>
      <c r="E7" s="226" t="n"/>
      <c r="F7" s="336" t="n"/>
      <c r="G7" s="349" t="n"/>
      <c r="H7" s="350" t="n"/>
      <c r="I7" s="348" t="inlineStr">
        <is>
          <t>(Rp)</t>
        </is>
      </c>
      <c r="J7" s="226" t="n"/>
    </row>
    <row r="8" ht="15" customHeight="1">
      <c r="A8" s="351" t="n"/>
      <c r="B8" s="352" t="inlineStr">
        <is>
          <t>PENDAPATAN</t>
        </is>
      </c>
      <c r="C8" s="353" t="n"/>
      <c r="D8" s="354" t="n"/>
      <c r="E8" s="355" t="n"/>
      <c r="F8" s="336" t="n"/>
      <c r="G8" s="356" t="inlineStr">
        <is>
          <t>AKTIVA</t>
        </is>
      </c>
      <c r="H8" s="357" t="n"/>
      <c r="I8" s="358" t="n"/>
      <c r="J8" s="355" t="n"/>
    </row>
    <row r="9" ht="15" customHeight="1">
      <c r="A9" s="351" t="n"/>
      <c r="B9" s="359" t="n"/>
      <c r="C9" s="360" t="inlineStr">
        <is>
          <t>PENDAPATAN LANGSUNG</t>
        </is>
      </c>
      <c r="D9" s="361" t="inlineStr">
        <is>
          <t>Rp</t>
        </is>
      </c>
      <c r="E9" s="362" t="n">
        <v>0</v>
      </c>
      <c r="F9" s="336" t="n"/>
      <c r="G9" s="363" t="inlineStr">
        <is>
          <t>AKTIVA LANCAR</t>
        </is>
      </c>
      <c r="H9" s="364" t="n"/>
      <c r="I9" s="365" t="n"/>
      <c r="J9" s="362" t="n"/>
    </row>
    <row r="10" ht="15" customHeight="1">
      <c r="A10" s="351" t="n"/>
      <c r="B10" s="359" t="n"/>
      <c r="C10" s="360" t="inlineStr">
        <is>
          <t>PENDAPATAN LAIN LAIN</t>
        </is>
      </c>
      <c r="D10" s="361" t="inlineStr">
        <is>
          <t>Rp</t>
        </is>
      </c>
      <c r="E10" s="362" t="n">
        <v>0</v>
      </c>
      <c r="F10" s="336" t="n"/>
      <c r="G10" s="363" t="n"/>
      <c r="H10" s="364" t="inlineStr">
        <is>
          <t>KAS DAN SETARA KAS TAHUN SEBELUMNYA</t>
        </is>
      </c>
      <c r="I10" s="361" t="inlineStr">
        <is>
          <t>Rp</t>
        </is>
      </c>
      <c r="J10" s="362" t="n">
        <v>0</v>
      </c>
    </row>
    <row r="11" ht="15" customHeight="1">
      <c r="A11" s="351" t="n"/>
      <c r="B11" s="359" t="n"/>
      <c r="C11" s="360" t="n"/>
      <c r="D11" s="361" t="n"/>
      <c r="E11" s="362" t="n"/>
      <c r="F11" s="336" t="n"/>
      <c r="G11" s="363" t="n"/>
      <c r="H11" s="364" t="inlineStr">
        <is>
          <t>KAS DAN SETARA KAS TAHUN LAPORAN</t>
        </is>
      </c>
      <c r="I11" s="361" t="inlineStr">
        <is>
          <t>Rp</t>
        </is>
      </c>
      <c r="J11" s="362">
        <f>E50-'Business Summary'!E13</f>
        <v/>
      </c>
    </row>
    <row r="12" ht="15" customHeight="1">
      <c r="A12" s="351" t="n"/>
      <c r="B12" s="366" t="inlineStr">
        <is>
          <t>TOTAL PENDAPATAN</t>
        </is>
      </c>
      <c r="C12" s="367" t="n"/>
      <c r="D12" s="368" t="inlineStr">
        <is>
          <t>Rp</t>
        </is>
      </c>
      <c r="E12" s="369">
        <f>SUM(E9:E11)</f>
        <v/>
      </c>
      <c r="F12" s="336" t="n"/>
      <c r="G12" s="370" t="n"/>
      <c r="H12" s="371" t="inlineStr">
        <is>
          <t>PIUTANG USAHA</t>
        </is>
      </c>
      <c r="I12" s="368" t="inlineStr">
        <is>
          <t>Rp</t>
        </is>
      </c>
      <c r="J12" s="369" t="n">
        <v>0</v>
      </c>
    </row>
    <row r="13" ht="15" customHeight="1">
      <c r="A13" s="351" t="n"/>
      <c r="B13" s="359" t="n"/>
      <c r="C13" s="360" t="n"/>
      <c r="D13" s="361" t="n"/>
      <c r="E13" s="362" t="n"/>
      <c r="F13" s="336" t="n"/>
      <c r="G13" s="363" t="n"/>
      <c r="H13" s="364" t="inlineStr">
        <is>
          <t>PAJAK BAYAR DI MUKA (pph23)</t>
        </is>
      </c>
      <c r="I13" s="361" t="inlineStr">
        <is>
          <t>Rp</t>
        </is>
      </c>
      <c r="J13" s="362" t="n">
        <v>0</v>
      </c>
    </row>
    <row r="14" ht="15" customHeight="1">
      <c r="A14" s="351" t="n"/>
      <c r="B14" s="352" t="inlineStr">
        <is>
          <t>BEBAN LANGSUNG</t>
        </is>
      </c>
      <c r="C14" s="353" t="n"/>
      <c r="D14" s="354" t="n"/>
      <c r="E14" s="355" t="n"/>
      <c r="F14" s="336" t="n"/>
      <c r="G14" s="356" t="n"/>
      <c r="H14" s="357" t="inlineStr">
        <is>
          <t>BIAYA BAYAR DI MUKA</t>
        </is>
      </c>
      <c r="I14" s="354" t="inlineStr">
        <is>
          <t>Rp</t>
        </is>
      </c>
      <c r="J14" s="355" t="n">
        <v>0</v>
      </c>
    </row>
    <row r="15" ht="15" customHeight="1">
      <c r="A15" s="351" t="n"/>
      <c r="B15" s="359" t="n"/>
      <c r="C15" s="360" t="inlineStr">
        <is>
          <t>BIAYA RESEARCH (R&amp;D)</t>
        </is>
      </c>
      <c r="D15" s="361" t="inlineStr">
        <is>
          <t>Rp</t>
        </is>
      </c>
      <c r="E15" s="362">
        <f>'Revenue-Cost_2030'!I94</f>
        <v/>
      </c>
      <c r="F15" s="336" t="n"/>
      <c r="G15" s="372" t="n"/>
      <c r="H15" s="364" t="inlineStr">
        <is>
          <t>PIUTANG LAIN LAIN</t>
        </is>
      </c>
      <c r="I15" s="361" t="inlineStr">
        <is>
          <t>Rp</t>
        </is>
      </c>
      <c r="J15" s="362" t="n">
        <v>0</v>
      </c>
    </row>
    <row r="16" ht="15" customHeight="1">
      <c r="A16" s="351" t="n"/>
      <c r="B16" s="359" t="n"/>
      <c r="C16" s="360" t="inlineStr">
        <is>
          <t>BIAYA SEWA PERALATAN</t>
        </is>
      </c>
      <c r="D16" s="361" t="inlineStr">
        <is>
          <t>Rp</t>
        </is>
      </c>
      <c r="E16" s="362">
        <f>'Revenue-Cost_2030'!J94</f>
        <v/>
      </c>
      <c r="F16" s="336" t="n"/>
      <c r="G16" s="363" t="n"/>
      <c r="H16" s="364" t="inlineStr">
        <is>
          <t>TOTAL AKTIVA LANCAR</t>
        </is>
      </c>
      <c r="I16" s="361" t="inlineStr">
        <is>
          <t>Rp</t>
        </is>
      </c>
      <c r="J16" s="362">
        <f>SUM(J10:J15)</f>
        <v/>
      </c>
    </row>
    <row r="17" ht="15" customHeight="1">
      <c r="A17" s="351" t="n"/>
      <c r="B17" s="359" t="n"/>
      <c r="C17" s="360" t="inlineStr">
        <is>
          <t>BIAYA INTERPRETASI LOG DATA</t>
        </is>
      </c>
      <c r="D17" s="361" t="inlineStr">
        <is>
          <t>Rp</t>
        </is>
      </c>
      <c r="E17" s="362">
        <f>'Revenue-Cost_2030'!K94</f>
        <v/>
      </c>
      <c r="F17" s="336" t="n"/>
      <c r="G17" s="363" t="n"/>
      <c r="H17" s="364" t="n"/>
      <c r="I17" s="365" t="n"/>
      <c r="J17" s="362" t="n"/>
    </row>
    <row r="18" ht="15" customHeight="1">
      <c r="A18" s="351" t="n"/>
      <c r="B18" s="359" t="n"/>
      <c r="C18" s="360" t="inlineStr">
        <is>
          <t>BIAYA OPERASI</t>
        </is>
      </c>
      <c r="D18" s="361" t="inlineStr">
        <is>
          <t>Rp</t>
        </is>
      </c>
      <c r="E18" s="362">
        <f>'Revenue-Cost_2030'!L94</f>
        <v/>
      </c>
      <c r="F18" s="336" t="n"/>
      <c r="G18" s="363" t="inlineStr">
        <is>
          <t>ACTIVA TETAP</t>
        </is>
      </c>
      <c r="H18" s="364" t="n"/>
      <c r="I18" s="365" t="n"/>
      <c r="J18" s="362" t="n"/>
    </row>
    <row r="19" ht="15" customHeight="1">
      <c r="A19" s="351" t="n"/>
      <c r="B19" s="359" t="n"/>
      <c r="C19" s="360" t="inlineStr">
        <is>
          <t>DIOFAVIAN</t>
        </is>
      </c>
      <c r="D19" s="361" t="inlineStr">
        <is>
          <t>Rp</t>
        </is>
      </c>
      <c r="E19" s="362">
        <f>'Revenue-Cost_2030'!M94</f>
        <v/>
      </c>
      <c r="F19" s="336" t="n"/>
      <c r="G19" s="363" t="n"/>
      <c r="H19" s="364" t="n"/>
      <c r="I19" s="365" t="n"/>
      <c r="J19" s="362" t="n"/>
    </row>
    <row r="20" ht="15" customHeight="1">
      <c r="A20" s="351" t="n"/>
      <c r="B20" s="366" t="inlineStr">
        <is>
          <t>TOTAL BIAYA LANGSUNG</t>
        </is>
      </c>
      <c r="C20" s="367" t="n"/>
      <c r="D20" s="368" t="inlineStr">
        <is>
          <t>Rp</t>
        </is>
      </c>
      <c r="E20" s="369">
        <f>SUM(E15:E19)</f>
        <v/>
      </c>
      <c r="F20" s="336" t="n"/>
      <c r="G20" s="370" t="n"/>
      <c r="H20" s="371" t="inlineStr">
        <is>
          <t>INVENTARIS KANTOR</t>
        </is>
      </c>
      <c r="I20" s="368" t="inlineStr">
        <is>
          <t>Rp</t>
        </is>
      </c>
      <c r="J20" s="369" t="n">
        <v>0</v>
      </c>
    </row>
    <row r="21" ht="15" customHeight="1">
      <c r="A21" s="351" t="n"/>
      <c r="B21" s="359" t="n"/>
      <c r="C21" s="360" t="n"/>
      <c r="D21" s="361" t="n"/>
      <c r="E21" s="362" t="n"/>
      <c r="F21" s="336" t="n"/>
      <c r="G21" s="363" t="n"/>
      <c r="H21" s="364" t="n"/>
      <c r="I21" s="365" t="n"/>
      <c r="J21" s="362" t="n"/>
    </row>
    <row r="22" ht="15" customHeight="1">
      <c r="A22" s="351" t="n"/>
      <c r="B22" s="352" t="inlineStr">
        <is>
          <t>BEBAN TIDAK LANGSUNG</t>
        </is>
      </c>
      <c r="C22" s="353" t="n"/>
      <c r="D22" s="354" t="n"/>
      <c r="E22" s="355" t="n"/>
      <c r="F22" s="336" t="n"/>
      <c r="G22" s="356" t="n"/>
      <c r="H22" s="357" t="inlineStr">
        <is>
          <t>TOTAL AKTIVA TETAP</t>
        </is>
      </c>
      <c r="I22" s="354" t="inlineStr">
        <is>
          <t>Rp</t>
        </is>
      </c>
      <c r="J22" s="355">
        <f>J20</f>
        <v/>
      </c>
    </row>
    <row r="23" ht="15" customHeight="1">
      <c r="A23" s="351" t="n"/>
      <c r="B23" s="359" t="n"/>
      <c r="C23" s="360" t="n"/>
      <c r="D23" s="361" t="inlineStr">
        <is>
          <t>Rp</t>
        </is>
      </c>
      <c r="E23" s="362" t="n">
        <v>0</v>
      </c>
      <c r="F23" s="336" t="n"/>
      <c r="G23" s="363" t="n"/>
      <c r="H23" s="364" t="n"/>
      <c r="I23" s="365" t="n"/>
      <c r="J23" s="362" t="n"/>
    </row>
    <row r="24" ht="15" customHeight="1">
      <c r="A24" s="351" t="n"/>
      <c r="B24" s="366" t="inlineStr">
        <is>
          <t>TOTAL BIAYA TIDAK LANGSUNG</t>
        </is>
      </c>
      <c r="C24" s="367" t="n"/>
      <c r="D24" s="368" t="inlineStr">
        <is>
          <t>Rp</t>
        </is>
      </c>
      <c r="E24" s="369">
        <f>SUM(E23:E23)</f>
        <v/>
      </c>
      <c r="F24" s="336" t="n"/>
      <c r="G24" s="370" t="inlineStr">
        <is>
          <t>ACTIVA LAIN LAIN</t>
        </is>
      </c>
      <c r="H24" s="371" t="n"/>
      <c r="I24" s="373" t="n"/>
      <c r="J24" s="369" t="n">
        <v>0</v>
      </c>
    </row>
    <row r="25" ht="15" customHeight="1">
      <c r="A25" s="351" t="n"/>
      <c r="B25" s="359" t="n"/>
      <c r="C25" s="360" t="n"/>
      <c r="D25" s="361" t="n"/>
      <c r="E25" s="362" t="n"/>
      <c r="F25" s="336" t="n"/>
      <c r="G25" s="363" t="n"/>
      <c r="H25" s="364" t="n"/>
      <c r="I25" s="365" t="n"/>
      <c r="J25" s="362" t="n">
        <v>0</v>
      </c>
    </row>
    <row r="26" ht="15" customHeight="1">
      <c r="A26" s="351" t="n"/>
      <c r="B26" s="352" t="inlineStr">
        <is>
          <t>BIAYA ADMINISTRASI DAN UMUM</t>
        </is>
      </c>
      <c r="C26" s="353" t="n"/>
      <c r="D26" s="354" t="n"/>
      <c r="E26" s="355" t="n"/>
      <c r="F26" s="336" t="n"/>
      <c r="G26" s="356" t="n"/>
      <c r="H26" s="357" t="inlineStr">
        <is>
          <t>TOTAL AKTIVA LAIN LAIN</t>
        </is>
      </c>
      <c r="I26" s="354" t="inlineStr">
        <is>
          <t>Rp</t>
        </is>
      </c>
      <c r="J26" s="355">
        <f>SUM(J25:J25)</f>
        <v/>
      </c>
    </row>
    <row r="27" ht="15" customHeight="1">
      <c r="A27" s="351" t="n"/>
      <c r="B27" s="359" t="n"/>
      <c r="C27" s="360" t="inlineStr">
        <is>
          <t>ADMINISTRASI</t>
        </is>
      </c>
      <c r="D27" s="361" t="inlineStr">
        <is>
          <t>Rp</t>
        </is>
      </c>
      <c r="E27" s="362">
        <f>'Revenue-Cost_2030'!N94</f>
        <v/>
      </c>
      <c r="F27" s="336" t="n"/>
      <c r="G27" s="363" t="n"/>
      <c r="H27" s="364" t="n"/>
      <c r="I27" s="365" t="n"/>
      <c r="J27" s="362" t="n"/>
    </row>
    <row r="28" ht="15" customHeight="1">
      <c r="A28" s="351" t="n"/>
      <c r="B28" s="359" t="n"/>
      <c r="C28" s="360" t="inlineStr">
        <is>
          <t>PEMBELIAN BARANG</t>
        </is>
      </c>
      <c r="D28" s="361" t="inlineStr">
        <is>
          <t>Rp</t>
        </is>
      </c>
      <c r="E28" s="362">
        <f>'Revenue-Cost_2030'!O94</f>
        <v/>
      </c>
      <c r="F28" s="336" t="n"/>
      <c r="G28" s="374" t="inlineStr">
        <is>
          <t>TOTAL AKTIVA</t>
        </is>
      </c>
      <c r="H28" s="360" t="n"/>
      <c r="I28" s="361" t="inlineStr">
        <is>
          <t>Rp</t>
        </is>
      </c>
      <c r="J28" s="362">
        <f>J26+J22+J16</f>
        <v/>
      </c>
    </row>
    <row r="29" ht="15" customHeight="1">
      <c r="A29" s="351" t="n"/>
      <c r="B29" s="359" t="n"/>
      <c r="C29" s="360" t="inlineStr">
        <is>
          <t>SEWA KANTOR</t>
        </is>
      </c>
      <c r="D29" s="361" t="inlineStr">
        <is>
          <t>Rp</t>
        </is>
      </c>
      <c r="E29" s="362">
        <f>'Revenue-Cost_2030'!P94</f>
        <v/>
      </c>
      <c r="F29" s="336" t="n"/>
      <c r="G29" s="363" t="n"/>
      <c r="H29" s="364" t="n"/>
      <c r="I29" s="365" t="n"/>
      <c r="J29" s="362" t="n"/>
    </row>
    <row r="30" ht="15" customHeight="1">
      <c r="A30" s="351" t="n"/>
      <c r="B30" s="359" t="n"/>
      <c r="C30" s="360" t="inlineStr">
        <is>
          <t>KESEHATAN</t>
        </is>
      </c>
      <c r="D30" s="361" t="inlineStr">
        <is>
          <t>Rp</t>
        </is>
      </c>
      <c r="E30" s="362">
        <f>'Revenue-Cost_2030'!Q94</f>
        <v/>
      </c>
      <c r="F30" s="336" t="n"/>
      <c r="G30" s="363" t="inlineStr">
        <is>
          <t>HUTANG DAN MODAL</t>
        </is>
      </c>
      <c r="H30" s="364" t="n"/>
      <c r="I30" s="365" t="n"/>
      <c r="J30" s="362" t="n"/>
    </row>
    <row r="31" ht="15" customHeight="1">
      <c r="A31" s="351" t="n"/>
      <c r="B31" s="359" t="n"/>
      <c r="C31" s="360" t="inlineStr">
        <is>
          <t>BISNIS DEV</t>
        </is>
      </c>
      <c r="D31" s="361" t="inlineStr">
        <is>
          <t>Rp</t>
        </is>
      </c>
      <c r="E31" s="362">
        <f>'Revenue-Cost_2030'!R94</f>
        <v/>
      </c>
      <c r="F31" s="336" t="n"/>
      <c r="G31" s="363" t="n"/>
      <c r="H31" s="364" t="n"/>
      <c r="I31" s="365" t="n"/>
      <c r="J31" s="362" t="n"/>
    </row>
    <row r="32" ht="15" customHeight="1">
      <c r="A32" s="351" t="n"/>
      <c r="B32" s="359" t="n"/>
      <c r="C32" s="360" t="inlineStr">
        <is>
          <t>ASDASD</t>
        </is>
      </c>
      <c r="D32" s="361" t="inlineStr">
        <is>
          <t>Rp</t>
        </is>
      </c>
      <c r="E32" s="362">
        <f>'Revenue-Cost_2030'!S94</f>
        <v/>
      </c>
      <c r="F32" s="336" t="n"/>
      <c r="G32" s="363" t="inlineStr">
        <is>
          <t>HUTANG LANCAR</t>
        </is>
      </c>
      <c r="H32" s="364" t="n"/>
      <c r="I32" s="365" t="n"/>
      <c r="J32" s="362" t="n"/>
    </row>
    <row r="33" ht="15" customHeight="1">
      <c r="A33" s="351" t="n"/>
      <c r="B33" s="359" t="n"/>
      <c r="C33" s="360" t="inlineStr">
        <is>
          <t>MAKANAN JEPANG</t>
        </is>
      </c>
      <c r="D33" s="361" t="inlineStr">
        <is>
          <t>Rp</t>
        </is>
      </c>
      <c r="E33" s="362">
        <f>'Revenue-Cost_2030'!T94</f>
        <v/>
      </c>
      <c r="F33" s="336" t="n"/>
      <c r="G33" s="363" t="n"/>
      <c r="H33" s="364" t="inlineStr">
        <is>
          <t>HUTANG USAHA</t>
        </is>
      </c>
      <c r="I33" s="361" t="inlineStr">
        <is>
          <t>Rp</t>
        </is>
      </c>
      <c r="J33" s="362" t="n">
        <v>0</v>
      </c>
    </row>
    <row r="34" ht="15" customHeight="1">
      <c r="A34" s="351" t="n"/>
      <c r="B34" s="359" t="n"/>
      <c r="C34" s="360" t="inlineStr">
        <is>
          <t>AAAAA</t>
        </is>
      </c>
      <c r="D34" s="361" t="inlineStr">
        <is>
          <t>Rp</t>
        </is>
      </c>
      <c r="E34" s="362">
        <f>'Revenue-Cost_2030'!U94</f>
        <v/>
      </c>
      <c r="F34" s="336" t="n"/>
      <c r="G34" s="363" t="n"/>
      <c r="H34" s="360" t="inlineStr">
        <is>
          <t>HUTANG GAJI</t>
        </is>
      </c>
      <c r="I34" s="361" t="inlineStr">
        <is>
          <t>Rp</t>
        </is>
      </c>
      <c r="J34" s="362" t="n">
        <v>0</v>
      </c>
    </row>
    <row r="35" ht="15" customHeight="1">
      <c r="A35" s="351" t="n"/>
      <c r="B35" s="359" t="n"/>
      <c r="C35" s="360" t="inlineStr">
        <is>
          <t>BBBBB</t>
        </is>
      </c>
      <c r="D35" s="361" t="inlineStr">
        <is>
          <t>Rp</t>
        </is>
      </c>
      <c r="E35" s="362">
        <f>'Revenue-Cost_2030'!V94</f>
        <v/>
      </c>
      <c r="F35" s="336" t="n"/>
      <c r="G35" s="363" t="n"/>
      <c r="H35" s="364" t="inlineStr">
        <is>
          <t>HUTANG PEMEGANG SAHAM</t>
        </is>
      </c>
      <c r="I35" s="361" t="inlineStr">
        <is>
          <t>Rp</t>
        </is>
      </c>
      <c r="J35" s="362" t="n">
        <v>0</v>
      </c>
    </row>
    <row r="36" ht="15" customHeight="1">
      <c r="A36" s="351" t="n"/>
      <c r="B36" s="359" t="n"/>
      <c r="C36" s="360" t="inlineStr">
        <is>
          <t>ASDSAD</t>
        </is>
      </c>
      <c r="D36" s="361" t="inlineStr">
        <is>
          <t>Rp</t>
        </is>
      </c>
      <c r="E36" s="362">
        <f>'Revenue-Cost_2030'!W94</f>
        <v/>
      </c>
      <c r="F36" s="336" t="n"/>
      <c r="G36" s="363" t="n"/>
      <c r="H36" s="364" t="inlineStr">
        <is>
          <t>BIAYA YANG MASIH HARUS DI BAYAR</t>
        </is>
      </c>
      <c r="I36" s="361" t="inlineStr">
        <is>
          <t>Rp</t>
        </is>
      </c>
      <c r="J36" s="362" t="n">
        <v>0</v>
      </c>
    </row>
    <row r="37" ht="15" customHeight="1">
      <c r="A37" s="351" t="n"/>
      <c r="B37" s="359" t="n"/>
      <c r="C37" s="360" t="inlineStr">
        <is>
          <t>DFGDFGDFGD</t>
        </is>
      </c>
      <c r="D37" s="361" t="inlineStr">
        <is>
          <t>Rp</t>
        </is>
      </c>
      <c r="E37" s="362">
        <f>'Revenue-Cost_2030'!X94</f>
        <v/>
      </c>
      <c r="F37" s="336" t="n"/>
      <c r="G37" s="359" t="n"/>
      <c r="H37" s="360" t="n"/>
      <c r="I37" s="361" t="n"/>
      <c r="J37" s="362" t="n"/>
    </row>
    <row r="38" ht="15" customHeight="1">
      <c r="A38" s="351" t="n"/>
      <c r="B38" s="359" t="n"/>
      <c r="C38" s="360" t="inlineStr">
        <is>
          <t>12312</t>
        </is>
      </c>
      <c r="D38" s="361" t="inlineStr">
        <is>
          <t>Rp</t>
        </is>
      </c>
      <c r="E38" s="362">
        <f>'Revenue-Cost_2030'!Y94</f>
        <v/>
      </c>
      <c r="F38" s="336" t="n"/>
      <c r="G38" s="363" t="n"/>
      <c r="H38" s="364" t="inlineStr">
        <is>
          <t>TOTAL HUTANG LANCAR</t>
        </is>
      </c>
      <c r="I38" s="365" t="n"/>
      <c r="J38" s="362">
        <f>SUM(J33:J36)</f>
        <v/>
      </c>
    </row>
    <row r="39" ht="15" customHeight="1">
      <c r="A39" s="351" t="n"/>
      <c r="B39" s="366" t="inlineStr">
        <is>
          <t>TOTAL BIAYA ADMINISTRASI DAN UMUM</t>
        </is>
      </c>
      <c r="C39" s="367" t="n"/>
      <c r="D39" s="368" t="inlineStr">
        <is>
          <t>Rp</t>
        </is>
      </c>
      <c r="E39" s="369">
        <f>SUM(E27:E38)</f>
        <v/>
      </c>
      <c r="F39" s="336" t="n"/>
      <c r="G39" s="370" t="n"/>
      <c r="H39" s="371" t="n"/>
      <c r="I39" s="373" t="n"/>
      <c r="J39" s="369" t="n"/>
    </row>
    <row r="40" ht="15" customHeight="1">
      <c r="A40" s="351" t="n"/>
      <c r="B40" s="359" t="n"/>
      <c r="C40" s="360" t="n"/>
      <c r="D40" s="361" t="n"/>
      <c r="E40" s="362" t="n"/>
      <c r="F40" s="336" t="n"/>
      <c r="G40" s="363" t="inlineStr">
        <is>
          <t>MODAL</t>
        </is>
      </c>
      <c r="H40" s="364" t="n"/>
      <c r="I40" s="365" t="n"/>
      <c r="J40" s="362" t="n"/>
    </row>
    <row r="41" ht="15" customHeight="1">
      <c r="A41" s="351" t="n"/>
      <c r="B41" s="366" t="inlineStr">
        <is>
          <t>TOTAL BIAYA</t>
        </is>
      </c>
      <c r="C41" s="367" t="n"/>
      <c r="D41" s="368" t="inlineStr">
        <is>
          <t>Rp</t>
        </is>
      </c>
      <c r="E41" s="369">
        <f>E20+E24+E39</f>
        <v/>
      </c>
      <c r="F41" s="336" t="n"/>
      <c r="G41" s="370" t="n"/>
      <c r="H41" s="371" t="inlineStr">
        <is>
          <t>MODAL SAHAM</t>
        </is>
      </c>
      <c r="I41" s="368" t="inlineStr">
        <is>
          <t>Rp</t>
        </is>
      </c>
      <c r="J41" s="369" t="n">
        <v>0</v>
      </c>
    </row>
    <row r="42" ht="15" customHeight="1">
      <c r="A42" s="351" t="n"/>
      <c r="B42" s="359" t="n"/>
      <c r="C42" s="360" t="n"/>
      <c r="D42" s="361" t="n"/>
      <c r="E42" s="362" t="n"/>
      <c r="F42" s="336" t="n"/>
      <c r="G42" s="363" t="n"/>
      <c r="H42" s="364" t="inlineStr">
        <is>
          <t>LABA DI TAHAN</t>
        </is>
      </c>
      <c r="I42" s="361" t="inlineStr">
        <is>
          <t>Rp</t>
        </is>
      </c>
      <c r="J42" s="362" t="n">
        <v>0</v>
      </c>
    </row>
    <row r="43" ht="15" customHeight="1">
      <c r="A43" s="351" t="n"/>
      <c r="B43" s="352" t="inlineStr">
        <is>
          <t>PENDAPATAN/BEBAN LAIN LAIN</t>
        </is>
      </c>
      <c r="C43" s="353" t="n"/>
      <c r="D43" s="354" t="n"/>
      <c r="E43" s="355" t="n"/>
      <c r="F43" s="336" t="n"/>
      <c r="G43" s="356" t="n"/>
      <c r="H43" s="357" t="inlineStr">
        <is>
          <t>TOTAL LABA (RUGI) DITAHAN</t>
        </is>
      </c>
      <c r="I43" s="354" t="inlineStr">
        <is>
          <t>Rp</t>
        </is>
      </c>
      <c r="J43" s="355">
        <f>J28-J38-J41-J42</f>
        <v/>
      </c>
    </row>
    <row r="44" ht="15" customHeight="1">
      <c r="A44" s="351" t="n"/>
      <c r="B44" s="359" t="n"/>
      <c r="C44" s="360" t="inlineStr">
        <is>
          <t>PENDAPATAN LAIN LAIN</t>
        </is>
      </c>
      <c r="D44" s="361" t="inlineStr">
        <is>
          <t>Rp</t>
        </is>
      </c>
      <c r="E44" s="362" t="n">
        <v>0</v>
      </c>
      <c r="F44" s="336" t="n"/>
      <c r="G44" s="363" t="n"/>
      <c r="H44" s="364" t="inlineStr">
        <is>
          <t>TOTAL MODAL</t>
        </is>
      </c>
      <c r="I44" s="361" t="inlineStr">
        <is>
          <t>Rp</t>
        </is>
      </c>
      <c r="J44" s="362">
        <f>SUM(J41:J43)</f>
        <v/>
      </c>
    </row>
    <row r="45" ht="15" customHeight="1">
      <c r="A45" s="351" t="n"/>
      <c r="B45" s="359" t="n"/>
      <c r="C45" s="360" t="n"/>
      <c r="D45" s="361" t="n"/>
      <c r="E45" s="362" t="n"/>
      <c r="F45" s="336" t="n"/>
      <c r="G45" s="363" t="n"/>
      <c r="H45" s="364" t="n"/>
      <c r="I45" s="365" t="n"/>
      <c r="J45" s="362" t="n"/>
    </row>
    <row r="46" ht="15" customHeight="1">
      <c r="A46" s="351" t="n"/>
      <c r="B46" s="366" t="inlineStr">
        <is>
          <t>LABA RUGI SEBELUM PAJAK</t>
        </is>
      </c>
      <c r="C46" s="367" t="n"/>
      <c r="D46" s="368" t="inlineStr">
        <is>
          <t>Rp</t>
        </is>
      </c>
      <c r="E46" s="369">
        <f>E12-E41</f>
        <v/>
      </c>
      <c r="F46" s="336" t="n"/>
      <c r="G46" s="370" t="inlineStr">
        <is>
          <t>TOTAL HUTANG DAN MODAL</t>
        </is>
      </c>
      <c r="H46" s="371" t="n"/>
      <c r="I46" s="368" t="inlineStr">
        <is>
          <t>Rp</t>
        </is>
      </c>
      <c r="J46" s="369">
        <f>J44+J38</f>
        <v/>
      </c>
    </row>
    <row r="47" ht="15" customHeight="1">
      <c r="A47" s="351" t="n"/>
      <c r="B47" s="359" t="n"/>
      <c r="C47" s="360" t="n"/>
      <c r="D47" s="361" t="n"/>
      <c r="E47" s="362" t="n"/>
      <c r="F47" s="336" t="n"/>
      <c r="G47" s="359" t="n"/>
      <c r="H47" s="360" t="n"/>
      <c r="I47" s="361" t="n"/>
      <c r="J47" s="362" t="n"/>
    </row>
    <row r="48" ht="15" customHeight="1">
      <c r="A48" s="351" t="n"/>
      <c r="B48" s="366" t="inlineStr">
        <is>
          <t>CORPORATE TAX (PPh 29)</t>
        </is>
      </c>
      <c r="C48" s="367" t="n"/>
      <c r="D48" s="368" t="inlineStr">
        <is>
          <t>Rp</t>
        </is>
      </c>
      <c r="E48" s="369" t="n">
        <v>0</v>
      </c>
      <c r="F48" s="351" t="n"/>
      <c r="G48" s="366" t="n"/>
      <c r="H48" s="367" t="n"/>
      <c r="I48" s="368" t="n"/>
      <c r="J48" s="369" t="n"/>
    </row>
    <row r="49" ht="15" customHeight="1">
      <c r="A49" s="351" t="n"/>
      <c r="B49" s="359" t="n"/>
      <c r="C49" s="360" t="n"/>
      <c r="D49" s="361" t="n"/>
      <c r="E49" s="362" t="n"/>
      <c r="F49" s="351" t="n"/>
      <c r="G49" s="359" t="n"/>
      <c r="H49" s="360" t="n"/>
      <c r="I49" s="361" t="n"/>
      <c r="J49" s="362" t="n"/>
    </row>
    <row r="50" ht="15" customHeight="1">
      <c r="A50" s="351" t="n"/>
      <c r="B50" s="375" t="inlineStr">
        <is>
          <t>LABA / RUGI BERSIH</t>
        </is>
      </c>
      <c r="C50" s="376" t="n"/>
      <c r="D50" s="377" t="inlineStr">
        <is>
          <t>Rp</t>
        </is>
      </c>
      <c r="E50" s="378">
        <f>E46-E48</f>
        <v/>
      </c>
      <c r="F50" s="351" t="n"/>
      <c r="G50" s="375" t="n"/>
      <c r="H50" s="376" t="n"/>
      <c r="I50" s="377" t="n"/>
      <c r="J50" s="378" t="n"/>
    </row>
    <row r="51" ht="14.25" customHeight="1">
      <c r="A51" s="351" t="n"/>
      <c r="B51" s="351" t="n"/>
      <c r="C51" s="351" t="n"/>
      <c r="D51" s="351" t="n"/>
      <c r="E51" s="351" t="n"/>
      <c r="F51" s="351" t="n"/>
      <c r="G51" s="351" t="n"/>
      <c r="H51" s="351" t="n"/>
    </row>
    <row r="52" ht="14.25" customHeight="1">
      <c r="A52" s="351" t="n"/>
      <c r="B52" s="351" t="n"/>
      <c r="C52" s="351" t="n"/>
      <c r="D52" s="351" t="n"/>
      <c r="E52" s="351" t="n"/>
      <c r="F52" s="351" t="n"/>
      <c r="G52" s="351" t="n"/>
      <c r="H52" s="351" t="n"/>
      <c r="J52" s="379" t="n"/>
    </row>
    <row r="53">
      <c r="A53" s="351" t="n"/>
      <c r="B53" s="351" t="n"/>
      <c r="C53" s="351" t="n"/>
      <c r="D53" s="351" t="n"/>
      <c r="E53" s="351" t="n"/>
      <c r="F53" s="351" t="n"/>
      <c r="G53" s="351" t="n"/>
      <c r="H53" s="351" t="n"/>
    </row>
    <row r="54">
      <c r="A54" s="351" t="n"/>
      <c r="B54" s="380" t="inlineStr">
        <is>
          <t>Nama Lengkap</t>
        </is>
      </c>
      <c r="F54" s="351" t="n"/>
      <c r="G54" s="380" t="inlineStr">
        <is>
          <t>Nama Lengkap</t>
        </is>
      </c>
    </row>
    <row r="55">
      <c r="A55" s="351" t="n"/>
      <c r="B55" s="381" t="inlineStr">
        <is>
          <t>Direktur</t>
        </is>
      </c>
      <c r="F55" s="351" t="n"/>
      <c r="G55" s="381" t="inlineStr">
        <is>
          <t>Direktur</t>
        </is>
      </c>
    </row>
    <row r="56">
      <c r="A56" s="351" t="n"/>
      <c r="B56" s="351" t="n"/>
      <c r="C56" s="351" t="n"/>
      <c r="D56" s="351" t="n"/>
      <c r="E56" s="351" t="n"/>
      <c r="F56" s="351" t="n"/>
      <c r="G56" s="351" t="n"/>
      <c r="H56" s="351" t="n"/>
    </row>
    <row r="57">
      <c r="A57" s="351" t="n"/>
      <c r="B57" s="351" t="n"/>
      <c r="C57" s="351" t="n"/>
      <c r="D57" s="351" t="n"/>
      <c r="E57" s="351" t="n"/>
      <c r="F57" s="351" t="n"/>
      <c r="G57" s="351" t="n"/>
      <c r="H57" s="351" t="n"/>
    </row>
    <row r="58">
      <c r="A58" s="351" t="n"/>
      <c r="B58" s="351" t="n"/>
      <c r="C58" s="351" t="n"/>
      <c r="D58" s="351" t="n"/>
      <c r="E58" s="351" t="n"/>
      <c r="F58" s="351" t="n"/>
      <c r="G58" s="351" t="n"/>
      <c r="H58" s="351" t="n"/>
    </row>
    <row r="59">
      <c r="A59" s="351" t="n"/>
      <c r="B59" s="351" t="n"/>
      <c r="C59" s="351" t="n"/>
      <c r="D59" s="351" t="n"/>
      <c r="E59" s="351" t="n"/>
      <c r="F59" s="351" t="n"/>
      <c r="G59" s="351" t="n"/>
      <c r="H59" s="351" t="n"/>
    </row>
    <row r="60">
      <c r="A60" s="351" t="n"/>
      <c r="B60" s="351" t="n"/>
      <c r="C60" s="351" t="n"/>
      <c r="D60" s="351" t="n"/>
      <c r="E60" s="351" t="n"/>
      <c r="F60" s="351" t="n"/>
      <c r="G60" s="351" t="n"/>
      <c r="H60" s="351" t="n"/>
    </row>
    <row r="61">
      <c r="A61" s="351" t="n"/>
      <c r="B61" s="351" t="n"/>
      <c r="C61" s="351" t="n"/>
      <c r="D61" s="351" t="n"/>
      <c r="E61" s="351" t="n"/>
      <c r="F61" s="351" t="n"/>
      <c r="G61" s="351" t="n"/>
      <c r="H61" s="351" t="n"/>
    </row>
    <row r="62">
      <c r="A62" s="351" t="n"/>
      <c r="B62" s="351" t="n"/>
      <c r="C62" s="351" t="n"/>
      <c r="D62" s="351" t="n"/>
      <c r="E62" s="351" t="n"/>
      <c r="F62" s="351" t="n"/>
      <c r="G62" s="351" t="n"/>
      <c r="H62" s="351" t="n"/>
    </row>
    <row r="63">
      <c r="A63" s="351" t="n"/>
      <c r="B63" s="351" t="n"/>
      <c r="C63" s="351" t="n"/>
      <c r="D63" s="351" t="n"/>
      <c r="E63" s="351" t="n"/>
      <c r="F63" s="351" t="n"/>
      <c r="G63" s="351" t="n"/>
      <c r="H63" s="351" t="n"/>
    </row>
    <row r="64">
      <c r="A64" s="351" t="n"/>
      <c r="B64" s="351" t="n"/>
      <c r="C64" s="351" t="n"/>
      <c r="D64" s="351" t="n"/>
      <c r="E64" s="351" t="n"/>
      <c r="F64" s="351" t="n"/>
      <c r="G64" s="351" t="n"/>
      <c r="H64" s="351" t="n"/>
    </row>
    <row r="65">
      <c r="A65" s="351" t="n"/>
      <c r="B65" s="351" t="n"/>
      <c r="C65" s="351" t="n"/>
      <c r="D65" s="351" t="n"/>
      <c r="E65" s="351" t="n"/>
      <c r="F65" s="351" t="n"/>
      <c r="G65" s="351" t="n"/>
      <c r="H65" s="351" t="n"/>
    </row>
    <row r="66">
      <c r="A66" s="351" t="n"/>
      <c r="B66" s="351" t="n"/>
      <c r="C66" s="351" t="n"/>
      <c r="D66" s="351" t="n"/>
      <c r="E66" s="351" t="n"/>
      <c r="F66" s="351" t="n"/>
      <c r="G66" s="351" t="n"/>
      <c r="H66" s="351" t="n"/>
    </row>
    <row r="67">
      <c r="A67" s="351" t="n"/>
      <c r="B67" s="351" t="n"/>
      <c r="C67" s="351" t="n"/>
      <c r="D67" s="351" t="n"/>
      <c r="E67" s="351" t="n"/>
      <c r="F67" s="351" t="n"/>
      <c r="G67" s="351" t="n"/>
      <c r="H67" s="351" t="n"/>
    </row>
    <row r="68">
      <c r="A68" s="351" t="n"/>
      <c r="B68" s="351" t="n"/>
      <c r="C68" s="351" t="n"/>
      <c r="D68" s="351" t="n"/>
      <c r="E68" s="351" t="n"/>
      <c r="F68" s="351" t="n"/>
      <c r="G68" s="351" t="n"/>
      <c r="H68" s="351" t="n"/>
    </row>
    <row r="69">
      <c r="A69" s="351" t="n"/>
      <c r="B69" s="351" t="n"/>
      <c r="C69" s="351" t="n"/>
      <c r="D69" s="351" t="n"/>
      <c r="E69" s="351" t="n"/>
      <c r="F69" s="351" t="n"/>
      <c r="G69" s="351" t="n"/>
      <c r="H69" s="351" t="n"/>
    </row>
    <row r="70">
      <c r="A70" s="351" t="n"/>
      <c r="B70" s="351" t="n"/>
      <c r="C70" s="351" t="n"/>
      <c r="D70" s="351" t="n"/>
      <c r="E70" s="351" t="n"/>
      <c r="F70" s="351" t="n"/>
      <c r="G70" s="351" t="n"/>
      <c r="H70" s="351" t="n"/>
    </row>
    <row r="71">
      <c r="A71" s="351" t="n"/>
      <c r="B71" s="351" t="n"/>
      <c r="C71" s="351" t="n"/>
      <c r="D71" s="351" t="n"/>
      <c r="E71" s="351" t="n"/>
      <c r="F71" s="351" t="n"/>
      <c r="G71" s="351" t="n"/>
      <c r="H71" s="351" t="n"/>
    </row>
    <row r="72">
      <c r="A72" s="351" t="n"/>
      <c r="B72" s="351" t="n"/>
      <c r="C72" s="351" t="n"/>
      <c r="D72" s="351" t="n"/>
      <c r="E72" s="351" t="n"/>
      <c r="F72" s="351" t="n"/>
      <c r="G72" s="351" t="n"/>
      <c r="H72" s="351" t="n"/>
    </row>
    <row r="73">
      <c r="A73" s="351" t="n"/>
      <c r="B73" s="351" t="n"/>
      <c r="C73" s="351" t="n"/>
      <c r="D73" s="351" t="n"/>
      <c r="E73" s="351" t="n"/>
      <c r="F73" s="351" t="n"/>
      <c r="G73" s="351" t="n"/>
      <c r="H73" s="351" t="n"/>
    </row>
    <row r="74">
      <c r="A74" s="351" t="n"/>
      <c r="B74" s="351" t="n"/>
      <c r="C74" s="351" t="n"/>
      <c r="D74" s="351" t="n"/>
      <c r="E74" s="351" t="n"/>
      <c r="F74" s="351" t="n"/>
      <c r="G74" s="351" t="n"/>
      <c r="H74" s="351" t="n"/>
    </row>
    <row r="75">
      <c r="A75" s="351" t="n"/>
      <c r="B75" s="351" t="n"/>
      <c r="C75" s="351" t="n"/>
      <c r="D75" s="351" t="n"/>
      <c r="E75" s="351" t="n"/>
      <c r="F75" s="351" t="n"/>
      <c r="G75" s="351" t="n"/>
      <c r="H75" s="351" t="n"/>
    </row>
    <row r="76">
      <c r="A76" s="351" t="n"/>
      <c r="B76" s="351" t="n"/>
      <c r="C76" s="351" t="n"/>
      <c r="D76" s="351" t="n"/>
      <c r="E76" s="351" t="n"/>
      <c r="F76" s="351" t="n"/>
      <c r="G76" s="351" t="n"/>
      <c r="H76" s="351" t="n"/>
    </row>
    <row r="77">
      <c r="A77" s="351" t="n"/>
      <c r="B77" s="351" t="n"/>
      <c r="C77" s="351" t="n"/>
      <c r="D77" s="351" t="n"/>
      <c r="E77" s="351" t="n"/>
      <c r="F77" s="351" t="n"/>
      <c r="G77" s="351" t="n"/>
      <c r="H77" s="351" t="n"/>
    </row>
    <row r="78">
      <c r="A78" s="351" t="n"/>
      <c r="B78" s="351" t="n"/>
      <c r="C78" s="351" t="n"/>
      <c r="D78" s="351" t="n"/>
      <c r="E78" s="351" t="n"/>
      <c r="F78" s="351" t="n"/>
      <c r="G78" s="351" t="n"/>
      <c r="H78" s="351" t="n"/>
    </row>
    <row r="79">
      <c r="A79" s="351" t="n"/>
      <c r="B79" s="351" t="n"/>
      <c r="C79" s="351" t="n"/>
      <c r="D79" s="351" t="n"/>
      <c r="E79" s="351" t="n"/>
      <c r="F79" s="351" t="n"/>
      <c r="G79" s="351" t="n"/>
      <c r="H79" s="351" t="n"/>
    </row>
    <row r="80">
      <c r="A80" s="351" t="n"/>
      <c r="B80" s="351" t="n"/>
      <c r="C80" s="351" t="n"/>
      <c r="D80" s="351" t="n"/>
      <c r="E80" s="351" t="n"/>
      <c r="F80" s="351" t="n"/>
      <c r="G80" s="351" t="n"/>
      <c r="H80" s="351" t="n"/>
    </row>
    <row r="81">
      <c r="A81" s="351" t="n"/>
      <c r="B81" s="351" t="n"/>
      <c r="C81" s="351" t="n"/>
      <c r="D81" s="351" t="n"/>
      <c r="E81" s="351" t="n"/>
      <c r="F81" s="351" t="n"/>
      <c r="G81" s="351" t="n"/>
      <c r="H81" s="351" t="n"/>
    </row>
    <row r="82">
      <c r="A82" s="351" t="n"/>
      <c r="B82" s="351" t="n"/>
      <c r="C82" s="351" t="n"/>
      <c r="D82" s="351" t="n"/>
      <c r="E82" s="351" t="n"/>
      <c r="F82" s="351" t="n"/>
      <c r="G82" s="351" t="n"/>
      <c r="H82" s="351" t="n"/>
    </row>
    <row r="83">
      <c r="A83" s="351" t="n"/>
      <c r="B83" s="351" t="n"/>
      <c r="C83" s="351" t="n"/>
      <c r="D83" s="351" t="n"/>
      <c r="E83" s="351" t="n"/>
      <c r="F83" s="351" t="n"/>
      <c r="G83" s="351" t="n"/>
      <c r="H83" s="351" t="n"/>
    </row>
    <row r="84">
      <c r="A84" s="351" t="n"/>
      <c r="B84" s="351" t="n"/>
      <c r="C84" s="351" t="n"/>
      <c r="D84" s="351" t="n"/>
      <c r="E84" s="351" t="n"/>
      <c r="F84" s="351" t="n"/>
      <c r="G84" s="351" t="n"/>
      <c r="H84" s="351" t="n"/>
    </row>
    <row r="85">
      <c r="A85" s="351" t="n"/>
      <c r="B85" s="351" t="n"/>
      <c r="C85" s="351" t="n"/>
      <c r="D85" s="351" t="n"/>
      <c r="E85" s="351" t="n"/>
      <c r="F85" s="351" t="n"/>
      <c r="G85" s="351" t="n"/>
      <c r="H85" s="351" t="n"/>
    </row>
    <row r="86">
      <c r="A86" s="351" t="n"/>
      <c r="B86" s="351" t="n"/>
      <c r="C86" s="351" t="n"/>
      <c r="D86" s="351" t="n"/>
      <c r="E86" s="351" t="n"/>
      <c r="F86" s="351" t="n"/>
      <c r="G86" s="351" t="n"/>
      <c r="H86" s="351" t="n"/>
    </row>
    <row r="87">
      <c r="A87" s="351" t="n"/>
      <c r="B87" s="351" t="n"/>
      <c r="C87" s="351" t="n"/>
      <c r="D87" s="351" t="n"/>
      <c r="E87" s="351" t="n"/>
      <c r="F87" s="351" t="n"/>
      <c r="G87" s="351" t="n"/>
      <c r="H87" s="351" t="n"/>
    </row>
    <row r="88">
      <c r="A88" s="351" t="n"/>
      <c r="B88" s="351" t="n"/>
      <c r="C88" s="351" t="n"/>
      <c r="D88" s="351" t="n"/>
      <c r="E88" s="351" t="n"/>
      <c r="F88" s="351" t="n"/>
      <c r="G88" s="351" t="n"/>
      <c r="H88" s="351" t="n"/>
    </row>
    <row r="89">
      <c r="A89" s="351" t="n"/>
      <c r="B89" s="351" t="n"/>
      <c r="C89" s="351" t="n"/>
      <c r="D89" s="351" t="n"/>
      <c r="E89" s="351" t="n"/>
      <c r="F89" s="351" t="n"/>
      <c r="G89" s="351" t="n"/>
      <c r="H89" s="351" t="n"/>
    </row>
    <row r="90">
      <c r="A90" s="351" t="n"/>
      <c r="B90" s="351" t="n"/>
      <c r="C90" s="351" t="n"/>
      <c r="D90" s="351" t="n"/>
      <c r="E90" s="351" t="n"/>
      <c r="F90" s="351" t="n"/>
      <c r="G90" s="351" t="n"/>
      <c r="H90" s="351" t="n"/>
    </row>
    <row r="91">
      <c r="A91" s="351" t="n"/>
      <c r="B91" s="351" t="n"/>
      <c r="C91" s="351" t="n"/>
      <c r="D91" s="351" t="n"/>
      <c r="E91" s="351" t="n"/>
      <c r="F91" s="351" t="n"/>
      <c r="G91" s="351" t="n"/>
      <c r="H91" s="351" t="n"/>
    </row>
    <row r="92">
      <c r="A92" s="351" t="n"/>
      <c r="B92" s="351" t="n"/>
      <c r="C92" s="351" t="n"/>
      <c r="D92" s="351" t="n"/>
      <c r="E92" s="351" t="n"/>
      <c r="F92" s="351" t="n"/>
      <c r="G92" s="351" t="n"/>
      <c r="H92" s="351" t="n"/>
    </row>
    <row r="93">
      <c r="A93" s="351" t="n"/>
      <c r="B93" s="351" t="n"/>
      <c r="C93" s="351" t="n"/>
      <c r="D93" s="351" t="n"/>
      <c r="E93" s="351" t="n"/>
      <c r="F93" s="351" t="n"/>
      <c r="G93" s="351" t="n"/>
      <c r="H93" s="351" t="n"/>
    </row>
    <row r="94">
      <c r="A94" s="351" t="n"/>
      <c r="B94" s="351" t="n"/>
      <c r="C94" s="351" t="n"/>
      <c r="D94" s="351" t="n"/>
      <c r="E94" s="351" t="n"/>
      <c r="F94" s="351" t="n"/>
      <c r="G94" s="351" t="n"/>
      <c r="H94" s="351" t="n"/>
    </row>
    <row r="95">
      <c r="A95" s="351" t="n"/>
      <c r="B95" s="351" t="n"/>
      <c r="C95" s="351" t="n"/>
      <c r="D95" s="351" t="n"/>
      <c r="E95" s="351" t="n"/>
      <c r="F95" s="351" t="n"/>
      <c r="G95" s="351" t="n"/>
      <c r="H95" s="351" t="n"/>
    </row>
    <row r="96" ht="64.5" customHeight="1">
      <c r="A96" s="351" t="n"/>
      <c r="B96" s="351" t="n"/>
      <c r="C96" s="351" t="n"/>
      <c r="D96" s="351" t="n"/>
      <c r="E96" s="351" t="n"/>
      <c r="F96" s="351" t="n"/>
      <c r="G96" s="351" t="n"/>
      <c r="H96" s="351" t="n"/>
    </row>
    <row r="97">
      <c r="A97" s="351" t="n"/>
      <c r="B97" s="351" t="n"/>
      <c r="C97" s="351" t="n"/>
      <c r="D97" s="351" t="n"/>
      <c r="E97" s="351" t="n"/>
      <c r="F97" s="351" t="n"/>
      <c r="G97" s="351" t="n"/>
      <c r="H97" s="351" t="n"/>
    </row>
    <row r="98">
      <c r="A98" s="351" t="n"/>
      <c r="B98" s="351" t="n"/>
      <c r="C98" s="351" t="n"/>
      <c r="D98" s="351" t="n"/>
      <c r="E98" s="351" t="n"/>
      <c r="F98" s="351" t="n"/>
      <c r="G98" s="351" t="n"/>
      <c r="H98" s="351" t="n"/>
    </row>
    <row r="99">
      <c r="A99" s="351" t="n"/>
      <c r="B99" s="351" t="n"/>
      <c r="C99" s="351" t="n"/>
      <c r="D99" s="351" t="n"/>
      <c r="E99" s="351" t="n"/>
      <c r="F99" s="351" t="n"/>
      <c r="G99" s="351" t="n"/>
      <c r="H99" s="351" t="n"/>
    </row>
    <row r="100">
      <c r="A100" s="351" t="n"/>
      <c r="B100" s="351" t="n"/>
      <c r="C100" s="351" t="n"/>
      <c r="D100" s="351" t="n"/>
      <c r="E100" s="351" t="n"/>
      <c r="F100" s="351" t="n"/>
      <c r="G100" s="351" t="n"/>
      <c r="H100" s="351" t="n"/>
    </row>
    <row r="101">
      <c r="A101" s="351" t="n"/>
      <c r="B101" s="351" t="n"/>
      <c r="C101" s="351" t="n"/>
      <c r="D101" s="351" t="n"/>
      <c r="E101" s="351" t="n"/>
      <c r="F101" s="351" t="n"/>
      <c r="G101" s="351" t="n"/>
      <c r="H101" s="351" t="n"/>
    </row>
    <row r="102">
      <c r="A102" s="351" t="n"/>
      <c r="B102" s="351" t="n"/>
      <c r="C102" s="351" t="n"/>
      <c r="D102" s="351" t="n"/>
      <c r="E102" s="351" t="n"/>
      <c r="F102" s="351" t="n"/>
      <c r="G102" s="351" t="n"/>
      <c r="H102" s="351" t="n"/>
    </row>
    <row r="103">
      <c r="A103" s="351" t="n"/>
      <c r="B103" s="351" t="n"/>
      <c r="C103" s="351" t="n"/>
      <c r="D103" s="351" t="n"/>
      <c r="E103" s="351" t="n"/>
      <c r="F103" s="351" t="n"/>
      <c r="G103" s="351" t="n"/>
      <c r="H103" s="351" t="n"/>
    </row>
    <row r="104">
      <c r="A104" s="351" t="n"/>
      <c r="B104" s="351" t="n"/>
      <c r="C104" s="351" t="n"/>
      <c r="D104" s="351" t="n"/>
      <c r="E104" s="351" t="n"/>
      <c r="F104" s="351" t="n"/>
      <c r="G104" s="351" t="n"/>
      <c r="H104" s="351" t="n"/>
    </row>
    <row r="105">
      <c r="A105" s="351" t="n"/>
      <c r="B105" s="351" t="n"/>
      <c r="C105" s="351" t="n"/>
      <c r="D105" s="351" t="n"/>
      <c r="E105" s="351" t="n"/>
      <c r="F105" s="351" t="n"/>
      <c r="G105" s="351" t="n"/>
      <c r="H105" s="351" t="n"/>
    </row>
    <row r="106">
      <c r="A106" s="351" t="n"/>
      <c r="B106" s="351" t="n"/>
      <c r="C106" s="351" t="n"/>
      <c r="D106" s="351" t="n"/>
      <c r="E106" s="351" t="n"/>
      <c r="F106" s="351" t="n"/>
      <c r="G106" s="351" t="n"/>
      <c r="H106" s="351" t="n"/>
    </row>
    <row r="107">
      <c r="A107" s="351" t="n"/>
      <c r="B107" s="351" t="n"/>
      <c r="C107" s="351" t="n"/>
      <c r="D107" s="351" t="n"/>
      <c r="E107" s="351" t="n"/>
      <c r="F107" s="351" t="n"/>
      <c r="G107" s="351" t="n"/>
      <c r="H107" s="351" t="n"/>
    </row>
    <row r="108">
      <c r="A108" s="351" t="n"/>
      <c r="B108" s="351" t="n"/>
      <c r="C108" s="351" t="n"/>
      <c r="D108" s="351" t="n"/>
      <c r="E108" s="351" t="n"/>
      <c r="F108" s="351" t="n"/>
      <c r="G108" s="351" t="n"/>
      <c r="H108" s="351" t="n"/>
    </row>
    <row r="109">
      <c r="A109" s="351" t="n"/>
      <c r="B109" s="351" t="n"/>
      <c r="C109" s="351" t="n"/>
      <c r="D109" s="351" t="n"/>
      <c r="E109" s="351" t="n"/>
      <c r="F109" s="351" t="n"/>
      <c r="G109" s="351" t="n"/>
      <c r="H109" s="351" t="n"/>
    </row>
    <row r="110">
      <c r="A110" s="351" t="n"/>
      <c r="B110" s="351" t="n"/>
      <c r="C110" s="351" t="n"/>
      <c r="D110" s="351" t="n"/>
      <c r="E110" s="351" t="n"/>
      <c r="F110" s="351" t="n"/>
      <c r="G110" s="351" t="n"/>
      <c r="H110" s="351" t="n"/>
    </row>
    <row r="111">
      <c r="A111" s="351" t="n"/>
      <c r="B111" s="351" t="n"/>
      <c r="C111" s="351" t="n"/>
      <c r="D111" s="351" t="n"/>
      <c r="E111" s="351" t="n"/>
      <c r="F111" s="351" t="n"/>
      <c r="G111" s="351" t="n"/>
      <c r="H111" s="351" t="n"/>
    </row>
    <row r="112">
      <c r="A112" s="351" t="n"/>
      <c r="B112" s="351" t="n"/>
      <c r="C112" s="351" t="n"/>
      <c r="D112" s="351" t="n"/>
      <c r="E112" s="351" t="n"/>
      <c r="F112" s="351" t="n"/>
      <c r="G112" s="351" t="n"/>
      <c r="H112" s="351" t="n"/>
    </row>
    <row r="113">
      <c r="A113" s="351" t="n"/>
      <c r="B113" s="351" t="n"/>
      <c r="C113" s="351" t="n"/>
      <c r="D113" s="351" t="n"/>
      <c r="E113" s="351" t="n"/>
      <c r="F113" s="351" t="n"/>
      <c r="G113" s="351" t="n"/>
      <c r="H113" s="351" t="n"/>
    </row>
    <row r="114">
      <c r="A114" s="351" t="n"/>
      <c r="B114" s="351" t="n"/>
      <c r="C114" s="351" t="n"/>
      <c r="D114" s="351" t="n"/>
      <c r="E114" s="351" t="n"/>
      <c r="F114" s="351" t="n"/>
      <c r="G114" s="351" t="n"/>
      <c r="H114" s="351" t="n"/>
    </row>
    <row r="115">
      <c r="A115" s="351" t="n"/>
      <c r="B115" s="351" t="n"/>
      <c r="C115" s="351" t="n"/>
      <c r="D115" s="351" t="n"/>
      <c r="E115" s="351" t="n"/>
      <c r="F115" s="351" t="n"/>
      <c r="G115" s="351" t="n"/>
      <c r="H115" s="351" t="n"/>
    </row>
    <row r="116">
      <c r="A116" s="351" t="n"/>
      <c r="B116" s="351" t="n"/>
      <c r="C116" s="351" t="n"/>
      <c r="D116" s="351" t="n"/>
      <c r="E116" s="351" t="n"/>
      <c r="F116" s="351" t="n"/>
      <c r="G116" s="351" t="n"/>
      <c r="H116" s="351" t="n"/>
    </row>
    <row r="117">
      <c r="A117" s="351" t="n"/>
      <c r="B117" s="351" t="n"/>
      <c r="C117" s="351" t="n"/>
      <c r="D117" s="351" t="n"/>
      <c r="E117" s="351" t="n"/>
      <c r="F117" s="351" t="n"/>
      <c r="G117" s="351" t="n"/>
      <c r="H117" s="351" t="n"/>
    </row>
    <row r="118">
      <c r="A118" s="351" t="n"/>
      <c r="B118" s="351" t="n"/>
      <c r="C118" s="351" t="n"/>
      <c r="D118" s="351" t="n"/>
      <c r="E118" s="351" t="n"/>
      <c r="F118" s="351" t="n"/>
      <c r="G118" s="351" t="n"/>
      <c r="H118" s="351" t="n"/>
    </row>
    <row r="119">
      <c r="A119" s="351" t="n"/>
      <c r="B119" s="351" t="n"/>
      <c r="C119" s="351" t="n"/>
      <c r="D119" s="351" t="n"/>
      <c r="E119" s="351" t="n"/>
      <c r="F119" s="351" t="n"/>
      <c r="G119" s="351" t="n"/>
      <c r="H119" s="351" t="n"/>
    </row>
    <row r="120">
      <c r="A120" s="351" t="n"/>
      <c r="B120" s="351" t="n"/>
      <c r="C120" s="351" t="n"/>
      <c r="D120" s="351" t="n"/>
      <c r="E120" s="351" t="n"/>
      <c r="F120" s="351" t="n"/>
      <c r="G120" s="351" t="n"/>
      <c r="H120" s="351" t="n"/>
    </row>
    <row r="121">
      <c r="A121" s="351" t="n"/>
      <c r="B121" s="351" t="n"/>
      <c r="C121" s="351" t="n"/>
      <c r="D121" s="351" t="n"/>
      <c r="E121" s="351" t="n"/>
      <c r="F121" s="351" t="n"/>
      <c r="G121" s="351" t="n"/>
      <c r="H121" s="351" t="n"/>
    </row>
    <row r="122">
      <c r="A122" s="351" t="n"/>
      <c r="B122" s="351" t="n"/>
      <c r="C122" s="351" t="n"/>
      <c r="D122" s="351" t="n"/>
      <c r="E122" s="351" t="n"/>
      <c r="F122" s="351" t="n"/>
      <c r="G122" s="351" t="n"/>
      <c r="H122" s="351" t="n"/>
    </row>
    <row r="123">
      <c r="A123" s="351" t="n"/>
      <c r="B123" s="351" t="n"/>
      <c r="C123" s="351" t="n"/>
      <c r="D123" s="351" t="n"/>
      <c r="E123" s="351" t="n"/>
      <c r="F123" s="351" t="n"/>
      <c r="G123" s="351" t="n"/>
      <c r="H123" s="351" t="n"/>
    </row>
    <row r="124">
      <c r="A124" s="351" t="n"/>
      <c r="B124" s="351" t="n"/>
      <c r="C124" s="351" t="n"/>
      <c r="D124" s="351" t="n"/>
      <c r="E124" s="351" t="n"/>
      <c r="F124" s="351" t="n"/>
      <c r="G124" s="351" t="n"/>
      <c r="H124" s="351" t="n"/>
    </row>
    <row r="125">
      <c r="A125" s="351" t="n"/>
      <c r="B125" s="351" t="n"/>
      <c r="C125" s="351" t="n"/>
      <c r="D125" s="351" t="n"/>
      <c r="E125" s="351" t="n"/>
      <c r="F125" s="351" t="n"/>
      <c r="G125" s="351" t="n"/>
      <c r="H125" s="351" t="n"/>
    </row>
    <row r="126">
      <c r="A126" s="351" t="n"/>
      <c r="B126" s="351" t="n"/>
      <c r="C126" s="351" t="n"/>
      <c r="D126" s="351" t="n"/>
      <c r="E126" s="351" t="n"/>
      <c r="F126" s="351" t="n"/>
      <c r="G126" s="351" t="n"/>
      <c r="H126" s="351" t="n"/>
    </row>
    <row r="127">
      <c r="A127" s="351" t="n"/>
      <c r="B127" s="351" t="n"/>
      <c r="C127" s="351" t="n"/>
      <c r="D127" s="351" t="n"/>
      <c r="E127" s="351" t="n"/>
      <c r="F127" s="351" t="n"/>
      <c r="G127" s="351" t="n"/>
      <c r="H127" s="351" t="n"/>
    </row>
    <row r="128">
      <c r="A128" s="351" t="n"/>
      <c r="B128" s="351" t="n"/>
      <c r="C128" s="351" t="n"/>
      <c r="D128" s="351" t="n"/>
      <c r="E128" s="351" t="n"/>
      <c r="F128" s="351" t="n"/>
      <c r="G128" s="351" t="n"/>
      <c r="H128" s="351" t="n"/>
    </row>
    <row r="129">
      <c r="A129" s="351" t="n"/>
      <c r="B129" s="351" t="n"/>
      <c r="C129" s="351" t="n"/>
      <c r="D129" s="351" t="n"/>
      <c r="E129" s="351" t="n"/>
      <c r="F129" s="351" t="n"/>
      <c r="G129" s="351" t="n"/>
      <c r="H129" s="351" t="n"/>
    </row>
    <row r="130">
      <c r="A130" s="351" t="n"/>
      <c r="B130" s="351" t="n"/>
      <c r="C130" s="351" t="n"/>
      <c r="D130" s="351" t="n"/>
      <c r="E130" s="351" t="n"/>
      <c r="F130" s="351" t="n"/>
      <c r="G130" s="351" t="n"/>
      <c r="H130" s="351" t="n"/>
    </row>
    <row r="131">
      <c r="A131" s="351" t="n"/>
      <c r="B131" s="351" t="n"/>
      <c r="C131" s="351" t="n"/>
      <c r="D131" s="351" t="n"/>
      <c r="E131" s="351" t="n"/>
      <c r="F131" s="351" t="n"/>
      <c r="G131" s="351" t="n"/>
      <c r="H131" s="351" t="n"/>
    </row>
    <row r="132">
      <c r="A132" s="351" t="n"/>
      <c r="B132" s="351" t="n"/>
      <c r="C132" s="351" t="n"/>
      <c r="D132" s="351" t="n"/>
      <c r="E132" s="351" t="n"/>
      <c r="F132" s="351" t="n"/>
      <c r="G132" s="351" t="n"/>
      <c r="H132" s="351" t="n"/>
    </row>
    <row r="133">
      <c r="A133" s="351" t="n"/>
      <c r="B133" s="351" t="n"/>
      <c r="C133" s="351" t="n"/>
      <c r="D133" s="351" t="n"/>
      <c r="E133" s="351" t="n"/>
      <c r="F133" s="351" t="n"/>
      <c r="G133" s="351" t="n"/>
      <c r="H133" s="351" t="n"/>
    </row>
    <row r="134">
      <c r="A134" s="351" t="n"/>
      <c r="B134" s="351" t="n"/>
      <c r="C134" s="351" t="n"/>
      <c r="D134" s="351" t="n"/>
      <c r="E134" s="351" t="n"/>
      <c r="F134" s="351" t="n"/>
      <c r="G134" s="351" t="n"/>
      <c r="H134" s="351" t="n"/>
    </row>
    <row r="135">
      <c r="A135" s="351" t="n"/>
      <c r="B135" s="351" t="n"/>
      <c r="C135" s="351" t="n"/>
      <c r="D135" s="351" t="n"/>
      <c r="E135" s="351" t="n"/>
      <c r="F135" s="351" t="n"/>
      <c r="G135" s="351" t="n"/>
      <c r="H135" s="351" t="n"/>
    </row>
    <row r="136">
      <c r="A136" s="351" t="n"/>
      <c r="B136" s="351" t="n"/>
      <c r="C136" s="351" t="n"/>
      <c r="D136" s="351" t="n"/>
      <c r="E136" s="351" t="n"/>
      <c r="F136" s="351" t="n"/>
      <c r="G136" s="351" t="n"/>
      <c r="H136" s="351" t="n"/>
    </row>
    <row r="137">
      <c r="A137" s="351" t="n"/>
      <c r="B137" s="351" t="n"/>
      <c r="C137" s="351" t="n"/>
      <c r="D137" s="351" t="n"/>
      <c r="E137" s="351" t="n"/>
      <c r="F137" s="351" t="n"/>
      <c r="G137" s="351" t="n"/>
      <c r="H137" s="351" t="n"/>
    </row>
    <row r="138">
      <c r="A138" s="351" t="n"/>
      <c r="B138" s="351" t="n"/>
      <c r="C138" s="351" t="n"/>
      <c r="D138" s="351" t="n"/>
      <c r="E138" s="351" t="n"/>
      <c r="F138" s="351" t="n"/>
      <c r="G138" s="351" t="n"/>
      <c r="H138" s="351" t="n"/>
    </row>
    <row r="139">
      <c r="A139" s="351" t="n"/>
      <c r="B139" s="351" t="n"/>
      <c r="C139" s="351" t="n"/>
      <c r="D139" s="351" t="n"/>
      <c r="E139" s="351" t="n"/>
      <c r="F139" s="351" t="n"/>
      <c r="G139" s="351" t="n"/>
      <c r="H139" s="351" t="n"/>
    </row>
    <row r="140">
      <c r="A140" s="351" t="n"/>
      <c r="B140" s="351" t="n"/>
      <c r="C140" s="351" t="n"/>
      <c r="D140" s="351" t="n"/>
      <c r="E140" s="351" t="n"/>
      <c r="F140" s="351" t="n"/>
      <c r="G140" s="351" t="n"/>
      <c r="H140" s="351" t="n"/>
    </row>
    <row r="141">
      <c r="A141" s="351" t="n"/>
      <c r="B141" s="351" t="n"/>
      <c r="C141" s="351" t="n"/>
      <c r="D141" s="351" t="n"/>
      <c r="E141" s="351" t="n"/>
      <c r="F141" s="351" t="n"/>
      <c r="G141" s="351" t="n"/>
      <c r="H141" s="351" t="n"/>
    </row>
    <row r="142">
      <c r="A142" s="351" t="n"/>
      <c r="B142" s="351" t="n"/>
      <c r="C142" s="351" t="n"/>
      <c r="D142" s="351" t="n"/>
      <c r="E142" s="351" t="n"/>
      <c r="F142" s="351" t="n"/>
      <c r="G142" s="351" t="n"/>
      <c r="H142" s="351" t="n"/>
    </row>
    <row r="143">
      <c r="A143" s="351" t="n"/>
      <c r="B143" s="351" t="n"/>
      <c r="C143" s="351" t="n"/>
      <c r="D143" s="351" t="n"/>
      <c r="E143" s="351" t="n"/>
      <c r="F143" s="351" t="n"/>
      <c r="G143" s="351" t="n"/>
      <c r="H143" s="351" t="n"/>
    </row>
    <row r="144">
      <c r="A144" s="351" t="n"/>
      <c r="B144" s="351" t="n"/>
      <c r="C144" s="351" t="n"/>
      <c r="D144" s="351" t="n"/>
      <c r="E144" s="351" t="n"/>
      <c r="F144" s="351" t="n"/>
      <c r="G144" s="351" t="n"/>
      <c r="H144" s="351" t="n"/>
    </row>
    <row r="145">
      <c r="A145" s="351" t="n"/>
      <c r="B145" s="351" t="n"/>
      <c r="C145" s="351" t="n"/>
      <c r="D145" s="351" t="n"/>
      <c r="E145" s="351" t="n"/>
      <c r="F145" s="351" t="n"/>
      <c r="G145" s="351" t="n"/>
      <c r="H145" s="351" t="n"/>
    </row>
    <row r="146">
      <c r="A146" s="351" t="n"/>
      <c r="B146" s="351" t="n"/>
      <c r="C146" s="351" t="n"/>
      <c r="D146" s="351" t="n"/>
      <c r="E146" s="351" t="n"/>
      <c r="F146" s="351" t="n"/>
      <c r="G146" s="351" t="n"/>
      <c r="H146" s="351" t="n"/>
    </row>
    <row r="147">
      <c r="A147" s="351" t="n"/>
      <c r="B147" s="351" t="n"/>
      <c r="C147" s="351" t="n"/>
      <c r="D147" s="351" t="n"/>
      <c r="E147" s="351" t="n"/>
      <c r="F147" s="351" t="n"/>
      <c r="G147" s="351" t="n"/>
      <c r="H147" s="351" t="n"/>
    </row>
    <row r="148">
      <c r="A148" s="351" t="n"/>
      <c r="B148" s="351" t="n"/>
      <c r="C148" s="351" t="n"/>
      <c r="D148" s="351" t="n"/>
      <c r="E148" s="351" t="n"/>
      <c r="F148" s="351" t="n"/>
      <c r="G148" s="351" t="n"/>
      <c r="H148" s="351" t="n"/>
    </row>
    <row r="149">
      <c r="A149" s="351" t="n"/>
      <c r="B149" s="351" t="n"/>
      <c r="C149" s="351" t="n"/>
      <c r="D149" s="351" t="n"/>
      <c r="E149" s="351" t="n"/>
      <c r="F149" s="351" t="n"/>
      <c r="G149" s="351" t="n"/>
      <c r="H149" s="351" t="n"/>
    </row>
    <row r="150">
      <c r="A150" s="351" t="n"/>
      <c r="B150" s="351" t="n"/>
      <c r="C150" s="351" t="n"/>
      <c r="D150" s="351" t="n"/>
      <c r="E150" s="351" t="n"/>
      <c r="F150" s="351" t="n"/>
      <c r="G150" s="351" t="n"/>
      <c r="H150" s="351" t="n"/>
    </row>
  </sheetData>
  <mergeCells count="10">
    <mergeCell ref="D6:E6"/>
    <mergeCell ref="D7:E7"/>
    <mergeCell ref="B4:E4"/>
    <mergeCell ref="I6:J6"/>
    <mergeCell ref="G55:J55"/>
    <mergeCell ref="I7:J7"/>
    <mergeCell ref="B54:E54"/>
    <mergeCell ref="B55:E55"/>
    <mergeCell ref="G54:J54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33" t="n"/>
      <c r="B1" s="333" t="n"/>
      <c r="C1" s="333" t="n"/>
      <c r="D1" s="333" t="n"/>
      <c r="E1" s="334" t="n"/>
    </row>
    <row r="2" ht="37.25" customHeight="1">
      <c r="A2" s="333" t="n"/>
      <c r="B2" s="333" t="n"/>
      <c r="C2" s="333" t="n"/>
      <c r="D2" s="333" t="n"/>
      <c r="E2" s="334" t="n"/>
    </row>
    <row r="3" ht="33.6" customHeight="1">
      <c r="A3" s="333" t="n"/>
      <c r="B3" s="335" t="inlineStr">
        <is>
          <t>PT. EXSPAN WIRELINE INDONESIA</t>
        </is>
      </c>
      <c r="F3" s="336" t="n"/>
    </row>
    <row r="4" ht="20.45" customHeight="1">
      <c r="A4" s="333" t="n"/>
      <c r="B4" s="338" t="inlineStr">
        <is>
          <t>BUSINESS SUMMARY | TAHUN 2030</t>
        </is>
      </c>
      <c r="F4" s="336" t="n"/>
    </row>
    <row r="5" ht="6" customHeight="1">
      <c r="A5" s="333" t="n"/>
      <c r="B5" s="333" t="n"/>
      <c r="C5" s="333" t="n"/>
      <c r="D5" s="333" t="n"/>
      <c r="E5" s="334" t="n"/>
      <c r="F5" s="336" t="n"/>
    </row>
    <row r="6" ht="20" customHeight="1">
      <c r="A6" s="333" t="n"/>
      <c r="B6" s="382" t="inlineStr">
        <is>
          <t>#</t>
        </is>
      </c>
      <c r="C6" s="382" t="inlineStr">
        <is>
          <t>Items</t>
        </is>
      </c>
      <c r="D6" s="383" t="inlineStr">
        <is>
          <t>Amount</t>
        </is>
      </c>
      <c r="E6" s="227" t="n"/>
      <c r="F6" s="336" t="n"/>
    </row>
    <row r="7" ht="20" customHeight="1">
      <c r="A7" s="333" t="n"/>
      <c r="B7" s="384" t="n">
        <v>1</v>
      </c>
      <c r="C7" s="385" t="inlineStr">
        <is>
          <t>Revenue</t>
        </is>
      </c>
      <c r="D7" s="386" t="inlineStr">
        <is>
          <t>Rp</t>
        </is>
      </c>
      <c r="E7" s="387">
        <f>SUM('Revenue-Cost_2030'!L8:L8)</f>
        <v/>
      </c>
      <c r="F7" s="336" t="n"/>
    </row>
    <row r="8" ht="20" customHeight="1">
      <c r="A8" s="333" t="n"/>
      <c r="B8" s="384" t="n">
        <v>2</v>
      </c>
      <c r="C8" s="385" t="inlineStr">
        <is>
          <t>Revenue Diterima (Setelah Pajak)</t>
        </is>
      </c>
      <c r="D8" s="386" t="inlineStr">
        <is>
          <t>Rp</t>
        </is>
      </c>
      <c r="E8" s="387">
        <f>E7-SUM('Revenue-Cost_2030'!N8:N8)</f>
        <v/>
      </c>
      <c r="F8" s="336" t="n"/>
    </row>
    <row r="9" ht="20" customHeight="1">
      <c r="A9" s="333" t="n"/>
      <c r="B9" s="384" t="n">
        <v>3</v>
      </c>
      <c r="C9" s="385" t="inlineStr">
        <is>
          <t>Biaya</t>
        </is>
      </c>
      <c r="D9" s="386" t="inlineStr">
        <is>
          <t>Rp</t>
        </is>
      </c>
      <c r="E9" s="387">
        <f>SUM('Revenue-Cost_2030'!I94:Y94)</f>
        <v/>
      </c>
      <c r="F9" s="336" t="n"/>
    </row>
    <row r="10" ht="20" customHeight="1">
      <c r="A10" s="333" t="n"/>
      <c r="B10" s="384" t="n">
        <v>4</v>
      </c>
      <c r="C10" s="385" t="inlineStr">
        <is>
          <t>Profit SebelumTax</t>
        </is>
      </c>
      <c r="D10" s="386" t="inlineStr">
        <is>
          <t>Rp</t>
        </is>
      </c>
      <c r="E10" s="387">
        <f>E7-E9</f>
        <v/>
      </c>
      <c r="F10" s="336" t="n"/>
    </row>
    <row r="11" ht="20" customHeight="1">
      <c r="A11" s="333" t="n"/>
      <c r="B11" s="384" t="n">
        <v>5</v>
      </c>
      <c r="C11" s="385" t="inlineStr">
        <is>
          <t>PPh Badan (22%*50%)</t>
        </is>
      </c>
      <c r="D11" s="386" t="inlineStr">
        <is>
          <t>Rp</t>
        </is>
      </c>
      <c r="E11" s="387">
        <f>E10*22%*50%</f>
        <v/>
      </c>
      <c r="F11" s="336" t="n"/>
    </row>
    <row r="12" ht="20" customHeight="1">
      <c r="A12" s="333" t="n"/>
      <c r="B12" s="384" t="n">
        <v>6</v>
      </c>
      <c r="C12" s="385" t="inlineStr">
        <is>
          <t>PPh 23 Dipotong oleh client</t>
        </is>
      </c>
      <c r="D12" s="386" t="inlineStr">
        <is>
          <t>Rp</t>
        </is>
      </c>
      <c r="E12" s="387">
        <f>SUM('Revenue-Cost_2030'!N8:N8)</f>
        <v/>
      </c>
      <c r="F12" s="336" t="n"/>
    </row>
    <row r="13" ht="20" customHeight="1">
      <c r="A13" s="333" t="n"/>
      <c r="B13" s="384" t="n">
        <v>7</v>
      </c>
      <c r="C13" s="385" t="inlineStr">
        <is>
          <t>Kekurangan Bayar PPh Badan</t>
        </is>
      </c>
      <c r="D13" s="386" t="inlineStr">
        <is>
          <t>Rp</t>
        </is>
      </c>
      <c r="E13" s="388">
        <f>E11-E12</f>
        <v/>
      </c>
      <c r="F13" s="336" t="n"/>
    </row>
    <row r="14" ht="20" customHeight="1">
      <c r="A14" s="333" t="n"/>
      <c r="B14" s="384" t="n">
        <v>8</v>
      </c>
      <c r="C14" s="385" t="inlineStr">
        <is>
          <t>Profit After Tax</t>
        </is>
      </c>
      <c r="D14" s="386" t="inlineStr">
        <is>
          <t>Rp</t>
        </is>
      </c>
      <c r="E14" s="387">
        <f>E10-E13</f>
        <v/>
      </c>
      <c r="F14" s="336" t="n"/>
    </row>
    <row r="15" ht="20" customHeight="1">
      <c r="A15" s="333" t="n"/>
      <c r="B15" s="384" t="n">
        <v>9</v>
      </c>
      <c r="C15" s="385" t="inlineStr">
        <is>
          <t>Deviden Dibagi</t>
        </is>
      </c>
      <c r="D15" s="386" t="inlineStr">
        <is>
          <t>Rp</t>
        </is>
      </c>
      <c r="E15" s="387">
        <f>E14-E16</f>
        <v/>
      </c>
      <c r="F15" s="336" t="n"/>
    </row>
    <row r="16" ht="20" customHeight="1">
      <c r="A16" s="333" t="n"/>
      <c r="B16" s="384" t="n">
        <v>10</v>
      </c>
      <c r="C16" s="385" t="inlineStr">
        <is>
          <t>Profit Ditahan</t>
        </is>
      </c>
      <c r="D16" s="386" t="inlineStr">
        <is>
          <t>Rp</t>
        </is>
      </c>
      <c r="E16" s="387" t="n">
        <v>0</v>
      </c>
      <c r="F16" s="336" t="n"/>
    </row>
    <row r="17" ht="13.9" customHeight="1">
      <c r="A17" s="333" t="n"/>
      <c r="B17" s="333" t="n"/>
      <c r="C17" s="333" t="n"/>
      <c r="D17" s="333" t="n"/>
      <c r="E17" s="334" t="n"/>
      <c r="F17" s="336" t="n"/>
    </row>
    <row r="18" ht="17.65" customHeight="1">
      <c r="A18" s="333" t="n"/>
      <c r="B18" s="389" t="inlineStr">
        <is>
          <t>DEVIDEN</t>
        </is>
      </c>
      <c r="F18" s="336" t="n"/>
    </row>
    <row r="19" ht="20" customHeight="1">
      <c r="A19" s="333" t="n"/>
      <c r="B19" s="390" t="inlineStr">
        <is>
          <t>#</t>
        </is>
      </c>
      <c r="C19" s="390" t="inlineStr">
        <is>
          <t>Nama Lengkap</t>
        </is>
      </c>
      <c r="D19" s="391" t="inlineStr">
        <is>
          <t>Rp</t>
        </is>
      </c>
      <c r="E19" s="392" t="inlineStr">
        <is>
          <t>Amount</t>
        </is>
      </c>
      <c r="F19" s="336" t="n"/>
      <c r="G19" s="393" t="inlineStr"/>
    </row>
    <row r="20" ht="18" customHeight="1">
      <c r="A20" s="333" t="n"/>
      <c r="B20" s="394" t="n"/>
      <c r="C20" s="395" t="n"/>
      <c r="D20" s="396" t="n"/>
      <c r="E20" s="397" t="n"/>
      <c r="F20" s="398" t="n"/>
      <c r="G20" s="399" t="n"/>
    </row>
    <row r="21" ht="48.75" customHeight="1">
      <c r="A21" s="400" t="n"/>
      <c r="B21" s="401" t="n"/>
      <c r="C21" s="401" t="n"/>
      <c r="D21" s="401" t="n"/>
      <c r="E21" s="401" t="n"/>
      <c r="F21" s="398" t="n"/>
      <c r="G21" s="401" t="n"/>
    </row>
    <row r="22" ht="14.25" customHeight="1">
      <c r="A22" s="400" t="n"/>
      <c r="B22" s="401" t="n"/>
      <c r="C22" s="401" t="n"/>
      <c r="D22" s="401" t="n"/>
      <c r="E22" s="401" t="n"/>
      <c r="F22" s="398" t="n"/>
      <c r="G22" s="401" t="n"/>
    </row>
    <row r="23">
      <c r="B23" s="401" t="n"/>
      <c r="C23" s="401" t="n"/>
      <c r="D23" s="401" t="n"/>
      <c r="E23" s="401" t="n"/>
      <c r="F23" s="401" t="n"/>
      <c r="G23" s="401" t="n"/>
    </row>
    <row r="24">
      <c r="B24" s="401" t="n"/>
      <c r="C24" s="401" t="n"/>
      <c r="D24" s="401" t="n"/>
      <c r="E24" s="401" t="n"/>
      <c r="F24" s="401" t="n"/>
      <c r="G24" s="401" t="n"/>
    </row>
    <row r="25">
      <c r="B25" s="401" t="n"/>
      <c r="C25" s="401" t="n"/>
      <c r="D25" s="401" t="n"/>
      <c r="E25" s="401" t="n"/>
      <c r="F25" s="401" t="n"/>
      <c r="G25" s="401" t="n"/>
    </row>
    <row r="26">
      <c r="B26" s="401" t="n"/>
      <c r="C26" s="401" t="n"/>
      <c r="D26" s="401" t="n"/>
      <c r="E26" s="401" t="n"/>
      <c r="F26" s="401" t="n"/>
      <c r="G26" s="401" t="n"/>
    </row>
    <row r="27">
      <c r="B27" s="401" t="n"/>
      <c r="C27" s="401" t="n"/>
      <c r="D27" s="401" t="n"/>
      <c r="E27" s="401" t="n"/>
      <c r="F27" s="401" t="n"/>
      <c r="G27" s="401" t="n"/>
    </row>
    <row r="28">
      <c r="B28" s="401" t="n"/>
      <c r="C28" s="401" t="n"/>
      <c r="D28" s="401" t="n"/>
      <c r="E28" s="401" t="n"/>
      <c r="F28" s="401" t="n"/>
      <c r="G28" s="401" t="n"/>
    </row>
    <row r="29">
      <c r="B29" s="401" t="n"/>
      <c r="C29" s="401" t="n"/>
      <c r="D29" s="401" t="n"/>
      <c r="E29" s="401" t="n"/>
      <c r="F29" s="401" t="n"/>
      <c r="G29" s="401" t="n"/>
    </row>
    <row r="30">
      <c r="B30" s="401" t="n"/>
      <c r="C30" s="401" t="n"/>
      <c r="D30" s="401" t="n"/>
      <c r="E30" s="401" t="n"/>
      <c r="F30" s="401" t="n"/>
      <c r="G30" s="401" t="n"/>
    </row>
    <row r="31">
      <c r="B31" s="401" t="n"/>
      <c r="C31" s="401" t="n"/>
      <c r="D31" s="401" t="n"/>
      <c r="E31" s="401" t="n"/>
      <c r="F31" s="401" t="n"/>
      <c r="G31" s="401" t="n"/>
    </row>
    <row r="32">
      <c r="B32" s="401" t="n"/>
      <c r="C32" s="401" t="n"/>
      <c r="D32" s="401" t="n"/>
      <c r="E32" s="401" t="n"/>
      <c r="F32" s="401" t="n"/>
      <c r="G32" s="401" t="n"/>
    </row>
    <row r="33">
      <c r="B33" s="401" t="n"/>
      <c r="C33" s="401" t="n"/>
      <c r="D33" s="401" t="n"/>
      <c r="E33" s="401" t="n"/>
      <c r="F33" s="401" t="n"/>
      <c r="G33" s="401" t="n"/>
    </row>
    <row r="34">
      <c r="B34" s="401" t="n"/>
      <c r="C34" s="401" t="n"/>
      <c r="D34" s="401" t="n"/>
      <c r="E34" s="401" t="n"/>
      <c r="F34" s="401" t="n"/>
      <c r="G34" s="401" t="n"/>
    </row>
    <row r="35">
      <c r="B35" s="401" t="n"/>
      <c r="C35" s="401" t="n"/>
      <c r="D35" s="401" t="n"/>
      <c r="E35" s="401" t="n"/>
      <c r="F35" s="401" t="n"/>
      <c r="G35" s="401" t="n"/>
    </row>
    <row r="36">
      <c r="B36" s="401" t="n"/>
      <c r="C36" s="401" t="n"/>
      <c r="D36" s="401" t="n"/>
      <c r="E36" s="401" t="n"/>
      <c r="F36" s="401" t="n"/>
      <c r="G36" s="401" t="n"/>
    </row>
    <row r="37">
      <c r="B37" s="401" t="n"/>
      <c r="C37" s="401" t="n"/>
      <c r="D37" s="401" t="n"/>
      <c r="E37" s="401" t="n"/>
      <c r="F37" s="401" t="n"/>
      <c r="G37" s="401" t="n"/>
    </row>
    <row r="38">
      <c r="B38" s="401" t="n"/>
      <c r="C38" s="401" t="n"/>
      <c r="D38" s="401" t="n"/>
      <c r="E38" s="401" t="n"/>
      <c r="F38" s="401" t="n"/>
      <c r="G38" s="401" t="n"/>
    </row>
    <row r="39">
      <c r="B39" s="401" t="n"/>
      <c r="C39" s="401" t="n"/>
      <c r="D39" s="401" t="n"/>
      <c r="E39" s="401" t="n"/>
      <c r="F39" s="401" t="n"/>
      <c r="G39" s="401" t="n"/>
    </row>
    <row r="40">
      <c r="B40" s="401" t="n"/>
      <c r="C40" s="401" t="n"/>
      <c r="D40" s="401" t="n"/>
      <c r="E40" s="401" t="n"/>
      <c r="F40" s="401" t="n"/>
      <c r="G40" s="401" t="n"/>
    </row>
    <row r="41">
      <c r="B41" s="401" t="n"/>
      <c r="C41" s="401" t="n"/>
      <c r="D41" s="401" t="n"/>
      <c r="E41" s="401" t="n"/>
      <c r="F41" s="401" t="n"/>
      <c r="G41" s="401" t="n"/>
    </row>
    <row r="42">
      <c r="B42" s="401" t="n"/>
      <c r="C42" s="401" t="n"/>
      <c r="D42" s="401" t="n"/>
      <c r="E42" s="401" t="n"/>
      <c r="F42" s="401" t="n"/>
      <c r="G42" s="401" t="n"/>
    </row>
    <row r="43">
      <c r="B43" s="401" t="n"/>
      <c r="C43" s="401" t="n"/>
      <c r="D43" s="401" t="n"/>
      <c r="E43" s="401" t="n"/>
      <c r="F43" s="401" t="n"/>
      <c r="G43" s="401" t="n"/>
    </row>
    <row r="44">
      <c r="B44" s="401" t="n"/>
      <c r="C44" s="401" t="n"/>
      <c r="D44" s="401" t="n"/>
      <c r="E44" s="401" t="n"/>
      <c r="F44" s="401" t="n"/>
      <c r="G44" s="401" t="n"/>
    </row>
    <row r="45">
      <c r="B45" s="401" t="n"/>
      <c r="C45" s="401" t="n"/>
      <c r="D45" s="401" t="n"/>
      <c r="E45" s="401" t="n"/>
      <c r="F45" s="401" t="n"/>
      <c r="G45" s="401" t="n"/>
    </row>
    <row r="46">
      <c r="B46" s="401" t="n"/>
      <c r="C46" s="401" t="n"/>
      <c r="D46" s="401" t="n"/>
      <c r="E46" s="401" t="n"/>
      <c r="F46" s="401" t="n"/>
      <c r="G46" s="401" t="n"/>
    </row>
    <row r="47">
      <c r="B47" s="401" t="n"/>
      <c r="C47" s="401" t="n"/>
      <c r="D47" s="401" t="n"/>
      <c r="E47" s="401" t="n"/>
      <c r="F47" s="401" t="n"/>
      <c r="G47" s="401" t="n"/>
    </row>
    <row r="48">
      <c r="B48" s="401" t="n"/>
      <c r="C48" s="401" t="n"/>
      <c r="D48" s="401" t="n"/>
      <c r="E48" s="401" t="n"/>
      <c r="F48" s="401" t="n"/>
      <c r="G48" s="401" t="n"/>
    </row>
    <row r="49">
      <c r="B49" s="401" t="n"/>
      <c r="C49" s="401" t="n"/>
      <c r="D49" s="401" t="n"/>
      <c r="E49" s="401" t="n"/>
      <c r="F49" s="401" t="n"/>
      <c r="G49" s="401" t="n"/>
    </row>
    <row r="50">
      <c r="B50" s="401" t="n"/>
      <c r="C50" s="401" t="n"/>
      <c r="D50" s="401" t="n"/>
      <c r="E50" s="401" t="n"/>
      <c r="F50" s="401" t="n"/>
      <c r="G50" s="401" t="n"/>
    </row>
    <row r="51">
      <c r="B51" s="401" t="n"/>
      <c r="C51" s="401" t="n"/>
      <c r="D51" s="401" t="n"/>
      <c r="E51" s="401" t="n"/>
      <c r="F51" s="401" t="n"/>
      <c r="G51" s="401" t="n"/>
    </row>
    <row r="52">
      <c r="B52" s="401" t="n"/>
      <c r="C52" s="401" t="n"/>
      <c r="D52" s="401" t="n"/>
      <c r="E52" s="401" t="n"/>
      <c r="F52" s="401" t="n"/>
      <c r="G52" s="401" t="n"/>
    </row>
    <row r="53">
      <c r="B53" s="401" t="n"/>
      <c r="C53" s="401" t="n"/>
      <c r="D53" s="401" t="n"/>
      <c r="E53" s="401" t="n"/>
      <c r="F53" s="401" t="n"/>
      <c r="G53" s="401" t="n"/>
    </row>
    <row r="54">
      <c r="B54" s="401" t="n"/>
      <c r="C54" s="401" t="n"/>
      <c r="D54" s="401" t="n"/>
      <c r="E54" s="401" t="n"/>
      <c r="F54" s="401" t="n"/>
      <c r="G54" s="401" t="n"/>
    </row>
    <row r="55">
      <c r="B55" s="401" t="n"/>
      <c r="C55" s="401" t="n"/>
      <c r="D55" s="401" t="n"/>
      <c r="E55" s="401" t="n"/>
      <c r="F55" s="401" t="n"/>
      <c r="G55" s="401" t="n"/>
    </row>
    <row r="56">
      <c r="B56" s="401" t="n"/>
      <c r="C56" s="401" t="n"/>
      <c r="D56" s="401" t="n"/>
      <c r="E56" s="401" t="n"/>
      <c r="F56" s="401" t="n"/>
      <c r="G56" s="401" t="n"/>
    </row>
    <row r="57">
      <c r="B57" s="401" t="n"/>
      <c r="C57" s="401" t="n"/>
      <c r="D57" s="401" t="n"/>
      <c r="E57" s="401" t="n"/>
      <c r="F57" s="401" t="n"/>
      <c r="G57" s="401" t="n"/>
    </row>
    <row r="58">
      <c r="B58" s="401" t="n"/>
      <c r="C58" s="401" t="n"/>
      <c r="D58" s="401" t="n"/>
      <c r="E58" s="401" t="n"/>
      <c r="F58" s="401" t="n"/>
      <c r="G58" s="401" t="n"/>
    </row>
    <row r="59">
      <c r="B59" s="401" t="n"/>
      <c r="C59" s="401" t="n"/>
      <c r="D59" s="401" t="n"/>
      <c r="E59" s="401" t="n"/>
      <c r="F59" s="401" t="n"/>
      <c r="G59" s="401" t="n"/>
    </row>
    <row r="60">
      <c r="B60" s="401" t="n"/>
      <c r="C60" s="401" t="n"/>
      <c r="D60" s="401" t="n"/>
      <c r="E60" s="401" t="n"/>
      <c r="F60" s="401" t="n"/>
      <c r="G60" s="401" t="n"/>
    </row>
    <row r="61">
      <c r="B61" s="401" t="n"/>
      <c r="C61" s="401" t="n"/>
      <c r="D61" s="401" t="n"/>
      <c r="E61" s="401" t="n"/>
      <c r="F61" s="401" t="n"/>
      <c r="G61" s="401" t="n"/>
    </row>
    <row r="62">
      <c r="B62" s="401" t="n"/>
      <c r="C62" s="401" t="n"/>
      <c r="D62" s="401" t="n"/>
      <c r="E62" s="401" t="n"/>
      <c r="F62" s="401" t="n"/>
      <c r="G62" s="401" t="n"/>
    </row>
    <row r="63" ht="64.5" customHeight="1">
      <c r="B63" s="401" t="n"/>
      <c r="C63" s="401" t="n"/>
      <c r="D63" s="401" t="n"/>
      <c r="E63" s="401" t="n"/>
      <c r="F63" s="401" t="n"/>
      <c r="G63" s="401" t="n"/>
    </row>
    <row r="64">
      <c r="B64" s="401" t="n"/>
      <c r="C64" s="401" t="n"/>
      <c r="D64" s="401" t="n"/>
      <c r="E64" s="401" t="n"/>
      <c r="F64" s="401" t="n"/>
      <c r="G64" s="401" t="n"/>
    </row>
    <row r="65">
      <c r="B65" s="401" t="n"/>
      <c r="C65" s="401" t="n"/>
      <c r="D65" s="401" t="n"/>
      <c r="E65" s="401" t="n"/>
      <c r="F65" s="401" t="n"/>
      <c r="G65" s="401" t="n"/>
    </row>
    <row r="66">
      <c r="B66" s="401" t="n"/>
      <c r="C66" s="401" t="n"/>
      <c r="D66" s="401" t="n"/>
      <c r="E66" s="401" t="n"/>
      <c r="F66" s="401" t="n"/>
      <c r="G66" s="401" t="n"/>
    </row>
    <row r="67">
      <c r="B67" s="401" t="n"/>
      <c r="C67" s="401" t="n"/>
      <c r="D67" s="401" t="n"/>
      <c r="E67" s="401" t="n"/>
      <c r="F67" s="401" t="n"/>
      <c r="G67" s="401" t="n"/>
    </row>
    <row r="68">
      <c r="B68" s="401" t="n"/>
      <c r="C68" s="401" t="n"/>
      <c r="D68" s="401" t="n"/>
      <c r="E68" s="401" t="n"/>
      <c r="F68" s="401" t="n"/>
      <c r="G68" s="401" t="n"/>
    </row>
    <row r="69">
      <c r="B69" s="401" t="n"/>
      <c r="C69" s="401" t="n"/>
      <c r="D69" s="401" t="n"/>
      <c r="E69" s="401" t="n"/>
      <c r="F69" s="401" t="n"/>
      <c r="G69" s="401" t="n"/>
    </row>
    <row r="70">
      <c r="B70" s="401" t="n"/>
      <c r="C70" s="401" t="n"/>
      <c r="D70" s="401" t="n"/>
      <c r="E70" s="401" t="n"/>
      <c r="F70" s="401" t="n"/>
      <c r="G70" s="401" t="n"/>
    </row>
    <row r="71">
      <c r="B71" s="401" t="n"/>
      <c r="C71" s="401" t="n"/>
      <c r="D71" s="401" t="n"/>
      <c r="E71" s="401" t="n"/>
      <c r="F71" s="401" t="n"/>
      <c r="G71" s="401" t="n"/>
    </row>
    <row r="72">
      <c r="B72" s="401" t="n"/>
      <c r="C72" s="401" t="n"/>
      <c r="D72" s="401" t="n"/>
      <c r="E72" s="401" t="n"/>
      <c r="F72" s="401" t="n"/>
      <c r="G72" s="401" t="n"/>
    </row>
    <row r="73">
      <c r="B73" s="401" t="n"/>
      <c r="C73" s="401" t="n"/>
      <c r="D73" s="401" t="n"/>
      <c r="E73" s="401" t="n"/>
      <c r="F73" s="401" t="n"/>
      <c r="G73" s="401" t="n"/>
    </row>
    <row r="74">
      <c r="B74" s="401" t="n"/>
      <c r="C74" s="401" t="n"/>
      <c r="D74" s="401" t="n"/>
      <c r="E74" s="401" t="n"/>
      <c r="F74" s="401" t="n"/>
      <c r="G74" s="401" t="n"/>
    </row>
    <row r="75">
      <c r="B75" s="401" t="n"/>
      <c r="C75" s="401" t="n"/>
      <c r="D75" s="401" t="n"/>
      <c r="E75" s="401" t="n"/>
      <c r="F75" s="401" t="n"/>
      <c r="G75" s="401" t="n"/>
    </row>
    <row r="76">
      <c r="B76" s="401" t="n"/>
      <c r="C76" s="401" t="n"/>
      <c r="D76" s="401" t="n"/>
      <c r="E76" s="401" t="n"/>
      <c r="F76" s="401" t="n"/>
      <c r="G76" s="401" t="n"/>
    </row>
    <row r="77">
      <c r="B77" s="401" t="n"/>
      <c r="C77" s="401" t="n"/>
      <c r="D77" s="401" t="n"/>
      <c r="E77" s="401" t="n"/>
      <c r="F77" s="401" t="n"/>
      <c r="G77" s="401" t="n"/>
    </row>
    <row r="78">
      <c r="B78" s="401" t="n"/>
      <c r="C78" s="401" t="n"/>
      <c r="D78" s="401" t="n"/>
      <c r="E78" s="401" t="n"/>
      <c r="F78" s="401" t="n"/>
      <c r="G78" s="401" t="n"/>
    </row>
    <row r="79">
      <c r="B79" s="401" t="n"/>
      <c r="C79" s="401" t="n"/>
      <c r="D79" s="401" t="n"/>
      <c r="E79" s="401" t="n"/>
      <c r="F79" s="401" t="n"/>
      <c r="G79" s="401" t="n"/>
    </row>
    <row r="80">
      <c r="B80" s="401" t="n"/>
      <c r="C80" s="401" t="n"/>
      <c r="D80" s="401" t="n"/>
      <c r="E80" s="401" t="n"/>
      <c r="F80" s="401" t="n"/>
      <c r="G80" s="401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2026-04-22T13:48:53Z</dcterms:modified>
  <cp:lastModifiedBy>Diofavian - Student</cp:lastModifiedBy>
</cp:coreProperties>
</file>