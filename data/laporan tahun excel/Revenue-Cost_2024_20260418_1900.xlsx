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pivotButton="0" quotePrefix="0" xfId="0"/>
    <xf numFmtId="0" fontId="17" fillId="10" borderId="15" pivotButton="0" quotePrefix="0" xfId="0"/>
    <xf numFmtId="165" fontId="10" fillId="10" borderId="15" pivotButton="0" quotePrefix="0" xfId="2"/>
    <xf numFmtId="0" fontId="8" fillId="10" borderId="15" pivotButton="0" quotePrefix="0" xfId="0"/>
    <xf numFmtId="165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25" fillId="12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0" fontId="10" fillId="12" borderId="15" pivotButton="0" quotePrefix="0" xfId="0"/>
    <xf numFmtId="0" fontId="17" fillId="11" borderId="15" pivotButton="0" quotePrefix="0" xfId="0"/>
    <xf numFmtId="0" fontId="8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167" fontId="8" fillId="11" borderId="15" pivotButton="0" quotePrefix="0" xfId="0"/>
    <xf numFmtId="15" fontId="25" fillId="12" borderId="15" applyAlignment="1" pivotButton="0" quotePrefix="0" xfId="0">
      <alignment horizontal="right"/>
    </xf>
    <xf numFmtId="165" fontId="10" fillId="12" borderId="15" pivotButton="0" quotePrefix="0" xfId="1"/>
    <xf numFmtId="3" fontId="10" fillId="12" borderId="15" applyAlignment="1" pivotButton="0" quotePrefix="0" xfId="0">
      <alignment horizontal="center"/>
    </xf>
    <xf numFmtId="3" fontId="10" fillId="11" borderId="15" applyAlignment="1" pivotButton="0" quotePrefix="0" xfId="0">
      <alignment horizontal="center"/>
    </xf>
    <xf numFmtId="0" fontId="10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25" fillId="12" borderId="15" pivotButton="0" quotePrefix="0" xfId="0"/>
    <xf numFmtId="43" fontId="8" fillId="11" borderId="15" pivotButton="0" quotePrefix="0" xfId="0"/>
    <xf numFmtId="0" fontId="10" fillId="11" borderId="15" applyAlignment="1" pivotButton="0" quotePrefix="0" xfId="0">
      <alignment horizontal="left" vertical="center" wrapText="1"/>
    </xf>
    <xf numFmtId="15" fontId="8" fillId="11" borderId="15" pivotButton="0" quotePrefix="0" xfId="0"/>
    <xf numFmtId="0" fontId="16" fillId="11" borderId="15" pivotButton="0" quotePrefix="0" xfId="0"/>
    <xf numFmtId="0" fontId="10" fillId="12" borderId="15" applyAlignment="1" pivotButton="0" quotePrefix="0" xfId="0">
      <alignment horizontal="left"/>
    </xf>
    <xf numFmtId="0" fontId="17" fillId="12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169" fontId="25" fillId="0" borderId="15" applyAlignment="1" pivotButton="0" quotePrefix="0" xfId="4">
      <alignment horizontal="right" vertical="center"/>
    </xf>
    <xf numFmtId="0" fontId="8" fillId="0" borderId="15" pivotButton="0" quotePrefix="0" xfId="0"/>
    <xf numFmtId="165" fontId="8" fillId="0" borderId="15" applyAlignment="1" pivotButton="0" quotePrefix="0" xfId="0">
      <alignment vertical="top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Biaya Research (R&amp;D)</t>
        </is>
      </c>
      <c r="J39" s="274" t="inlineStr">
        <is>
          <t>Biaya Operasi</t>
        </is>
      </c>
      <c r="K39" s="275" t="inlineStr">
        <is>
          <t>diofavian</t>
        </is>
      </c>
      <c r="L39" s="275" t="inlineStr">
        <is>
          <t>Biaya Sewa Peralatan</t>
        </is>
      </c>
      <c r="M39" s="276" t="inlineStr">
        <is>
          <t>Biaya Interpretasi Log Data</t>
        </is>
      </c>
      <c r="N39" s="276" t="inlineStr">
        <is>
          <t>Administrasi</t>
        </is>
      </c>
      <c r="O39" s="276" t="inlineStr">
        <is>
          <t>Pembelian Barang</t>
        </is>
      </c>
      <c r="P39" s="276" t="inlineStr">
        <is>
          <t>Sewa Kantor</t>
        </is>
      </c>
      <c r="Q39" s="276" t="inlineStr">
        <is>
          <t>Kesehatan</t>
        </is>
      </c>
      <c r="R39" s="275" t="inlineStr">
        <is>
          <t>Bisnis Dev</t>
        </is>
      </c>
      <c r="S39" s="275" t="inlineStr">
        <is>
          <t>asdasd</t>
        </is>
      </c>
      <c r="T39" s="275" t="inlineStr">
        <is>
          <t>makanan jepang</t>
        </is>
      </c>
      <c r="U39" s="275" t="inlineStr">
        <is>
          <t>aaaaa</t>
        </is>
      </c>
      <c r="V39" s="275" t="inlineStr">
        <is>
          <t>bbbbb</t>
        </is>
      </c>
      <c r="W39" s="275" t="inlineStr">
        <is>
          <t>asdsad</t>
        </is>
      </c>
      <c r="X39" s="275" t="inlineStr">
        <is>
          <t>dfgdfgdfgd</t>
        </is>
      </c>
      <c r="Y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Biaya Bank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  <c r="Y40" s="285" t="n"/>
    </row>
    <row r="41" ht="15.5" customHeight="1">
      <c r="B41" s="286" t="inlineStr">
        <is>
          <t>31-Dec-24</t>
        </is>
      </c>
      <c r="C41" s="278" t="n">
        <v>1</v>
      </c>
      <c r="D41" s="280" t="inlineStr">
        <is>
          <t>Total Biaya Transaksi Bank selama 1 tahun</t>
        </is>
      </c>
      <c r="E41" s="280" t="inlineStr">
        <is>
          <t>-</t>
        </is>
      </c>
      <c r="F41" s="287" t="n">
        <v>1998587</v>
      </c>
      <c r="G41" s="282" t="inlineStr">
        <is>
          <t>IDR</t>
        </is>
      </c>
      <c r="H41" s="288" t="n">
        <v>1</v>
      </c>
      <c r="I41" s="289" t="n">
        <v>1998587</v>
      </c>
      <c r="J41" s="290" t="n"/>
      <c r="K41" s="291" t="n"/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77" t="n"/>
      <c r="C42" s="278" t="n"/>
      <c r="D42" s="279" t="inlineStr">
        <is>
          <t>Biaya Interpretasi Log Data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  <c r="Y42" s="285" t="n"/>
    </row>
    <row r="43" ht="15.5" customHeight="1">
      <c r="B43" s="286" t="inlineStr">
        <is>
          <t>01-May-24</t>
        </is>
      </c>
      <c r="C43" s="278" t="n">
        <v>2</v>
      </c>
      <c r="D43" s="280" t="inlineStr">
        <is>
          <t>Data proccesing MTD 4 well, project Tomori-Alan</t>
        </is>
      </c>
      <c r="E43" s="280" t="inlineStr">
        <is>
          <t>BCA</t>
        </is>
      </c>
      <c r="F43" s="287" t="n">
        <v>122625000</v>
      </c>
      <c r="G43" s="282" t="inlineStr">
        <is>
          <t>IDR</t>
        </is>
      </c>
      <c r="H43" s="288" t="n">
        <v>1</v>
      </c>
      <c r="I43" s="290" t="n"/>
      <c r="J43" s="290" t="n"/>
      <c r="K43" s="291" t="n"/>
      <c r="L43" s="280" t="n"/>
      <c r="M43" s="292" t="n">
        <v>122625000</v>
      </c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21-Aug-24</t>
        </is>
      </c>
      <c r="C44" s="278" t="n">
        <v>3</v>
      </c>
      <c r="D44" s="280" t="inlineStr">
        <is>
          <t>Data proccesing TGB-33 DAN TIS (RBG-3b)-Alan</t>
        </is>
      </c>
      <c r="E44" s="280" t="inlineStr">
        <is>
          <t>BCA</t>
        </is>
      </c>
      <c r="F44" s="287" t="n">
        <v>101120000</v>
      </c>
      <c r="G44" s="282" t="inlineStr">
        <is>
          <t>IDR</t>
        </is>
      </c>
      <c r="H44" s="288" t="n">
        <v>1</v>
      </c>
      <c r="I44" s="290" t="n"/>
      <c r="J44" s="290" t="n"/>
      <c r="K44" s="291" t="n"/>
      <c r="L44" s="280" t="n"/>
      <c r="M44" s="292" t="n">
        <v>101120000</v>
      </c>
      <c r="N44" s="280" t="n"/>
      <c r="O44" s="280" t="n"/>
      <c r="P44" s="280" t="n"/>
      <c r="Q44" s="280" t="n"/>
      <c r="R44" s="285" t="n"/>
      <c r="S44" s="285" t="n"/>
      <c r="T44" s="285" t="n"/>
      <c r="U44" s="285" t="n"/>
      <c r="V44" s="285" t="n"/>
      <c r="W44" s="285" t="n"/>
      <c r="X44" s="285" t="n"/>
      <c r="Y44" s="285" t="n"/>
    </row>
    <row r="45" ht="15.5" customHeight="1">
      <c r="B45" s="286" t="inlineStr">
        <is>
          <t>24-Oct-24</t>
        </is>
      </c>
      <c r="C45" s="278" t="n">
        <v>4</v>
      </c>
      <c r="D45" s="280" t="inlineStr">
        <is>
          <t>Data Processing 8 Well Alan Project SIJAK</t>
        </is>
      </c>
      <c r="E45" s="280" t="inlineStr">
        <is>
          <t>BRI</t>
        </is>
      </c>
      <c r="F45" s="287" t="n">
        <v>144000000</v>
      </c>
      <c r="G45" s="282" t="inlineStr">
        <is>
          <t>IDR</t>
        </is>
      </c>
      <c r="H45" s="288" t="n">
        <v>1</v>
      </c>
      <c r="I45" s="290" t="n"/>
      <c r="J45" s="290" t="n"/>
      <c r="K45" s="291" t="n"/>
      <c r="L45" s="280" t="n"/>
      <c r="M45" s="292" t="n">
        <v>144000000</v>
      </c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77" t="n"/>
      <c r="C46" s="278" t="n"/>
      <c r="D46" s="279" t="inlineStr">
        <is>
          <t>Biaya Operasi</t>
        </is>
      </c>
      <c r="E46" s="280" t="n"/>
      <c r="F46" s="281" t="n"/>
      <c r="G46" s="282" t="n"/>
      <c r="H46" s="282" t="n"/>
      <c r="I46" s="283" t="n"/>
      <c r="J46" s="283" t="n"/>
      <c r="K46" s="284" t="n"/>
      <c r="L46" s="279" t="n"/>
      <c r="M46" s="279" t="n"/>
      <c r="N46" s="279" t="n"/>
      <c r="O46" s="279" t="n"/>
      <c r="P46" s="279" t="n"/>
      <c r="Q46" s="279" t="n"/>
      <c r="R46" s="285" t="n"/>
      <c r="S46" s="285" t="n"/>
      <c r="T46" s="285" t="n"/>
      <c r="U46" s="285" t="n"/>
      <c r="V46" s="285" t="n"/>
      <c r="W46" s="285" t="n"/>
      <c r="X46" s="285" t="n"/>
      <c r="Y46" s="285" t="n"/>
    </row>
    <row r="47" ht="15.5" customHeight="1">
      <c r="A47" s="66" t="n"/>
      <c r="B47" s="286" t="inlineStr">
        <is>
          <t>13-Jan-24</t>
        </is>
      </c>
      <c r="C47" s="278" t="n">
        <v>5</v>
      </c>
      <c r="D47" s="280" t="inlineStr">
        <is>
          <t>Sales cost 4 Well Integrity Pertamina Z.4</t>
        </is>
      </c>
      <c r="E47" s="280" t="inlineStr">
        <is>
          <t>BRI</t>
        </is>
      </c>
      <c r="F47" s="287" t="n">
        <v>77672400</v>
      </c>
      <c r="G47" s="282" t="inlineStr">
        <is>
          <t>IDR</t>
        </is>
      </c>
      <c r="H47" s="288" t="n">
        <v>1</v>
      </c>
      <c r="I47" s="290" t="n"/>
      <c r="J47" s="289" t="n">
        <v>77672400</v>
      </c>
      <c r="K47" s="291" t="n"/>
      <c r="L47" s="280" t="n"/>
      <c r="M47" s="280" t="n"/>
      <c r="N47" s="280" t="n"/>
      <c r="O47" s="280" t="n"/>
      <c r="P47" s="280" t="n"/>
      <c r="Q47" s="280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01-Feb-24</t>
        </is>
      </c>
      <c r="C48" s="278" t="n">
        <v>6</v>
      </c>
      <c r="D48" s="280" t="inlineStr">
        <is>
          <t>Gaji Januari 2024 _Yufitri</t>
        </is>
      </c>
      <c r="E48" s="280" t="inlineStr">
        <is>
          <t>BCA</t>
        </is>
      </c>
      <c r="F48" s="287" t="n">
        <v>2500000</v>
      </c>
      <c r="G48" s="282" t="inlineStr">
        <is>
          <t>IDR</t>
        </is>
      </c>
      <c r="H48" s="288" t="n">
        <v>1</v>
      </c>
      <c r="I48" s="290" t="n"/>
      <c r="J48" s="289" t="n">
        <v>2500000</v>
      </c>
      <c r="K48" s="291" t="n"/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  <c r="Y48" s="285" t="n"/>
    </row>
    <row r="49" ht="15.5" customHeight="1">
      <c r="B49" s="286" t="inlineStr">
        <is>
          <t>05-Mar-24</t>
        </is>
      </c>
      <c r="C49" s="278" t="n">
        <v>7</v>
      </c>
      <c r="D49" s="280" t="inlineStr">
        <is>
          <t>Gaji Februari 2024 + raple gaji Januari 2024_Yufitri</t>
        </is>
      </c>
      <c r="E49" s="280" t="inlineStr">
        <is>
          <t>BCA</t>
        </is>
      </c>
      <c r="F49" s="287" t="n">
        <v>3500000</v>
      </c>
      <c r="G49" s="282" t="inlineStr">
        <is>
          <t>IDR</t>
        </is>
      </c>
      <c r="H49" s="288" t="n">
        <v>1</v>
      </c>
      <c r="I49" s="290" t="n"/>
      <c r="J49" s="289" t="n">
        <v>3500000</v>
      </c>
      <c r="K49" s="291" t="n"/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inlineStr">
        <is>
          <t>28-Mar-24</t>
        </is>
      </c>
      <c r="C50" s="278" t="n">
        <v>8</v>
      </c>
      <c r="D50" s="280" t="inlineStr">
        <is>
          <t>Gaji Maret 2024_Yufitri</t>
        </is>
      </c>
      <c r="E50" s="280" t="inlineStr">
        <is>
          <t>BCA</t>
        </is>
      </c>
      <c r="F50" s="287" t="n">
        <v>3000000</v>
      </c>
      <c r="G50" s="282" t="inlineStr">
        <is>
          <t>IDR</t>
        </is>
      </c>
      <c r="H50" s="288" t="n">
        <v>1</v>
      </c>
      <c r="I50" s="290" t="n"/>
      <c r="J50" s="289" t="n">
        <v>3000000</v>
      </c>
      <c r="K50" s="291" t="n"/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  <c r="Y50" s="285" t="n"/>
    </row>
    <row r="51" ht="15.5" customHeight="1">
      <c r="B51" s="286" t="inlineStr">
        <is>
          <t>06-Apr-24</t>
        </is>
      </c>
      <c r="C51" s="278" t="n">
        <v>9</v>
      </c>
      <c r="D51" s="280" t="inlineStr">
        <is>
          <t>THR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90" t="n"/>
      <c r="J51" s="289" t="n">
        <v>3000000</v>
      </c>
      <c r="K51" s="291" t="n"/>
      <c r="L51" s="280" t="n"/>
      <c r="M51" s="280" t="n"/>
      <c r="N51" s="280" t="n"/>
      <c r="O51" s="280" t="n"/>
      <c r="P51" s="280" t="n"/>
      <c r="Q51" s="280" t="n"/>
      <c r="R51" s="285" t="n"/>
      <c r="S51" s="285" t="n"/>
      <c r="T51" s="285" t="n"/>
      <c r="U51" s="285" t="n"/>
      <c r="V51" s="285" t="n"/>
      <c r="W51" s="285" t="n"/>
      <c r="X51" s="285" t="n"/>
      <c r="Y51" s="285" t="n"/>
    </row>
    <row r="52" ht="15.5" customFormat="1" customHeight="1" s="66">
      <c r="B52" s="286" t="inlineStr">
        <is>
          <t>04-May-24</t>
        </is>
      </c>
      <c r="C52" s="278" t="n">
        <v>10</v>
      </c>
      <c r="D52" s="280" t="inlineStr">
        <is>
          <t>Gaji April_Yufitri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90" t="n"/>
      <c r="J52" s="289" t="n">
        <v>3000000</v>
      </c>
      <c r="K52" s="291" t="n"/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  <c r="Y52" s="285" t="n"/>
    </row>
    <row r="53" ht="15.5" customFormat="1" customHeight="1" s="66">
      <c r="B53" s="286" t="inlineStr">
        <is>
          <t>10-May-24</t>
        </is>
      </c>
      <c r="C53" s="278" t="n">
        <v>11</v>
      </c>
      <c r="D53" s="280" t="inlineStr">
        <is>
          <t>Aro Energy | Moving slickline dari Duri (Toni Supriadi) ke Sungai lilin</t>
        </is>
      </c>
      <c r="E53" s="280" t="inlineStr">
        <is>
          <t>BCA</t>
        </is>
      </c>
      <c r="F53" s="287" t="n">
        <v>18000000</v>
      </c>
      <c r="G53" s="282" t="inlineStr">
        <is>
          <t>IDR</t>
        </is>
      </c>
      <c r="H53" s="288" t="n">
        <v>1</v>
      </c>
      <c r="I53" s="290" t="n"/>
      <c r="J53" s="289" t="n">
        <v>18000000</v>
      </c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  <c r="Y53" s="285" t="n"/>
    </row>
    <row r="54" ht="15.5" customFormat="1" customHeight="1" s="66">
      <c r="B54" s="286" t="inlineStr">
        <is>
          <t>03-Jun-24</t>
        </is>
      </c>
      <c r="C54" s="278" t="n">
        <v>12</v>
      </c>
      <c r="D54" s="280" t="inlineStr">
        <is>
          <t>PT Laka Indonesia |  Wastafel for WIKA Anantara Ubud Bali</t>
        </is>
      </c>
      <c r="E54" s="280" t="inlineStr">
        <is>
          <t>BCA</t>
        </is>
      </c>
      <c r="F54" s="287" t="n">
        <v>300000000</v>
      </c>
      <c r="G54" s="282" t="inlineStr">
        <is>
          <t>IDR</t>
        </is>
      </c>
      <c r="H54" s="288" t="n">
        <v>1</v>
      </c>
      <c r="I54" s="290" t="n"/>
      <c r="J54" s="289" t="n">
        <v>300000000</v>
      </c>
      <c r="K54" s="291" t="n"/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  <c r="Y54" s="285" t="n"/>
    </row>
    <row r="55" ht="15.5" customFormat="1" customHeight="1" s="66">
      <c r="B55" s="286" t="inlineStr">
        <is>
          <t>03-Jun-24</t>
        </is>
      </c>
      <c r="C55" s="278" t="n">
        <v>13</v>
      </c>
      <c r="D55" s="280" t="inlineStr">
        <is>
          <t>Gaji Mei_Yufitri</t>
        </is>
      </c>
      <c r="E55" s="280" t="inlineStr">
        <is>
          <t>BCA</t>
        </is>
      </c>
      <c r="F55" s="287" t="n">
        <v>3000000</v>
      </c>
      <c r="G55" s="282" t="inlineStr">
        <is>
          <t>IDR</t>
        </is>
      </c>
      <c r="H55" s="288" t="n">
        <v>1</v>
      </c>
      <c r="I55" s="290" t="n"/>
      <c r="J55" s="289" t="n">
        <v>3000000</v>
      </c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inlineStr">
        <is>
          <t>30-Jun-24</t>
        </is>
      </c>
      <c r="C56" s="278" t="n">
        <v>14</v>
      </c>
      <c r="D56" s="280" t="inlineStr">
        <is>
          <t>Gaji Juni 2024_Yufitri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90" t="n"/>
      <c r="J56" s="289" t="n">
        <v>3000000</v>
      </c>
      <c r="K56" s="291" t="n"/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  <c r="Y56" s="285" t="n"/>
    </row>
    <row r="57" ht="15.5" customFormat="1" customHeight="1" s="66">
      <c r="B57" s="286" t="inlineStr">
        <is>
          <t>05-Jul-24</t>
        </is>
      </c>
      <c r="C57" s="278" t="n">
        <v>15</v>
      </c>
      <c r="D57" s="280" t="inlineStr">
        <is>
          <t>Repair ESOR panel &amp; Fabricate dummy test load, Payment#2</t>
        </is>
      </c>
      <c r="E57" s="280" t="inlineStr">
        <is>
          <t>BRI</t>
        </is>
      </c>
      <c r="F57" s="287" t="n">
        <v>25000000</v>
      </c>
      <c r="G57" s="282" t="inlineStr">
        <is>
          <t>IDR</t>
        </is>
      </c>
      <c r="H57" s="288" t="n">
        <v>1</v>
      </c>
      <c r="I57" s="290" t="n"/>
      <c r="J57" s="289" t="n">
        <v>25000000</v>
      </c>
      <c r="K57" s="291" t="n"/>
      <c r="L57" s="280" t="n"/>
      <c r="M57" s="280" t="n"/>
      <c r="N57" s="280" t="n"/>
      <c r="O57" s="280" t="n"/>
      <c r="P57" s="280" t="n"/>
      <c r="Q57" s="280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inlineStr">
        <is>
          <t>07-Jul-24</t>
        </is>
      </c>
      <c r="C58" s="278" t="n">
        <v>16</v>
      </c>
      <c r="D58" s="280" t="inlineStr">
        <is>
          <t>PT Laka Indonesia |  Wastafel for WIKA Anantara Ubud Bali</t>
        </is>
      </c>
      <c r="E58" s="280" t="inlineStr">
        <is>
          <t>BCA</t>
        </is>
      </c>
      <c r="F58" s="287" t="n">
        <v>25000000</v>
      </c>
      <c r="G58" s="282" t="inlineStr">
        <is>
          <t>IDR</t>
        </is>
      </c>
      <c r="H58" s="288" t="n">
        <v>1</v>
      </c>
      <c r="I58" s="290" t="n"/>
      <c r="J58" s="289" t="n">
        <v>25000000</v>
      </c>
      <c r="K58" s="291" t="n"/>
      <c r="L58" s="280" t="n"/>
      <c r="M58" s="280" t="n"/>
      <c r="N58" s="280" t="n"/>
      <c r="O58" s="280" t="n"/>
      <c r="P58" s="280" t="n"/>
      <c r="Q58" s="280" t="n"/>
      <c r="R58" s="285" t="n"/>
      <c r="S58" s="285" t="n"/>
      <c r="T58" s="285" t="n"/>
      <c r="U58" s="285" t="n"/>
      <c r="V58" s="285" t="n"/>
      <c r="W58" s="285" t="n"/>
      <c r="X58" s="285" t="n"/>
      <c r="Y58" s="285" t="n"/>
    </row>
    <row r="59" ht="15.5" customFormat="1" customHeight="1" s="66">
      <c r="B59" s="286" t="inlineStr">
        <is>
          <t>19-Jul-24</t>
        </is>
      </c>
      <c r="C59" s="278" t="n">
        <v>17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90" t="n"/>
      <c r="J59" s="289" t="n">
        <v>25000000</v>
      </c>
      <c r="K59" s="291" t="n"/>
      <c r="L59" s="280" t="n"/>
      <c r="M59" s="280" t="n"/>
      <c r="N59" s="280" t="n"/>
      <c r="O59" s="280" t="n"/>
      <c r="P59" s="280" t="n"/>
      <c r="Q59" s="280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20-Jul-24</t>
        </is>
      </c>
      <c r="C60" s="278" t="n">
        <v>18</v>
      </c>
      <c r="D60" s="280" t="inlineStr">
        <is>
          <t>Repair ESOR panel &amp; Fabricate dummy test load, Payment#1</t>
        </is>
      </c>
      <c r="E60" s="280" t="inlineStr">
        <is>
          <t>BCA</t>
        </is>
      </c>
      <c r="F60" s="287" t="n">
        <v>20000000</v>
      </c>
      <c r="G60" s="282" t="inlineStr">
        <is>
          <t>IDR</t>
        </is>
      </c>
      <c r="H60" s="288" t="n">
        <v>1</v>
      </c>
      <c r="I60" s="290" t="n"/>
      <c r="J60" s="289" t="n">
        <v>20000000</v>
      </c>
      <c r="K60" s="291" t="n"/>
      <c r="L60" s="280" t="n"/>
      <c r="M60" s="280" t="n"/>
      <c r="N60" s="280" t="n"/>
      <c r="O60" s="280" t="n"/>
      <c r="P60" s="280" t="n"/>
      <c r="Q60" s="280" t="n"/>
      <c r="R60" s="285" t="n"/>
      <c r="S60" s="285" t="n"/>
      <c r="T60" s="285" t="n"/>
      <c r="U60" s="285" t="n"/>
      <c r="V60" s="285" t="n"/>
      <c r="W60" s="285" t="n"/>
      <c r="X60" s="285" t="n"/>
      <c r="Y60" s="285" t="n"/>
    </row>
    <row r="61" ht="15.5" customFormat="1" customHeight="1" s="66">
      <c r="B61" s="286" t="inlineStr">
        <is>
          <t>28-Jul-24</t>
        </is>
      </c>
      <c r="C61" s="278" t="n">
        <v>19</v>
      </c>
      <c r="D61" s="280" t="inlineStr">
        <is>
          <t>Gaji Juli 2024_Yufitri</t>
        </is>
      </c>
      <c r="E61" s="280" t="inlineStr">
        <is>
          <t>BCA</t>
        </is>
      </c>
      <c r="F61" s="287" t="n">
        <v>3000000</v>
      </c>
      <c r="G61" s="282" t="inlineStr">
        <is>
          <t>IDR</t>
        </is>
      </c>
      <c r="H61" s="288" t="n">
        <v>1</v>
      </c>
      <c r="I61" s="290" t="n"/>
      <c r="J61" s="289" t="n">
        <v>3000000</v>
      </c>
      <c r="K61" s="291" t="n"/>
      <c r="L61" s="280" t="n"/>
      <c r="M61" s="280" t="n"/>
      <c r="N61" s="280" t="n"/>
      <c r="O61" s="280" t="n"/>
      <c r="P61" s="280" t="n"/>
      <c r="Q61" s="280" t="n"/>
      <c r="R61" s="285" t="n"/>
      <c r="S61" s="285" t="n"/>
      <c r="T61" s="285" t="n"/>
      <c r="U61" s="285" t="n"/>
      <c r="V61" s="285" t="n"/>
      <c r="W61" s="285" t="n"/>
      <c r="X61" s="285" t="n"/>
      <c r="Y61" s="285" t="n"/>
    </row>
    <row r="62" ht="15.5" customFormat="1" customHeight="1" s="66">
      <c r="B62" s="286" t="inlineStr">
        <is>
          <t>31-Aug-24</t>
        </is>
      </c>
      <c r="C62" s="278" t="n">
        <v>20</v>
      </c>
      <c r="D62" s="280" t="inlineStr">
        <is>
          <t>Gaji Agustus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90" t="n"/>
      <c r="J62" s="289" t="n">
        <v>3000000</v>
      </c>
      <c r="K62" s="291" t="n"/>
      <c r="L62" s="280" t="n"/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inlineStr">
        <is>
          <t>03-Oct-24</t>
        </is>
      </c>
      <c r="C63" s="278" t="n">
        <v>21</v>
      </c>
      <c r="D63" s="280" t="inlineStr">
        <is>
          <t>Gaji fitri bulan september 2024</t>
        </is>
      </c>
      <c r="E63" s="280" t="inlineStr">
        <is>
          <t>BRI</t>
        </is>
      </c>
      <c r="F63" s="287" t="n">
        <v>3000000</v>
      </c>
      <c r="G63" s="282" t="inlineStr">
        <is>
          <t>IDR</t>
        </is>
      </c>
      <c r="H63" s="288" t="n">
        <v>1</v>
      </c>
      <c r="I63" s="290" t="n"/>
      <c r="J63" s="289" t="n">
        <v>3000000</v>
      </c>
      <c r="K63" s="291" t="n"/>
      <c r="L63" s="280" t="n"/>
      <c r="M63" s="280" t="n"/>
      <c r="N63" s="280" t="n"/>
      <c r="O63" s="280" t="n"/>
      <c r="P63" s="280" t="n"/>
      <c r="Q63" s="280" t="n"/>
      <c r="R63" s="285" t="n"/>
      <c r="S63" s="285" t="n"/>
      <c r="T63" s="285" t="n"/>
      <c r="U63" s="285" t="n"/>
      <c r="V63" s="285" t="n"/>
      <c r="W63" s="285" t="n"/>
      <c r="X63" s="285" t="n"/>
      <c r="Y63" s="285" t="n"/>
    </row>
    <row r="64" ht="15.5" customFormat="1" customHeight="1" s="66">
      <c r="B64" s="286" t="inlineStr">
        <is>
          <t>03-Oct-24</t>
        </is>
      </c>
      <c r="C64" s="278" t="n">
        <v>22</v>
      </c>
      <c r="D64" s="280" t="inlineStr">
        <is>
          <t>Gaji fitri bulan October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90" t="n"/>
      <c r="J64" s="289" t="n">
        <v>3000000</v>
      </c>
      <c r="K64" s="291" t="n"/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inlineStr">
        <is>
          <t>16-Oct-24</t>
        </is>
      </c>
      <c r="C65" s="278" t="n">
        <v>23</v>
      </c>
      <c r="D65" s="280" t="inlineStr">
        <is>
          <t>PT Laka Indonesia | Project Lampu Taman Istana Negara Jakarta</t>
        </is>
      </c>
      <c r="E65" s="280" t="inlineStr">
        <is>
          <t>BRI</t>
        </is>
      </c>
      <c r="F65" s="287" t="n">
        <v>100000000</v>
      </c>
      <c r="G65" s="282" t="inlineStr">
        <is>
          <t>IDR</t>
        </is>
      </c>
      <c r="H65" s="288" t="n">
        <v>1</v>
      </c>
      <c r="I65" s="290" t="n"/>
      <c r="J65" s="289" t="n">
        <v>100000000</v>
      </c>
      <c r="K65" s="291" t="n"/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  <c r="Y65" s="285" t="n"/>
    </row>
    <row r="66" ht="15.5" customFormat="1" customHeight="1" s="66">
      <c r="B66" s="286" t="inlineStr">
        <is>
          <t>05-Nov-24</t>
        </is>
      </c>
      <c r="C66" s="278" t="n">
        <v>24</v>
      </c>
      <c r="D66" s="280" t="inlineStr">
        <is>
          <t>Sales fee 2 Well Integrity Pertamina Z.4</t>
        </is>
      </c>
      <c r="E66" s="280" t="inlineStr">
        <is>
          <t>BRI</t>
        </is>
      </c>
      <c r="F66" s="287" t="n">
        <v>38838700</v>
      </c>
      <c r="G66" s="282" t="inlineStr">
        <is>
          <t>IDR</t>
        </is>
      </c>
      <c r="H66" s="288" t="n">
        <v>1</v>
      </c>
      <c r="I66" s="290" t="n"/>
      <c r="J66" s="289" t="n">
        <v>38838700</v>
      </c>
      <c r="K66" s="291" t="n"/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29-Nov-24</t>
        </is>
      </c>
      <c r="C67" s="278" t="n">
        <v>25</v>
      </c>
      <c r="D67" s="280" t="inlineStr">
        <is>
          <t>Gaji fitri bulan November 2024</t>
        </is>
      </c>
      <c r="E67" s="280" t="inlineStr">
        <is>
          <t>BRI</t>
        </is>
      </c>
      <c r="F67" s="287" t="n">
        <v>3000000</v>
      </c>
      <c r="G67" s="282" t="inlineStr">
        <is>
          <t>IDR</t>
        </is>
      </c>
      <c r="H67" s="288" t="n">
        <v>1</v>
      </c>
      <c r="I67" s="290" t="n"/>
      <c r="J67" s="289" t="n">
        <v>3000000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  <c r="Y67" s="285" t="n"/>
    </row>
    <row r="68" ht="15.5" customHeight="1">
      <c r="A68" s="66" t="n"/>
      <c r="B68" s="286" t="inlineStr">
        <is>
          <t>18-Dec-24</t>
        </is>
      </c>
      <c r="C68" s="278" t="n">
        <v>26</v>
      </c>
      <c r="D68" s="280" t="inlineStr">
        <is>
          <t>Team building EWI dengan team Well Intervention PEP Reg. 2</t>
        </is>
      </c>
      <c r="E68" s="280" t="inlineStr">
        <is>
          <t>BCA</t>
        </is>
      </c>
      <c r="F68" s="287" t="n">
        <v>39201350</v>
      </c>
      <c r="G68" s="282" t="inlineStr">
        <is>
          <t>IDR</t>
        </is>
      </c>
      <c r="H68" s="288" t="n">
        <v>1</v>
      </c>
      <c r="I68" s="290" t="n"/>
      <c r="J68" s="289" t="n">
        <v>39201350</v>
      </c>
      <c r="K68" s="291" t="n"/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inlineStr">
        <is>
          <t>25-Dec-24</t>
        </is>
      </c>
      <c r="C69" s="278" t="n">
        <v>27</v>
      </c>
      <c r="D69" s="280" t="inlineStr">
        <is>
          <t>Gaji Desember 2024 + Bomnus akhir tahun - 4 bulan_Yufitri</t>
        </is>
      </c>
      <c r="E69" s="280" t="inlineStr">
        <is>
          <t>BCA</t>
        </is>
      </c>
      <c r="F69" s="287" t="n">
        <v>15000000</v>
      </c>
      <c r="G69" s="282" t="inlineStr">
        <is>
          <t>IDR</t>
        </is>
      </c>
      <c r="H69" s="288" t="n">
        <v>1</v>
      </c>
      <c r="I69" s="290" t="n"/>
      <c r="J69" s="289" t="n">
        <v>15000000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77" t="n"/>
      <c r="C70" s="278" t="n"/>
      <c r="D70" s="279" t="inlineStr">
        <is>
          <t>Biaya Research (R&amp;D)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inlineStr">
        <is>
          <t>13-Mar-24</t>
        </is>
      </c>
      <c r="C71" s="278" t="n">
        <v>28</v>
      </c>
      <c r="D71" s="280" t="inlineStr">
        <is>
          <t>Ralika Jaya Utama | Permbuatan alat Downhole Wireless Telemetry</t>
        </is>
      </c>
      <c r="E71" s="280" t="inlineStr">
        <is>
          <t>BCA</t>
        </is>
      </c>
      <c r="F71" s="287" t="n">
        <v>100000000</v>
      </c>
      <c r="G71" s="282" t="inlineStr">
        <is>
          <t>IDR</t>
        </is>
      </c>
      <c r="H71" s="288" t="n">
        <v>1</v>
      </c>
      <c r="I71" s="289" t="n">
        <v>100000000</v>
      </c>
      <c r="J71" s="290" t="n"/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06-May-24</t>
        </is>
      </c>
      <c r="C72" s="278" t="n">
        <v>29</v>
      </c>
      <c r="D72" s="280" t="inlineStr">
        <is>
          <t>Ralika Jaya Utama | Permbuatan alat Downhole Wireless Telemetry</t>
        </is>
      </c>
      <c r="E72" s="280" t="inlineStr">
        <is>
          <t>BRI</t>
        </is>
      </c>
      <c r="F72" s="287" t="n">
        <v>100000000</v>
      </c>
      <c r="G72" s="282" t="inlineStr">
        <is>
          <t>IDR</t>
        </is>
      </c>
      <c r="H72" s="288" t="n">
        <v>1</v>
      </c>
      <c r="I72" s="289" t="n">
        <v>100000000</v>
      </c>
      <c r="J72" s="290" t="n"/>
      <c r="K72" s="291" t="n"/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  <c r="Y72" s="285" t="n"/>
    </row>
    <row r="73" ht="15.5" customHeight="1">
      <c r="B73" s="286" t="inlineStr">
        <is>
          <t>29-Jul-24</t>
        </is>
      </c>
      <c r="C73" s="278" t="n">
        <v>30</v>
      </c>
      <c r="D73" s="280" t="inlineStr">
        <is>
          <t>Ralika Jaya Utama | Permbuatan alat injeksi listrik (EAS)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89" t="n">
        <v>100000000</v>
      </c>
      <c r="J73" s="290" t="n"/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inlineStr">
        <is>
          <t>13-Sep-24</t>
        </is>
      </c>
      <c r="C74" s="278" t="n">
        <v>31</v>
      </c>
      <c r="D74" s="280" t="inlineStr">
        <is>
          <t>Ralika Jaya Utama | Permbuatan alat EMR</t>
        </is>
      </c>
      <c r="E74" s="280" t="inlineStr">
        <is>
          <t>BRI</t>
        </is>
      </c>
      <c r="F74" s="287" t="n">
        <v>150000000</v>
      </c>
      <c r="G74" s="282" t="inlineStr">
        <is>
          <t>IDR</t>
        </is>
      </c>
      <c r="H74" s="288" t="n">
        <v>1</v>
      </c>
      <c r="I74" s="289" t="n">
        <v>150000000</v>
      </c>
      <c r="J74" s="290" t="n"/>
      <c r="K74" s="291" t="n"/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  <c r="Y74" s="285" t="n"/>
    </row>
    <row r="75" ht="15.5" customHeight="1">
      <c r="A75" s="66" t="n"/>
      <c r="B75" s="286" t="inlineStr">
        <is>
          <t>05-Dec-24</t>
        </is>
      </c>
      <c r="C75" s="278" t="n">
        <v>32</v>
      </c>
      <c r="D75" s="280" t="inlineStr">
        <is>
          <t>Ralika Jaya Utama | Permbuatan alat injeksi listrik (EAS)</t>
        </is>
      </c>
      <c r="E75" s="280" t="inlineStr">
        <is>
          <t>BRI</t>
        </is>
      </c>
      <c r="F75" s="287" t="n">
        <v>400000000</v>
      </c>
      <c r="G75" s="282" t="inlineStr">
        <is>
          <t>IDR</t>
        </is>
      </c>
      <c r="H75" s="288" t="n">
        <v>1</v>
      </c>
      <c r="I75" s="289" t="n">
        <v>400000000</v>
      </c>
      <c r="J75" s="290" t="n"/>
      <c r="K75" s="291" t="n"/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27-Dec-24</t>
        </is>
      </c>
      <c r="C76" s="278" t="n">
        <v>33</v>
      </c>
      <c r="D76" s="280" t="inlineStr">
        <is>
          <t>KUPA | Pembelian Mesin Retort Horizontal 500 Lt Automatic Control</t>
        </is>
      </c>
      <c r="E76" s="280" t="inlineStr">
        <is>
          <t>BCA</t>
        </is>
      </c>
      <c r="F76" s="287" t="n">
        <v>141500000</v>
      </c>
      <c r="G76" s="282" t="inlineStr">
        <is>
          <t>IDR</t>
        </is>
      </c>
      <c r="H76" s="288" t="n">
        <v>1</v>
      </c>
      <c r="I76" s="289" t="n">
        <v>141500000</v>
      </c>
      <c r="J76" s="290" t="n"/>
      <c r="K76" s="291" t="n"/>
      <c r="L76" s="280" t="n"/>
      <c r="M76" s="280" t="n"/>
      <c r="N76" s="280" t="n"/>
      <c r="O76" s="280" t="n"/>
      <c r="P76" s="280" t="n"/>
      <c r="Q76" s="280" t="n"/>
      <c r="R76" s="285" t="n"/>
      <c r="S76" s="285" t="n"/>
      <c r="T76" s="285" t="n"/>
      <c r="U76" s="285" t="n"/>
      <c r="V76" s="285" t="n"/>
      <c r="W76" s="285" t="n"/>
      <c r="X76" s="285" t="n"/>
      <c r="Y76" s="285" t="n"/>
    </row>
    <row r="77" ht="15.5" customHeight="1">
      <c r="B77" s="277" t="n"/>
      <c r="C77" s="278" t="n"/>
      <c r="D77" s="279" t="inlineStr">
        <is>
          <t>Bisnis Dev</t>
        </is>
      </c>
      <c r="E77" s="280" t="n"/>
      <c r="F77" s="281" t="n"/>
      <c r="G77" s="282" t="n"/>
      <c r="H77" s="282" t="n"/>
      <c r="I77" s="283" t="n"/>
      <c r="J77" s="283" t="n"/>
      <c r="K77" s="284" t="n"/>
      <c r="L77" s="279" t="n"/>
      <c r="M77" s="279" t="n"/>
      <c r="N77" s="279" t="n"/>
      <c r="O77" s="279" t="n"/>
      <c r="P77" s="279" t="n"/>
      <c r="Q77" s="279" t="n"/>
      <c r="R77" s="285" t="n"/>
      <c r="S77" s="285" t="n"/>
      <c r="T77" s="285" t="n"/>
      <c r="U77" s="285" t="n"/>
      <c r="V77" s="285" t="n"/>
      <c r="W77" s="285" t="n"/>
      <c r="X77" s="285" t="n"/>
      <c r="Y77" s="285" t="n"/>
    </row>
    <row r="78" ht="15.5" customHeight="1">
      <c r="B78" s="286" t="inlineStr">
        <is>
          <t>10-Jul-24</t>
        </is>
      </c>
      <c r="C78" s="278" t="n">
        <v>34</v>
      </c>
      <c r="D78" s="280" t="inlineStr">
        <is>
          <t>Pembelian Lisence Sonoechometer to PT Weebz Mandiri</t>
        </is>
      </c>
      <c r="E78" s="280" t="inlineStr">
        <is>
          <t>BCA</t>
        </is>
      </c>
      <c r="F78" s="287" t="n">
        <v>16650000</v>
      </c>
      <c r="G78" s="282" t="inlineStr">
        <is>
          <t>IDR</t>
        </is>
      </c>
      <c r="H78" s="288" t="n">
        <v>1</v>
      </c>
      <c r="I78" s="290" t="n"/>
      <c r="J78" s="290" t="n"/>
      <c r="K78" s="291" t="n"/>
      <c r="L78" s="280" t="n"/>
      <c r="M78" s="280" t="n"/>
      <c r="N78" s="280" t="n"/>
      <c r="O78" s="280" t="n"/>
      <c r="P78" s="280" t="n"/>
      <c r="Q78" s="280" t="n"/>
      <c r="R78" s="293" t="n">
        <v>16650000</v>
      </c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15-Aug-24</t>
        </is>
      </c>
      <c r="C79" s="278" t="n">
        <v>35</v>
      </c>
      <c r="D79" s="280" t="inlineStr">
        <is>
          <t>MUTRI | Sewa ruangan kantor BBC 2 bulan</t>
        </is>
      </c>
      <c r="E79" s="280" t="inlineStr">
        <is>
          <t>BCA</t>
        </is>
      </c>
      <c r="F79" s="287" t="n">
        <v>11270000</v>
      </c>
      <c r="G79" s="282" t="inlineStr">
        <is>
          <t>IDR</t>
        </is>
      </c>
      <c r="H79" s="288" t="n">
        <v>1</v>
      </c>
      <c r="I79" s="290" t="n"/>
      <c r="J79" s="290" t="n"/>
      <c r="K79" s="291" t="n"/>
      <c r="L79" s="280" t="n"/>
      <c r="M79" s="280" t="n"/>
      <c r="N79" s="280" t="n"/>
      <c r="O79" s="280" t="n"/>
      <c r="P79" s="280" t="n"/>
      <c r="Q79" s="280" t="n"/>
      <c r="R79" s="293" t="n">
        <v>11270000</v>
      </c>
      <c r="S79" s="285" t="n"/>
      <c r="T79" s="285" t="n"/>
      <c r="U79" s="285" t="n"/>
      <c r="V79" s="285" t="n"/>
      <c r="W79" s="285" t="n"/>
      <c r="X79" s="285" t="n"/>
      <c r="Y79" s="285" t="n"/>
    </row>
    <row r="80" ht="15.5" customHeight="1">
      <c r="B80" s="286" t="inlineStr">
        <is>
          <t>04-Sep-24</t>
        </is>
      </c>
      <c r="C80" s="278" t="n">
        <v>36</v>
      </c>
      <c r="D80" s="280" t="inlineStr">
        <is>
          <t>MUTRI | Penambahan modal biaya kerja</t>
        </is>
      </c>
      <c r="E80" s="280" t="inlineStr">
        <is>
          <t>BRI</t>
        </is>
      </c>
      <c r="F80" s="287" t="n">
        <v>100000000</v>
      </c>
      <c r="G80" s="282" t="inlineStr">
        <is>
          <t>IDR</t>
        </is>
      </c>
      <c r="H80" s="288" t="n">
        <v>1</v>
      </c>
      <c r="I80" s="290" t="n"/>
      <c r="J80" s="290" t="n"/>
      <c r="K80" s="291" t="n"/>
      <c r="L80" s="280" t="n"/>
      <c r="M80" s="280" t="n"/>
      <c r="N80" s="280" t="n"/>
      <c r="O80" s="280" t="n"/>
      <c r="P80" s="280" t="n"/>
      <c r="Q80" s="280" t="n"/>
      <c r="R80" s="293" t="n">
        <v>100000000</v>
      </c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inlineStr">
        <is>
          <t>29-Nov-24</t>
        </is>
      </c>
      <c r="C81" s="278" t="n">
        <v>37</v>
      </c>
      <c r="D81" s="280" t="inlineStr">
        <is>
          <t>MUTRI | Penambahan modal biaya kerja 3rd</t>
        </is>
      </c>
      <c r="E81" s="280" t="inlineStr">
        <is>
          <t>BRI</t>
        </is>
      </c>
      <c r="F81" s="287" t="n">
        <v>75000000</v>
      </c>
      <c r="G81" s="282" t="inlineStr">
        <is>
          <t>IDR</t>
        </is>
      </c>
      <c r="H81" s="288" t="n">
        <v>1</v>
      </c>
      <c r="I81" s="290" t="n"/>
      <c r="J81" s="290" t="n"/>
      <c r="K81" s="291" t="n"/>
      <c r="L81" s="280" t="n"/>
      <c r="M81" s="280" t="n"/>
      <c r="N81" s="280" t="n"/>
      <c r="O81" s="280" t="n"/>
      <c r="P81" s="280" t="n"/>
      <c r="Q81" s="280" t="n"/>
      <c r="R81" s="293" t="n">
        <v>75000000</v>
      </c>
      <c r="S81" s="285" t="n"/>
      <c r="T81" s="285" t="n"/>
      <c r="U81" s="285" t="n"/>
      <c r="V81" s="285" t="n"/>
      <c r="W81" s="285" t="n"/>
      <c r="X81" s="285" t="n"/>
      <c r="Y81" s="285" t="n"/>
    </row>
    <row r="82" ht="15.5" customHeight="1">
      <c r="B82" s="277" t="n"/>
      <c r="C82" s="278" t="n"/>
      <c r="D82" s="279" t="inlineStr">
        <is>
          <t>Pembelian Barang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30-Jun-24</t>
        </is>
      </c>
      <c r="C83" s="278" t="n">
        <v>38</v>
      </c>
      <c r="D83" s="280" t="inlineStr">
        <is>
          <t>Downhole Sampling tool #1-1 GARINDO SARANA BARU</t>
        </is>
      </c>
      <c r="E83" s="280" t="inlineStr">
        <is>
          <t>BCA</t>
        </is>
      </c>
      <c r="F83" s="287" t="n">
        <v>39800000</v>
      </c>
      <c r="G83" s="282" t="inlineStr">
        <is>
          <t>IDR</t>
        </is>
      </c>
      <c r="H83" s="288" t="n">
        <v>1</v>
      </c>
      <c r="I83" s="290" t="n"/>
      <c r="J83" s="290" t="n"/>
      <c r="K83" s="291" t="n"/>
      <c r="L83" s="280" t="n"/>
      <c r="M83" s="280" t="n"/>
      <c r="N83" s="280" t="n"/>
      <c r="O83" s="292" t="n">
        <v>39800000</v>
      </c>
      <c r="P83" s="280" t="n"/>
      <c r="Q83" s="280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03-Jul-24</t>
        </is>
      </c>
      <c r="C84" s="278" t="n">
        <v>39</v>
      </c>
      <c r="D84" s="280" t="inlineStr">
        <is>
          <t>Kekurangan (PPN ) ke PT Garindo sarana Baru (Downhole Sampling)</t>
        </is>
      </c>
      <c r="E84" s="280" t="inlineStr">
        <is>
          <t>BCA</t>
        </is>
      </c>
      <c r="F84" s="287" t="n">
        <v>3582000</v>
      </c>
      <c r="G84" s="282" t="inlineStr">
        <is>
          <t>IDR</t>
        </is>
      </c>
      <c r="H84" s="288" t="n">
        <v>1</v>
      </c>
      <c r="I84" s="290" t="n"/>
      <c r="J84" s="290" t="n"/>
      <c r="K84" s="291" t="n"/>
      <c r="L84" s="280" t="n"/>
      <c r="M84" s="280" t="n"/>
      <c r="N84" s="280" t="n"/>
      <c r="O84" s="292" t="n">
        <v>3582000</v>
      </c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  <c r="Y84" s="285" t="n"/>
    </row>
    <row r="85" ht="15.5" customHeight="1">
      <c r="B85" s="286" t="inlineStr">
        <is>
          <t>28-Jul-24</t>
        </is>
      </c>
      <c r="C85" s="278" t="n">
        <v>40</v>
      </c>
      <c r="D85" s="280" t="inlineStr">
        <is>
          <t>Handphone Operational untuk Secretary (Yufitri)</t>
        </is>
      </c>
      <c r="E85" s="280" t="inlineStr">
        <is>
          <t>BCA</t>
        </is>
      </c>
      <c r="F85" s="287" t="n">
        <v>2600000</v>
      </c>
      <c r="G85" s="282" t="inlineStr">
        <is>
          <t>IDR</t>
        </is>
      </c>
      <c r="H85" s="288" t="n">
        <v>1</v>
      </c>
      <c r="I85" s="290" t="n"/>
      <c r="J85" s="290" t="n"/>
      <c r="K85" s="291" t="n"/>
      <c r="L85" s="280" t="n"/>
      <c r="M85" s="280" t="n"/>
      <c r="N85" s="280" t="n"/>
      <c r="O85" s="292" t="n">
        <v>2600000</v>
      </c>
      <c r="P85" s="280" t="n"/>
      <c r="Q85" s="280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inlineStr">
        <is>
          <t>15-Aug-24</t>
        </is>
      </c>
      <c r="C86" s="278" t="n">
        <v>41</v>
      </c>
      <c r="D86" s="280" t="inlineStr">
        <is>
          <t>Downhole Sampling tool #1-2 GARINDO SARANA BARU</t>
        </is>
      </c>
      <c r="E86" s="280" t="inlineStr">
        <is>
          <t>BCA</t>
        </is>
      </c>
      <c r="F86" s="287" t="n">
        <v>53835000</v>
      </c>
      <c r="G86" s="282" t="inlineStr">
        <is>
          <t>IDR</t>
        </is>
      </c>
      <c r="H86" s="288" t="n">
        <v>1</v>
      </c>
      <c r="I86" s="290" t="n"/>
      <c r="J86" s="290" t="n"/>
      <c r="K86" s="291" t="n"/>
      <c r="L86" s="280" t="n"/>
      <c r="M86" s="280" t="n"/>
      <c r="N86" s="280" t="n"/>
      <c r="O86" s="292" t="n">
        <v>53835000</v>
      </c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  <c r="Y86" s="285" t="n"/>
    </row>
    <row r="87" ht="15.5" customHeight="1">
      <c r="A87" s="66" t="n"/>
      <c r="B87" s="286" t="inlineStr">
        <is>
          <t>21-Sep-24</t>
        </is>
      </c>
      <c r="C87" s="278" t="n">
        <v>42</v>
      </c>
      <c r="D87" s="280" t="inlineStr">
        <is>
          <t>Downhole Sampling tool #2 GARINDO SARANA BARU</t>
        </is>
      </c>
      <c r="E87" s="280" t="inlineStr">
        <is>
          <t>BCA</t>
        </is>
      </c>
      <c r="F87" s="287" t="n">
        <v>34299000</v>
      </c>
      <c r="G87" s="282" t="inlineStr">
        <is>
          <t>IDR</t>
        </is>
      </c>
      <c r="H87" s="288" t="n">
        <v>1</v>
      </c>
      <c r="I87" s="290" t="n"/>
      <c r="J87" s="290" t="n"/>
      <c r="K87" s="291" t="n"/>
      <c r="L87" s="280" t="n"/>
      <c r="M87" s="280" t="n"/>
      <c r="N87" s="280" t="n"/>
      <c r="O87" s="292" t="n">
        <v>34299000</v>
      </c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  <c r="Y87" s="285" t="n"/>
    </row>
    <row r="88" ht="15.5" customHeight="1">
      <c r="B88" s="286" t="inlineStr">
        <is>
          <t>04-Dec-24</t>
        </is>
      </c>
      <c r="C88" s="278" t="n">
        <v>43</v>
      </c>
      <c r="D88" s="280" t="inlineStr">
        <is>
          <t>Payment ke UPS Biaya Import pembelian sparepart dari Pei-Genesis</t>
        </is>
      </c>
      <c r="E88" s="280" t="inlineStr">
        <is>
          <t>BRI</t>
        </is>
      </c>
      <c r="F88" s="287" t="n">
        <v>777246</v>
      </c>
      <c r="G88" s="282" t="inlineStr">
        <is>
          <t>IDR</t>
        </is>
      </c>
      <c r="H88" s="288" t="n">
        <v>1</v>
      </c>
      <c r="I88" s="290" t="n"/>
      <c r="J88" s="290" t="n"/>
      <c r="K88" s="291" t="n"/>
      <c r="L88" s="280" t="n"/>
      <c r="M88" s="280" t="n"/>
      <c r="N88" s="280" t="n"/>
      <c r="O88" s="292" t="n">
        <v>777246</v>
      </c>
      <c r="P88" s="280" t="n"/>
      <c r="Q88" s="280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  <c r="R89" s="285" t="n"/>
      <c r="S89" s="285" t="n"/>
      <c r="T89" s="285" t="n"/>
      <c r="U89" s="285" t="n"/>
      <c r="V89" s="285" t="n"/>
      <c r="W89" s="285" t="n"/>
      <c r="X89" s="285" t="n"/>
      <c r="Y89" s="285" t="n"/>
    </row>
    <row r="90" ht="15.5" customHeight="1">
      <c r="A90" s="66" t="n"/>
      <c r="B90" s="286" t="inlineStr">
        <is>
          <t>11-Jan-24</t>
        </is>
      </c>
      <c r="C90" s="278" t="n">
        <v>44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89" t="n">
        <v>29640916</v>
      </c>
      <c r="J90" s="290" t="n"/>
      <c r="K90" s="291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45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>
        <v>29640916</v>
      </c>
      <c r="J91" s="290" t="n"/>
      <c r="K91" s="291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  <c r="Y91" s="285" t="n"/>
    </row>
    <row r="92" ht="15.5" customHeight="1">
      <c r="B92" s="286" t="inlineStr">
        <is>
          <t>11-Jan-24</t>
        </is>
      </c>
      <c r="C92" s="278" t="n">
        <v>46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>
        <v>29640916</v>
      </c>
      <c r="J92" s="290" t="n"/>
      <c r="K92" s="291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inlineStr">
        <is>
          <t>03-Jun-24</t>
        </is>
      </c>
      <c r="C93" s="278" t="n">
        <v>47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>
        <v>29640916</v>
      </c>
      <c r="J93" s="290" t="n"/>
      <c r="K93" s="291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  <c r="Y93" s="285" t="n"/>
    </row>
    <row r="94" ht="15.5" customHeight="1">
      <c r="A94" s="66" t="n"/>
      <c r="B94" s="286" t="inlineStr">
        <is>
          <t>04-Jun-24</t>
        </is>
      </c>
      <c r="C94" s="278" t="n">
        <v>48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>
        <v>29640916</v>
      </c>
      <c r="J94" s="290" t="n"/>
      <c r="K94" s="291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  <c r="Y94" s="285" t="n"/>
    </row>
    <row r="95" ht="15.5" customHeight="1">
      <c r="B95" s="286" t="inlineStr">
        <is>
          <t>02-Sep-24</t>
        </is>
      </c>
      <c r="C95" s="278" t="n">
        <v>49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>
        <v>29640916</v>
      </c>
      <c r="J95" s="290" t="n"/>
      <c r="K95" s="291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  <c r="Y95" s="285" t="n"/>
    </row>
    <row r="96" ht="15.5" customHeight="1">
      <c r="B96" s="286" t="inlineStr">
        <is>
          <t>04-Oct-24</t>
        </is>
      </c>
      <c r="C96" s="278" t="n">
        <v>50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7" t="n">
        <v>16165271</v>
      </c>
      <c r="G96" s="282" t="inlineStr">
        <is>
          <t>IDR</t>
        </is>
      </c>
      <c r="H96" s="288" t="n">
        <v>1</v>
      </c>
      <c r="I96" s="289" t="n">
        <v>16165271</v>
      </c>
      <c r="J96" s="290" t="n"/>
      <c r="K96" s="291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  <c r="Y96" s="285" t="n"/>
    </row>
    <row r="97" ht="15.5" customHeight="1">
      <c r="B97" s="286" t="inlineStr">
        <is>
          <t>04-Oct-24</t>
        </is>
      </c>
      <c r="C97" s="278" t="n">
        <v>51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7" t="n">
        <v>25967616</v>
      </c>
      <c r="G97" s="282" t="inlineStr">
        <is>
          <t>IDR</t>
        </is>
      </c>
      <c r="H97" s="288" t="n">
        <v>1</v>
      </c>
      <c r="I97" s="289" t="n">
        <v>25967616</v>
      </c>
      <c r="J97" s="290" t="n"/>
      <c r="K97" s="291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  <c r="Y97" s="285" t="n"/>
    </row>
    <row r="98" ht="15.5" customHeight="1">
      <c r="B98" s="286" t="inlineStr">
        <is>
          <t>04-Oct-24</t>
        </is>
      </c>
      <c r="C98" s="278" t="n">
        <v>52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7" t="n">
        <v>32101247</v>
      </c>
      <c r="G98" s="282" t="inlineStr">
        <is>
          <t>IDR</t>
        </is>
      </c>
      <c r="H98" s="288" t="n">
        <v>1</v>
      </c>
      <c r="I98" s="289" t="n">
        <v>32101247</v>
      </c>
      <c r="J98" s="290" t="n"/>
      <c r="K98" s="291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  <c r="Y98" s="285" t="n"/>
    </row>
    <row r="99" ht="15.5" customHeight="1">
      <c r="B99" s="286" t="inlineStr">
        <is>
          <t>07-Oct-24</t>
        </is>
      </c>
      <c r="C99" s="278" t="n">
        <v>53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7" t="n">
        <v>29640916</v>
      </c>
      <c r="G99" s="282" t="inlineStr">
        <is>
          <t>IDR</t>
        </is>
      </c>
      <c r="H99" s="288" t="n">
        <v>1</v>
      </c>
      <c r="I99" s="289" t="n">
        <v>29640916</v>
      </c>
      <c r="J99" s="290" t="n"/>
      <c r="K99" s="291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  <c r="Y99" s="285" t="n"/>
    </row>
    <row r="100" ht="15.5" customHeight="1">
      <c r="B100" s="286" t="inlineStr">
        <is>
          <t>11-Oct-24</t>
        </is>
      </c>
      <c r="C100" s="278" t="n">
        <v>54</v>
      </c>
      <c r="D100" s="280" t="inlineStr">
        <is>
          <t>MPLT/GR-CCL/ALFA TIS - Rental Tool</t>
        </is>
      </c>
      <c r="E100" s="280" t="inlineStr">
        <is>
          <t>BCA</t>
        </is>
      </c>
      <c r="F100" s="287" t="n">
        <v>74291457</v>
      </c>
      <c r="G100" s="282" t="inlineStr">
        <is>
          <t>IDR</t>
        </is>
      </c>
      <c r="H100" s="288" t="n">
        <v>1</v>
      </c>
      <c r="I100" s="289" t="n">
        <v>74291457</v>
      </c>
      <c r="J100" s="290" t="n"/>
      <c r="K100" s="291" t="n"/>
      <c r="L100" s="280" t="n"/>
      <c r="M100" s="280" t="n"/>
      <c r="N100" s="280" t="n"/>
      <c r="O100" s="280" t="n"/>
      <c r="P100" s="280" t="n"/>
      <c r="Q100" s="280" t="n"/>
      <c r="R100" s="285" t="n"/>
      <c r="S100" s="285" t="n"/>
      <c r="T100" s="285" t="n"/>
      <c r="U100" s="285" t="n"/>
      <c r="V100" s="285" t="n"/>
      <c r="W100" s="285" t="n"/>
      <c r="X100" s="285" t="n"/>
      <c r="Y100" s="285" t="n"/>
    </row>
    <row r="101" ht="15.5" customHeight="1">
      <c r="B101" s="277" t="n"/>
      <c r="C101" s="278" t="n"/>
      <c r="D101" s="279" t="inlineStr">
        <is>
          <t>Sewa Kantor</t>
        </is>
      </c>
      <c r="E101" s="280" t="n"/>
      <c r="F101" s="281" t="n"/>
      <c r="G101" s="282" t="n"/>
      <c r="H101" s="282" t="n"/>
      <c r="I101" s="283" t="n"/>
      <c r="J101" s="283" t="n"/>
      <c r="K101" s="284" t="n"/>
      <c r="L101" s="279" t="n"/>
      <c r="M101" s="279" t="n"/>
      <c r="N101" s="279" t="n"/>
      <c r="O101" s="279" t="n"/>
      <c r="P101" s="279" t="n"/>
      <c r="Q101" s="279" t="n"/>
      <c r="R101" s="285" t="n"/>
      <c r="S101" s="285" t="n"/>
      <c r="T101" s="285" t="n"/>
      <c r="U101" s="285" t="n"/>
      <c r="V101" s="285" t="n"/>
      <c r="W101" s="285" t="n"/>
      <c r="X101" s="285" t="n"/>
      <c r="Y101" s="285" t="n"/>
    </row>
    <row r="102" ht="15.5" customHeight="1">
      <c r="B102" s="286" t="inlineStr">
        <is>
          <t>06-Dec-24</t>
        </is>
      </c>
      <c r="C102" s="278" t="n">
        <v>55</v>
      </c>
      <c r="D102" s="280" t="inlineStr">
        <is>
          <t>Sewa Virtual Office 1th, 1jan25 - 31des25_BBC_ Ganesha Dwipaya B</t>
        </is>
      </c>
      <c r="E102" s="280" t="inlineStr">
        <is>
          <t>BCA</t>
        </is>
      </c>
      <c r="F102" s="287" t="n">
        <v>4995000</v>
      </c>
      <c r="G102" s="282" t="inlineStr">
        <is>
          <t>IDR</t>
        </is>
      </c>
      <c r="H102" s="288" t="n">
        <v>1</v>
      </c>
      <c r="I102" s="290" t="n"/>
      <c r="J102" s="290" t="n"/>
      <c r="K102" s="291" t="n"/>
      <c r="L102" s="280" t="n"/>
      <c r="M102" s="280" t="n"/>
      <c r="N102" s="280" t="n"/>
      <c r="O102" s="280" t="n"/>
      <c r="P102" s="292" t="n">
        <v>4995000</v>
      </c>
      <c r="Q102" s="280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94" t="n"/>
      <c r="C103" s="295" t="n"/>
      <c r="D103" s="296" t="inlineStr">
        <is>
          <t>OPERATION COST AND OFFICE - Expenses Report</t>
        </is>
      </c>
      <c r="E103" s="297" t="n"/>
      <c r="F103" s="298" t="n"/>
      <c r="G103" s="295" t="n"/>
      <c r="H103" s="295" t="n"/>
      <c r="I103" s="299" t="n"/>
      <c r="J103" s="300" t="n"/>
      <c r="K103" s="299" t="n"/>
      <c r="L103" s="299" t="n"/>
      <c r="M103" s="299" t="n"/>
      <c r="N103" s="299" t="n"/>
      <c r="O103" s="299" t="n"/>
      <c r="P103" s="299" t="n"/>
      <c r="Q103" s="299" t="n"/>
      <c r="R103" s="301" t="n"/>
      <c r="S103" s="301" t="n"/>
      <c r="T103" s="301" t="n"/>
      <c r="U103" s="301" t="n"/>
      <c r="V103" s="301" t="n"/>
      <c r="W103" s="301" t="n"/>
      <c r="X103" s="301" t="n"/>
      <c r="Y103" s="301" t="n"/>
    </row>
    <row r="104" ht="15.5" customHeight="1">
      <c r="B104" s="302" t="inlineStr">
        <is>
          <t>Expense#1</t>
        </is>
      </c>
      <c r="C104" s="303" t="inlineStr">
        <is>
          <t>:</t>
        </is>
      </c>
      <c r="D104" s="304" t="inlineStr">
        <is>
          <t>ALFA_ TLJ-58 (PEPZ4-Prabumulih field) SIJak- IC</t>
        </is>
      </c>
      <c r="E104" s="305" t="n"/>
      <c r="F104" s="306" t="n"/>
      <c r="G104" s="303" t="n"/>
      <c r="H104" s="303" t="n"/>
      <c r="I104" s="307" t="n"/>
      <c r="J104" s="308" t="n"/>
      <c r="K104" s="309" t="n"/>
      <c r="L104" s="309" t="n"/>
      <c r="M104" s="309" t="n"/>
      <c r="N104" s="309" t="n"/>
      <c r="O104" s="309" t="n"/>
      <c r="P104" s="309" t="n"/>
      <c r="Q104" s="309" t="n"/>
      <c r="R104" s="310" t="n"/>
      <c r="S104" s="310" t="n"/>
      <c r="T104" s="310" t="n"/>
      <c r="U104" s="310" t="n"/>
      <c r="V104" s="310" t="n"/>
      <c r="W104" s="310" t="n"/>
      <c r="X104" s="310" t="n"/>
      <c r="Y104" s="310" t="n"/>
    </row>
    <row r="105" ht="15.5" customHeight="1">
      <c r="B105" s="311" t="n"/>
      <c r="C105" s="278" t="n"/>
      <c r="D105" s="312" t="inlineStr">
        <is>
          <t>Biaya Operasi</t>
        </is>
      </c>
      <c r="E105" s="313" t="n"/>
      <c r="F105" s="314" t="n"/>
      <c r="G105" s="278" t="n"/>
      <c r="H105" s="278" t="n"/>
      <c r="I105" s="283" t="n"/>
      <c r="J105" s="284" t="n"/>
      <c r="K105" s="279" t="n"/>
      <c r="L105" s="279" t="n"/>
      <c r="M105" s="279" t="n"/>
      <c r="N105" s="279" t="n"/>
      <c r="O105" s="279" t="n"/>
      <c r="P105" s="279" t="n"/>
      <c r="Q105" s="279" t="n"/>
      <c r="R105" s="315" t="n"/>
      <c r="S105" s="315" t="n"/>
      <c r="T105" s="315" t="n"/>
      <c r="U105" s="315" t="n"/>
      <c r="V105" s="315" t="n"/>
      <c r="W105" s="315" t="n"/>
      <c r="X105" s="315" t="n"/>
      <c r="Y105" s="315" t="n"/>
    </row>
    <row r="106" ht="15.5" customHeight="1">
      <c r="B106" s="286" t="inlineStr">
        <is>
          <t>07-Feb-24</t>
        </is>
      </c>
      <c r="C106" s="278" t="n">
        <v>1</v>
      </c>
      <c r="D106" s="280" t="inlineStr">
        <is>
          <t>Airplane Ticket CGK-PLM</t>
        </is>
      </c>
      <c r="E106" s="280" t="inlineStr">
        <is>
          <t>-</t>
        </is>
      </c>
      <c r="F106" s="287" t="n">
        <v>1608000</v>
      </c>
      <c r="G106" s="282" t="inlineStr">
        <is>
          <t>IDR</t>
        </is>
      </c>
      <c r="H106" s="288" t="n">
        <v>1</v>
      </c>
      <c r="I106" s="290" t="n"/>
      <c r="J106" s="289" t="n">
        <v>1608000</v>
      </c>
      <c r="K106" s="291" t="n"/>
      <c r="L106" s="280" t="n"/>
      <c r="M106" s="280" t="n"/>
      <c r="N106" s="280" t="n"/>
      <c r="O106" s="280" t="n"/>
      <c r="P106" s="280" t="n"/>
      <c r="Q106" s="280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2</v>
      </c>
      <c r="D107" s="280" t="inlineStr">
        <is>
          <t>Taxi Bintaro-CGK</t>
        </is>
      </c>
      <c r="E107" s="280" t="inlineStr">
        <is>
          <t>-</t>
        </is>
      </c>
      <c r="F107" s="287" t="n">
        <v>250000</v>
      </c>
      <c r="G107" s="282" t="inlineStr">
        <is>
          <t>IDR</t>
        </is>
      </c>
      <c r="H107" s="288" t="n">
        <v>1</v>
      </c>
      <c r="I107" s="290" t="n"/>
      <c r="J107" s="289" t="n">
        <v>250000</v>
      </c>
      <c r="K107" s="291" t="n"/>
      <c r="L107" s="280" t="n"/>
      <c r="M107" s="280" t="n"/>
      <c r="N107" s="280" t="n"/>
      <c r="O107" s="280" t="n"/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inlineStr">
        <is>
          <t>07-Feb-24</t>
        </is>
      </c>
      <c r="C108" s="278" t="n">
        <v>3</v>
      </c>
      <c r="D108" s="280" t="inlineStr">
        <is>
          <t>Hotel 7 Feb-8 Feb 2024 (1 days)</t>
        </is>
      </c>
      <c r="E108" s="280" t="inlineStr">
        <is>
          <t>-</t>
        </is>
      </c>
      <c r="F108" s="287" t="n">
        <v>200000</v>
      </c>
      <c r="G108" s="282" t="inlineStr">
        <is>
          <t>IDR</t>
        </is>
      </c>
      <c r="H108" s="288" t="n">
        <v>1</v>
      </c>
      <c r="I108" s="290" t="n"/>
      <c r="J108" s="289" t="n">
        <v>200000</v>
      </c>
      <c r="K108" s="291" t="n"/>
      <c r="L108" s="280" t="n"/>
      <c r="M108" s="280" t="n"/>
      <c r="N108" s="280" t="n"/>
      <c r="O108" s="280" t="n"/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  <c r="Y108" s="285" t="n"/>
    </row>
    <row r="109" ht="15.5" customHeight="1">
      <c r="B109" s="286" t="inlineStr">
        <is>
          <t>07-Feb-24</t>
        </is>
      </c>
      <c r="C109" s="278" t="n">
        <v>4</v>
      </c>
      <c r="D109" s="280" t="inlineStr">
        <is>
          <t>Hotel Prabumulih 8 Feb- 7 Mar 2024 (1 Month)</t>
        </is>
      </c>
      <c r="E109" s="280" t="inlineStr">
        <is>
          <t>-</t>
        </is>
      </c>
      <c r="F109" s="287" t="n">
        <v>3300000</v>
      </c>
      <c r="G109" s="282" t="inlineStr">
        <is>
          <t>IDR</t>
        </is>
      </c>
      <c r="H109" s="288" t="n">
        <v>1</v>
      </c>
      <c r="I109" s="290" t="n"/>
      <c r="J109" s="289" t="n">
        <v>3300000</v>
      </c>
      <c r="K109" s="291" t="n"/>
      <c r="L109" s="280" t="n"/>
      <c r="M109" s="280" t="n"/>
      <c r="N109" s="280" t="n"/>
      <c r="O109" s="280" t="n"/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  <c r="Y109" s="285" t="n"/>
    </row>
    <row r="110" ht="15.5" customHeight="1">
      <c r="B110" s="286" t="inlineStr">
        <is>
          <t>08-Feb-24</t>
        </is>
      </c>
      <c r="C110" s="278" t="n">
        <v>5</v>
      </c>
      <c r="D110" s="280" t="inlineStr">
        <is>
          <t>Rental Mobil Pajero 1 Hari</t>
        </is>
      </c>
      <c r="E110" s="280" t="inlineStr">
        <is>
          <t>-</t>
        </is>
      </c>
      <c r="F110" s="287" t="n">
        <v>900000</v>
      </c>
      <c r="G110" s="282" t="inlineStr">
        <is>
          <t>IDR</t>
        </is>
      </c>
      <c r="H110" s="288" t="n">
        <v>1</v>
      </c>
      <c r="I110" s="290" t="n"/>
      <c r="J110" s="289" t="n">
        <v>900000</v>
      </c>
      <c r="K110" s="291" t="n"/>
      <c r="L110" s="280" t="n"/>
      <c r="M110" s="280" t="n"/>
      <c r="N110" s="280" t="n"/>
      <c r="O110" s="280" t="n"/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  <c r="Y110" s="285" t="n"/>
    </row>
    <row r="111" ht="15.5" customHeight="1">
      <c r="B111" s="286" t="inlineStr">
        <is>
          <t>08-Feb-24</t>
        </is>
      </c>
      <c r="C111" s="278" t="n">
        <v>6</v>
      </c>
      <c r="D111" s="280" t="inlineStr">
        <is>
          <t>Rental Mobil Pajero Sebulan</t>
        </is>
      </c>
      <c r="E111" s="280" t="inlineStr">
        <is>
          <t>-</t>
        </is>
      </c>
      <c r="F111" s="287" t="n">
        <v>18000000</v>
      </c>
      <c r="G111" s="282" t="inlineStr">
        <is>
          <t>IDR</t>
        </is>
      </c>
      <c r="H111" s="288" t="n">
        <v>1</v>
      </c>
      <c r="I111" s="290" t="n"/>
      <c r="J111" s="289" t="n">
        <v>18000000</v>
      </c>
      <c r="K111" s="291" t="n"/>
      <c r="L111" s="280" t="n"/>
      <c r="M111" s="280" t="n"/>
      <c r="N111" s="280" t="n"/>
      <c r="O111" s="280" t="n"/>
      <c r="P111" s="280" t="n"/>
      <c r="Q111" s="280" t="n"/>
      <c r="R111" s="285" t="n"/>
      <c r="S111" s="285" t="n"/>
      <c r="T111" s="285" t="n"/>
      <c r="U111" s="285" t="n"/>
      <c r="V111" s="285" t="n"/>
      <c r="W111" s="285" t="n"/>
      <c r="X111" s="285" t="n"/>
      <c r="Y111" s="285" t="n"/>
    </row>
    <row r="112" ht="15.5" customHeight="1">
      <c r="B112" s="286" t="inlineStr">
        <is>
          <t>04-Mar-24</t>
        </is>
      </c>
      <c r="C112" s="278" t="n">
        <v>7</v>
      </c>
      <c r="D112" s="280" t="inlineStr">
        <is>
          <t>Airplane Ticket PLM-CGK</t>
        </is>
      </c>
      <c r="E112" s="280" t="inlineStr">
        <is>
          <t>-</t>
        </is>
      </c>
      <c r="F112" s="287" t="n">
        <v>1119500</v>
      </c>
      <c r="G112" s="282" t="inlineStr">
        <is>
          <t>IDR</t>
        </is>
      </c>
      <c r="H112" s="288" t="n">
        <v>1</v>
      </c>
      <c r="I112" s="290" t="n"/>
      <c r="J112" s="289" t="n">
        <v>1119500</v>
      </c>
      <c r="K112" s="291" t="n"/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  <c r="Y112" s="285" t="n"/>
    </row>
    <row r="113" ht="15.5" customHeight="1">
      <c r="B113" s="286" t="inlineStr">
        <is>
          <t>04-Mar-24</t>
        </is>
      </c>
      <c r="C113" s="278" t="n">
        <v>8</v>
      </c>
      <c r="D113" s="280" t="inlineStr">
        <is>
          <t>Taxi CGK-Bintaro</t>
        </is>
      </c>
      <c r="E113" s="280" t="inlineStr">
        <is>
          <t>-</t>
        </is>
      </c>
      <c r="F113" s="287" t="n">
        <v>250000</v>
      </c>
      <c r="G113" s="282" t="inlineStr">
        <is>
          <t>IDR</t>
        </is>
      </c>
      <c r="H113" s="288" t="n">
        <v>1</v>
      </c>
      <c r="I113" s="290" t="n"/>
      <c r="J113" s="289" t="n">
        <v>250000</v>
      </c>
      <c r="K113" s="291" t="n"/>
      <c r="L113" s="280" t="n"/>
      <c r="M113" s="280" t="n"/>
      <c r="N113" s="280" t="n"/>
      <c r="O113" s="280" t="n"/>
      <c r="P113" s="280" t="n"/>
      <c r="Q113" s="280" t="n"/>
      <c r="R113" s="285" t="n"/>
      <c r="S113" s="285" t="n"/>
      <c r="T113" s="285" t="n"/>
      <c r="U113" s="285" t="n"/>
      <c r="V113" s="285" t="n"/>
      <c r="W113" s="285" t="n"/>
      <c r="X113" s="285" t="n"/>
      <c r="Y113" s="285" t="n"/>
    </row>
    <row r="114" ht="15.5" customHeight="1">
      <c r="B114" s="286" t="inlineStr">
        <is>
          <t>04-Mar-24</t>
        </is>
      </c>
      <c r="C114" s="278" t="n">
        <v>9</v>
      </c>
      <c r="D114" s="280" t="inlineStr">
        <is>
          <t>Fuel</t>
        </is>
      </c>
      <c r="E114" s="280" t="inlineStr">
        <is>
          <t>-</t>
        </is>
      </c>
      <c r="F114" s="287" t="n">
        <v>1498484</v>
      </c>
      <c r="G114" s="282" t="inlineStr">
        <is>
          <t>IDR</t>
        </is>
      </c>
      <c r="H114" s="288" t="n">
        <v>1</v>
      </c>
      <c r="I114" s="290" t="n"/>
      <c r="J114" s="289" t="n">
        <v>1498484</v>
      </c>
      <c r="K114" s="291" t="n"/>
      <c r="L114" s="280" t="n"/>
      <c r="M114" s="280" t="n"/>
      <c r="N114" s="280" t="n"/>
      <c r="O114" s="280" t="n"/>
      <c r="P114" s="280" t="n"/>
      <c r="Q114" s="280" t="n"/>
      <c r="R114" s="285" t="n"/>
      <c r="S114" s="285" t="n"/>
      <c r="T114" s="285" t="n"/>
      <c r="U114" s="285" t="n"/>
      <c r="V114" s="285" t="n"/>
      <c r="W114" s="285" t="n"/>
      <c r="X114" s="285" t="n"/>
      <c r="Y114" s="285" t="n"/>
    </row>
    <row r="115" ht="15.5" customHeight="1">
      <c r="B115" s="286" t="inlineStr">
        <is>
          <t>04-Mar-24</t>
        </is>
      </c>
      <c r="C115" s="278" t="n">
        <v>10</v>
      </c>
      <c r="D115" s="280" t="inlineStr">
        <is>
          <t>Toll Fee</t>
        </is>
      </c>
      <c r="E115" s="280" t="inlineStr">
        <is>
          <t>-</t>
        </is>
      </c>
      <c r="F115" s="287" t="n">
        <v>378000</v>
      </c>
      <c r="G115" s="282" t="inlineStr">
        <is>
          <t>IDR</t>
        </is>
      </c>
      <c r="H115" s="288" t="n">
        <v>1</v>
      </c>
      <c r="I115" s="290" t="n"/>
      <c r="J115" s="289" t="n">
        <v>378000</v>
      </c>
      <c r="K115" s="291" t="n"/>
      <c r="L115" s="280" t="n"/>
      <c r="M115" s="280" t="n"/>
      <c r="N115" s="280" t="n"/>
      <c r="O115" s="280" t="n"/>
      <c r="P115" s="280" t="n"/>
      <c r="Q115" s="280" t="n"/>
      <c r="R115" s="285" t="n"/>
      <c r="S115" s="285" t="n"/>
      <c r="T115" s="285" t="n"/>
      <c r="U115" s="285" t="n"/>
      <c r="V115" s="285" t="n"/>
      <c r="W115" s="285" t="n"/>
      <c r="X115" s="285" t="n"/>
      <c r="Y115" s="285" t="n"/>
    </row>
    <row r="116" ht="15.5" customHeight="1">
      <c r="B116" s="286" t="inlineStr">
        <is>
          <t>04-Mar-24</t>
        </is>
      </c>
      <c r="C116" s="278" t="n">
        <v>11</v>
      </c>
      <c r="D116" s="280" t="inlineStr">
        <is>
          <t>Laundry 27 days 1 Persons @ 50K IDR/day</t>
        </is>
      </c>
      <c r="E116" s="280" t="inlineStr">
        <is>
          <t>-</t>
        </is>
      </c>
      <c r="F116" s="287" t="n">
        <v>1350000</v>
      </c>
      <c r="G116" s="282" t="inlineStr">
        <is>
          <t>IDR</t>
        </is>
      </c>
      <c r="H116" s="288" t="n">
        <v>1</v>
      </c>
      <c r="I116" s="290" t="n"/>
      <c r="J116" s="289" t="n">
        <v>1350000</v>
      </c>
      <c r="K116" s="291" t="n"/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  <c r="Y116" s="285" t="n"/>
    </row>
    <row r="117" ht="15.5" customHeight="1">
      <c r="B117" s="286" t="inlineStr">
        <is>
          <t>04-Mar-24</t>
        </is>
      </c>
      <c r="C117" s="278" t="n">
        <v>12</v>
      </c>
      <c r="D117" s="280" t="inlineStr">
        <is>
          <t>Meal Crew's Operational</t>
        </is>
      </c>
      <c r="E117" s="280" t="inlineStr">
        <is>
          <t>-</t>
        </is>
      </c>
      <c r="F117" s="287" t="n">
        <v>1966300</v>
      </c>
      <c r="G117" s="282" t="inlineStr">
        <is>
          <t>IDR</t>
        </is>
      </c>
      <c r="H117" s="288" t="n">
        <v>1</v>
      </c>
      <c r="I117" s="290" t="n"/>
      <c r="J117" s="289" t="n">
        <v>1966300</v>
      </c>
      <c r="K117" s="291" t="n"/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  <c r="Y117" s="285" t="n"/>
    </row>
    <row r="118" ht="15.5" customHeight="1">
      <c r="B118" s="286" t="inlineStr">
        <is>
          <t>04-Mar-24</t>
        </is>
      </c>
      <c r="C118" s="278" t="n">
        <v>13</v>
      </c>
      <c r="D118" s="280" t="inlineStr">
        <is>
          <t>Meals 27 days 1 Persons @ 150K IDR/day</t>
        </is>
      </c>
      <c r="E118" s="280" t="inlineStr">
        <is>
          <t>-</t>
        </is>
      </c>
      <c r="F118" s="287" t="n">
        <v>4050000</v>
      </c>
      <c r="G118" s="282" t="inlineStr">
        <is>
          <t>IDR</t>
        </is>
      </c>
      <c r="H118" s="288" t="n">
        <v>1</v>
      </c>
      <c r="I118" s="290" t="n"/>
      <c r="J118" s="289" t="n">
        <v>4050000</v>
      </c>
      <c r="K118" s="291" t="n"/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  <c r="Y118" s="285" t="n"/>
    </row>
    <row r="119" ht="15.5" customHeight="1">
      <c r="B119" s="286" t="inlineStr">
        <is>
          <t>04-Mar-24</t>
        </is>
      </c>
      <c r="C119" s="278" t="n">
        <v>14</v>
      </c>
      <c r="D119" s="280" t="inlineStr">
        <is>
          <t>Tunjangan Lapangan for 27 days</t>
        </is>
      </c>
      <c r="E119" s="280" t="inlineStr">
        <is>
          <t>-</t>
        </is>
      </c>
      <c r="F119" s="287" t="n">
        <v>42589800</v>
      </c>
      <c r="G119" s="282" t="inlineStr">
        <is>
          <t>USD</t>
        </is>
      </c>
      <c r="H119" s="288" t="n">
        <v>15774</v>
      </c>
      <c r="I119" s="290" t="n"/>
      <c r="J119" s="289" t="n">
        <v>42589800</v>
      </c>
      <c r="K119" s="291" t="n"/>
      <c r="L119" s="280" t="n"/>
      <c r="M119" s="280" t="n"/>
      <c r="N119" s="280" t="n"/>
      <c r="O119" s="280" t="n"/>
      <c r="P119" s="280" t="n"/>
      <c r="Q119" s="280" t="n"/>
      <c r="R119" s="285" t="n"/>
      <c r="S119" s="285" t="n"/>
      <c r="T119" s="285" t="n"/>
      <c r="U119" s="285" t="n"/>
      <c r="V119" s="285" t="n"/>
      <c r="W119" s="285" t="n"/>
      <c r="X119" s="285" t="n"/>
      <c r="Y119" s="285" t="n"/>
    </row>
    <row r="120" ht="15.5" customHeight="1">
      <c r="B120" s="311" t="n"/>
      <c r="C120" s="278" t="n"/>
      <c r="D120" s="312" t="inlineStr">
        <is>
          <t>Pembelian Barang</t>
        </is>
      </c>
      <c r="E120" s="280" t="n"/>
      <c r="F120" s="314" t="n"/>
      <c r="G120" s="278" t="n"/>
      <c r="H120" s="278" t="n"/>
      <c r="I120" s="279" t="n"/>
      <c r="J120" s="284" t="n"/>
      <c r="K120" s="279" t="n"/>
      <c r="L120" s="279" t="n"/>
      <c r="M120" s="283" t="n"/>
      <c r="N120" s="283" t="n"/>
      <c r="O120" s="279" t="n"/>
      <c r="P120" s="279" t="n"/>
      <c r="Q120" s="279" t="n"/>
      <c r="R120" s="315" t="n"/>
      <c r="S120" s="315" t="n"/>
      <c r="T120" s="315" t="n"/>
      <c r="U120" s="315" t="n"/>
      <c r="V120" s="315" t="n"/>
      <c r="W120" s="315" t="n"/>
      <c r="X120" s="315" t="n"/>
      <c r="Y120" s="315" t="n"/>
    </row>
    <row r="121" ht="15.5" customHeight="1">
      <c r="B121" s="286" t="inlineStr">
        <is>
          <t>07-Feb-24</t>
        </is>
      </c>
      <c r="C121" s="278" t="n">
        <v>15</v>
      </c>
      <c r="D121" s="280" t="inlineStr">
        <is>
          <t>Gloves</t>
        </is>
      </c>
      <c r="E121" s="280" t="inlineStr">
        <is>
          <t>-</t>
        </is>
      </c>
      <c r="F121" s="287" t="n">
        <v>58500</v>
      </c>
      <c r="G121" s="282" t="inlineStr">
        <is>
          <t>IDR</t>
        </is>
      </c>
      <c r="H121" s="288" t="n">
        <v>1</v>
      </c>
      <c r="I121" s="290" t="n"/>
      <c r="J121" s="290" t="n"/>
      <c r="K121" s="291" t="n"/>
      <c r="L121" s="280" t="n"/>
      <c r="M121" s="280" t="n"/>
      <c r="N121" s="280" t="n"/>
      <c r="O121" s="292" t="n">
        <v>58500</v>
      </c>
      <c r="P121" s="280" t="n"/>
      <c r="Q121" s="280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19-Feb-24</t>
        </is>
      </c>
      <c r="C122" s="278" t="n">
        <v>16</v>
      </c>
      <c r="D122" s="280" t="inlineStr">
        <is>
          <t>Battery A3</t>
        </is>
      </c>
      <c r="E122" s="280" t="inlineStr">
        <is>
          <t>-</t>
        </is>
      </c>
      <c r="F122" s="287" t="n">
        <v>82100</v>
      </c>
      <c r="G122" s="282" t="inlineStr">
        <is>
          <t>IDR</t>
        </is>
      </c>
      <c r="H122" s="288" t="n">
        <v>1</v>
      </c>
      <c r="I122" s="290" t="n"/>
      <c r="J122" s="290" t="n"/>
      <c r="K122" s="291" t="n"/>
      <c r="L122" s="280" t="n"/>
      <c r="M122" s="280" t="n"/>
      <c r="N122" s="280" t="n"/>
      <c r="O122" s="292" t="n">
        <v>82100</v>
      </c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inlineStr">
        <is>
          <t>19-Feb-24</t>
        </is>
      </c>
      <c r="C123" s="278" t="n">
        <v>17</v>
      </c>
      <c r="D123" s="280" t="inlineStr">
        <is>
          <t>Steker</t>
        </is>
      </c>
      <c r="E123" s="280" t="inlineStr">
        <is>
          <t>-</t>
        </is>
      </c>
      <c r="F123" s="287" t="n">
        <v>14000</v>
      </c>
      <c r="G123" s="282" t="inlineStr">
        <is>
          <t>IDR</t>
        </is>
      </c>
      <c r="H123" s="288" t="n">
        <v>1</v>
      </c>
      <c r="I123" s="290" t="n"/>
      <c r="J123" s="290" t="n"/>
      <c r="K123" s="291" t="n"/>
      <c r="L123" s="280" t="n"/>
      <c r="M123" s="280" t="n"/>
      <c r="N123" s="280" t="n"/>
      <c r="O123" s="292" t="n">
        <v>14000</v>
      </c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  <c r="Y123" s="285" t="n"/>
    </row>
    <row r="124" ht="15.5" customHeight="1">
      <c r="B124" s="286" t="inlineStr">
        <is>
          <t>22-Feb-24</t>
        </is>
      </c>
      <c r="C124" s="278" t="n">
        <v>18</v>
      </c>
      <c r="D124" s="280" t="inlineStr">
        <is>
          <t>Gloves</t>
        </is>
      </c>
      <c r="E124" s="280" t="inlineStr">
        <is>
          <t>-</t>
        </is>
      </c>
      <c r="F124" s="287" t="n">
        <v>65000</v>
      </c>
      <c r="G124" s="282" t="inlineStr">
        <is>
          <t>IDR</t>
        </is>
      </c>
      <c r="H124" s="288" t="n">
        <v>1</v>
      </c>
      <c r="I124" s="290" t="n"/>
      <c r="J124" s="290" t="n"/>
      <c r="K124" s="291" t="n"/>
      <c r="L124" s="280" t="n"/>
      <c r="M124" s="280" t="n"/>
      <c r="N124" s="280" t="n"/>
      <c r="O124" s="292" t="n">
        <v>65000</v>
      </c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  <c r="Y124" s="285" t="n"/>
    </row>
    <row r="125" ht="15.5" customHeight="1">
      <c r="B125" s="286" t="inlineStr">
        <is>
          <t>25-Feb-24</t>
        </is>
      </c>
      <c r="C125" s="278" t="n">
        <v>19</v>
      </c>
      <c r="D125" s="280" t="inlineStr">
        <is>
          <t>White Marker</t>
        </is>
      </c>
      <c r="E125" s="280" t="inlineStr">
        <is>
          <t>-</t>
        </is>
      </c>
      <c r="F125" s="287" t="n">
        <v>19000</v>
      </c>
      <c r="G125" s="282" t="inlineStr">
        <is>
          <t>IDR</t>
        </is>
      </c>
      <c r="H125" s="288" t="n">
        <v>1</v>
      </c>
      <c r="I125" s="290" t="n"/>
      <c r="J125" s="290" t="n"/>
      <c r="K125" s="291" t="n"/>
      <c r="L125" s="280" t="n"/>
      <c r="M125" s="280" t="n"/>
      <c r="N125" s="280" t="n"/>
      <c r="O125" s="292" t="n">
        <v>19000</v>
      </c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  <c r="Y125" s="285" t="n"/>
    </row>
    <row r="126" ht="15.5" customHeight="1">
      <c r="B126" s="286" t="inlineStr">
        <is>
          <t>28-Feb-24</t>
        </is>
      </c>
      <c r="C126" s="278" t="n">
        <v>20</v>
      </c>
      <c r="D126" s="280" t="inlineStr">
        <is>
          <t>Internet Data</t>
        </is>
      </c>
      <c r="E126" s="280" t="inlineStr">
        <is>
          <t>-</t>
        </is>
      </c>
      <c r="F126" s="287" t="n">
        <v>87000</v>
      </c>
      <c r="G126" s="282" t="inlineStr">
        <is>
          <t>IDR</t>
        </is>
      </c>
      <c r="H126" s="288" t="n">
        <v>1</v>
      </c>
      <c r="I126" s="290" t="n"/>
      <c r="J126" s="290" t="n"/>
      <c r="K126" s="291" t="n"/>
      <c r="L126" s="280" t="n"/>
      <c r="M126" s="280" t="n"/>
      <c r="N126" s="280" t="n"/>
      <c r="O126" s="292" t="n">
        <v>87000</v>
      </c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  <c r="Y126" s="285" t="n"/>
    </row>
    <row r="127" ht="15.5" customHeight="1">
      <c r="B127" s="316" t="inlineStr">
        <is>
          <t>Expense#2</t>
        </is>
      </c>
      <c r="C127" s="317" t="inlineStr">
        <is>
          <t>:</t>
        </is>
      </c>
      <c r="D127" s="318" t="inlineStr">
        <is>
          <t>Training ALFA _TLJ-58 (PEPZ4-Prabumulih field_ Titis Maulana</t>
        </is>
      </c>
      <c r="E127" s="319" t="n"/>
      <c r="F127" s="320" t="n"/>
      <c r="G127" s="303" t="n"/>
      <c r="H127" s="303" t="n"/>
      <c r="I127" s="307" t="n"/>
      <c r="J127" s="308" t="n"/>
      <c r="K127" s="309" t="n"/>
      <c r="L127" s="309" t="n"/>
      <c r="M127" s="307" t="n"/>
      <c r="N127" s="309" t="n"/>
      <c r="O127" s="309" t="n"/>
      <c r="P127" s="309" t="n"/>
      <c r="Q127" s="309" t="n"/>
      <c r="R127" s="310" t="n"/>
      <c r="S127" s="310" t="n"/>
      <c r="T127" s="310" t="n"/>
      <c r="U127" s="310" t="n"/>
      <c r="V127" s="310" t="n"/>
      <c r="W127" s="310" t="n"/>
      <c r="X127" s="310" t="n"/>
      <c r="Y127" s="310" t="n"/>
    </row>
    <row r="128" ht="15.5" customHeight="1">
      <c r="B128" s="277" t="n"/>
      <c r="C128" s="278" t="n"/>
      <c r="D128" s="312" t="inlineStr">
        <is>
          <t>Biaya Operasi</t>
        </is>
      </c>
      <c r="E128" s="321" t="n"/>
      <c r="F128" s="314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5" t="n"/>
      <c r="S128" s="315" t="n"/>
      <c r="T128" s="315" t="n"/>
      <c r="U128" s="315" t="n"/>
      <c r="V128" s="315" t="n"/>
      <c r="W128" s="315" t="n"/>
      <c r="X128" s="315" t="n"/>
      <c r="Y128" s="315" t="n"/>
    </row>
    <row r="129" ht="15.5" customHeight="1">
      <c r="B129" s="286" t="inlineStr">
        <is>
          <t>07-Feb-24</t>
        </is>
      </c>
      <c r="C129" s="278" t="n">
        <v>1</v>
      </c>
      <c r="D129" s="280" t="inlineStr">
        <is>
          <t>Taxi Pondok Cabe-CGK</t>
        </is>
      </c>
      <c r="E129" s="280" t="inlineStr">
        <is>
          <t>-</t>
        </is>
      </c>
      <c r="F129" s="287" t="n">
        <v>250000</v>
      </c>
      <c r="G129" s="282" t="inlineStr">
        <is>
          <t>IDR</t>
        </is>
      </c>
      <c r="H129" s="288" t="n">
        <v>1</v>
      </c>
      <c r="I129" s="290" t="n"/>
      <c r="J129" s="289" t="n">
        <v>250000</v>
      </c>
      <c r="K129" s="291" t="n"/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04-Mar-24</t>
        </is>
      </c>
      <c r="C130" s="278" t="n">
        <v>2</v>
      </c>
      <c r="D130" s="280" t="inlineStr">
        <is>
          <t>Fuel</t>
        </is>
      </c>
      <c r="E130" s="280" t="inlineStr">
        <is>
          <t>-</t>
        </is>
      </c>
      <c r="F130" s="287" t="n">
        <v>200000</v>
      </c>
      <c r="G130" s="282" t="inlineStr">
        <is>
          <t>IDR</t>
        </is>
      </c>
      <c r="H130" s="288" t="n">
        <v>1</v>
      </c>
      <c r="I130" s="290" t="n"/>
      <c r="J130" s="289" t="n">
        <v>200000</v>
      </c>
      <c r="K130" s="291" t="n"/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inlineStr">
        <is>
          <t>06-Mar-24</t>
        </is>
      </c>
      <c r="C131" s="278" t="n">
        <v>3</v>
      </c>
      <c r="D131" s="280" t="inlineStr">
        <is>
          <t>Airplane Ticket PLM-CGK</t>
        </is>
      </c>
      <c r="E131" s="280" t="inlineStr">
        <is>
          <t>-</t>
        </is>
      </c>
      <c r="F131" s="287" t="n">
        <v>1000106</v>
      </c>
      <c r="G131" s="282" t="inlineStr">
        <is>
          <t>IDR</t>
        </is>
      </c>
      <c r="H131" s="288" t="n">
        <v>1</v>
      </c>
      <c r="I131" s="290" t="n"/>
      <c r="J131" s="289" t="n">
        <v>1000106</v>
      </c>
      <c r="K131" s="291" t="n"/>
      <c r="L131" s="280" t="n"/>
      <c r="M131" s="280" t="n"/>
      <c r="N131" s="280" t="n"/>
      <c r="O131" s="280" t="n"/>
      <c r="P131" s="280" t="n"/>
      <c r="Q131" s="280" t="n"/>
      <c r="R131" s="285" t="n"/>
      <c r="S131" s="285" t="n"/>
      <c r="T131" s="285" t="n"/>
      <c r="U131" s="285" t="n"/>
      <c r="V131" s="285" t="n"/>
      <c r="W131" s="285" t="n"/>
      <c r="X131" s="285" t="n"/>
      <c r="Y131" s="285" t="n"/>
    </row>
    <row r="132" ht="15.5" customHeight="1">
      <c r="B132" s="286" t="inlineStr">
        <is>
          <t>07-Mar-24</t>
        </is>
      </c>
      <c r="C132" s="278" t="n">
        <v>4</v>
      </c>
      <c r="D132" s="280" t="inlineStr">
        <is>
          <t>Taxi CGK-Pondok Cabe</t>
        </is>
      </c>
      <c r="E132" s="280" t="inlineStr">
        <is>
          <t>-</t>
        </is>
      </c>
      <c r="F132" s="287" t="n">
        <v>250000</v>
      </c>
      <c r="G132" s="282" t="inlineStr">
        <is>
          <t>IDR</t>
        </is>
      </c>
      <c r="H132" s="288" t="n">
        <v>1</v>
      </c>
      <c r="I132" s="290" t="n"/>
      <c r="J132" s="289" t="n">
        <v>250000</v>
      </c>
      <c r="K132" s="291" t="n"/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  <c r="Y132" s="285" t="n"/>
    </row>
    <row r="133" ht="15.5" customHeight="1">
      <c r="B133" s="286" t="inlineStr">
        <is>
          <t>07-Mar-24</t>
        </is>
      </c>
      <c r="C133" s="278" t="n">
        <v>5</v>
      </c>
      <c r="D133" s="280" t="inlineStr">
        <is>
          <t>Toll Fee</t>
        </is>
      </c>
      <c r="E133" s="280" t="inlineStr">
        <is>
          <t>-</t>
        </is>
      </c>
      <c r="F133" s="287" t="n">
        <v>105000</v>
      </c>
      <c r="G133" s="282" t="inlineStr">
        <is>
          <t>IDR</t>
        </is>
      </c>
      <c r="H133" s="288" t="n">
        <v>1</v>
      </c>
      <c r="I133" s="290" t="n"/>
      <c r="J133" s="289" t="n">
        <v>105000</v>
      </c>
      <c r="K133" s="291" t="n"/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  <c r="Y133" s="285" t="n"/>
    </row>
    <row r="134" ht="15.5" customHeight="1">
      <c r="B134" s="286" t="inlineStr">
        <is>
          <t>07-Mar-24</t>
        </is>
      </c>
      <c r="C134" s="278" t="n">
        <v>6</v>
      </c>
      <c r="D134" s="280" t="inlineStr">
        <is>
          <t>Laundry 30 days 1 Persons @ 50K IDR/day</t>
        </is>
      </c>
      <c r="E134" s="280" t="inlineStr">
        <is>
          <t>-</t>
        </is>
      </c>
      <c r="F134" s="287" t="n">
        <v>1500000</v>
      </c>
      <c r="G134" s="282" t="inlineStr">
        <is>
          <t>IDR</t>
        </is>
      </c>
      <c r="H134" s="288" t="n">
        <v>1</v>
      </c>
      <c r="I134" s="290" t="n"/>
      <c r="J134" s="289" t="n">
        <v>1500000</v>
      </c>
      <c r="K134" s="291" t="n"/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  <c r="Y134" s="285" t="n"/>
    </row>
    <row r="135" ht="15.5" customHeight="1">
      <c r="B135" s="286" t="inlineStr">
        <is>
          <t>07-Mar-24</t>
        </is>
      </c>
      <c r="C135" s="278" t="n">
        <v>7</v>
      </c>
      <c r="D135" s="280" t="inlineStr">
        <is>
          <t>Meals 30 days 1 Persons @ 150K IDR/day</t>
        </is>
      </c>
      <c r="E135" s="280" t="inlineStr">
        <is>
          <t>-</t>
        </is>
      </c>
      <c r="F135" s="287" t="n">
        <v>4500000</v>
      </c>
      <c r="G135" s="282" t="inlineStr">
        <is>
          <t>IDR</t>
        </is>
      </c>
      <c r="H135" s="288" t="n">
        <v>1</v>
      </c>
      <c r="I135" s="290" t="n"/>
      <c r="J135" s="289" t="n">
        <v>4500000</v>
      </c>
      <c r="K135" s="291" t="n"/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  <c r="Y135" s="285" t="n"/>
    </row>
    <row r="136" ht="15.5" customHeight="1">
      <c r="B136" s="286" t="inlineStr">
        <is>
          <t>07-Mar-24</t>
        </is>
      </c>
      <c r="C136" s="278" t="n">
        <v>8</v>
      </c>
      <c r="D136" s="280" t="inlineStr">
        <is>
          <t>Tunjangan Lapangan (Training) untuk 27 days</t>
        </is>
      </c>
      <c r="E136" s="280" t="inlineStr">
        <is>
          <t>-</t>
        </is>
      </c>
      <c r="F136" s="287" t="n">
        <v>11705250</v>
      </c>
      <c r="G136" s="282" t="inlineStr">
        <is>
          <t>USD</t>
        </is>
      </c>
      <c r="H136" s="288" t="n">
        <v>15607</v>
      </c>
      <c r="I136" s="290" t="n"/>
      <c r="J136" s="289" t="n">
        <v>11705250</v>
      </c>
      <c r="K136" s="291" t="n"/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  <c r="Y136" s="285" t="n"/>
    </row>
    <row r="137" ht="15.5" customHeight="1">
      <c r="B137" s="311" t="n"/>
      <c r="C137" s="278" t="n"/>
      <c r="D137" s="312" t="inlineStr">
        <is>
          <t>Pembelian Barang</t>
        </is>
      </c>
      <c r="E137" s="322" t="n"/>
      <c r="F137" s="314" t="n"/>
      <c r="G137" s="278" t="n"/>
      <c r="H137" s="278" t="n"/>
      <c r="I137" s="283" t="n"/>
      <c r="J137" s="284" t="n"/>
      <c r="K137" s="279" t="n"/>
      <c r="L137" s="279" t="n"/>
      <c r="M137" s="279" t="n"/>
      <c r="N137" s="279" t="n"/>
      <c r="O137" s="279" t="n"/>
      <c r="P137" s="279" t="n"/>
      <c r="Q137" s="279" t="n"/>
      <c r="R137" s="315" t="n"/>
      <c r="S137" s="315" t="n"/>
      <c r="T137" s="315" t="n"/>
      <c r="U137" s="315" t="n"/>
      <c r="V137" s="315" t="n"/>
      <c r="W137" s="315" t="n"/>
      <c r="X137" s="315" t="n"/>
      <c r="Y137" s="315" t="n"/>
    </row>
    <row r="138" ht="15.5" customHeight="1">
      <c r="B138" s="286" t="inlineStr">
        <is>
          <t>02-Feb-24</t>
        </is>
      </c>
      <c r="C138" s="278" t="n">
        <v>9</v>
      </c>
      <c r="D138" s="280" t="inlineStr">
        <is>
          <t>Safety Shoes</t>
        </is>
      </c>
      <c r="E138" s="280" t="inlineStr">
        <is>
          <t>-</t>
        </is>
      </c>
      <c r="F138" s="287" t="n">
        <v>499940</v>
      </c>
      <c r="G138" s="282" t="inlineStr">
        <is>
          <t>IDR</t>
        </is>
      </c>
      <c r="H138" s="288" t="n">
        <v>1</v>
      </c>
      <c r="I138" s="290" t="n"/>
      <c r="J138" s="290" t="n"/>
      <c r="K138" s="291" t="n"/>
      <c r="L138" s="280" t="n"/>
      <c r="M138" s="280" t="n"/>
      <c r="N138" s="280" t="n"/>
      <c r="O138" s="292" t="n">
        <v>499940</v>
      </c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03-Mar-24</t>
        </is>
      </c>
      <c r="C139" s="278" t="n">
        <v>10</v>
      </c>
      <c r="D139" s="280" t="inlineStr">
        <is>
          <t>Internet Data</t>
        </is>
      </c>
      <c r="E139" s="280" t="inlineStr">
        <is>
          <t>-</t>
        </is>
      </c>
      <c r="F139" s="287" t="n">
        <v>70000</v>
      </c>
      <c r="G139" s="282" t="inlineStr">
        <is>
          <t>IDR</t>
        </is>
      </c>
      <c r="H139" s="288" t="n">
        <v>1</v>
      </c>
      <c r="I139" s="290" t="n"/>
      <c r="J139" s="290" t="n"/>
      <c r="K139" s="291" t="n"/>
      <c r="L139" s="280" t="n"/>
      <c r="M139" s="280" t="n"/>
      <c r="N139" s="280" t="n"/>
      <c r="O139" s="292" t="n">
        <v>70000</v>
      </c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inlineStr">
        <is>
          <t>07-Mar-24</t>
        </is>
      </c>
      <c r="C140" s="278" t="n">
        <v>11</v>
      </c>
      <c r="D140" s="280" t="inlineStr">
        <is>
          <t>Extra Baggage</t>
        </is>
      </c>
      <c r="E140" s="280" t="inlineStr">
        <is>
          <t>-</t>
        </is>
      </c>
      <c r="F140" s="287" t="n">
        <v>540000</v>
      </c>
      <c r="G140" s="282" t="inlineStr">
        <is>
          <t>IDR</t>
        </is>
      </c>
      <c r="H140" s="288" t="n">
        <v>1</v>
      </c>
      <c r="I140" s="290" t="n"/>
      <c r="J140" s="290" t="n"/>
      <c r="K140" s="291" t="n"/>
      <c r="L140" s="280" t="n"/>
      <c r="M140" s="280" t="n"/>
      <c r="N140" s="280" t="n"/>
      <c r="O140" s="292" t="n">
        <v>540000</v>
      </c>
      <c r="P140" s="280" t="n"/>
      <c r="Q140" s="280" t="n"/>
      <c r="R140" s="285" t="n"/>
      <c r="S140" s="285" t="n"/>
      <c r="T140" s="285" t="n"/>
      <c r="U140" s="285" t="n"/>
      <c r="V140" s="285" t="n"/>
      <c r="W140" s="285" t="n"/>
      <c r="X140" s="285" t="n"/>
      <c r="Y140" s="285" t="n"/>
    </row>
    <row r="141" ht="15.5" customHeight="1">
      <c r="B141" s="302" t="inlineStr">
        <is>
          <t>Expense#3</t>
        </is>
      </c>
      <c r="C141" s="303" t="inlineStr">
        <is>
          <t>:</t>
        </is>
      </c>
      <c r="D141" s="304" t="inlineStr">
        <is>
          <t>MPLT (SAKA-UjungPangkah field) GOWell - TGE _IC</t>
        </is>
      </c>
      <c r="E141" s="323" t="n"/>
      <c r="F141" s="306" t="n"/>
      <c r="G141" s="303" t="n"/>
      <c r="H141" s="303" t="n"/>
      <c r="I141" s="308" t="n"/>
      <c r="J141" s="308" t="n"/>
      <c r="K141" s="309" t="n"/>
      <c r="L141" s="309" t="n"/>
      <c r="M141" s="309" t="n"/>
      <c r="N141" s="309" t="n"/>
      <c r="O141" s="309" t="n"/>
      <c r="P141" s="309" t="n"/>
      <c r="Q141" s="309" t="n"/>
      <c r="R141" s="310" t="n"/>
      <c r="S141" s="310" t="n"/>
      <c r="T141" s="310" t="n"/>
      <c r="U141" s="310" t="n"/>
      <c r="V141" s="310" t="n"/>
      <c r="W141" s="310" t="n"/>
      <c r="X141" s="310" t="n"/>
      <c r="Y141" s="310" t="n"/>
    </row>
    <row r="142" ht="15.5" customHeight="1">
      <c r="B142" s="311" t="n"/>
      <c r="C142" s="278" t="n"/>
      <c r="D142" s="312" t="inlineStr">
        <is>
          <t>Biaya Operasi</t>
        </is>
      </c>
      <c r="E142" s="313" t="n"/>
      <c r="F142" s="314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  <c r="R142" s="315" t="n"/>
      <c r="S142" s="315" t="n"/>
      <c r="T142" s="315" t="n"/>
      <c r="U142" s="315" t="n"/>
      <c r="V142" s="315" t="n"/>
      <c r="W142" s="315" t="n"/>
      <c r="X142" s="315" t="n"/>
      <c r="Y142" s="315" t="n"/>
    </row>
    <row r="143" ht="15.5" customHeight="1">
      <c r="B143" s="286" t="inlineStr">
        <is>
          <t>19-Mar-24</t>
        </is>
      </c>
      <c r="C143" s="278" t="n">
        <v>1</v>
      </c>
      <c r="D143" s="280" t="inlineStr">
        <is>
          <t>Taxi Bintaro-CGK</t>
        </is>
      </c>
      <c r="E143" s="280" t="inlineStr">
        <is>
          <t>-</t>
        </is>
      </c>
      <c r="F143" s="287" t="n">
        <v>250000</v>
      </c>
      <c r="G143" s="282" t="inlineStr">
        <is>
          <t>IDR</t>
        </is>
      </c>
      <c r="H143" s="288" t="n">
        <v>1</v>
      </c>
      <c r="I143" s="290" t="n"/>
      <c r="J143" s="289" t="n">
        <v>250000</v>
      </c>
      <c r="K143" s="291" t="n"/>
      <c r="L143" s="280" t="n"/>
      <c r="M143" s="280" t="n"/>
      <c r="N143" s="280" t="n"/>
      <c r="O143" s="280" t="n"/>
      <c r="P143" s="280" t="n"/>
      <c r="Q143" s="280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24-Mar-24</t>
        </is>
      </c>
      <c r="C144" s="278" t="n">
        <v>2</v>
      </c>
      <c r="D144" s="280" t="inlineStr">
        <is>
          <t>Taxi CGK-Bintaro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90" t="n"/>
      <c r="J144" s="289" t="n">
        <v>250000</v>
      </c>
      <c r="K144" s="291" t="n"/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inlineStr">
        <is>
          <t>24-Mar-24</t>
        </is>
      </c>
      <c r="C145" s="278" t="n">
        <v>3</v>
      </c>
      <c r="D145" s="280" t="inlineStr">
        <is>
          <t>Laundry 6 days 1 Persons @ 50K IDR/day</t>
        </is>
      </c>
      <c r="E145" s="280" t="inlineStr">
        <is>
          <t>-</t>
        </is>
      </c>
      <c r="F145" s="287" t="n">
        <v>300000</v>
      </c>
      <c r="G145" s="282" t="inlineStr">
        <is>
          <t>IDR</t>
        </is>
      </c>
      <c r="H145" s="288" t="n">
        <v>1</v>
      </c>
      <c r="I145" s="290" t="n"/>
      <c r="J145" s="289" t="n">
        <v>300000</v>
      </c>
      <c r="K145" s="291" t="n"/>
      <c r="L145" s="280" t="n"/>
      <c r="M145" s="280" t="n"/>
      <c r="N145" s="280" t="n"/>
      <c r="O145" s="280" t="n"/>
      <c r="P145" s="280" t="n"/>
      <c r="Q145" s="280" t="n"/>
      <c r="R145" s="285" t="n"/>
      <c r="S145" s="285" t="n"/>
      <c r="T145" s="285" t="n"/>
      <c r="U145" s="285" t="n"/>
      <c r="V145" s="285" t="n"/>
      <c r="W145" s="285" t="n"/>
      <c r="X145" s="285" t="n"/>
      <c r="Y145" s="285" t="n"/>
    </row>
    <row r="146" ht="15.5" customHeight="1">
      <c r="B146" s="286" t="inlineStr">
        <is>
          <t>24-Mar-24</t>
        </is>
      </c>
      <c r="C146" s="278" t="n">
        <v>4</v>
      </c>
      <c r="D146" s="280" t="inlineStr">
        <is>
          <t>Meals 6 days 1 Persons @ 150K IDR/day</t>
        </is>
      </c>
      <c r="E146" s="280" t="inlineStr">
        <is>
          <t>-</t>
        </is>
      </c>
      <c r="F146" s="287" t="n">
        <v>900000</v>
      </c>
      <c r="G146" s="282" t="inlineStr">
        <is>
          <t>IDR</t>
        </is>
      </c>
      <c r="H146" s="288" t="n">
        <v>1</v>
      </c>
      <c r="I146" s="290" t="n"/>
      <c r="J146" s="289" t="n">
        <v>900000</v>
      </c>
      <c r="K146" s="291" t="n"/>
      <c r="L146" s="280" t="n"/>
      <c r="M146" s="280" t="n"/>
      <c r="N146" s="280" t="n"/>
      <c r="O146" s="280" t="n"/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  <c r="Y146" s="285" t="n"/>
    </row>
    <row r="147" ht="15.5" customHeight="1">
      <c r="B147" s="286" t="inlineStr">
        <is>
          <t>24-Mar-24</t>
        </is>
      </c>
      <c r="C147" s="278" t="n">
        <v>5</v>
      </c>
      <c r="D147" s="280" t="inlineStr">
        <is>
          <t>Tunjangan Lapangan untuk 6 days</t>
        </is>
      </c>
      <c r="E147" s="280" t="inlineStr">
        <is>
          <t>-</t>
        </is>
      </c>
      <c r="F147" s="287" t="n">
        <v>9501000</v>
      </c>
      <c r="G147" s="282" t="inlineStr">
        <is>
          <t>USD</t>
        </is>
      </c>
      <c r="H147" s="288" t="n">
        <v>15835</v>
      </c>
      <c r="I147" s="290" t="n"/>
      <c r="J147" s="289" t="n">
        <v>9501000</v>
      </c>
      <c r="K147" s="291" t="n"/>
      <c r="L147" s="280" t="n"/>
      <c r="M147" s="280" t="n"/>
      <c r="N147" s="280" t="n"/>
      <c r="O147" s="280" t="n"/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  <c r="Y147" s="285" t="n"/>
    </row>
    <row r="148" ht="15.5" customHeight="1">
      <c r="B148" s="302" t="inlineStr">
        <is>
          <t>Expense#4</t>
        </is>
      </c>
      <c r="C148" s="303" t="inlineStr">
        <is>
          <t>:</t>
        </is>
      </c>
      <c r="D148" s="304" t="inlineStr">
        <is>
          <t>Non project (3rd) _ Ivan Chairulsyah</t>
        </is>
      </c>
      <c r="E148" s="305" t="n"/>
      <c r="F148" s="306" t="n"/>
      <c r="G148" s="303" t="n"/>
      <c r="H148" s="303" t="n"/>
      <c r="I148" s="307" t="n"/>
      <c r="J148" s="308" t="n"/>
      <c r="K148" s="309" t="n"/>
      <c r="L148" s="309" t="n"/>
      <c r="M148" s="309" t="n"/>
      <c r="N148" s="309" t="n"/>
      <c r="O148" s="309" t="n"/>
      <c r="P148" s="309" t="n"/>
      <c r="Q148" s="309" t="n"/>
      <c r="R148" s="310" t="n"/>
      <c r="S148" s="310" t="n"/>
      <c r="T148" s="310" t="n"/>
      <c r="U148" s="310" t="n"/>
      <c r="V148" s="310" t="n"/>
      <c r="W148" s="310" t="n"/>
      <c r="X148" s="310" t="n"/>
      <c r="Y148" s="310" t="n"/>
    </row>
    <row r="149" ht="15.5" customHeight="1">
      <c r="B149" s="311" t="n"/>
      <c r="C149" s="278" t="n"/>
      <c r="D149" s="312" t="inlineStr">
        <is>
          <t>Pembelian Barang</t>
        </is>
      </c>
      <c r="E149" s="322" t="n"/>
      <c r="F149" s="314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5" t="n"/>
      <c r="S149" s="315" t="n"/>
      <c r="T149" s="315" t="n"/>
      <c r="U149" s="315" t="n"/>
      <c r="V149" s="315" t="n"/>
      <c r="W149" s="315" t="n"/>
      <c r="X149" s="315" t="n"/>
      <c r="Y149" s="315" t="n"/>
    </row>
    <row r="150" ht="15.5" customHeight="1">
      <c r="B150" s="286" t="inlineStr">
        <is>
          <t>03-Mar-24</t>
        </is>
      </c>
      <c r="C150" s="278" t="n">
        <v>1</v>
      </c>
      <c r="D150" s="280" t="inlineStr">
        <is>
          <t>Send Tool from Bintaro to Gowell</t>
        </is>
      </c>
      <c r="E150" s="280" t="inlineStr">
        <is>
          <t>-</t>
        </is>
      </c>
      <c r="F150" s="287" t="n">
        <v>168732</v>
      </c>
      <c r="G150" s="282" t="inlineStr">
        <is>
          <t>IDR</t>
        </is>
      </c>
      <c r="H150" s="288" t="n">
        <v>1</v>
      </c>
      <c r="I150" s="290" t="n"/>
      <c r="J150" s="290" t="n"/>
      <c r="K150" s="291" t="n"/>
      <c r="L150" s="280" t="n"/>
      <c r="M150" s="280" t="n"/>
      <c r="N150" s="280" t="n"/>
      <c r="O150" s="292" t="n">
        <v>168732</v>
      </c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18-Mar-24</t>
        </is>
      </c>
      <c r="C151" s="278" t="n">
        <v>2</v>
      </c>
      <c r="D151" s="280" t="inlineStr">
        <is>
          <t>Buy Cable type C to A</t>
        </is>
      </c>
      <c r="E151" s="280" t="inlineStr">
        <is>
          <t>-</t>
        </is>
      </c>
      <c r="F151" s="287" t="n">
        <v>69009</v>
      </c>
      <c r="G151" s="282" t="inlineStr">
        <is>
          <t>IDR</t>
        </is>
      </c>
      <c r="H151" s="288" t="n">
        <v>1</v>
      </c>
      <c r="I151" s="290" t="n"/>
      <c r="J151" s="290" t="n"/>
      <c r="K151" s="291" t="n"/>
      <c r="L151" s="280" t="n"/>
      <c r="M151" s="280" t="n"/>
      <c r="N151" s="280" t="n"/>
      <c r="O151" s="292" t="n">
        <v>69009</v>
      </c>
      <c r="P151" s="280" t="n"/>
      <c r="Q151" s="280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inlineStr">
        <is>
          <t>18-Mar-24</t>
        </is>
      </c>
      <c r="C152" s="278" t="n">
        <v>3</v>
      </c>
      <c r="D152" s="280" t="inlineStr">
        <is>
          <t>Buy Cable type C to C</t>
        </is>
      </c>
      <c r="E152" s="280" t="inlineStr">
        <is>
          <t>-</t>
        </is>
      </c>
      <c r="F152" s="287" t="n">
        <v>145800</v>
      </c>
      <c r="G152" s="282" t="inlineStr">
        <is>
          <t>IDR</t>
        </is>
      </c>
      <c r="H152" s="288" t="n">
        <v>1</v>
      </c>
      <c r="I152" s="290" t="n"/>
      <c r="J152" s="290" t="n"/>
      <c r="K152" s="291" t="n"/>
      <c r="L152" s="280" t="n"/>
      <c r="M152" s="280" t="n"/>
      <c r="N152" s="280" t="n"/>
      <c r="O152" s="292" t="n">
        <v>145800</v>
      </c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  <c r="Y152" s="285" t="n"/>
    </row>
    <row r="153" ht="15.5" customHeight="1">
      <c r="B153" s="286" t="inlineStr">
        <is>
          <t>18-Mar-24</t>
        </is>
      </c>
      <c r="C153" s="278" t="n">
        <v>4</v>
      </c>
      <c r="D153" s="280" t="inlineStr">
        <is>
          <t>Buy Jack 3 Pin Socket</t>
        </is>
      </c>
      <c r="E153" s="280" t="inlineStr">
        <is>
          <t>-</t>
        </is>
      </c>
      <c r="F153" s="287" t="n">
        <v>20891</v>
      </c>
      <c r="G153" s="282" t="inlineStr">
        <is>
          <t>IDR</t>
        </is>
      </c>
      <c r="H153" s="288" t="n">
        <v>1</v>
      </c>
      <c r="I153" s="290" t="n"/>
      <c r="J153" s="290" t="n"/>
      <c r="K153" s="291" t="n"/>
      <c r="L153" s="280" t="n"/>
      <c r="M153" s="280" t="n"/>
      <c r="N153" s="280" t="n"/>
      <c r="O153" s="292" t="n">
        <v>20891</v>
      </c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  <c r="Y153" s="285" t="n"/>
    </row>
    <row r="154" ht="15.5" customHeight="1">
      <c r="B154" s="286" t="inlineStr">
        <is>
          <t>18-Mar-24</t>
        </is>
      </c>
      <c r="C154" s="278" t="n">
        <v>5</v>
      </c>
      <c r="D154" s="280" t="inlineStr">
        <is>
          <t>Buy Powerbank 2 ea 27kmah &amp; 52kmah</t>
        </is>
      </c>
      <c r="E154" s="280" t="inlineStr">
        <is>
          <t>-</t>
        </is>
      </c>
      <c r="F154" s="287" t="n">
        <v>3325760</v>
      </c>
      <c r="G154" s="282" t="inlineStr">
        <is>
          <t>IDR</t>
        </is>
      </c>
      <c r="H154" s="288" t="n">
        <v>1</v>
      </c>
      <c r="I154" s="290" t="n"/>
      <c r="J154" s="290" t="n"/>
      <c r="K154" s="291" t="n"/>
      <c r="L154" s="280" t="n"/>
      <c r="M154" s="280" t="n"/>
      <c r="N154" s="280" t="n"/>
      <c r="O154" s="292" t="n">
        <v>3325760</v>
      </c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  <c r="Y154" s="285" t="n"/>
    </row>
    <row r="155" ht="15.5" customHeight="1">
      <c r="B155" s="286" t="inlineStr">
        <is>
          <t>18-Mar-24</t>
        </is>
      </c>
      <c r="C155" s="278" t="n">
        <v>6</v>
      </c>
      <c r="D155" s="280" t="inlineStr">
        <is>
          <t>Buy Fluke-117</t>
        </is>
      </c>
      <c r="E155" s="280" t="inlineStr">
        <is>
          <t>-</t>
        </is>
      </c>
      <c r="F155" s="287" t="n">
        <v>4332000</v>
      </c>
      <c r="G155" s="282" t="inlineStr">
        <is>
          <t>IDR</t>
        </is>
      </c>
      <c r="H155" s="288" t="n">
        <v>1</v>
      </c>
      <c r="I155" s="290" t="n"/>
      <c r="J155" s="290" t="n"/>
      <c r="K155" s="291" t="n"/>
      <c r="L155" s="280" t="n"/>
      <c r="M155" s="280" t="n"/>
      <c r="N155" s="280" t="n"/>
      <c r="O155" s="292" t="n">
        <v>4332000</v>
      </c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  <c r="Y155" s="285" t="n"/>
    </row>
    <row r="156" ht="15.5" customHeight="1">
      <c r="B156" s="286" t="inlineStr">
        <is>
          <t>18-Mar-24</t>
        </is>
      </c>
      <c r="C156" s="278" t="n">
        <v>7</v>
      </c>
      <c r="D156" s="280" t="inlineStr">
        <is>
          <t>Buy SANWA YX360TRF</t>
        </is>
      </c>
      <c r="E156" s="280" t="inlineStr">
        <is>
          <t>-</t>
        </is>
      </c>
      <c r="F156" s="287" t="n">
        <v>455600</v>
      </c>
      <c r="G156" s="282" t="inlineStr">
        <is>
          <t>IDR</t>
        </is>
      </c>
      <c r="H156" s="288" t="n">
        <v>1</v>
      </c>
      <c r="I156" s="290" t="n"/>
      <c r="J156" s="290" t="n"/>
      <c r="K156" s="291" t="n"/>
      <c r="L156" s="280" t="n"/>
      <c r="M156" s="280" t="n"/>
      <c r="N156" s="280" t="n"/>
      <c r="O156" s="292" t="n">
        <v>455600</v>
      </c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  <c r="Y156" s="285" t="n"/>
    </row>
    <row r="157" ht="15.5" customHeight="1">
      <c r="B157" s="286" t="inlineStr">
        <is>
          <t>19-Mar-24</t>
        </is>
      </c>
      <c r="C157" s="278" t="n">
        <v>8</v>
      </c>
      <c r="D157" s="280" t="inlineStr">
        <is>
          <t>Send Tool from Gowell to TGE</t>
        </is>
      </c>
      <c r="E157" s="280" t="inlineStr">
        <is>
          <t>-</t>
        </is>
      </c>
      <c r="F157" s="287" t="n">
        <v>168732</v>
      </c>
      <c r="G157" s="282" t="inlineStr">
        <is>
          <t>IDR</t>
        </is>
      </c>
      <c r="H157" s="288" t="n">
        <v>1</v>
      </c>
      <c r="I157" s="290" t="n"/>
      <c r="J157" s="290" t="n"/>
      <c r="K157" s="291" t="n"/>
      <c r="L157" s="280" t="n"/>
      <c r="M157" s="280" t="n"/>
      <c r="N157" s="280" t="n"/>
      <c r="O157" s="292" t="n">
        <v>168732</v>
      </c>
      <c r="P157" s="280" t="n"/>
      <c r="Q157" s="280" t="n"/>
      <c r="R157" s="285" t="n"/>
      <c r="S157" s="285" t="n"/>
      <c r="T157" s="285" t="n"/>
      <c r="U157" s="285" t="n"/>
      <c r="V157" s="285" t="n"/>
      <c r="W157" s="285" t="n"/>
      <c r="X157" s="285" t="n"/>
      <c r="Y157" s="285" t="n"/>
    </row>
    <row r="158" ht="15.5" customHeight="1">
      <c r="B158" s="302" t="inlineStr">
        <is>
          <t>Expense#5</t>
        </is>
      </c>
      <c r="C158" s="303" t="inlineStr">
        <is>
          <t>:</t>
        </is>
      </c>
      <c r="D158" s="304" t="inlineStr">
        <is>
          <t>MCU RS PP _Titis Maulana</t>
        </is>
      </c>
      <c r="E158" s="305" t="n"/>
      <c r="F158" s="306" t="n"/>
      <c r="G158" s="303" t="n"/>
      <c r="H158" s="303" t="n"/>
      <c r="I158" s="308" t="n"/>
      <c r="J158" s="308" t="n"/>
      <c r="K158" s="309" t="n"/>
      <c r="L158" s="309" t="n"/>
      <c r="M158" s="307" t="n"/>
      <c r="N158" s="308" t="n"/>
      <c r="O158" s="309" t="n"/>
      <c r="P158" s="309" t="n"/>
      <c r="Q158" s="309" t="n"/>
      <c r="R158" s="310" t="n"/>
      <c r="S158" s="310" t="n"/>
      <c r="T158" s="310" t="n"/>
      <c r="U158" s="310" t="n"/>
      <c r="V158" s="310" t="n"/>
      <c r="W158" s="310" t="n"/>
      <c r="X158" s="310" t="n"/>
      <c r="Y158" s="310" t="n"/>
    </row>
    <row r="159" ht="15.5" customHeight="1">
      <c r="B159" s="311" t="n"/>
      <c r="C159" s="278" t="n"/>
      <c r="D159" s="312" t="inlineStr">
        <is>
          <t>Kesehatan</t>
        </is>
      </c>
      <c r="E159" s="313" t="n"/>
      <c r="F159" s="314" t="n"/>
      <c r="G159" s="278" t="n"/>
      <c r="H159" s="278" t="n"/>
      <c r="I159" s="284" t="n"/>
      <c r="J159" s="284" t="n"/>
      <c r="K159" s="279" t="n"/>
      <c r="L159" s="279" t="n"/>
      <c r="M159" s="283" t="n"/>
      <c r="N159" s="284" t="n"/>
      <c r="O159" s="279" t="n"/>
      <c r="P159" s="279" t="n"/>
      <c r="Q159" s="279" t="n"/>
      <c r="R159" s="315" t="n"/>
      <c r="S159" s="315" t="n"/>
      <c r="T159" s="315" t="n"/>
      <c r="U159" s="315" t="n"/>
      <c r="V159" s="315" t="n"/>
      <c r="W159" s="315" t="n"/>
      <c r="X159" s="315" t="n"/>
      <c r="Y159" s="315" t="n"/>
    </row>
    <row r="160" ht="15.5" customHeight="1">
      <c r="B160" s="286" t="inlineStr">
        <is>
          <t>02-Apr-24</t>
        </is>
      </c>
      <c r="C160" s="278" t="n">
        <v>1</v>
      </c>
      <c r="D160" s="280" t="inlineStr">
        <is>
          <t>MCU RS PP</t>
        </is>
      </c>
      <c r="E160" s="280" t="inlineStr">
        <is>
          <t>-</t>
        </is>
      </c>
      <c r="F160" s="287" t="n">
        <v>5407000</v>
      </c>
      <c r="G160" s="282" t="inlineStr">
        <is>
          <t>IDR</t>
        </is>
      </c>
      <c r="H160" s="288" t="n">
        <v>1</v>
      </c>
      <c r="I160" s="290" t="n"/>
      <c r="J160" s="290" t="n"/>
      <c r="K160" s="291" t="n"/>
      <c r="L160" s="280" t="n"/>
      <c r="M160" s="280" t="n"/>
      <c r="N160" s="280" t="n"/>
      <c r="O160" s="280" t="n"/>
      <c r="P160" s="280" t="n"/>
      <c r="Q160" s="292" t="n">
        <v>5407000</v>
      </c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302" t="inlineStr">
        <is>
          <t>Expense#6</t>
        </is>
      </c>
      <c r="C161" s="303" t="inlineStr">
        <is>
          <t>:</t>
        </is>
      </c>
      <c r="D161" s="304" t="inlineStr">
        <is>
          <t>MPLT (SAKA-UjungPangkah field) by TGE - GOWell project_IC</t>
        </is>
      </c>
      <c r="E161" s="305" t="n"/>
      <c r="F161" s="306" t="n"/>
      <c r="G161" s="303" t="n"/>
      <c r="H161" s="303" t="n"/>
      <c r="I161" s="308" t="n"/>
      <c r="J161" s="308" t="n"/>
      <c r="K161" s="309" t="n"/>
      <c r="L161" s="309" t="n"/>
      <c r="M161" s="307" t="n"/>
      <c r="N161" s="308" t="n"/>
      <c r="O161" s="309" t="n"/>
      <c r="P161" s="309" t="n"/>
      <c r="Q161" s="309" t="n"/>
      <c r="R161" s="310" t="n"/>
      <c r="S161" s="310" t="n"/>
      <c r="T161" s="310" t="n"/>
      <c r="U161" s="310" t="n"/>
      <c r="V161" s="310" t="n"/>
      <c r="W161" s="310" t="n"/>
      <c r="X161" s="310" t="n"/>
      <c r="Y161" s="310" t="n"/>
    </row>
    <row r="162" ht="15.5" customHeight="1">
      <c r="B162" s="311" t="n"/>
      <c r="C162" s="278" t="n"/>
      <c r="D162" s="312" t="inlineStr">
        <is>
          <t>Biaya Operasi</t>
        </is>
      </c>
      <c r="E162" s="313" t="n"/>
      <c r="F162" s="314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5" t="n"/>
      <c r="S162" s="315" t="n"/>
      <c r="T162" s="315" t="n"/>
      <c r="U162" s="315" t="n"/>
      <c r="V162" s="315" t="n"/>
      <c r="W162" s="315" t="n"/>
      <c r="X162" s="315" t="n"/>
      <c r="Y162" s="315" t="n"/>
    </row>
    <row r="163" ht="15.5" customHeight="1">
      <c r="B163" s="286" t="inlineStr">
        <is>
          <t>03-Apr-24</t>
        </is>
      </c>
      <c r="C163" s="278" t="n">
        <v>1</v>
      </c>
      <c r="D163" s="280" t="inlineStr">
        <is>
          <t>Send DTR Bintaro - Gowell</t>
        </is>
      </c>
      <c r="E163" s="280" t="inlineStr">
        <is>
          <t>-</t>
        </is>
      </c>
      <c r="F163" s="287" t="n">
        <v>38121</v>
      </c>
      <c r="G163" s="282" t="inlineStr">
        <is>
          <t>IDR</t>
        </is>
      </c>
      <c r="H163" s="288" t="n">
        <v>1</v>
      </c>
      <c r="I163" s="290" t="n"/>
      <c r="J163" s="289" t="n">
        <v>38121</v>
      </c>
      <c r="K163" s="291" t="n"/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16-Apr-24</t>
        </is>
      </c>
      <c r="C164" s="278" t="n">
        <v>2</v>
      </c>
      <c r="D164" s="280" t="inlineStr">
        <is>
          <t>Taxi Bintaro-CGK</t>
        </is>
      </c>
      <c r="E164" s="280" t="inlineStr">
        <is>
          <t>-</t>
        </is>
      </c>
      <c r="F164" s="287" t="n">
        <v>250000</v>
      </c>
      <c r="G164" s="282" t="inlineStr">
        <is>
          <t>IDR</t>
        </is>
      </c>
      <c r="H164" s="288" t="n">
        <v>1</v>
      </c>
      <c r="I164" s="290" t="n"/>
      <c r="J164" s="289" t="n">
        <v>250000</v>
      </c>
      <c r="K164" s="291" t="n"/>
      <c r="L164" s="280" t="n"/>
      <c r="M164" s="280" t="n"/>
      <c r="N164" s="280" t="n"/>
      <c r="O164" s="280" t="n"/>
      <c r="P164" s="280" t="n"/>
      <c r="Q164" s="280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inlineStr">
        <is>
          <t>16-Apr-24</t>
        </is>
      </c>
      <c r="C165" s="278" t="n">
        <v>3</v>
      </c>
      <c r="D165" s="280" t="inlineStr">
        <is>
          <t>Send QPS Gowell - TGE</t>
        </is>
      </c>
      <c r="E165" s="280" t="inlineStr">
        <is>
          <t>-</t>
        </is>
      </c>
      <c r="F165" s="287" t="n">
        <v>105879</v>
      </c>
      <c r="G165" s="282" t="inlineStr">
        <is>
          <t>IDR</t>
        </is>
      </c>
      <c r="H165" s="288" t="n">
        <v>1</v>
      </c>
      <c r="I165" s="290" t="n"/>
      <c r="J165" s="289" t="n">
        <v>105879</v>
      </c>
      <c r="K165" s="291" t="n"/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  <c r="Y165" s="285" t="n"/>
    </row>
    <row r="166" ht="15.5" customHeight="1">
      <c r="B166" s="286" t="inlineStr">
        <is>
          <t>20-Apr-24</t>
        </is>
      </c>
      <c r="C166" s="278" t="n">
        <v>4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90" t="n"/>
      <c r="J166" s="289" t="n">
        <v>250000</v>
      </c>
      <c r="K166" s="291" t="n"/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  <c r="Y166" s="285" t="n"/>
    </row>
    <row r="167" ht="15.5" customHeight="1">
      <c r="B167" s="286" t="inlineStr">
        <is>
          <t>20-Apr-24</t>
        </is>
      </c>
      <c r="C167" s="278" t="n">
        <v>5</v>
      </c>
      <c r="D167" s="280" t="inlineStr">
        <is>
          <t>Laundry 5 days 1 Persons @ 50K IDR/day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90" t="n"/>
      <c r="J167" s="289" t="n">
        <v>250000</v>
      </c>
      <c r="K167" s="291" t="n"/>
      <c r="L167" s="280" t="n"/>
      <c r="M167" s="280" t="n"/>
      <c r="N167" s="280" t="n"/>
      <c r="O167" s="280" t="n"/>
      <c r="P167" s="280" t="n"/>
      <c r="Q167" s="280" t="n"/>
      <c r="R167" s="285" t="n"/>
      <c r="S167" s="285" t="n"/>
      <c r="T167" s="285" t="n"/>
      <c r="U167" s="285" t="n"/>
      <c r="V167" s="285" t="n"/>
      <c r="W167" s="285" t="n"/>
      <c r="X167" s="285" t="n"/>
      <c r="Y167" s="285" t="n"/>
    </row>
    <row r="168" ht="15.5" customHeight="1">
      <c r="B168" s="286" t="inlineStr">
        <is>
          <t>20-Apr-24</t>
        </is>
      </c>
      <c r="C168" s="278" t="n">
        <v>6</v>
      </c>
      <c r="D168" s="280" t="inlineStr">
        <is>
          <t>Meals 5 days 1 Persons @ 150K IDR/day</t>
        </is>
      </c>
      <c r="E168" s="280" t="inlineStr">
        <is>
          <t>-</t>
        </is>
      </c>
      <c r="F168" s="287" t="n">
        <v>750000</v>
      </c>
      <c r="G168" s="282" t="inlineStr">
        <is>
          <t>IDR</t>
        </is>
      </c>
      <c r="H168" s="288" t="n">
        <v>1</v>
      </c>
      <c r="I168" s="290" t="n"/>
      <c r="J168" s="289" t="n">
        <v>750000</v>
      </c>
      <c r="K168" s="291" t="n"/>
      <c r="L168" s="280" t="n"/>
      <c r="M168" s="280" t="n"/>
      <c r="N168" s="280" t="n"/>
      <c r="O168" s="280" t="n"/>
      <c r="P168" s="280" t="n"/>
      <c r="Q168" s="280" t="n"/>
      <c r="R168" s="285" t="n"/>
      <c r="S168" s="285" t="n"/>
      <c r="T168" s="285" t="n"/>
      <c r="U168" s="285" t="n"/>
      <c r="V168" s="285" t="n"/>
      <c r="W168" s="285" t="n"/>
      <c r="X168" s="285" t="n"/>
      <c r="Y168" s="285" t="n"/>
    </row>
    <row r="169" ht="15.5" customHeight="1">
      <c r="B169" s="286" t="inlineStr">
        <is>
          <t>20-Apr-24</t>
        </is>
      </c>
      <c r="C169" s="278" t="n">
        <v>7</v>
      </c>
      <c r="D169" s="280" t="inlineStr">
        <is>
          <t>Crews' Food</t>
        </is>
      </c>
      <c r="E169" s="280" t="inlineStr">
        <is>
          <t>-</t>
        </is>
      </c>
      <c r="F169" s="287" t="n">
        <v>160000</v>
      </c>
      <c r="G169" s="282" t="inlineStr">
        <is>
          <t>IDR</t>
        </is>
      </c>
      <c r="H169" s="288" t="n">
        <v>1</v>
      </c>
      <c r="I169" s="290" t="n"/>
      <c r="J169" s="289" t="n">
        <v>160000</v>
      </c>
      <c r="K169" s="291" t="n"/>
      <c r="L169" s="280" t="n"/>
      <c r="M169" s="280" t="n"/>
      <c r="N169" s="280" t="n"/>
      <c r="O169" s="280" t="n"/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  <c r="Y169" s="285" t="n"/>
    </row>
    <row r="170" ht="15.5" customHeight="1">
      <c r="B170" s="286" t="inlineStr">
        <is>
          <t>21-Apr-24</t>
        </is>
      </c>
      <c r="C170" s="278" t="n">
        <v>8</v>
      </c>
      <c r="D170" s="280" t="inlineStr">
        <is>
          <t>Send ALFA Bintaro - Andara</t>
        </is>
      </c>
      <c r="E170" s="280" t="inlineStr">
        <is>
          <t>-</t>
        </is>
      </c>
      <c r="F170" s="287" t="n">
        <v>39654</v>
      </c>
      <c r="G170" s="282" t="inlineStr">
        <is>
          <t>IDR</t>
        </is>
      </c>
      <c r="H170" s="288" t="n">
        <v>1</v>
      </c>
      <c r="I170" s="290" t="n"/>
      <c r="J170" s="289" t="n">
        <v>39654</v>
      </c>
      <c r="K170" s="291" t="n"/>
      <c r="L170" s="280" t="n"/>
      <c r="M170" s="280" t="n"/>
      <c r="N170" s="280" t="n"/>
      <c r="O170" s="280" t="n"/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  <c r="Y170" s="285" t="n"/>
    </row>
    <row r="171" ht="15.5" customHeight="1">
      <c r="B171" s="286" t="inlineStr">
        <is>
          <t>21-Apr-24</t>
        </is>
      </c>
      <c r="C171" s="278" t="n">
        <v>9</v>
      </c>
      <c r="D171" s="280" t="inlineStr">
        <is>
          <t>Send HPTC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90" t="n"/>
      <c r="J171" s="289" t="n">
        <v>39654</v>
      </c>
      <c r="K171" s="291" t="n"/>
      <c r="L171" s="280" t="n"/>
      <c r="M171" s="280" t="n"/>
      <c r="N171" s="280" t="n"/>
      <c r="O171" s="280" t="n"/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  <c r="Y171" s="285" t="n"/>
    </row>
    <row r="172" ht="15.5" customHeight="1">
      <c r="B172" s="286" t="inlineStr">
        <is>
          <t>23-Apr-24</t>
        </is>
      </c>
      <c r="C172" s="278" t="n">
        <v>10</v>
      </c>
      <c r="D172" s="280" t="inlineStr">
        <is>
          <t>Send BA Bintaro - TGE</t>
        </is>
      </c>
      <c r="E172" s="280" t="inlineStr">
        <is>
          <t>-</t>
        </is>
      </c>
      <c r="F172" s="287" t="n">
        <v>18000</v>
      </c>
      <c r="G172" s="282" t="inlineStr">
        <is>
          <t>IDR</t>
        </is>
      </c>
      <c r="H172" s="288" t="n">
        <v>1</v>
      </c>
      <c r="I172" s="290" t="n"/>
      <c r="J172" s="289" t="n">
        <v>18000</v>
      </c>
      <c r="K172" s="291" t="n"/>
      <c r="L172" s="280" t="n"/>
      <c r="M172" s="280" t="n"/>
      <c r="N172" s="280" t="n"/>
      <c r="O172" s="280" t="n"/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  <c r="Y172" s="285" t="n"/>
    </row>
    <row r="173" ht="15.5" customHeight="1">
      <c r="B173" s="286" t="inlineStr">
        <is>
          <t>25-Apr-24</t>
        </is>
      </c>
      <c r="C173" s="278" t="n">
        <v>11</v>
      </c>
      <c r="D173" s="280" t="inlineStr">
        <is>
          <t>Send MPLT TGE - Gowell</t>
        </is>
      </c>
      <c r="E173" s="280" t="inlineStr">
        <is>
          <t>-</t>
        </is>
      </c>
      <c r="F173" s="287" t="n">
        <v>167297</v>
      </c>
      <c r="G173" s="282" t="inlineStr">
        <is>
          <t>IDR</t>
        </is>
      </c>
      <c r="H173" s="288" t="n">
        <v>1</v>
      </c>
      <c r="I173" s="290" t="n"/>
      <c r="J173" s="289" t="n">
        <v>167297</v>
      </c>
      <c r="K173" s="291" t="n"/>
      <c r="L173" s="280" t="n"/>
      <c r="M173" s="280" t="n"/>
      <c r="N173" s="280" t="n"/>
      <c r="O173" s="280" t="n"/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  <c r="Y173" s="285" t="n"/>
    </row>
    <row r="174" ht="15.5" customHeight="1">
      <c r="B174" s="302" t="inlineStr">
        <is>
          <t>Expense#7</t>
        </is>
      </c>
      <c r="C174" s="303" t="inlineStr">
        <is>
          <t>:</t>
        </is>
      </c>
      <c r="D174" s="304" t="inlineStr">
        <is>
          <t>PLT SRO_ TGB-33 (Jatibarang Field) Elnusa _ IC</t>
        </is>
      </c>
      <c r="E174" s="323" t="n"/>
      <c r="F174" s="306" t="n"/>
      <c r="G174" s="303" t="n"/>
      <c r="H174" s="303" t="n"/>
      <c r="I174" s="308" t="n"/>
      <c r="J174" s="308" t="n"/>
      <c r="K174" s="309" t="n"/>
      <c r="L174" s="309" t="n"/>
      <c r="M174" s="308" t="n"/>
      <c r="N174" s="309" t="n"/>
      <c r="O174" s="309" t="n"/>
      <c r="P174" s="309" t="n"/>
      <c r="Q174" s="309" t="n"/>
      <c r="R174" s="310" t="n"/>
      <c r="S174" s="310" t="n"/>
      <c r="T174" s="310" t="n"/>
      <c r="U174" s="310" t="n"/>
      <c r="V174" s="310" t="n"/>
      <c r="W174" s="310" t="n"/>
      <c r="X174" s="310" t="n"/>
      <c r="Y174" s="310" t="n"/>
    </row>
    <row r="175" ht="15.5" customHeight="1">
      <c r="B175" s="311" t="n"/>
      <c r="C175" s="278" t="n"/>
      <c r="D175" s="312" t="inlineStr">
        <is>
          <t>Biaya Operasi</t>
        </is>
      </c>
      <c r="E175" s="313" t="n"/>
      <c r="F175" s="314" t="n"/>
      <c r="G175" s="278" t="n"/>
      <c r="H175" s="278" t="n"/>
      <c r="I175" s="283" t="n"/>
      <c r="J175" s="284" t="n"/>
      <c r="K175" s="279" t="n"/>
      <c r="L175" s="279" t="n"/>
      <c r="M175" s="283" t="n"/>
      <c r="N175" s="279" t="n"/>
      <c r="O175" s="279" t="n"/>
      <c r="P175" s="279" t="n"/>
      <c r="Q175" s="279" t="n"/>
      <c r="R175" s="315" t="n"/>
      <c r="S175" s="315" t="n"/>
      <c r="T175" s="315" t="n"/>
      <c r="U175" s="315" t="n"/>
      <c r="V175" s="315" t="n"/>
      <c r="W175" s="315" t="n"/>
      <c r="X175" s="315" t="n"/>
      <c r="Y175" s="315" t="n"/>
    </row>
    <row r="176" ht="15.5" customHeight="1">
      <c r="B176" s="286" t="inlineStr">
        <is>
          <t>26-Apr-24</t>
        </is>
      </c>
      <c r="C176" s="278" t="n">
        <v>1</v>
      </c>
      <c r="D176" s="280" t="inlineStr">
        <is>
          <t>Fuels</t>
        </is>
      </c>
      <c r="E176" s="280" t="inlineStr">
        <is>
          <t>-</t>
        </is>
      </c>
      <c r="F176" s="287" t="n">
        <v>284308</v>
      </c>
      <c r="G176" s="282" t="inlineStr">
        <is>
          <t>IDR</t>
        </is>
      </c>
      <c r="H176" s="288" t="n">
        <v>1</v>
      </c>
      <c r="I176" s="290" t="n"/>
      <c r="J176" s="289" t="n">
        <v>284308</v>
      </c>
      <c r="K176" s="291" t="n"/>
      <c r="L176" s="280" t="n"/>
      <c r="M176" s="280" t="n"/>
      <c r="N176" s="280" t="n"/>
      <c r="O176" s="280" t="n"/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28-Apr-24</t>
        </is>
      </c>
      <c r="C177" s="278" t="n">
        <v>2</v>
      </c>
      <c r="D177" s="280" t="inlineStr">
        <is>
          <t>Toll</t>
        </is>
      </c>
      <c r="E177" s="280" t="inlineStr">
        <is>
          <t>-</t>
        </is>
      </c>
      <c r="F177" s="287" t="n">
        <v>298000</v>
      </c>
      <c r="G177" s="282" t="inlineStr">
        <is>
          <t>IDR</t>
        </is>
      </c>
      <c r="H177" s="288" t="n">
        <v>1</v>
      </c>
      <c r="I177" s="290" t="n"/>
      <c r="J177" s="289" t="n">
        <v>298000</v>
      </c>
      <c r="K177" s="291" t="n"/>
      <c r="L177" s="280" t="n"/>
      <c r="M177" s="280" t="n"/>
      <c r="N177" s="280" t="n"/>
      <c r="O177" s="280" t="n"/>
      <c r="P177" s="280" t="n"/>
      <c r="Q177" s="280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inlineStr">
        <is>
          <t>28-Apr-24</t>
        </is>
      </c>
      <c r="C178" s="278" t="n">
        <v>3</v>
      </c>
      <c r="D178" s="280" t="inlineStr">
        <is>
          <t>Hotel 2 days</t>
        </is>
      </c>
      <c r="E178" s="280" t="inlineStr">
        <is>
          <t>-</t>
        </is>
      </c>
      <c r="F178" s="287" t="n">
        <v>1357481</v>
      </c>
      <c r="G178" s="282" t="inlineStr">
        <is>
          <t>IDR</t>
        </is>
      </c>
      <c r="H178" s="288" t="n">
        <v>1</v>
      </c>
      <c r="I178" s="290" t="n"/>
      <c r="J178" s="289" t="n">
        <v>1357481</v>
      </c>
      <c r="K178" s="291" t="n"/>
      <c r="L178" s="280" t="n"/>
      <c r="M178" s="280" t="n"/>
      <c r="N178" s="280" t="n"/>
      <c r="O178" s="280" t="n"/>
      <c r="P178" s="280" t="n"/>
      <c r="Q178" s="280" t="n"/>
      <c r="R178" s="285" t="n"/>
      <c r="S178" s="285" t="n"/>
      <c r="T178" s="285" t="n"/>
      <c r="U178" s="285" t="n"/>
      <c r="V178" s="285" t="n"/>
      <c r="W178" s="285" t="n"/>
      <c r="X178" s="285" t="n"/>
      <c r="Y178" s="285" t="n"/>
    </row>
    <row r="179" ht="15.5" customHeight="1">
      <c r="B179" s="286" t="inlineStr">
        <is>
          <t>28-Apr-24</t>
        </is>
      </c>
      <c r="C179" s="278" t="n">
        <v>4</v>
      </c>
      <c r="D179" s="280" t="inlineStr">
        <is>
          <t>Laundry 2 days</t>
        </is>
      </c>
      <c r="E179" s="280" t="inlineStr">
        <is>
          <t>-</t>
        </is>
      </c>
      <c r="F179" s="287" t="n">
        <v>100000</v>
      </c>
      <c r="G179" s="282" t="inlineStr">
        <is>
          <t>IDR</t>
        </is>
      </c>
      <c r="H179" s="288" t="n">
        <v>1</v>
      </c>
      <c r="I179" s="290" t="n"/>
      <c r="J179" s="289" t="n">
        <v>100000</v>
      </c>
      <c r="K179" s="291" t="n"/>
      <c r="L179" s="280" t="n"/>
      <c r="M179" s="280" t="n"/>
      <c r="N179" s="280" t="n"/>
      <c r="O179" s="280" t="n"/>
      <c r="P179" s="280" t="n"/>
      <c r="Q179" s="280" t="n"/>
      <c r="R179" s="285" t="n"/>
      <c r="S179" s="285" t="n"/>
      <c r="T179" s="285" t="n"/>
      <c r="U179" s="285" t="n"/>
      <c r="V179" s="285" t="n"/>
      <c r="W179" s="285" t="n"/>
      <c r="X179" s="285" t="n"/>
      <c r="Y179" s="285" t="n"/>
    </row>
    <row r="180" ht="15.5" customHeight="1">
      <c r="B180" s="286" t="inlineStr">
        <is>
          <t>28-Apr-24</t>
        </is>
      </c>
      <c r="C180" s="278" t="n">
        <v>5</v>
      </c>
      <c r="D180" s="280" t="inlineStr">
        <is>
          <t>Meals 2 days 1 Persons @ 150K IDR/day</t>
        </is>
      </c>
      <c r="E180" s="280" t="inlineStr">
        <is>
          <t>-</t>
        </is>
      </c>
      <c r="F180" s="287" t="n">
        <v>300000</v>
      </c>
      <c r="G180" s="282" t="inlineStr">
        <is>
          <t>IDR</t>
        </is>
      </c>
      <c r="H180" s="288" t="n">
        <v>1</v>
      </c>
      <c r="I180" s="290" t="n"/>
      <c r="J180" s="289" t="n">
        <v>300000</v>
      </c>
      <c r="K180" s="291" t="n"/>
      <c r="L180" s="280" t="n"/>
      <c r="M180" s="280" t="n"/>
      <c r="N180" s="280" t="n"/>
      <c r="O180" s="280" t="n"/>
      <c r="P180" s="280" t="n"/>
      <c r="Q180" s="280" t="n"/>
      <c r="R180" s="285" t="n"/>
      <c r="S180" s="285" t="n"/>
      <c r="T180" s="285" t="n"/>
      <c r="U180" s="285" t="n"/>
      <c r="V180" s="285" t="n"/>
      <c r="W180" s="285" t="n"/>
      <c r="X180" s="285" t="n"/>
      <c r="Y180" s="285" t="n"/>
    </row>
    <row r="181" ht="15.5" customHeight="1">
      <c r="B181" s="286" t="inlineStr">
        <is>
          <t>28-Apr-24</t>
        </is>
      </c>
      <c r="C181" s="278" t="n">
        <v>6</v>
      </c>
      <c r="D181" s="280" t="inlineStr">
        <is>
          <t>Tunjangan Lapangan for 2 days</t>
        </is>
      </c>
      <c r="E181" s="280" t="inlineStr">
        <is>
          <t>-</t>
        </is>
      </c>
      <c r="F181" s="287" t="n">
        <v>3251400</v>
      </c>
      <c r="G181" s="282" t="inlineStr">
        <is>
          <t>USD</t>
        </is>
      </c>
      <c r="H181" s="288" t="n">
        <v>16257</v>
      </c>
      <c r="I181" s="290" t="n"/>
      <c r="J181" s="289" t="n">
        <v>3251400</v>
      </c>
      <c r="K181" s="291" t="n"/>
      <c r="L181" s="280" t="n"/>
      <c r="M181" s="280" t="n"/>
      <c r="N181" s="280" t="n"/>
      <c r="O181" s="280" t="n"/>
      <c r="P181" s="280" t="n"/>
      <c r="Q181" s="280" t="n"/>
      <c r="R181" s="285" t="n"/>
      <c r="S181" s="285" t="n"/>
      <c r="T181" s="285" t="n"/>
      <c r="U181" s="285" t="n"/>
      <c r="V181" s="285" t="n"/>
      <c r="W181" s="285" t="n"/>
      <c r="X181" s="285" t="n"/>
      <c r="Y181" s="285" t="n"/>
    </row>
    <row r="182" ht="15.5" customHeight="1">
      <c r="B182" s="302" t="inlineStr">
        <is>
          <t>Expense#8</t>
        </is>
      </c>
      <c r="C182" s="303" t="inlineStr">
        <is>
          <t>:</t>
        </is>
      </c>
      <c r="D182" s="304" t="inlineStr">
        <is>
          <t>Training BST_ PHR-zona 4 (Dwiyanto) (Dwi_Febri dan Ilham)</t>
        </is>
      </c>
      <c r="E182" s="305" t="n"/>
      <c r="F182" s="306" t="n"/>
      <c r="G182" s="303" t="n"/>
      <c r="H182" s="303" t="n"/>
      <c r="I182" s="307" t="n"/>
      <c r="J182" s="309" t="n"/>
      <c r="K182" s="309" t="n"/>
      <c r="L182" s="309" t="n"/>
      <c r="M182" s="309" t="n"/>
      <c r="N182" s="309" t="n"/>
      <c r="O182" s="309" t="n"/>
      <c r="P182" s="309" t="n"/>
      <c r="Q182" s="309" t="n"/>
      <c r="R182" s="310" t="n"/>
      <c r="S182" s="310" t="n"/>
      <c r="T182" s="310" t="n"/>
      <c r="U182" s="310" t="n"/>
      <c r="V182" s="310" t="n"/>
      <c r="W182" s="310" t="n"/>
      <c r="X182" s="310" t="n"/>
      <c r="Y182" s="310" t="n"/>
    </row>
    <row r="183" ht="15.5" customHeight="1">
      <c r="B183" s="311" t="n"/>
      <c r="C183" s="278" t="n"/>
      <c r="D183" s="312" t="inlineStr">
        <is>
          <t>Biaya Operasi</t>
        </is>
      </c>
      <c r="E183" s="322" t="n"/>
      <c r="F183" s="314" t="n"/>
      <c r="G183" s="278" t="n"/>
      <c r="H183" s="278" t="n"/>
      <c r="I183" s="324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5" t="n"/>
      <c r="S183" s="315" t="n"/>
      <c r="T183" s="315" t="n"/>
      <c r="U183" s="315" t="n"/>
      <c r="V183" s="315" t="n"/>
      <c r="W183" s="315" t="n"/>
      <c r="X183" s="315" t="n"/>
      <c r="Y183" s="315" t="n"/>
    </row>
    <row r="184" ht="15.5" customHeight="1">
      <c r="B184" s="286" t="inlineStr">
        <is>
          <t>06-May-24</t>
        </is>
      </c>
      <c r="C184" s="278" t="n">
        <v>1</v>
      </c>
      <c r="D184" s="280" t="inlineStr">
        <is>
          <t>Jakarta - Palembang - Jakarta</t>
        </is>
      </c>
      <c r="E184" s="280" t="inlineStr">
        <is>
          <t>-</t>
        </is>
      </c>
      <c r="F184" s="287" t="n">
        <v>1387800</v>
      </c>
      <c r="G184" s="282" t="inlineStr">
        <is>
          <t>IDR</t>
        </is>
      </c>
      <c r="H184" s="288" t="n">
        <v>1</v>
      </c>
      <c r="I184" s="290" t="n"/>
      <c r="J184" s="289" t="n">
        <v>1387800</v>
      </c>
      <c r="K184" s="291" t="n"/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07-May-24</t>
        </is>
      </c>
      <c r="C185" s="278" t="n">
        <v>2</v>
      </c>
      <c r="D185" s="280" t="inlineStr">
        <is>
          <t>Taxi + Tol to Airport Jakarta</t>
        </is>
      </c>
      <c r="E185" s="280" t="inlineStr">
        <is>
          <t>-</t>
        </is>
      </c>
      <c r="F185" s="287" t="n">
        <v>234140</v>
      </c>
      <c r="G185" s="282" t="inlineStr">
        <is>
          <t>IDR</t>
        </is>
      </c>
      <c r="H185" s="288" t="n">
        <v>1</v>
      </c>
      <c r="I185" s="290" t="n"/>
      <c r="J185" s="289" t="n">
        <v>234140</v>
      </c>
      <c r="K185" s="291" t="n"/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inlineStr">
        <is>
          <t>07-May-24</t>
        </is>
      </c>
      <c r="C186" s="278" t="n">
        <v>3</v>
      </c>
      <c r="D186" s="280" t="inlineStr">
        <is>
          <t>Airport park + fuel + tol Indralaya</t>
        </is>
      </c>
      <c r="E186" s="280" t="inlineStr">
        <is>
          <t>-</t>
        </is>
      </c>
      <c r="F186" s="287" t="n">
        <v>232000</v>
      </c>
      <c r="G186" s="282" t="inlineStr">
        <is>
          <t>IDR</t>
        </is>
      </c>
      <c r="H186" s="288" t="n">
        <v>1</v>
      </c>
      <c r="I186" s="290" t="n"/>
      <c r="J186" s="289" t="n">
        <v>232000</v>
      </c>
      <c r="K186" s="291" t="n"/>
      <c r="L186" s="280" t="n"/>
      <c r="M186" s="280" t="n"/>
      <c r="N186" s="280" t="n"/>
      <c r="O186" s="280" t="n"/>
      <c r="P186" s="280" t="n"/>
      <c r="Q186" s="280" t="n"/>
      <c r="R186" s="285" t="n"/>
      <c r="S186" s="285" t="n"/>
      <c r="T186" s="285" t="n"/>
      <c r="U186" s="285" t="n"/>
      <c r="V186" s="285" t="n"/>
      <c r="W186" s="285" t="n"/>
      <c r="X186" s="285" t="n"/>
      <c r="Y186" s="285" t="n"/>
    </row>
    <row r="187" ht="15.5" customHeight="1">
      <c r="B187" s="286" t="inlineStr">
        <is>
          <t>07-May-24</t>
        </is>
      </c>
      <c r="C187" s="278" t="n">
        <v>4</v>
      </c>
      <c r="D187" s="280" t="inlineStr">
        <is>
          <t>Dinner (Dwi, Febri, Ilham)</t>
        </is>
      </c>
      <c r="E187" s="280" t="inlineStr">
        <is>
          <t>-</t>
        </is>
      </c>
      <c r="F187" s="287" t="n">
        <v>103400</v>
      </c>
      <c r="G187" s="282" t="inlineStr">
        <is>
          <t>IDR</t>
        </is>
      </c>
      <c r="H187" s="288" t="n">
        <v>1</v>
      </c>
      <c r="I187" s="290" t="n"/>
      <c r="J187" s="289" t="n">
        <v>103400</v>
      </c>
      <c r="K187" s="291" t="n"/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  <c r="Y187" s="285" t="n"/>
    </row>
    <row r="188" ht="15.5" customHeight="1">
      <c r="B188" s="286" t="inlineStr">
        <is>
          <t>08-May-24</t>
        </is>
      </c>
      <c r="C188" s="278" t="n">
        <v>5</v>
      </c>
      <c r="D188" s="280" t="inlineStr">
        <is>
          <t>Car Rental</t>
        </is>
      </c>
      <c r="E188" s="280" t="inlineStr">
        <is>
          <t>-</t>
        </is>
      </c>
      <c r="F188" s="287" t="n">
        <v>600000</v>
      </c>
      <c r="G188" s="282" t="inlineStr">
        <is>
          <t>IDR</t>
        </is>
      </c>
      <c r="H188" s="288" t="n">
        <v>1</v>
      </c>
      <c r="I188" s="290" t="n"/>
      <c r="J188" s="289" t="n">
        <v>600000</v>
      </c>
      <c r="K188" s="291" t="n"/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  <c r="Y188" s="285" t="n"/>
    </row>
    <row r="189" ht="15.5" customHeight="1">
      <c r="B189" s="286" t="inlineStr">
        <is>
          <t>08-May-24</t>
        </is>
      </c>
      <c r="C189" s="278" t="n">
        <v>6</v>
      </c>
      <c r="D189" s="280" t="inlineStr">
        <is>
          <t>Tol Indralaya</t>
        </is>
      </c>
      <c r="E189" s="280" t="inlineStr">
        <is>
          <t>-</t>
        </is>
      </c>
      <c r="F189" s="287" t="n">
        <v>27000</v>
      </c>
      <c r="G189" s="282" t="inlineStr">
        <is>
          <t>IDR</t>
        </is>
      </c>
      <c r="H189" s="288" t="n">
        <v>1</v>
      </c>
      <c r="I189" s="290" t="n"/>
      <c r="J189" s="289" t="n">
        <v>27000</v>
      </c>
      <c r="K189" s="291" t="n"/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  <c r="Y189" s="285" t="n"/>
    </row>
    <row r="190" ht="15.5" customHeight="1">
      <c r="B190" s="286" t="inlineStr">
        <is>
          <t>08-May-24</t>
        </is>
      </c>
      <c r="C190" s="278" t="n">
        <v>7</v>
      </c>
      <c r="D190" s="280" t="inlineStr">
        <is>
          <t>Hotel</t>
        </is>
      </c>
      <c r="E190" s="280" t="inlineStr">
        <is>
          <t>-</t>
        </is>
      </c>
      <c r="F190" s="287" t="n">
        <v>360000</v>
      </c>
      <c r="G190" s="282" t="inlineStr">
        <is>
          <t>IDR</t>
        </is>
      </c>
      <c r="H190" s="288" t="n">
        <v>1</v>
      </c>
      <c r="I190" s="290" t="n"/>
      <c r="J190" s="289" t="n">
        <v>360000</v>
      </c>
      <c r="K190" s="291" t="n"/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  <c r="Y190" s="285" t="n"/>
    </row>
    <row r="191" ht="15.5" customHeight="1">
      <c r="B191" s="286" t="inlineStr">
        <is>
          <t>09-May-24</t>
        </is>
      </c>
      <c r="C191" s="278" t="n">
        <v>8</v>
      </c>
      <c r="D191" s="280" t="inlineStr">
        <is>
          <t>Tol + Taxi From Airport Jakarta</t>
        </is>
      </c>
      <c r="E191" s="280" t="inlineStr">
        <is>
          <t>-</t>
        </is>
      </c>
      <c r="F191" s="287" t="n">
        <v>276900</v>
      </c>
      <c r="G191" s="282" t="inlineStr">
        <is>
          <t>IDR</t>
        </is>
      </c>
      <c r="H191" s="288" t="n">
        <v>1</v>
      </c>
      <c r="I191" s="290" t="n"/>
      <c r="J191" s="289" t="n">
        <v>276900</v>
      </c>
      <c r="K191" s="291" t="n"/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  <c r="Y191" s="285" t="n"/>
    </row>
    <row r="192" ht="15.5" customHeight="1">
      <c r="B192" s="302" t="inlineStr">
        <is>
          <t>Expense#9</t>
        </is>
      </c>
      <c r="C192" s="303" t="inlineStr">
        <is>
          <t>:</t>
        </is>
      </c>
      <c r="D192" s="304" t="inlineStr">
        <is>
          <t>MFC and ALFA Memory (Jatibarang Field) TGB-033_Elnusa_ AC</t>
        </is>
      </c>
      <c r="E192" s="323" t="n"/>
      <c r="F192" s="306" t="n"/>
      <c r="G192" s="303" t="n"/>
      <c r="H192" s="303" t="n"/>
      <c r="I192" s="307" t="n"/>
      <c r="J192" s="308" t="n"/>
      <c r="K192" s="309" t="n"/>
      <c r="L192" s="309" t="n"/>
      <c r="M192" s="309" t="n"/>
      <c r="N192" s="307" t="n"/>
      <c r="O192" s="309" t="n"/>
      <c r="P192" s="309" t="n"/>
      <c r="Q192" s="309" t="n"/>
      <c r="R192" s="310" t="n"/>
      <c r="S192" s="310" t="n"/>
      <c r="T192" s="310" t="n"/>
      <c r="U192" s="310" t="n"/>
      <c r="V192" s="310" t="n"/>
      <c r="W192" s="310" t="n"/>
      <c r="X192" s="310" t="n"/>
      <c r="Y192" s="310" t="n"/>
    </row>
    <row r="193" ht="15.5" customHeight="1">
      <c r="B193" s="311" t="n"/>
      <c r="C193" s="278" t="n"/>
      <c r="D193" s="312" t="inlineStr">
        <is>
          <t>Biaya Operasi</t>
        </is>
      </c>
      <c r="E193" s="313" t="n"/>
      <c r="F193" s="314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5" t="n"/>
      <c r="S193" s="315" t="n"/>
      <c r="T193" s="315" t="n"/>
      <c r="U193" s="315" t="n"/>
      <c r="V193" s="315" t="n"/>
      <c r="W193" s="315" t="n"/>
      <c r="X193" s="315" t="n"/>
      <c r="Y193" s="315" t="n"/>
    </row>
    <row r="194" ht="15.5" customHeight="1">
      <c r="B194" s="286" t="inlineStr">
        <is>
          <t>21-Apr-24</t>
        </is>
      </c>
      <c r="C194" s="278" t="n">
        <v>1</v>
      </c>
      <c r="D194" s="280" t="inlineStr">
        <is>
          <t>Train (Jati barang - Jati Negara)</t>
        </is>
      </c>
      <c r="E194" s="280" t="inlineStr">
        <is>
          <t>-</t>
        </is>
      </c>
      <c r="F194" s="287" t="n">
        <v>255500</v>
      </c>
      <c r="G194" s="282" t="inlineStr">
        <is>
          <t>IDR</t>
        </is>
      </c>
      <c r="H194" s="288" t="n">
        <v>1</v>
      </c>
      <c r="I194" s="290" t="n"/>
      <c r="J194" s="289" t="n">
        <v>255500</v>
      </c>
      <c r="K194" s="291" t="n"/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2</v>
      </c>
      <c r="D195" s="280" t="inlineStr">
        <is>
          <t>Taksi</t>
        </is>
      </c>
      <c r="E195" s="280" t="inlineStr">
        <is>
          <t>-</t>
        </is>
      </c>
      <c r="F195" s="287" t="n">
        <v>150000</v>
      </c>
      <c r="G195" s="282" t="inlineStr">
        <is>
          <t>IDR</t>
        </is>
      </c>
      <c r="H195" s="288" t="n">
        <v>1</v>
      </c>
      <c r="I195" s="290" t="n"/>
      <c r="J195" s="289" t="n">
        <v>150000</v>
      </c>
      <c r="K195" s="291" t="n"/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inlineStr">
        <is>
          <t>21-Apr-24</t>
        </is>
      </c>
      <c r="C196" s="278" t="n">
        <v>3</v>
      </c>
      <c r="D196" s="280" t="inlineStr">
        <is>
          <t>Laundry 3 days @ Rp. 50.000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90" t="n"/>
      <c r="J196" s="289" t="n">
        <v>150000</v>
      </c>
      <c r="K196" s="291" t="n"/>
      <c r="L196" s="280" t="n"/>
      <c r="M196" s="280" t="n"/>
      <c r="N196" s="280" t="n"/>
      <c r="O196" s="280" t="n"/>
      <c r="P196" s="280" t="n"/>
      <c r="Q196" s="280" t="n"/>
      <c r="R196" s="285" t="n"/>
      <c r="S196" s="285" t="n"/>
      <c r="T196" s="285" t="n"/>
      <c r="U196" s="285" t="n"/>
      <c r="V196" s="285" t="n"/>
      <c r="W196" s="285" t="n"/>
      <c r="X196" s="285" t="n"/>
      <c r="Y196" s="285" t="n"/>
    </row>
    <row r="197" ht="15.5" customHeight="1">
      <c r="B197" s="286" t="inlineStr">
        <is>
          <t>21-Apr-24</t>
        </is>
      </c>
      <c r="C197" s="278" t="n">
        <v>4</v>
      </c>
      <c r="D197" s="280" t="inlineStr">
        <is>
          <t>Uang makan utk 3 hari (19-21 apr-24) @150.000</t>
        </is>
      </c>
      <c r="E197" s="280" t="inlineStr">
        <is>
          <t>-</t>
        </is>
      </c>
      <c r="F197" s="287" t="n">
        <v>450000</v>
      </c>
      <c r="G197" s="282" t="inlineStr">
        <is>
          <t>IDR</t>
        </is>
      </c>
      <c r="H197" s="288" t="n">
        <v>1</v>
      </c>
      <c r="I197" s="290" t="n"/>
      <c r="J197" s="289" t="n">
        <v>450000</v>
      </c>
      <c r="K197" s="291" t="n"/>
      <c r="L197" s="280" t="n"/>
      <c r="M197" s="280" t="n"/>
      <c r="N197" s="280" t="n"/>
      <c r="O197" s="280" t="n"/>
      <c r="P197" s="280" t="n"/>
      <c r="Q197" s="280" t="n"/>
      <c r="R197" s="285" t="n"/>
      <c r="S197" s="285" t="n"/>
      <c r="T197" s="285" t="n"/>
      <c r="U197" s="285" t="n"/>
      <c r="V197" s="285" t="n"/>
      <c r="W197" s="285" t="n"/>
      <c r="X197" s="285" t="n"/>
      <c r="Y197" s="285" t="n"/>
    </row>
    <row r="198" ht="15.5" customHeight="1">
      <c r="B198" s="286" t="inlineStr">
        <is>
          <t>21-Apr-24</t>
        </is>
      </c>
      <c r="C198" s="278" t="n">
        <v>5</v>
      </c>
      <c r="D198" s="280" t="inlineStr">
        <is>
          <t>Tunajngan lapangan for 3 days (19-21 apr24) Anevril</t>
        </is>
      </c>
      <c r="E198" s="280" t="inlineStr">
        <is>
          <t>-</t>
        </is>
      </c>
      <c r="F198" s="287" t="n">
        <v>4815300</v>
      </c>
      <c r="G198" s="282" t="inlineStr">
        <is>
          <t>USD</t>
        </is>
      </c>
      <c r="H198" s="288" t="n">
        <v>16051</v>
      </c>
      <c r="I198" s="290" t="n"/>
      <c r="J198" s="289" t="n">
        <v>4815300</v>
      </c>
      <c r="K198" s="291" t="n"/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  <c r="Y198" s="285" t="n"/>
    </row>
    <row r="199" ht="15.5" customHeight="1">
      <c r="B199" s="286" t="inlineStr">
        <is>
          <t>08-May-24</t>
        </is>
      </c>
      <c r="C199" s="278" t="n">
        <v>6</v>
      </c>
      <c r="D199" s="280" t="inlineStr">
        <is>
          <t>Dinner (Dwi, Febri, Ilham)</t>
        </is>
      </c>
      <c r="E199" s="280" t="inlineStr">
        <is>
          <t>-</t>
        </is>
      </c>
      <c r="F199" s="287" t="n">
        <v>128000</v>
      </c>
      <c r="G199" s="282" t="inlineStr">
        <is>
          <t>IDR</t>
        </is>
      </c>
      <c r="H199" s="288" t="n">
        <v>1</v>
      </c>
      <c r="I199" s="290" t="n"/>
      <c r="J199" s="289" t="n">
        <v>128000</v>
      </c>
      <c r="K199" s="291" t="n"/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  <c r="Y199" s="285" t="n"/>
    </row>
    <row r="200" ht="15.5" customHeight="1">
      <c r="B200" s="325" t="inlineStr">
        <is>
          <t>Expense#10</t>
        </is>
      </c>
      <c r="C200" s="303" t="inlineStr">
        <is>
          <t>:</t>
        </is>
      </c>
      <c r="D200" s="304" t="inlineStr">
        <is>
          <t>ALFA+PLT (TGB-033 Zona 7) Elnusa_TMA</t>
        </is>
      </c>
      <c r="E200" s="305" t="n"/>
      <c r="F200" s="326" t="n"/>
      <c r="G200" s="303" t="n"/>
      <c r="H200" s="303" t="n"/>
      <c r="I200" s="307" t="n"/>
      <c r="J200" s="308" t="n"/>
      <c r="K200" s="309" t="n"/>
      <c r="L200" s="309" t="n"/>
      <c r="M200" s="307" t="n"/>
      <c r="N200" s="309" t="n"/>
      <c r="O200" s="309" t="n"/>
      <c r="P200" s="309" t="n"/>
      <c r="Q200" s="309" t="n"/>
      <c r="R200" s="310" t="n"/>
      <c r="S200" s="310" t="n"/>
      <c r="T200" s="310" t="n"/>
      <c r="U200" s="310" t="n"/>
      <c r="V200" s="310" t="n"/>
      <c r="W200" s="310" t="n"/>
      <c r="X200" s="310" t="n"/>
      <c r="Y200" s="310" t="n"/>
    </row>
    <row r="201" ht="15.5" customHeight="1">
      <c r="B201" s="311" t="n"/>
      <c r="C201" s="278" t="n"/>
      <c r="D201" s="312" t="inlineStr">
        <is>
          <t>Allowance</t>
        </is>
      </c>
      <c r="E201" s="313" t="n"/>
      <c r="F201" s="281" t="n"/>
      <c r="G201" s="278" t="n"/>
      <c r="H201" s="278" t="n"/>
      <c r="I201" s="283" t="n"/>
      <c r="J201" s="279" t="n"/>
      <c r="K201" s="279" t="n"/>
      <c r="L201" s="279" t="n"/>
      <c r="M201" s="279" t="n"/>
      <c r="N201" s="279" t="n"/>
      <c r="O201" s="279" t="n"/>
      <c r="P201" s="279" t="n"/>
      <c r="Q201" s="279" t="n"/>
      <c r="R201" s="315" t="n"/>
      <c r="S201" s="315" t="n"/>
      <c r="T201" s="315" t="n"/>
      <c r="U201" s="315" t="n"/>
      <c r="V201" s="315" t="n"/>
      <c r="W201" s="315" t="n"/>
      <c r="X201" s="315" t="n"/>
      <c r="Y201" s="315" t="n"/>
    </row>
    <row r="202" ht="15.5" customHeight="1">
      <c r="B202" s="286" t="inlineStr">
        <is>
          <t>25-Apr-24</t>
        </is>
      </c>
      <c r="C202" s="278" t="n">
        <v>1</v>
      </c>
      <c r="D202" s="280" t="inlineStr">
        <is>
          <t>Field Bonus for 7 days (25$/Day)</t>
        </is>
      </c>
      <c r="E202" s="280" t="inlineStr">
        <is>
          <t>-</t>
        </is>
      </c>
      <c r="F202" s="287" t="n">
        <v>1203813.75</v>
      </c>
      <c r="G202" s="282" t="inlineStr">
        <is>
          <t>USD</t>
        </is>
      </c>
      <c r="H202" s="288" t="n">
        <v>16050.85</v>
      </c>
      <c r="I202" s="289" t="n">
        <v>1203813.75</v>
      </c>
      <c r="J202" s="290" t="n"/>
      <c r="K202" s="291" t="n"/>
      <c r="L202" s="280" t="n"/>
      <c r="M202" s="280" t="n"/>
      <c r="N202" s="280" t="n"/>
      <c r="O202" s="280" t="n"/>
      <c r="P202" s="280" t="n"/>
      <c r="Q202" s="280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311" t="n"/>
      <c r="C203" s="278" t="n"/>
      <c r="D203" s="312" t="inlineStr">
        <is>
          <t>Biaya Operasi</t>
        </is>
      </c>
      <c r="E203" s="313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315" t="n"/>
      <c r="S203" s="315" t="n"/>
      <c r="T203" s="315" t="n"/>
      <c r="U203" s="315" t="n"/>
      <c r="V203" s="315" t="n"/>
      <c r="W203" s="315" t="n"/>
      <c r="X203" s="315" t="n"/>
      <c r="Y203" s="315" t="n"/>
    </row>
    <row r="204" ht="15.5" customHeight="1">
      <c r="B204" s="286" t="inlineStr">
        <is>
          <t>25-Apr-24</t>
        </is>
      </c>
      <c r="C204" s="278" t="n">
        <v>2</v>
      </c>
      <c r="D204" s="280" t="inlineStr">
        <is>
          <t>Hotel 25 Apr - 27 Apr &amp; 29 Apr- 2 May 2024 (6 days)</t>
        </is>
      </c>
      <c r="E204" s="280" t="inlineStr">
        <is>
          <t>-</t>
        </is>
      </c>
      <c r="F204" s="287" t="n">
        <v>3292802</v>
      </c>
      <c r="G204" s="282" t="inlineStr">
        <is>
          <t>IDR</t>
        </is>
      </c>
      <c r="H204" s="288" t="n">
        <v>1</v>
      </c>
      <c r="I204" s="290" t="n"/>
      <c r="J204" s="289" t="n">
        <v>3292802</v>
      </c>
      <c r="K204" s="291" t="n"/>
      <c r="L204" s="280" t="n"/>
      <c r="M204" s="280" t="n"/>
      <c r="N204" s="280" t="n"/>
      <c r="O204" s="280" t="n"/>
      <c r="P204" s="280" t="n"/>
      <c r="Q204" s="280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3</v>
      </c>
      <c r="D205" s="280" t="inlineStr">
        <is>
          <t>Laundry 7 days 1 Persons @ 50K IDR/day</t>
        </is>
      </c>
      <c r="E205" s="280" t="inlineStr">
        <is>
          <t>-</t>
        </is>
      </c>
      <c r="F205" s="287" t="n">
        <v>350000</v>
      </c>
      <c r="G205" s="282" t="inlineStr">
        <is>
          <t>IDR</t>
        </is>
      </c>
      <c r="H205" s="288" t="n">
        <v>1</v>
      </c>
      <c r="I205" s="290" t="n"/>
      <c r="J205" s="289" t="n">
        <v>350000</v>
      </c>
      <c r="K205" s="291" t="n"/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inlineStr">
        <is>
          <t>25-Apr-24</t>
        </is>
      </c>
      <c r="C206" s="278" t="n">
        <v>4</v>
      </c>
      <c r="D206" s="280" t="inlineStr">
        <is>
          <t>Crew's Operational</t>
        </is>
      </c>
      <c r="E206" s="280" t="inlineStr">
        <is>
          <t>-</t>
        </is>
      </c>
      <c r="F206" s="287" t="n">
        <v>657000</v>
      </c>
      <c r="G206" s="282" t="inlineStr">
        <is>
          <t>IDR</t>
        </is>
      </c>
      <c r="H206" s="288" t="n">
        <v>1</v>
      </c>
      <c r="I206" s="290" t="n"/>
      <c r="J206" s="289" t="n">
        <v>657000</v>
      </c>
      <c r="K206" s="291" t="n"/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  <c r="Y206" s="285" t="n"/>
    </row>
    <row r="207" ht="15.5" customHeight="1">
      <c r="B207" s="286" t="inlineStr">
        <is>
          <t>25-Apr-24</t>
        </is>
      </c>
      <c r="C207" s="278" t="n">
        <v>5</v>
      </c>
      <c r="D207" s="280" t="inlineStr">
        <is>
          <t>Meals 7 days 1 Persons @ 150K IDR/day</t>
        </is>
      </c>
      <c r="E207" s="280" t="inlineStr">
        <is>
          <t>-</t>
        </is>
      </c>
      <c r="F207" s="287" t="n">
        <v>1050000</v>
      </c>
      <c r="G207" s="282" t="inlineStr">
        <is>
          <t>IDR</t>
        </is>
      </c>
      <c r="H207" s="288" t="n">
        <v>1</v>
      </c>
      <c r="I207" s="290" t="n"/>
      <c r="J207" s="289" t="n">
        <v>1050000</v>
      </c>
      <c r="K207" s="291" t="n"/>
      <c r="L207" s="280" t="n"/>
      <c r="M207" s="280" t="n"/>
      <c r="N207" s="280" t="n"/>
      <c r="O207" s="280" t="n"/>
      <c r="P207" s="280" t="n"/>
      <c r="Q207" s="280" t="n"/>
      <c r="R207" s="285" t="n"/>
      <c r="S207" s="285" t="n"/>
      <c r="T207" s="285" t="n"/>
      <c r="U207" s="285" t="n"/>
      <c r="V207" s="285" t="n"/>
      <c r="W207" s="285" t="n"/>
      <c r="X207" s="285" t="n"/>
      <c r="Y207" s="285" t="n"/>
    </row>
    <row r="208" ht="15.5" customHeight="1">
      <c r="B208" s="286" t="inlineStr">
        <is>
          <t>25-Apr-24</t>
        </is>
      </c>
      <c r="C208" s="278" t="n">
        <v>6</v>
      </c>
      <c r="D208" s="280" t="inlineStr">
        <is>
          <t>Field Bonus for 4 days 29 April-2 May 2024 (100$/Day</t>
        </is>
      </c>
      <c r="E208" s="280" t="inlineStr">
        <is>
          <t>-</t>
        </is>
      </c>
      <c r="F208" s="287" t="n">
        <v>6420340</v>
      </c>
      <c r="G208" s="282" t="inlineStr">
        <is>
          <t>USD</t>
        </is>
      </c>
      <c r="H208" s="288" t="n">
        <v>16050.85</v>
      </c>
      <c r="I208" s="290" t="n"/>
      <c r="J208" s="289" t="n">
        <v>6420340</v>
      </c>
      <c r="K208" s="291" t="n"/>
      <c r="L208" s="280" t="n"/>
      <c r="M208" s="280" t="n"/>
      <c r="N208" s="280" t="n"/>
      <c r="O208" s="280" t="n"/>
      <c r="P208" s="280" t="n"/>
      <c r="Q208" s="280" t="n"/>
      <c r="R208" s="285" t="n"/>
      <c r="S208" s="285" t="n"/>
      <c r="T208" s="285" t="n"/>
      <c r="U208" s="285" t="n"/>
      <c r="V208" s="285" t="n"/>
      <c r="W208" s="285" t="n"/>
      <c r="X208" s="285" t="n"/>
      <c r="Y208" s="285" t="n"/>
    </row>
    <row r="209" ht="15.5" customHeight="1">
      <c r="B209" s="286" t="inlineStr">
        <is>
          <t>29-Apr-24</t>
        </is>
      </c>
      <c r="C209" s="278" t="n">
        <v>7</v>
      </c>
      <c r="D209" s="280" t="inlineStr">
        <is>
          <t>Internet Data</t>
        </is>
      </c>
      <c r="E209" s="280" t="inlineStr">
        <is>
          <t>-</t>
        </is>
      </c>
      <c r="F209" s="287" t="n">
        <v>75000</v>
      </c>
      <c r="G209" s="282" t="inlineStr">
        <is>
          <t>IDR</t>
        </is>
      </c>
      <c r="H209" s="288" t="n">
        <v>1</v>
      </c>
      <c r="I209" s="290" t="n"/>
      <c r="J209" s="289" t="n">
        <v>75000</v>
      </c>
      <c r="K209" s="291" t="n"/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  <c r="Y209" s="285" t="n"/>
    </row>
    <row r="210" ht="15.5" customHeight="1">
      <c r="B210" s="311" t="n"/>
      <c r="C210" s="278" t="n"/>
      <c r="D210" s="312" t="inlineStr">
        <is>
          <t>Pembelian Barang</t>
        </is>
      </c>
      <c r="E210" s="321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5" t="n"/>
      <c r="S210" s="315" t="n"/>
      <c r="T210" s="315" t="n"/>
      <c r="U210" s="315" t="n"/>
      <c r="V210" s="315" t="n"/>
      <c r="W210" s="315" t="n"/>
      <c r="X210" s="315" t="n"/>
      <c r="Y210" s="315" t="n"/>
    </row>
    <row r="211" ht="15.5" customHeight="1">
      <c r="B211" s="286" t="inlineStr">
        <is>
          <t>19-Apr-24</t>
        </is>
      </c>
      <c r="C211" s="278" t="n">
        <v>8</v>
      </c>
      <c r="D211" s="280" t="inlineStr">
        <is>
          <t>Tekiro Kunci L, Tekiro Tang, Obeng Set</t>
        </is>
      </c>
      <c r="E211" s="280" t="inlineStr">
        <is>
          <t>-</t>
        </is>
      </c>
      <c r="F211" s="287" t="n">
        <v>349000</v>
      </c>
      <c r="G211" s="282" t="inlineStr">
        <is>
          <t>IDR</t>
        </is>
      </c>
      <c r="H211" s="288" t="n">
        <v>1</v>
      </c>
      <c r="I211" s="290" t="n"/>
      <c r="J211" s="290" t="n"/>
      <c r="K211" s="291" t="n"/>
      <c r="L211" s="280" t="n"/>
      <c r="M211" s="280" t="n"/>
      <c r="N211" s="280" t="n"/>
      <c r="O211" s="292" t="n">
        <v>349000</v>
      </c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302" t="inlineStr">
        <is>
          <t>Expense#11</t>
        </is>
      </c>
      <c r="C212" s="303" t="inlineStr">
        <is>
          <t>:</t>
        </is>
      </c>
      <c r="D212" s="304" t="inlineStr">
        <is>
          <t>ALFA+MFC (TGB-033 Zona 7) Elnusa_TMA</t>
        </is>
      </c>
      <c r="E212" s="305" t="n"/>
      <c r="F212" s="326" t="n"/>
      <c r="G212" s="303" t="n"/>
      <c r="H212" s="303" t="n"/>
      <c r="I212" s="307" t="n"/>
      <c r="J212" s="308" t="n"/>
      <c r="K212" s="309" t="n"/>
      <c r="L212" s="309" t="n"/>
      <c r="M212" s="309" t="n"/>
      <c r="N212" s="309" t="n"/>
      <c r="O212" s="309" t="n"/>
      <c r="P212" s="309" t="n"/>
      <c r="Q212" s="309" t="n"/>
      <c r="R212" s="310" t="n"/>
      <c r="S212" s="310" t="n"/>
      <c r="T212" s="310" t="n"/>
      <c r="U212" s="310" t="n"/>
      <c r="V212" s="310" t="n"/>
      <c r="W212" s="310" t="n"/>
      <c r="X212" s="310" t="n"/>
      <c r="Y212" s="310" t="n"/>
    </row>
    <row r="213" ht="15.5" customHeight="1">
      <c r="B213" s="311" t="n"/>
      <c r="C213" s="278" t="n"/>
      <c r="D213" s="312" t="inlineStr">
        <is>
          <t>Biaya Operasi</t>
        </is>
      </c>
      <c r="E213" s="322" t="n"/>
      <c r="F213" s="281" t="n"/>
      <c r="G213" s="278" t="n"/>
      <c r="H213" s="278" t="n"/>
      <c r="I213" s="284" t="n"/>
      <c r="J213" s="284" t="n"/>
      <c r="K213" s="279" t="n"/>
      <c r="L213" s="279" t="n"/>
      <c r="M213" s="279" t="n"/>
      <c r="N213" s="279" t="n"/>
      <c r="O213" s="279" t="n"/>
      <c r="P213" s="279" t="n"/>
      <c r="Q213" s="279" t="n"/>
      <c r="R213" s="315" t="n"/>
      <c r="S213" s="315" t="n"/>
      <c r="T213" s="315" t="n"/>
      <c r="U213" s="315" t="n"/>
      <c r="V213" s="315" t="n"/>
      <c r="W213" s="315" t="n"/>
      <c r="X213" s="315" t="n"/>
      <c r="Y213" s="315" t="n"/>
    </row>
    <row r="214" ht="15.5" customHeight="1">
      <c r="B214" s="286" t="inlineStr">
        <is>
          <t>19-Apr-24</t>
        </is>
      </c>
      <c r="C214" s="278" t="n">
        <v>1</v>
      </c>
      <c r="D214" s="280" t="inlineStr">
        <is>
          <t>Hotel 19 Apr-22 Apr 2024 (3 days)</t>
        </is>
      </c>
      <c r="E214" s="280" t="inlineStr">
        <is>
          <t>-</t>
        </is>
      </c>
      <c r="F214" s="287" t="n">
        <v>1950000</v>
      </c>
      <c r="G214" s="282" t="inlineStr">
        <is>
          <t>IDR</t>
        </is>
      </c>
      <c r="H214" s="288" t="n">
        <v>1</v>
      </c>
      <c r="I214" s="290" t="n"/>
      <c r="J214" s="289" t="n">
        <v>1950000</v>
      </c>
      <c r="K214" s="291" t="n"/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2</v>
      </c>
      <c r="D215" s="280" t="inlineStr">
        <is>
          <t>Laundry 4 days 1 Persons @ 50K IDR/day</t>
        </is>
      </c>
      <c r="E215" s="280" t="inlineStr">
        <is>
          <t>-</t>
        </is>
      </c>
      <c r="F215" s="287" t="n">
        <v>200000</v>
      </c>
      <c r="G215" s="282" t="inlineStr">
        <is>
          <t>IDR</t>
        </is>
      </c>
      <c r="H215" s="288" t="n">
        <v>1</v>
      </c>
      <c r="I215" s="290" t="n"/>
      <c r="J215" s="289" t="n">
        <v>200000</v>
      </c>
      <c r="K215" s="291" t="n"/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inlineStr">
        <is>
          <t>19-Apr-24</t>
        </is>
      </c>
      <c r="C216" s="278" t="n">
        <v>3</v>
      </c>
      <c r="D216" s="280" t="inlineStr">
        <is>
          <t>Battery A2</t>
        </is>
      </c>
      <c r="E216" s="280" t="inlineStr">
        <is>
          <t>-</t>
        </is>
      </c>
      <c r="F216" s="287" t="n">
        <v>101800</v>
      </c>
      <c r="G216" s="282" t="inlineStr">
        <is>
          <t>IDR</t>
        </is>
      </c>
      <c r="H216" s="288" t="n">
        <v>1</v>
      </c>
      <c r="I216" s="290" t="n"/>
      <c r="J216" s="289" t="n">
        <v>101800</v>
      </c>
      <c r="K216" s="291" t="n"/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  <c r="Y216" s="285" t="n"/>
    </row>
    <row r="217" ht="15.5" customHeight="1">
      <c r="B217" s="286" t="inlineStr">
        <is>
          <t>19-Apr-24</t>
        </is>
      </c>
      <c r="C217" s="278" t="n">
        <v>4</v>
      </c>
      <c r="D217" s="280" t="inlineStr">
        <is>
          <t>Crew's Operational</t>
        </is>
      </c>
      <c r="E217" s="280" t="inlineStr">
        <is>
          <t>-</t>
        </is>
      </c>
      <c r="F217" s="287" t="n">
        <v>481900</v>
      </c>
      <c r="G217" s="282" t="inlineStr">
        <is>
          <t>IDR</t>
        </is>
      </c>
      <c r="H217" s="288" t="n">
        <v>1</v>
      </c>
      <c r="I217" s="290" t="n"/>
      <c r="J217" s="289" t="n">
        <v>481900</v>
      </c>
      <c r="K217" s="291" t="n"/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  <c r="Y217" s="285" t="n"/>
    </row>
    <row r="218" ht="15.5" customHeight="1">
      <c r="B218" s="286" t="inlineStr">
        <is>
          <t>19-Apr-24</t>
        </is>
      </c>
      <c r="C218" s="278" t="n">
        <v>5</v>
      </c>
      <c r="D218" s="280" t="inlineStr">
        <is>
          <t>Meals 4 days 1 Persons @ 150K IDR/day</t>
        </is>
      </c>
      <c r="E218" s="280" t="inlineStr">
        <is>
          <t>-</t>
        </is>
      </c>
      <c r="F218" s="287" t="n">
        <v>600000</v>
      </c>
      <c r="G218" s="282" t="inlineStr">
        <is>
          <t>IDR</t>
        </is>
      </c>
      <c r="H218" s="288" t="n">
        <v>1</v>
      </c>
      <c r="I218" s="290" t="n"/>
      <c r="J218" s="289" t="n">
        <v>600000</v>
      </c>
      <c r="K218" s="291" t="n"/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  <c r="Y218" s="285" t="n"/>
    </row>
    <row r="219" ht="15.5" customHeight="1">
      <c r="B219" s="286" t="inlineStr">
        <is>
          <t>19-Apr-24</t>
        </is>
      </c>
      <c r="C219" s="278" t="n">
        <v>6</v>
      </c>
      <c r="D219" s="280" t="inlineStr">
        <is>
          <t>Field Bonus for 4 days (25$/Day)</t>
        </is>
      </c>
      <c r="E219" s="280" t="inlineStr">
        <is>
          <t>-</t>
        </is>
      </c>
      <c r="F219" s="287" t="n">
        <v>1605085</v>
      </c>
      <c r="G219" s="282" t="inlineStr">
        <is>
          <t>USD</t>
        </is>
      </c>
      <c r="H219" s="288" t="n">
        <v>16050.85</v>
      </c>
      <c r="I219" s="290" t="n"/>
      <c r="J219" s="289" t="n">
        <v>1605085</v>
      </c>
      <c r="K219" s="291" t="n"/>
      <c r="L219" s="280" t="n"/>
      <c r="M219" s="280" t="n"/>
      <c r="N219" s="280" t="n"/>
      <c r="O219" s="280" t="n"/>
      <c r="P219" s="280" t="n"/>
      <c r="Q219" s="280" t="n"/>
      <c r="R219" s="285" t="n"/>
      <c r="S219" s="285" t="n"/>
      <c r="T219" s="285" t="n"/>
      <c r="U219" s="285" t="n"/>
      <c r="V219" s="285" t="n"/>
      <c r="W219" s="285" t="n"/>
      <c r="X219" s="285" t="n"/>
      <c r="Y219" s="285" t="n"/>
    </row>
    <row r="220" ht="15.5" customHeight="1">
      <c r="B220" s="286" t="inlineStr">
        <is>
          <t>22-Apr-24</t>
        </is>
      </c>
      <c r="C220" s="278" t="n">
        <v>7</v>
      </c>
      <c r="D220" s="280" t="inlineStr">
        <is>
          <t>Taxi Bintaro-Wisma Mas</t>
        </is>
      </c>
      <c r="E220" s="280" t="inlineStr">
        <is>
          <t>-</t>
        </is>
      </c>
      <c r="F220" s="287" t="n">
        <v>78500</v>
      </c>
      <c r="G220" s="282" t="inlineStr">
        <is>
          <t>IDR</t>
        </is>
      </c>
      <c r="H220" s="288" t="n">
        <v>1</v>
      </c>
      <c r="I220" s="290" t="n"/>
      <c r="J220" s="289" t="n">
        <v>78500</v>
      </c>
      <c r="K220" s="291" t="n"/>
      <c r="L220" s="280" t="n"/>
      <c r="M220" s="280" t="n"/>
      <c r="N220" s="280" t="n"/>
      <c r="O220" s="280" t="n"/>
      <c r="P220" s="280" t="n"/>
      <c r="Q220" s="280" t="n"/>
      <c r="R220" s="285" t="n"/>
      <c r="S220" s="285" t="n"/>
      <c r="T220" s="285" t="n"/>
      <c r="U220" s="285" t="n"/>
      <c r="V220" s="285" t="n"/>
      <c r="W220" s="285" t="n"/>
      <c r="X220" s="285" t="n"/>
      <c r="Y220" s="285" t="n"/>
    </row>
    <row r="221" ht="15.5" customHeight="1">
      <c r="B221" s="302" t="inlineStr">
        <is>
          <t>Expense#12</t>
        </is>
      </c>
      <c r="C221" s="303" t="inlineStr">
        <is>
          <t>:</t>
        </is>
      </c>
      <c r="D221" s="304" t="inlineStr">
        <is>
          <t>BOSIET Training -_TMA</t>
        </is>
      </c>
      <c r="E221" s="323" t="n"/>
      <c r="F221" s="326" t="n"/>
      <c r="G221" s="320" t="n"/>
      <c r="H221" s="320" t="n"/>
      <c r="I221" s="309" t="n"/>
      <c r="J221" s="309" t="n"/>
      <c r="K221" s="309" t="n"/>
      <c r="L221" s="309" t="n"/>
      <c r="M221" s="309" t="n"/>
      <c r="N221" s="309" t="n"/>
      <c r="O221" s="309" t="n"/>
      <c r="P221" s="309" t="n"/>
      <c r="Q221" s="309" t="n"/>
      <c r="R221" s="310" t="n"/>
      <c r="S221" s="310" t="n"/>
      <c r="T221" s="310" t="n"/>
      <c r="U221" s="310" t="n"/>
      <c r="V221" s="310" t="n"/>
      <c r="W221" s="310" t="n"/>
      <c r="X221" s="310" t="n"/>
      <c r="Y221" s="310" t="n"/>
    </row>
    <row r="222" ht="15.5" customHeight="1">
      <c r="B222" s="311" t="n"/>
      <c r="C222" s="278" t="n"/>
      <c r="D222" s="312" t="inlineStr">
        <is>
          <t>Biaya Operasi</t>
        </is>
      </c>
      <c r="E222" s="313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5" t="n"/>
      <c r="S222" s="315" t="n"/>
      <c r="T222" s="315" t="n"/>
      <c r="U222" s="315" t="n"/>
      <c r="V222" s="315" t="n"/>
      <c r="W222" s="315" t="n"/>
      <c r="X222" s="315" t="n"/>
      <c r="Y222" s="315" t="n"/>
    </row>
    <row r="223" ht="15.5" customHeight="1">
      <c r="B223" s="286" t="inlineStr">
        <is>
          <t>17-May-24</t>
        </is>
      </c>
      <c r="C223" s="278" t="n">
        <v>1</v>
      </c>
      <c r="D223" s="280" t="inlineStr">
        <is>
          <t>BOSIET Training</t>
        </is>
      </c>
      <c r="E223" s="280" t="inlineStr">
        <is>
          <t>-</t>
        </is>
      </c>
      <c r="F223" s="287" t="n">
        <v>9693878</v>
      </c>
      <c r="G223" s="282" t="inlineStr">
        <is>
          <t>IDR</t>
        </is>
      </c>
      <c r="H223" s="288" t="n">
        <v>1</v>
      </c>
      <c r="I223" s="290" t="n"/>
      <c r="J223" s="289" t="n">
        <v>9693878</v>
      </c>
      <c r="K223" s="291" t="n"/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302" t="inlineStr">
        <is>
          <t>Expense#13</t>
        </is>
      </c>
      <c r="C224" s="303" t="inlineStr">
        <is>
          <t>:</t>
        </is>
      </c>
      <c r="D224" s="304" t="inlineStr">
        <is>
          <t>Non Trip MCU Dwiyanto</t>
        </is>
      </c>
      <c r="E224" s="323" t="n"/>
      <c r="F224" s="326" t="n"/>
      <c r="G224" s="320" t="n"/>
      <c r="H224" s="303" t="n"/>
      <c r="I224" s="308" t="n"/>
      <c r="J224" s="308" t="n"/>
      <c r="K224" s="309" t="n"/>
      <c r="L224" s="309" t="n"/>
      <c r="M224" s="309" t="n"/>
      <c r="N224" s="309" t="n"/>
      <c r="O224" s="309" t="n"/>
      <c r="P224" s="309" t="n"/>
      <c r="Q224" s="309" t="n"/>
      <c r="R224" s="310" t="n"/>
      <c r="S224" s="310" t="n"/>
      <c r="T224" s="310" t="n"/>
      <c r="U224" s="310" t="n"/>
      <c r="V224" s="310" t="n"/>
      <c r="W224" s="310" t="n"/>
      <c r="X224" s="310" t="n"/>
      <c r="Y224" s="310" t="n"/>
    </row>
    <row r="225" ht="15.5" customHeight="1">
      <c r="B225" s="311" t="n"/>
      <c r="C225" s="278" t="n"/>
      <c r="D225" s="312" t="inlineStr">
        <is>
          <t>Kesehatan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  <c r="R225" s="315" t="n"/>
      <c r="S225" s="315" t="n"/>
      <c r="T225" s="315" t="n"/>
      <c r="U225" s="315" t="n"/>
      <c r="V225" s="315" t="n"/>
      <c r="W225" s="315" t="n"/>
      <c r="X225" s="315" t="n"/>
      <c r="Y225" s="315" t="n"/>
    </row>
    <row r="226" ht="15.5" customHeight="1">
      <c r="B226" s="286" t="inlineStr">
        <is>
          <t>20-May-24</t>
        </is>
      </c>
      <c r="C226" s="278" t="n">
        <v>1</v>
      </c>
      <c r="D226" s="280" t="inlineStr">
        <is>
          <t>MCU Paket Umum Basic 1</t>
        </is>
      </c>
      <c r="E226" s="280" t="inlineStr">
        <is>
          <t>-</t>
        </is>
      </c>
      <c r="F226" s="287" t="n">
        <v>5322000</v>
      </c>
      <c r="G226" s="282" t="inlineStr">
        <is>
          <t>IDR</t>
        </is>
      </c>
      <c r="H226" s="288" t="n">
        <v>1</v>
      </c>
      <c r="I226" s="290" t="n"/>
      <c r="J226" s="290" t="n"/>
      <c r="K226" s="291" t="n"/>
      <c r="L226" s="280" t="n"/>
      <c r="M226" s="280" t="n"/>
      <c r="N226" s="280" t="n"/>
      <c r="O226" s="280" t="n"/>
      <c r="P226" s="280" t="n"/>
      <c r="Q226" s="292" t="n">
        <v>5322000</v>
      </c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311" t="n"/>
      <c r="C227" s="278" t="n"/>
      <c r="D227" s="312" t="inlineStr">
        <is>
          <t>Pembelian Barang</t>
        </is>
      </c>
      <c r="E227" s="322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315" t="n"/>
      <c r="S227" s="315" t="n"/>
      <c r="T227" s="315" t="n"/>
      <c r="U227" s="315" t="n"/>
      <c r="V227" s="315" t="n"/>
      <c r="W227" s="315" t="n"/>
      <c r="X227" s="315" t="n"/>
      <c r="Y227" s="315" t="n"/>
    </row>
    <row r="228" ht="15.5" customHeight="1">
      <c r="B228" s="286" t="inlineStr">
        <is>
          <t>21-May-24</t>
        </is>
      </c>
      <c r="C228" s="278" t="n">
        <v>2</v>
      </c>
      <c r="D228" s="280" t="inlineStr">
        <is>
          <t>Safety shoes</t>
        </is>
      </c>
      <c r="E228" s="280" t="inlineStr">
        <is>
          <t>-</t>
        </is>
      </c>
      <c r="F228" s="287" t="n">
        <v>2402000</v>
      </c>
      <c r="G228" s="282" t="inlineStr">
        <is>
          <t>IDR</t>
        </is>
      </c>
      <c r="H228" s="288" t="n">
        <v>1</v>
      </c>
      <c r="I228" s="290" t="n"/>
      <c r="J228" s="290" t="n"/>
      <c r="K228" s="291" t="n"/>
      <c r="L228" s="280" t="n"/>
      <c r="M228" s="280" t="n"/>
      <c r="N228" s="280" t="n"/>
      <c r="O228" s="292" t="n">
        <v>2402000</v>
      </c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302" t="inlineStr">
        <is>
          <t>Expense#14</t>
        </is>
      </c>
      <c r="C229" s="303" t="inlineStr">
        <is>
          <t>:</t>
        </is>
      </c>
      <c r="D229" s="304" t="inlineStr">
        <is>
          <t>Non project _ MCU - Ilham BR</t>
        </is>
      </c>
      <c r="E229" s="323" t="n"/>
      <c r="F229" s="326" t="n"/>
      <c r="G229" s="320" t="n"/>
      <c r="H229" s="303" t="n"/>
      <c r="I229" s="308" t="n"/>
      <c r="J229" s="308" t="n"/>
      <c r="K229" s="309" t="n"/>
      <c r="L229" s="309" t="n"/>
      <c r="M229" s="309" t="n"/>
      <c r="N229" s="309" t="n"/>
      <c r="O229" s="309" t="n"/>
      <c r="P229" s="309" t="n"/>
      <c r="Q229" s="309" t="n"/>
      <c r="R229" s="310" t="n"/>
      <c r="S229" s="310" t="n"/>
      <c r="T229" s="310" t="n"/>
      <c r="U229" s="310" t="n"/>
      <c r="V229" s="310" t="n"/>
      <c r="W229" s="310" t="n"/>
      <c r="X229" s="310" t="n"/>
      <c r="Y229" s="310" t="n"/>
    </row>
    <row r="230" ht="15.5" customHeight="1">
      <c r="B230" s="311" t="n"/>
      <c r="C230" s="278" t="n"/>
      <c r="D230" s="312" t="inlineStr">
        <is>
          <t>Kesehatan</t>
        </is>
      </c>
      <c r="E230" s="313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5" t="n"/>
      <c r="S230" s="315" t="n"/>
      <c r="T230" s="315" t="n"/>
      <c r="U230" s="315" t="n"/>
      <c r="V230" s="315" t="n"/>
      <c r="W230" s="315" t="n"/>
      <c r="X230" s="315" t="n"/>
      <c r="Y230" s="315" t="n"/>
    </row>
    <row r="231" ht="15.5" customHeight="1">
      <c r="B231" s="286" t="inlineStr">
        <is>
          <t>20-May-24</t>
        </is>
      </c>
      <c r="C231" s="278" t="n">
        <v>1</v>
      </c>
      <c r="D231" s="280" t="inlineStr">
        <is>
          <t>Biaya MCU</t>
        </is>
      </c>
      <c r="E231" s="280" t="inlineStr">
        <is>
          <t>-</t>
        </is>
      </c>
      <c r="F231" s="287" t="n">
        <v>5407000</v>
      </c>
      <c r="G231" s="282" t="inlineStr">
        <is>
          <t>IDR</t>
        </is>
      </c>
      <c r="H231" s="288" t="n">
        <v>1</v>
      </c>
      <c r="I231" s="290" t="n"/>
      <c r="J231" s="290" t="n"/>
      <c r="K231" s="291" t="n"/>
      <c r="L231" s="280" t="n"/>
      <c r="M231" s="280" t="n"/>
      <c r="N231" s="280" t="n"/>
      <c r="O231" s="280" t="n"/>
      <c r="P231" s="280" t="n"/>
      <c r="Q231" s="292" t="n">
        <v>5407000</v>
      </c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302" t="inlineStr">
        <is>
          <t>Expense#15</t>
        </is>
      </c>
      <c r="C232" s="303" t="inlineStr">
        <is>
          <t>:</t>
        </is>
      </c>
      <c r="D232" s="304" t="inlineStr">
        <is>
          <t>ALFA Job - Jrk-193 _ OJT_ Ilham BR</t>
        </is>
      </c>
      <c r="E232" s="305" t="n"/>
      <c r="F232" s="326" t="n"/>
      <c r="G232" s="320" t="n"/>
      <c r="H232" s="327" t="n"/>
      <c r="I232" s="307" t="n"/>
      <c r="J232" s="308" t="n"/>
      <c r="K232" s="309" t="n"/>
      <c r="L232" s="309" t="n"/>
      <c r="M232" s="309" t="n"/>
      <c r="N232" s="309" t="n"/>
      <c r="O232" s="309" t="n"/>
      <c r="P232" s="309" t="n"/>
      <c r="Q232" s="309" t="n"/>
      <c r="R232" s="310" t="n"/>
      <c r="S232" s="310" t="n"/>
      <c r="T232" s="310" t="n"/>
      <c r="U232" s="310" t="n"/>
      <c r="V232" s="310" t="n"/>
      <c r="W232" s="310" t="n"/>
      <c r="X232" s="310" t="n"/>
      <c r="Y232" s="310" t="n"/>
    </row>
    <row r="233" ht="15.5" customHeight="1">
      <c r="B233" s="311" t="n"/>
      <c r="C233" s="278" t="n"/>
      <c r="D233" s="312" t="inlineStr">
        <is>
          <t>Biaya Operasi</t>
        </is>
      </c>
      <c r="E233" s="313" t="n"/>
      <c r="F233" s="281" t="n"/>
      <c r="G233" s="280" t="n"/>
      <c r="H233" s="328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5" t="n"/>
      <c r="S233" s="315" t="n"/>
      <c r="T233" s="315" t="n"/>
      <c r="U233" s="315" t="n"/>
      <c r="V233" s="315" t="n"/>
      <c r="W233" s="315" t="n"/>
      <c r="X233" s="315" t="n"/>
      <c r="Y233" s="315" t="n"/>
    </row>
    <row r="234" ht="15.5" customHeight="1">
      <c r="B234" s="286" t="inlineStr">
        <is>
          <t>21-May-24</t>
        </is>
      </c>
      <c r="C234" s="278" t="n">
        <v>1</v>
      </c>
      <c r="D234" s="280" t="inlineStr">
        <is>
          <t>Tiket Pesawat Citilink (CGK-PLM 25 Mei 2024)</t>
        </is>
      </c>
      <c r="E234" s="280" t="inlineStr">
        <is>
          <t>-</t>
        </is>
      </c>
      <c r="F234" s="287" t="n">
        <v>773238</v>
      </c>
      <c r="G234" s="282" t="inlineStr">
        <is>
          <t>IDR</t>
        </is>
      </c>
      <c r="H234" s="288" t="n">
        <v>1</v>
      </c>
      <c r="I234" s="290" t="n"/>
      <c r="J234" s="289" t="n">
        <v>773238</v>
      </c>
      <c r="K234" s="291" t="n"/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24-May-24</t>
        </is>
      </c>
      <c r="C235" s="278" t="n">
        <v>2</v>
      </c>
      <c r="D235" s="280" t="inlineStr">
        <is>
          <t>Reschedule Tiket Pesawat dari Citilink ke Super Air Jet (CGK-PLg)</t>
        </is>
      </c>
      <c r="E235" s="280" t="inlineStr">
        <is>
          <t>-</t>
        </is>
      </c>
      <c r="F235" s="287" t="n">
        <v>296853</v>
      </c>
      <c r="G235" s="282" t="inlineStr">
        <is>
          <t>IDR</t>
        </is>
      </c>
      <c r="H235" s="288" t="n">
        <v>1</v>
      </c>
      <c r="I235" s="290" t="n"/>
      <c r="J235" s="289" t="n">
        <v>296853</v>
      </c>
      <c r="K235" s="291" t="n"/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inlineStr">
        <is>
          <t>24-May-24</t>
        </is>
      </c>
      <c r="C236" s="278" t="n">
        <v>3</v>
      </c>
      <c r="D236" s="280" t="inlineStr">
        <is>
          <t>Taxi + Tol To Airport CGK</t>
        </is>
      </c>
      <c r="E236" s="280" t="inlineStr">
        <is>
          <t>-</t>
        </is>
      </c>
      <c r="F236" s="287" t="n">
        <v>250000</v>
      </c>
      <c r="G236" s="282" t="inlineStr">
        <is>
          <t>IDR</t>
        </is>
      </c>
      <c r="H236" s="288" t="n">
        <v>1</v>
      </c>
      <c r="I236" s="290" t="n"/>
      <c r="J236" s="289" t="n">
        <v>250000</v>
      </c>
      <c r="K236" s="291" t="n"/>
      <c r="L236" s="280" t="n"/>
      <c r="M236" s="280" t="n"/>
      <c r="N236" s="280" t="n"/>
      <c r="O236" s="280" t="n"/>
      <c r="P236" s="280" t="n"/>
      <c r="Q236" s="280" t="n"/>
      <c r="R236" s="285" t="n"/>
      <c r="S236" s="285" t="n"/>
      <c r="T236" s="285" t="n"/>
      <c r="U236" s="285" t="n"/>
      <c r="V236" s="285" t="n"/>
      <c r="W236" s="285" t="n"/>
      <c r="X236" s="285" t="n"/>
      <c r="Y236" s="285" t="n"/>
    </row>
    <row r="237" ht="15.5" customHeight="1">
      <c r="B237" s="286" t="inlineStr">
        <is>
          <t>25-May-24</t>
        </is>
      </c>
      <c r="C237" s="278" t="n">
        <v>4</v>
      </c>
      <c r="D237" s="280" t="inlineStr">
        <is>
          <t>Uang makan (25 - 30 May 2024)</t>
        </is>
      </c>
      <c r="E237" s="280" t="inlineStr">
        <is>
          <t>-</t>
        </is>
      </c>
      <c r="F237" s="287" t="n">
        <v>900000</v>
      </c>
      <c r="G237" s="282" t="inlineStr">
        <is>
          <t>IDR</t>
        </is>
      </c>
      <c r="H237" s="288" t="n">
        <v>1</v>
      </c>
      <c r="I237" s="290" t="n"/>
      <c r="J237" s="289" t="n">
        <v>900000</v>
      </c>
      <c r="K237" s="291" t="n"/>
      <c r="L237" s="280" t="n"/>
      <c r="M237" s="280" t="n"/>
      <c r="N237" s="280" t="n"/>
      <c r="O237" s="280" t="n"/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  <c r="Y237" s="285" t="n"/>
    </row>
    <row r="238" ht="15.5" customHeight="1">
      <c r="B238" s="286" t="inlineStr">
        <is>
          <t>25-May-24</t>
        </is>
      </c>
      <c r="C238" s="278" t="n">
        <v>5</v>
      </c>
      <c r="D238" s="280" t="inlineStr">
        <is>
          <t>Tunjangan Lapangan JRK-193 (25 - 30 May 2024)</t>
        </is>
      </c>
      <c r="E238" s="280" t="inlineStr">
        <is>
          <t>-</t>
        </is>
      </c>
      <c r="F238" s="287" t="n">
        <v>2430000</v>
      </c>
      <c r="G238" s="282" t="inlineStr">
        <is>
          <t>$</t>
        </is>
      </c>
      <c r="H238" s="288" t="n">
        <v>16200</v>
      </c>
      <c r="I238" s="290" t="n"/>
      <c r="J238" s="289" t="n">
        <v>2430000</v>
      </c>
      <c r="K238" s="291" t="n"/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  <c r="Y238" s="285" t="n"/>
    </row>
    <row r="239" ht="15.5" customHeight="1">
      <c r="B239" s="302" t="inlineStr">
        <is>
          <t>Expense#16</t>
        </is>
      </c>
      <c r="C239" s="303" t="inlineStr">
        <is>
          <t>:</t>
        </is>
      </c>
      <c r="D239" s="304" t="inlineStr">
        <is>
          <t>ALFA job - JRK-193 OJT - Dwiyanto S</t>
        </is>
      </c>
      <c r="E239" s="320" t="n"/>
      <c r="F239" s="326" t="n"/>
      <c r="G239" s="320" t="n"/>
      <c r="H239" s="320" t="n"/>
      <c r="I239" s="307" t="n"/>
      <c r="J239" s="308" t="n"/>
      <c r="K239" s="309" t="n"/>
      <c r="L239" s="309" t="n"/>
      <c r="M239" s="309" t="n"/>
      <c r="N239" s="307" t="n"/>
      <c r="O239" s="309" t="n"/>
      <c r="P239" s="309" t="n"/>
      <c r="Q239" s="309" t="n"/>
      <c r="R239" s="310" t="n"/>
      <c r="S239" s="310" t="n"/>
      <c r="T239" s="310" t="n"/>
      <c r="U239" s="310" t="n"/>
      <c r="V239" s="310" t="n"/>
      <c r="W239" s="310" t="n"/>
      <c r="X239" s="310" t="n"/>
      <c r="Y239" s="310" t="n"/>
    </row>
    <row r="240" ht="15.5" customHeight="1">
      <c r="B240" s="311" t="n"/>
      <c r="C240" s="278" t="n"/>
      <c r="D240" s="312" t="inlineStr">
        <is>
          <t>Biaya Operasi</t>
        </is>
      </c>
      <c r="E240" s="322" t="n"/>
      <c r="F240" s="281" t="n"/>
      <c r="G240" s="280" t="n"/>
      <c r="H240" s="280" t="n"/>
      <c r="I240" s="283" t="n"/>
      <c r="J240" s="284" t="n"/>
      <c r="K240" s="279" t="n"/>
      <c r="L240" s="279" t="n"/>
      <c r="M240" s="279" t="n"/>
      <c r="N240" s="279" t="n"/>
      <c r="O240" s="279" t="n"/>
      <c r="P240" s="279" t="n"/>
      <c r="Q240" s="279" t="n"/>
      <c r="R240" s="315" t="n"/>
      <c r="S240" s="315" t="n"/>
      <c r="T240" s="315" t="n"/>
      <c r="U240" s="315" t="n"/>
      <c r="V240" s="315" t="n"/>
      <c r="W240" s="315" t="n"/>
      <c r="X240" s="315" t="n"/>
      <c r="Y240" s="315" t="n"/>
    </row>
    <row r="241" ht="15.5" customHeight="1">
      <c r="B241" s="286" t="inlineStr">
        <is>
          <t>25-May-24</t>
        </is>
      </c>
      <c r="C241" s="278" t="n">
        <v>1</v>
      </c>
      <c r="D241" s="280" t="inlineStr">
        <is>
          <t>Taxi + Tol to Airport Jakarta</t>
        </is>
      </c>
      <c r="E241" s="280" t="inlineStr">
        <is>
          <t>-</t>
        </is>
      </c>
      <c r="F241" s="287" t="n">
        <v>232520</v>
      </c>
      <c r="G241" s="282" t="inlineStr">
        <is>
          <t>IDR</t>
        </is>
      </c>
      <c r="H241" s="288" t="n">
        <v>1</v>
      </c>
      <c r="I241" s="290" t="n"/>
      <c r="J241" s="289" t="n">
        <v>232520</v>
      </c>
      <c r="K241" s="291" t="n"/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2</v>
      </c>
      <c r="D242" s="280" t="inlineStr">
        <is>
          <t>fuel + tol PLM-Prabu</t>
        </is>
      </c>
      <c r="E242" s="280" t="inlineStr">
        <is>
          <t>-</t>
        </is>
      </c>
      <c r="F242" s="287" t="n">
        <v>312000</v>
      </c>
      <c r="G242" s="282" t="inlineStr">
        <is>
          <t>IDR</t>
        </is>
      </c>
      <c r="H242" s="288" t="n">
        <v>1</v>
      </c>
      <c r="I242" s="290" t="n"/>
      <c r="J242" s="289" t="n">
        <v>312000</v>
      </c>
      <c r="K242" s="291" t="n"/>
      <c r="L242" s="280" t="n"/>
      <c r="M242" s="280" t="n"/>
      <c r="N242" s="280" t="n"/>
      <c r="O242" s="280" t="n"/>
      <c r="P242" s="280" t="n"/>
      <c r="Q242" s="280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inlineStr">
        <is>
          <t>25-May-24</t>
        </is>
      </c>
      <c r="C243" s="278" t="n">
        <v>3</v>
      </c>
      <c r="D243" s="280" t="inlineStr">
        <is>
          <t>Uang Makan (25 - 30 May 2024)</t>
        </is>
      </c>
      <c r="E243" s="280" t="inlineStr">
        <is>
          <t>-</t>
        </is>
      </c>
      <c r="F243" s="287" t="n">
        <v>900000</v>
      </c>
      <c r="G243" s="282" t="inlineStr">
        <is>
          <t>IDR</t>
        </is>
      </c>
      <c r="H243" s="288" t="n">
        <v>1</v>
      </c>
      <c r="I243" s="290" t="n"/>
      <c r="J243" s="289" t="n">
        <v>900000</v>
      </c>
      <c r="K243" s="291" t="n"/>
      <c r="L243" s="280" t="n"/>
      <c r="M243" s="280" t="n"/>
      <c r="N243" s="280" t="n"/>
      <c r="O243" s="280" t="n"/>
      <c r="P243" s="280" t="n"/>
      <c r="Q243" s="280" t="n"/>
      <c r="R243" s="285" t="n"/>
      <c r="S243" s="285" t="n"/>
      <c r="T243" s="285" t="n"/>
      <c r="U243" s="285" t="n"/>
      <c r="V243" s="285" t="n"/>
      <c r="W243" s="285" t="n"/>
      <c r="X243" s="285" t="n"/>
      <c r="Y243" s="285" t="n"/>
    </row>
    <row r="244" ht="15.5" customHeight="1">
      <c r="B244" s="286" t="inlineStr">
        <is>
          <t>25-May-24</t>
        </is>
      </c>
      <c r="C244" s="278" t="n">
        <v>4</v>
      </c>
      <c r="D244" s="280" t="inlineStr">
        <is>
          <t>Laundry (25 - 30 May 2024)</t>
        </is>
      </c>
      <c r="E244" s="280" t="inlineStr">
        <is>
          <t>-</t>
        </is>
      </c>
      <c r="F244" s="287" t="n">
        <v>300000</v>
      </c>
      <c r="G244" s="282" t="inlineStr">
        <is>
          <t>IDR</t>
        </is>
      </c>
      <c r="H244" s="288" t="n">
        <v>1</v>
      </c>
      <c r="I244" s="290" t="n"/>
      <c r="J244" s="289" t="n">
        <v>300000</v>
      </c>
      <c r="K244" s="291" t="n"/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  <c r="Y244" s="285" t="n"/>
    </row>
    <row r="245" ht="15.5" customHeight="1">
      <c r="B245" s="286" t="inlineStr">
        <is>
          <t>25-May-24</t>
        </is>
      </c>
      <c r="C245" s="278" t="n">
        <v>5</v>
      </c>
      <c r="D245" s="280" t="inlineStr">
        <is>
          <t>Tunjangan Lapangan JRK-193 (25 - 30 May 2024). 1US$=16.200</t>
        </is>
      </c>
      <c r="E245" s="280" t="inlineStr">
        <is>
          <t>-</t>
        </is>
      </c>
      <c r="F245" s="287" t="n">
        <v>150</v>
      </c>
      <c r="G245" s="282" t="inlineStr">
        <is>
          <t>IDR</t>
        </is>
      </c>
      <c r="H245" s="288" t="n">
        <v>16200</v>
      </c>
      <c r="I245" s="290" t="n"/>
      <c r="J245" s="289" t="n">
        <v>150</v>
      </c>
      <c r="K245" s="291" t="n"/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  <c r="Y245" s="285" t="n"/>
    </row>
    <row r="246" ht="15.5" customHeight="1">
      <c r="B246" s="311" t="n"/>
      <c r="C246" s="278" t="n"/>
      <c r="D246" s="312" t="inlineStr">
        <is>
          <t>Pembelian Barang</t>
        </is>
      </c>
      <c r="E246" s="322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5" t="n"/>
      <c r="S246" s="315" t="n"/>
      <c r="T246" s="315" t="n"/>
      <c r="U246" s="315" t="n"/>
      <c r="V246" s="315" t="n"/>
      <c r="W246" s="315" t="n"/>
      <c r="X246" s="315" t="n"/>
      <c r="Y246" s="315" t="n"/>
    </row>
    <row r="247" ht="15.5" customHeight="1">
      <c r="B247" s="286" t="inlineStr">
        <is>
          <t>25-May-24</t>
        </is>
      </c>
      <c r="C247" s="278" t="n">
        <v>6</v>
      </c>
      <c r="D247" s="280" t="inlineStr">
        <is>
          <t>Wrapping Alfa Box</t>
        </is>
      </c>
      <c r="E247" s="280" t="inlineStr">
        <is>
          <t>-</t>
        </is>
      </c>
      <c r="F247" s="287" t="n">
        <v>80000</v>
      </c>
      <c r="G247" s="282" t="inlineStr">
        <is>
          <t>IDR</t>
        </is>
      </c>
      <c r="H247" s="288" t="n">
        <v>1</v>
      </c>
      <c r="I247" s="290" t="n"/>
      <c r="J247" s="290" t="n"/>
      <c r="K247" s="291" t="n"/>
      <c r="L247" s="280" t="n"/>
      <c r="M247" s="280" t="n"/>
      <c r="N247" s="280" t="n"/>
      <c r="O247" s="292" t="n">
        <v>80000</v>
      </c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27-May-24</t>
        </is>
      </c>
      <c r="C248" s="278" t="n">
        <v>7</v>
      </c>
      <c r="D248" s="280" t="inlineStr">
        <is>
          <t>Hand gloves</t>
        </is>
      </c>
      <c r="E248" s="280" t="inlineStr">
        <is>
          <t>-</t>
        </is>
      </c>
      <c r="F248" s="287" t="n">
        <v>21900</v>
      </c>
      <c r="G248" s="282" t="inlineStr">
        <is>
          <t>IDR</t>
        </is>
      </c>
      <c r="H248" s="288" t="n">
        <v>1</v>
      </c>
      <c r="I248" s="290" t="n"/>
      <c r="J248" s="290" t="n"/>
      <c r="K248" s="291" t="n"/>
      <c r="L248" s="280" t="n"/>
      <c r="M248" s="280" t="n"/>
      <c r="N248" s="280" t="n"/>
      <c r="O248" s="292" t="n">
        <v>21900</v>
      </c>
      <c r="P248" s="280" t="n"/>
      <c r="Q248" s="280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inlineStr">
        <is>
          <t>31-May-24</t>
        </is>
      </c>
      <c r="C249" s="278" t="n">
        <v>8</v>
      </c>
      <c r="D249" s="280" t="inlineStr">
        <is>
          <t>Allen key, pliers, screwdrivers</t>
        </is>
      </c>
      <c r="E249" s="280" t="inlineStr">
        <is>
          <t>-</t>
        </is>
      </c>
      <c r="F249" s="287" t="n">
        <v>268000</v>
      </c>
      <c r="G249" s="282" t="inlineStr">
        <is>
          <t>IDR</t>
        </is>
      </c>
      <c r="H249" s="288" t="n">
        <v>1</v>
      </c>
      <c r="I249" s="290" t="n"/>
      <c r="J249" s="290" t="n"/>
      <c r="K249" s="291" t="n"/>
      <c r="L249" s="280" t="n"/>
      <c r="M249" s="280" t="n"/>
      <c r="N249" s="280" t="n"/>
      <c r="O249" s="292" t="n">
        <v>268000</v>
      </c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  <c r="Y249" s="285" t="n"/>
    </row>
    <row r="250" ht="15.5" customHeight="1">
      <c r="B250" s="316" t="inlineStr">
        <is>
          <t>Expense#17</t>
        </is>
      </c>
      <c r="C250" s="317" t="inlineStr">
        <is>
          <t>:</t>
        </is>
      </c>
      <c r="D250" s="318" t="inlineStr">
        <is>
          <t>ALFA JRK-193 - project SI_ TMA</t>
        </is>
      </c>
      <c r="E250" s="319" t="n"/>
      <c r="F250" s="320" t="n"/>
      <c r="G250" s="303" t="n"/>
      <c r="H250" s="303" t="n"/>
      <c r="I250" s="308" t="n"/>
      <c r="J250" s="308" t="n"/>
      <c r="K250" s="309" t="n"/>
      <c r="L250" s="309" t="n"/>
      <c r="M250" s="309" t="n"/>
      <c r="N250" s="309" t="n"/>
      <c r="O250" s="309" t="n"/>
      <c r="P250" s="309" t="n"/>
      <c r="Q250" s="309" t="n"/>
      <c r="R250" s="310" t="n"/>
      <c r="S250" s="310" t="n"/>
      <c r="T250" s="310" t="n"/>
      <c r="U250" s="310" t="n"/>
      <c r="V250" s="310" t="n"/>
      <c r="W250" s="310" t="n"/>
      <c r="X250" s="310" t="n"/>
      <c r="Y250" s="310" t="n"/>
    </row>
    <row r="251" ht="15.5" customHeight="1">
      <c r="B251" s="277" t="n"/>
      <c r="C251" s="278" t="n"/>
      <c r="D251" s="312" t="inlineStr">
        <is>
          <t>Biaya Operasi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  <c r="R251" s="315" t="n"/>
      <c r="S251" s="315" t="n"/>
      <c r="T251" s="315" t="n"/>
      <c r="U251" s="315" t="n"/>
      <c r="V251" s="315" t="n"/>
      <c r="W251" s="315" t="n"/>
      <c r="X251" s="315" t="n"/>
      <c r="Y251" s="315" t="n"/>
    </row>
    <row r="252" ht="15.5" customHeight="1">
      <c r="B252" s="286" t="inlineStr">
        <is>
          <t>25-May-24</t>
        </is>
      </c>
      <c r="C252" s="278" t="n">
        <v>1</v>
      </c>
      <c r="D252" s="280" t="inlineStr">
        <is>
          <t>Hotel 24 May - 30 May (6 days)</t>
        </is>
      </c>
      <c r="E252" s="280" t="inlineStr">
        <is>
          <t>-</t>
        </is>
      </c>
      <c r="F252" s="287" t="n">
        <v>1650000</v>
      </c>
      <c r="G252" s="282" t="inlineStr">
        <is>
          <t>IDR</t>
        </is>
      </c>
      <c r="H252" s="288" t="n">
        <v>1</v>
      </c>
      <c r="I252" s="290" t="n"/>
      <c r="J252" s="289" t="n">
        <v>1650000</v>
      </c>
      <c r="K252" s="291" t="n"/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2</v>
      </c>
      <c r="D253" s="280" t="inlineStr">
        <is>
          <t>Laundry 6 days 1 Persons @ 50K IDR/day</t>
        </is>
      </c>
      <c r="E253" s="280" t="inlineStr">
        <is>
          <t>-</t>
        </is>
      </c>
      <c r="F253" s="287" t="n">
        <v>300000</v>
      </c>
      <c r="G253" s="282" t="inlineStr">
        <is>
          <t>IDR</t>
        </is>
      </c>
      <c r="H253" s="288" t="n">
        <v>1</v>
      </c>
      <c r="I253" s="290" t="n"/>
      <c r="J253" s="289" t="n">
        <v>300000</v>
      </c>
      <c r="K253" s="291" t="n"/>
      <c r="L253" s="280" t="n"/>
      <c r="M253" s="280" t="n"/>
      <c r="N253" s="280" t="n"/>
      <c r="O253" s="280" t="n"/>
      <c r="P253" s="280" t="n"/>
      <c r="Q253" s="280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inlineStr">
        <is>
          <t>25-May-24</t>
        </is>
      </c>
      <c r="C254" s="278" t="n">
        <v>3</v>
      </c>
      <c r="D254" s="280" t="inlineStr">
        <is>
          <t>Airplane Ticket CGK-PLM (2 Person)</t>
        </is>
      </c>
      <c r="E254" s="280" t="inlineStr">
        <is>
          <t>-</t>
        </is>
      </c>
      <c r="F254" s="287" t="n">
        <v>1418800</v>
      </c>
      <c r="G254" s="282" t="inlineStr">
        <is>
          <t>IDR</t>
        </is>
      </c>
      <c r="H254" s="288" t="n">
        <v>1</v>
      </c>
      <c r="I254" s="290" t="n"/>
      <c r="J254" s="289" t="n">
        <v>1418800</v>
      </c>
      <c r="K254" s="291" t="n"/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  <c r="Y254" s="285" t="n"/>
    </row>
    <row r="255" ht="15.5" customHeight="1">
      <c r="B255" s="286" t="inlineStr">
        <is>
          <t>25-May-24</t>
        </is>
      </c>
      <c r="C255" s="278" t="n">
        <v>4</v>
      </c>
      <c r="D255" s="280" t="inlineStr">
        <is>
          <t>Taxi Pondok Cabe-CGK</t>
        </is>
      </c>
      <c r="E255" s="280" t="inlineStr">
        <is>
          <t>-</t>
        </is>
      </c>
      <c r="F255" s="287" t="n">
        <v>166000</v>
      </c>
      <c r="G255" s="282" t="inlineStr">
        <is>
          <t>IDR</t>
        </is>
      </c>
      <c r="H255" s="288" t="n">
        <v>1</v>
      </c>
      <c r="I255" s="290" t="n"/>
      <c r="J255" s="289" t="n">
        <v>166000</v>
      </c>
      <c r="K255" s="291" t="n"/>
      <c r="L255" s="280" t="n"/>
      <c r="M255" s="280" t="n"/>
      <c r="N255" s="280" t="n"/>
      <c r="O255" s="280" t="n"/>
      <c r="P255" s="280" t="n"/>
      <c r="Q255" s="280" t="n"/>
      <c r="R255" s="285" t="n"/>
      <c r="S255" s="285" t="n"/>
      <c r="T255" s="285" t="n"/>
      <c r="U255" s="285" t="n"/>
      <c r="V255" s="285" t="n"/>
      <c r="W255" s="285" t="n"/>
      <c r="X255" s="285" t="n"/>
      <c r="Y255" s="285" t="n"/>
    </row>
    <row r="256" ht="15.5" customHeight="1">
      <c r="B256" s="286" t="inlineStr">
        <is>
          <t>25-May-24</t>
        </is>
      </c>
      <c r="C256" s="278" t="n">
        <v>5</v>
      </c>
      <c r="D256" s="280" t="inlineStr">
        <is>
          <t>Toll (Pondok Cabe-CGK)</t>
        </is>
      </c>
      <c r="E256" s="280" t="inlineStr">
        <is>
          <t>-</t>
        </is>
      </c>
      <c r="F256" s="287" t="n">
        <v>60000</v>
      </c>
      <c r="G256" s="282" t="inlineStr">
        <is>
          <t>IDR</t>
        </is>
      </c>
      <c r="H256" s="288" t="n">
        <v>1</v>
      </c>
      <c r="I256" s="290" t="n"/>
      <c r="J256" s="289" t="n">
        <v>60000</v>
      </c>
      <c r="K256" s="291" t="n"/>
      <c r="L256" s="280" t="n"/>
      <c r="M256" s="280" t="n"/>
      <c r="N256" s="280" t="n"/>
      <c r="O256" s="280" t="n"/>
      <c r="P256" s="280" t="n"/>
      <c r="Q256" s="280" t="n"/>
      <c r="R256" s="285" t="n"/>
      <c r="S256" s="285" t="n"/>
      <c r="T256" s="285" t="n"/>
      <c r="U256" s="285" t="n"/>
      <c r="V256" s="285" t="n"/>
      <c r="W256" s="285" t="n"/>
      <c r="X256" s="285" t="n"/>
      <c r="Y256" s="285" t="n"/>
    </row>
    <row r="257" ht="15.5" customHeight="1">
      <c r="B257" s="286" t="inlineStr">
        <is>
          <t>25-May-24</t>
        </is>
      </c>
      <c r="C257" s="278" t="n">
        <v>6</v>
      </c>
      <c r="D257" s="280" t="inlineStr">
        <is>
          <t>Rent Car 6 Days</t>
        </is>
      </c>
      <c r="E257" s="280" t="inlineStr">
        <is>
          <t>-</t>
        </is>
      </c>
      <c r="F257" s="287" t="n">
        <v>2900000</v>
      </c>
      <c r="G257" s="282" t="inlineStr">
        <is>
          <t>IDR</t>
        </is>
      </c>
      <c r="H257" s="288" t="n">
        <v>1</v>
      </c>
      <c r="I257" s="290" t="n"/>
      <c r="J257" s="289" t="n">
        <v>2900000</v>
      </c>
      <c r="K257" s="291" t="n"/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  <c r="Y257" s="285" t="n"/>
    </row>
    <row r="258" ht="15.5" customHeight="1">
      <c r="B258" s="286" t="inlineStr">
        <is>
          <t>25-May-24</t>
        </is>
      </c>
      <c r="C258" s="278" t="n">
        <v>7</v>
      </c>
      <c r="D258" s="280" t="inlineStr">
        <is>
          <t>Gasoline</t>
        </is>
      </c>
      <c r="E258" s="280" t="inlineStr">
        <is>
          <t>-</t>
        </is>
      </c>
      <c r="F258" s="287" t="n">
        <v>400000</v>
      </c>
      <c r="G258" s="282" t="inlineStr">
        <is>
          <t>IDR</t>
        </is>
      </c>
      <c r="H258" s="288" t="n">
        <v>1</v>
      </c>
      <c r="I258" s="290" t="n"/>
      <c r="J258" s="289" t="n">
        <v>400000</v>
      </c>
      <c r="K258" s="291" t="n"/>
      <c r="L258" s="280" t="n"/>
      <c r="M258" s="280" t="n"/>
      <c r="N258" s="280" t="n"/>
      <c r="O258" s="280" t="n"/>
      <c r="P258" s="280" t="n"/>
      <c r="Q258" s="280" t="n"/>
      <c r="R258" s="285" t="n"/>
      <c r="S258" s="285" t="n"/>
      <c r="T258" s="285" t="n"/>
      <c r="U258" s="285" t="n"/>
      <c r="V258" s="285" t="n"/>
      <c r="W258" s="285" t="n"/>
      <c r="X258" s="285" t="n"/>
      <c r="Y258" s="285" t="n"/>
    </row>
    <row r="259" ht="15.5" customHeight="1">
      <c r="B259" s="286" t="inlineStr">
        <is>
          <t>25-May-24</t>
        </is>
      </c>
      <c r="C259" s="278" t="n">
        <v>8</v>
      </c>
      <c r="D259" s="280" t="inlineStr">
        <is>
          <t>Meal Crew's Operational</t>
        </is>
      </c>
      <c r="E259" s="280" t="inlineStr">
        <is>
          <t>-</t>
        </is>
      </c>
      <c r="F259" s="287" t="n">
        <v>709300</v>
      </c>
      <c r="G259" s="282" t="inlineStr">
        <is>
          <t>IDR</t>
        </is>
      </c>
      <c r="H259" s="288" t="n">
        <v>1</v>
      </c>
      <c r="I259" s="290" t="n"/>
      <c r="J259" s="289" t="n">
        <v>709300</v>
      </c>
      <c r="K259" s="291" t="n"/>
      <c r="L259" s="280" t="n"/>
      <c r="M259" s="280" t="n"/>
      <c r="N259" s="280" t="n"/>
      <c r="O259" s="280" t="n"/>
      <c r="P259" s="280" t="n"/>
      <c r="Q259" s="280" t="n"/>
      <c r="R259" s="285" t="n"/>
      <c r="S259" s="285" t="n"/>
      <c r="T259" s="285" t="n"/>
      <c r="U259" s="285" t="n"/>
      <c r="V259" s="285" t="n"/>
      <c r="W259" s="285" t="n"/>
      <c r="X259" s="285" t="n"/>
      <c r="Y259" s="285" t="n"/>
    </row>
    <row r="260" ht="15.5" customHeight="1">
      <c r="B260" s="286" t="inlineStr">
        <is>
          <t>25-May-24</t>
        </is>
      </c>
      <c r="C260" s="278" t="n">
        <v>9</v>
      </c>
      <c r="D260" s="280" t="inlineStr">
        <is>
          <t>Meals 7 days 1 Persons @ 150K IDR/day</t>
        </is>
      </c>
      <c r="E260" s="280" t="inlineStr">
        <is>
          <t>-</t>
        </is>
      </c>
      <c r="F260" s="287" t="n">
        <v>900000</v>
      </c>
      <c r="G260" s="282" t="inlineStr">
        <is>
          <t>IDR</t>
        </is>
      </c>
      <c r="H260" s="288" t="n">
        <v>1</v>
      </c>
      <c r="I260" s="290" t="n"/>
      <c r="J260" s="289" t="n">
        <v>900000</v>
      </c>
      <c r="K260" s="291" t="n"/>
      <c r="L260" s="280" t="n"/>
      <c r="M260" s="280" t="n"/>
      <c r="N260" s="280" t="n"/>
      <c r="O260" s="280" t="n"/>
      <c r="P260" s="280" t="n"/>
      <c r="Q260" s="280" t="n"/>
      <c r="R260" s="285" t="n"/>
      <c r="S260" s="285" t="n"/>
      <c r="T260" s="285" t="n"/>
      <c r="U260" s="285" t="n"/>
      <c r="V260" s="285" t="n"/>
      <c r="W260" s="285" t="n"/>
      <c r="X260" s="285" t="n"/>
      <c r="Y260" s="285" t="n"/>
    </row>
    <row r="261" ht="15.5" customHeight="1">
      <c r="B261" s="286" t="inlineStr">
        <is>
          <t>25-May-24</t>
        </is>
      </c>
      <c r="C261" s="278" t="n">
        <v>10</v>
      </c>
      <c r="D261" s="280" t="inlineStr">
        <is>
          <t>Tunjangan Lapangan for 6 days</t>
        </is>
      </c>
      <c r="E261" s="280" t="inlineStr">
        <is>
          <t>-</t>
        </is>
      </c>
      <c r="F261" s="287" t="n">
        <v>9717600</v>
      </c>
      <c r="G261" s="282" t="inlineStr">
        <is>
          <t>USD</t>
        </is>
      </c>
      <c r="H261" s="288" t="n">
        <v>16196</v>
      </c>
      <c r="I261" s="290" t="n"/>
      <c r="J261" s="289" t="n">
        <v>9717600</v>
      </c>
      <c r="K261" s="291" t="n"/>
      <c r="L261" s="280" t="n"/>
      <c r="M261" s="280" t="n"/>
      <c r="N261" s="280" t="n"/>
      <c r="O261" s="280" t="n"/>
      <c r="P261" s="280" t="n"/>
      <c r="Q261" s="280" t="n"/>
      <c r="R261" s="285" t="n"/>
      <c r="S261" s="285" t="n"/>
      <c r="T261" s="285" t="n"/>
      <c r="U261" s="285" t="n"/>
      <c r="V261" s="285" t="n"/>
      <c r="W261" s="285" t="n"/>
      <c r="X261" s="285" t="n"/>
      <c r="Y261" s="285" t="n"/>
    </row>
    <row r="262" ht="15.5" customHeight="1">
      <c r="B262" s="286" t="inlineStr">
        <is>
          <t>30-May-24</t>
        </is>
      </c>
      <c r="C262" s="278" t="n">
        <v>11</v>
      </c>
      <c r="D262" s="280" t="inlineStr">
        <is>
          <t>Taxi CGK-Pondok Cabe (inc Toll+Parking)</t>
        </is>
      </c>
      <c r="E262" s="280" t="inlineStr">
        <is>
          <t>-</t>
        </is>
      </c>
      <c r="F262" s="287" t="n">
        <v>300000</v>
      </c>
      <c r="G262" s="282" t="inlineStr">
        <is>
          <t>IDR</t>
        </is>
      </c>
      <c r="H262" s="288" t="n">
        <v>1</v>
      </c>
      <c r="I262" s="290" t="n"/>
      <c r="J262" s="289" t="n">
        <v>300000</v>
      </c>
      <c r="K262" s="291" t="n"/>
      <c r="L262" s="280" t="n"/>
      <c r="M262" s="280" t="n"/>
      <c r="N262" s="280" t="n"/>
      <c r="O262" s="280" t="n"/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  <c r="Y262" s="285" t="n"/>
    </row>
    <row r="263" ht="15.5" customHeight="1">
      <c r="B263" s="286" t="inlineStr">
        <is>
          <t>30-May-24</t>
        </is>
      </c>
      <c r="C263" s="278" t="n">
        <v>12</v>
      </c>
      <c r="D263" s="280" t="inlineStr">
        <is>
          <t>Airplane Ticket PLM-CGK (2 Person)</t>
        </is>
      </c>
      <c r="E263" s="280" t="inlineStr">
        <is>
          <t>-</t>
        </is>
      </c>
      <c r="F263" s="287" t="n">
        <v>1326410</v>
      </c>
      <c r="G263" s="282" t="inlineStr">
        <is>
          <t>IDR</t>
        </is>
      </c>
      <c r="H263" s="288" t="n">
        <v>1</v>
      </c>
      <c r="I263" s="290" t="n"/>
      <c r="J263" s="289" t="n">
        <v>1326410</v>
      </c>
      <c r="K263" s="291" t="n"/>
      <c r="L263" s="280" t="n"/>
      <c r="M263" s="280" t="n"/>
      <c r="N263" s="280" t="n"/>
      <c r="O263" s="280" t="n"/>
      <c r="P263" s="280" t="n"/>
      <c r="Q263" s="280" t="n"/>
      <c r="R263" s="285" t="n"/>
      <c r="S263" s="285" t="n"/>
      <c r="T263" s="285" t="n"/>
      <c r="U263" s="285" t="n"/>
      <c r="V263" s="285" t="n"/>
      <c r="W263" s="285" t="n"/>
      <c r="X263" s="285" t="n"/>
      <c r="Y263" s="285" t="n"/>
    </row>
    <row r="264" ht="15.5" customHeight="1">
      <c r="B264" s="316" t="inlineStr">
        <is>
          <t>Expense#18</t>
        </is>
      </c>
      <c r="C264" s="317" t="inlineStr">
        <is>
          <t>:</t>
        </is>
      </c>
      <c r="D264" s="318" t="inlineStr">
        <is>
          <t>Non Trip - BOSIET Training - DS</t>
        </is>
      </c>
      <c r="E264" s="319" t="n"/>
      <c r="F264" s="320" t="n"/>
      <c r="G264" s="303" t="n"/>
      <c r="H264" s="303" t="n"/>
      <c r="I264" s="309" t="n"/>
      <c r="J264" s="308" t="n"/>
      <c r="K264" s="309" t="n"/>
      <c r="L264" s="309" t="n"/>
      <c r="M264" s="307" t="n"/>
      <c r="N264" s="309" t="n"/>
      <c r="O264" s="309" t="n"/>
      <c r="P264" s="309" t="n"/>
      <c r="Q264" s="309" t="n"/>
      <c r="R264" s="310" t="n"/>
      <c r="S264" s="310" t="n"/>
      <c r="T264" s="310" t="n"/>
      <c r="U264" s="310" t="n"/>
      <c r="V264" s="310" t="n"/>
      <c r="W264" s="310" t="n"/>
      <c r="X264" s="310" t="n"/>
      <c r="Y264" s="310" t="n"/>
    </row>
    <row r="265" ht="15.5" customHeight="1">
      <c r="B265" s="311" t="n"/>
      <c r="C265" s="278" t="n"/>
      <c r="D265" s="312" t="inlineStr">
        <is>
          <t>Biaya Operasi</t>
        </is>
      </c>
      <c r="E265" s="321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  <c r="R265" s="315" t="n"/>
      <c r="S265" s="315" t="n"/>
      <c r="T265" s="315" t="n"/>
      <c r="U265" s="315" t="n"/>
      <c r="V265" s="315" t="n"/>
      <c r="W265" s="315" t="n"/>
      <c r="X265" s="315" t="n"/>
      <c r="Y265" s="315" t="n"/>
    </row>
    <row r="266" ht="15.5" customHeight="1">
      <c r="B266" s="286" t="inlineStr">
        <is>
          <t>05-Jun-24</t>
        </is>
      </c>
      <c r="C266" s="278" t="n">
        <v>1</v>
      </c>
      <c r="D266" s="280" t="inlineStr">
        <is>
          <t>Personal Car from Home to PT. LTJ (converted) DAY-1</t>
        </is>
      </c>
      <c r="E266" s="280" t="inlineStr">
        <is>
          <t>-</t>
        </is>
      </c>
      <c r="F266" s="287" t="n">
        <v>233000</v>
      </c>
      <c r="G266" s="282" t="inlineStr">
        <is>
          <t>IDR</t>
        </is>
      </c>
      <c r="H266" s="288" t="n">
        <v>1</v>
      </c>
      <c r="I266" s="290" t="n"/>
      <c r="J266" s="289" t="n">
        <v>233000</v>
      </c>
      <c r="K266" s="291" t="n"/>
      <c r="L266" s="280" t="n"/>
      <c r="M266" s="280" t="n"/>
      <c r="N266" s="280" t="n"/>
      <c r="O266" s="280" t="n"/>
      <c r="P266" s="280" t="n"/>
      <c r="Q266" s="280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06-Jun-24</t>
        </is>
      </c>
      <c r="C267" s="278" t="n">
        <v>2</v>
      </c>
      <c r="D267" s="280" t="inlineStr">
        <is>
          <t>Transport DAY - 2 BOSIET</t>
        </is>
      </c>
      <c r="E267" s="280" t="inlineStr">
        <is>
          <t>-</t>
        </is>
      </c>
      <c r="F267" s="287" t="n">
        <v>73000</v>
      </c>
      <c r="G267" s="282" t="inlineStr">
        <is>
          <t>IDR</t>
        </is>
      </c>
      <c r="H267" s="288" t="n">
        <v>1</v>
      </c>
      <c r="I267" s="290" t="n"/>
      <c r="J267" s="289" t="n">
        <v>73000</v>
      </c>
      <c r="K267" s="291" t="n"/>
      <c r="L267" s="280" t="n"/>
      <c r="M267" s="280" t="n"/>
      <c r="N267" s="280" t="n"/>
      <c r="O267" s="280" t="n"/>
      <c r="P267" s="280" t="n"/>
      <c r="Q267" s="280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inlineStr">
        <is>
          <t>07-Jun-24</t>
        </is>
      </c>
      <c r="C268" s="278" t="n">
        <v>3</v>
      </c>
      <c r="D268" s="280" t="inlineStr">
        <is>
          <t>BOSIET 5 - 7 June 2024</t>
        </is>
      </c>
      <c r="E268" s="280" t="inlineStr">
        <is>
          <t>-</t>
        </is>
      </c>
      <c r="F268" s="287" t="n">
        <v>9693878</v>
      </c>
      <c r="G268" s="282" t="inlineStr">
        <is>
          <t>IDR</t>
        </is>
      </c>
      <c r="H268" s="288" t="n">
        <v>1</v>
      </c>
      <c r="I268" s="290" t="n"/>
      <c r="J268" s="289" t="n">
        <v>9693878</v>
      </c>
      <c r="K268" s="291" t="n"/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  <c r="Y268" s="285" t="n"/>
    </row>
    <row r="269" ht="15.5" customHeight="1">
      <c r="B269" s="286" t="inlineStr">
        <is>
          <t>07-Jun-24</t>
        </is>
      </c>
      <c r="C269" s="278" t="n">
        <v>4</v>
      </c>
      <c r="D269" s="280" t="inlineStr">
        <is>
          <t>Transport DAY - 3 BOSIET</t>
        </is>
      </c>
      <c r="E269" s="280" t="inlineStr">
        <is>
          <t>-</t>
        </is>
      </c>
      <c r="F269" s="287" t="n">
        <v>59000</v>
      </c>
      <c r="G269" s="282" t="inlineStr">
        <is>
          <t>IDR</t>
        </is>
      </c>
      <c r="H269" s="288" t="n">
        <v>1</v>
      </c>
      <c r="I269" s="290" t="n"/>
      <c r="J269" s="289" t="n">
        <v>59000</v>
      </c>
      <c r="K269" s="291" t="n"/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  <c r="Y269" s="285" t="n"/>
    </row>
    <row r="270" ht="15.5" customHeight="1">
      <c r="B270" s="302" t="inlineStr">
        <is>
          <t>Expense#19</t>
        </is>
      </c>
      <c r="C270" s="303" t="inlineStr">
        <is>
          <t>:</t>
        </is>
      </c>
      <c r="D270" s="304" t="inlineStr">
        <is>
          <t>ALFA JRK-163 (Pending job) - TMA</t>
        </is>
      </c>
      <c r="E270" s="320" t="n"/>
      <c r="F270" s="326" t="n"/>
      <c r="G270" s="303" t="n"/>
      <c r="H270" s="303" t="n"/>
      <c r="I270" s="307" t="n"/>
      <c r="J270" s="308" t="n"/>
      <c r="K270" s="309" t="n"/>
      <c r="L270" s="309" t="n"/>
      <c r="M270" s="309" t="n"/>
      <c r="N270" s="307" t="n"/>
      <c r="O270" s="309" t="n"/>
      <c r="P270" s="309" t="n"/>
      <c r="Q270" s="309" t="n"/>
      <c r="R270" s="310" t="n"/>
      <c r="S270" s="310" t="n"/>
      <c r="T270" s="310" t="n"/>
      <c r="U270" s="310" t="n"/>
      <c r="V270" s="310" t="n"/>
      <c r="W270" s="310" t="n"/>
      <c r="X270" s="310" t="n"/>
      <c r="Y270" s="310" t="n"/>
    </row>
    <row r="271" ht="15.5" customHeight="1">
      <c r="B271" s="311" t="n"/>
      <c r="C271" s="278" t="n"/>
      <c r="D271" s="312" t="inlineStr">
        <is>
          <t>Biaya Operasi</t>
        </is>
      </c>
      <c r="E271" s="322" t="n"/>
      <c r="F271" s="281" t="n"/>
      <c r="G271" s="278" t="n"/>
      <c r="H271" s="278" t="n"/>
      <c r="I271" s="283" t="n"/>
      <c r="J271" s="284" t="n"/>
      <c r="K271" s="279" t="n"/>
      <c r="L271" s="279" t="n"/>
      <c r="M271" s="279" t="n"/>
      <c r="N271" s="283" t="n"/>
      <c r="O271" s="279" t="n"/>
      <c r="P271" s="279" t="n"/>
      <c r="Q271" s="279" t="n"/>
      <c r="R271" s="315" t="n"/>
      <c r="S271" s="315" t="n"/>
      <c r="T271" s="315" t="n"/>
      <c r="U271" s="315" t="n"/>
      <c r="V271" s="315" t="n"/>
      <c r="W271" s="315" t="n"/>
      <c r="X271" s="315" t="n"/>
      <c r="Y271" s="315" t="n"/>
    </row>
    <row r="272" ht="15.5" customHeight="1">
      <c r="B272" s="286" t="inlineStr">
        <is>
          <t>16-May-24</t>
        </is>
      </c>
      <c r="C272" s="278" t="n">
        <v>1</v>
      </c>
      <c r="D272" s="280" t="inlineStr">
        <is>
          <t>Hotel 16 June - 19 June (3 days)</t>
        </is>
      </c>
      <c r="E272" s="280" t="inlineStr">
        <is>
          <t>-</t>
        </is>
      </c>
      <c r="F272" s="287" t="n">
        <v>720000</v>
      </c>
      <c r="G272" s="282" t="inlineStr">
        <is>
          <t>IDR</t>
        </is>
      </c>
      <c r="H272" s="288" t="n">
        <v>1</v>
      </c>
      <c r="I272" s="290" t="n"/>
      <c r="J272" s="289" t="n">
        <v>720000</v>
      </c>
      <c r="K272" s="291" t="n"/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2</v>
      </c>
      <c r="D273" s="280" t="inlineStr">
        <is>
          <t>Laundry 4 days 1 Persons @ 50K IDR/day</t>
        </is>
      </c>
      <c r="E273" s="280" t="inlineStr">
        <is>
          <t>-</t>
        </is>
      </c>
      <c r="F273" s="287" t="n">
        <v>200000</v>
      </c>
      <c r="G273" s="282" t="inlineStr">
        <is>
          <t>IDR</t>
        </is>
      </c>
      <c r="H273" s="288" t="n">
        <v>1</v>
      </c>
      <c r="I273" s="290" t="n"/>
      <c r="J273" s="289" t="n">
        <v>200000</v>
      </c>
      <c r="K273" s="291" t="n"/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inlineStr">
        <is>
          <t>16-May-24</t>
        </is>
      </c>
      <c r="C274" s="278" t="n">
        <v>3</v>
      </c>
      <c r="D274" s="280" t="inlineStr">
        <is>
          <t>Airplane Ticket CGK-PLM</t>
        </is>
      </c>
      <c r="E274" s="280" t="inlineStr">
        <is>
          <t>-</t>
        </is>
      </c>
      <c r="F274" s="287" t="n">
        <v>995500</v>
      </c>
      <c r="G274" s="282" t="inlineStr">
        <is>
          <t>IDR</t>
        </is>
      </c>
      <c r="H274" s="288" t="n">
        <v>1</v>
      </c>
      <c r="I274" s="290" t="n"/>
      <c r="J274" s="289" t="n">
        <v>995500</v>
      </c>
      <c r="K274" s="291" t="n"/>
      <c r="L274" s="280" t="n"/>
      <c r="M274" s="280" t="n"/>
      <c r="N274" s="280" t="n"/>
      <c r="O274" s="280" t="n"/>
      <c r="P274" s="280" t="n"/>
      <c r="Q274" s="280" t="n"/>
      <c r="R274" s="285" t="n"/>
      <c r="S274" s="285" t="n"/>
      <c r="T274" s="285" t="n"/>
      <c r="U274" s="285" t="n"/>
      <c r="V274" s="285" t="n"/>
      <c r="W274" s="285" t="n"/>
      <c r="X274" s="285" t="n"/>
      <c r="Y274" s="285" t="n"/>
    </row>
    <row r="275" ht="15.5" customHeight="1">
      <c r="B275" s="286" t="inlineStr">
        <is>
          <t>16-May-24</t>
        </is>
      </c>
      <c r="C275" s="278" t="n">
        <v>4</v>
      </c>
      <c r="D275" s="280" t="inlineStr">
        <is>
          <t>Taxi Pondok Cabe-CGK</t>
        </is>
      </c>
      <c r="E275" s="280" t="inlineStr">
        <is>
          <t>-</t>
        </is>
      </c>
      <c r="F275" s="287" t="n">
        <v>273500</v>
      </c>
      <c r="G275" s="282" t="inlineStr">
        <is>
          <t>IDR</t>
        </is>
      </c>
      <c r="H275" s="288" t="n">
        <v>1</v>
      </c>
      <c r="I275" s="290" t="n"/>
      <c r="J275" s="289" t="n">
        <v>273500</v>
      </c>
      <c r="K275" s="291" t="n"/>
      <c r="L275" s="280" t="n"/>
      <c r="M275" s="280" t="n"/>
      <c r="N275" s="280" t="n"/>
      <c r="O275" s="280" t="n"/>
      <c r="P275" s="280" t="n"/>
      <c r="Q275" s="280" t="n"/>
      <c r="R275" s="285" t="n"/>
      <c r="S275" s="285" t="n"/>
      <c r="T275" s="285" t="n"/>
      <c r="U275" s="285" t="n"/>
      <c r="V275" s="285" t="n"/>
      <c r="W275" s="285" t="n"/>
      <c r="X275" s="285" t="n"/>
      <c r="Y275" s="285" t="n"/>
    </row>
    <row r="276" ht="15.5" customHeight="1">
      <c r="B276" s="286" t="inlineStr">
        <is>
          <t>16-May-24</t>
        </is>
      </c>
      <c r="C276" s="278" t="n">
        <v>5</v>
      </c>
      <c r="D276" s="280" t="inlineStr">
        <is>
          <t>Toll Prabumulih (PP)</t>
        </is>
      </c>
      <c r="E276" s="280" t="inlineStr">
        <is>
          <t>-</t>
        </is>
      </c>
      <c r="F276" s="287" t="n">
        <v>224000</v>
      </c>
      <c r="G276" s="282" t="inlineStr">
        <is>
          <t>IDR</t>
        </is>
      </c>
      <c r="H276" s="288" t="n">
        <v>1</v>
      </c>
      <c r="I276" s="290" t="n"/>
      <c r="J276" s="289" t="n">
        <v>224000</v>
      </c>
      <c r="K276" s="291" t="n"/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  <c r="Y276" s="285" t="n"/>
    </row>
    <row r="277" ht="15.5" customHeight="1">
      <c r="B277" s="286" t="inlineStr">
        <is>
          <t>16-May-24</t>
        </is>
      </c>
      <c r="C277" s="278" t="n">
        <v>6</v>
      </c>
      <c r="D277" s="280" t="inlineStr">
        <is>
          <t>Rent Car 4 Days</t>
        </is>
      </c>
      <c r="E277" s="280" t="inlineStr">
        <is>
          <t>-</t>
        </is>
      </c>
      <c r="F277" s="287" t="n">
        <v>2000000</v>
      </c>
      <c r="G277" s="282" t="inlineStr">
        <is>
          <t>IDR</t>
        </is>
      </c>
      <c r="H277" s="288" t="n">
        <v>1</v>
      </c>
      <c r="I277" s="290" t="n"/>
      <c r="J277" s="289" t="n">
        <v>2000000</v>
      </c>
      <c r="K277" s="291" t="n"/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  <c r="Y277" s="285" t="n"/>
    </row>
    <row r="278" ht="15.5" customHeight="1">
      <c r="B278" s="286" t="inlineStr">
        <is>
          <t>16-May-24</t>
        </is>
      </c>
      <c r="C278" s="278" t="n">
        <v>7</v>
      </c>
      <c r="D278" s="280" t="inlineStr">
        <is>
          <t>Gasoline</t>
        </is>
      </c>
      <c r="E278" s="280" t="inlineStr">
        <is>
          <t>-</t>
        </is>
      </c>
      <c r="F278" s="287" t="n">
        <v>330000</v>
      </c>
      <c r="G278" s="282" t="inlineStr">
        <is>
          <t>IDR</t>
        </is>
      </c>
      <c r="H278" s="288" t="n">
        <v>1</v>
      </c>
      <c r="I278" s="290" t="n"/>
      <c r="J278" s="289" t="n">
        <v>330000</v>
      </c>
      <c r="K278" s="291" t="n"/>
      <c r="L278" s="280" t="n"/>
      <c r="M278" s="280" t="n"/>
      <c r="N278" s="280" t="n"/>
      <c r="O278" s="280" t="n"/>
      <c r="P278" s="280" t="n"/>
      <c r="Q278" s="280" t="n"/>
      <c r="R278" s="285" t="n"/>
      <c r="S278" s="285" t="n"/>
      <c r="T278" s="285" t="n"/>
      <c r="U278" s="285" t="n"/>
      <c r="V278" s="285" t="n"/>
      <c r="W278" s="285" t="n"/>
      <c r="X278" s="285" t="n"/>
      <c r="Y278" s="285" t="n"/>
    </row>
    <row r="279" ht="15.5" customHeight="1">
      <c r="B279" s="286" t="inlineStr">
        <is>
          <t>16-May-24</t>
        </is>
      </c>
      <c r="C279" s="278" t="n">
        <v>8</v>
      </c>
      <c r="D279" s="280" t="inlineStr">
        <is>
          <t>Taxi HLP-Pondok Cabe (inc Toll+Parking)</t>
        </is>
      </c>
      <c r="E279" s="280" t="inlineStr">
        <is>
          <t>-</t>
        </is>
      </c>
      <c r="F279" s="287" t="n">
        <v>270000</v>
      </c>
      <c r="G279" s="282" t="inlineStr">
        <is>
          <t>IDR</t>
        </is>
      </c>
      <c r="H279" s="288" t="n">
        <v>1</v>
      </c>
      <c r="I279" s="290" t="n"/>
      <c r="J279" s="289" t="n">
        <v>270000</v>
      </c>
      <c r="K279" s="291" t="n"/>
      <c r="L279" s="280" t="n"/>
      <c r="M279" s="280" t="n"/>
      <c r="N279" s="280" t="n"/>
      <c r="O279" s="280" t="n"/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  <c r="Y279" s="285" t="n"/>
    </row>
    <row r="280" ht="15.5" customHeight="1">
      <c r="B280" s="286" t="inlineStr">
        <is>
          <t>16-May-24</t>
        </is>
      </c>
      <c r="C280" s="278" t="n">
        <v>9</v>
      </c>
      <c r="D280" s="280" t="inlineStr">
        <is>
          <t>Airplane Ticket PLM-HLP</t>
        </is>
      </c>
      <c r="E280" s="280" t="inlineStr">
        <is>
          <t>-</t>
        </is>
      </c>
      <c r="F280" s="287" t="n">
        <v>1004000</v>
      </c>
      <c r="G280" s="282" t="inlineStr">
        <is>
          <t>IDR</t>
        </is>
      </c>
      <c r="H280" s="288" t="n">
        <v>1</v>
      </c>
      <c r="I280" s="290" t="n"/>
      <c r="J280" s="289" t="n">
        <v>1004000</v>
      </c>
      <c r="K280" s="291" t="n"/>
      <c r="L280" s="280" t="n"/>
      <c r="M280" s="280" t="n"/>
      <c r="N280" s="280" t="n"/>
      <c r="O280" s="280" t="n"/>
      <c r="P280" s="280" t="n"/>
      <c r="Q280" s="280" t="n"/>
      <c r="R280" s="285" t="n"/>
      <c r="S280" s="285" t="n"/>
      <c r="T280" s="285" t="n"/>
      <c r="U280" s="285" t="n"/>
      <c r="V280" s="285" t="n"/>
      <c r="W280" s="285" t="n"/>
      <c r="X280" s="285" t="n"/>
      <c r="Y280" s="285" t="n"/>
    </row>
    <row r="281" ht="15.5" customHeight="1">
      <c r="B281" s="286" t="inlineStr">
        <is>
          <t>16-May-24</t>
        </is>
      </c>
      <c r="C281" s="278" t="n">
        <v>10</v>
      </c>
      <c r="D281" s="280" t="inlineStr">
        <is>
          <t>Meals 4 days 1 Persons @ 150K IDR/day</t>
        </is>
      </c>
      <c r="E281" s="280" t="inlineStr">
        <is>
          <t>-</t>
        </is>
      </c>
      <c r="F281" s="287" t="n">
        <v>600000</v>
      </c>
      <c r="G281" s="282" t="inlineStr">
        <is>
          <t>IDR</t>
        </is>
      </c>
      <c r="H281" s="288" t="n">
        <v>1</v>
      </c>
      <c r="I281" s="290" t="n"/>
      <c r="J281" s="289" t="n">
        <v>600000</v>
      </c>
      <c r="K281" s="291" t="n"/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  <c r="Y281" s="285" t="n"/>
    </row>
    <row r="282" ht="15.5" customHeight="1">
      <c r="B282" s="286" t="inlineStr">
        <is>
          <t>16-May-24</t>
        </is>
      </c>
      <c r="C282" s="278" t="n">
        <v>11</v>
      </c>
      <c r="D282" s="280" t="inlineStr">
        <is>
          <t>Tunjangan Lapangan for 4 days</t>
        </is>
      </c>
      <c r="E282" s="280" t="inlineStr">
        <is>
          <t>-</t>
        </is>
      </c>
      <c r="F282" s="287" t="n">
        <v>6551200</v>
      </c>
      <c r="G282" s="282" t="inlineStr">
        <is>
          <t>USD</t>
        </is>
      </c>
      <c r="H282" s="288" t="n">
        <v>16378</v>
      </c>
      <c r="I282" s="290" t="n"/>
      <c r="J282" s="289" t="n">
        <v>6551200</v>
      </c>
      <c r="K282" s="291" t="n"/>
      <c r="L282" s="280" t="n"/>
      <c r="M282" s="280" t="n"/>
      <c r="N282" s="280" t="n"/>
      <c r="O282" s="280" t="n"/>
      <c r="P282" s="280" t="n"/>
      <c r="Q282" s="280" t="n"/>
      <c r="R282" s="285" t="n"/>
      <c r="S282" s="285" t="n"/>
      <c r="T282" s="285" t="n"/>
      <c r="U282" s="285" t="n"/>
      <c r="V282" s="285" t="n"/>
      <c r="W282" s="285" t="n"/>
      <c r="X282" s="285" t="n"/>
      <c r="Y282" s="285" t="n"/>
    </row>
    <row r="283" ht="15.5" customHeight="1">
      <c r="B283" s="311" t="n"/>
      <c r="C283" s="278" t="n"/>
      <c r="D283" s="312" t="inlineStr">
        <is>
          <t>Pembelian Barang</t>
        </is>
      </c>
      <c r="E283" s="313" t="n"/>
      <c r="F283" s="314" t="n"/>
      <c r="G283" s="278" t="n"/>
      <c r="H283" s="278" t="n"/>
      <c r="I283" s="284" t="n"/>
      <c r="J283" s="284" t="n"/>
      <c r="K283" s="279" t="n"/>
      <c r="L283" s="279" t="n"/>
      <c r="M283" s="279" t="n"/>
      <c r="N283" s="279" t="n"/>
      <c r="O283" s="279" t="n"/>
      <c r="P283" s="279" t="n"/>
      <c r="Q283" s="279" t="n"/>
      <c r="R283" s="315" t="n"/>
      <c r="S283" s="315" t="n"/>
      <c r="T283" s="315" t="n"/>
      <c r="U283" s="315" t="n"/>
      <c r="V283" s="315" t="n"/>
      <c r="W283" s="315" t="n"/>
      <c r="X283" s="315" t="n"/>
      <c r="Y283" s="315" t="n"/>
    </row>
    <row r="284" ht="15.5" customHeight="1">
      <c r="B284" s="286" t="inlineStr">
        <is>
          <t>16-May-24</t>
        </is>
      </c>
      <c r="C284" s="278" t="n">
        <v>12</v>
      </c>
      <c r="D284" s="280" t="inlineStr">
        <is>
          <t>Uneed Power Station</t>
        </is>
      </c>
      <c r="E284" s="280" t="inlineStr">
        <is>
          <t>-</t>
        </is>
      </c>
      <c r="F284" s="287" t="n">
        <v>2371000</v>
      </c>
      <c r="G284" s="282" t="inlineStr">
        <is>
          <t>IDR</t>
        </is>
      </c>
      <c r="H284" s="288" t="n">
        <v>1</v>
      </c>
      <c r="I284" s="290" t="n"/>
      <c r="J284" s="290" t="n"/>
      <c r="K284" s="291" t="n"/>
      <c r="L284" s="280" t="n"/>
      <c r="M284" s="280" t="n"/>
      <c r="N284" s="280" t="n"/>
      <c r="O284" s="292" t="n">
        <v>2371000</v>
      </c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302" t="inlineStr">
        <is>
          <t>Expense#20</t>
        </is>
      </c>
      <c r="C285" s="303" t="inlineStr">
        <is>
          <t>:</t>
        </is>
      </c>
      <c r="D285" s="304" t="inlineStr">
        <is>
          <t>Preparation TIS Petroleum - TMA</t>
        </is>
      </c>
      <c r="E285" s="305" t="n"/>
      <c r="F285" s="306" t="n"/>
      <c r="G285" s="303" t="n"/>
      <c r="H285" s="303" t="n"/>
      <c r="I285" s="307" t="n"/>
      <c r="J285" s="308" t="n"/>
      <c r="K285" s="309" t="n"/>
      <c r="L285" s="309" t="n"/>
      <c r="M285" s="309" t="n"/>
      <c r="N285" s="309" t="n"/>
      <c r="O285" s="309" t="n"/>
      <c r="P285" s="309" t="n"/>
      <c r="Q285" s="309" t="n"/>
      <c r="R285" s="310" t="n"/>
      <c r="S285" s="310" t="n"/>
      <c r="T285" s="310" t="n"/>
      <c r="U285" s="310" t="n"/>
      <c r="V285" s="310" t="n"/>
      <c r="W285" s="310" t="n"/>
      <c r="X285" s="310" t="n"/>
      <c r="Y285" s="310" t="n"/>
    </row>
    <row r="286" ht="15.5" customHeight="1">
      <c r="B286" s="311" t="n"/>
      <c r="C286" s="278" t="n"/>
      <c r="D286" s="312" t="inlineStr">
        <is>
          <t>Biaya Operasi</t>
        </is>
      </c>
      <c r="E286" s="313" t="n"/>
      <c r="F286" s="314" t="n"/>
      <c r="G286" s="278" t="n"/>
      <c r="H286" s="278" t="n"/>
      <c r="I286" s="283" t="n"/>
      <c r="J286" s="284" t="n"/>
      <c r="K286" s="279" t="n"/>
      <c r="L286" s="279" t="n"/>
      <c r="M286" s="279" t="n"/>
      <c r="N286" s="279" t="n"/>
      <c r="O286" s="279" t="n"/>
      <c r="P286" s="279" t="n"/>
      <c r="Q286" s="279" t="n"/>
      <c r="R286" s="315" t="n"/>
      <c r="S286" s="315" t="n"/>
      <c r="T286" s="315" t="n"/>
      <c r="U286" s="315" t="n"/>
      <c r="V286" s="315" t="n"/>
      <c r="W286" s="315" t="n"/>
      <c r="X286" s="315" t="n"/>
      <c r="Y286" s="315" t="n"/>
    </row>
    <row r="287" ht="15.5" customHeight="1">
      <c r="B287" s="286" t="inlineStr">
        <is>
          <t>05-Jul-24</t>
        </is>
      </c>
      <c r="C287" s="278" t="n">
        <v>1</v>
      </c>
      <c r="D287" s="280" t="inlineStr">
        <is>
          <t>Lalamove Gowell-Bogor-Gowell</t>
        </is>
      </c>
      <c r="E287" s="280" t="inlineStr">
        <is>
          <t>-</t>
        </is>
      </c>
      <c r="F287" s="287" t="n">
        <v>594804</v>
      </c>
      <c r="G287" s="282" t="inlineStr">
        <is>
          <t>IDR</t>
        </is>
      </c>
      <c r="H287" s="288" t="n">
        <v>1</v>
      </c>
      <c r="I287" s="290" t="n"/>
      <c r="J287" s="289" t="n">
        <v>594804</v>
      </c>
      <c r="K287" s="291" t="n"/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311" t="n"/>
      <c r="C288" s="278" t="n"/>
      <c r="D288" s="312" t="inlineStr">
        <is>
          <t>Pembelian Barang</t>
        </is>
      </c>
      <c r="E288" s="313" t="n"/>
      <c r="F288" s="314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315" t="n"/>
      <c r="S288" s="315" t="n"/>
      <c r="T288" s="315" t="n"/>
      <c r="U288" s="315" t="n"/>
      <c r="V288" s="315" t="n"/>
      <c r="W288" s="315" t="n"/>
      <c r="X288" s="315" t="n"/>
      <c r="Y288" s="315" t="n"/>
    </row>
    <row r="289" ht="15.5" customHeight="1">
      <c r="B289" s="286" t="inlineStr">
        <is>
          <t>10-Jul-24</t>
        </is>
      </c>
      <c r="C289" s="278" t="n">
        <v>2</v>
      </c>
      <c r="D289" s="280" t="inlineStr">
        <is>
          <t>Pin Punch</t>
        </is>
      </c>
      <c r="E289" s="280" t="inlineStr">
        <is>
          <t>-</t>
        </is>
      </c>
      <c r="F289" s="287" t="n">
        <v>381960</v>
      </c>
      <c r="G289" s="282" t="inlineStr">
        <is>
          <t>IDR</t>
        </is>
      </c>
      <c r="H289" s="288" t="n">
        <v>1</v>
      </c>
      <c r="I289" s="290" t="n"/>
      <c r="J289" s="290" t="n"/>
      <c r="K289" s="291" t="n"/>
      <c r="L289" s="280" t="n"/>
      <c r="M289" s="280" t="n"/>
      <c r="N289" s="280" t="n"/>
      <c r="O289" s="292" t="n">
        <v>381960</v>
      </c>
      <c r="P289" s="280" t="n"/>
      <c r="Q289" s="280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3</v>
      </c>
      <c r="D290" s="280" t="inlineStr">
        <is>
          <t>Hardcase Custom</t>
        </is>
      </c>
      <c r="E290" s="280" t="inlineStr">
        <is>
          <t>-</t>
        </is>
      </c>
      <c r="F290" s="287" t="n">
        <v>3595000</v>
      </c>
      <c r="G290" s="282" t="inlineStr">
        <is>
          <t>IDR</t>
        </is>
      </c>
      <c r="H290" s="288" t="n">
        <v>1</v>
      </c>
      <c r="I290" s="290" t="n"/>
      <c r="J290" s="290" t="n"/>
      <c r="K290" s="291" t="n"/>
      <c r="L290" s="280" t="n"/>
      <c r="M290" s="280" t="n"/>
      <c r="N290" s="280" t="n"/>
      <c r="O290" s="292" t="n">
        <v>3595000</v>
      </c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302" t="inlineStr">
        <is>
          <t>Expense#21</t>
        </is>
      </c>
      <c r="C291" s="303" t="inlineStr">
        <is>
          <t>:</t>
        </is>
      </c>
      <c r="D291" s="304" t="inlineStr">
        <is>
          <t>Delivery Tools Sonoecho (KL) - TMA</t>
        </is>
      </c>
      <c r="E291" s="305" t="n"/>
      <c r="F291" s="306" t="n"/>
      <c r="G291" s="303" t="n"/>
      <c r="H291" s="303" t="n"/>
      <c r="I291" s="307" t="n"/>
      <c r="J291" s="308" t="n"/>
      <c r="K291" s="309" t="n"/>
      <c r="L291" s="309" t="n"/>
      <c r="M291" s="309" t="n"/>
      <c r="N291" s="309" t="n"/>
      <c r="O291" s="309" t="n"/>
      <c r="P291" s="309" t="n"/>
      <c r="Q291" s="309" t="n"/>
      <c r="R291" s="310" t="n"/>
      <c r="S291" s="310" t="n"/>
      <c r="T291" s="310" t="n"/>
      <c r="U291" s="310" t="n"/>
      <c r="V291" s="310" t="n"/>
      <c r="W291" s="310" t="n"/>
      <c r="X291" s="310" t="n"/>
      <c r="Y291" s="310" t="n"/>
    </row>
    <row r="292" ht="15.5" customHeight="1">
      <c r="B292" s="311" t="n"/>
      <c r="C292" s="329" t="n"/>
      <c r="D292" s="312" t="inlineStr">
        <is>
          <t>Biaya Operasi</t>
        </is>
      </c>
      <c r="E292" s="322" t="n"/>
      <c r="F292" s="314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5" t="n"/>
      <c r="S292" s="315" t="n"/>
      <c r="T292" s="315" t="n"/>
      <c r="U292" s="315" t="n"/>
      <c r="V292" s="315" t="n"/>
      <c r="W292" s="315" t="n"/>
      <c r="X292" s="315" t="n"/>
      <c r="Y292" s="315" t="n"/>
    </row>
    <row r="293" ht="15.5" customHeight="1">
      <c r="B293" s="286" t="inlineStr">
        <is>
          <t>08-Jul-24</t>
        </is>
      </c>
      <c r="C293" s="278" t="n">
        <v>1</v>
      </c>
      <c r="D293" s="280" t="inlineStr">
        <is>
          <t>Hotel</t>
        </is>
      </c>
      <c r="E293" s="280" t="inlineStr">
        <is>
          <t>-</t>
        </is>
      </c>
      <c r="F293" s="287" t="n">
        <v>344305</v>
      </c>
      <c r="G293" s="282" t="inlineStr">
        <is>
          <t>IDR</t>
        </is>
      </c>
      <c r="H293" s="288" t="n">
        <v>1</v>
      </c>
      <c r="I293" s="290" t="n"/>
      <c r="J293" s="289" t="n">
        <v>344305</v>
      </c>
      <c r="K293" s="291" t="n"/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2</v>
      </c>
      <c r="D294" s="280" t="inlineStr">
        <is>
          <t>Hotel Tax Foreigner</t>
        </is>
      </c>
      <c r="E294" s="280" t="inlineStr">
        <is>
          <t>-</t>
        </is>
      </c>
      <c r="F294" s="287" t="n">
        <v>34620</v>
      </c>
      <c r="G294" s="282" t="inlineStr">
        <is>
          <t>MYR</t>
        </is>
      </c>
      <c r="H294" s="288" t="n">
        <v>3462</v>
      </c>
      <c r="I294" s="290" t="n"/>
      <c r="J294" s="289" t="n">
        <v>34620</v>
      </c>
      <c r="K294" s="291" t="n"/>
      <c r="L294" s="280" t="n"/>
      <c r="M294" s="280" t="n"/>
      <c r="N294" s="280" t="n"/>
      <c r="O294" s="280" t="n"/>
      <c r="P294" s="280" t="n"/>
      <c r="Q294" s="280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inlineStr">
        <is>
          <t>08-Jul-24</t>
        </is>
      </c>
      <c r="C295" s="278" t="n">
        <v>3</v>
      </c>
      <c r="D295" s="280" t="inlineStr">
        <is>
          <t>Airplane Ticket CGK-KLIA</t>
        </is>
      </c>
      <c r="E295" s="280" t="inlineStr">
        <is>
          <t>-</t>
        </is>
      </c>
      <c r="F295" s="287" t="n">
        <v>4912100</v>
      </c>
      <c r="G295" s="282" t="inlineStr">
        <is>
          <t>IDR</t>
        </is>
      </c>
      <c r="H295" s="288" t="n">
        <v>1</v>
      </c>
      <c r="I295" s="290" t="n"/>
      <c r="J295" s="289" t="n">
        <v>4912100</v>
      </c>
      <c r="K295" s="291" t="n"/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  <c r="Y295" s="285" t="n"/>
    </row>
    <row r="296" ht="15.5" customHeight="1">
      <c r="B296" s="286" t="inlineStr">
        <is>
          <t>08-Jul-24</t>
        </is>
      </c>
      <c r="C296" s="278" t="n">
        <v>4</v>
      </c>
      <c r="D296" s="280" t="inlineStr">
        <is>
          <t>Taxi Home - CGK</t>
        </is>
      </c>
      <c r="E296" s="280" t="inlineStr">
        <is>
          <t>-</t>
        </is>
      </c>
      <c r="F296" s="287" t="n">
        <v>250000</v>
      </c>
      <c r="G296" s="282" t="inlineStr">
        <is>
          <t>IDR</t>
        </is>
      </c>
      <c r="H296" s="288" t="n">
        <v>1</v>
      </c>
      <c r="I296" s="290" t="n"/>
      <c r="J296" s="289" t="n">
        <v>250000</v>
      </c>
      <c r="K296" s="291" t="n"/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  <c r="Y296" s="285" t="n"/>
    </row>
    <row r="297" ht="15.5" customHeight="1">
      <c r="B297" s="286" t="inlineStr">
        <is>
          <t>08-Jul-24</t>
        </is>
      </c>
      <c r="C297" s="278" t="n">
        <v>5</v>
      </c>
      <c r="D297" s="280" t="inlineStr">
        <is>
          <t>Taxi KLIA - Hotel</t>
        </is>
      </c>
      <c r="E297" s="280" t="inlineStr">
        <is>
          <t>-</t>
        </is>
      </c>
      <c r="F297" s="287" t="n">
        <v>249264</v>
      </c>
      <c r="G297" s="282" t="inlineStr">
        <is>
          <t>MYR</t>
        </is>
      </c>
      <c r="H297" s="288" t="n">
        <v>3462</v>
      </c>
      <c r="I297" s="290" t="n"/>
      <c r="J297" s="289" t="n">
        <v>249264</v>
      </c>
      <c r="K297" s="291" t="n"/>
      <c r="L297" s="280" t="n"/>
      <c r="M297" s="280" t="n"/>
      <c r="N297" s="280" t="n"/>
      <c r="O297" s="280" t="n"/>
      <c r="P297" s="280" t="n"/>
      <c r="Q297" s="280" t="n"/>
      <c r="R297" s="285" t="n"/>
      <c r="S297" s="285" t="n"/>
      <c r="T297" s="285" t="n"/>
      <c r="U297" s="285" t="n"/>
      <c r="V297" s="285" t="n"/>
      <c r="W297" s="285" t="n"/>
      <c r="X297" s="285" t="n"/>
      <c r="Y297" s="285" t="n"/>
    </row>
    <row r="298" ht="15.5" customHeight="1">
      <c r="B298" s="286" t="inlineStr">
        <is>
          <t>09-Jul-24</t>
        </is>
      </c>
      <c r="C298" s="278" t="n">
        <v>6</v>
      </c>
      <c r="D298" s="280" t="inlineStr">
        <is>
          <t>Taxi Hyperseal - Hotel</t>
        </is>
      </c>
      <c r="E298" s="280" t="inlineStr">
        <is>
          <t>-</t>
        </is>
      </c>
      <c r="F298" s="287" t="n">
        <v>27696</v>
      </c>
      <c r="G298" s="282" t="inlineStr">
        <is>
          <t>MYR</t>
        </is>
      </c>
      <c r="H298" s="288" t="n">
        <v>3462</v>
      </c>
      <c r="I298" s="290" t="n"/>
      <c r="J298" s="289" t="n">
        <v>27696</v>
      </c>
      <c r="K298" s="291" t="n"/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  <c r="Y298" s="285" t="n"/>
    </row>
    <row r="299" ht="15.5" customHeight="1">
      <c r="B299" s="286" t="inlineStr">
        <is>
          <t>09-Jul-24</t>
        </is>
      </c>
      <c r="C299" s="278" t="n">
        <v>7</v>
      </c>
      <c r="D299" s="280" t="inlineStr">
        <is>
          <t>Taxi Hotel - KLIA</t>
        </is>
      </c>
      <c r="E299" s="280" t="inlineStr">
        <is>
          <t>-</t>
        </is>
      </c>
      <c r="F299" s="287" t="n">
        <v>283987.86</v>
      </c>
      <c r="G299" s="282" t="inlineStr">
        <is>
          <t>MYR</t>
        </is>
      </c>
      <c r="H299" s="288" t="n">
        <v>3462</v>
      </c>
      <c r="I299" s="290" t="n"/>
      <c r="J299" s="289" t="n">
        <v>283987.86</v>
      </c>
      <c r="K299" s="291" t="n"/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  <c r="Y299" s="285" t="n"/>
    </row>
    <row r="300" ht="15.5" customHeight="1">
      <c r="B300" s="286" t="inlineStr">
        <is>
          <t>09-Jul-24</t>
        </is>
      </c>
      <c r="C300" s="278" t="n">
        <v>8</v>
      </c>
      <c r="D300" s="280" t="inlineStr">
        <is>
          <t>Taxi CGK - Home</t>
        </is>
      </c>
      <c r="E300" s="280" t="inlineStr">
        <is>
          <t>-</t>
        </is>
      </c>
      <c r="F300" s="287" t="n">
        <v>259120</v>
      </c>
      <c r="G300" s="282" t="inlineStr">
        <is>
          <t>IDR</t>
        </is>
      </c>
      <c r="H300" s="288" t="n">
        <v>1</v>
      </c>
      <c r="I300" s="290" t="n"/>
      <c r="J300" s="289" t="n">
        <v>259120</v>
      </c>
      <c r="K300" s="291" t="n"/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  <c r="Y300" s="285" t="n"/>
    </row>
    <row r="301" ht="15.5" customHeight="1">
      <c r="B301" s="311" t="n"/>
      <c r="C301" s="278" t="n"/>
      <c r="D301" s="312" t="inlineStr">
        <is>
          <t>Pembelian Barang</t>
        </is>
      </c>
      <c r="E301" s="321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  <c r="R301" s="315" t="n"/>
      <c r="S301" s="315" t="n"/>
      <c r="T301" s="315" t="n"/>
      <c r="U301" s="315" t="n"/>
      <c r="V301" s="315" t="n"/>
      <c r="W301" s="315" t="n"/>
      <c r="X301" s="315" t="n"/>
      <c r="Y301" s="315" t="n"/>
    </row>
    <row r="302" ht="15.5" customHeight="1">
      <c r="B302" s="286" t="inlineStr">
        <is>
          <t>10-Jul-24</t>
        </is>
      </c>
      <c r="C302" s="278" t="n">
        <v>9</v>
      </c>
      <c r="D302" s="280" t="inlineStr">
        <is>
          <t>Asus Slate 13 (tablet asus)</t>
        </is>
      </c>
      <c r="E302" s="280" t="inlineStr">
        <is>
          <t>-</t>
        </is>
      </c>
      <c r="F302" s="287" t="n">
        <v>9778400</v>
      </c>
      <c r="G302" s="282" t="inlineStr">
        <is>
          <t>IDR</t>
        </is>
      </c>
      <c r="H302" s="288" t="n">
        <v>1</v>
      </c>
      <c r="I302" s="290" t="n"/>
      <c r="J302" s="290" t="n"/>
      <c r="K302" s="291" t="n"/>
      <c r="L302" s="280" t="n"/>
      <c r="M302" s="280" t="n"/>
      <c r="N302" s="280" t="n"/>
      <c r="O302" s="292" t="n">
        <v>9778400</v>
      </c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10</v>
      </c>
      <c r="D303" s="280" t="inlineStr">
        <is>
          <t>OTG Type C</t>
        </is>
      </c>
      <c r="E303" s="280" t="inlineStr">
        <is>
          <t>-</t>
        </is>
      </c>
      <c r="F303" s="287" t="n">
        <v>163100</v>
      </c>
      <c r="G303" s="282" t="inlineStr">
        <is>
          <t>IDR</t>
        </is>
      </c>
      <c r="H303" s="288" t="n">
        <v>1</v>
      </c>
      <c r="I303" s="290" t="n"/>
      <c r="J303" s="290" t="n"/>
      <c r="K303" s="291" t="n"/>
      <c r="L303" s="280" t="n"/>
      <c r="M303" s="280" t="n"/>
      <c r="N303" s="280" t="n"/>
      <c r="O303" s="292" t="n">
        <v>163100</v>
      </c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302" t="inlineStr">
        <is>
          <t>Expense#22</t>
        </is>
      </c>
      <c r="C304" s="303" t="inlineStr">
        <is>
          <t>:</t>
        </is>
      </c>
      <c r="D304" s="304" t="inlineStr">
        <is>
          <t>Non project ( MCU ulang )_ IBR</t>
        </is>
      </c>
      <c r="E304" s="305" t="n"/>
      <c r="F304" s="326" t="n"/>
      <c r="G304" s="303" t="n"/>
      <c r="H304" s="303" t="n"/>
      <c r="I304" s="307" t="n"/>
      <c r="J304" s="308" t="n"/>
      <c r="K304" s="309" t="n"/>
      <c r="L304" s="309" t="n"/>
      <c r="M304" s="307" t="n"/>
      <c r="N304" s="309" t="n"/>
      <c r="O304" s="309" t="n"/>
      <c r="P304" s="309" t="n"/>
      <c r="Q304" s="309" t="n"/>
      <c r="R304" s="310" t="n"/>
      <c r="S304" s="310" t="n"/>
      <c r="T304" s="310" t="n"/>
      <c r="U304" s="310" t="n"/>
      <c r="V304" s="310" t="n"/>
      <c r="W304" s="310" t="n"/>
      <c r="X304" s="310" t="n"/>
      <c r="Y304" s="310" t="n"/>
    </row>
    <row r="305" ht="15.5" customHeight="1">
      <c r="B305" s="279" t="n"/>
      <c r="C305" s="330" t="n"/>
      <c r="D305" s="331" t="inlineStr">
        <is>
          <t>Kesehatan</t>
        </is>
      </c>
      <c r="E305" s="332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  <c r="R305" s="315" t="n"/>
      <c r="S305" s="315" t="n"/>
      <c r="T305" s="315" t="n"/>
      <c r="U305" s="315" t="n"/>
      <c r="V305" s="315" t="n"/>
      <c r="W305" s="315" t="n"/>
      <c r="X305" s="315" t="n"/>
      <c r="Y305" s="315" t="n"/>
    </row>
    <row r="306" ht="15.5" customHeight="1">
      <c r="B306" s="286" t="inlineStr">
        <is>
          <t>03-Jun-24</t>
        </is>
      </c>
      <c r="C306" s="278" t="n">
        <v>1</v>
      </c>
      <c r="D306" s="280" t="inlineStr">
        <is>
          <t>Konsultasi Spesialis Penyakit Dalam</t>
        </is>
      </c>
      <c r="E306" s="280" t="inlineStr">
        <is>
          <t>-</t>
        </is>
      </c>
      <c r="F306" s="287" t="n">
        <v>206000</v>
      </c>
      <c r="G306" s="282" t="inlineStr">
        <is>
          <t>IDR</t>
        </is>
      </c>
      <c r="H306" s="288" t="n">
        <v>1</v>
      </c>
      <c r="I306" s="290" t="n"/>
      <c r="J306" s="290" t="n"/>
      <c r="K306" s="291" t="n"/>
      <c r="L306" s="280" t="n"/>
      <c r="M306" s="280" t="n"/>
      <c r="N306" s="280" t="n"/>
      <c r="O306" s="280" t="n"/>
      <c r="P306" s="280" t="n"/>
      <c r="Q306" s="292" t="n">
        <v>206000</v>
      </c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2</v>
      </c>
      <c r="D307" s="280" t="inlineStr">
        <is>
          <t>Unit Labolatorium</t>
        </is>
      </c>
      <c r="E307" s="280" t="inlineStr">
        <is>
          <t>-</t>
        </is>
      </c>
      <c r="F307" s="287" t="n">
        <v>1474000</v>
      </c>
      <c r="G307" s="282" t="inlineStr">
        <is>
          <t>IDR</t>
        </is>
      </c>
      <c r="H307" s="288" t="n">
        <v>1</v>
      </c>
      <c r="I307" s="290" t="n"/>
      <c r="J307" s="290" t="n"/>
      <c r="K307" s="291" t="n"/>
      <c r="L307" s="280" t="n"/>
      <c r="M307" s="280" t="n"/>
      <c r="N307" s="280" t="n"/>
      <c r="O307" s="280" t="n"/>
      <c r="P307" s="280" t="n"/>
      <c r="Q307" s="292" t="n">
        <v>1474000</v>
      </c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inlineStr">
        <is>
          <t>10-Jun-24</t>
        </is>
      </c>
      <c r="C308" s="278" t="n">
        <v>3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90" t="n"/>
      <c r="J308" s="290" t="n"/>
      <c r="K308" s="291" t="n"/>
      <c r="L308" s="280" t="n"/>
      <c r="M308" s="280" t="n"/>
      <c r="N308" s="280" t="n"/>
      <c r="O308" s="280" t="n"/>
      <c r="P308" s="280" t="n"/>
      <c r="Q308" s="292" t="n">
        <v>206000</v>
      </c>
      <c r="R308" s="285" t="n"/>
      <c r="S308" s="285" t="n"/>
      <c r="T308" s="285" t="n"/>
      <c r="U308" s="285" t="n"/>
      <c r="V308" s="285" t="n"/>
      <c r="W308" s="285" t="n"/>
      <c r="X308" s="285" t="n"/>
      <c r="Y308" s="285" t="n"/>
    </row>
    <row r="309" ht="15.5" customHeight="1">
      <c r="B309" s="286" t="inlineStr">
        <is>
          <t>10-Jun-24</t>
        </is>
      </c>
      <c r="C309" s="278" t="n">
        <v>4</v>
      </c>
      <c r="D309" s="280" t="inlineStr">
        <is>
          <t>Farmasi</t>
        </is>
      </c>
      <c r="E309" s="280" t="inlineStr">
        <is>
          <t>-</t>
        </is>
      </c>
      <c r="F309" s="287" t="n">
        <v>109000</v>
      </c>
      <c r="G309" s="282" t="inlineStr">
        <is>
          <t>IDR</t>
        </is>
      </c>
      <c r="H309" s="288" t="n">
        <v>1</v>
      </c>
      <c r="I309" s="290" t="n"/>
      <c r="J309" s="290" t="n"/>
      <c r="K309" s="291" t="n"/>
      <c r="L309" s="280" t="n"/>
      <c r="M309" s="280" t="n"/>
      <c r="N309" s="280" t="n"/>
      <c r="O309" s="280" t="n"/>
      <c r="P309" s="280" t="n"/>
      <c r="Q309" s="292" t="n">
        <v>109000</v>
      </c>
      <c r="R309" s="285" t="n"/>
      <c r="S309" s="285" t="n"/>
      <c r="T309" s="285" t="n"/>
      <c r="U309" s="285" t="n"/>
      <c r="V309" s="285" t="n"/>
      <c r="W309" s="285" t="n"/>
      <c r="X309" s="285" t="n"/>
      <c r="Y309" s="285" t="n"/>
    </row>
    <row r="310" ht="15.5" customHeight="1">
      <c r="B310" s="302" t="inlineStr">
        <is>
          <t>Expense#23</t>
        </is>
      </c>
      <c r="C310" s="303" t="inlineStr">
        <is>
          <t>:</t>
        </is>
      </c>
      <c r="D310" s="304" t="inlineStr">
        <is>
          <t>ALFA job - JRK-163 (Job)_undr Sijak_ DS</t>
        </is>
      </c>
      <c r="E310" s="305" t="n"/>
      <c r="F310" s="326" t="n"/>
      <c r="G310" s="303" t="n"/>
      <c r="H310" s="303" t="n"/>
      <c r="I310" s="307" t="n"/>
      <c r="J310" s="308" t="n"/>
      <c r="K310" s="309" t="n"/>
      <c r="L310" s="309" t="n"/>
      <c r="M310" s="309" t="n"/>
      <c r="N310" s="309" t="n"/>
      <c r="O310" s="309" t="n"/>
      <c r="P310" s="309" t="n"/>
      <c r="Q310" s="309" t="n"/>
      <c r="R310" s="310" t="n"/>
      <c r="S310" s="310" t="n"/>
      <c r="T310" s="310" t="n"/>
      <c r="U310" s="310" t="n"/>
      <c r="V310" s="310" t="n"/>
      <c r="W310" s="310" t="n"/>
      <c r="X310" s="310" t="n"/>
      <c r="Y310" s="310" t="n"/>
    </row>
    <row r="311" ht="15.5" customHeight="1">
      <c r="B311" s="311" t="n"/>
      <c r="C311" s="278" t="n"/>
      <c r="D311" s="312" t="inlineStr">
        <is>
          <t>Biaya Operasi</t>
        </is>
      </c>
      <c r="E311" s="313" t="n"/>
      <c r="F311" s="281" t="n"/>
      <c r="G311" s="278" t="n"/>
      <c r="H311" s="278" t="n"/>
      <c r="I311" s="283" t="n"/>
      <c r="J311" s="284" t="n"/>
      <c r="K311" s="279" t="n"/>
      <c r="L311" s="279" t="n"/>
      <c r="M311" s="283" t="n"/>
      <c r="N311" s="279" t="n"/>
      <c r="O311" s="279" t="n"/>
      <c r="P311" s="279" t="n"/>
      <c r="Q311" s="279" t="n"/>
      <c r="R311" s="315" t="n"/>
      <c r="S311" s="315" t="n"/>
      <c r="T311" s="315" t="n"/>
      <c r="U311" s="315" t="n"/>
      <c r="V311" s="315" t="n"/>
      <c r="W311" s="315" t="n"/>
      <c r="X311" s="315" t="n"/>
      <c r="Y311" s="315" t="n"/>
    </row>
    <row r="312" ht="15.5" customHeight="1">
      <c r="B312" s="286" t="inlineStr">
        <is>
          <t>21-Jul-24</t>
        </is>
      </c>
      <c r="C312" s="278" t="n">
        <v>1</v>
      </c>
      <c r="D312" s="280" t="inlineStr">
        <is>
          <t>Jakarta - Palembang</t>
        </is>
      </c>
      <c r="E312" s="280" t="inlineStr">
        <is>
          <t>-</t>
        </is>
      </c>
      <c r="F312" s="287" t="n">
        <v>985367</v>
      </c>
      <c r="G312" s="282" t="inlineStr">
        <is>
          <t>IDR</t>
        </is>
      </c>
      <c r="H312" s="288" t="n">
        <v>1</v>
      </c>
      <c r="I312" s="290" t="n"/>
      <c r="J312" s="289" t="n">
        <v>985367</v>
      </c>
      <c r="K312" s="291" t="n"/>
      <c r="L312" s="280" t="n"/>
      <c r="M312" s="280" t="n"/>
      <c r="N312" s="280" t="n"/>
      <c r="O312" s="280" t="n"/>
      <c r="P312" s="280" t="n"/>
      <c r="Q312" s="280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2</v>
      </c>
      <c r="D313" s="280" t="inlineStr">
        <is>
          <t>Taxi + Tol to Airport Jakarta</t>
        </is>
      </c>
      <c r="E313" s="280" t="inlineStr">
        <is>
          <t>-</t>
        </is>
      </c>
      <c r="F313" s="287" t="n">
        <v>225520</v>
      </c>
      <c r="G313" s="282" t="inlineStr">
        <is>
          <t>IDR</t>
        </is>
      </c>
      <c r="H313" s="288" t="n">
        <v>1</v>
      </c>
      <c r="I313" s="290" t="n"/>
      <c r="J313" s="289" t="n">
        <v>225520</v>
      </c>
      <c r="K313" s="291" t="n"/>
      <c r="L313" s="280" t="n"/>
      <c r="M313" s="280" t="n"/>
      <c r="N313" s="280" t="n"/>
      <c r="O313" s="280" t="n"/>
      <c r="P313" s="280" t="n"/>
      <c r="Q313" s="280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inlineStr">
        <is>
          <t>21-Jul-24</t>
        </is>
      </c>
      <c r="C314" s="278" t="n">
        <v>3</v>
      </c>
      <c r="D314" s="280" t="inlineStr">
        <is>
          <t>fuel + tol PLM-Prabu</t>
        </is>
      </c>
      <c r="E314" s="280" t="inlineStr">
        <is>
          <t>-</t>
        </is>
      </c>
      <c r="F314" s="287" t="n">
        <v>292060</v>
      </c>
      <c r="G314" s="282" t="inlineStr">
        <is>
          <t>IDR</t>
        </is>
      </c>
      <c r="H314" s="288" t="n">
        <v>1</v>
      </c>
      <c r="I314" s="290" t="n"/>
      <c r="J314" s="289" t="n">
        <v>292060</v>
      </c>
      <c r="K314" s="291" t="n"/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  <c r="Y314" s="285" t="n"/>
    </row>
    <row r="315" ht="15.5" customHeight="1">
      <c r="B315" s="286" t="inlineStr">
        <is>
          <t>21-Jul-24</t>
        </is>
      </c>
      <c r="C315" s="278" t="n">
        <v>4</v>
      </c>
      <c r="D315" s="280" t="inlineStr">
        <is>
          <t>Jakarta - Palembang</t>
        </is>
      </c>
      <c r="E315" s="280" t="inlineStr">
        <is>
          <t>-</t>
        </is>
      </c>
      <c r="F315" s="287" t="n">
        <v>400000</v>
      </c>
      <c r="G315" s="282" t="inlineStr">
        <is>
          <t>IDR</t>
        </is>
      </c>
      <c r="H315" s="288" t="n">
        <v>1</v>
      </c>
      <c r="I315" s="290" t="n"/>
      <c r="J315" s="289" t="n">
        <v>400000</v>
      </c>
      <c r="K315" s="291" t="n"/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  <c r="Y315" s="285" t="n"/>
    </row>
    <row r="316" ht="15.5" customHeight="1">
      <c r="B316" s="286" t="inlineStr">
        <is>
          <t>24-Jul-24</t>
        </is>
      </c>
      <c r="C316" s="278" t="n">
        <v>5</v>
      </c>
      <c r="D316" s="280" t="inlineStr">
        <is>
          <t>fuel</t>
        </is>
      </c>
      <c r="E316" s="280" t="inlineStr">
        <is>
          <t>-</t>
        </is>
      </c>
      <c r="F316" s="287" t="n">
        <v>190430</v>
      </c>
      <c r="G316" s="282" t="inlineStr">
        <is>
          <t>IDR</t>
        </is>
      </c>
      <c r="H316" s="288" t="n">
        <v>1</v>
      </c>
      <c r="I316" s="290" t="n"/>
      <c r="J316" s="289" t="n">
        <v>190430</v>
      </c>
      <c r="K316" s="291" t="n"/>
      <c r="L316" s="280" t="n"/>
      <c r="M316" s="280" t="n"/>
      <c r="N316" s="280" t="n"/>
      <c r="O316" s="280" t="n"/>
      <c r="P316" s="280" t="n"/>
      <c r="Q316" s="280" t="n"/>
      <c r="R316" s="285" t="n"/>
      <c r="S316" s="285" t="n"/>
      <c r="T316" s="285" t="n"/>
      <c r="U316" s="285" t="n"/>
      <c r="V316" s="285" t="n"/>
      <c r="W316" s="285" t="n"/>
      <c r="X316" s="285" t="n"/>
      <c r="Y316" s="285" t="n"/>
    </row>
    <row r="317" ht="15.5" customHeight="1">
      <c r="B317" s="286" t="inlineStr">
        <is>
          <t>27-Jul-24</t>
        </is>
      </c>
      <c r="C317" s="278" t="n">
        <v>6</v>
      </c>
      <c r="D317" s="280" t="inlineStr">
        <is>
          <t>Palembang - Jakarta + Extra Bagage</t>
        </is>
      </c>
      <c r="E317" s="280" t="inlineStr">
        <is>
          <t>-</t>
        </is>
      </c>
      <c r="F317" s="287" t="n">
        <v>1175717</v>
      </c>
      <c r="G317" s="282" t="inlineStr">
        <is>
          <t>IDR</t>
        </is>
      </c>
      <c r="H317" s="288" t="n">
        <v>1</v>
      </c>
      <c r="I317" s="290" t="n"/>
      <c r="J317" s="289" t="n">
        <v>1175717</v>
      </c>
      <c r="K317" s="291" t="n"/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  <c r="Y317" s="285" t="n"/>
    </row>
    <row r="318" ht="15.5" customHeight="1">
      <c r="B318" s="286" t="inlineStr">
        <is>
          <t>27-Jul-24</t>
        </is>
      </c>
      <c r="C318" s="278" t="n">
        <v>7</v>
      </c>
      <c r="D318" s="280" t="inlineStr">
        <is>
          <t>Tol Prabu - PLM + Fuel</t>
        </is>
      </c>
      <c r="E318" s="280" t="inlineStr">
        <is>
          <t>-</t>
        </is>
      </c>
      <c r="F318" s="287" t="n">
        <v>262000</v>
      </c>
      <c r="G318" s="282" t="inlineStr">
        <is>
          <t>IDR</t>
        </is>
      </c>
      <c r="H318" s="288" t="n">
        <v>1</v>
      </c>
      <c r="I318" s="290" t="n"/>
      <c r="J318" s="289" t="n">
        <v>262000</v>
      </c>
      <c r="K318" s="291" t="n"/>
      <c r="L318" s="280" t="n"/>
      <c r="M318" s="280" t="n"/>
      <c r="N318" s="280" t="n"/>
      <c r="O318" s="280" t="n"/>
      <c r="P318" s="280" t="n"/>
      <c r="Q318" s="280" t="n"/>
      <c r="R318" s="285" t="n"/>
      <c r="S318" s="285" t="n"/>
      <c r="T318" s="285" t="n"/>
      <c r="U318" s="285" t="n"/>
      <c r="V318" s="285" t="n"/>
      <c r="W318" s="285" t="n"/>
      <c r="X318" s="285" t="n"/>
      <c r="Y318" s="285" t="n"/>
    </row>
    <row r="319" ht="15.5" customHeight="1">
      <c r="B319" s="286" t="inlineStr">
        <is>
          <t>27-Jul-24</t>
        </is>
      </c>
      <c r="C319" s="278" t="n">
        <v>8</v>
      </c>
      <c r="D319" s="280" t="inlineStr">
        <is>
          <t>Tol + Taxi From Airport Jakarta</t>
        </is>
      </c>
      <c r="E319" s="280" t="inlineStr">
        <is>
          <t>-</t>
        </is>
      </c>
      <c r="F319" s="287" t="n">
        <v>235000</v>
      </c>
      <c r="G319" s="282" t="inlineStr">
        <is>
          <t>IDR</t>
        </is>
      </c>
      <c r="H319" s="288" t="n">
        <v>1</v>
      </c>
      <c r="I319" s="290" t="n"/>
      <c r="J319" s="289" t="n">
        <v>235000</v>
      </c>
      <c r="K319" s="291" t="n"/>
      <c r="L319" s="280" t="n"/>
      <c r="M319" s="280" t="n"/>
      <c r="N319" s="280" t="n"/>
      <c r="O319" s="280" t="n"/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  <c r="Y319" s="285" t="n"/>
    </row>
    <row r="320" ht="15.5" customHeight="1">
      <c r="B320" s="286" t="inlineStr">
        <is>
          <t>27-Jul-24</t>
        </is>
      </c>
      <c r="C320" s="278" t="n">
        <v>9</v>
      </c>
      <c r="D320" s="280" t="inlineStr">
        <is>
          <t>Car rental 21 - 27 Jul 2024</t>
        </is>
      </c>
      <c r="E320" s="280" t="inlineStr">
        <is>
          <t>-</t>
        </is>
      </c>
      <c r="F320" s="287" t="n">
        <v>3500000</v>
      </c>
      <c r="G320" s="282" t="inlineStr">
        <is>
          <t>IDR</t>
        </is>
      </c>
      <c r="H320" s="288" t="n">
        <v>1</v>
      </c>
      <c r="I320" s="290" t="n"/>
      <c r="J320" s="289" t="n">
        <v>3500000</v>
      </c>
      <c r="K320" s="291" t="n"/>
      <c r="L320" s="280" t="n"/>
      <c r="M320" s="280" t="n"/>
      <c r="N320" s="280" t="n"/>
      <c r="O320" s="280" t="n"/>
      <c r="P320" s="280" t="n"/>
      <c r="Q320" s="280" t="n"/>
      <c r="R320" s="285" t="n"/>
      <c r="S320" s="285" t="n"/>
      <c r="T320" s="285" t="n"/>
      <c r="U320" s="285" t="n"/>
      <c r="V320" s="285" t="n"/>
      <c r="W320" s="285" t="n"/>
      <c r="X320" s="285" t="n"/>
      <c r="Y320" s="285" t="n"/>
    </row>
    <row r="321" ht="15.5" customHeight="1">
      <c r="B321" s="286" t="inlineStr">
        <is>
          <t>27-Jul-24</t>
        </is>
      </c>
      <c r="C321" s="278" t="n">
        <v>10</v>
      </c>
      <c r="D321" s="280" t="inlineStr">
        <is>
          <t>Lodge 21-27 Jul 2024 (3 rooms)</t>
        </is>
      </c>
      <c r="E321" s="280" t="inlineStr">
        <is>
          <t>-</t>
        </is>
      </c>
      <c r="F321" s="287" t="n">
        <v>2160000</v>
      </c>
      <c r="G321" s="282" t="inlineStr">
        <is>
          <t>IDR</t>
        </is>
      </c>
      <c r="H321" s="288" t="n">
        <v>1</v>
      </c>
      <c r="I321" s="290" t="n"/>
      <c r="J321" s="289" t="n">
        <v>2160000</v>
      </c>
      <c r="K321" s="291" t="n"/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  <c r="Y321" s="285" t="n"/>
    </row>
    <row r="322" ht="15.5" customHeight="1">
      <c r="B322" s="286" t="inlineStr">
        <is>
          <t>27-Jul-24</t>
        </is>
      </c>
      <c r="C322" s="278" t="n">
        <v>11</v>
      </c>
      <c r="D322" s="280" t="inlineStr">
        <is>
          <t>Uang Makan (21 - 27 Juli 2024)</t>
        </is>
      </c>
      <c r="E322" s="280" t="inlineStr">
        <is>
          <t>-</t>
        </is>
      </c>
      <c r="F322" s="287" t="n">
        <v>1050000</v>
      </c>
      <c r="G322" s="282" t="inlineStr">
        <is>
          <t>IDR</t>
        </is>
      </c>
      <c r="H322" s="288" t="n">
        <v>1</v>
      </c>
      <c r="I322" s="290" t="n"/>
      <c r="J322" s="289" t="n">
        <v>1050000</v>
      </c>
      <c r="K322" s="291" t="n"/>
      <c r="L322" s="280" t="n"/>
      <c r="M322" s="280" t="n"/>
      <c r="N322" s="280" t="n"/>
      <c r="O322" s="280" t="n"/>
      <c r="P322" s="280" t="n"/>
      <c r="Q322" s="280" t="n"/>
      <c r="R322" s="285" t="n"/>
      <c r="S322" s="285" t="n"/>
      <c r="T322" s="285" t="n"/>
      <c r="U322" s="285" t="n"/>
      <c r="V322" s="285" t="n"/>
      <c r="W322" s="285" t="n"/>
      <c r="X322" s="285" t="n"/>
      <c r="Y322" s="285" t="n"/>
    </row>
    <row r="323" ht="15.5" customHeight="1">
      <c r="B323" s="286" t="inlineStr">
        <is>
          <t>27-Jul-24</t>
        </is>
      </c>
      <c r="C323" s="278" t="n">
        <v>12</v>
      </c>
      <c r="D323" s="280" t="inlineStr">
        <is>
          <t>Laundry (21 - 27 Juli 2024)</t>
        </is>
      </c>
      <c r="E323" s="280" t="inlineStr">
        <is>
          <t>-</t>
        </is>
      </c>
      <c r="F323" s="287" t="n">
        <v>350000</v>
      </c>
      <c r="G323" s="282" t="inlineStr">
        <is>
          <t>IDR</t>
        </is>
      </c>
      <c r="H323" s="288" t="n">
        <v>1</v>
      </c>
      <c r="I323" s="290" t="n"/>
      <c r="J323" s="289" t="n">
        <v>350000</v>
      </c>
      <c r="K323" s="291" t="n"/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  <c r="Y323" s="285" t="n"/>
    </row>
    <row r="324" ht="15.5" customHeight="1">
      <c r="B324" s="286" t="inlineStr">
        <is>
          <t>27-Jul-24</t>
        </is>
      </c>
      <c r="C324" s="278" t="n">
        <v>13</v>
      </c>
      <c r="D324" s="280" t="inlineStr">
        <is>
          <t>Tunajngan Lapangan JRK-163 (21-27 Juli 2024). 1US$=16.200</t>
        </is>
      </c>
      <c r="E324" s="280" t="inlineStr">
        <is>
          <t>-</t>
        </is>
      </c>
      <c r="F324" s="287" t="n">
        <v>700</v>
      </c>
      <c r="G324" s="282" t="inlineStr">
        <is>
          <t>IDR</t>
        </is>
      </c>
      <c r="H324" s="288" t="n">
        <v>16200</v>
      </c>
      <c r="I324" s="290" t="n"/>
      <c r="J324" s="289" t="n">
        <v>700</v>
      </c>
      <c r="K324" s="291" t="n"/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  <c r="Y324" s="285" t="n"/>
    </row>
    <row r="325" ht="15.5" customHeight="1">
      <c r="B325" s="311" t="n"/>
      <c r="C325" s="278" t="n"/>
      <c r="D325" s="312" t="inlineStr">
        <is>
          <t>Pembelian Barang</t>
        </is>
      </c>
      <c r="E325" s="313" t="n"/>
      <c r="F325" s="281" t="n"/>
      <c r="G325" s="278" t="n"/>
      <c r="H325" s="278" t="n"/>
      <c r="I325" s="283" t="n"/>
      <c r="J325" s="284" t="n"/>
      <c r="K325" s="279" t="n"/>
      <c r="L325" s="279" t="n"/>
      <c r="M325" s="283" t="n"/>
      <c r="N325" s="279" t="n"/>
      <c r="O325" s="279" t="n"/>
      <c r="P325" s="279" t="n"/>
      <c r="Q325" s="279" t="n"/>
      <c r="R325" s="315" t="n"/>
      <c r="S325" s="315" t="n"/>
      <c r="T325" s="315" t="n"/>
      <c r="U325" s="315" t="n"/>
      <c r="V325" s="315" t="n"/>
      <c r="W325" s="315" t="n"/>
      <c r="X325" s="315" t="n"/>
      <c r="Y325" s="315" t="n"/>
    </row>
    <row r="326" ht="15.5" customHeight="1">
      <c r="B326" s="286" t="inlineStr">
        <is>
          <t>22-Jul-24</t>
        </is>
      </c>
      <c r="C326" s="278" t="n">
        <v>14</v>
      </c>
      <c r="D326" s="280" t="inlineStr">
        <is>
          <t>Rags - Gloves</t>
        </is>
      </c>
      <c r="E326" s="280" t="inlineStr">
        <is>
          <t>-</t>
        </is>
      </c>
      <c r="F326" s="287" t="n">
        <v>70000</v>
      </c>
      <c r="G326" s="282" t="inlineStr">
        <is>
          <t>IDR</t>
        </is>
      </c>
      <c r="H326" s="288" t="n">
        <v>1</v>
      </c>
      <c r="I326" s="290" t="n"/>
      <c r="J326" s="290" t="n"/>
      <c r="K326" s="291" t="n"/>
      <c r="L326" s="280" t="n"/>
      <c r="M326" s="280" t="n"/>
      <c r="N326" s="280" t="n"/>
      <c r="O326" s="292" t="n">
        <v>70000</v>
      </c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25-Jul-24</t>
        </is>
      </c>
      <c r="C327" s="278" t="n">
        <v>15</v>
      </c>
      <c r="D327" s="280" t="inlineStr">
        <is>
          <t>Snacks</t>
        </is>
      </c>
      <c r="E327" s="280" t="inlineStr">
        <is>
          <t>-</t>
        </is>
      </c>
      <c r="F327" s="287" t="n">
        <v>195000</v>
      </c>
      <c r="G327" s="282" t="inlineStr">
        <is>
          <t>IDR</t>
        </is>
      </c>
      <c r="H327" s="288" t="n">
        <v>1</v>
      </c>
      <c r="I327" s="290" t="n"/>
      <c r="J327" s="290" t="n"/>
      <c r="K327" s="291" t="n"/>
      <c r="L327" s="280" t="n"/>
      <c r="M327" s="280" t="n"/>
      <c r="N327" s="280" t="n"/>
      <c r="O327" s="292" t="n">
        <v>195000</v>
      </c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inlineStr">
        <is>
          <t>25-Jul-24</t>
        </is>
      </c>
      <c r="C328" s="278" t="n">
        <v>16</v>
      </c>
      <c r="D328" s="280" t="inlineStr">
        <is>
          <t>Battery for DTR (Spare)</t>
        </is>
      </c>
      <c r="E328" s="280" t="inlineStr">
        <is>
          <t>-</t>
        </is>
      </c>
      <c r="F328" s="287" t="n">
        <v>38900</v>
      </c>
      <c r="G328" s="282" t="inlineStr">
        <is>
          <t>IDR</t>
        </is>
      </c>
      <c r="H328" s="288" t="n">
        <v>1</v>
      </c>
      <c r="I328" s="290" t="n"/>
      <c r="J328" s="290" t="n"/>
      <c r="K328" s="291" t="n"/>
      <c r="L328" s="280" t="n"/>
      <c r="M328" s="280" t="n"/>
      <c r="N328" s="280" t="n"/>
      <c r="O328" s="292" t="n">
        <v>38900</v>
      </c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  <c r="Y328" s="285" t="n"/>
    </row>
    <row r="329" ht="15.5" customHeight="1">
      <c r="B329" s="316" t="inlineStr">
        <is>
          <t>Expense#24</t>
        </is>
      </c>
      <c r="C329" s="317" t="inlineStr">
        <is>
          <t>:</t>
        </is>
      </c>
      <c r="D329" s="318" t="inlineStr">
        <is>
          <t>ALFA JOB - JRK 163 (training 2nd_ IBR)</t>
        </is>
      </c>
      <c r="E329" s="319" t="n"/>
      <c r="F329" s="320" t="n"/>
      <c r="G329" s="303" t="n"/>
      <c r="H329" s="303" t="n"/>
      <c r="I329" s="309" t="n"/>
      <c r="J329" s="308" t="n"/>
      <c r="K329" s="309" t="n"/>
      <c r="L329" s="309" t="n"/>
      <c r="M329" s="307" t="n"/>
      <c r="N329" s="309" t="n"/>
      <c r="O329" s="309" t="n"/>
      <c r="P329" s="309" t="n"/>
      <c r="Q329" s="309" t="n"/>
      <c r="R329" s="310" t="n"/>
      <c r="S329" s="310" t="n"/>
      <c r="T329" s="310" t="n"/>
      <c r="U329" s="310" t="n"/>
      <c r="V329" s="310" t="n"/>
      <c r="W329" s="310" t="n"/>
      <c r="X329" s="310" t="n"/>
      <c r="Y329" s="310" t="n"/>
    </row>
    <row r="330" ht="15.5" customHeight="1">
      <c r="B330" s="311" t="n"/>
      <c r="C330" s="278" t="n"/>
      <c r="D330" s="312" t="inlineStr">
        <is>
          <t>Biaya Operasi</t>
        </is>
      </c>
      <c r="E330" s="322" t="n"/>
      <c r="F330" s="314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  <c r="R330" s="315" t="n"/>
      <c r="S330" s="315" t="n"/>
      <c r="T330" s="315" t="n"/>
      <c r="U330" s="315" t="n"/>
      <c r="V330" s="315" t="n"/>
      <c r="W330" s="315" t="n"/>
      <c r="X330" s="315" t="n"/>
      <c r="Y330" s="315" t="n"/>
    </row>
    <row r="331" ht="15.5" customHeight="1">
      <c r="B331" s="286" t="inlineStr">
        <is>
          <t>20-Jun-24</t>
        </is>
      </c>
      <c r="C331" s="278" t="n">
        <v>1</v>
      </c>
      <c r="D331" s="280" t="inlineStr">
        <is>
          <t>Uang makan (16 - 19 June 2024) pending job /Job Postponed</t>
        </is>
      </c>
      <c r="E331" s="280" t="inlineStr">
        <is>
          <t>-</t>
        </is>
      </c>
      <c r="F331" s="287" t="n">
        <v>600000</v>
      </c>
      <c r="G331" s="282" t="inlineStr">
        <is>
          <t>IDR</t>
        </is>
      </c>
      <c r="H331" s="288" t="n">
        <v>1</v>
      </c>
      <c r="I331" s="290" t="n"/>
      <c r="J331" s="289" t="n">
        <v>600000</v>
      </c>
      <c r="K331" s="291" t="n"/>
      <c r="L331" s="280" t="n"/>
      <c r="M331" s="280" t="n"/>
      <c r="N331" s="280" t="n"/>
      <c r="O331" s="280" t="n"/>
      <c r="P331" s="280" t="n"/>
      <c r="Q331" s="280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2</v>
      </c>
      <c r="D332" s="280" t="inlineStr">
        <is>
          <t>Laundry (16 - 19 June 2024) pending job /Job Postponed</t>
        </is>
      </c>
      <c r="E332" s="280" t="inlineStr">
        <is>
          <t>-</t>
        </is>
      </c>
      <c r="F332" s="287" t="n">
        <v>200000</v>
      </c>
      <c r="G332" s="282" t="inlineStr">
        <is>
          <t>IDR</t>
        </is>
      </c>
      <c r="H332" s="288" t="n">
        <v>1</v>
      </c>
      <c r="I332" s="290" t="n"/>
      <c r="J332" s="289" t="n">
        <v>200000</v>
      </c>
      <c r="K332" s="291" t="n"/>
      <c r="L332" s="280" t="n"/>
      <c r="M332" s="280" t="n"/>
      <c r="N332" s="280" t="n"/>
      <c r="O332" s="280" t="n"/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inlineStr">
        <is>
          <t>20-Jun-24</t>
        </is>
      </c>
      <c r="C333" s="278" t="n">
        <v>3</v>
      </c>
      <c r="D333" s="280" t="inlineStr">
        <is>
          <t>Tunjangan LapanganJRK-163 (16 - 19 Juni 2024) pending job</t>
        </is>
      </c>
      <c r="E333" s="280" t="inlineStr">
        <is>
          <t>-</t>
        </is>
      </c>
      <c r="F333" s="287" t="n">
        <v>1630000</v>
      </c>
      <c r="G333" s="282" t="inlineStr">
        <is>
          <t>$</t>
        </is>
      </c>
      <c r="H333" s="288" t="n">
        <v>16300</v>
      </c>
      <c r="I333" s="290" t="n"/>
      <c r="J333" s="289" t="n">
        <v>1630000</v>
      </c>
      <c r="K333" s="291" t="n"/>
      <c r="L333" s="280" t="n"/>
      <c r="M333" s="280" t="n"/>
      <c r="N333" s="280" t="n"/>
      <c r="O333" s="280" t="n"/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  <c r="Y333" s="285" t="n"/>
    </row>
    <row r="334" ht="15.5" customHeight="1">
      <c r="B334" s="286" t="inlineStr">
        <is>
          <t>28-Jul-24</t>
        </is>
      </c>
      <c r="C334" s="278" t="n">
        <v>4</v>
      </c>
      <c r="D334" s="280" t="inlineStr">
        <is>
          <t>Uang makan (21 - 27 Juli 2024)</t>
        </is>
      </c>
      <c r="E334" s="280" t="inlineStr">
        <is>
          <t>-</t>
        </is>
      </c>
      <c r="F334" s="287" t="n">
        <v>1050000</v>
      </c>
      <c r="G334" s="282" t="inlineStr">
        <is>
          <t>IDR</t>
        </is>
      </c>
      <c r="H334" s="288" t="n">
        <v>1</v>
      </c>
      <c r="I334" s="290" t="n"/>
      <c r="J334" s="289" t="n">
        <v>1050000</v>
      </c>
      <c r="K334" s="291" t="n"/>
      <c r="L334" s="280" t="n"/>
      <c r="M334" s="280" t="n"/>
      <c r="N334" s="280" t="n"/>
      <c r="O334" s="280" t="n"/>
      <c r="P334" s="280" t="n"/>
      <c r="Q334" s="280" t="n"/>
      <c r="R334" s="285" t="n"/>
      <c r="S334" s="285" t="n"/>
      <c r="T334" s="285" t="n"/>
      <c r="U334" s="285" t="n"/>
      <c r="V334" s="285" t="n"/>
      <c r="W334" s="285" t="n"/>
      <c r="X334" s="285" t="n"/>
      <c r="Y334" s="285" t="n"/>
    </row>
    <row r="335" ht="15.5" customHeight="1">
      <c r="B335" s="286" t="inlineStr">
        <is>
          <t>28-Jul-24</t>
        </is>
      </c>
      <c r="C335" s="278" t="n">
        <v>5</v>
      </c>
      <c r="D335" s="280" t="inlineStr">
        <is>
          <t>Laundry (21 - 27 Juli 2024)</t>
        </is>
      </c>
      <c r="E335" s="280" t="inlineStr">
        <is>
          <t>-</t>
        </is>
      </c>
      <c r="F335" s="287" t="n">
        <v>350000</v>
      </c>
      <c r="G335" s="282" t="inlineStr">
        <is>
          <t>IDR</t>
        </is>
      </c>
      <c r="H335" s="288" t="n">
        <v>1</v>
      </c>
      <c r="I335" s="290" t="n"/>
      <c r="J335" s="289" t="n">
        <v>350000</v>
      </c>
      <c r="K335" s="291" t="n"/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  <c r="Y335" s="285" t="n"/>
    </row>
    <row r="336" ht="15.5" customHeight="1">
      <c r="B336" s="286" t="inlineStr">
        <is>
          <t>28-Jul-24</t>
        </is>
      </c>
      <c r="C336" s="278" t="n">
        <v>6</v>
      </c>
      <c r="D336" s="280" t="inlineStr">
        <is>
          <t>Tunjangan Lapangan JRK-163 (21 - 27 Juli 2024)</t>
        </is>
      </c>
      <c r="E336" s="280" t="inlineStr">
        <is>
          <t>-</t>
        </is>
      </c>
      <c r="F336" s="287" t="n">
        <v>2852500</v>
      </c>
      <c r="G336" s="282" t="inlineStr">
        <is>
          <t>$</t>
        </is>
      </c>
      <c r="H336" s="288" t="n">
        <v>16300</v>
      </c>
      <c r="I336" s="290" t="n"/>
      <c r="J336" s="289" t="n">
        <v>2852500</v>
      </c>
      <c r="K336" s="291" t="n"/>
      <c r="L336" s="280" t="n"/>
      <c r="M336" s="280" t="n"/>
      <c r="N336" s="280" t="n"/>
      <c r="O336" s="280" t="n"/>
      <c r="P336" s="280" t="n"/>
      <c r="Q336" s="280" t="n"/>
      <c r="R336" s="285" t="n"/>
      <c r="S336" s="285" t="n"/>
      <c r="T336" s="285" t="n"/>
      <c r="U336" s="285" t="n"/>
      <c r="V336" s="285" t="n"/>
      <c r="W336" s="285" t="n"/>
      <c r="X336" s="285" t="n"/>
      <c r="Y336" s="285" t="n"/>
    </row>
    <row r="337" ht="15.5" customHeight="1">
      <c r="B337" s="302" t="inlineStr">
        <is>
          <t>Expense#25</t>
        </is>
      </c>
      <c r="C337" s="303" t="inlineStr">
        <is>
          <t>:</t>
        </is>
      </c>
      <c r="D337" s="304" t="inlineStr">
        <is>
          <t>TIS-Blora Field-PLT ALFA BHS by BARIKIN - IC</t>
        </is>
      </c>
      <c r="E337" s="305" t="n"/>
      <c r="F337" s="306" t="n"/>
      <c r="G337" s="303" t="n"/>
      <c r="H337" s="303" t="n"/>
      <c r="I337" s="307" t="n"/>
      <c r="J337" s="308" t="n"/>
      <c r="K337" s="309" t="n"/>
      <c r="L337" s="309" t="n"/>
      <c r="M337" s="309" t="n"/>
      <c r="N337" s="309" t="n"/>
      <c r="O337" s="309" t="n"/>
      <c r="P337" s="309" t="n"/>
      <c r="Q337" s="309" t="n"/>
      <c r="R337" s="310" t="n"/>
      <c r="S337" s="310" t="n"/>
      <c r="T337" s="310" t="n"/>
      <c r="U337" s="310" t="n"/>
      <c r="V337" s="310" t="n"/>
      <c r="W337" s="310" t="n"/>
      <c r="X337" s="310" t="n"/>
      <c r="Y337" s="310" t="n"/>
    </row>
    <row r="338" ht="15.5" customHeight="1">
      <c r="B338" s="311" t="n"/>
      <c r="C338" s="278" t="n"/>
      <c r="D338" s="312" t="inlineStr">
        <is>
          <t>Biaya Operasi</t>
        </is>
      </c>
      <c r="E338" s="313" t="n"/>
      <c r="F338" s="314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  <c r="R338" s="315" t="n"/>
      <c r="S338" s="315" t="n"/>
      <c r="T338" s="315" t="n"/>
      <c r="U338" s="315" t="n"/>
      <c r="V338" s="315" t="n"/>
      <c r="W338" s="315" t="n"/>
      <c r="X338" s="315" t="n"/>
      <c r="Y338" s="315" t="n"/>
    </row>
    <row r="339" ht="15.5" customHeight="1">
      <c r="B339" s="286" t="inlineStr">
        <is>
          <t>07-Aug-24</t>
        </is>
      </c>
      <c r="C339" s="278" t="n">
        <v>1</v>
      </c>
      <c r="D339" s="280" t="inlineStr">
        <is>
          <t>Laundry 10 days 1 Persons @ 50K IDR/day</t>
        </is>
      </c>
      <c r="E339" s="280" t="inlineStr">
        <is>
          <t>-</t>
        </is>
      </c>
      <c r="F339" s="287" t="n">
        <v>500000</v>
      </c>
      <c r="G339" s="282" t="inlineStr">
        <is>
          <t>IDR</t>
        </is>
      </c>
      <c r="H339" s="288" t="n">
        <v>1</v>
      </c>
      <c r="I339" s="290" t="n"/>
      <c r="J339" s="289" t="n">
        <v>500000</v>
      </c>
      <c r="K339" s="291" t="n"/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2</v>
      </c>
      <c r="D340" s="280" t="inlineStr">
        <is>
          <t>Meals 10 days 1 Persons @ 150K IDR/day</t>
        </is>
      </c>
      <c r="E340" s="280" t="inlineStr">
        <is>
          <t>-</t>
        </is>
      </c>
      <c r="F340" s="287" t="n">
        <v>1500000</v>
      </c>
      <c r="G340" s="282" t="inlineStr">
        <is>
          <t>IDR</t>
        </is>
      </c>
      <c r="H340" s="288" t="n">
        <v>1</v>
      </c>
      <c r="I340" s="290" t="n"/>
      <c r="J340" s="289" t="n">
        <v>1500000</v>
      </c>
      <c r="K340" s="291" t="n"/>
      <c r="L340" s="280" t="n"/>
      <c r="M340" s="280" t="n"/>
      <c r="N340" s="280" t="n"/>
      <c r="O340" s="280" t="n"/>
      <c r="P340" s="280" t="n"/>
      <c r="Q340" s="280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inlineStr">
        <is>
          <t>08-Aug-24</t>
        </is>
      </c>
      <c r="C341" s="278" t="n">
        <v>3</v>
      </c>
      <c r="D341" s="280" t="inlineStr">
        <is>
          <t>Tunjangan Lapangan for 10 days</t>
        </is>
      </c>
      <c r="E341" s="280" t="inlineStr">
        <is>
          <t>-</t>
        </is>
      </c>
      <c r="F341" s="287" t="n">
        <v>16100000</v>
      </c>
      <c r="G341" s="282" t="inlineStr">
        <is>
          <t>USD</t>
        </is>
      </c>
      <c r="H341" s="288" t="n">
        <v>16100</v>
      </c>
      <c r="I341" s="290" t="n"/>
      <c r="J341" s="289" t="n">
        <v>16100000</v>
      </c>
      <c r="K341" s="291" t="n"/>
      <c r="L341" s="280" t="n"/>
      <c r="M341" s="280" t="n"/>
      <c r="N341" s="280" t="n"/>
      <c r="O341" s="280" t="n"/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  <c r="Y341" s="285" t="n"/>
    </row>
    <row r="342" ht="15.5" customHeight="1">
      <c r="B342" s="311" t="n"/>
      <c r="C342" s="278" t="n"/>
      <c r="D342" s="312" t="inlineStr">
        <is>
          <t>Pembelian Barang</t>
        </is>
      </c>
      <c r="E342" s="280" t="n"/>
      <c r="F342" s="314" t="n"/>
      <c r="G342" s="278" t="n"/>
      <c r="H342" s="278" t="n"/>
      <c r="I342" s="284" t="n"/>
      <c r="J342" s="279" t="n"/>
      <c r="K342" s="279" t="n"/>
      <c r="L342" s="279" t="n"/>
      <c r="M342" s="279" t="n"/>
      <c r="N342" s="284" t="n"/>
      <c r="O342" s="279" t="n"/>
      <c r="P342" s="279" t="n"/>
      <c r="Q342" s="279" t="n"/>
      <c r="R342" s="315" t="n"/>
      <c r="S342" s="315" t="n"/>
      <c r="T342" s="315" t="n"/>
      <c r="U342" s="315" t="n"/>
      <c r="V342" s="315" t="n"/>
      <c r="W342" s="315" t="n"/>
      <c r="X342" s="315" t="n"/>
      <c r="Y342" s="315" t="n"/>
    </row>
    <row r="343" ht="15.5" customHeight="1">
      <c r="B343" s="286" t="inlineStr">
        <is>
          <t>12-Aug-24</t>
        </is>
      </c>
      <c r="C343" s="278" t="n">
        <v>4</v>
      </c>
      <c r="D343" s="280" t="inlineStr">
        <is>
          <t>Pelican Long Case 1770</t>
        </is>
      </c>
      <c r="E343" s="280" t="inlineStr">
        <is>
          <t>-</t>
        </is>
      </c>
      <c r="F343" s="287" t="n">
        <v>15166600</v>
      </c>
      <c r="G343" s="282" t="inlineStr">
        <is>
          <t>IDR</t>
        </is>
      </c>
      <c r="H343" s="288" t="n">
        <v>1</v>
      </c>
      <c r="I343" s="290" t="n"/>
      <c r="J343" s="290" t="n"/>
      <c r="K343" s="291" t="n"/>
      <c r="L343" s="280" t="n"/>
      <c r="M343" s="280" t="n"/>
      <c r="N343" s="280" t="n"/>
      <c r="O343" s="292" t="n">
        <v>15166600</v>
      </c>
      <c r="P343" s="280" t="n"/>
      <c r="Q343" s="280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333" t="inlineStr">
        <is>
          <t>Expense#26</t>
        </is>
      </c>
      <c r="C344" s="303" t="inlineStr">
        <is>
          <t>:</t>
        </is>
      </c>
      <c r="D344" s="304" t="inlineStr">
        <is>
          <t>ALFA-MPLT-BHS_ RBG 3B PT. TIS under Barikin sakti _DS</t>
        </is>
      </c>
      <c r="E344" s="309" t="n"/>
      <c r="F344" s="326" t="n"/>
      <c r="G344" s="303" t="n"/>
      <c r="H344" s="303" t="n"/>
      <c r="I344" s="309" t="n"/>
      <c r="J344" s="309" t="n"/>
      <c r="K344" s="309" t="n"/>
      <c r="L344" s="309" t="n"/>
      <c r="M344" s="307" t="n"/>
      <c r="N344" s="309" t="n"/>
      <c r="O344" s="309" t="n"/>
      <c r="P344" s="309" t="n"/>
      <c r="Q344" s="309" t="n"/>
      <c r="R344" s="310" t="n"/>
      <c r="S344" s="310" t="n"/>
      <c r="T344" s="310" t="n"/>
      <c r="U344" s="310" t="n"/>
      <c r="V344" s="310" t="n"/>
      <c r="W344" s="310" t="n"/>
      <c r="X344" s="310" t="n"/>
      <c r="Y344" s="310" t="n"/>
    </row>
    <row r="345" ht="15.5" customHeight="1">
      <c r="B345" s="277" t="n"/>
      <c r="C345" s="278" t="n"/>
      <c r="D345" s="312" t="inlineStr">
        <is>
          <t>Biaya Operasi</t>
        </is>
      </c>
      <c r="E345" s="280" t="n"/>
      <c r="F345" s="281" t="n"/>
      <c r="G345" s="278" t="n"/>
      <c r="H345" s="278" t="n"/>
      <c r="I345" s="279" t="n"/>
      <c r="J345" s="279" t="n"/>
      <c r="K345" s="279" t="n"/>
      <c r="L345" s="279" t="n"/>
      <c r="M345" s="284" t="n"/>
      <c r="N345" s="279" t="n"/>
      <c r="O345" s="279" t="n"/>
      <c r="P345" s="284" t="n"/>
      <c r="Q345" s="279" t="n"/>
      <c r="R345" s="315" t="n"/>
      <c r="S345" s="315" t="n"/>
      <c r="T345" s="315" t="n"/>
      <c r="U345" s="315" t="n"/>
      <c r="V345" s="315" t="n"/>
      <c r="W345" s="315" t="n"/>
      <c r="X345" s="315" t="n"/>
      <c r="Y345" s="315" t="n"/>
    </row>
    <row r="346" ht="15.5" customHeight="1">
      <c r="B346" s="286" t="inlineStr">
        <is>
          <t>03-Aug-24</t>
        </is>
      </c>
      <c r="C346" s="278" t="n">
        <v>1</v>
      </c>
      <c r="D346" s="280" t="inlineStr">
        <is>
          <t>Jakarta - Semarang</t>
        </is>
      </c>
      <c r="E346" s="280" t="inlineStr">
        <is>
          <t>-</t>
        </is>
      </c>
      <c r="F346" s="287" t="n">
        <v>673500</v>
      </c>
      <c r="G346" s="282" t="inlineStr">
        <is>
          <t>IDR</t>
        </is>
      </c>
      <c r="H346" s="288" t="n">
        <v>1</v>
      </c>
      <c r="I346" s="290" t="n"/>
      <c r="J346" s="289" t="n">
        <v>673500</v>
      </c>
      <c r="K346" s="291" t="n"/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2</v>
      </c>
      <c r="D347" s="280" t="inlineStr">
        <is>
          <t>Taxi+Tol Serpong - Gambir</t>
        </is>
      </c>
      <c r="E347" s="280" t="inlineStr">
        <is>
          <t>-</t>
        </is>
      </c>
      <c r="F347" s="287" t="n">
        <v>154000</v>
      </c>
      <c r="G347" s="282" t="inlineStr">
        <is>
          <t>IDR</t>
        </is>
      </c>
      <c r="H347" s="288" t="n">
        <v>1</v>
      </c>
      <c r="I347" s="290" t="n"/>
      <c r="J347" s="289" t="n">
        <v>154000</v>
      </c>
      <c r="K347" s="291" t="n"/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inlineStr">
        <is>
          <t>03-Aug-24</t>
        </is>
      </c>
      <c r="C348" s="278" t="n">
        <v>3</v>
      </c>
      <c r="D348" s="280" t="inlineStr">
        <is>
          <t>Gocar St. Tawang - PT. TIS</t>
        </is>
      </c>
      <c r="E348" s="280" t="inlineStr">
        <is>
          <t>-</t>
        </is>
      </c>
      <c r="F348" s="287" t="n">
        <v>129000</v>
      </c>
      <c r="G348" s="282" t="inlineStr">
        <is>
          <t>IDR</t>
        </is>
      </c>
      <c r="H348" s="288" t="n">
        <v>1</v>
      </c>
      <c r="I348" s="290" t="n"/>
      <c r="J348" s="289" t="n">
        <v>129000</v>
      </c>
      <c r="K348" s="291" t="n"/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  <c r="Y348" s="285" t="n"/>
    </row>
    <row r="349" ht="15.5" customHeight="1">
      <c r="B349" s="286" t="inlineStr">
        <is>
          <t>03-Aug-24</t>
        </is>
      </c>
      <c r="C349" s="278" t="n">
        <v>4</v>
      </c>
      <c r="D349" s="280" t="inlineStr">
        <is>
          <t>Hotel 3 Aug - 6 Aug 2024 (2 rooms)</t>
        </is>
      </c>
      <c r="E349" s="280" t="inlineStr">
        <is>
          <t>-</t>
        </is>
      </c>
      <c r="F349" s="287" t="n">
        <v>1591200</v>
      </c>
      <c r="G349" s="282" t="inlineStr">
        <is>
          <t>IDR</t>
        </is>
      </c>
      <c r="H349" s="288" t="n">
        <v>1</v>
      </c>
      <c r="I349" s="290" t="n"/>
      <c r="J349" s="289" t="n">
        <v>1591200</v>
      </c>
      <c r="K349" s="291" t="n"/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  <c r="Y349" s="285" t="n"/>
    </row>
    <row r="350" ht="15.5" customHeight="1">
      <c r="B350" s="286" t="inlineStr">
        <is>
          <t>05-Aug-24</t>
        </is>
      </c>
      <c r="C350" s="278" t="n">
        <v>5</v>
      </c>
      <c r="D350" s="280" t="inlineStr">
        <is>
          <t>Hotel 6 Aug - 7 Aug 2024 (2 rooms)</t>
        </is>
      </c>
      <c r="E350" s="280" t="inlineStr">
        <is>
          <t>-</t>
        </is>
      </c>
      <c r="F350" s="287" t="n">
        <v>795600</v>
      </c>
      <c r="G350" s="282" t="inlineStr">
        <is>
          <t>IDR</t>
        </is>
      </c>
      <c r="H350" s="288" t="n">
        <v>1</v>
      </c>
      <c r="I350" s="290" t="n"/>
      <c r="J350" s="289" t="n">
        <v>795600</v>
      </c>
      <c r="K350" s="291" t="n"/>
      <c r="L350" s="280" t="n"/>
      <c r="M350" s="280" t="n"/>
      <c r="N350" s="280" t="n"/>
      <c r="O350" s="280" t="n"/>
      <c r="P350" s="280" t="n"/>
      <c r="Q350" s="280" t="n"/>
      <c r="R350" s="285" t="n"/>
      <c r="S350" s="285" t="n"/>
      <c r="T350" s="285" t="n"/>
      <c r="U350" s="285" t="n"/>
      <c r="V350" s="285" t="n"/>
      <c r="W350" s="285" t="n"/>
      <c r="X350" s="285" t="n"/>
      <c r="Y350" s="285" t="n"/>
    </row>
    <row r="351" ht="15.5" customHeight="1">
      <c r="B351" s="286" t="inlineStr">
        <is>
          <t>07-Aug-24</t>
        </is>
      </c>
      <c r="C351" s="278" t="n">
        <v>6</v>
      </c>
      <c r="D351" s="280" t="inlineStr">
        <is>
          <t>Gocar Hotel to Tawang</t>
        </is>
      </c>
      <c r="E351" s="280" t="inlineStr">
        <is>
          <t>-</t>
        </is>
      </c>
      <c r="F351" s="287" t="n">
        <v>45000</v>
      </c>
      <c r="G351" s="282" t="inlineStr">
        <is>
          <t>IDR</t>
        </is>
      </c>
      <c r="H351" s="288" t="n">
        <v>1</v>
      </c>
      <c r="I351" s="290" t="n"/>
      <c r="J351" s="289" t="n">
        <v>45000</v>
      </c>
      <c r="K351" s="291" t="n"/>
      <c r="L351" s="280" t="n"/>
      <c r="M351" s="280" t="n"/>
      <c r="N351" s="280" t="n"/>
      <c r="O351" s="280" t="n"/>
      <c r="P351" s="280" t="n"/>
      <c r="Q351" s="280" t="n"/>
      <c r="R351" s="285" t="n"/>
      <c r="S351" s="285" t="n"/>
      <c r="T351" s="285" t="n"/>
      <c r="U351" s="285" t="n"/>
      <c r="V351" s="285" t="n"/>
      <c r="W351" s="285" t="n"/>
      <c r="X351" s="285" t="n"/>
      <c r="Y351" s="285" t="n"/>
    </row>
    <row r="352" ht="15.5" customHeight="1">
      <c r="B352" s="286" t="inlineStr">
        <is>
          <t>07-Aug-24</t>
        </is>
      </c>
      <c r="C352" s="278" t="n">
        <v>7</v>
      </c>
      <c r="D352" s="280" t="inlineStr">
        <is>
          <t>Uang Makan (3 - 7 Aug 2024)</t>
        </is>
      </c>
      <c r="E352" s="280" t="inlineStr">
        <is>
          <t>-</t>
        </is>
      </c>
      <c r="F352" s="287" t="n">
        <v>750000</v>
      </c>
      <c r="G352" s="282" t="inlineStr">
        <is>
          <t>IDR</t>
        </is>
      </c>
      <c r="H352" s="288" t="n">
        <v>1</v>
      </c>
      <c r="I352" s="290" t="n"/>
      <c r="J352" s="289" t="n">
        <v>750000</v>
      </c>
      <c r="K352" s="291" t="n"/>
      <c r="L352" s="280" t="n"/>
      <c r="M352" s="280" t="n"/>
      <c r="N352" s="280" t="n"/>
      <c r="O352" s="280" t="n"/>
      <c r="P352" s="280" t="n"/>
      <c r="Q352" s="280" t="n"/>
      <c r="R352" s="285" t="n"/>
      <c r="S352" s="285" t="n"/>
      <c r="T352" s="285" t="n"/>
      <c r="U352" s="285" t="n"/>
      <c r="V352" s="285" t="n"/>
      <c r="W352" s="285" t="n"/>
      <c r="X352" s="285" t="n"/>
      <c r="Y352" s="285" t="n"/>
    </row>
    <row r="353" ht="15.5" customHeight="1">
      <c r="B353" s="286" t="inlineStr">
        <is>
          <t>07-Aug-24</t>
        </is>
      </c>
      <c r="C353" s="278" t="n">
        <v>8</v>
      </c>
      <c r="D353" s="280" t="inlineStr">
        <is>
          <t>Laundry (3 - 7 Aug 2024)</t>
        </is>
      </c>
      <c r="E353" s="280" t="inlineStr">
        <is>
          <t>-</t>
        </is>
      </c>
      <c r="F353" s="287" t="n">
        <v>250000</v>
      </c>
      <c r="G353" s="282" t="inlineStr">
        <is>
          <t>IDR</t>
        </is>
      </c>
      <c r="H353" s="288" t="n">
        <v>1</v>
      </c>
      <c r="I353" s="290" t="n"/>
      <c r="J353" s="289" t="n">
        <v>250000</v>
      </c>
      <c r="K353" s="291" t="n"/>
      <c r="L353" s="280" t="n"/>
      <c r="M353" s="280" t="n"/>
      <c r="N353" s="280" t="n"/>
      <c r="O353" s="280" t="n"/>
      <c r="P353" s="280" t="n"/>
      <c r="Q353" s="280" t="n"/>
      <c r="R353" s="285" t="n"/>
      <c r="S353" s="285" t="n"/>
      <c r="T353" s="285" t="n"/>
      <c r="U353" s="285" t="n"/>
      <c r="V353" s="285" t="n"/>
      <c r="W353" s="285" t="n"/>
      <c r="X353" s="285" t="n"/>
      <c r="Y353" s="285" t="n"/>
    </row>
    <row r="354" ht="15.5" customHeight="1">
      <c r="B354" s="286" t="inlineStr">
        <is>
          <t>07-Aug-24</t>
        </is>
      </c>
      <c r="C354" s="278" t="n">
        <v>9</v>
      </c>
      <c r="D354" s="280" t="inlineStr">
        <is>
          <t>Tunjangan LapanganRBG-3B PT. TIS (3-7 Aug 2024)</t>
        </is>
      </c>
      <c r="E354" s="280" t="inlineStr">
        <is>
          <t>-</t>
        </is>
      </c>
      <c r="F354" s="287" t="n">
        <v>500</v>
      </c>
      <c r="G354" s="282" t="inlineStr">
        <is>
          <t>IDR</t>
        </is>
      </c>
      <c r="H354" s="288" t="n">
        <v>15900</v>
      </c>
      <c r="I354" s="290" t="n"/>
      <c r="J354" s="289" t="n">
        <v>500</v>
      </c>
      <c r="K354" s="291" t="n"/>
      <c r="L354" s="280" t="n"/>
      <c r="M354" s="280" t="n"/>
      <c r="N354" s="280" t="n"/>
      <c r="O354" s="280" t="n"/>
      <c r="P354" s="280" t="n"/>
      <c r="Q354" s="280" t="n"/>
      <c r="R354" s="285" t="n"/>
      <c r="S354" s="285" t="n"/>
      <c r="T354" s="285" t="n"/>
      <c r="U354" s="285" t="n"/>
      <c r="V354" s="285" t="n"/>
      <c r="W354" s="285" t="n"/>
      <c r="X354" s="285" t="n"/>
      <c r="Y354" s="285" t="n"/>
    </row>
    <row r="355" ht="15.5" customHeight="1">
      <c r="B355" s="302" t="inlineStr">
        <is>
          <t>Expense#27</t>
        </is>
      </c>
      <c r="C355" s="303" t="inlineStr">
        <is>
          <t>:</t>
        </is>
      </c>
      <c r="D355" s="304" t="inlineStr">
        <is>
          <t>Non tripo 1st -- MCU + Pembelian barang kelengkapan pump AC</t>
        </is>
      </c>
      <c r="E355" s="305" t="n"/>
      <c r="F355" s="326" t="n"/>
      <c r="G355" s="303" t="n"/>
      <c r="H355" s="303" t="n"/>
      <c r="I355" s="307" t="n"/>
      <c r="J355" s="309" t="n"/>
      <c r="K355" s="309" t="n"/>
      <c r="L355" s="309" t="n"/>
      <c r="M355" s="309" t="n"/>
      <c r="N355" s="309" t="n"/>
      <c r="O355" s="309" t="n"/>
      <c r="P355" s="309" t="n"/>
      <c r="Q355" s="309" t="n"/>
      <c r="R355" s="310" t="n"/>
      <c r="S355" s="310" t="n"/>
      <c r="T355" s="310" t="n"/>
      <c r="U355" s="310" t="n"/>
      <c r="V355" s="310" t="n"/>
      <c r="W355" s="310" t="n"/>
      <c r="X355" s="310" t="n"/>
      <c r="Y355" s="310" t="n"/>
    </row>
    <row r="356" ht="15.5" customHeight="1">
      <c r="B356" s="311" t="n"/>
      <c r="C356" s="278" t="n"/>
      <c r="D356" s="312" t="inlineStr">
        <is>
          <t>Biaya Operasi</t>
        </is>
      </c>
      <c r="E356" s="313" t="n"/>
      <c r="F356" s="281" t="n"/>
      <c r="G356" s="278" t="n"/>
      <c r="H356" s="278" t="n"/>
      <c r="I356" s="283" t="n"/>
      <c r="J356" s="279" t="n"/>
      <c r="K356" s="279" t="n"/>
      <c r="L356" s="279" t="n"/>
      <c r="M356" s="279" t="n"/>
      <c r="N356" s="279" t="n"/>
      <c r="O356" s="279" t="n"/>
      <c r="P356" s="279" t="n"/>
      <c r="Q356" s="279" t="n"/>
      <c r="R356" s="315" t="n"/>
      <c r="S356" s="315" t="n"/>
      <c r="T356" s="315" t="n"/>
      <c r="U356" s="315" t="n"/>
      <c r="V356" s="315" t="n"/>
      <c r="W356" s="315" t="n"/>
      <c r="X356" s="315" t="n"/>
      <c r="Y356" s="315" t="n"/>
    </row>
    <row r="357" ht="15.5" customHeight="1">
      <c r="B357" s="286" t="inlineStr">
        <is>
          <t>03-Jul-24</t>
        </is>
      </c>
      <c r="C357" s="278" t="n">
        <v>1</v>
      </c>
      <c r="D357" s="280" t="inlineStr">
        <is>
          <t>Coffe drink visit to MEPI Jakarta ( Bondan)</t>
        </is>
      </c>
      <c r="E357" s="280" t="inlineStr">
        <is>
          <t>-</t>
        </is>
      </c>
      <c r="F357" s="287" t="n">
        <v>144100</v>
      </c>
      <c r="G357" s="282" t="inlineStr">
        <is>
          <t>IDR</t>
        </is>
      </c>
      <c r="H357" s="288" t="n">
        <v>1</v>
      </c>
      <c r="I357" s="290" t="n"/>
      <c r="J357" s="289" t="n">
        <v>144100</v>
      </c>
      <c r="K357" s="291" t="n"/>
      <c r="L357" s="280" t="n"/>
      <c r="M357" s="280" t="n"/>
      <c r="N357" s="280" t="n"/>
      <c r="O357" s="280" t="n"/>
      <c r="P357" s="280" t="n"/>
      <c r="Q357" s="280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04-Jul-24</t>
        </is>
      </c>
      <c r="C358" s="278" t="n">
        <v>2</v>
      </c>
      <c r="D358" s="280" t="inlineStr">
        <is>
          <t>Meal lunch when inspect Sample tool</t>
        </is>
      </c>
      <c r="E358" s="280" t="inlineStr">
        <is>
          <t>-</t>
        </is>
      </c>
      <c r="F358" s="287" t="n">
        <v>157000</v>
      </c>
      <c r="G358" s="282" t="inlineStr">
        <is>
          <t>IDR</t>
        </is>
      </c>
      <c r="H358" s="288" t="n">
        <v>1</v>
      </c>
      <c r="I358" s="290" t="n"/>
      <c r="J358" s="289" t="n">
        <v>157000</v>
      </c>
      <c r="K358" s="291" t="n"/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inlineStr">
        <is>
          <t>11-Jul-24</t>
        </is>
      </c>
      <c r="C359" s="278" t="n">
        <v>3</v>
      </c>
      <c r="D359" s="280" t="inlineStr">
        <is>
          <t>Fuel ( trip ambil tool Sampler and to Andara )</t>
        </is>
      </c>
      <c r="E359" s="280" t="inlineStr">
        <is>
          <t>-</t>
        </is>
      </c>
      <c r="F359" s="287" t="n">
        <v>164100</v>
      </c>
      <c r="G359" s="282" t="inlineStr">
        <is>
          <t>IDR</t>
        </is>
      </c>
      <c r="H359" s="288" t="n">
        <v>1</v>
      </c>
      <c r="I359" s="290" t="n"/>
      <c r="J359" s="289" t="n">
        <v>164100</v>
      </c>
      <c r="K359" s="291" t="n"/>
      <c r="L359" s="280" t="n"/>
      <c r="M359" s="280" t="n"/>
      <c r="N359" s="280" t="n"/>
      <c r="O359" s="280" t="n"/>
      <c r="P359" s="280" t="n"/>
      <c r="Q359" s="280" t="n"/>
      <c r="R359" s="285" t="n"/>
      <c r="S359" s="285" t="n"/>
      <c r="T359" s="285" t="n"/>
      <c r="U359" s="285" t="n"/>
      <c r="V359" s="285" t="n"/>
      <c r="W359" s="285" t="n"/>
      <c r="X359" s="285" t="n"/>
      <c r="Y359" s="285" t="n"/>
    </row>
    <row r="360" ht="15.5" customHeight="1">
      <c r="B360" s="286" t="inlineStr">
        <is>
          <t>11-Jul-24</t>
        </is>
      </c>
      <c r="C360" s="278" t="n">
        <v>4</v>
      </c>
      <c r="D360" s="280" t="inlineStr">
        <is>
          <t>Fuel ( trip ke Lemigas and Workshop sampler)</t>
        </is>
      </c>
      <c r="E360" s="280" t="inlineStr">
        <is>
          <t>-</t>
        </is>
      </c>
      <c r="F360" s="287" t="n">
        <v>291000</v>
      </c>
      <c r="G360" s="282" t="inlineStr">
        <is>
          <t>IDR</t>
        </is>
      </c>
      <c r="H360" s="288" t="n">
        <v>1</v>
      </c>
      <c r="I360" s="290" t="n"/>
      <c r="J360" s="289" t="n">
        <v>291000</v>
      </c>
      <c r="K360" s="291" t="n"/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  <c r="Y360" s="285" t="n"/>
    </row>
    <row r="361" ht="15.5" customHeight="1">
      <c r="B361" s="286" t="inlineStr">
        <is>
          <t>11-Jul-24</t>
        </is>
      </c>
      <c r="C361" s="278" t="n">
        <v>5</v>
      </c>
      <c r="D361" s="280" t="inlineStr">
        <is>
          <t>Meal lunch when visit to Lemigas (Sample Botol)</t>
        </is>
      </c>
      <c r="E361" s="280" t="inlineStr">
        <is>
          <t>-</t>
        </is>
      </c>
      <c r="F361" s="287" t="n">
        <v>81000</v>
      </c>
      <c r="G361" s="282" t="inlineStr">
        <is>
          <t>IDR</t>
        </is>
      </c>
      <c r="H361" s="288" t="n">
        <v>1</v>
      </c>
      <c r="I361" s="290" t="n"/>
      <c r="J361" s="289" t="n">
        <v>81000</v>
      </c>
      <c r="K361" s="291" t="n"/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  <c r="Y361" s="285" t="n"/>
    </row>
    <row r="362" ht="15.5" customHeight="1">
      <c r="B362" s="286" t="inlineStr">
        <is>
          <t>17-Jul-24</t>
        </is>
      </c>
      <c r="C362" s="278" t="n">
        <v>6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177350</v>
      </c>
      <c r="G362" s="282" t="inlineStr">
        <is>
          <t>IDR</t>
        </is>
      </c>
      <c r="H362" s="288" t="n">
        <v>1</v>
      </c>
      <c r="I362" s="290" t="n"/>
      <c r="J362" s="289" t="n">
        <v>177350</v>
      </c>
      <c r="K362" s="291" t="n"/>
      <c r="L362" s="280" t="n"/>
      <c r="M362" s="280" t="n"/>
      <c r="N362" s="280" t="n"/>
      <c r="O362" s="280" t="n"/>
      <c r="P362" s="280" t="n"/>
      <c r="Q362" s="280" t="n"/>
      <c r="R362" s="285" t="n"/>
      <c r="S362" s="285" t="n"/>
      <c r="T362" s="285" t="n"/>
      <c r="U362" s="285" t="n"/>
      <c r="V362" s="285" t="n"/>
      <c r="W362" s="285" t="n"/>
      <c r="X362" s="285" t="n"/>
      <c r="Y362" s="285" t="n"/>
    </row>
    <row r="363" ht="15.5" customHeight="1">
      <c r="B363" s="286" t="inlineStr">
        <is>
          <t>25-Jul-24</t>
        </is>
      </c>
      <c r="C363" s="278" t="n">
        <v>7</v>
      </c>
      <c r="D363" s="280" t="inlineStr">
        <is>
          <t>Fuel ( trip ke Barekin Bogor, inspeksi tool)</t>
        </is>
      </c>
      <c r="E363" s="280" t="inlineStr">
        <is>
          <t>-</t>
        </is>
      </c>
      <c r="F363" s="287" t="n">
        <v>319700</v>
      </c>
      <c r="G363" s="282" t="inlineStr">
        <is>
          <t>IDR</t>
        </is>
      </c>
      <c r="H363" s="288" t="n">
        <v>1</v>
      </c>
      <c r="I363" s="290" t="n"/>
      <c r="J363" s="289" t="n">
        <v>319700</v>
      </c>
      <c r="K363" s="291" t="n"/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  <c r="Y363" s="285" t="n"/>
    </row>
    <row r="364" ht="15.5" customHeight="1">
      <c r="B364" s="286" t="inlineStr">
        <is>
          <t>28-Jul-24</t>
        </is>
      </c>
      <c r="C364" s="278" t="n">
        <v>8</v>
      </c>
      <c r="D364" s="280" t="inlineStr">
        <is>
          <t>Fuel trip ke Glodok buy Hydralic pump assesories</t>
        </is>
      </c>
      <c r="E364" s="280" t="inlineStr">
        <is>
          <t>-</t>
        </is>
      </c>
      <c r="F364" s="287" t="n">
        <v>217350</v>
      </c>
      <c r="G364" s="282" t="inlineStr">
        <is>
          <t>IDR</t>
        </is>
      </c>
      <c r="H364" s="288" t="n">
        <v>1</v>
      </c>
      <c r="I364" s="290" t="n"/>
      <c r="J364" s="289" t="n">
        <v>217350</v>
      </c>
      <c r="K364" s="291" t="n"/>
      <c r="L364" s="280" t="n"/>
      <c r="M364" s="280" t="n"/>
      <c r="N364" s="280" t="n"/>
      <c r="O364" s="280" t="n"/>
      <c r="P364" s="280" t="n"/>
      <c r="Q364" s="280" t="n"/>
      <c r="R364" s="285" t="n"/>
      <c r="S364" s="285" t="n"/>
      <c r="T364" s="285" t="n"/>
      <c r="U364" s="285" t="n"/>
      <c r="V364" s="285" t="n"/>
      <c r="W364" s="285" t="n"/>
      <c r="X364" s="285" t="n"/>
      <c r="Y364" s="285" t="n"/>
    </row>
    <row r="365" ht="15.5" customHeight="1">
      <c r="B365" s="311" t="n"/>
      <c r="C365" s="278" t="n"/>
      <c r="D365" s="312" t="inlineStr">
        <is>
          <t>Kesehatan</t>
        </is>
      </c>
      <c r="E365" s="313" t="n"/>
      <c r="F365" s="281" t="n"/>
      <c r="G365" s="278" t="n"/>
      <c r="H365" s="278" t="n"/>
      <c r="I365" s="334" t="n"/>
      <c r="J365" s="279" t="n"/>
      <c r="K365" s="279" t="n"/>
      <c r="L365" s="279" t="n"/>
      <c r="M365" s="279" t="n"/>
      <c r="N365" s="279" t="n"/>
      <c r="O365" s="279" t="n"/>
      <c r="P365" s="279" t="n"/>
      <c r="Q365" s="279" t="n"/>
      <c r="R365" s="315" t="n"/>
      <c r="S365" s="315" t="n"/>
      <c r="T365" s="315" t="n"/>
      <c r="U365" s="315" t="n"/>
      <c r="V365" s="315" t="n"/>
      <c r="W365" s="315" t="n"/>
      <c r="X365" s="315" t="n"/>
      <c r="Y365" s="315" t="n"/>
    </row>
    <row r="366" ht="15.5" customHeight="1">
      <c r="B366" s="286" t="inlineStr">
        <is>
          <t>01-Jul-24</t>
        </is>
      </c>
      <c r="C366" s="278" t="n">
        <v>9</v>
      </c>
      <c r="D366" s="280" t="inlineStr">
        <is>
          <t>Biaya MCU di RSPP</t>
        </is>
      </c>
      <c r="E366" s="280" t="inlineStr">
        <is>
          <t>-</t>
        </is>
      </c>
      <c r="F366" s="287" t="n">
        <v>5630000</v>
      </c>
      <c r="G366" s="282" t="inlineStr">
        <is>
          <t>IDR</t>
        </is>
      </c>
      <c r="H366" s="288" t="n">
        <v>1</v>
      </c>
      <c r="I366" s="290" t="n"/>
      <c r="J366" s="290" t="n"/>
      <c r="K366" s="291" t="n"/>
      <c r="L366" s="280" t="n"/>
      <c r="M366" s="280" t="n"/>
      <c r="N366" s="280" t="n"/>
      <c r="O366" s="280" t="n"/>
      <c r="P366" s="280" t="n"/>
      <c r="Q366" s="292" t="n">
        <v>5630000</v>
      </c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03-Jul-24</t>
        </is>
      </c>
      <c r="C367" s="278" t="n">
        <v>10</v>
      </c>
      <c r="D367" s="280" t="inlineStr">
        <is>
          <t>Biaya Konsul Dokter Jantung</t>
        </is>
      </c>
      <c r="E367" s="280" t="inlineStr">
        <is>
          <t>-</t>
        </is>
      </c>
      <c r="F367" s="287" t="n">
        <v>460000</v>
      </c>
      <c r="G367" s="282" t="inlineStr">
        <is>
          <t>IDR</t>
        </is>
      </c>
      <c r="H367" s="288" t="n">
        <v>1</v>
      </c>
      <c r="I367" s="290" t="n"/>
      <c r="J367" s="290" t="n"/>
      <c r="K367" s="291" t="n"/>
      <c r="L367" s="280" t="n"/>
      <c r="M367" s="280" t="n"/>
      <c r="N367" s="280" t="n"/>
      <c r="O367" s="280" t="n"/>
      <c r="P367" s="280" t="n"/>
      <c r="Q367" s="292" t="n">
        <v>460000</v>
      </c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inlineStr">
        <is>
          <t>03-Jul-24</t>
        </is>
      </c>
      <c r="C368" s="278" t="n">
        <v>11</v>
      </c>
      <c r="D368" s="280" t="inlineStr">
        <is>
          <t>Biaya Echo_ kardio non Invasif</t>
        </is>
      </c>
      <c r="E368" s="280" t="inlineStr">
        <is>
          <t>-</t>
        </is>
      </c>
      <c r="F368" s="287" t="n">
        <v>2108000</v>
      </c>
      <c r="G368" s="282" t="inlineStr">
        <is>
          <t>IDR</t>
        </is>
      </c>
      <c r="H368" s="288" t="n">
        <v>1</v>
      </c>
      <c r="I368" s="290" t="n"/>
      <c r="J368" s="290" t="n"/>
      <c r="K368" s="291" t="n"/>
      <c r="L368" s="280" t="n"/>
      <c r="M368" s="280" t="n"/>
      <c r="N368" s="280" t="n"/>
      <c r="O368" s="280" t="n"/>
      <c r="P368" s="280" t="n"/>
      <c r="Q368" s="292" t="n">
        <v>2108000</v>
      </c>
      <c r="R368" s="285" t="n"/>
      <c r="S368" s="285" t="n"/>
      <c r="T368" s="285" t="n"/>
      <c r="U368" s="285" t="n"/>
      <c r="V368" s="285" t="n"/>
      <c r="W368" s="285" t="n"/>
      <c r="X368" s="285" t="n"/>
      <c r="Y368" s="285" t="n"/>
    </row>
    <row r="369" ht="15.5" customHeight="1">
      <c r="B369" s="286" t="inlineStr">
        <is>
          <t>09-Jul-24</t>
        </is>
      </c>
      <c r="C369" s="278" t="n">
        <v>12</v>
      </c>
      <c r="D369" s="280" t="inlineStr">
        <is>
          <t>Fisioterapi 1st</t>
        </is>
      </c>
      <c r="E369" s="280" t="inlineStr">
        <is>
          <t>-</t>
        </is>
      </c>
      <c r="F369" s="287" t="n">
        <v>285000</v>
      </c>
      <c r="G369" s="282" t="inlineStr">
        <is>
          <t>IDR</t>
        </is>
      </c>
      <c r="H369" s="288" t="n">
        <v>1</v>
      </c>
      <c r="I369" s="290" t="n"/>
      <c r="J369" s="290" t="n"/>
      <c r="K369" s="291" t="n"/>
      <c r="L369" s="280" t="n"/>
      <c r="M369" s="280" t="n"/>
      <c r="N369" s="280" t="n"/>
      <c r="O369" s="280" t="n"/>
      <c r="P369" s="280" t="n"/>
      <c r="Q369" s="292" t="n">
        <v>285000</v>
      </c>
      <c r="R369" s="285" t="n"/>
      <c r="S369" s="285" t="n"/>
      <c r="T369" s="285" t="n"/>
      <c r="U369" s="285" t="n"/>
      <c r="V369" s="285" t="n"/>
      <c r="W369" s="285" t="n"/>
      <c r="X369" s="285" t="n"/>
      <c r="Y369" s="285" t="n"/>
    </row>
    <row r="370" ht="15.5" customHeight="1">
      <c r="B370" s="286" t="inlineStr">
        <is>
          <t>10-Jul-24</t>
        </is>
      </c>
      <c r="C370" s="278" t="n">
        <v>13</v>
      </c>
      <c r="D370" s="280" t="inlineStr">
        <is>
          <t>Biaya Obat Candesartan</t>
        </is>
      </c>
      <c r="E370" s="280" t="inlineStr">
        <is>
          <t>-</t>
        </is>
      </c>
      <c r="F370" s="287" t="n">
        <v>149850</v>
      </c>
      <c r="G370" s="282" t="inlineStr">
        <is>
          <t>IDR</t>
        </is>
      </c>
      <c r="H370" s="288" t="n">
        <v>1</v>
      </c>
      <c r="I370" s="290" t="n"/>
      <c r="J370" s="290" t="n"/>
      <c r="K370" s="291" t="n"/>
      <c r="L370" s="280" t="n"/>
      <c r="M370" s="280" t="n"/>
      <c r="N370" s="280" t="n"/>
      <c r="O370" s="280" t="n"/>
      <c r="P370" s="280" t="n"/>
      <c r="Q370" s="292" t="n">
        <v>149850</v>
      </c>
      <c r="R370" s="285" t="n"/>
      <c r="S370" s="285" t="n"/>
      <c r="T370" s="285" t="n"/>
      <c r="U370" s="285" t="n"/>
      <c r="V370" s="285" t="n"/>
      <c r="W370" s="285" t="n"/>
      <c r="X370" s="285" t="n"/>
      <c r="Y370" s="285" t="n"/>
    </row>
    <row r="371" ht="15.5" customHeight="1">
      <c r="B371" s="286" t="inlineStr">
        <is>
          <t>10-Jul-24</t>
        </is>
      </c>
      <c r="C371" s="278" t="n">
        <v>14</v>
      </c>
      <c r="D371" s="280" t="inlineStr">
        <is>
          <t>Fisioterapi 2nd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90" t="n"/>
      <c r="J371" s="290" t="n"/>
      <c r="K371" s="291" t="n"/>
      <c r="L371" s="280" t="n"/>
      <c r="M371" s="280" t="n"/>
      <c r="N371" s="280" t="n"/>
      <c r="O371" s="280" t="n"/>
      <c r="P371" s="280" t="n"/>
      <c r="Q371" s="292" t="n">
        <v>285000</v>
      </c>
      <c r="R371" s="285" t="n"/>
      <c r="S371" s="285" t="n"/>
      <c r="T371" s="285" t="n"/>
      <c r="U371" s="285" t="n"/>
      <c r="V371" s="285" t="n"/>
      <c r="W371" s="285" t="n"/>
      <c r="X371" s="285" t="n"/>
      <c r="Y371" s="285" t="n"/>
    </row>
    <row r="372" ht="15.5" customHeight="1">
      <c r="B372" s="286" t="inlineStr">
        <is>
          <t>11-Jul-24</t>
        </is>
      </c>
      <c r="C372" s="278" t="n">
        <v>15</v>
      </c>
      <c r="D372" s="280" t="inlineStr">
        <is>
          <t>Fisioterapi 3rd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90" t="n"/>
      <c r="J372" s="290" t="n"/>
      <c r="K372" s="291" t="n"/>
      <c r="L372" s="280" t="n"/>
      <c r="M372" s="280" t="n"/>
      <c r="N372" s="280" t="n"/>
      <c r="O372" s="280" t="n"/>
      <c r="P372" s="280" t="n"/>
      <c r="Q372" s="292" t="n">
        <v>285000</v>
      </c>
      <c r="R372" s="285" t="n"/>
      <c r="S372" s="285" t="n"/>
      <c r="T372" s="285" t="n"/>
      <c r="U372" s="285" t="n"/>
      <c r="V372" s="285" t="n"/>
      <c r="W372" s="285" t="n"/>
      <c r="X372" s="285" t="n"/>
      <c r="Y372" s="285" t="n"/>
    </row>
    <row r="373" ht="15.5" customHeight="1">
      <c r="B373" s="311" t="n"/>
      <c r="C373" s="278" t="n"/>
      <c r="D373" s="312" t="inlineStr">
        <is>
          <t>Pembelian Barang</t>
        </is>
      </c>
      <c r="E373" s="335" t="n"/>
      <c r="F373" s="281" t="n"/>
      <c r="G373" s="278" t="n"/>
      <c r="H373" s="278" t="n"/>
      <c r="I373" s="279" t="n"/>
      <c r="J373" s="279" t="n"/>
      <c r="K373" s="279" t="n"/>
      <c r="L373" s="279" t="n"/>
      <c r="M373" s="283" t="n"/>
      <c r="N373" s="284" t="n"/>
      <c r="O373" s="279" t="n"/>
      <c r="P373" s="279" t="n"/>
      <c r="Q373" s="279" t="n"/>
      <c r="R373" s="315" t="n"/>
      <c r="S373" s="315" t="n"/>
      <c r="T373" s="315" t="n"/>
      <c r="U373" s="315" t="n"/>
      <c r="V373" s="315" t="n"/>
      <c r="W373" s="315" t="n"/>
      <c r="X373" s="315" t="n"/>
      <c r="Y373" s="315" t="n"/>
    </row>
    <row r="374" ht="15.5" customHeight="1">
      <c r="B374" s="286" t="inlineStr">
        <is>
          <t>24-Jul-24</t>
        </is>
      </c>
      <c r="C374" s="278" t="n">
        <v>16</v>
      </c>
      <c r="D374" s="280" t="inlineStr">
        <is>
          <t>Buy Tang Bnegkok (Tekiro)</t>
        </is>
      </c>
      <c r="E374" s="280" t="inlineStr">
        <is>
          <t>-</t>
        </is>
      </c>
      <c r="F374" s="287" t="n">
        <v>75000</v>
      </c>
      <c r="G374" s="282" t="inlineStr">
        <is>
          <t>IDR</t>
        </is>
      </c>
      <c r="H374" s="288" t="n">
        <v>1</v>
      </c>
      <c r="I374" s="290" t="n"/>
      <c r="J374" s="290" t="n"/>
      <c r="K374" s="291" t="n"/>
      <c r="L374" s="280" t="n"/>
      <c r="M374" s="280" t="n"/>
      <c r="N374" s="280" t="n"/>
      <c r="O374" s="292" t="n">
        <v>75000</v>
      </c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25-Jul-24</t>
        </is>
      </c>
      <c r="C375" s="278" t="n">
        <v>17</v>
      </c>
      <c r="D375" s="280" t="inlineStr">
        <is>
          <t>Buy Hose 1/4"</t>
        </is>
      </c>
      <c r="E375" s="280" t="inlineStr">
        <is>
          <t>-</t>
        </is>
      </c>
      <c r="F375" s="287" t="n">
        <v>133000</v>
      </c>
      <c r="G375" s="282" t="inlineStr">
        <is>
          <t>IDR</t>
        </is>
      </c>
      <c r="H375" s="288" t="n">
        <v>1</v>
      </c>
      <c r="I375" s="290" t="n"/>
      <c r="J375" s="290" t="n"/>
      <c r="K375" s="291" t="n"/>
      <c r="L375" s="280" t="n"/>
      <c r="M375" s="280" t="n"/>
      <c r="N375" s="280" t="n"/>
      <c r="O375" s="292" t="n">
        <v>133000</v>
      </c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inlineStr">
        <is>
          <t>25-Jul-24</t>
        </is>
      </c>
      <c r="C376" s="278" t="n">
        <v>18</v>
      </c>
      <c r="D376" s="280" t="inlineStr">
        <is>
          <t>Buy Needle Neple</t>
        </is>
      </c>
      <c r="E376" s="280" t="inlineStr">
        <is>
          <t>-</t>
        </is>
      </c>
      <c r="F376" s="287" t="n">
        <v>700000</v>
      </c>
      <c r="G376" s="282" t="inlineStr">
        <is>
          <t>IDR</t>
        </is>
      </c>
      <c r="H376" s="288" t="n">
        <v>1</v>
      </c>
      <c r="I376" s="290" t="n"/>
      <c r="J376" s="290" t="n"/>
      <c r="K376" s="291" t="n"/>
      <c r="L376" s="280" t="n"/>
      <c r="M376" s="280" t="n"/>
      <c r="N376" s="280" t="n"/>
      <c r="O376" s="292" t="n">
        <v>700000</v>
      </c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  <c r="Y376" s="285" t="n"/>
    </row>
    <row r="377" ht="15.5" customHeight="1">
      <c r="B377" s="286" t="inlineStr">
        <is>
          <t>26-Jul-24</t>
        </is>
      </c>
      <c r="C377" s="278" t="n">
        <v>19</v>
      </c>
      <c r="D377" s="280" t="inlineStr">
        <is>
          <t>buy Adapter</t>
        </is>
      </c>
      <c r="E377" s="280" t="inlineStr">
        <is>
          <t>-</t>
        </is>
      </c>
      <c r="F377" s="287" t="n">
        <v>20000</v>
      </c>
      <c r="G377" s="282" t="inlineStr">
        <is>
          <t>IDR</t>
        </is>
      </c>
      <c r="H377" s="288" t="n">
        <v>1</v>
      </c>
      <c r="I377" s="290" t="n"/>
      <c r="J377" s="290" t="n"/>
      <c r="K377" s="291" t="n"/>
      <c r="L377" s="280" t="n"/>
      <c r="M377" s="280" t="n"/>
      <c r="N377" s="280" t="n"/>
      <c r="O377" s="292" t="n">
        <v>20000</v>
      </c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  <c r="Y377" s="285" t="n"/>
    </row>
    <row r="378" ht="15.5" customHeight="1">
      <c r="B378" s="286" t="inlineStr">
        <is>
          <t>27-Jul-24</t>
        </is>
      </c>
      <c r="C378" s="278" t="n">
        <v>20</v>
      </c>
      <c r="D378" s="280" t="inlineStr">
        <is>
          <t>Buy Hose 1/4"</t>
        </is>
      </c>
      <c r="E378" s="280" t="inlineStr">
        <is>
          <t>-</t>
        </is>
      </c>
      <c r="F378" s="287" t="n">
        <v>155000</v>
      </c>
      <c r="G378" s="282" t="inlineStr">
        <is>
          <t>IDR</t>
        </is>
      </c>
      <c r="H378" s="288" t="n">
        <v>1</v>
      </c>
      <c r="I378" s="290" t="n"/>
      <c r="J378" s="290" t="n"/>
      <c r="K378" s="291" t="n"/>
      <c r="L378" s="280" t="n"/>
      <c r="M378" s="280" t="n"/>
      <c r="N378" s="280" t="n"/>
      <c r="O378" s="292" t="n">
        <v>155000</v>
      </c>
      <c r="P378" s="280" t="n"/>
      <c r="Q378" s="280" t="n"/>
      <c r="R378" s="285" t="n"/>
      <c r="S378" s="285" t="n"/>
      <c r="T378" s="285" t="n"/>
      <c r="U378" s="285" t="n"/>
      <c r="V378" s="285" t="n"/>
      <c r="W378" s="285" t="n"/>
      <c r="X378" s="285" t="n"/>
      <c r="Y378" s="285" t="n"/>
    </row>
    <row r="379" ht="15.5" customHeight="1">
      <c r="B379" s="286" t="inlineStr">
        <is>
          <t>27-Jul-24</t>
        </is>
      </c>
      <c r="C379" s="278" t="n">
        <v>21</v>
      </c>
      <c r="D379" s="280" t="inlineStr">
        <is>
          <t>Buy Needle Neple</t>
        </is>
      </c>
      <c r="E379" s="280" t="inlineStr">
        <is>
          <t>-</t>
        </is>
      </c>
      <c r="F379" s="287" t="n">
        <v>660000</v>
      </c>
      <c r="G379" s="282" t="inlineStr">
        <is>
          <t>IDR</t>
        </is>
      </c>
      <c r="H379" s="288" t="n">
        <v>1</v>
      </c>
      <c r="I379" s="290" t="n"/>
      <c r="J379" s="290" t="n"/>
      <c r="K379" s="291" t="n"/>
      <c r="L379" s="280" t="n"/>
      <c r="M379" s="280" t="n"/>
      <c r="N379" s="280" t="n"/>
      <c r="O379" s="292" t="n">
        <v>660000</v>
      </c>
      <c r="P379" s="280" t="n"/>
      <c r="Q379" s="280" t="n"/>
      <c r="R379" s="285" t="n"/>
      <c r="S379" s="285" t="n"/>
      <c r="T379" s="285" t="n"/>
      <c r="U379" s="285" t="n"/>
      <c r="V379" s="285" t="n"/>
      <c r="W379" s="285" t="n"/>
      <c r="X379" s="285" t="n"/>
      <c r="Y379" s="285" t="n"/>
    </row>
    <row r="380" ht="15.5" customHeight="1">
      <c r="B380" s="286" t="inlineStr">
        <is>
          <t>27-Jul-24</t>
        </is>
      </c>
      <c r="C380" s="278" t="n">
        <v>22</v>
      </c>
      <c r="D380" s="280" t="inlineStr">
        <is>
          <t>Buy Connection 1/4"</t>
        </is>
      </c>
      <c r="E380" s="280" t="inlineStr">
        <is>
          <t>-</t>
        </is>
      </c>
      <c r="F380" s="287" t="n">
        <v>1760000</v>
      </c>
      <c r="G380" s="282" t="inlineStr">
        <is>
          <t>IDR</t>
        </is>
      </c>
      <c r="H380" s="288" t="n">
        <v>1</v>
      </c>
      <c r="I380" s="290" t="n"/>
      <c r="J380" s="290" t="n"/>
      <c r="K380" s="291" t="n"/>
      <c r="L380" s="280" t="n"/>
      <c r="M380" s="280" t="n"/>
      <c r="N380" s="280" t="n"/>
      <c r="O380" s="292" t="n">
        <v>1760000</v>
      </c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  <c r="Y380" s="285" t="n"/>
    </row>
    <row r="381" ht="15.5" customFormat="1" customHeight="1" s="122">
      <c r="B381" s="286" t="inlineStr">
        <is>
          <t>28-Jul-24</t>
        </is>
      </c>
      <c r="C381" s="278" t="n">
        <v>23</v>
      </c>
      <c r="D381" s="280" t="inlineStr">
        <is>
          <t>Buy Case for tools box dan hydraulic pump</t>
        </is>
      </c>
      <c r="E381" s="280" t="inlineStr">
        <is>
          <t>-</t>
        </is>
      </c>
      <c r="F381" s="287" t="n">
        <v>2636800</v>
      </c>
      <c r="G381" s="282" t="inlineStr">
        <is>
          <t>IDR</t>
        </is>
      </c>
      <c r="H381" s="288" t="n">
        <v>1</v>
      </c>
      <c r="I381" s="290" t="n"/>
      <c r="J381" s="290" t="n"/>
      <c r="K381" s="291" t="n"/>
      <c r="L381" s="280" t="n"/>
      <c r="M381" s="280" t="n"/>
      <c r="N381" s="280" t="n"/>
      <c r="O381" s="292" t="n">
        <v>2636800</v>
      </c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  <c r="Y381" s="285" t="n"/>
    </row>
    <row r="382" ht="15.5" customHeight="1">
      <c r="B382" s="302" t="inlineStr">
        <is>
          <t>Expense#28</t>
        </is>
      </c>
      <c r="C382" s="303" t="inlineStr">
        <is>
          <t>:</t>
        </is>
      </c>
      <c r="D382" s="304" t="inlineStr">
        <is>
          <t>ALFA-MPLT-Sampler project TIS Energy Blora_well RBG-3B by Barekin Sakti- AC</t>
        </is>
      </c>
      <c r="E382" s="305" t="n"/>
      <c r="F382" s="326" t="n"/>
      <c r="G382" s="303" t="n"/>
      <c r="H382" s="303" t="n"/>
      <c r="I382" s="308" t="n"/>
      <c r="J382" s="309" t="n"/>
      <c r="K382" s="309" t="n"/>
      <c r="L382" s="309" t="n"/>
      <c r="M382" s="307" t="n"/>
      <c r="N382" s="309" t="n"/>
      <c r="O382" s="309" t="n"/>
      <c r="P382" s="309" t="n"/>
      <c r="Q382" s="309" t="n"/>
      <c r="R382" s="310" t="n"/>
      <c r="S382" s="310" t="n"/>
      <c r="T382" s="310" t="n"/>
      <c r="U382" s="310" t="n"/>
      <c r="V382" s="310" t="n"/>
      <c r="W382" s="310" t="n"/>
      <c r="X382" s="310" t="n"/>
      <c r="Y382" s="310" t="n"/>
    </row>
    <row r="383" ht="15.5" customHeight="1">
      <c r="B383" s="336" t="n"/>
      <c r="C383" s="278" t="n"/>
      <c r="D383" s="312" t="inlineStr">
        <is>
          <t>Biaya Operasi</t>
        </is>
      </c>
      <c r="E383" s="337" t="n"/>
      <c r="F383" s="314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  <c r="R383" s="315" t="n"/>
      <c r="S383" s="315" t="n"/>
      <c r="T383" s="315" t="n"/>
      <c r="U383" s="315" t="n"/>
      <c r="V383" s="315" t="n"/>
      <c r="W383" s="315" t="n"/>
      <c r="X383" s="315" t="n"/>
      <c r="Y383" s="315" t="n"/>
    </row>
    <row r="384" ht="15.5" customHeight="1">
      <c r="B384" s="286" t="inlineStr">
        <is>
          <t>03-Jul-24</t>
        </is>
      </c>
      <c r="C384" s="278" t="n">
        <v>1</v>
      </c>
      <c r="D384" s="280" t="inlineStr">
        <is>
          <t>buy Soft drink</t>
        </is>
      </c>
      <c r="E384" s="280" t="inlineStr">
        <is>
          <t>-</t>
        </is>
      </c>
      <c r="F384" s="287" t="n">
        <v>98000</v>
      </c>
      <c r="G384" s="282" t="inlineStr">
        <is>
          <t>IDR</t>
        </is>
      </c>
      <c r="H384" s="288" t="n">
        <v>1</v>
      </c>
      <c r="I384" s="290" t="n"/>
      <c r="J384" s="289" t="n">
        <v>98000</v>
      </c>
      <c r="K384" s="291" t="n"/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29-Jul-24</t>
        </is>
      </c>
      <c r="C385" s="278" t="n">
        <v>2</v>
      </c>
      <c r="D385" s="280" t="inlineStr">
        <is>
          <t>Toll (Jkt Blora - PP)</t>
        </is>
      </c>
      <c r="E385" s="280" t="inlineStr">
        <is>
          <t>-</t>
        </is>
      </c>
      <c r="F385" s="287" t="n">
        <v>483000</v>
      </c>
      <c r="G385" s="282" t="inlineStr">
        <is>
          <t>IDR</t>
        </is>
      </c>
      <c r="H385" s="288" t="n">
        <v>1</v>
      </c>
      <c r="I385" s="290" t="n"/>
      <c r="J385" s="289" t="n">
        <v>483000</v>
      </c>
      <c r="K385" s="291" t="n"/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inlineStr">
        <is>
          <t>29-Jul-24</t>
        </is>
      </c>
      <c r="C386" s="278" t="n">
        <v>3</v>
      </c>
      <c r="D386" s="280" t="inlineStr">
        <is>
          <t>buy Soft drink</t>
        </is>
      </c>
      <c r="E386" s="280" t="inlineStr">
        <is>
          <t>-</t>
        </is>
      </c>
      <c r="F386" s="287" t="n">
        <v>199900</v>
      </c>
      <c r="G386" s="282" t="inlineStr">
        <is>
          <t>IDR</t>
        </is>
      </c>
      <c r="H386" s="288" t="n">
        <v>1</v>
      </c>
      <c r="I386" s="290" t="n"/>
      <c r="J386" s="289" t="n">
        <v>199900</v>
      </c>
      <c r="K386" s="291" t="n"/>
      <c r="L386" s="280" t="n"/>
      <c r="M386" s="280" t="n"/>
      <c r="N386" s="280" t="n"/>
      <c r="O386" s="280" t="n"/>
      <c r="P386" s="280" t="n"/>
      <c r="Q386" s="280" t="n"/>
      <c r="R386" s="285" t="n"/>
      <c r="S386" s="285" t="n"/>
      <c r="T386" s="285" t="n"/>
      <c r="U386" s="285" t="n"/>
      <c r="V386" s="285" t="n"/>
      <c r="W386" s="285" t="n"/>
      <c r="X386" s="285" t="n"/>
      <c r="Y386" s="285" t="n"/>
    </row>
    <row r="387" ht="15.5" customHeight="1">
      <c r="B387" s="286" t="inlineStr">
        <is>
          <t>29-Jul-24</t>
        </is>
      </c>
      <c r="C387" s="278" t="n">
        <v>4</v>
      </c>
      <c r="D387" s="280" t="inlineStr">
        <is>
          <t>w/ Crew Barekin</t>
        </is>
      </c>
      <c r="E387" s="280" t="inlineStr">
        <is>
          <t>-</t>
        </is>
      </c>
      <c r="F387" s="287" t="n">
        <v>275000</v>
      </c>
      <c r="G387" s="282" t="inlineStr">
        <is>
          <t>IDR</t>
        </is>
      </c>
      <c r="H387" s="288" t="n">
        <v>1</v>
      </c>
      <c r="I387" s="290" t="n"/>
      <c r="J387" s="289" t="n">
        <v>275000</v>
      </c>
      <c r="K387" s="291" t="n"/>
      <c r="L387" s="280" t="n"/>
      <c r="M387" s="280" t="n"/>
      <c r="N387" s="280" t="n"/>
      <c r="O387" s="280" t="n"/>
      <c r="P387" s="280" t="n"/>
      <c r="Q387" s="280" t="n"/>
      <c r="R387" s="285" t="n"/>
      <c r="S387" s="285" t="n"/>
      <c r="T387" s="285" t="n"/>
      <c r="U387" s="285" t="n"/>
      <c r="V387" s="285" t="n"/>
      <c r="W387" s="285" t="n"/>
      <c r="X387" s="285" t="n"/>
      <c r="Y387" s="285" t="n"/>
    </row>
    <row r="388" ht="15.5" customHeight="1">
      <c r="B388" s="286" t="inlineStr">
        <is>
          <t>31-Jul-24</t>
        </is>
      </c>
      <c r="C388" s="278" t="n">
        <v>5</v>
      </c>
      <c r="D388" s="280" t="inlineStr">
        <is>
          <t>buy Soft drink</t>
        </is>
      </c>
      <c r="E388" s="280" t="inlineStr">
        <is>
          <t>-</t>
        </is>
      </c>
      <c r="F388" s="287" t="n">
        <v>69000</v>
      </c>
      <c r="G388" s="282" t="inlineStr">
        <is>
          <t>IDR</t>
        </is>
      </c>
      <c r="H388" s="288" t="n">
        <v>1</v>
      </c>
      <c r="I388" s="290" t="n"/>
      <c r="J388" s="289" t="n">
        <v>69000</v>
      </c>
      <c r="K388" s="291" t="n"/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  <c r="Y388" s="285" t="n"/>
    </row>
    <row r="389" ht="15.5" customHeight="1">
      <c r="B389" s="286" t="inlineStr">
        <is>
          <t>01-Aug-24</t>
        </is>
      </c>
      <c r="C389" s="278" t="n">
        <v>6</v>
      </c>
      <c r="D389" s="280" t="inlineStr">
        <is>
          <t>buy Soft drink</t>
        </is>
      </c>
      <c r="E389" s="280" t="inlineStr">
        <is>
          <t>-</t>
        </is>
      </c>
      <c r="F389" s="287" t="n">
        <v>109800</v>
      </c>
      <c r="G389" s="282" t="inlineStr">
        <is>
          <t>IDR</t>
        </is>
      </c>
      <c r="H389" s="288" t="n">
        <v>1</v>
      </c>
      <c r="I389" s="290" t="n"/>
      <c r="J389" s="289" t="n">
        <v>109800</v>
      </c>
      <c r="K389" s="291" t="n"/>
      <c r="L389" s="280" t="n"/>
      <c r="M389" s="280" t="n"/>
      <c r="N389" s="280" t="n"/>
      <c r="O389" s="280" t="n"/>
      <c r="P389" s="280" t="n"/>
      <c r="Q389" s="280" t="n"/>
      <c r="R389" s="285" t="n"/>
      <c r="S389" s="285" t="n"/>
      <c r="T389" s="285" t="n"/>
      <c r="U389" s="285" t="n"/>
      <c r="V389" s="285" t="n"/>
      <c r="W389" s="285" t="n"/>
      <c r="X389" s="285" t="n"/>
      <c r="Y389" s="285" t="n"/>
    </row>
    <row r="390" ht="15.5" customHeight="1">
      <c r="B390" s="286" t="inlineStr">
        <is>
          <t>01-Aug-24</t>
        </is>
      </c>
      <c r="C390" s="278" t="n">
        <v>7</v>
      </c>
      <c r="D390" s="280" t="inlineStr">
        <is>
          <t>W/ TIS Petroleum personnel</t>
        </is>
      </c>
      <c r="E390" s="280" t="inlineStr">
        <is>
          <t>-</t>
        </is>
      </c>
      <c r="F390" s="287" t="n">
        <v>157000</v>
      </c>
      <c r="G390" s="282" t="inlineStr">
        <is>
          <t>IDR</t>
        </is>
      </c>
      <c r="H390" s="288" t="n">
        <v>1</v>
      </c>
      <c r="I390" s="290" t="n"/>
      <c r="J390" s="289" t="n">
        <v>157000</v>
      </c>
      <c r="K390" s="291" t="n"/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  <c r="Y390" s="285" t="n"/>
    </row>
    <row r="391" ht="15.5" customHeight="1">
      <c r="B391" s="286" t="inlineStr">
        <is>
          <t>02-Aug-24</t>
        </is>
      </c>
      <c r="C391" s="278" t="n">
        <v>8</v>
      </c>
      <c r="D391" s="280" t="inlineStr">
        <is>
          <t>w/ Crew Barekin (buy ice sirop) No reciept</t>
        </is>
      </c>
      <c r="E391" s="280" t="inlineStr">
        <is>
          <t>-</t>
        </is>
      </c>
      <c r="F391" s="287" t="n">
        <v>80000</v>
      </c>
      <c r="G391" s="282" t="inlineStr">
        <is>
          <t>IDR</t>
        </is>
      </c>
      <c r="H391" s="288" t="n">
        <v>1</v>
      </c>
      <c r="I391" s="290" t="n"/>
      <c r="J391" s="289" t="n">
        <v>80000</v>
      </c>
      <c r="K391" s="291" t="n"/>
      <c r="L391" s="280" t="n"/>
      <c r="M391" s="280" t="n"/>
      <c r="N391" s="280" t="n"/>
      <c r="O391" s="280" t="n"/>
      <c r="P391" s="280" t="n"/>
      <c r="Q391" s="280" t="n"/>
      <c r="R391" s="285" t="n"/>
      <c r="S391" s="285" t="n"/>
      <c r="T391" s="285" t="n"/>
      <c r="U391" s="285" t="n"/>
      <c r="V391" s="285" t="n"/>
      <c r="W391" s="285" t="n"/>
      <c r="X391" s="285" t="n"/>
      <c r="Y391" s="285" t="n"/>
    </row>
    <row r="392" ht="15.5" customHeight="1">
      <c r="B392" s="286" t="inlineStr">
        <is>
          <t>03-Aug-24</t>
        </is>
      </c>
      <c r="C392" s="278" t="n">
        <v>9</v>
      </c>
      <c r="D392" s="280" t="inlineStr">
        <is>
          <t>Hotel for 6 days ( 29 Jul - 3 aug 24)</t>
        </is>
      </c>
      <c r="E392" s="280" t="inlineStr">
        <is>
          <t>-</t>
        </is>
      </c>
      <c r="F392" s="287" t="n">
        <v>2700000</v>
      </c>
      <c r="G392" s="282" t="inlineStr">
        <is>
          <t>IDR</t>
        </is>
      </c>
      <c r="H392" s="288" t="n">
        <v>1</v>
      </c>
      <c r="I392" s="290" t="n"/>
      <c r="J392" s="289" t="n">
        <v>2700000</v>
      </c>
      <c r="K392" s="291" t="n"/>
      <c r="L392" s="280" t="n"/>
      <c r="M392" s="280" t="n"/>
      <c r="N392" s="280" t="n"/>
      <c r="O392" s="280" t="n"/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  <c r="Y392" s="285" t="n"/>
    </row>
    <row r="393" ht="15.5" customHeight="1">
      <c r="B393" s="286" t="inlineStr">
        <is>
          <t>03-Aug-24</t>
        </is>
      </c>
      <c r="C393" s="278" t="n">
        <v>10</v>
      </c>
      <c r="D393" s="280" t="inlineStr">
        <is>
          <t>buy Soft drink</t>
        </is>
      </c>
      <c r="E393" s="280" t="inlineStr">
        <is>
          <t>-</t>
        </is>
      </c>
      <c r="F393" s="287" t="n">
        <v>96600</v>
      </c>
      <c r="G393" s="282" t="inlineStr">
        <is>
          <t>IDR</t>
        </is>
      </c>
      <c r="H393" s="288" t="n">
        <v>1</v>
      </c>
      <c r="I393" s="290" t="n"/>
      <c r="J393" s="289" t="n">
        <v>96600</v>
      </c>
      <c r="K393" s="291" t="n"/>
      <c r="L393" s="280" t="n"/>
      <c r="M393" s="280" t="n"/>
      <c r="N393" s="280" t="n"/>
      <c r="O393" s="280" t="n"/>
      <c r="P393" s="280" t="n"/>
      <c r="Q393" s="280" t="n"/>
      <c r="R393" s="285" t="n"/>
      <c r="S393" s="285" t="n"/>
      <c r="T393" s="285" t="n"/>
      <c r="U393" s="285" t="n"/>
      <c r="V393" s="285" t="n"/>
      <c r="W393" s="285" t="n"/>
      <c r="X393" s="285" t="n"/>
      <c r="Y393" s="285" t="n"/>
    </row>
    <row r="394" ht="15.5" customHeight="1">
      <c r="B394" s="286" t="inlineStr">
        <is>
          <t>03-Aug-24</t>
        </is>
      </c>
      <c r="C394" s="278" t="n">
        <v>11</v>
      </c>
      <c r="D394" s="280" t="inlineStr">
        <is>
          <t>w/ TIS Lemigas Personnel</t>
        </is>
      </c>
      <c r="E394" s="280" t="inlineStr">
        <is>
          <t>-</t>
        </is>
      </c>
      <c r="F394" s="287" t="n">
        <v>270350</v>
      </c>
      <c r="G394" s="282" t="inlineStr">
        <is>
          <t>IDR</t>
        </is>
      </c>
      <c r="H394" s="288" t="n">
        <v>1</v>
      </c>
      <c r="I394" s="290" t="n"/>
      <c r="J394" s="289" t="n">
        <v>270350</v>
      </c>
      <c r="K394" s="291" t="n"/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  <c r="Y394" s="285" t="n"/>
    </row>
    <row r="395" ht="15.5" customHeight="1">
      <c r="B395" s="286" t="inlineStr">
        <is>
          <t>03-Aug-24</t>
        </is>
      </c>
      <c r="C395" s="278" t="n">
        <v>12</v>
      </c>
      <c r="D395" s="280" t="inlineStr">
        <is>
          <t>w/ TIS Petroleum Personnel</t>
        </is>
      </c>
      <c r="E395" s="280" t="inlineStr">
        <is>
          <t>-</t>
        </is>
      </c>
      <c r="F395" s="287" t="n">
        <v>401000</v>
      </c>
      <c r="G395" s="282" t="inlineStr">
        <is>
          <t>IDR</t>
        </is>
      </c>
      <c r="H395" s="288" t="n">
        <v>1</v>
      </c>
      <c r="I395" s="290" t="n"/>
      <c r="J395" s="289" t="n">
        <v>401000</v>
      </c>
      <c r="K395" s="291" t="n"/>
      <c r="L395" s="280" t="n"/>
      <c r="M395" s="280" t="n"/>
      <c r="N395" s="280" t="n"/>
      <c r="O395" s="280" t="n"/>
      <c r="P395" s="280" t="n"/>
      <c r="Q395" s="280" t="n"/>
      <c r="R395" s="285" t="n"/>
      <c r="S395" s="285" t="n"/>
      <c r="T395" s="285" t="n"/>
      <c r="U395" s="285" t="n"/>
      <c r="V395" s="285" t="n"/>
      <c r="W395" s="285" t="n"/>
      <c r="X395" s="285" t="n"/>
      <c r="Y395" s="285" t="n"/>
    </row>
    <row r="396" ht="15.5" customHeight="1">
      <c r="B396" s="286" t="inlineStr">
        <is>
          <t>04-Aug-24</t>
        </is>
      </c>
      <c r="C396" s="278" t="n">
        <v>13</v>
      </c>
      <c r="D396" s="280" t="inlineStr">
        <is>
          <t>buy Soft drink</t>
        </is>
      </c>
      <c r="E396" s="280" t="inlineStr">
        <is>
          <t>-</t>
        </is>
      </c>
      <c r="F396" s="287" t="n">
        <v>56600</v>
      </c>
      <c r="G396" s="282" t="inlineStr">
        <is>
          <t>IDR</t>
        </is>
      </c>
      <c r="H396" s="288" t="n">
        <v>1</v>
      </c>
      <c r="I396" s="290" t="n"/>
      <c r="J396" s="289" t="n">
        <v>56600</v>
      </c>
      <c r="K396" s="291" t="n"/>
      <c r="L396" s="280" t="n"/>
      <c r="M396" s="280" t="n"/>
      <c r="N396" s="280" t="n"/>
      <c r="O396" s="280" t="n"/>
      <c r="P396" s="280" t="n"/>
      <c r="Q396" s="280" t="n"/>
      <c r="R396" s="285" t="n"/>
      <c r="S396" s="285" t="n"/>
      <c r="T396" s="285" t="n"/>
      <c r="U396" s="285" t="n"/>
      <c r="V396" s="285" t="n"/>
      <c r="W396" s="285" t="n"/>
      <c r="X396" s="285" t="n"/>
      <c r="Y396" s="285" t="n"/>
    </row>
    <row r="397" ht="15.5" customHeight="1">
      <c r="B397" s="286" t="inlineStr">
        <is>
          <t>06-Aug-24</t>
        </is>
      </c>
      <c r="C397" s="278" t="n">
        <v>14</v>
      </c>
      <c r="D397" s="280" t="inlineStr">
        <is>
          <t>buy Soft drink</t>
        </is>
      </c>
      <c r="E397" s="280" t="inlineStr">
        <is>
          <t>-</t>
        </is>
      </c>
      <c r="F397" s="287" t="n">
        <v>118100</v>
      </c>
      <c r="G397" s="282" t="inlineStr">
        <is>
          <t>IDR</t>
        </is>
      </c>
      <c r="H397" s="288" t="n">
        <v>1</v>
      </c>
      <c r="I397" s="290" t="n"/>
      <c r="J397" s="289" t="n">
        <v>118100</v>
      </c>
      <c r="K397" s="291" t="n"/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  <c r="Y397" s="285" t="n"/>
    </row>
    <row r="398" ht="15.5" customHeight="1">
      <c r="B398" s="286" t="inlineStr">
        <is>
          <t>07-Aug-24</t>
        </is>
      </c>
      <c r="C398" s="278" t="n">
        <v>15</v>
      </c>
      <c r="D398" s="280" t="inlineStr">
        <is>
          <t>Rental car (include Fuel ) 10 days, @Rp1.100.000</t>
        </is>
      </c>
      <c r="E398" s="280" t="inlineStr">
        <is>
          <t>-</t>
        </is>
      </c>
      <c r="F398" s="287" t="n">
        <v>11000000</v>
      </c>
      <c r="G398" s="282" t="inlineStr">
        <is>
          <t>IDR</t>
        </is>
      </c>
      <c r="H398" s="288" t="n">
        <v>1</v>
      </c>
      <c r="I398" s="290" t="n"/>
      <c r="J398" s="289" t="n">
        <v>11000000</v>
      </c>
      <c r="K398" s="291" t="n"/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  <c r="Y398" s="285" t="n"/>
    </row>
    <row r="399" ht="15.5" customHeight="1">
      <c r="B399" s="286" t="inlineStr">
        <is>
          <t>07-Aug-24</t>
        </is>
      </c>
      <c r="C399" s="278" t="n">
        <v>16</v>
      </c>
      <c r="D399" s="280" t="inlineStr">
        <is>
          <t>Toll (Gubug - Jakarta)</t>
        </is>
      </c>
      <c r="E399" s="280" t="inlineStr">
        <is>
          <t>-</t>
        </is>
      </c>
      <c r="F399" s="287" t="n">
        <v>496000</v>
      </c>
      <c r="G399" s="282" t="inlineStr">
        <is>
          <t>IDR</t>
        </is>
      </c>
      <c r="H399" s="288" t="n">
        <v>1</v>
      </c>
      <c r="I399" s="290" t="n"/>
      <c r="J399" s="289" t="n">
        <v>496000</v>
      </c>
      <c r="K399" s="291" t="n"/>
      <c r="L399" s="280" t="n"/>
      <c r="M399" s="280" t="n"/>
      <c r="N399" s="280" t="n"/>
      <c r="O399" s="280" t="n"/>
      <c r="P399" s="280" t="n"/>
      <c r="Q399" s="280" t="n"/>
      <c r="R399" s="285" t="n"/>
      <c r="S399" s="285" t="n"/>
      <c r="T399" s="285" t="n"/>
      <c r="U399" s="285" t="n"/>
      <c r="V399" s="285" t="n"/>
      <c r="W399" s="285" t="n"/>
      <c r="X399" s="285" t="n"/>
      <c r="Y399" s="285" t="n"/>
    </row>
    <row r="400" ht="15.5" customHeight="1">
      <c r="B400" s="286" t="inlineStr">
        <is>
          <t>07-Aug-24</t>
        </is>
      </c>
      <c r="C400" s="278" t="n">
        <v>17</v>
      </c>
      <c r="D400" s="280" t="inlineStr">
        <is>
          <t>Laundry dor 10 days @Rp.50.000.</t>
        </is>
      </c>
      <c r="E400" s="280" t="inlineStr">
        <is>
          <t>-</t>
        </is>
      </c>
      <c r="F400" s="287" t="n">
        <v>500000</v>
      </c>
      <c r="G400" s="282" t="inlineStr">
        <is>
          <t>IDR</t>
        </is>
      </c>
      <c r="H400" s="288" t="n">
        <v>1</v>
      </c>
      <c r="I400" s="290" t="n"/>
      <c r="J400" s="289" t="n">
        <v>500000</v>
      </c>
      <c r="K400" s="291" t="n"/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  <c r="Y400" s="285" t="n"/>
    </row>
    <row r="401" ht="15.5" customHeight="1">
      <c r="B401" s="286" t="inlineStr">
        <is>
          <t>07-Aug-24</t>
        </is>
      </c>
      <c r="C401" s="278" t="n">
        <v>18</v>
      </c>
      <c r="D401" s="280" t="inlineStr">
        <is>
          <t>Meal utk 10 hari (29 Jul -7Aug-24) @Rp. 150.000</t>
        </is>
      </c>
      <c r="E401" s="280" t="inlineStr">
        <is>
          <t>-</t>
        </is>
      </c>
      <c r="F401" s="287" t="n">
        <v>1500000</v>
      </c>
      <c r="G401" s="282" t="inlineStr">
        <is>
          <t>IDR</t>
        </is>
      </c>
      <c r="H401" s="288" t="n">
        <v>1</v>
      </c>
      <c r="I401" s="290" t="n"/>
      <c r="J401" s="289" t="n">
        <v>1500000</v>
      </c>
      <c r="K401" s="291" t="n"/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  <c r="Y401" s="285" t="n"/>
    </row>
    <row r="402" ht="15.5" customHeight="1">
      <c r="B402" s="286" t="inlineStr">
        <is>
          <t>07-Aug-24</t>
        </is>
      </c>
      <c r="C402" s="278" t="n">
        <v>19</v>
      </c>
      <c r="D402" s="280" t="inlineStr">
        <is>
          <t>Tunjangan lapangan for 10 days (29Jul - 07Aug24) Anevril</t>
        </is>
      </c>
      <c r="E402" s="280" t="inlineStr">
        <is>
          <t>-</t>
        </is>
      </c>
      <c r="F402" s="287" t="n">
        <v>16100000</v>
      </c>
      <c r="G402" s="282" t="inlineStr">
        <is>
          <t>USD</t>
        </is>
      </c>
      <c r="H402" s="288" t="n">
        <v>16100</v>
      </c>
      <c r="I402" s="290" t="n"/>
      <c r="J402" s="289" t="n">
        <v>16100000</v>
      </c>
      <c r="K402" s="291" t="n"/>
      <c r="L402" s="280" t="n"/>
      <c r="M402" s="280" t="n"/>
      <c r="N402" s="280" t="n"/>
      <c r="O402" s="280" t="n"/>
      <c r="P402" s="280" t="n"/>
      <c r="Q402" s="280" t="n"/>
      <c r="R402" s="285" t="n"/>
      <c r="S402" s="285" t="n"/>
      <c r="T402" s="285" t="n"/>
      <c r="U402" s="285" t="n"/>
      <c r="V402" s="285" t="n"/>
      <c r="W402" s="285" t="n"/>
      <c r="X402" s="285" t="n"/>
      <c r="Y402" s="285" t="n"/>
    </row>
    <row r="403" ht="15.5" customHeight="1">
      <c r="B403" s="311" t="n"/>
      <c r="C403" s="278" t="n"/>
      <c r="D403" s="312" t="inlineStr">
        <is>
          <t>Kesehatan</t>
        </is>
      </c>
      <c r="E403" s="313" t="n"/>
      <c r="F403" s="314" t="n"/>
      <c r="G403" s="278" t="n"/>
      <c r="H403" s="278" t="n"/>
      <c r="I403" s="284" t="n"/>
      <c r="J403" s="279" t="n"/>
      <c r="K403" s="279" t="n"/>
      <c r="L403" s="279" t="n"/>
      <c r="M403" s="279" t="n"/>
      <c r="N403" s="279" t="n"/>
      <c r="O403" s="279" t="n"/>
      <c r="P403" s="279" t="n"/>
      <c r="Q403" s="279" t="n"/>
      <c r="R403" s="315" t="n"/>
      <c r="S403" s="315" t="n"/>
      <c r="T403" s="315" t="n"/>
      <c r="U403" s="315" t="n"/>
      <c r="V403" s="315" t="n"/>
      <c r="W403" s="315" t="n"/>
      <c r="X403" s="315" t="n"/>
      <c r="Y403" s="315" t="n"/>
    </row>
    <row r="404" ht="15.5" customHeight="1">
      <c r="B404" s="286" t="inlineStr">
        <is>
          <t>29-Jul-24</t>
        </is>
      </c>
      <c r="C404" s="278" t="n">
        <v>20</v>
      </c>
      <c r="D404" s="280" t="inlineStr">
        <is>
          <t>buy Zirolic</t>
        </is>
      </c>
      <c r="E404" s="280" t="inlineStr">
        <is>
          <t>-</t>
        </is>
      </c>
      <c r="F404" s="287" t="n">
        <v>34200</v>
      </c>
      <c r="G404" s="282" t="inlineStr">
        <is>
          <t>IDR</t>
        </is>
      </c>
      <c r="H404" s="288" t="n">
        <v>1</v>
      </c>
      <c r="I404" s="290" t="n"/>
      <c r="J404" s="290" t="n"/>
      <c r="K404" s="291" t="n"/>
      <c r="L404" s="280" t="n"/>
      <c r="M404" s="280" t="n"/>
      <c r="N404" s="280" t="n"/>
      <c r="O404" s="280" t="n"/>
      <c r="P404" s="280" t="n"/>
      <c r="Q404" s="292" t="n">
        <v>34200</v>
      </c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311" t="n"/>
      <c r="C405" s="278" t="n"/>
      <c r="D405" s="312" t="inlineStr">
        <is>
          <t>Pembelian Barang</t>
        </is>
      </c>
      <c r="E405" s="313" t="n"/>
      <c r="F405" s="314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315" t="n"/>
      <c r="S405" s="315" t="n"/>
      <c r="T405" s="315" t="n"/>
      <c r="U405" s="315" t="n"/>
      <c r="V405" s="315" t="n"/>
      <c r="W405" s="315" t="n"/>
      <c r="X405" s="315" t="n"/>
      <c r="Y405" s="315" t="n"/>
    </row>
    <row r="406" ht="15.5" customHeight="1">
      <c r="B406" s="286" t="inlineStr">
        <is>
          <t>01-Aug-24</t>
        </is>
      </c>
      <c r="C406" s="278" t="n">
        <v>21</v>
      </c>
      <c r="D406" s="280" t="inlineStr">
        <is>
          <t>Buy WD 40</t>
        </is>
      </c>
      <c r="E406" s="280" t="inlineStr">
        <is>
          <t>-</t>
        </is>
      </c>
      <c r="F406" s="287" t="n">
        <v>65000</v>
      </c>
      <c r="G406" s="282" t="inlineStr">
        <is>
          <t>IDR</t>
        </is>
      </c>
      <c r="H406" s="288" t="n">
        <v>1</v>
      </c>
      <c r="I406" s="290" t="n"/>
      <c r="J406" s="290" t="n"/>
      <c r="K406" s="291" t="n"/>
      <c r="L406" s="280" t="n"/>
      <c r="M406" s="280" t="n"/>
      <c r="N406" s="280" t="n"/>
      <c r="O406" s="292" t="n">
        <v>65000</v>
      </c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05-Aug-24</t>
        </is>
      </c>
      <c r="C407" s="278" t="n">
        <v>22</v>
      </c>
      <c r="D407" s="280" t="inlineStr">
        <is>
          <t>Buy connection T dan nipple</t>
        </is>
      </c>
      <c r="E407" s="280" t="inlineStr">
        <is>
          <t>-</t>
        </is>
      </c>
      <c r="F407" s="287" t="n">
        <v>72500</v>
      </c>
      <c r="G407" s="282" t="inlineStr">
        <is>
          <t>IDR</t>
        </is>
      </c>
      <c r="H407" s="288" t="n">
        <v>1</v>
      </c>
      <c r="I407" s="290" t="n"/>
      <c r="J407" s="290" t="n"/>
      <c r="K407" s="291" t="n"/>
      <c r="L407" s="280" t="n"/>
      <c r="M407" s="280" t="n"/>
      <c r="N407" s="280" t="n"/>
      <c r="O407" s="292" t="n">
        <v>72500</v>
      </c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inlineStr">
        <is>
          <t>05-Aug-24</t>
        </is>
      </c>
      <c r="C408" s="278" t="n">
        <v>23</v>
      </c>
      <c r="D408" s="280" t="inlineStr">
        <is>
          <t>Buy Quick connection</t>
        </is>
      </c>
      <c r="E408" s="280" t="inlineStr">
        <is>
          <t>-</t>
        </is>
      </c>
      <c r="F408" s="287" t="n">
        <v>400000</v>
      </c>
      <c r="G408" s="282" t="inlineStr">
        <is>
          <t>IDR</t>
        </is>
      </c>
      <c r="H408" s="288" t="n">
        <v>1</v>
      </c>
      <c r="I408" s="290" t="n"/>
      <c r="J408" s="290" t="n"/>
      <c r="K408" s="291" t="n"/>
      <c r="L408" s="280" t="n"/>
      <c r="M408" s="280" t="n"/>
      <c r="N408" s="280" t="n"/>
      <c r="O408" s="292" t="n">
        <v>400000</v>
      </c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  <c r="Y408" s="285" t="n"/>
    </row>
    <row r="409" ht="15.5" customHeight="1">
      <c r="B409" s="286" t="inlineStr">
        <is>
          <t>06-Aug-24</t>
        </is>
      </c>
      <c r="C409" s="278" t="n">
        <v>24</v>
      </c>
      <c r="D409" s="280" t="inlineStr">
        <is>
          <t>Buy Paint nippon</t>
        </is>
      </c>
      <c r="E409" s="280" t="inlineStr">
        <is>
          <t>-</t>
        </is>
      </c>
      <c r="F409" s="287" t="n">
        <v>60000</v>
      </c>
      <c r="G409" s="282" t="inlineStr">
        <is>
          <t>IDR</t>
        </is>
      </c>
      <c r="H409" s="288" t="n">
        <v>1</v>
      </c>
      <c r="I409" s="290" t="n"/>
      <c r="J409" s="290" t="n"/>
      <c r="K409" s="291" t="n"/>
      <c r="L409" s="280" t="n"/>
      <c r="M409" s="280" t="n"/>
      <c r="N409" s="280" t="n"/>
      <c r="O409" s="292" t="n">
        <v>60000</v>
      </c>
      <c r="P409" s="280" t="n"/>
      <c r="Q409" s="280" t="n"/>
      <c r="R409" s="285" t="n"/>
      <c r="S409" s="285" t="n"/>
      <c r="T409" s="285" t="n"/>
      <c r="U409" s="285" t="n"/>
      <c r="V409" s="285" t="n"/>
      <c r="W409" s="285" t="n"/>
      <c r="X409" s="285" t="n"/>
      <c r="Y409" s="285" t="n"/>
    </row>
    <row r="410" ht="15.5" customHeight="1">
      <c r="B410" s="333" t="inlineStr">
        <is>
          <t>Expense#29</t>
        </is>
      </c>
      <c r="C410" s="303" t="inlineStr">
        <is>
          <t>:</t>
        </is>
      </c>
      <c r="D410" s="304" t="inlineStr">
        <is>
          <t>ALFA-MPLT-BHS_ RBG 3B PT. TIS under Barikin sakti _TMA</t>
        </is>
      </c>
      <c r="E410" s="320" t="n"/>
      <c r="F410" s="326" t="n"/>
      <c r="G410" s="303" t="n"/>
      <c r="H410" s="303" t="n"/>
      <c r="I410" s="309" t="n"/>
      <c r="J410" s="309" t="n"/>
      <c r="K410" s="309" t="n"/>
      <c r="L410" s="309" t="n"/>
      <c r="M410" s="307" t="n"/>
      <c r="N410" s="309" t="n"/>
      <c r="O410" s="309" t="n"/>
      <c r="P410" s="308" t="n"/>
      <c r="Q410" s="309" t="n"/>
      <c r="R410" s="310" t="n"/>
      <c r="S410" s="310" t="n"/>
      <c r="T410" s="310" t="n"/>
      <c r="U410" s="310" t="n"/>
      <c r="V410" s="310" t="n"/>
      <c r="W410" s="310" t="n"/>
      <c r="X410" s="310" t="n"/>
      <c r="Y410" s="310" t="n"/>
    </row>
    <row r="411" ht="15.5" customHeight="1">
      <c r="B411" s="277" t="n"/>
      <c r="C411" s="278" t="n"/>
      <c r="D411" s="312" t="inlineStr">
        <is>
          <t>Biaya Operasi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  <c r="R411" s="315" t="n"/>
      <c r="S411" s="315" t="n"/>
      <c r="T411" s="315" t="n"/>
      <c r="U411" s="315" t="n"/>
      <c r="V411" s="315" t="n"/>
      <c r="W411" s="315" t="n"/>
      <c r="X411" s="315" t="n"/>
      <c r="Y411" s="315" t="n"/>
    </row>
    <row r="412" ht="15.5" customHeight="1">
      <c r="B412" s="286" t="inlineStr">
        <is>
          <t>26-Jul-24</t>
        </is>
      </c>
      <c r="C412" s="278" t="n">
        <v>1</v>
      </c>
      <c r="D412" s="280" t="inlineStr">
        <is>
          <t>Lalamove Base to Barikin</t>
        </is>
      </c>
      <c r="E412" s="280" t="inlineStr">
        <is>
          <t>-</t>
        </is>
      </c>
      <c r="F412" s="287" t="n">
        <v>276500</v>
      </c>
      <c r="G412" s="282" t="inlineStr">
        <is>
          <t>IDR</t>
        </is>
      </c>
      <c r="H412" s="288" t="n">
        <v>1</v>
      </c>
      <c r="I412" s="290" t="n"/>
      <c r="J412" s="289" t="n">
        <v>276500</v>
      </c>
      <c r="K412" s="291" t="n"/>
      <c r="L412" s="280" t="n"/>
      <c r="M412" s="280" t="n"/>
      <c r="N412" s="280" t="n"/>
      <c r="O412" s="280" t="n"/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2</v>
      </c>
      <c r="D413" s="280" t="inlineStr">
        <is>
          <t>Lalamove Pak Subi to Base</t>
        </is>
      </c>
      <c r="E413" s="280" t="inlineStr">
        <is>
          <t>-</t>
        </is>
      </c>
      <c r="F413" s="287" t="n">
        <v>63568</v>
      </c>
      <c r="G413" s="282" t="inlineStr">
        <is>
          <t>IDR</t>
        </is>
      </c>
      <c r="H413" s="288" t="n">
        <v>1</v>
      </c>
      <c r="I413" s="290" t="n"/>
      <c r="J413" s="289" t="n">
        <v>63568</v>
      </c>
      <c r="K413" s="291" t="n"/>
      <c r="L413" s="280" t="n"/>
      <c r="M413" s="280" t="n"/>
      <c r="N413" s="280" t="n"/>
      <c r="O413" s="280" t="n"/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inlineStr">
        <is>
          <t>29-Jul-24</t>
        </is>
      </c>
      <c r="C414" s="278" t="n">
        <v>3</v>
      </c>
      <c r="D414" s="280" t="inlineStr">
        <is>
          <t>Electrical Bill</t>
        </is>
      </c>
      <c r="E414" s="280" t="inlineStr">
        <is>
          <t>-</t>
        </is>
      </c>
      <c r="F414" s="287" t="n">
        <v>159682</v>
      </c>
      <c r="G414" s="282" t="inlineStr">
        <is>
          <t>IDR</t>
        </is>
      </c>
      <c r="H414" s="288" t="n">
        <v>1</v>
      </c>
      <c r="I414" s="290" t="n"/>
      <c r="J414" s="289" t="n">
        <v>159682</v>
      </c>
      <c r="K414" s="291" t="n"/>
      <c r="L414" s="280" t="n"/>
      <c r="M414" s="280" t="n"/>
      <c r="N414" s="280" t="n"/>
      <c r="O414" s="280" t="n"/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  <c r="Y414" s="285" t="n"/>
    </row>
    <row r="415" ht="15.5" customHeight="1">
      <c r="B415" s="286" t="inlineStr">
        <is>
          <t>29-Jul-24</t>
        </is>
      </c>
      <c r="C415" s="278" t="n">
        <v>4</v>
      </c>
      <c r="D415" s="280" t="inlineStr">
        <is>
          <t>Laundry 10 days 1 Persons @ 50K IDR/day</t>
        </is>
      </c>
      <c r="E415" s="280" t="inlineStr">
        <is>
          <t>-</t>
        </is>
      </c>
      <c r="F415" s="287" t="n">
        <v>500000</v>
      </c>
      <c r="G415" s="282" t="inlineStr">
        <is>
          <t>IDR</t>
        </is>
      </c>
      <c r="H415" s="288" t="n">
        <v>1</v>
      </c>
      <c r="I415" s="290" t="n"/>
      <c r="J415" s="289" t="n">
        <v>500000</v>
      </c>
      <c r="K415" s="291" t="n"/>
      <c r="L415" s="280" t="n"/>
      <c r="M415" s="280" t="n"/>
      <c r="N415" s="280" t="n"/>
      <c r="O415" s="280" t="n"/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  <c r="Y415" s="285" t="n"/>
    </row>
    <row r="416" ht="15.5" customHeight="1">
      <c r="B416" s="286" t="inlineStr">
        <is>
          <t>29-Jul-24</t>
        </is>
      </c>
      <c r="C416" s="278" t="n">
        <v>5</v>
      </c>
      <c r="D416" s="280" t="inlineStr">
        <is>
          <t>Meal Crew's Operational</t>
        </is>
      </c>
      <c r="E416" s="280" t="inlineStr">
        <is>
          <t>-</t>
        </is>
      </c>
      <c r="F416" s="287" t="n">
        <v>263200</v>
      </c>
      <c r="G416" s="282" t="inlineStr">
        <is>
          <t>IDR</t>
        </is>
      </c>
      <c r="H416" s="288" t="n">
        <v>1</v>
      </c>
      <c r="I416" s="290" t="n"/>
      <c r="J416" s="289" t="n">
        <v>263200</v>
      </c>
      <c r="K416" s="291" t="n"/>
      <c r="L416" s="280" t="n"/>
      <c r="M416" s="280" t="n"/>
      <c r="N416" s="280" t="n"/>
      <c r="O416" s="280" t="n"/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  <c r="Y416" s="285" t="n"/>
    </row>
    <row r="417" ht="15.5" customHeight="1">
      <c r="B417" s="286" t="inlineStr">
        <is>
          <t>29-Jul-24</t>
        </is>
      </c>
      <c r="C417" s="278" t="n">
        <v>6</v>
      </c>
      <c r="D417" s="280" t="inlineStr">
        <is>
          <t>Meals 10 days 1 Persons @ 150K IDR/day</t>
        </is>
      </c>
      <c r="E417" s="280" t="inlineStr">
        <is>
          <t>-</t>
        </is>
      </c>
      <c r="F417" s="287" t="n">
        <v>1500000</v>
      </c>
      <c r="G417" s="282" t="inlineStr">
        <is>
          <t>IDR</t>
        </is>
      </c>
      <c r="H417" s="288" t="n">
        <v>1</v>
      </c>
      <c r="I417" s="290" t="n"/>
      <c r="J417" s="289" t="n">
        <v>1500000</v>
      </c>
      <c r="K417" s="291" t="n"/>
      <c r="L417" s="280" t="n"/>
      <c r="M417" s="280" t="n"/>
      <c r="N417" s="280" t="n"/>
      <c r="O417" s="280" t="n"/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  <c r="Y417" s="285" t="n"/>
    </row>
    <row r="418" ht="15.5" customHeight="1">
      <c r="B418" s="286" t="inlineStr">
        <is>
          <t>29-Jul-24</t>
        </is>
      </c>
      <c r="C418" s="278" t="n">
        <v>7</v>
      </c>
      <c r="D418" s="280" t="inlineStr">
        <is>
          <t>Tunjangan Lapangan for 10 days</t>
        </is>
      </c>
      <c r="E418" s="280" t="inlineStr">
        <is>
          <t>-</t>
        </is>
      </c>
      <c r="F418" s="287" t="n">
        <v>15513000</v>
      </c>
      <c r="G418" s="282" t="inlineStr">
        <is>
          <t>USD</t>
        </is>
      </c>
      <c r="H418" s="288" t="n">
        <v>15513</v>
      </c>
      <c r="I418" s="290" t="n"/>
      <c r="J418" s="289" t="n">
        <v>15513000</v>
      </c>
      <c r="K418" s="291" t="n"/>
      <c r="L418" s="280" t="n"/>
      <c r="M418" s="280" t="n"/>
      <c r="N418" s="280" t="n"/>
      <c r="O418" s="280" t="n"/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  <c r="Y418" s="285" t="n"/>
    </row>
    <row r="419" ht="15.5" customHeight="1">
      <c r="B419" s="286" t="inlineStr">
        <is>
          <t>13-Aug-24</t>
        </is>
      </c>
      <c r="C419" s="278" t="n">
        <v>8</v>
      </c>
      <c r="D419" s="280" t="inlineStr">
        <is>
          <t>Lalamove Barikin to Base</t>
        </is>
      </c>
      <c r="E419" s="280" t="inlineStr">
        <is>
          <t>-</t>
        </is>
      </c>
      <c r="F419" s="287" t="n">
        <v>161885</v>
      </c>
      <c r="G419" s="282" t="inlineStr">
        <is>
          <t>IDR</t>
        </is>
      </c>
      <c r="H419" s="288" t="n">
        <v>1</v>
      </c>
      <c r="I419" s="290" t="n"/>
      <c r="J419" s="289" t="n">
        <v>161885</v>
      </c>
      <c r="K419" s="291" t="n"/>
      <c r="L419" s="280" t="n"/>
      <c r="M419" s="280" t="n"/>
      <c r="N419" s="280" t="n"/>
      <c r="O419" s="280" t="n"/>
      <c r="P419" s="280" t="n"/>
      <c r="Q419" s="280" t="n"/>
      <c r="R419" s="285" t="n"/>
      <c r="S419" s="285" t="n"/>
      <c r="T419" s="285" t="n"/>
      <c r="U419" s="285" t="n"/>
      <c r="V419" s="285" t="n"/>
      <c r="W419" s="285" t="n"/>
      <c r="X419" s="285" t="n"/>
      <c r="Y419" s="285" t="n"/>
    </row>
    <row r="420" ht="15.5" customHeight="1">
      <c r="B420" s="277" t="n"/>
      <c r="C420" s="278" t="n"/>
      <c r="D420" s="312" t="inlineStr">
        <is>
          <t>Pembelian Barang</t>
        </is>
      </c>
      <c r="E420" s="313" t="n"/>
      <c r="F420" s="281" t="n"/>
      <c r="G420" s="278" t="n"/>
      <c r="H420" s="278" t="n"/>
      <c r="I420" s="283" t="n"/>
      <c r="J420" s="279" t="n"/>
      <c r="K420" s="279" t="n"/>
      <c r="L420" s="279" t="n"/>
      <c r="M420" s="279" t="n"/>
      <c r="N420" s="279" t="n"/>
      <c r="O420" s="279" t="n"/>
      <c r="P420" s="279" t="n"/>
      <c r="Q420" s="279" t="n"/>
      <c r="R420" s="315" t="n"/>
      <c r="S420" s="315" t="n"/>
      <c r="T420" s="315" t="n"/>
      <c r="U420" s="315" t="n"/>
      <c r="V420" s="315" t="n"/>
      <c r="W420" s="315" t="n"/>
      <c r="X420" s="315" t="n"/>
      <c r="Y420" s="315" t="n"/>
    </row>
    <row r="421" ht="15.5" customHeight="1">
      <c r="B421" s="286" t="inlineStr">
        <is>
          <t>26-Jul-24</t>
        </is>
      </c>
      <c r="C421" s="278" t="n">
        <v>9</v>
      </c>
      <c r="D421" s="280" t="inlineStr">
        <is>
          <t>TOP 1 High Temp Grease</t>
        </is>
      </c>
      <c r="E421" s="280" t="inlineStr">
        <is>
          <t>-</t>
        </is>
      </c>
      <c r="F421" s="287" t="n">
        <v>144900</v>
      </c>
      <c r="G421" s="282" t="inlineStr">
        <is>
          <t>IDR</t>
        </is>
      </c>
      <c r="H421" s="288" t="n">
        <v>1</v>
      </c>
      <c r="I421" s="290" t="n"/>
      <c r="J421" s="290" t="n"/>
      <c r="K421" s="291" t="n"/>
      <c r="L421" s="280" t="n"/>
      <c r="M421" s="280" t="n"/>
      <c r="N421" s="280" t="n"/>
      <c r="O421" s="292" t="n">
        <v>144900</v>
      </c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333" t="inlineStr">
        <is>
          <t>Expense#30</t>
        </is>
      </c>
      <c r="C422" s="303" t="inlineStr">
        <is>
          <t>:</t>
        </is>
      </c>
      <c r="D422" s="304" t="inlineStr">
        <is>
          <t>ALFA JOB - PMB 009 (cancel job) - IBR</t>
        </is>
      </c>
      <c r="E422" s="305" t="n"/>
      <c r="F422" s="326" t="n"/>
      <c r="G422" s="303" t="n"/>
      <c r="H422" s="303" t="n"/>
      <c r="I422" s="307" t="n"/>
      <c r="J422" s="309" t="n"/>
      <c r="K422" s="309" t="n"/>
      <c r="L422" s="309" t="n"/>
      <c r="M422" s="307" t="n"/>
      <c r="N422" s="309" t="n"/>
      <c r="O422" s="309" t="n"/>
      <c r="P422" s="309" t="n"/>
      <c r="Q422" s="309" t="n"/>
      <c r="R422" s="310" t="n"/>
      <c r="S422" s="310" t="n"/>
      <c r="T422" s="310" t="n"/>
      <c r="U422" s="310" t="n"/>
      <c r="V422" s="310" t="n"/>
      <c r="W422" s="310" t="n"/>
      <c r="X422" s="310" t="n"/>
      <c r="Y422" s="310" t="n"/>
    </row>
    <row r="423" ht="15.5" customHeight="1">
      <c r="B423" s="277" t="n"/>
      <c r="C423" s="278" t="n"/>
      <c r="D423" s="312" t="inlineStr">
        <is>
          <t>Biaya Operasi</t>
        </is>
      </c>
      <c r="E423" s="313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5" t="n"/>
      <c r="S423" s="315" t="n"/>
      <c r="T423" s="315" t="n"/>
      <c r="U423" s="315" t="n"/>
      <c r="V423" s="315" t="n"/>
      <c r="W423" s="315" t="n"/>
      <c r="X423" s="315" t="n"/>
      <c r="Y423" s="315" t="n"/>
    </row>
    <row r="424" ht="15.5" customHeight="1">
      <c r="B424" s="286" t="inlineStr">
        <is>
          <t>13-Sep-24</t>
        </is>
      </c>
      <c r="C424" s="278" t="n">
        <v>1</v>
      </c>
      <c r="D424" s="280" t="inlineStr">
        <is>
          <t>Uang makan (6 - 11 September 2024) 6 days</t>
        </is>
      </c>
      <c r="E424" s="280" t="inlineStr">
        <is>
          <t>-</t>
        </is>
      </c>
      <c r="F424" s="287" t="n">
        <v>900000</v>
      </c>
      <c r="G424" s="282" t="inlineStr">
        <is>
          <t>IDR</t>
        </is>
      </c>
      <c r="H424" s="288" t="n">
        <v>1</v>
      </c>
      <c r="I424" s="290" t="n"/>
      <c r="J424" s="289" t="n">
        <v>900000</v>
      </c>
      <c r="K424" s="291" t="n"/>
      <c r="L424" s="280" t="n"/>
      <c r="M424" s="280" t="n"/>
      <c r="N424" s="280" t="n"/>
      <c r="O424" s="280" t="n"/>
      <c r="P424" s="280" t="n"/>
      <c r="Q424" s="280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2</v>
      </c>
      <c r="D425" s="280" t="inlineStr">
        <is>
          <t>Laundry (6 - 11 September 2024) 6 days</t>
        </is>
      </c>
      <c r="E425" s="280" t="inlineStr">
        <is>
          <t>-</t>
        </is>
      </c>
      <c r="F425" s="287" t="n">
        <v>300000</v>
      </c>
      <c r="G425" s="282" t="inlineStr">
        <is>
          <t>IDR</t>
        </is>
      </c>
      <c r="H425" s="288" t="n">
        <v>1</v>
      </c>
      <c r="I425" s="290" t="n"/>
      <c r="J425" s="289" t="n">
        <v>300000</v>
      </c>
      <c r="K425" s="291" t="n"/>
      <c r="L425" s="280" t="n"/>
      <c r="M425" s="280" t="n"/>
      <c r="N425" s="280" t="n"/>
      <c r="O425" s="280" t="n"/>
      <c r="P425" s="280" t="n"/>
      <c r="Q425" s="280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inlineStr">
        <is>
          <t>13-Sep-24</t>
        </is>
      </c>
      <c r="C426" s="278" t="n">
        <v>3</v>
      </c>
      <c r="D426" s="280" t="inlineStr">
        <is>
          <t>Tunjangan Lapangan PBM - 009 (6 - 11 September 2024)</t>
        </is>
      </c>
      <c r="E426" s="280" t="inlineStr">
        <is>
          <t>-</t>
        </is>
      </c>
      <c r="F426" s="287" t="n">
        <v>2317500</v>
      </c>
      <c r="G426" s="282" t="inlineStr">
        <is>
          <t>$</t>
        </is>
      </c>
      <c r="H426" s="288" t="n">
        <v>15450</v>
      </c>
      <c r="I426" s="290" t="n"/>
      <c r="J426" s="289" t="n">
        <v>2317500</v>
      </c>
      <c r="K426" s="291" t="n"/>
      <c r="L426" s="280" t="n"/>
      <c r="M426" s="280" t="n"/>
      <c r="N426" s="280" t="n"/>
      <c r="O426" s="280" t="n"/>
      <c r="P426" s="280" t="n"/>
      <c r="Q426" s="280" t="n"/>
      <c r="R426" s="285" t="n"/>
      <c r="S426" s="285" t="n"/>
      <c r="T426" s="285" t="n"/>
      <c r="U426" s="285" t="n"/>
      <c r="V426" s="285" t="n"/>
      <c r="W426" s="285" t="n"/>
      <c r="X426" s="285" t="n"/>
      <c r="Y426" s="285" t="n"/>
    </row>
    <row r="427" ht="15.5" customHeight="1">
      <c r="B427" s="333" t="inlineStr">
        <is>
          <t>Expense#31</t>
        </is>
      </c>
      <c r="C427" s="303" t="inlineStr">
        <is>
          <t>:</t>
        </is>
      </c>
      <c r="D427" s="304" t="inlineStr">
        <is>
          <t>ALFA PMB-009 (Cancel)_ TMA</t>
        </is>
      </c>
      <c r="E427" s="305" t="n"/>
      <c r="F427" s="326" t="n"/>
      <c r="G427" s="303" t="n"/>
      <c r="H427" s="303" t="n"/>
      <c r="I427" s="309" t="n"/>
      <c r="J427" s="309" t="n"/>
      <c r="K427" s="309" t="n"/>
      <c r="L427" s="309" t="n"/>
      <c r="M427" s="308" t="n"/>
      <c r="N427" s="308" t="n"/>
      <c r="O427" s="309" t="n"/>
      <c r="P427" s="309" t="n"/>
      <c r="Q427" s="309" t="n"/>
      <c r="R427" s="310" t="n"/>
      <c r="S427" s="310" t="n"/>
      <c r="T427" s="310" t="n"/>
      <c r="U427" s="310" t="n"/>
      <c r="V427" s="310" t="n"/>
      <c r="W427" s="310" t="n"/>
      <c r="X427" s="310" t="n"/>
      <c r="Y427" s="310" t="n"/>
    </row>
    <row r="428" ht="15.5" customHeight="1">
      <c r="B428" s="277" t="n"/>
      <c r="C428" s="278" t="n"/>
      <c r="D428" s="312" t="inlineStr">
        <is>
          <t>Biaya Operasi</t>
        </is>
      </c>
      <c r="E428" s="313" t="n"/>
      <c r="F428" s="281" t="n"/>
      <c r="G428" s="278" t="n"/>
      <c r="H428" s="278" t="n"/>
      <c r="I428" s="279" t="n"/>
      <c r="J428" s="279" t="n"/>
      <c r="K428" s="279" t="n"/>
      <c r="L428" s="279" t="n"/>
      <c r="M428" s="283" t="n"/>
      <c r="N428" s="284" t="n"/>
      <c r="O428" s="279" t="n"/>
      <c r="P428" s="279" t="n"/>
      <c r="Q428" s="279" t="n"/>
      <c r="R428" s="315" t="n"/>
      <c r="S428" s="315" t="n"/>
      <c r="T428" s="315" t="n"/>
      <c r="U428" s="315" t="n"/>
      <c r="V428" s="315" t="n"/>
      <c r="W428" s="315" t="n"/>
      <c r="X428" s="315" t="n"/>
      <c r="Y428" s="315" t="n"/>
    </row>
    <row r="429" ht="15.5" customHeight="1">
      <c r="B429" s="286" t="inlineStr">
        <is>
          <t>06-Sep-24</t>
        </is>
      </c>
      <c r="C429" s="278" t="n">
        <v>1</v>
      </c>
      <c r="D429" s="280" t="inlineStr">
        <is>
          <t>Hotel 6 Sept - 11 Sept (5 days)</t>
        </is>
      </c>
      <c r="E429" s="280" t="inlineStr">
        <is>
          <t>-</t>
        </is>
      </c>
      <c r="F429" s="287" t="n">
        <v>1800000</v>
      </c>
      <c r="G429" s="282" t="inlineStr">
        <is>
          <t>IDR</t>
        </is>
      </c>
      <c r="H429" s="288" t="n">
        <v>1</v>
      </c>
      <c r="I429" s="290" t="n"/>
      <c r="J429" s="289" t="n">
        <v>1800000</v>
      </c>
      <c r="K429" s="291" t="n"/>
      <c r="L429" s="280" t="n"/>
      <c r="M429" s="280" t="n"/>
      <c r="N429" s="280" t="n"/>
      <c r="O429" s="280" t="n"/>
      <c r="P429" s="280" t="n"/>
      <c r="Q429" s="28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2</v>
      </c>
      <c r="D430" s="280" t="inlineStr">
        <is>
          <t>Laundry 6 days 1 Persons @ 50K IDR/day</t>
        </is>
      </c>
      <c r="E430" s="280" t="inlineStr">
        <is>
          <t>-</t>
        </is>
      </c>
      <c r="F430" s="287" t="n">
        <v>300000</v>
      </c>
      <c r="G430" s="282" t="inlineStr">
        <is>
          <t>IDR</t>
        </is>
      </c>
      <c r="H430" s="288" t="n">
        <v>1</v>
      </c>
      <c r="I430" s="290" t="n"/>
      <c r="J430" s="289" t="n">
        <v>300000</v>
      </c>
      <c r="K430" s="291" t="n"/>
      <c r="L430" s="280" t="n"/>
      <c r="M430" s="280" t="n"/>
      <c r="N430" s="280" t="n"/>
      <c r="O430" s="280" t="n"/>
      <c r="P430" s="280" t="n"/>
      <c r="Q430" s="280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inlineStr">
        <is>
          <t>06-Sep-24</t>
        </is>
      </c>
      <c r="C431" s="278" t="n">
        <v>3</v>
      </c>
      <c r="D431" s="280" t="inlineStr">
        <is>
          <t>Airplane Ticket CGK-PLM</t>
        </is>
      </c>
      <c r="E431" s="280" t="inlineStr">
        <is>
          <t>-</t>
        </is>
      </c>
      <c r="F431" s="287" t="n">
        <v>904682</v>
      </c>
      <c r="G431" s="282" t="inlineStr">
        <is>
          <t>IDR</t>
        </is>
      </c>
      <c r="H431" s="288" t="n">
        <v>1</v>
      </c>
      <c r="I431" s="290" t="n"/>
      <c r="J431" s="289" t="n">
        <v>904682</v>
      </c>
      <c r="K431" s="291" t="n"/>
      <c r="L431" s="280" t="n"/>
      <c r="M431" s="280" t="n"/>
      <c r="N431" s="280" t="n"/>
      <c r="O431" s="280" t="n"/>
      <c r="P431" s="280" t="n"/>
      <c r="Q431" s="280" t="n"/>
      <c r="R431" s="285" t="n"/>
      <c r="S431" s="285" t="n"/>
      <c r="T431" s="285" t="n"/>
      <c r="U431" s="285" t="n"/>
      <c r="V431" s="285" t="n"/>
      <c r="W431" s="285" t="n"/>
      <c r="X431" s="285" t="n"/>
      <c r="Y431" s="285" t="n"/>
    </row>
    <row r="432" ht="15.5" customHeight="1">
      <c r="B432" s="286" t="inlineStr">
        <is>
          <t>06-Sep-24</t>
        </is>
      </c>
      <c r="C432" s="278" t="n">
        <v>4</v>
      </c>
      <c r="D432" s="280" t="inlineStr">
        <is>
          <t>Taxi Pondok Cabe-Vania-CGK (inc Toll)</t>
        </is>
      </c>
      <c r="E432" s="280" t="inlineStr">
        <is>
          <t>-</t>
        </is>
      </c>
      <c r="F432" s="287" t="n">
        <v>256500</v>
      </c>
      <c r="G432" s="282" t="inlineStr">
        <is>
          <t>IDR</t>
        </is>
      </c>
      <c r="H432" s="288" t="n">
        <v>1</v>
      </c>
      <c r="I432" s="290" t="n"/>
      <c r="J432" s="289" t="n">
        <v>256500</v>
      </c>
      <c r="K432" s="291" t="n"/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  <c r="Y432" s="285" t="n"/>
    </row>
    <row r="433" ht="15.5" customHeight="1">
      <c r="B433" s="286" t="inlineStr">
        <is>
          <t>06-Sep-24</t>
        </is>
      </c>
      <c r="C433" s="278" t="n">
        <v>5</v>
      </c>
      <c r="D433" s="280" t="inlineStr">
        <is>
          <t>Toll (PLM-Prabumulih-PLM)</t>
        </is>
      </c>
      <c r="E433" s="280" t="inlineStr">
        <is>
          <t>-</t>
        </is>
      </c>
      <c r="F433" s="287" t="n">
        <v>224000</v>
      </c>
      <c r="G433" s="282" t="inlineStr">
        <is>
          <t>IDR</t>
        </is>
      </c>
      <c r="H433" s="288" t="n">
        <v>1</v>
      </c>
      <c r="I433" s="290" t="n"/>
      <c r="J433" s="289" t="n">
        <v>224000</v>
      </c>
      <c r="K433" s="291" t="n"/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  <c r="Y433" s="285" t="n"/>
    </row>
    <row r="434" ht="15.5" customHeight="1">
      <c r="B434" s="286" t="inlineStr">
        <is>
          <t>06-Sep-24</t>
        </is>
      </c>
      <c r="C434" s="278" t="n">
        <v>6</v>
      </c>
      <c r="D434" s="280" t="inlineStr">
        <is>
          <t>Rent Car 6 Days</t>
        </is>
      </c>
      <c r="E434" s="280" t="inlineStr">
        <is>
          <t>-</t>
        </is>
      </c>
      <c r="F434" s="287" t="n">
        <v>3000000</v>
      </c>
      <c r="G434" s="282" t="inlineStr">
        <is>
          <t>IDR</t>
        </is>
      </c>
      <c r="H434" s="288" t="n">
        <v>1</v>
      </c>
      <c r="I434" s="290" t="n"/>
      <c r="J434" s="289" t="n">
        <v>3000000</v>
      </c>
      <c r="K434" s="291" t="n"/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  <c r="Y434" s="285" t="n"/>
    </row>
    <row r="435" ht="15.5" customHeight="1">
      <c r="B435" s="286" t="inlineStr">
        <is>
          <t>06-Sep-24</t>
        </is>
      </c>
      <c r="C435" s="278" t="n">
        <v>7</v>
      </c>
      <c r="D435" s="280" t="inlineStr">
        <is>
          <t>Gasoline</t>
        </is>
      </c>
      <c r="E435" s="280" t="inlineStr">
        <is>
          <t>-</t>
        </is>
      </c>
      <c r="F435" s="287" t="n">
        <v>400000</v>
      </c>
      <c r="G435" s="282" t="inlineStr">
        <is>
          <t>IDR</t>
        </is>
      </c>
      <c r="H435" s="288" t="n">
        <v>1</v>
      </c>
      <c r="I435" s="290" t="n"/>
      <c r="J435" s="289" t="n">
        <v>400000</v>
      </c>
      <c r="K435" s="291" t="n"/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  <c r="Y435" s="285" t="n"/>
    </row>
    <row r="436" ht="15.5" customHeight="1">
      <c r="B436" s="286" t="inlineStr">
        <is>
          <t>06-Sep-24</t>
        </is>
      </c>
      <c r="C436" s="278" t="n">
        <v>8</v>
      </c>
      <c r="D436" s="280" t="inlineStr">
        <is>
          <t>Taxi CGK-Pondok Cabe (inc Toll+Parking)</t>
        </is>
      </c>
      <c r="E436" s="280" t="inlineStr">
        <is>
          <t>-</t>
        </is>
      </c>
      <c r="F436" s="287" t="n">
        <v>310660</v>
      </c>
      <c r="G436" s="282" t="inlineStr">
        <is>
          <t>IDR</t>
        </is>
      </c>
      <c r="H436" s="288" t="n">
        <v>1</v>
      </c>
      <c r="I436" s="290" t="n"/>
      <c r="J436" s="289" t="n">
        <v>310660</v>
      </c>
      <c r="K436" s="291" t="n"/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  <c r="Y436" s="285" t="n"/>
    </row>
    <row r="437" ht="15.5" customHeight="1">
      <c r="B437" s="286" t="inlineStr">
        <is>
          <t>06-Sep-24</t>
        </is>
      </c>
      <c r="C437" s="278" t="n">
        <v>9</v>
      </c>
      <c r="D437" s="280" t="inlineStr">
        <is>
          <t>Field Allowance</t>
        </is>
      </c>
      <c r="E437" s="280" t="inlineStr">
        <is>
          <t>-</t>
        </is>
      </c>
      <c r="F437" s="287" t="n">
        <v>9262800</v>
      </c>
      <c r="G437" s="282" t="inlineStr">
        <is>
          <t>USD</t>
        </is>
      </c>
      <c r="H437" s="288" t="n">
        <v>15438</v>
      </c>
      <c r="I437" s="290" t="n"/>
      <c r="J437" s="289" t="n">
        <v>9262800</v>
      </c>
      <c r="K437" s="291" t="n"/>
      <c r="L437" s="280" t="n"/>
      <c r="M437" s="280" t="n"/>
      <c r="N437" s="280" t="n"/>
      <c r="O437" s="280" t="n"/>
      <c r="P437" s="280" t="n"/>
      <c r="Q437" s="280" t="n"/>
      <c r="R437" s="285" t="n"/>
      <c r="S437" s="285" t="n"/>
      <c r="T437" s="285" t="n"/>
      <c r="U437" s="285" t="n"/>
      <c r="V437" s="285" t="n"/>
      <c r="W437" s="285" t="n"/>
      <c r="X437" s="285" t="n"/>
      <c r="Y437" s="285" t="n"/>
    </row>
    <row r="438" ht="15.5" customHeight="1">
      <c r="B438" s="286" t="inlineStr">
        <is>
          <t>06-Sep-24</t>
        </is>
      </c>
      <c r="C438" s="278" t="n">
        <v>10</v>
      </c>
      <c r="D438" s="280" t="inlineStr">
        <is>
          <t>Meals</t>
        </is>
      </c>
      <c r="E438" s="280" t="inlineStr">
        <is>
          <t>-</t>
        </is>
      </c>
      <c r="F438" s="287" t="n">
        <v>900000</v>
      </c>
      <c r="G438" s="282" t="inlineStr">
        <is>
          <t>IDR</t>
        </is>
      </c>
      <c r="H438" s="288" t="n">
        <v>1</v>
      </c>
      <c r="I438" s="290" t="n"/>
      <c r="J438" s="289" t="n">
        <v>900000</v>
      </c>
      <c r="K438" s="291" t="n"/>
      <c r="L438" s="280" t="n"/>
      <c r="M438" s="280" t="n"/>
      <c r="N438" s="280" t="n"/>
      <c r="O438" s="280" t="n"/>
      <c r="P438" s="280" t="n"/>
      <c r="Q438" s="280" t="n"/>
      <c r="R438" s="285" t="n"/>
      <c r="S438" s="285" t="n"/>
      <c r="T438" s="285" t="n"/>
      <c r="U438" s="285" t="n"/>
      <c r="V438" s="285" t="n"/>
      <c r="W438" s="285" t="n"/>
      <c r="X438" s="285" t="n"/>
      <c r="Y438" s="285" t="n"/>
    </row>
    <row r="439" ht="15.5" customHeight="1">
      <c r="B439" s="286" t="inlineStr">
        <is>
          <t>08-Sep-24</t>
        </is>
      </c>
      <c r="C439" s="278" t="n">
        <v>11</v>
      </c>
      <c r="D439" s="280" t="inlineStr">
        <is>
          <t>Airplane Ticket PLM-CGK</t>
        </is>
      </c>
      <c r="E439" s="280" t="inlineStr">
        <is>
          <t>-</t>
        </is>
      </c>
      <c r="F439" s="287" t="n">
        <v>836100</v>
      </c>
      <c r="G439" s="282" t="inlineStr">
        <is>
          <t>IDR</t>
        </is>
      </c>
      <c r="H439" s="288" t="n">
        <v>1</v>
      </c>
      <c r="I439" s="290" t="n"/>
      <c r="J439" s="289" t="n">
        <v>836100</v>
      </c>
      <c r="K439" s="291" t="n"/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  <c r="Y439" s="285" t="n"/>
    </row>
    <row r="440" ht="15.5" customHeight="1">
      <c r="B440" s="302" t="inlineStr">
        <is>
          <t>Expense#32</t>
        </is>
      </c>
      <c r="C440" s="303" t="inlineStr">
        <is>
          <t>:</t>
        </is>
      </c>
      <c r="D440" s="304" t="inlineStr">
        <is>
          <t>ALFA PMB-009 (Cancel)_ TMA</t>
        </is>
      </c>
      <c r="E440" s="305" t="n"/>
      <c r="F440" s="326" t="n"/>
      <c r="G440" s="303" t="n"/>
      <c r="H440" s="303" t="n"/>
      <c r="I440" s="307" t="n"/>
      <c r="J440" s="309" t="n"/>
      <c r="K440" s="309" t="n"/>
      <c r="L440" s="309" t="n"/>
      <c r="M440" s="309" t="n"/>
      <c r="N440" s="309" t="n"/>
      <c r="O440" s="309" t="n"/>
      <c r="P440" s="309" t="n"/>
      <c r="Q440" s="309" t="n"/>
      <c r="R440" s="310" t="n"/>
      <c r="S440" s="310" t="n"/>
      <c r="T440" s="310" t="n"/>
      <c r="U440" s="310" t="n"/>
      <c r="V440" s="310" t="n"/>
      <c r="W440" s="310" t="n"/>
      <c r="X440" s="310" t="n"/>
      <c r="Y440" s="310" t="n"/>
    </row>
    <row r="441" ht="15.5" customHeight="1">
      <c r="B441" s="311" t="n"/>
      <c r="C441" s="278" t="n"/>
      <c r="D441" s="312" t="inlineStr">
        <is>
          <t>Biaya Operasi</t>
        </is>
      </c>
      <c r="E441" s="313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5" t="n"/>
      <c r="S441" s="315" t="n"/>
      <c r="T441" s="315" t="n"/>
      <c r="U441" s="315" t="n"/>
      <c r="V441" s="315" t="n"/>
      <c r="W441" s="315" t="n"/>
      <c r="X441" s="315" t="n"/>
      <c r="Y441" s="315" t="n"/>
    </row>
    <row r="442" ht="15.5" customHeight="1">
      <c r="B442" s="286" t="inlineStr">
        <is>
          <t>22-Sep-24</t>
        </is>
      </c>
      <c r="C442" s="278" t="n">
        <v>1</v>
      </c>
      <c r="D442" s="280" t="inlineStr">
        <is>
          <t>Taxi+Tol Serpong - Gambir</t>
        </is>
      </c>
      <c r="E442" s="280" t="inlineStr">
        <is>
          <t>-</t>
        </is>
      </c>
      <c r="F442" s="287" t="n">
        <v>241280</v>
      </c>
      <c r="G442" s="282" t="inlineStr">
        <is>
          <t>IDR</t>
        </is>
      </c>
      <c r="H442" s="288" t="n">
        <v>1</v>
      </c>
      <c r="I442" s="290" t="n"/>
      <c r="J442" s="289" t="n">
        <v>241280</v>
      </c>
      <c r="K442" s="291" t="n"/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23-Sep-24</t>
        </is>
      </c>
      <c r="C443" s="278" t="n">
        <v>2</v>
      </c>
      <c r="D443" s="280" t="inlineStr">
        <is>
          <t>Gocar St. Cepu, Kalog - Bojonegoro</t>
        </is>
      </c>
      <c r="E443" s="280" t="inlineStr">
        <is>
          <t>-</t>
        </is>
      </c>
      <c r="F443" s="287" t="n">
        <v>250000</v>
      </c>
      <c r="G443" s="282" t="inlineStr">
        <is>
          <t>IDR</t>
        </is>
      </c>
      <c r="H443" s="288" t="n">
        <v>1</v>
      </c>
      <c r="I443" s="290" t="n"/>
      <c r="J443" s="289" t="n">
        <v>250000</v>
      </c>
      <c r="K443" s="291" t="n"/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inlineStr">
        <is>
          <t>26-Sep-24</t>
        </is>
      </c>
      <c r="C444" s="278" t="n">
        <v>3</v>
      </c>
      <c r="D444" s="280" t="inlineStr">
        <is>
          <t>Taxi+Tol Gambir - Serpong</t>
        </is>
      </c>
      <c r="E444" s="280" t="inlineStr">
        <is>
          <t>-</t>
        </is>
      </c>
      <c r="F444" s="287" t="n">
        <v>240000</v>
      </c>
      <c r="G444" s="282" t="inlineStr">
        <is>
          <t>IDR</t>
        </is>
      </c>
      <c r="H444" s="288" t="n">
        <v>1</v>
      </c>
      <c r="I444" s="290" t="n"/>
      <c r="J444" s="289" t="n">
        <v>240000</v>
      </c>
      <c r="K444" s="291" t="n"/>
      <c r="L444" s="280" t="n"/>
      <c r="M444" s="280" t="n"/>
      <c r="N444" s="280" t="n"/>
      <c r="O444" s="280" t="n"/>
      <c r="P444" s="280" t="n"/>
      <c r="Q444" s="280" t="n"/>
      <c r="R444" s="285" t="n"/>
      <c r="S444" s="285" t="n"/>
      <c r="T444" s="285" t="n"/>
      <c r="U444" s="285" t="n"/>
      <c r="V444" s="285" t="n"/>
      <c r="W444" s="285" t="n"/>
      <c r="X444" s="285" t="n"/>
      <c r="Y444" s="285" t="n"/>
    </row>
    <row r="445" ht="15.5" customHeight="1">
      <c r="B445" s="286" t="inlineStr">
        <is>
          <t>26-Sep-24</t>
        </is>
      </c>
      <c r="C445" s="278" t="n">
        <v>4</v>
      </c>
      <c r="D445" s="280" t="inlineStr">
        <is>
          <t>Uang Makan (22 - 26 Sept 2024)</t>
        </is>
      </c>
      <c r="E445" s="280" t="inlineStr">
        <is>
          <t>-</t>
        </is>
      </c>
      <c r="F445" s="287" t="n">
        <v>750000</v>
      </c>
      <c r="G445" s="282" t="inlineStr">
        <is>
          <t>IDR</t>
        </is>
      </c>
      <c r="H445" s="288" t="n">
        <v>1</v>
      </c>
      <c r="I445" s="290" t="n"/>
      <c r="J445" s="289" t="n">
        <v>750000</v>
      </c>
      <c r="K445" s="291" t="n"/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  <c r="Y445" s="285" t="n"/>
    </row>
    <row r="446" ht="15.5" customHeight="1">
      <c r="B446" s="286" t="inlineStr">
        <is>
          <t>26-Sep-24</t>
        </is>
      </c>
      <c r="C446" s="278" t="n">
        <v>5</v>
      </c>
      <c r="D446" s="280" t="inlineStr">
        <is>
          <t>Laundry (22 - 26 Sept 2024)</t>
        </is>
      </c>
      <c r="E446" s="280" t="inlineStr">
        <is>
          <t>-</t>
        </is>
      </c>
      <c r="F446" s="287" t="n">
        <v>250000</v>
      </c>
      <c r="G446" s="282" t="inlineStr">
        <is>
          <t>IDR</t>
        </is>
      </c>
      <c r="H446" s="288" t="n">
        <v>1</v>
      </c>
      <c r="I446" s="290" t="n"/>
      <c r="J446" s="289" t="n">
        <v>250000</v>
      </c>
      <c r="K446" s="291" t="n"/>
      <c r="L446" s="280" t="n"/>
      <c r="M446" s="280" t="n"/>
      <c r="N446" s="280" t="n"/>
      <c r="O446" s="280" t="n"/>
      <c r="P446" s="280" t="n"/>
      <c r="Q446" s="280" t="n"/>
      <c r="R446" s="285" t="n"/>
      <c r="S446" s="285" t="n"/>
      <c r="T446" s="285" t="n"/>
      <c r="U446" s="285" t="n"/>
      <c r="V446" s="285" t="n"/>
      <c r="W446" s="285" t="n"/>
      <c r="X446" s="285" t="n"/>
      <c r="Y446" s="285" t="n"/>
    </row>
    <row r="447" ht="15.5" customHeight="1">
      <c r="B447" s="286" t="inlineStr">
        <is>
          <t>26-Sep-24</t>
        </is>
      </c>
      <c r="C447" s="278" t="n">
        <v>6</v>
      </c>
      <c r="D447" s="280" t="inlineStr">
        <is>
          <t>Field Bonus SKW#26 (22 - 26 Sept 2024). 1US$=15.100</t>
        </is>
      </c>
      <c r="E447" s="280" t="inlineStr">
        <is>
          <t>-</t>
        </is>
      </c>
      <c r="F447" s="287" t="n">
        <v>500</v>
      </c>
      <c r="G447" s="282" t="inlineStr">
        <is>
          <t>IDR</t>
        </is>
      </c>
      <c r="H447" s="288" t="n">
        <v>15100</v>
      </c>
      <c r="I447" s="290" t="n"/>
      <c r="J447" s="289" t="n">
        <v>500</v>
      </c>
      <c r="K447" s="291" t="n"/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  <c r="Y447" s="285" t="n"/>
    </row>
    <row r="448" ht="15.5" customHeight="1">
      <c r="B448" s="302" t="inlineStr">
        <is>
          <t>Expense#33</t>
        </is>
      </c>
      <c r="C448" s="303" t="inlineStr">
        <is>
          <t>:</t>
        </is>
      </c>
      <c r="D448" s="304" t="inlineStr">
        <is>
          <t>ALFA Job JRK-095 (Jirak) - IBR</t>
        </is>
      </c>
      <c r="E448" s="305" t="n"/>
      <c r="F448" s="326" t="n"/>
      <c r="G448" s="303" t="n"/>
      <c r="H448" s="303" t="n"/>
      <c r="I448" s="308" t="n"/>
      <c r="J448" s="309" t="n"/>
      <c r="K448" s="309" t="n"/>
      <c r="L448" s="309" t="n"/>
      <c r="M448" s="309" t="n"/>
      <c r="N448" s="309" t="n"/>
      <c r="O448" s="309" t="n"/>
      <c r="P448" s="309" t="n"/>
      <c r="Q448" s="309" t="n"/>
      <c r="R448" s="310" t="n"/>
      <c r="S448" s="310" t="n"/>
      <c r="T448" s="310" t="n"/>
      <c r="U448" s="310" t="n"/>
      <c r="V448" s="310" t="n"/>
      <c r="W448" s="310" t="n"/>
      <c r="X448" s="310" t="n"/>
      <c r="Y448" s="310" t="n"/>
    </row>
    <row r="449" ht="15.5" customHeight="1">
      <c r="B449" s="311" t="n"/>
      <c r="C449" s="278" t="n"/>
      <c r="D449" s="312" t="inlineStr">
        <is>
          <t>Biaya Operasi</t>
        </is>
      </c>
      <c r="E449" s="313" t="n"/>
      <c r="F449" s="281" t="n"/>
      <c r="G449" s="278" t="n"/>
      <c r="H449" s="278" t="n"/>
      <c r="I449" s="284" t="n"/>
      <c r="J449" s="279" t="n"/>
      <c r="K449" s="279" t="n"/>
      <c r="L449" s="279" t="n"/>
      <c r="M449" s="279" t="n"/>
      <c r="N449" s="279" t="n"/>
      <c r="O449" s="279" t="n"/>
      <c r="P449" s="279" t="n"/>
      <c r="Q449" s="279" t="n"/>
      <c r="R449" s="315" t="n"/>
      <c r="S449" s="315" t="n"/>
      <c r="T449" s="315" t="n"/>
      <c r="U449" s="315" t="n"/>
      <c r="V449" s="315" t="n"/>
      <c r="W449" s="315" t="n"/>
      <c r="X449" s="315" t="n"/>
      <c r="Y449" s="315" t="n"/>
    </row>
    <row r="450" ht="15.5" customHeight="1">
      <c r="B450" s="286" t="inlineStr">
        <is>
          <t>28-Sep-24</t>
        </is>
      </c>
      <c r="C450" s="278" t="n">
        <v>1</v>
      </c>
      <c r="D450" s="280" t="inlineStr">
        <is>
          <t>Hotel 21 Sept - 27 Sept 2024 (6 days)</t>
        </is>
      </c>
      <c r="E450" s="280" t="inlineStr">
        <is>
          <t>-</t>
        </is>
      </c>
      <c r="F450" s="287" t="n">
        <v>1680000</v>
      </c>
      <c r="G450" s="282" t="inlineStr">
        <is>
          <t>IDR</t>
        </is>
      </c>
      <c r="H450" s="288" t="n">
        <v>1</v>
      </c>
      <c r="I450" s="290" t="n"/>
      <c r="J450" s="289" t="n">
        <v>1680000</v>
      </c>
      <c r="K450" s="291" t="n"/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2</v>
      </c>
      <c r="D451" s="280" t="inlineStr">
        <is>
          <t>Laundry 20 Sept - 27 Sept 2024 (7days) @ Rp. 50000</t>
        </is>
      </c>
      <c r="E451" s="280" t="inlineStr">
        <is>
          <t>-</t>
        </is>
      </c>
      <c r="F451" s="287" t="n">
        <v>350000</v>
      </c>
      <c r="G451" s="282" t="inlineStr">
        <is>
          <t>IDR</t>
        </is>
      </c>
      <c r="H451" s="288" t="n">
        <v>1</v>
      </c>
      <c r="I451" s="290" t="n"/>
      <c r="J451" s="289" t="n">
        <v>350000</v>
      </c>
      <c r="K451" s="291" t="n"/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inlineStr">
        <is>
          <t>28-Sep-24</t>
        </is>
      </c>
      <c r="C452" s="278" t="n">
        <v>3</v>
      </c>
      <c r="D452" s="280" t="inlineStr">
        <is>
          <t>Gasoline</t>
        </is>
      </c>
      <c r="E452" s="280" t="inlineStr">
        <is>
          <t>-</t>
        </is>
      </c>
      <c r="F452" s="287" t="n">
        <v>200000</v>
      </c>
      <c r="G452" s="282" t="inlineStr">
        <is>
          <t>IDR</t>
        </is>
      </c>
      <c r="H452" s="288" t="n">
        <v>1</v>
      </c>
      <c r="I452" s="290" t="n"/>
      <c r="J452" s="289" t="n">
        <v>200000</v>
      </c>
      <c r="K452" s="291" t="n"/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  <c r="Y452" s="285" t="n"/>
    </row>
    <row r="453" ht="15.5" customHeight="1">
      <c r="B453" s="286" t="inlineStr">
        <is>
          <t>28-Sep-24</t>
        </is>
      </c>
      <c r="C453" s="278" t="n">
        <v>4</v>
      </c>
      <c r="D453" s="280" t="inlineStr">
        <is>
          <t>Gasoline</t>
        </is>
      </c>
      <c r="E453" s="280" t="inlineStr">
        <is>
          <t>-</t>
        </is>
      </c>
      <c r="F453" s="287" t="n">
        <v>215000</v>
      </c>
      <c r="G453" s="282" t="inlineStr">
        <is>
          <t>IDR</t>
        </is>
      </c>
      <c r="H453" s="288" t="n">
        <v>1</v>
      </c>
      <c r="I453" s="290" t="n"/>
      <c r="J453" s="289" t="n">
        <v>215000</v>
      </c>
      <c r="K453" s="291" t="n"/>
      <c r="L453" s="280" t="n"/>
      <c r="M453" s="280" t="n"/>
      <c r="N453" s="280" t="n"/>
      <c r="O453" s="280" t="n"/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  <c r="Y453" s="285" t="n"/>
    </row>
    <row r="454" ht="15.5" customHeight="1">
      <c r="B454" s="286" t="inlineStr">
        <is>
          <t>28-Sep-24</t>
        </is>
      </c>
      <c r="C454" s="278" t="n">
        <v>5</v>
      </c>
      <c r="D454" s="280" t="inlineStr">
        <is>
          <t>Gasoline</t>
        </is>
      </c>
      <c r="E454" s="280" t="inlineStr">
        <is>
          <t>-</t>
        </is>
      </c>
      <c r="F454" s="287" t="n">
        <v>197000</v>
      </c>
      <c r="G454" s="282" t="inlineStr">
        <is>
          <t>IDR</t>
        </is>
      </c>
      <c r="H454" s="288" t="n">
        <v>1</v>
      </c>
      <c r="I454" s="290" t="n"/>
      <c r="J454" s="289" t="n">
        <v>197000</v>
      </c>
      <c r="K454" s="291" t="n"/>
      <c r="L454" s="280" t="n"/>
      <c r="M454" s="280" t="n"/>
      <c r="N454" s="280" t="n"/>
      <c r="O454" s="280" t="n"/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  <c r="Y454" s="285" t="n"/>
    </row>
    <row r="455" ht="15.5" customHeight="1">
      <c r="B455" s="286" t="inlineStr">
        <is>
          <t>28-Sep-24</t>
        </is>
      </c>
      <c r="C455" s="278" t="n">
        <v>6</v>
      </c>
      <c r="D455" s="280" t="inlineStr">
        <is>
          <t>Gasoline</t>
        </is>
      </c>
      <c r="E455" s="280" t="inlineStr">
        <is>
          <t>-</t>
        </is>
      </c>
      <c r="F455" s="287" t="n">
        <v>200000</v>
      </c>
      <c r="G455" s="282" t="inlineStr">
        <is>
          <t>IDR</t>
        </is>
      </c>
      <c r="H455" s="288" t="n">
        <v>1</v>
      </c>
      <c r="I455" s="290" t="n"/>
      <c r="J455" s="289" t="n">
        <v>200000</v>
      </c>
      <c r="K455" s="291" t="n"/>
      <c r="L455" s="280" t="n"/>
      <c r="M455" s="280" t="n"/>
      <c r="N455" s="280" t="n"/>
      <c r="O455" s="280" t="n"/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  <c r="Y455" s="285" t="n"/>
    </row>
    <row r="456" ht="15.5" customHeight="1">
      <c r="B456" s="286" t="inlineStr">
        <is>
          <t>28-Sep-24</t>
        </is>
      </c>
      <c r="C456" s="278" t="n">
        <v>7</v>
      </c>
      <c r="D456" s="280" t="inlineStr">
        <is>
          <t>Gasoline</t>
        </is>
      </c>
      <c r="E456" s="280" t="inlineStr">
        <is>
          <t>-</t>
        </is>
      </c>
      <c r="F456" s="287" t="n">
        <v>220000</v>
      </c>
      <c r="G456" s="282" t="inlineStr">
        <is>
          <t>IDR</t>
        </is>
      </c>
      <c r="H456" s="288" t="n">
        <v>1</v>
      </c>
      <c r="I456" s="290" t="n"/>
      <c r="J456" s="289" t="n">
        <v>220000</v>
      </c>
      <c r="K456" s="291" t="n"/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  <c r="Y456" s="285" t="n"/>
    </row>
    <row r="457" ht="15.5" customHeight="1">
      <c r="B457" s="286" t="inlineStr">
        <is>
          <t>28-Sep-24</t>
        </is>
      </c>
      <c r="C457" s="278" t="n">
        <v>8</v>
      </c>
      <c r="D457" s="280" t="inlineStr">
        <is>
          <t>Toll (PLM-Prabumulih)</t>
        </is>
      </c>
      <c r="E457" s="280" t="inlineStr">
        <is>
          <t>-</t>
        </is>
      </c>
      <c r="F457" s="287" t="n">
        <v>112000</v>
      </c>
      <c r="G457" s="282" t="inlineStr">
        <is>
          <t>IDR</t>
        </is>
      </c>
      <c r="H457" s="288" t="n">
        <v>1</v>
      </c>
      <c r="I457" s="290" t="n"/>
      <c r="J457" s="289" t="n">
        <v>112000</v>
      </c>
      <c r="K457" s="291" t="n"/>
      <c r="L457" s="280" t="n"/>
      <c r="M457" s="280" t="n"/>
      <c r="N457" s="280" t="n"/>
      <c r="O457" s="280" t="n"/>
      <c r="P457" s="280" t="n"/>
      <c r="Q457" s="280" t="n"/>
      <c r="R457" s="285" t="n"/>
      <c r="S457" s="285" t="n"/>
      <c r="T457" s="285" t="n"/>
      <c r="U457" s="285" t="n"/>
      <c r="V457" s="285" t="n"/>
      <c r="W457" s="285" t="n"/>
      <c r="X457" s="285" t="n"/>
      <c r="Y457" s="285" t="n"/>
    </row>
    <row r="458" ht="15.5" customHeight="1">
      <c r="B458" s="286" t="inlineStr">
        <is>
          <t>28-Sep-24</t>
        </is>
      </c>
      <c r="C458" s="278" t="n">
        <v>9</v>
      </c>
      <c r="D458" s="280" t="inlineStr">
        <is>
          <t>Toll (Prabumulih-PLM)</t>
        </is>
      </c>
      <c r="E458" s="280" t="inlineStr">
        <is>
          <t>-</t>
        </is>
      </c>
      <c r="F458" s="287" t="n">
        <v>117000</v>
      </c>
      <c r="G458" s="282" t="inlineStr">
        <is>
          <t>IDR</t>
        </is>
      </c>
      <c r="H458" s="288" t="n">
        <v>1</v>
      </c>
      <c r="I458" s="290" t="n"/>
      <c r="J458" s="289" t="n">
        <v>117000</v>
      </c>
      <c r="K458" s="291" t="n"/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  <c r="Y458" s="285" t="n"/>
    </row>
    <row r="459" ht="15.5" customHeight="1">
      <c r="B459" s="286" t="inlineStr">
        <is>
          <t>28-Sep-24</t>
        </is>
      </c>
      <c r="C459" s="278" t="n">
        <v>10</v>
      </c>
      <c r="D459" s="280" t="inlineStr">
        <is>
          <t>Car Wash</t>
        </is>
      </c>
      <c r="E459" s="280" t="inlineStr">
        <is>
          <t>-</t>
        </is>
      </c>
      <c r="F459" s="287" t="n">
        <v>40000</v>
      </c>
      <c r="G459" s="282" t="inlineStr">
        <is>
          <t>IDR</t>
        </is>
      </c>
      <c r="H459" s="288" t="n">
        <v>1</v>
      </c>
      <c r="I459" s="290" t="n"/>
      <c r="J459" s="289" t="n">
        <v>40000</v>
      </c>
      <c r="K459" s="291" t="n"/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  <c r="Y459" s="285" t="n"/>
    </row>
    <row r="460" ht="15.5" customHeight="1">
      <c r="B460" s="286" t="inlineStr">
        <is>
          <t>28-Sep-24</t>
        </is>
      </c>
      <c r="C460" s="278" t="n">
        <v>11</v>
      </c>
      <c r="D460" s="280" t="inlineStr">
        <is>
          <t>Aqua 600 ML + Sunlight</t>
        </is>
      </c>
      <c r="E460" s="280" t="inlineStr">
        <is>
          <t>-</t>
        </is>
      </c>
      <c r="F460" s="287" t="n">
        <v>65000</v>
      </c>
      <c r="G460" s="282" t="inlineStr">
        <is>
          <t>IDR</t>
        </is>
      </c>
      <c r="H460" s="288" t="n">
        <v>1</v>
      </c>
      <c r="I460" s="290" t="n"/>
      <c r="J460" s="289" t="n">
        <v>65000</v>
      </c>
      <c r="K460" s="291" t="n"/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  <c r="Y460" s="285" t="n"/>
    </row>
    <row r="461" ht="15.5" customHeight="1">
      <c r="B461" s="286" t="inlineStr">
        <is>
          <t>28-Sep-24</t>
        </is>
      </c>
      <c r="C461" s="278" t="n">
        <v>12</v>
      </c>
      <c r="D461" s="280" t="inlineStr">
        <is>
          <t>Fried Food + Soft Drink</t>
        </is>
      </c>
      <c r="E461" s="280" t="inlineStr">
        <is>
          <t>-</t>
        </is>
      </c>
      <c r="F461" s="287" t="n">
        <v>150000</v>
      </c>
      <c r="G461" s="282" t="inlineStr">
        <is>
          <t>IDR</t>
        </is>
      </c>
      <c r="H461" s="288" t="n">
        <v>1</v>
      </c>
      <c r="I461" s="290" t="n"/>
      <c r="J461" s="289" t="n">
        <v>150000</v>
      </c>
      <c r="K461" s="291" t="n"/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  <c r="Y461" s="285" t="n"/>
    </row>
    <row r="462" ht="15.5" customHeight="1">
      <c r="B462" s="286" t="inlineStr">
        <is>
          <t>28-Sep-24</t>
        </is>
      </c>
      <c r="C462" s="278" t="n">
        <v>13</v>
      </c>
      <c r="D462" s="280" t="inlineStr">
        <is>
          <t>Meal's Crew</t>
        </is>
      </c>
      <c r="E462" s="280" t="inlineStr">
        <is>
          <t>-</t>
        </is>
      </c>
      <c r="F462" s="287" t="n">
        <v>120000</v>
      </c>
      <c r="G462" s="282" t="inlineStr">
        <is>
          <t>IDR</t>
        </is>
      </c>
      <c r="H462" s="288" t="n">
        <v>1</v>
      </c>
      <c r="I462" s="290" t="n"/>
      <c r="J462" s="289" t="n">
        <v>120000</v>
      </c>
      <c r="K462" s="291" t="n"/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  <c r="Y462" s="285" t="n"/>
    </row>
    <row r="463" ht="15.5" customHeight="1">
      <c r="B463" s="286" t="inlineStr">
        <is>
          <t>28-Sep-24</t>
        </is>
      </c>
      <c r="C463" s="278" t="n">
        <v>14</v>
      </c>
      <c r="D463" s="280" t="inlineStr">
        <is>
          <t>Snack's Crew</t>
        </is>
      </c>
      <c r="E463" s="280" t="inlineStr">
        <is>
          <t>-</t>
        </is>
      </c>
      <c r="F463" s="287" t="n">
        <v>172000</v>
      </c>
      <c r="G463" s="282" t="inlineStr">
        <is>
          <t>IDR</t>
        </is>
      </c>
      <c r="H463" s="288" t="n">
        <v>1</v>
      </c>
      <c r="I463" s="290" t="n"/>
      <c r="J463" s="289" t="n">
        <v>172000</v>
      </c>
      <c r="K463" s="291" t="n"/>
      <c r="L463" s="280" t="n"/>
      <c r="M463" s="280" t="n"/>
      <c r="N463" s="280" t="n"/>
      <c r="O463" s="280" t="n"/>
      <c r="P463" s="280" t="n"/>
      <c r="Q463" s="280" t="n"/>
      <c r="R463" s="285" t="n"/>
      <c r="S463" s="285" t="n"/>
      <c r="T463" s="285" t="n"/>
      <c r="U463" s="285" t="n"/>
      <c r="V463" s="285" t="n"/>
      <c r="W463" s="285" t="n"/>
      <c r="X463" s="285" t="n"/>
      <c r="Y463" s="285" t="n"/>
    </row>
    <row r="464" ht="15.5" customHeight="1">
      <c r="B464" s="286" t="inlineStr">
        <is>
          <t>28-Sep-24</t>
        </is>
      </c>
      <c r="C464" s="278" t="n">
        <v>15</v>
      </c>
      <c r="D464" s="280" t="inlineStr">
        <is>
          <t>Meal's + Soft Drink Crew</t>
        </is>
      </c>
      <c r="E464" s="280" t="inlineStr">
        <is>
          <t>-</t>
        </is>
      </c>
      <c r="F464" s="287" t="n">
        <v>300000</v>
      </c>
      <c r="G464" s="282" t="inlineStr">
        <is>
          <t>IDR</t>
        </is>
      </c>
      <c r="H464" s="288" t="n">
        <v>1</v>
      </c>
      <c r="I464" s="290" t="n"/>
      <c r="J464" s="289" t="n">
        <v>300000</v>
      </c>
      <c r="K464" s="291" t="n"/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  <c r="Y464" s="285" t="n"/>
    </row>
    <row r="465" ht="15.5" customHeight="1">
      <c r="B465" s="286" t="inlineStr">
        <is>
          <t>28-Sep-24</t>
        </is>
      </c>
      <c r="C465" s="278" t="n">
        <v>16</v>
      </c>
      <c r="D465" s="280" t="inlineStr">
        <is>
          <t>Aqua 600 ML</t>
        </is>
      </c>
      <c r="E465" s="280" t="inlineStr">
        <is>
          <t>-</t>
        </is>
      </c>
      <c r="F465" s="287" t="n">
        <v>65000</v>
      </c>
      <c r="G465" s="282" t="inlineStr">
        <is>
          <t>IDR</t>
        </is>
      </c>
      <c r="H465" s="288" t="n">
        <v>1</v>
      </c>
      <c r="I465" s="290" t="n"/>
      <c r="J465" s="289" t="n">
        <v>65000</v>
      </c>
      <c r="K465" s="291" t="n"/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  <c r="Y465" s="285" t="n"/>
    </row>
    <row r="466" ht="15.5" customHeight="1">
      <c r="B466" s="286" t="inlineStr">
        <is>
          <t>28-Sep-24</t>
        </is>
      </c>
      <c r="C466" s="278" t="n">
        <v>17</v>
      </c>
      <c r="D466" s="280" t="inlineStr">
        <is>
          <t>Meal's Crws + Ice Tea</t>
        </is>
      </c>
      <c r="E466" s="280" t="inlineStr">
        <is>
          <t>-</t>
        </is>
      </c>
      <c r="F466" s="287" t="n">
        <v>200000</v>
      </c>
      <c r="G466" s="282" t="inlineStr">
        <is>
          <t>IDR</t>
        </is>
      </c>
      <c r="H466" s="288" t="n">
        <v>1</v>
      </c>
      <c r="I466" s="290" t="n"/>
      <c r="J466" s="289" t="n">
        <v>200000</v>
      </c>
      <c r="K466" s="291" t="n"/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  <c r="Y466" s="285" t="n"/>
    </row>
    <row r="467" ht="15.5" customHeight="1">
      <c r="B467" s="286" t="inlineStr">
        <is>
          <t>28-Sep-24</t>
        </is>
      </c>
      <c r="C467" s="278" t="n">
        <v>18</v>
      </c>
      <c r="D467" s="280" t="inlineStr">
        <is>
          <t>Snack's Crew</t>
        </is>
      </c>
      <c r="E467" s="280" t="inlineStr">
        <is>
          <t>-</t>
        </is>
      </c>
      <c r="F467" s="287" t="n">
        <v>240000</v>
      </c>
      <c r="G467" s="282" t="inlineStr">
        <is>
          <t>IDR</t>
        </is>
      </c>
      <c r="H467" s="288" t="n">
        <v>1</v>
      </c>
      <c r="I467" s="290" t="n"/>
      <c r="J467" s="289" t="n">
        <v>240000</v>
      </c>
      <c r="K467" s="291" t="n"/>
      <c r="L467" s="280" t="n"/>
      <c r="M467" s="280" t="n"/>
      <c r="N467" s="280" t="n"/>
      <c r="O467" s="280" t="n"/>
      <c r="P467" s="280" t="n"/>
      <c r="Q467" s="280" t="n"/>
      <c r="R467" s="285" t="n"/>
      <c r="S467" s="285" t="n"/>
      <c r="T467" s="285" t="n"/>
      <c r="U467" s="285" t="n"/>
      <c r="V467" s="285" t="n"/>
      <c r="W467" s="285" t="n"/>
      <c r="X467" s="285" t="n"/>
      <c r="Y467" s="285" t="n"/>
    </row>
    <row r="468" ht="15.5" customHeight="1">
      <c r="B468" s="286" t="inlineStr">
        <is>
          <t>28-Sep-24</t>
        </is>
      </c>
      <c r="C468" s="278" t="n">
        <v>19</v>
      </c>
      <c r="D468" s="280" t="inlineStr">
        <is>
          <t>Meal's + Soft Drink Crew</t>
        </is>
      </c>
      <c r="E468" s="280" t="inlineStr">
        <is>
          <t>-</t>
        </is>
      </c>
      <c r="F468" s="287" t="n">
        <v>230000</v>
      </c>
      <c r="G468" s="282" t="inlineStr">
        <is>
          <t>IDR</t>
        </is>
      </c>
      <c r="H468" s="288" t="n">
        <v>1</v>
      </c>
      <c r="I468" s="290" t="n"/>
      <c r="J468" s="289" t="n">
        <v>230000</v>
      </c>
      <c r="K468" s="291" t="n"/>
      <c r="L468" s="280" t="n"/>
      <c r="M468" s="280" t="n"/>
      <c r="N468" s="280" t="n"/>
      <c r="O468" s="280" t="n"/>
      <c r="P468" s="280" t="n"/>
      <c r="Q468" s="280" t="n"/>
      <c r="R468" s="285" t="n"/>
      <c r="S468" s="285" t="n"/>
      <c r="T468" s="285" t="n"/>
      <c r="U468" s="285" t="n"/>
      <c r="V468" s="285" t="n"/>
      <c r="W468" s="285" t="n"/>
      <c r="X468" s="285" t="n"/>
      <c r="Y468" s="285" t="n"/>
    </row>
    <row r="469" ht="15.5" customHeight="1">
      <c r="B469" s="286" t="inlineStr">
        <is>
          <t>28-Sep-24</t>
        </is>
      </c>
      <c r="C469" s="278" t="n">
        <v>20</v>
      </c>
      <c r="D469" s="280" t="inlineStr">
        <is>
          <t>Soft Drink</t>
        </is>
      </c>
      <c r="E469" s="280" t="inlineStr">
        <is>
          <t>-</t>
        </is>
      </c>
      <c r="F469" s="287" t="n">
        <v>110000</v>
      </c>
      <c r="G469" s="282" t="inlineStr">
        <is>
          <t>IDR</t>
        </is>
      </c>
      <c r="H469" s="288" t="n">
        <v>1</v>
      </c>
      <c r="I469" s="290" t="n"/>
      <c r="J469" s="289" t="n">
        <v>110000</v>
      </c>
      <c r="K469" s="291" t="n"/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  <c r="Y469" s="285" t="n"/>
    </row>
    <row r="470" ht="15.5" customHeight="1">
      <c r="B470" s="286" t="inlineStr">
        <is>
          <t>28-Sep-24</t>
        </is>
      </c>
      <c r="C470" s="278" t="n">
        <v>21</v>
      </c>
      <c r="D470" s="280" t="inlineStr">
        <is>
          <t>Black Coffe</t>
        </is>
      </c>
      <c r="E470" s="280" t="inlineStr">
        <is>
          <t>-</t>
        </is>
      </c>
      <c r="F470" s="287" t="n">
        <v>47000</v>
      </c>
      <c r="G470" s="282" t="inlineStr">
        <is>
          <t>IDR</t>
        </is>
      </c>
      <c r="H470" s="288" t="n">
        <v>1</v>
      </c>
      <c r="I470" s="290" t="n"/>
      <c r="J470" s="289" t="n">
        <v>47000</v>
      </c>
      <c r="K470" s="291" t="n"/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  <c r="Y470" s="285" t="n"/>
    </row>
    <row r="471" ht="15.5" customHeight="1">
      <c r="B471" s="286" t="inlineStr">
        <is>
          <t>28-Sep-24</t>
        </is>
      </c>
      <c r="C471" s="278" t="n">
        <v>22</v>
      </c>
      <c r="D471" s="280" t="inlineStr">
        <is>
          <t>Field Allowance 20 Sept - 27 Sept 2024</t>
        </is>
      </c>
      <c r="E471" s="280" t="inlineStr">
        <is>
          <t>-</t>
        </is>
      </c>
      <c r="F471" s="287" t="n">
        <v>2668750</v>
      </c>
      <c r="G471" s="282" t="inlineStr">
        <is>
          <t>USD</t>
        </is>
      </c>
      <c r="H471" s="288" t="n">
        <v>15250</v>
      </c>
      <c r="I471" s="290" t="n"/>
      <c r="J471" s="289" t="n">
        <v>2668750</v>
      </c>
      <c r="K471" s="291" t="n"/>
      <c r="L471" s="280" t="n"/>
      <c r="M471" s="280" t="n"/>
      <c r="N471" s="280" t="n"/>
      <c r="O471" s="280" t="n"/>
      <c r="P471" s="280" t="n"/>
      <c r="Q471" s="280" t="n"/>
      <c r="R471" s="285" t="n"/>
      <c r="S471" s="285" t="n"/>
      <c r="T471" s="285" t="n"/>
      <c r="U471" s="285" t="n"/>
      <c r="V471" s="285" t="n"/>
      <c r="W471" s="285" t="n"/>
      <c r="X471" s="285" t="n"/>
      <c r="Y471" s="285" t="n"/>
    </row>
    <row r="472" ht="15.5" customHeight="1">
      <c r="B472" s="286" t="inlineStr">
        <is>
          <t>28-Sep-24</t>
        </is>
      </c>
      <c r="C472" s="278" t="n">
        <v>23</v>
      </c>
      <c r="D472" s="280" t="inlineStr">
        <is>
          <t>Meals 20 Sept - 27 Sept 2024 7 days</t>
        </is>
      </c>
      <c r="E472" s="280" t="inlineStr">
        <is>
          <t>-</t>
        </is>
      </c>
      <c r="F472" s="287" t="n">
        <v>1050000</v>
      </c>
      <c r="G472" s="282" t="inlineStr">
        <is>
          <t>IDR</t>
        </is>
      </c>
      <c r="H472" s="288" t="n">
        <v>1</v>
      </c>
      <c r="I472" s="290" t="n"/>
      <c r="J472" s="289" t="n">
        <v>1050000</v>
      </c>
      <c r="K472" s="291" t="n"/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  <c r="Y472" s="285" t="n"/>
    </row>
    <row r="473" ht="15.5" customHeight="1">
      <c r="B473" s="302" t="inlineStr">
        <is>
          <t>Expense#34</t>
        </is>
      </c>
      <c r="C473" s="303" t="inlineStr">
        <is>
          <t>:</t>
        </is>
      </c>
      <c r="D473" s="304" t="inlineStr">
        <is>
          <t>ALFA_JRK-095 well (PEPZ4-PEndopo field) SI jakarta _ AC</t>
        </is>
      </c>
      <c r="E473" s="323" t="n"/>
      <c r="F473" s="306" t="n"/>
      <c r="G473" s="303" t="n"/>
      <c r="H473" s="303" t="n"/>
      <c r="I473" s="309" t="n"/>
      <c r="J473" s="309" t="n"/>
      <c r="K473" s="309" t="n"/>
      <c r="L473" s="309" t="n"/>
      <c r="M473" s="307" t="n"/>
      <c r="N473" s="309" t="n"/>
      <c r="O473" s="309" t="n"/>
      <c r="P473" s="309" t="n"/>
      <c r="Q473" s="309" t="n"/>
      <c r="R473" s="310" t="n"/>
      <c r="S473" s="310" t="n"/>
      <c r="T473" s="310" t="n"/>
      <c r="U473" s="310" t="n"/>
      <c r="V473" s="310" t="n"/>
      <c r="W473" s="310" t="n"/>
      <c r="X473" s="310" t="n"/>
      <c r="Y473" s="310" t="n"/>
    </row>
    <row r="474" ht="15.5" customHeight="1">
      <c r="B474" s="311" t="n"/>
      <c r="C474" s="278" t="n"/>
      <c r="D474" s="312" t="inlineStr">
        <is>
          <t>Biaya Operasi</t>
        </is>
      </c>
      <c r="E474" s="313" t="n"/>
      <c r="F474" s="314" t="n"/>
      <c r="G474" s="278" t="n"/>
      <c r="H474" s="278" t="n"/>
      <c r="I474" s="283" t="n"/>
      <c r="J474" s="279" t="n"/>
      <c r="K474" s="279" t="n"/>
      <c r="L474" s="279" t="n"/>
      <c r="M474" s="284" t="n"/>
      <c r="N474" s="279" t="n"/>
      <c r="O474" s="279" t="n"/>
      <c r="P474" s="279" t="n"/>
      <c r="Q474" s="279" t="n"/>
      <c r="R474" s="315" t="n"/>
      <c r="S474" s="315" t="n"/>
      <c r="T474" s="315" t="n"/>
      <c r="U474" s="315" t="n"/>
      <c r="V474" s="315" t="n"/>
      <c r="W474" s="315" t="n"/>
      <c r="X474" s="315" t="n"/>
      <c r="Y474" s="315" t="n"/>
    </row>
    <row r="475" ht="15.5" customHeight="1">
      <c r="B475" s="286" t="inlineStr">
        <is>
          <t>21-Sep-24</t>
        </is>
      </c>
      <c r="C475" s="278" t="n">
        <v>1</v>
      </c>
      <c r="D475" s="280" t="inlineStr">
        <is>
          <t>Air ticket Anevril JKT-Palembang</t>
        </is>
      </c>
      <c r="E475" s="280" t="inlineStr">
        <is>
          <t>-</t>
        </is>
      </c>
      <c r="F475" s="287" t="n">
        <v>796800</v>
      </c>
      <c r="G475" s="282" t="inlineStr">
        <is>
          <t>IDR</t>
        </is>
      </c>
      <c r="H475" s="288" t="n">
        <v>1</v>
      </c>
      <c r="I475" s="290" t="n"/>
      <c r="J475" s="289" t="n">
        <v>796800</v>
      </c>
      <c r="K475" s="291" t="n"/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2</v>
      </c>
      <c r="D476" s="280" t="inlineStr">
        <is>
          <t>Taxi Anevril Home - CGK Airport</t>
        </is>
      </c>
      <c r="E476" s="280" t="inlineStr">
        <is>
          <t>-</t>
        </is>
      </c>
      <c r="F476" s="287" t="n">
        <v>250000</v>
      </c>
      <c r="G476" s="282" t="inlineStr">
        <is>
          <t>IDR</t>
        </is>
      </c>
      <c r="H476" s="288" t="n">
        <v>1</v>
      </c>
      <c r="I476" s="290" t="n"/>
      <c r="J476" s="289" t="n">
        <v>250000</v>
      </c>
      <c r="K476" s="291" t="n"/>
      <c r="L476" s="280" t="n"/>
      <c r="M476" s="280" t="n"/>
      <c r="N476" s="280" t="n"/>
      <c r="O476" s="280" t="n"/>
      <c r="P476" s="280" t="n"/>
      <c r="Q476" s="280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inlineStr">
        <is>
          <t>29-Sep-24</t>
        </is>
      </c>
      <c r="C477" s="278" t="n">
        <v>3</v>
      </c>
      <c r="D477" s="280" t="inlineStr">
        <is>
          <t>Air ticket Anevril Palembang-JKT</t>
        </is>
      </c>
      <c r="E477" s="280" t="inlineStr">
        <is>
          <t>-</t>
        </is>
      </c>
      <c r="F477" s="287" t="n">
        <v>804500</v>
      </c>
      <c r="G477" s="282" t="inlineStr">
        <is>
          <t>IDR</t>
        </is>
      </c>
      <c r="H477" s="288" t="n">
        <v>1</v>
      </c>
      <c r="I477" s="290" t="n"/>
      <c r="J477" s="289" t="n">
        <v>804500</v>
      </c>
      <c r="K477" s="291" t="n"/>
      <c r="L477" s="280" t="n"/>
      <c r="M477" s="280" t="n"/>
      <c r="N477" s="280" t="n"/>
      <c r="O477" s="280" t="n"/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  <c r="Y477" s="285" t="n"/>
    </row>
    <row r="478" ht="15.5" customHeight="1">
      <c r="B478" s="286" t="inlineStr">
        <is>
          <t>29-Sep-24</t>
        </is>
      </c>
      <c r="C478" s="278" t="n">
        <v>4</v>
      </c>
      <c r="D478" s="280" t="inlineStr">
        <is>
          <t>Taxi Anevril CGK Airport - Home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90" t="n"/>
      <c r="J478" s="289" t="n">
        <v>250000</v>
      </c>
      <c r="K478" s="291" t="n"/>
      <c r="L478" s="280" t="n"/>
      <c r="M478" s="280" t="n"/>
      <c r="N478" s="280" t="n"/>
      <c r="O478" s="280" t="n"/>
      <c r="P478" s="280" t="n"/>
      <c r="Q478" s="280" t="n"/>
      <c r="R478" s="285" t="n"/>
      <c r="S478" s="285" t="n"/>
      <c r="T478" s="285" t="n"/>
      <c r="U478" s="285" t="n"/>
      <c r="V478" s="285" t="n"/>
      <c r="W478" s="285" t="n"/>
      <c r="X478" s="285" t="n"/>
      <c r="Y478" s="285" t="n"/>
    </row>
    <row r="479" ht="15.5" customHeight="1">
      <c r="B479" s="286" t="inlineStr">
        <is>
          <t>29-Sep-24</t>
        </is>
      </c>
      <c r="C479" s="278" t="n">
        <v>5</v>
      </c>
      <c r="D479" s="280" t="inlineStr">
        <is>
          <t>Sewa mobil 8 hari (21/09/24 - 29/09/24)</t>
        </is>
      </c>
      <c r="E479" s="280" t="inlineStr">
        <is>
          <t>-</t>
        </is>
      </c>
      <c r="F479" s="287" t="n">
        <v>4000000</v>
      </c>
      <c r="G479" s="282" t="inlineStr">
        <is>
          <t>IDR</t>
        </is>
      </c>
      <c r="H479" s="288" t="n">
        <v>1</v>
      </c>
      <c r="I479" s="290" t="n"/>
      <c r="J479" s="289" t="n">
        <v>4000000</v>
      </c>
      <c r="K479" s="291" t="n"/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  <c r="Y479" s="285" t="n"/>
    </row>
    <row r="480" ht="15.5" customHeight="1">
      <c r="B480" s="286" t="inlineStr">
        <is>
          <t>29-Sep-24</t>
        </is>
      </c>
      <c r="C480" s="278" t="n">
        <v>6</v>
      </c>
      <c r="D480" s="280" t="inlineStr">
        <is>
          <t>Laundry 8 days @ 50K IDR/day</t>
        </is>
      </c>
      <c r="E480" s="280" t="inlineStr">
        <is>
          <t>-</t>
        </is>
      </c>
      <c r="F480" s="287" t="n">
        <v>400000</v>
      </c>
      <c r="G480" s="282" t="inlineStr">
        <is>
          <t>IDR</t>
        </is>
      </c>
      <c r="H480" s="288" t="n">
        <v>1</v>
      </c>
      <c r="I480" s="290" t="n"/>
      <c r="J480" s="289" t="n">
        <v>400000</v>
      </c>
      <c r="K480" s="291" t="n"/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  <c r="Y480" s="285" t="n"/>
    </row>
    <row r="481" ht="15.5" customHeight="1">
      <c r="B481" s="286" t="inlineStr">
        <is>
          <t>29-Sep-24</t>
        </is>
      </c>
      <c r="C481" s="278" t="n">
        <v>7</v>
      </c>
      <c r="D481" s="280" t="inlineStr">
        <is>
          <t>Meals 8 days @ 150K IDR/day</t>
        </is>
      </c>
      <c r="E481" s="280" t="inlineStr">
        <is>
          <t>-</t>
        </is>
      </c>
      <c r="F481" s="287" t="n">
        <v>900000</v>
      </c>
      <c r="G481" s="282" t="inlineStr">
        <is>
          <t>IDR</t>
        </is>
      </c>
      <c r="H481" s="288" t="n">
        <v>1</v>
      </c>
      <c r="I481" s="290" t="n"/>
      <c r="J481" s="289" t="n">
        <v>900000</v>
      </c>
      <c r="K481" s="291" t="n"/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  <c r="Y481" s="285" t="n"/>
    </row>
    <row r="482" ht="15.5" customHeight="1">
      <c r="B482" s="286" t="inlineStr">
        <is>
          <t>30-Sep-24</t>
        </is>
      </c>
      <c r="C482" s="278" t="n">
        <v>8</v>
      </c>
      <c r="D482" s="280" t="inlineStr">
        <is>
          <t>Tunjangan lapaangan for 8 days- (job at JRK-095)</t>
        </is>
      </c>
      <c r="E482" s="280" t="inlineStr">
        <is>
          <t>-</t>
        </is>
      </c>
      <c r="F482" s="287" t="n">
        <v>12160000</v>
      </c>
      <c r="G482" s="282" t="inlineStr">
        <is>
          <t>USD</t>
        </is>
      </c>
      <c r="H482" s="288" t="n">
        <v>15200</v>
      </c>
      <c r="I482" s="290" t="n"/>
      <c r="J482" s="289" t="n">
        <v>12160000</v>
      </c>
      <c r="K482" s="291" t="n"/>
      <c r="L482" s="280" t="n"/>
      <c r="M482" s="280" t="n"/>
      <c r="N482" s="280" t="n"/>
      <c r="O482" s="280" t="n"/>
      <c r="P482" s="280" t="n"/>
      <c r="Q482" s="280" t="n"/>
      <c r="R482" s="285" t="n"/>
      <c r="S482" s="285" t="n"/>
      <c r="T482" s="285" t="n"/>
      <c r="U482" s="285" t="n"/>
      <c r="V482" s="285" t="n"/>
      <c r="W482" s="285" t="n"/>
      <c r="X482" s="285" t="n"/>
      <c r="Y482" s="285" t="n"/>
    </row>
    <row r="483" ht="15.5" customHeight="1">
      <c r="B483" s="302" t="inlineStr">
        <is>
          <t>Expense#35</t>
        </is>
      </c>
      <c r="C483" s="338" t="inlineStr">
        <is>
          <t>:</t>
        </is>
      </c>
      <c r="D483" s="304" t="inlineStr">
        <is>
          <t>Trip to Cirebon Meeting MTD job X-ray field with PEP Zona 7 Region2_AC</t>
        </is>
      </c>
      <c r="E483" s="323" t="n"/>
      <c r="F483" s="306" t="n"/>
      <c r="G483" s="303" t="n"/>
      <c r="H483" s="303" t="n"/>
      <c r="I483" s="309" t="n"/>
      <c r="J483" s="309" t="n"/>
      <c r="K483" s="309" t="n"/>
      <c r="L483" s="309" t="n"/>
      <c r="M483" s="309" t="n"/>
      <c r="N483" s="309" t="n"/>
      <c r="O483" s="309" t="n"/>
      <c r="P483" s="309" t="n"/>
      <c r="Q483" s="309" t="n"/>
      <c r="R483" s="310" t="n"/>
      <c r="S483" s="310" t="n"/>
      <c r="T483" s="310" t="n"/>
      <c r="U483" s="310" t="n"/>
      <c r="V483" s="310" t="n"/>
      <c r="W483" s="310" t="n"/>
      <c r="X483" s="310" t="n"/>
      <c r="Y483" s="310" t="n"/>
    </row>
    <row r="484" ht="15.5" customHeight="1">
      <c r="B484" s="311" t="n"/>
      <c r="C484" s="278" t="n"/>
      <c r="D484" s="312" t="inlineStr">
        <is>
          <t>Biaya Operasi</t>
        </is>
      </c>
      <c r="E484" s="313" t="n"/>
      <c r="F484" s="314" t="n"/>
      <c r="G484" s="278" t="n"/>
      <c r="H484" s="328" t="n"/>
      <c r="I484" s="284" t="n"/>
      <c r="J484" s="279" t="n"/>
      <c r="K484" s="279" t="n"/>
      <c r="L484" s="279" t="n"/>
      <c r="M484" s="283" t="n"/>
      <c r="N484" s="279" t="n"/>
      <c r="O484" s="279" t="n"/>
      <c r="P484" s="279" t="n"/>
      <c r="Q484" s="279" t="n"/>
      <c r="R484" s="315" t="n"/>
      <c r="S484" s="315" t="n"/>
      <c r="T484" s="315" t="n"/>
      <c r="U484" s="315" t="n"/>
      <c r="V484" s="315" t="n"/>
      <c r="W484" s="315" t="n"/>
      <c r="X484" s="315" t="n"/>
      <c r="Y484" s="315" t="n"/>
    </row>
    <row r="485" ht="15.5" customHeight="1">
      <c r="B485" s="286" t="inlineStr">
        <is>
          <t>22-Aug-24</t>
        </is>
      </c>
      <c r="C485" s="278" t="n">
        <v>1</v>
      </c>
      <c r="D485" s="280" t="inlineStr">
        <is>
          <t>Fuel ( trip modified tool Sampler to Mr suby)</t>
        </is>
      </c>
      <c r="E485" s="280" t="inlineStr">
        <is>
          <t>-</t>
        </is>
      </c>
      <c r="F485" s="287" t="n">
        <v>274000</v>
      </c>
      <c r="G485" s="282" t="inlineStr">
        <is>
          <t>IDR</t>
        </is>
      </c>
      <c r="H485" s="288" t="n">
        <v>1</v>
      </c>
      <c r="I485" s="290" t="n"/>
      <c r="J485" s="289" t="n">
        <v>274000</v>
      </c>
      <c r="K485" s="291" t="n"/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09-Sep-24</t>
        </is>
      </c>
      <c r="C486" s="278" t="n">
        <v>2</v>
      </c>
      <c r="D486" s="280" t="inlineStr">
        <is>
          <t>Gocar ( trip Bintaro - Instrutek solusindo)</t>
        </is>
      </c>
      <c r="E486" s="280" t="inlineStr">
        <is>
          <t>-</t>
        </is>
      </c>
      <c r="F486" s="287" t="n">
        <v>144500</v>
      </c>
      <c r="G486" s="282" t="inlineStr">
        <is>
          <t>IDR</t>
        </is>
      </c>
      <c r="H486" s="288" t="n">
        <v>1</v>
      </c>
      <c r="I486" s="290" t="n"/>
      <c r="J486" s="289" t="n">
        <v>144500</v>
      </c>
      <c r="K486" s="291" t="n"/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inlineStr">
        <is>
          <t>09-Sep-24</t>
        </is>
      </c>
      <c r="C487" s="278" t="n">
        <v>3</v>
      </c>
      <c r="D487" s="280" t="inlineStr">
        <is>
          <t>Gocar ( trip Instrutek solusindo - Bintaro)</t>
        </is>
      </c>
      <c r="E487" s="280" t="inlineStr">
        <is>
          <t>-</t>
        </is>
      </c>
      <c r="F487" s="287" t="n">
        <v>160000</v>
      </c>
      <c r="G487" s="282" t="inlineStr">
        <is>
          <t>IDR</t>
        </is>
      </c>
      <c r="H487" s="288" t="n">
        <v>1</v>
      </c>
      <c r="I487" s="290" t="n"/>
      <c r="J487" s="289" t="n">
        <v>160000</v>
      </c>
      <c r="K487" s="291" t="n"/>
      <c r="L487" s="280" t="n"/>
      <c r="M487" s="280" t="n"/>
      <c r="N487" s="280" t="n"/>
      <c r="O487" s="280" t="n"/>
      <c r="P487" s="280" t="n"/>
      <c r="Q487" s="280" t="n"/>
      <c r="R487" s="285" t="n"/>
      <c r="S487" s="285" t="n"/>
      <c r="T487" s="285" t="n"/>
      <c r="U487" s="285" t="n"/>
      <c r="V487" s="285" t="n"/>
      <c r="W487" s="285" t="n"/>
      <c r="X487" s="285" t="n"/>
      <c r="Y487" s="285" t="n"/>
    </row>
    <row r="488" ht="15.5" customHeight="1">
      <c r="B488" s="286" t="inlineStr">
        <is>
          <t>09-Sep-24</t>
        </is>
      </c>
      <c r="C488" s="278" t="n">
        <v>4</v>
      </c>
      <c r="D488" s="280" t="inlineStr">
        <is>
          <t>Tol ( trip Bintaro - Instrutek solusindo) No reciept</t>
        </is>
      </c>
      <c r="E488" s="280" t="inlineStr">
        <is>
          <t>-</t>
        </is>
      </c>
      <c r="F488" s="287" t="n">
        <v>64500</v>
      </c>
      <c r="G488" s="282" t="inlineStr">
        <is>
          <t>IDR</t>
        </is>
      </c>
      <c r="H488" s="288" t="n">
        <v>1</v>
      </c>
      <c r="I488" s="290" t="n"/>
      <c r="J488" s="289" t="n">
        <v>64500</v>
      </c>
      <c r="K488" s="291" t="n"/>
      <c r="L488" s="280" t="n"/>
      <c r="M488" s="280" t="n"/>
      <c r="N488" s="280" t="n"/>
      <c r="O488" s="280" t="n"/>
      <c r="P488" s="280" t="n"/>
      <c r="Q488" s="280" t="n"/>
      <c r="R488" s="285" t="n"/>
      <c r="S488" s="285" t="n"/>
      <c r="T488" s="285" t="n"/>
      <c r="U488" s="285" t="n"/>
      <c r="V488" s="285" t="n"/>
      <c r="W488" s="285" t="n"/>
      <c r="X488" s="285" t="n"/>
      <c r="Y488" s="285" t="n"/>
    </row>
    <row r="489" ht="15.5" customHeight="1">
      <c r="B489" s="286" t="inlineStr">
        <is>
          <t>09-Sep-24</t>
        </is>
      </c>
      <c r="C489" s="278" t="n">
        <v>5</v>
      </c>
      <c r="D489" s="280" t="inlineStr">
        <is>
          <t>Tol ( trip Instrutek solusindo - Bintaro)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90" t="n"/>
      <c r="J489" s="289" t="n">
        <v>64500</v>
      </c>
      <c r="K489" s="291" t="n"/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  <c r="Y489" s="285" t="n"/>
    </row>
    <row r="490" ht="15.5" customHeight="1">
      <c r="B490" s="286" t="inlineStr">
        <is>
          <t>10-Sep-24</t>
        </is>
      </c>
      <c r="C490" s="278" t="n">
        <v>6</v>
      </c>
      <c r="D490" s="280" t="inlineStr">
        <is>
          <t>Fuel ( trip to Sclumberger Cikaranga,SIT seeting tool )</t>
        </is>
      </c>
      <c r="E490" s="280" t="inlineStr">
        <is>
          <t>-</t>
        </is>
      </c>
      <c r="F490" s="287" t="n">
        <v>232500</v>
      </c>
      <c r="G490" s="282" t="inlineStr">
        <is>
          <t>IDR</t>
        </is>
      </c>
      <c r="H490" s="288" t="n">
        <v>1</v>
      </c>
      <c r="I490" s="290" t="n"/>
      <c r="J490" s="289" t="n">
        <v>232500</v>
      </c>
      <c r="K490" s="291" t="n"/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  <c r="Y490" s="285" t="n"/>
    </row>
    <row r="491" ht="15.5" customHeight="1">
      <c r="B491" s="286" t="inlineStr">
        <is>
          <t>10-Sep-24</t>
        </is>
      </c>
      <c r="C491" s="278" t="n">
        <v>7</v>
      </c>
      <c r="D491" s="280" t="inlineStr">
        <is>
          <t>tol (Bintaro - Cikarang)</t>
        </is>
      </c>
      <c r="E491" s="280" t="inlineStr">
        <is>
          <t>-</t>
        </is>
      </c>
      <c r="F491" s="287" t="n">
        <v>112500</v>
      </c>
      <c r="G491" s="282" t="inlineStr">
        <is>
          <t>IDR</t>
        </is>
      </c>
      <c r="H491" s="288" t="n">
        <v>1</v>
      </c>
      <c r="I491" s="290" t="n"/>
      <c r="J491" s="289" t="n">
        <v>112500</v>
      </c>
      <c r="K491" s="291" t="n"/>
      <c r="L491" s="280" t="n"/>
      <c r="M491" s="280" t="n"/>
      <c r="N491" s="280" t="n"/>
      <c r="O491" s="280" t="n"/>
      <c r="P491" s="280" t="n"/>
      <c r="Q491" s="280" t="n"/>
      <c r="R491" s="285" t="n"/>
      <c r="S491" s="285" t="n"/>
      <c r="T491" s="285" t="n"/>
      <c r="U491" s="285" t="n"/>
      <c r="V491" s="285" t="n"/>
      <c r="W491" s="285" t="n"/>
      <c r="X491" s="285" t="n"/>
      <c r="Y491" s="285" t="n"/>
    </row>
    <row r="492" ht="15.5" customHeight="1">
      <c r="B492" s="286" t="inlineStr">
        <is>
          <t>10-Sep-24</t>
        </is>
      </c>
      <c r="C492" s="278" t="n">
        <v>8</v>
      </c>
      <c r="D492" s="280" t="inlineStr">
        <is>
          <t>tol (Cikarang - Bekasi -Bintaro)</t>
        </is>
      </c>
      <c r="E492" s="280" t="inlineStr">
        <is>
          <t>-</t>
        </is>
      </c>
      <c r="F492" s="287" t="n">
        <v>50500</v>
      </c>
      <c r="G492" s="282" t="inlineStr">
        <is>
          <t>IDR</t>
        </is>
      </c>
      <c r="H492" s="288" t="n">
        <v>1</v>
      </c>
      <c r="I492" s="290" t="n"/>
      <c r="J492" s="289" t="n">
        <v>50500</v>
      </c>
      <c r="K492" s="291" t="n"/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  <c r="Y492" s="285" t="n"/>
    </row>
    <row r="493" ht="15.5" customHeight="1">
      <c r="B493" s="286" t="inlineStr">
        <is>
          <t>11-Sep-24</t>
        </is>
      </c>
      <c r="C493" s="278" t="n">
        <v>9</v>
      </c>
      <c r="D493" s="280" t="inlineStr">
        <is>
          <t>tol (Bintaro - Cinere)</t>
        </is>
      </c>
      <c r="E493" s="280" t="inlineStr">
        <is>
          <t>-</t>
        </is>
      </c>
      <c r="F493" s="287" t="n">
        <v>59000</v>
      </c>
      <c r="G493" s="282" t="inlineStr">
        <is>
          <t>IDR</t>
        </is>
      </c>
      <c r="H493" s="288" t="n">
        <v>1</v>
      </c>
      <c r="I493" s="290" t="n"/>
      <c r="J493" s="289" t="n">
        <v>59000</v>
      </c>
      <c r="K493" s="291" t="n"/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  <c r="Y493" s="285" t="n"/>
    </row>
    <row r="494" ht="15.5" customHeight="1">
      <c r="B494" s="286" t="inlineStr">
        <is>
          <t>11-Sep-24</t>
        </is>
      </c>
      <c r="C494" s="278" t="n">
        <v>10</v>
      </c>
      <c r="D494" s="280" t="inlineStr">
        <is>
          <t>lunch when check MTD tool at workshop Gowell</t>
        </is>
      </c>
      <c r="E494" s="280" t="inlineStr">
        <is>
          <t>-</t>
        </is>
      </c>
      <c r="F494" s="287" t="n">
        <v>171000</v>
      </c>
      <c r="G494" s="282" t="inlineStr">
        <is>
          <t>IDR</t>
        </is>
      </c>
      <c r="H494" s="288" t="n">
        <v>1</v>
      </c>
      <c r="I494" s="290" t="n"/>
      <c r="J494" s="289" t="n">
        <v>171000</v>
      </c>
      <c r="K494" s="291" t="n"/>
      <c r="L494" s="280" t="n"/>
      <c r="M494" s="280" t="n"/>
      <c r="N494" s="280" t="n"/>
      <c r="O494" s="280" t="n"/>
      <c r="P494" s="280" t="n"/>
      <c r="Q494" s="280" t="n"/>
      <c r="R494" s="285" t="n"/>
      <c r="S494" s="285" t="n"/>
      <c r="T494" s="285" t="n"/>
      <c r="U494" s="285" t="n"/>
      <c r="V494" s="285" t="n"/>
      <c r="W494" s="285" t="n"/>
      <c r="X494" s="285" t="n"/>
      <c r="Y494" s="285" t="n"/>
    </row>
    <row r="495" ht="15.5" customHeight="1">
      <c r="B495" s="286" t="inlineStr">
        <is>
          <t>13-Sep-24</t>
        </is>
      </c>
      <c r="C495" s="278" t="n">
        <v>11</v>
      </c>
      <c r="D495" s="280" t="inlineStr">
        <is>
          <t>Fuel ( trip to workshop Gowell &amp; ktr Pajak)</t>
        </is>
      </c>
      <c r="E495" s="280" t="inlineStr">
        <is>
          <t>-</t>
        </is>
      </c>
      <c r="F495" s="287" t="n">
        <v>256800</v>
      </c>
      <c r="G495" s="282" t="inlineStr">
        <is>
          <t>IDR</t>
        </is>
      </c>
      <c r="H495" s="288" t="n">
        <v>1</v>
      </c>
      <c r="I495" s="290" t="n"/>
      <c r="J495" s="289" t="n">
        <v>256800</v>
      </c>
      <c r="K495" s="291" t="n"/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  <c r="Y495" s="285" t="n"/>
    </row>
    <row r="496" ht="15.5" customHeight="1">
      <c r="B496" s="286" t="inlineStr">
        <is>
          <t>17-Sep-24</t>
        </is>
      </c>
      <c r="C496" s="278" t="n">
        <v>12</v>
      </c>
      <c r="D496" s="280" t="inlineStr">
        <is>
          <t>Tol  Jakarta - Cirebon</t>
        </is>
      </c>
      <c r="E496" s="280" t="inlineStr">
        <is>
          <t>-</t>
        </is>
      </c>
      <c r="F496" s="287" t="n">
        <v>245000</v>
      </c>
      <c r="G496" s="282" t="inlineStr">
        <is>
          <t>IDR</t>
        </is>
      </c>
      <c r="H496" s="288" t="n">
        <v>1</v>
      </c>
      <c r="I496" s="290" t="n"/>
      <c r="J496" s="289" t="n">
        <v>245000</v>
      </c>
      <c r="K496" s="291" t="n"/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  <c r="Y496" s="285" t="n"/>
    </row>
    <row r="497" ht="15.5" customHeight="1">
      <c r="B497" s="286" t="inlineStr">
        <is>
          <t>17-Sep-24</t>
        </is>
      </c>
      <c r="C497" s="278" t="n">
        <v>13</v>
      </c>
      <c r="D497" s="280" t="inlineStr">
        <is>
          <t>Fuel</t>
        </is>
      </c>
      <c r="E497" s="280" t="inlineStr">
        <is>
          <t>-</t>
        </is>
      </c>
      <c r="F497" s="287" t="n">
        <v>180000</v>
      </c>
      <c r="G497" s="282" t="inlineStr">
        <is>
          <t>IDR</t>
        </is>
      </c>
      <c r="H497" s="288" t="n">
        <v>1</v>
      </c>
      <c r="I497" s="290" t="n"/>
      <c r="J497" s="289" t="n">
        <v>180000</v>
      </c>
      <c r="K497" s="291" t="n"/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  <c r="Y497" s="285" t="n"/>
    </row>
    <row r="498" ht="15.5" customHeight="1">
      <c r="B498" s="286" t="inlineStr">
        <is>
          <t>17-Sep-24</t>
        </is>
      </c>
      <c r="C498" s="278" t="n">
        <v>14</v>
      </c>
      <c r="D498" s="280" t="inlineStr">
        <is>
          <t>Hotel</t>
        </is>
      </c>
      <c r="E498" s="280" t="inlineStr">
        <is>
          <t>-</t>
        </is>
      </c>
      <c r="F498" s="287" t="n">
        <v>700000</v>
      </c>
      <c r="G498" s="282" t="inlineStr">
        <is>
          <t>IDR</t>
        </is>
      </c>
      <c r="H498" s="288" t="n">
        <v>1</v>
      </c>
      <c r="I498" s="290" t="n"/>
      <c r="J498" s="289" t="n">
        <v>700000</v>
      </c>
      <c r="K498" s="291" t="n"/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  <c r="Y498" s="285" t="n"/>
    </row>
    <row r="499" ht="15.5" customHeight="1">
      <c r="B499" s="286" t="inlineStr">
        <is>
          <t>18-Sep-24</t>
        </is>
      </c>
      <c r="C499" s="278" t="n">
        <v>15</v>
      </c>
      <c r="D499" s="280" t="inlineStr">
        <is>
          <t>Tol  Cirebon - Jakarta</t>
        </is>
      </c>
      <c r="E499" s="280" t="inlineStr">
        <is>
          <t>-</t>
        </is>
      </c>
      <c r="F499" s="287" t="n">
        <v>166000</v>
      </c>
      <c r="G499" s="282" t="inlineStr">
        <is>
          <t>IDR</t>
        </is>
      </c>
      <c r="H499" s="288" t="n">
        <v>1</v>
      </c>
      <c r="I499" s="290" t="n"/>
      <c r="J499" s="289" t="n">
        <v>166000</v>
      </c>
      <c r="K499" s="291" t="n"/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  <c r="Y499" s="285" t="n"/>
    </row>
    <row r="500" ht="15.5" customHeight="1">
      <c r="B500" s="286" t="inlineStr">
        <is>
          <t>18-Sep-24</t>
        </is>
      </c>
      <c r="C500" s="278" t="n">
        <v>16</v>
      </c>
      <c r="D500" s="280" t="inlineStr">
        <is>
          <t>Fuel</t>
        </is>
      </c>
      <c r="E500" s="280" t="inlineStr">
        <is>
          <t>-</t>
        </is>
      </c>
      <c r="F500" s="287" t="n">
        <v>222650</v>
      </c>
      <c r="G500" s="282" t="inlineStr">
        <is>
          <t>IDR</t>
        </is>
      </c>
      <c r="H500" s="288" t="n">
        <v>1</v>
      </c>
      <c r="I500" s="290" t="n"/>
      <c r="J500" s="289" t="n">
        <v>222650</v>
      </c>
      <c r="K500" s="291" t="n"/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  <c r="Y500" s="285" t="n"/>
    </row>
    <row r="501" ht="15.5" customHeight="1">
      <c r="B501" s="286" t="inlineStr">
        <is>
          <t>18-Sep-24</t>
        </is>
      </c>
      <c r="C501" s="278" t="n">
        <v>17</v>
      </c>
      <c r="D501" s="280" t="inlineStr">
        <is>
          <t>Loundry 2 days @Rp. 50.000</t>
        </is>
      </c>
      <c r="E501" s="280" t="inlineStr">
        <is>
          <t>-</t>
        </is>
      </c>
      <c r="F501" s="287" t="n">
        <v>100000</v>
      </c>
      <c r="G501" s="282" t="inlineStr">
        <is>
          <t>IDR</t>
        </is>
      </c>
      <c r="H501" s="288" t="n">
        <v>1</v>
      </c>
      <c r="I501" s="290" t="n"/>
      <c r="J501" s="289" t="n">
        <v>100000</v>
      </c>
      <c r="K501" s="291" t="n"/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  <c r="Y501" s="285" t="n"/>
    </row>
    <row r="502" ht="15.5" customHeight="1">
      <c r="B502" s="286" t="inlineStr">
        <is>
          <t>18-Sep-24</t>
        </is>
      </c>
      <c r="C502" s="278" t="n">
        <v>18</v>
      </c>
      <c r="D502" s="280" t="inlineStr">
        <is>
          <t>Uang makan utk 3 hari (17-18 Sept-24) @150.000</t>
        </is>
      </c>
      <c r="E502" s="280" t="inlineStr">
        <is>
          <t>-</t>
        </is>
      </c>
      <c r="F502" s="287" t="n">
        <v>300000</v>
      </c>
      <c r="G502" s="282" t="inlineStr">
        <is>
          <t>IDR</t>
        </is>
      </c>
      <c r="H502" s="288" t="n">
        <v>1</v>
      </c>
      <c r="I502" s="290" t="n"/>
      <c r="J502" s="289" t="n">
        <v>300000</v>
      </c>
      <c r="K502" s="291" t="n"/>
      <c r="L502" s="280" t="n"/>
      <c r="M502" s="280" t="n"/>
      <c r="N502" s="280" t="n"/>
      <c r="O502" s="280" t="n"/>
      <c r="P502" s="280" t="n"/>
      <c r="Q502" s="280" t="n"/>
      <c r="R502" s="285" t="n"/>
      <c r="S502" s="285" t="n"/>
      <c r="T502" s="285" t="n"/>
      <c r="U502" s="285" t="n"/>
      <c r="V502" s="285" t="n"/>
      <c r="W502" s="285" t="n"/>
      <c r="X502" s="285" t="n"/>
      <c r="Y502" s="285" t="n"/>
    </row>
    <row r="503" ht="15.5" customHeight="1">
      <c r="B503" s="302" t="inlineStr">
        <is>
          <t>Expense#36</t>
        </is>
      </c>
      <c r="C503" s="338" t="inlineStr">
        <is>
          <t>:</t>
        </is>
      </c>
      <c r="D503" s="304" t="inlineStr">
        <is>
          <t>Non project (follow up MCU concul &amp; inspection tool)_AC_ 2 nd</t>
        </is>
      </c>
      <c r="E503" s="339" t="n"/>
      <c r="F503" s="306" t="n"/>
      <c r="G503" s="303" t="n"/>
      <c r="H503" s="303" t="n"/>
      <c r="I503" s="309" t="n"/>
      <c r="J503" s="309" t="n"/>
      <c r="K503" s="309" t="n"/>
      <c r="L503" s="309" t="n"/>
      <c r="M503" s="309" t="n"/>
      <c r="N503" s="309" t="n"/>
      <c r="O503" s="309" t="n"/>
      <c r="P503" s="309" t="n"/>
      <c r="Q503" s="309" t="n"/>
      <c r="R503" s="310" t="n"/>
      <c r="S503" s="310" t="n"/>
      <c r="T503" s="310" t="n"/>
      <c r="U503" s="310" t="n"/>
      <c r="V503" s="310" t="n"/>
      <c r="W503" s="310" t="n"/>
      <c r="X503" s="310" t="n"/>
      <c r="Y503" s="310" t="n"/>
    </row>
    <row r="504" ht="15.5" customHeight="1">
      <c r="B504" s="311" t="n"/>
      <c r="C504" s="278" t="n"/>
      <c r="D504" s="312" t="inlineStr">
        <is>
          <t>Biaya Operasi</t>
        </is>
      </c>
      <c r="E504" s="313" t="n"/>
      <c r="F504" s="314" t="n"/>
      <c r="G504" s="278" t="n"/>
      <c r="H504" s="328" t="n"/>
      <c r="I504" s="284" t="n"/>
      <c r="J504" s="279" t="n"/>
      <c r="K504" s="279" t="n"/>
      <c r="L504" s="279" t="n"/>
      <c r="M504" s="283" t="n"/>
      <c r="N504" s="279" t="n"/>
      <c r="O504" s="279" t="n"/>
      <c r="P504" s="279" t="n"/>
      <c r="Q504" s="279" t="n"/>
      <c r="R504" s="315" t="n"/>
      <c r="S504" s="315" t="n"/>
      <c r="T504" s="315" t="n"/>
      <c r="U504" s="315" t="n"/>
      <c r="V504" s="315" t="n"/>
      <c r="W504" s="315" t="n"/>
      <c r="X504" s="315" t="n"/>
      <c r="Y504" s="315" t="n"/>
    </row>
    <row r="505" ht="15.5" customHeight="1">
      <c r="B505" s="286" t="inlineStr">
        <is>
          <t>24-May-24</t>
        </is>
      </c>
      <c r="C505" s="278" t="n">
        <v>1</v>
      </c>
      <c r="D505" s="280" t="inlineStr">
        <is>
          <t>Buy lag ban 2 ea</t>
        </is>
      </c>
      <c r="E505" s="280" t="inlineStr">
        <is>
          <t>-</t>
        </is>
      </c>
      <c r="F505" s="287" t="n">
        <v>25000</v>
      </c>
      <c r="G505" s="282" t="inlineStr">
        <is>
          <t>IDR</t>
        </is>
      </c>
      <c r="H505" s="288" t="n">
        <v>1</v>
      </c>
      <c r="I505" s="290" t="n"/>
      <c r="J505" s="289" t="n">
        <v>25000</v>
      </c>
      <c r="K505" s="291" t="n"/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16-Aug-24</t>
        </is>
      </c>
      <c r="C506" s="278" t="n">
        <v>2</v>
      </c>
      <c r="D506" s="280" t="inlineStr">
        <is>
          <t>Pengiriman dokumen ke Yulia - LBU</t>
        </is>
      </c>
      <c r="E506" s="280" t="inlineStr">
        <is>
          <t>-</t>
        </is>
      </c>
      <c r="F506" s="287" t="n">
        <v>18000</v>
      </c>
      <c r="G506" s="282" t="inlineStr">
        <is>
          <t>IDR</t>
        </is>
      </c>
      <c r="H506" s="288" t="n">
        <v>1</v>
      </c>
      <c r="I506" s="290" t="n"/>
      <c r="J506" s="289" t="n">
        <v>18000</v>
      </c>
      <c r="K506" s="291" t="n"/>
      <c r="L506" s="280" t="n"/>
      <c r="M506" s="280" t="n"/>
      <c r="N506" s="280" t="n"/>
      <c r="O506" s="280" t="n"/>
      <c r="P506" s="280" t="n"/>
      <c r="Q506" s="280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inlineStr">
        <is>
          <t>26-Aug-24</t>
        </is>
      </c>
      <c r="C507" s="278" t="n">
        <v>3</v>
      </c>
      <c r="D507" s="280" t="inlineStr">
        <is>
          <t>printing di snappy</t>
        </is>
      </c>
      <c r="E507" s="280" t="inlineStr">
        <is>
          <t>-</t>
        </is>
      </c>
      <c r="F507" s="287" t="n">
        <v>31000</v>
      </c>
      <c r="G507" s="282" t="inlineStr">
        <is>
          <t>IDR</t>
        </is>
      </c>
      <c r="H507" s="288" t="n">
        <v>1</v>
      </c>
      <c r="I507" s="290" t="n"/>
      <c r="J507" s="289" t="n">
        <v>31000</v>
      </c>
      <c r="K507" s="291" t="n"/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  <c r="Y507" s="285" t="n"/>
    </row>
    <row r="508" ht="15.5" customHeight="1">
      <c r="B508" s="286" t="inlineStr">
        <is>
          <t>02-Sep-24</t>
        </is>
      </c>
      <c r="C508" s="278" t="n">
        <v>4</v>
      </c>
      <c r="D508" s="280" t="inlineStr">
        <is>
          <t>Pengiriman dokumen ke Yufitri</t>
        </is>
      </c>
      <c r="E508" s="280" t="inlineStr">
        <is>
          <t>-</t>
        </is>
      </c>
      <c r="F508" s="287" t="n">
        <v>10000</v>
      </c>
      <c r="G508" s="282" t="inlineStr">
        <is>
          <t>IDR</t>
        </is>
      </c>
      <c r="H508" s="288" t="n">
        <v>1</v>
      </c>
      <c r="I508" s="290" t="n"/>
      <c r="J508" s="289" t="n">
        <v>10000</v>
      </c>
      <c r="K508" s="291" t="n"/>
      <c r="L508" s="280" t="n"/>
      <c r="M508" s="280" t="n"/>
      <c r="N508" s="280" t="n"/>
      <c r="O508" s="280" t="n"/>
      <c r="P508" s="280" t="n"/>
      <c r="Q508" s="280" t="n"/>
      <c r="R508" s="285" t="n"/>
      <c r="S508" s="285" t="n"/>
      <c r="T508" s="285" t="n"/>
      <c r="U508" s="285" t="n"/>
      <c r="V508" s="285" t="n"/>
      <c r="W508" s="285" t="n"/>
      <c r="X508" s="285" t="n"/>
      <c r="Y508" s="285" t="n"/>
    </row>
    <row r="509" ht="15.5" customHeight="1">
      <c r="B509" s="286" t="inlineStr">
        <is>
          <t>02-Sep-24</t>
        </is>
      </c>
      <c r="C509" s="278" t="n">
        <v>5</v>
      </c>
      <c r="D509" s="280" t="inlineStr">
        <is>
          <t>Pengiriman dokumen ke Rachmansyah-Sijak</t>
        </is>
      </c>
      <c r="E509" s="280" t="inlineStr">
        <is>
          <t>-</t>
        </is>
      </c>
      <c r="F509" s="287" t="n">
        <v>18000</v>
      </c>
      <c r="G509" s="282" t="inlineStr">
        <is>
          <t>IDR</t>
        </is>
      </c>
      <c r="H509" s="288" t="n">
        <v>1</v>
      </c>
      <c r="I509" s="290" t="n"/>
      <c r="J509" s="289" t="n">
        <v>18000</v>
      </c>
      <c r="K509" s="291" t="n"/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  <c r="Y509" s="285" t="n"/>
    </row>
    <row r="510" ht="15.5" customHeight="1">
      <c r="B510" s="311" t="n"/>
      <c r="C510" s="278" t="n"/>
      <c r="D510" s="312" t="inlineStr">
        <is>
          <t>Kesehatan</t>
        </is>
      </c>
      <c r="E510" s="313" t="n"/>
      <c r="F510" s="281" t="n"/>
      <c r="G510" s="280" t="n"/>
      <c r="H510" s="340" t="n"/>
      <c r="I510" s="283" t="n"/>
      <c r="J510" s="279" t="n"/>
      <c r="K510" s="279" t="n"/>
      <c r="L510" s="279" t="n"/>
      <c r="M510" s="279" t="n"/>
      <c r="N510" s="279" t="n"/>
      <c r="O510" s="279" t="n"/>
      <c r="P510" s="279" t="n"/>
      <c r="Q510" s="279" t="n"/>
      <c r="R510" s="315" t="n"/>
      <c r="S510" s="315" t="n"/>
      <c r="T510" s="315" t="n"/>
      <c r="U510" s="315" t="n"/>
      <c r="V510" s="315" t="n"/>
      <c r="W510" s="315" t="n"/>
      <c r="X510" s="315" t="n"/>
      <c r="Y510" s="315" t="n"/>
    </row>
    <row r="511" ht="15.5" customHeight="1">
      <c r="B511" s="286" t="inlineStr">
        <is>
          <t>24-Aug-24</t>
        </is>
      </c>
      <c r="C511" s="278" t="n">
        <v>6</v>
      </c>
      <c r="D511" s="280" t="inlineStr">
        <is>
          <t>Medicine</t>
        </is>
      </c>
      <c r="E511" s="280" t="inlineStr">
        <is>
          <t>-</t>
        </is>
      </c>
      <c r="F511" s="287" t="n">
        <v>36000</v>
      </c>
      <c r="G511" s="282" t="inlineStr">
        <is>
          <t>IDR</t>
        </is>
      </c>
      <c r="H511" s="288" t="n">
        <v>1</v>
      </c>
      <c r="I511" s="290" t="n"/>
      <c r="J511" s="290" t="n"/>
      <c r="K511" s="291" t="n"/>
      <c r="L511" s="280" t="n"/>
      <c r="M511" s="280" t="n"/>
      <c r="N511" s="280" t="n"/>
      <c r="O511" s="280" t="n"/>
      <c r="P511" s="280" t="n"/>
      <c r="Q511" s="292" t="n">
        <v>36000</v>
      </c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26-Aug-24</t>
        </is>
      </c>
      <c r="C512" s="278" t="n">
        <v>7</v>
      </c>
      <c r="D512" s="280" t="inlineStr">
        <is>
          <t>Biaya Konsul Dokter Penyakit dalam</t>
        </is>
      </c>
      <c r="E512" s="280" t="inlineStr">
        <is>
          <t>-</t>
        </is>
      </c>
      <c r="F512" s="287" t="n">
        <v>854100</v>
      </c>
      <c r="G512" s="282" t="inlineStr">
        <is>
          <t>IDR</t>
        </is>
      </c>
      <c r="H512" s="288" t="n">
        <v>1</v>
      </c>
      <c r="I512" s="290" t="n"/>
      <c r="J512" s="290" t="n"/>
      <c r="K512" s="291" t="n"/>
      <c r="L512" s="280" t="n"/>
      <c r="M512" s="280" t="n"/>
      <c r="N512" s="280" t="n"/>
      <c r="O512" s="280" t="n"/>
      <c r="P512" s="280" t="n"/>
      <c r="Q512" s="292" t="n">
        <v>854100</v>
      </c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inlineStr">
        <is>
          <t>28-Aug-24</t>
        </is>
      </c>
      <c r="C513" s="278" t="n">
        <v>8</v>
      </c>
      <c r="D513" s="280" t="inlineStr">
        <is>
          <t>Fisioterapi 1st</t>
        </is>
      </c>
      <c r="E513" s="280" t="inlineStr">
        <is>
          <t>-</t>
        </is>
      </c>
      <c r="F513" s="287" t="n">
        <v>285000</v>
      </c>
      <c r="G513" s="282" t="inlineStr">
        <is>
          <t>IDR</t>
        </is>
      </c>
      <c r="H513" s="288" t="n">
        <v>1</v>
      </c>
      <c r="I513" s="290" t="n"/>
      <c r="J513" s="290" t="n"/>
      <c r="K513" s="291" t="n"/>
      <c r="L513" s="280" t="n"/>
      <c r="M513" s="280" t="n"/>
      <c r="N513" s="280" t="n"/>
      <c r="O513" s="280" t="n"/>
      <c r="P513" s="280" t="n"/>
      <c r="Q513" s="292" t="n">
        <v>285000</v>
      </c>
      <c r="R513" s="285" t="n"/>
      <c r="S513" s="285" t="n"/>
      <c r="T513" s="285" t="n"/>
      <c r="U513" s="285" t="n"/>
      <c r="V513" s="285" t="n"/>
      <c r="W513" s="285" t="n"/>
      <c r="X513" s="285" t="n"/>
      <c r="Y513" s="285" t="n"/>
    </row>
    <row r="514" ht="15.5" customHeight="1">
      <c r="B514" s="286" t="inlineStr">
        <is>
          <t>29-Aug-24</t>
        </is>
      </c>
      <c r="C514" s="278" t="n">
        <v>9</v>
      </c>
      <c r="D514" s="280" t="inlineStr">
        <is>
          <t>Fisioterapi 2nd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90" t="n"/>
      <c r="J514" s="290" t="n"/>
      <c r="K514" s="291" t="n"/>
      <c r="L514" s="280" t="n"/>
      <c r="M514" s="280" t="n"/>
      <c r="N514" s="280" t="n"/>
      <c r="O514" s="280" t="n"/>
      <c r="P514" s="280" t="n"/>
      <c r="Q514" s="292" t="n">
        <v>285000</v>
      </c>
      <c r="R514" s="285" t="n"/>
      <c r="S514" s="285" t="n"/>
      <c r="T514" s="285" t="n"/>
      <c r="U514" s="285" t="n"/>
      <c r="V514" s="285" t="n"/>
      <c r="W514" s="285" t="n"/>
      <c r="X514" s="285" t="n"/>
      <c r="Y514" s="285" t="n"/>
    </row>
    <row r="515" ht="15.5" customHeight="1">
      <c r="B515" s="286" t="inlineStr">
        <is>
          <t>30-Aug-24</t>
        </is>
      </c>
      <c r="C515" s="278" t="n">
        <v>10</v>
      </c>
      <c r="D515" s="280" t="inlineStr">
        <is>
          <t>Fisioterapi 3rd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90" t="n"/>
      <c r="J515" s="290" t="n"/>
      <c r="K515" s="291" t="n"/>
      <c r="L515" s="280" t="n"/>
      <c r="M515" s="280" t="n"/>
      <c r="N515" s="280" t="n"/>
      <c r="O515" s="280" t="n"/>
      <c r="P515" s="280" t="n"/>
      <c r="Q515" s="292" t="n">
        <v>285000</v>
      </c>
      <c r="R515" s="285" t="n"/>
      <c r="S515" s="285" t="n"/>
      <c r="T515" s="285" t="n"/>
      <c r="U515" s="285" t="n"/>
      <c r="V515" s="285" t="n"/>
      <c r="W515" s="285" t="n"/>
      <c r="X515" s="285" t="n"/>
      <c r="Y515" s="285" t="n"/>
    </row>
    <row r="516" ht="15.5" customHeight="1">
      <c r="B516" s="286" t="inlineStr">
        <is>
          <t>01-Sep-24</t>
        </is>
      </c>
      <c r="C516" s="278" t="n">
        <v>11</v>
      </c>
      <c r="D516" s="280" t="inlineStr">
        <is>
          <t>medicine</t>
        </is>
      </c>
      <c r="E516" s="280" t="inlineStr">
        <is>
          <t>-</t>
        </is>
      </c>
      <c r="F516" s="287" t="n">
        <v>45000</v>
      </c>
      <c r="G516" s="282" t="inlineStr">
        <is>
          <t>IDR</t>
        </is>
      </c>
      <c r="H516" s="288" t="n">
        <v>1</v>
      </c>
      <c r="I516" s="290" t="n"/>
      <c r="J516" s="290" t="n"/>
      <c r="K516" s="291" t="n"/>
      <c r="L516" s="280" t="n"/>
      <c r="M516" s="280" t="n"/>
      <c r="N516" s="280" t="n"/>
      <c r="O516" s="280" t="n"/>
      <c r="P516" s="280" t="n"/>
      <c r="Q516" s="292" t="n">
        <v>45000</v>
      </c>
      <c r="R516" s="285" t="n"/>
      <c r="S516" s="285" t="n"/>
      <c r="T516" s="285" t="n"/>
      <c r="U516" s="285" t="n"/>
      <c r="V516" s="285" t="n"/>
      <c r="W516" s="285" t="n"/>
      <c r="X516" s="285" t="n"/>
      <c r="Y516" s="285" t="n"/>
    </row>
    <row r="517" ht="15.5" customHeight="1">
      <c r="B517" s="286" t="inlineStr">
        <is>
          <t>02-Sep-24</t>
        </is>
      </c>
      <c r="C517" s="278" t="n">
        <v>12</v>
      </c>
      <c r="D517" s="280" t="inlineStr">
        <is>
          <t>Biaya Konsul Dokter Syaraf</t>
        </is>
      </c>
      <c r="E517" s="280" t="inlineStr">
        <is>
          <t>-</t>
        </is>
      </c>
      <c r="F517" s="287" t="n">
        <v>2906650</v>
      </c>
      <c r="G517" s="282" t="inlineStr">
        <is>
          <t>IDR</t>
        </is>
      </c>
      <c r="H517" s="288" t="n">
        <v>1</v>
      </c>
      <c r="I517" s="290" t="n"/>
      <c r="J517" s="290" t="n"/>
      <c r="K517" s="291" t="n"/>
      <c r="L517" s="280" t="n"/>
      <c r="M517" s="280" t="n"/>
      <c r="N517" s="280" t="n"/>
      <c r="O517" s="280" t="n"/>
      <c r="P517" s="280" t="n"/>
      <c r="Q517" s="292" t="n">
        <v>2906650</v>
      </c>
      <c r="R517" s="285" t="n"/>
      <c r="S517" s="285" t="n"/>
      <c r="T517" s="285" t="n"/>
      <c r="U517" s="285" t="n"/>
      <c r="V517" s="285" t="n"/>
      <c r="W517" s="285" t="n"/>
      <c r="X517" s="285" t="n"/>
      <c r="Y517" s="285" t="n"/>
    </row>
    <row r="518" ht="15.5" customHeight="1">
      <c r="B518" s="286" t="inlineStr">
        <is>
          <t>12-Sep-24</t>
        </is>
      </c>
      <c r="C518" s="278" t="n">
        <v>13</v>
      </c>
      <c r="D518" s="280" t="inlineStr">
        <is>
          <t>Medicine</t>
        </is>
      </c>
      <c r="E518" s="280" t="inlineStr">
        <is>
          <t>-</t>
        </is>
      </c>
      <c r="F518" s="287" t="n">
        <v>241100</v>
      </c>
      <c r="G518" s="282" t="inlineStr">
        <is>
          <t>IDR</t>
        </is>
      </c>
      <c r="H518" s="288" t="n">
        <v>1</v>
      </c>
      <c r="I518" s="290" t="n"/>
      <c r="J518" s="290" t="n"/>
      <c r="K518" s="291" t="n"/>
      <c r="L518" s="280" t="n"/>
      <c r="M518" s="280" t="n"/>
      <c r="N518" s="280" t="n"/>
      <c r="O518" s="280" t="n"/>
      <c r="P518" s="280" t="n"/>
      <c r="Q518" s="292" t="n">
        <v>241100</v>
      </c>
      <c r="R518" s="285" t="n"/>
      <c r="S518" s="285" t="n"/>
      <c r="T518" s="285" t="n"/>
      <c r="U518" s="285" t="n"/>
      <c r="V518" s="285" t="n"/>
      <c r="W518" s="285" t="n"/>
      <c r="X518" s="285" t="n"/>
      <c r="Y518" s="285" t="n"/>
    </row>
    <row r="519" ht="15.5" customHeight="1">
      <c r="B519" s="286" t="inlineStr">
        <is>
          <t>01-Oct-24</t>
        </is>
      </c>
      <c r="C519" s="278" t="n">
        <v>14</v>
      </c>
      <c r="D519" s="280" t="inlineStr">
        <is>
          <t>Biaya Konsul ke 2, Dokter Jantung</t>
        </is>
      </c>
      <c r="E519" s="280" t="inlineStr">
        <is>
          <t>-</t>
        </is>
      </c>
      <c r="F519" s="287" t="n">
        <v>1370000</v>
      </c>
      <c r="G519" s="282" t="inlineStr">
        <is>
          <t>IDR</t>
        </is>
      </c>
      <c r="H519" s="288" t="n">
        <v>1</v>
      </c>
      <c r="I519" s="290" t="n"/>
      <c r="J519" s="290" t="n"/>
      <c r="K519" s="291" t="n"/>
      <c r="L519" s="280" t="n"/>
      <c r="M519" s="280" t="n"/>
      <c r="N519" s="280" t="n"/>
      <c r="O519" s="280" t="n"/>
      <c r="P519" s="280" t="n"/>
      <c r="Q519" s="292" t="n">
        <v>1370000</v>
      </c>
      <c r="R519" s="285" t="n"/>
      <c r="S519" s="285" t="n"/>
      <c r="T519" s="285" t="n"/>
      <c r="U519" s="285" t="n"/>
      <c r="V519" s="285" t="n"/>
      <c r="W519" s="285" t="n"/>
      <c r="X519" s="285" t="n"/>
      <c r="Y519" s="285" t="n"/>
    </row>
    <row r="520" ht="15.5" customHeight="1">
      <c r="B520" s="302" t="inlineStr">
        <is>
          <t>Expense#37</t>
        </is>
      </c>
      <c r="C520" s="303" t="inlineStr">
        <is>
          <t>:</t>
        </is>
      </c>
      <c r="D520" s="304" t="inlineStr">
        <is>
          <t>MTD SKW-26_sukowati_TMA</t>
        </is>
      </c>
      <c r="E520" s="305" t="n"/>
      <c r="F520" s="306" t="n"/>
      <c r="G520" s="303" t="n"/>
      <c r="H520" s="303" t="n"/>
      <c r="I520" s="308" t="n"/>
      <c r="J520" s="309" t="n"/>
      <c r="K520" s="309" t="n"/>
      <c r="L520" s="309" t="n"/>
      <c r="M520" s="309" t="n"/>
      <c r="N520" s="309" t="n"/>
      <c r="O520" s="309" t="n"/>
      <c r="P520" s="309" t="n"/>
      <c r="Q520" s="309" t="n"/>
      <c r="R520" s="310" t="n"/>
      <c r="S520" s="310" t="n"/>
      <c r="T520" s="310" t="n"/>
      <c r="U520" s="310" t="n"/>
      <c r="V520" s="310" t="n"/>
      <c r="W520" s="310" t="n"/>
      <c r="X520" s="310" t="n"/>
      <c r="Y520" s="310" t="n"/>
    </row>
    <row r="521" ht="15.5" customHeight="1">
      <c r="B521" s="311" t="n"/>
      <c r="C521" s="278" t="n"/>
      <c r="D521" s="312" t="inlineStr">
        <is>
          <t>Biaya Operasi</t>
        </is>
      </c>
      <c r="E521" s="322" t="n"/>
      <c r="F521" s="314" t="n"/>
      <c r="G521" s="278" t="n"/>
      <c r="H521" s="278" t="n"/>
      <c r="I521" s="283" t="n"/>
      <c r="J521" s="279" t="n"/>
      <c r="K521" s="279" t="n"/>
      <c r="L521" s="279" t="n"/>
      <c r="M521" s="283" t="n"/>
      <c r="N521" s="279" t="n"/>
      <c r="O521" s="279" t="n"/>
      <c r="P521" s="279" t="n"/>
      <c r="Q521" s="279" t="n"/>
      <c r="R521" s="315" t="n"/>
      <c r="S521" s="315" t="n"/>
      <c r="T521" s="315" t="n"/>
      <c r="U521" s="315" t="n"/>
      <c r="V521" s="315" t="n"/>
      <c r="W521" s="315" t="n"/>
      <c r="X521" s="315" t="n"/>
      <c r="Y521" s="315" t="n"/>
    </row>
    <row r="522" ht="15.5" customHeight="1">
      <c r="B522" s="286" t="inlineStr">
        <is>
          <t>23-Sep-24</t>
        </is>
      </c>
      <c r="C522" s="278" t="n">
        <v>1</v>
      </c>
      <c r="D522" s="280" t="inlineStr">
        <is>
          <t>Hotel 23 Sept - 26 Sept (3 days)</t>
        </is>
      </c>
      <c r="E522" s="280" t="inlineStr">
        <is>
          <t>-</t>
        </is>
      </c>
      <c r="F522" s="287" t="n">
        <v>1584184</v>
      </c>
      <c r="G522" s="282" t="inlineStr">
        <is>
          <t>IDR</t>
        </is>
      </c>
      <c r="H522" s="288" t="n">
        <v>1</v>
      </c>
      <c r="I522" s="290" t="n"/>
      <c r="J522" s="289" t="n">
        <v>1584184</v>
      </c>
      <c r="K522" s="291" t="n"/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2</v>
      </c>
      <c r="D523" s="280" t="inlineStr">
        <is>
          <t>Laundry 6 days 1 Persons @ 50K IDR/day</t>
        </is>
      </c>
      <c r="E523" s="280" t="inlineStr">
        <is>
          <t>-</t>
        </is>
      </c>
      <c r="F523" s="287" t="n">
        <v>250000</v>
      </c>
      <c r="G523" s="282" t="inlineStr">
        <is>
          <t>IDR</t>
        </is>
      </c>
      <c r="H523" s="288" t="n">
        <v>1</v>
      </c>
      <c r="I523" s="290" t="n"/>
      <c r="J523" s="289" t="n">
        <v>250000</v>
      </c>
      <c r="K523" s="291" t="n"/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inlineStr">
        <is>
          <t>23-Sep-24</t>
        </is>
      </c>
      <c r="C524" s="278" t="n">
        <v>3</v>
      </c>
      <c r="D524" s="280" t="inlineStr">
        <is>
          <t>Train Ticket Gambir-Cepu (2 pax)</t>
        </is>
      </c>
      <c r="E524" s="280" t="inlineStr">
        <is>
          <t>-</t>
        </is>
      </c>
      <c r="F524" s="287" t="n">
        <v>1213500</v>
      </c>
      <c r="G524" s="282" t="inlineStr">
        <is>
          <t>IDR</t>
        </is>
      </c>
      <c r="H524" s="288" t="n">
        <v>1</v>
      </c>
      <c r="I524" s="290" t="n"/>
      <c r="J524" s="289" t="n">
        <v>1213500</v>
      </c>
      <c r="K524" s="291" t="n"/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  <c r="Y524" s="285" t="n"/>
    </row>
    <row r="525" ht="15.5" customHeight="1">
      <c r="B525" s="286" t="inlineStr">
        <is>
          <t>23-Sep-24</t>
        </is>
      </c>
      <c r="C525" s="278" t="n">
        <v>4</v>
      </c>
      <c r="D525" s="280" t="inlineStr">
        <is>
          <t>Taxi Pondok Cabe-Gambir</t>
        </is>
      </c>
      <c r="E525" s="280" t="inlineStr">
        <is>
          <t>-</t>
        </is>
      </c>
      <c r="F525" s="287" t="n">
        <v>132500</v>
      </c>
      <c r="G525" s="282" t="inlineStr">
        <is>
          <t>IDR</t>
        </is>
      </c>
      <c r="H525" s="288" t="n">
        <v>1</v>
      </c>
      <c r="I525" s="290" t="n"/>
      <c r="J525" s="289" t="n">
        <v>132500</v>
      </c>
      <c r="K525" s="291" t="n"/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  <c r="Y525" s="285" t="n"/>
    </row>
    <row r="526" ht="15.5" customHeight="1">
      <c r="B526" s="286" t="inlineStr">
        <is>
          <t>23-Sep-24</t>
        </is>
      </c>
      <c r="C526" s="278" t="n">
        <v>5</v>
      </c>
      <c r="D526" s="280" t="inlineStr">
        <is>
          <t>Demob Tools (Kalog)</t>
        </is>
      </c>
      <c r="E526" s="280" t="inlineStr">
        <is>
          <t>-</t>
        </is>
      </c>
      <c r="F526" s="287" t="n">
        <v>280400</v>
      </c>
      <c r="G526" s="282" t="inlineStr">
        <is>
          <t>IDR</t>
        </is>
      </c>
      <c r="H526" s="288" t="n">
        <v>1</v>
      </c>
      <c r="I526" s="290" t="n"/>
      <c r="J526" s="289" t="n">
        <v>280400</v>
      </c>
      <c r="K526" s="291" t="n"/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  <c r="Y526" s="285" t="n"/>
    </row>
    <row r="527" ht="15.5" customHeight="1">
      <c r="B527" s="286" t="inlineStr">
        <is>
          <t>23-Sep-24</t>
        </is>
      </c>
      <c r="C527" s="278" t="n">
        <v>6</v>
      </c>
      <c r="D527" s="280" t="inlineStr">
        <is>
          <t>Taxi Gambir-Pondok Cabe (inc Toll+Parking)</t>
        </is>
      </c>
      <c r="E527" s="280" t="inlineStr">
        <is>
          <t>-</t>
        </is>
      </c>
      <c r="F527" s="287" t="n">
        <v>326600</v>
      </c>
      <c r="G527" s="282" t="inlineStr">
        <is>
          <t>IDR</t>
        </is>
      </c>
      <c r="H527" s="288" t="n">
        <v>1</v>
      </c>
      <c r="I527" s="290" t="n"/>
      <c r="J527" s="289" t="n">
        <v>326600</v>
      </c>
      <c r="K527" s="291" t="n"/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  <c r="Y527" s="285" t="n"/>
    </row>
    <row r="528" ht="15.5" customHeight="1">
      <c r="B528" s="286" t="inlineStr">
        <is>
          <t>23-Sep-24</t>
        </is>
      </c>
      <c r="C528" s="278" t="n">
        <v>7</v>
      </c>
      <c r="D528" s="280" t="inlineStr">
        <is>
          <t>Train Ticket Bojonegoro-Gambir (2 pax)</t>
        </is>
      </c>
      <c r="E528" s="280" t="inlineStr">
        <is>
          <t>-</t>
        </is>
      </c>
      <c r="F528" s="287" t="n">
        <v>1653500</v>
      </c>
      <c r="G528" s="282" t="inlineStr">
        <is>
          <t>IDR</t>
        </is>
      </c>
      <c r="H528" s="288" t="n">
        <v>1</v>
      </c>
      <c r="I528" s="290" t="n"/>
      <c r="J528" s="289" t="n">
        <v>1653500</v>
      </c>
      <c r="K528" s="291" t="n"/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  <c r="Y528" s="285" t="n"/>
    </row>
    <row r="529" ht="15.5" customHeight="1">
      <c r="B529" s="286" t="inlineStr">
        <is>
          <t>23-Sep-24</t>
        </is>
      </c>
      <c r="C529" s="278" t="n">
        <v>8</v>
      </c>
      <c r="D529" s="280" t="inlineStr">
        <is>
          <t>Lalamove Kalog-Gowell</t>
        </is>
      </c>
      <c r="E529" s="280" t="inlineStr">
        <is>
          <t>-</t>
        </is>
      </c>
      <c r="F529" s="287" t="n">
        <v>73584</v>
      </c>
      <c r="G529" s="282" t="inlineStr">
        <is>
          <t>IDR</t>
        </is>
      </c>
      <c r="H529" s="288" t="n">
        <v>1</v>
      </c>
      <c r="I529" s="290" t="n"/>
      <c r="J529" s="289" t="n">
        <v>73584</v>
      </c>
      <c r="K529" s="291" t="n"/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  <c r="Y529" s="285" t="n"/>
    </row>
    <row r="530" ht="15.5" customHeight="1">
      <c r="B530" s="286" t="inlineStr">
        <is>
          <t>23-Sep-24</t>
        </is>
      </c>
      <c r="C530" s="278" t="n">
        <v>9</v>
      </c>
      <c r="D530" s="280" t="inlineStr">
        <is>
          <t>Field Allowance</t>
        </is>
      </c>
      <c r="E530" s="280" t="inlineStr">
        <is>
          <t>-</t>
        </is>
      </c>
      <c r="F530" s="287" t="n">
        <v>7615500</v>
      </c>
      <c r="G530" s="282" t="inlineStr">
        <is>
          <t>USD</t>
        </is>
      </c>
      <c r="H530" s="288" t="n">
        <v>15231</v>
      </c>
      <c r="I530" s="290" t="n"/>
      <c r="J530" s="289" t="n">
        <v>7615500</v>
      </c>
      <c r="K530" s="291" t="n"/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  <c r="Y530" s="285" t="n"/>
    </row>
    <row r="531" ht="15.5" customHeight="1">
      <c r="B531" s="286" t="inlineStr">
        <is>
          <t>23-Sep-24</t>
        </is>
      </c>
      <c r="C531" s="278" t="n">
        <v>10</v>
      </c>
      <c r="D531" s="280" t="inlineStr">
        <is>
          <t>Meals</t>
        </is>
      </c>
      <c r="E531" s="280" t="inlineStr">
        <is>
          <t>-</t>
        </is>
      </c>
      <c r="F531" s="287" t="n">
        <v>750000</v>
      </c>
      <c r="G531" s="282" t="inlineStr">
        <is>
          <t>IDR</t>
        </is>
      </c>
      <c r="H531" s="288" t="n">
        <v>1</v>
      </c>
      <c r="I531" s="290" t="n"/>
      <c r="J531" s="289" t="n">
        <v>750000</v>
      </c>
      <c r="K531" s="291" t="n"/>
      <c r="L531" s="280" t="n"/>
      <c r="M531" s="280" t="n"/>
      <c r="N531" s="280" t="n"/>
      <c r="O531" s="280" t="n"/>
      <c r="P531" s="280" t="n"/>
      <c r="Q531" s="280" t="n"/>
      <c r="R531" s="285" t="n"/>
      <c r="S531" s="285" t="n"/>
      <c r="T531" s="285" t="n"/>
      <c r="U531" s="285" t="n"/>
      <c r="V531" s="285" t="n"/>
      <c r="W531" s="285" t="n"/>
      <c r="X531" s="285" t="n"/>
      <c r="Y531" s="285" t="n"/>
    </row>
    <row r="532" ht="15.5" customHeight="1">
      <c r="B532" s="302" t="inlineStr">
        <is>
          <t>Expense#38</t>
        </is>
      </c>
      <c r="C532" s="303" t="inlineStr">
        <is>
          <t>:</t>
        </is>
      </c>
      <c r="D532" s="304" t="inlineStr">
        <is>
          <t>MTD_STM_HDP 01 s/d 03 well (BHI project ndr Gowell) Sumbawa</t>
        </is>
      </c>
      <c r="E532" s="320" t="n"/>
      <c r="F532" s="306" t="n"/>
      <c r="G532" s="303" t="n"/>
      <c r="H532" s="303" t="n"/>
      <c r="I532" s="308" t="n"/>
      <c r="J532" s="309" t="n"/>
      <c r="K532" s="309" t="n"/>
      <c r="L532" s="309" t="n"/>
      <c r="M532" s="309" t="n"/>
      <c r="N532" s="309" t="n"/>
      <c r="O532" s="309" t="n"/>
      <c r="P532" s="309" t="n"/>
      <c r="Q532" s="309" t="n"/>
      <c r="R532" s="310" t="n"/>
      <c r="S532" s="310" t="n"/>
      <c r="T532" s="310" t="n"/>
      <c r="U532" s="310" t="n"/>
      <c r="V532" s="310" t="n"/>
      <c r="W532" s="310" t="n"/>
      <c r="X532" s="310" t="n"/>
      <c r="Y532" s="310" t="n"/>
    </row>
    <row r="533" ht="15.5" customHeight="1">
      <c r="B533" s="311" t="n"/>
      <c r="C533" s="278" t="n"/>
      <c r="D533" s="312" t="inlineStr">
        <is>
          <t>Biaya Operasi</t>
        </is>
      </c>
      <c r="E533" s="280" t="n"/>
      <c r="F533" s="314" t="n"/>
      <c r="G533" s="278" t="n"/>
      <c r="H533" s="278" t="n"/>
      <c r="I533" s="284" t="n"/>
      <c r="J533" s="279" t="n"/>
      <c r="K533" s="279" t="n"/>
      <c r="L533" s="279" t="n"/>
      <c r="M533" s="279" t="n"/>
      <c r="N533" s="279" t="n"/>
      <c r="O533" s="279" t="n"/>
      <c r="P533" s="279" t="n"/>
      <c r="Q533" s="279" t="n"/>
      <c r="R533" s="315" t="n"/>
      <c r="S533" s="315" t="n"/>
      <c r="T533" s="315" t="n"/>
      <c r="U533" s="315" t="n"/>
      <c r="V533" s="315" t="n"/>
      <c r="W533" s="315" t="n"/>
      <c r="X533" s="315" t="n"/>
      <c r="Y533" s="315" t="n"/>
    </row>
    <row r="534" ht="15.5" customHeight="1">
      <c r="B534" s="286" t="inlineStr">
        <is>
          <t>03-Oct-24</t>
        </is>
      </c>
      <c r="C534" s="278" t="n">
        <v>1</v>
      </c>
      <c r="D534" s="280" t="inlineStr">
        <is>
          <t>Taxi Anevril Home - CGK Airport</t>
        </is>
      </c>
      <c r="E534" s="280" t="inlineStr">
        <is>
          <t>-</t>
        </is>
      </c>
      <c r="F534" s="287" t="n">
        <v>250000</v>
      </c>
      <c r="G534" s="282" t="inlineStr">
        <is>
          <t>IDR</t>
        </is>
      </c>
      <c r="H534" s="288" t="n">
        <v>1</v>
      </c>
      <c r="I534" s="290" t="n"/>
      <c r="J534" s="289" t="n">
        <v>250000</v>
      </c>
      <c r="K534" s="291" t="n"/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20-Oct-24</t>
        </is>
      </c>
      <c r="C535" s="278" t="n">
        <v>2</v>
      </c>
      <c r="D535" s="280" t="inlineStr">
        <is>
          <t>Taxi Anevril CGK Airport - Home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90" t="n"/>
      <c r="J535" s="289" t="n">
        <v>250000</v>
      </c>
      <c r="K535" s="291" t="n"/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inlineStr">
        <is>
          <t>20-Oct-24</t>
        </is>
      </c>
      <c r="C536" s="278" t="n">
        <v>3</v>
      </c>
      <c r="D536" s="280" t="inlineStr">
        <is>
          <t>Laundry 18 days @ 50K IDR/day</t>
        </is>
      </c>
      <c r="E536" s="280" t="inlineStr">
        <is>
          <t>-</t>
        </is>
      </c>
      <c r="F536" s="287" t="n">
        <v>900000</v>
      </c>
      <c r="G536" s="282" t="inlineStr">
        <is>
          <t>IDR</t>
        </is>
      </c>
      <c r="H536" s="288" t="n">
        <v>1</v>
      </c>
      <c r="I536" s="290" t="n"/>
      <c r="J536" s="289" t="n">
        <v>900000</v>
      </c>
      <c r="K536" s="291" t="n"/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  <c r="Y536" s="285" t="n"/>
    </row>
    <row r="537" ht="15.5" customHeight="1">
      <c r="B537" s="286" t="inlineStr">
        <is>
          <t>20-Oct-24</t>
        </is>
      </c>
      <c r="C537" s="278" t="n">
        <v>4</v>
      </c>
      <c r="D537" s="280" t="inlineStr">
        <is>
          <t>operation meal with BHI person</t>
        </is>
      </c>
      <c r="E537" s="280" t="inlineStr">
        <is>
          <t>-</t>
        </is>
      </c>
      <c r="F537" s="287" t="n">
        <v>1102050</v>
      </c>
      <c r="G537" s="282" t="inlineStr">
        <is>
          <t>IDR</t>
        </is>
      </c>
      <c r="H537" s="288" t="n">
        <v>1</v>
      </c>
      <c r="I537" s="290" t="n"/>
      <c r="J537" s="289" t="n">
        <v>1102050</v>
      </c>
      <c r="K537" s="291" t="n"/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  <c r="Y537" s="285" t="n"/>
    </row>
    <row r="538" ht="15.5" customHeight="1">
      <c r="B538" s="286" t="inlineStr">
        <is>
          <t>20-Oct-24</t>
        </is>
      </c>
      <c r="C538" s="278" t="n">
        <v>5</v>
      </c>
      <c r="D538" s="280" t="inlineStr">
        <is>
          <t>Meal 18 days @ 150K IDR/day</t>
        </is>
      </c>
      <c r="E538" s="280" t="inlineStr">
        <is>
          <t>-</t>
        </is>
      </c>
      <c r="F538" s="287" t="n">
        <v>2700000</v>
      </c>
      <c r="G538" s="282" t="inlineStr">
        <is>
          <t>IDR</t>
        </is>
      </c>
      <c r="H538" s="288" t="n">
        <v>1</v>
      </c>
      <c r="I538" s="290" t="n"/>
      <c r="J538" s="289" t="n">
        <v>2700000</v>
      </c>
      <c r="K538" s="291" t="n"/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  <c r="Y538" s="285" t="n"/>
    </row>
    <row r="539" ht="15.5" customHeight="1">
      <c r="B539" s="286" t="inlineStr">
        <is>
          <t>20-Oct-24</t>
        </is>
      </c>
      <c r="C539" s="278" t="n">
        <v>6</v>
      </c>
      <c r="D539" s="280" t="inlineStr">
        <is>
          <t>Field Allowance for 18 days</t>
        </is>
      </c>
      <c r="E539" s="280" t="inlineStr">
        <is>
          <t>-</t>
        </is>
      </c>
      <c r="F539" s="287" t="n">
        <v>28528200</v>
      </c>
      <c r="G539" s="282" t="inlineStr">
        <is>
          <t>USD</t>
        </is>
      </c>
      <c r="H539" s="288" t="n">
        <v>15849</v>
      </c>
      <c r="I539" s="290" t="n"/>
      <c r="J539" s="289" t="n">
        <v>28528200</v>
      </c>
      <c r="K539" s="291" t="n"/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  <c r="Y539" s="285" t="n"/>
    </row>
    <row r="540" ht="15.5" customHeight="1">
      <c r="B540" s="302" t="inlineStr">
        <is>
          <t>Expense#39</t>
        </is>
      </c>
      <c r="C540" s="303" t="inlineStr">
        <is>
          <t>:</t>
        </is>
      </c>
      <c r="D540" s="304" t="inlineStr">
        <is>
          <t>Training Basic Sea Survival_IBR</t>
        </is>
      </c>
      <c r="E540" s="320" t="n"/>
      <c r="F540" s="306" t="n"/>
      <c r="G540" s="303" t="n"/>
      <c r="H540" s="303" t="n"/>
      <c r="I540" s="308" t="n"/>
      <c r="J540" s="309" t="n"/>
      <c r="K540" s="309" t="n"/>
      <c r="L540" s="309" t="n"/>
      <c r="M540" s="307" t="n"/>
      <c r="N540" s="309" t="n"/>
      <c r="O540" s="309" t="n"/>
      <c r="P540" s="309" t="n"/>
      <c r="Q540" s="309" t="n"/>
      <c r="R540" s="310" t="n"/>
      <c r="S540" s="310" t="n"/>
      <c r="T540" s="310" t="n"/>
      <c r="U540" s="310" t="n"/>
      <c r="V540" s="310" t="n"/>
      <c r="W540" s="310" t="n"/>
      <c r="X540" s="310" t="n"/>
      <c r="Y540" s="310" t="n"/>
    </row>
    <row r="541" ht="15.5" customHeight="1">
      <c r="B541" s="311" t="n"/>
      <c r="C541" s="278" t="n"/>
      <c r="D541" s="312" t="inlineStr">
        <is>
          <t>Biaya Operasi</t>
        </is>
      </c>
      <c r="E541" s="280" t="n"/>
      <c r="F541" s="314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5" t="n"/>
      <c r="S541" s="315" t="n"/>
      <c r="T541" s="315" t="n"/>
      <c r="U541" s="315" t="n"/>
      <c r="V541" s="315" t="n"/>
      <c r="W541" s="315" t="n"/>
      <c r="X541" s="315" t="n"/>
      <c r="Y541" s="315" t="n"/>
    </row>
    <row r="542" ht="15.5" customHeight="1">
      <c r="B542" s="286" t="inlineStr">
        <is>
          <t>26-Nov-24</t>
        </is>
      </c>
      <c r="C542" s="278" t="n">
        <v>1</v>
      </c>
      <c r="D542" s="280" t="inlineStr">
        <is>
          <t>Basic Sea Survival</t>
        </is>
      </c>
      <c r="E542" s="280" t="inlineStr">
        <is>
          <t>-</t>
        </is>
      </c>
      <c r="F542" s="287" t="n">
        <v>2700000</v>
      </c>
      <c r="G542" s="282" t="inlineStr">
        <is>
          <t>IDR</t>
        </is>
      </c>
      <c r="H542" s="288" t="n">
        <v>1</v>
      </c>
      <c r="I542" s="290" t="n"/>
      <c r="J542" s="289" t="n">
        <v>2700000</v>
      </c>
      <c r="K542" s="291" t="n"/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2</v>
      </c>
      <c r="D543" s="280" t="inlineStr">
        <is>
          <t>Gojek ( Damn Coffe - PT Lautan Tenang Jaya )</t>
        </is>
      </c>
      <c r="E543" s="280" t="inlineStr">
        <is>
          <t>-</t>
        </is>
      </c>
      <c r="F543" s="287" t="n">
        <v>15000</v>
      </c>
      <c r="G543" s="282" t="inlineStr">
        <is>
          <t>IDR</t>
        </is>
      </c>
      <c r="H543" s="288" t="n">
        <v>1</v>
      </c>
      <c r="I543" s="290" t="n"/>
      <c r="J543" s="289" t="n">
        <v>15000</v>
      </c>
      <c r="K543" s="291" t="n"/>
      <c r="L543" s="280" t="n"/>
      <c r="M543" s="280" t="n"/>
      <c r="N543" s="280" t="n"/>
      <c r="O543" s="280" t="n"/>
      <c r="P543" s="280" t="n"/>
      <c r="Q543" s="280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inlineStr">
        <is>
          <t>26-Nov-24</t>
        </is>
      </c>
      <c r="C544" s="278" t="n">
        <v>3</v>
      </c>
      <c r="D544" s="280" t="inlineStr">
        <is>
          <t>Gojek ( PT Lautan Tenang Jaya - Stasiun MRT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90" t="n"/>
      <c r="J544" s="289" t="n">
        <v>15000</v>
      </c>
      <c r="K544" s="291" t="n"/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  <c r="Y544" s="285" t="n"/>
    </row>
    <row r="545" ht="15.5" customHeight="1">
      <c r="B545" s="286" t="inlineStr">
        <is>
          <t>26-Nov-24</t>
        </is>
      </c>
      <c r="C545" s="278" t="n">
        <v>4</v>
      </c>
      <c r="D545" s="280" t="inlineStr">
        <is>
          <t>Gojek ( Stasiun Sudimara - Home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90" t="n"/>
      <c r="J545" s="289" t="n">
        <v>15000</v>
      </c>
      <c r="K545" s="291" t="n"/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  <c r="Y545" s="285" t="n"/>
    </row>
    <row r="546" ht="15.5" customHeight="1">
      <c r="B546" s="286" t="inlineStr">
        <is>
          <t>26-Nov-24</t>
        </is>
      </c>
      <c r="C546" s="278" t="n">
        <v>5</v>
      </c>
      <c r="D546" s="280" t="inlineStr">
        <is>
          <t>MRT ( Lebak Bulus - Duku Atas )</t>
        </is>
      </c>
      <c r="E546" s="280" t="inlineStr">
        <is>
          <t>-</t>
        </is>
      </c>
      <c r="F546" s="287" t="n">
        <v>14000</v>
      </c>
      <c r="G546" s="282" t="inlineStr">
        <is>
          <t>IDR</t>
        </is>
      </c>
      <c r="H546" s="288" t="n">
        <v>1</v>
      </c>
      <c r="I546" s="290" t="n"/>
      <c r="J546" s="289" t="n">
        <v>14000</v>
      </c>
      <c r="K546" s="291" t="n"/>
      <c r="L546" s="280" t="n"/>
      <c r="M546" s="280" t="n"/>
      <c r="N546" s="280" t="n"/>
      <c r="O546" s="280" t="n"/>
      <c r="P546" s="280" t="n"/>
      <c r="Q546" s="280" t="n"/>
      <c r="R546" s="285" t="n"/>
      <c r="S546" s="285" t="n"/>
      <c r="T546" s="285" t="n"/>
      <c r="U546" s="285" t="n"/>
      <c r="V546" s="285" t="n"/>
      <c r="W546" s="285" t="n"/>
      <c r="X546" s="285" t="n"/>
      <c r="Y546" s="285" t="n"/>
    </row>
    <row r="547" ht="15.5" customHeight="1">
      <c r="B547" s="286" t="inlineStr">
        <is>
          <t>26-Nov-24</t>
        </is>
      </c>
      <c r="C547" s="278" t="n">
        <v>6</v>
      </c>
      <c r="D547" s="280" t="inlineStr">
        <is>
          <t>KRL ( Duku Atas - Sudimara )</t>
        </is>
      </c>
      <c r="E547" s="280" t="inlineStr">
        <is>
          <t>-</t>
        </is>
      </c>
      <c r="F547" s="287" t="n">
        <v>3000</v>
      </c>
      <c r="G547" s="282" t="inlineStr">
        <is>
          <t>IDR</t>
        </is>
      </c>
      <c r="H547" s="288" t="n">
        <v>1</v>
      </c>
      <c r="I547" s="290" t="n"/>
      <c r="J547" s="289" t="n">
        <v>3000</v>
      </c>
      <c r="K547" s="291" t="n"/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  <c r="Y547" s="285" t="n"/>
    </row>
    <row r="548" ht="15.5" customHeight="1">
      <c r="B548" s="302" t="inlineStr">
        <is>
          <t>Expense#40</t>
        </is>
      </c>
      <c r="C548" s="303" t="inlineStr">
        <is>
          <t>:</t>
        </is>
      </c>
      <c r="D548" s="304" t="inlineStr">
        <is>
          <t>Non trip 1st - project _ Pety cash 1st - YY</t>
        </is>
      </c>
      <c r="E548" s="320" t="n"/>
      <c r="F548" s="326" t="n"/>
      <c r="G548" s="303" t="n"/>
      <c r="H548" s="303" t="n"/>
      <c r="I548" s="307" t="n"/>
      <c r="J548" s="309" t="n"/>
      <c r="K548" s="309" t="n"/>
      <c r="L548" s="309" t="n"/>
      <c r="M548" s="309" t="n"/>
      <c r="N548" s="309" t="n"/>
      <c r="O548" s="309" t="n"/>
      <c r="P548" s="309" t="n"/>
      <c r="Q548" s="309" t="n"/>
      <c r="R548" s="310" t="n"/>
      <c r="S548" s="310" t="n"/>
      <c r="T548" s="310" t="n"/>
      <c r="U548" s="310" t="n"/>
      <c r="V548" s="310" t="n"/>
      <c r="W548" s="310" t="n"/>
      <c r="X548" s="310" t="n"/>
      <c r="Y548" s="310" t="n"/>
    </row>
    <row r="549" ht="15.5" customHeight="1">
      <c r="B549" s="311" t="n"/>
      <c r="C549" s="278" t="n"/>
      <c r="D549" s="312" t="inlineStr">
        <is>
          <t>Administrasi</t>
        </is>
      </c>
      <c r="E549" s="321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  <c r="R549" s="315" t="n"/>
      <c r="S549" s="315" t="n"/>
      <c r="T549" s="315" t="n"/>
      <c r="U549" s="315" t="n"/>
      <c r="V549" s="315" t="n"/>
      <c r="W549" s="315" t="n"/>
      <c r="X549" s="315" t="n"/>
      <c r="Y549" s="315" t="n"/>
    </row>
    <row r="550" ht="15.5" customHeight="1">
      <c r="B550" s="286" t="inlineStr">
        <is>
          <t>07-Oct-24</t>
        </is>
      </c>
      <c r="C550" s="278" t="n">
        <v>1</v>
      </c>
      <c r="D550" s="280" t="inlineStr">
        <is>
          <t>Materai 6 pcs</t>
        </is>
      </c>
      <c r="E550" s="280" t="inlineStr">
        <is>
          <t>-</t>
        </is>
      </c>
      <c r="F550" s="287" t="n">
        <v>62000</v>
      </c>
      <c r="G550" s="282" t="inlineStr">
        <is>
          <t>IDR</t>
        </is>
      </c>
      <c r="H550" s="288" t="n">
        <v>1</v>
      </c>
      <c r="I550" s="290" t="n"/>
      <c r="J550" s="290" t="n"/>
      <c r="K550" s="291" t="n"/>
      <c r="L550" s="280" t="n"/>
      <c r="M550" s="280" t="n"/>
      <c r="N550" s="292" t="n">
        <v>62000</v>
      </c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14-Oct-24</t>
        </is>
      </c>
      <c r="C551" s="278" t="n">
        <v>2</v>
      </c>
      <c r="D551" s="280" t="inlineStr">
        <is>
          <t>Materai 10 pcs</t>
        </is>
      </c>
      <c r="E551" s="280" t="inlineStr">
        <is>
          <t>-</t>
        </is>
      </c>
      <c r="F551" s="287" t="n">
        <v>103000</v>
      </c>
      <c r="G551" s="282" t="inlineStr">
        <is>
          <t>IDR</t>
        </is>
      </c>
      <c r="H551" s="288" t="n">
        <v>1</v>
      </c>
      <c r="I551" s="290" t="n"/>
      <c r="J551" s="290" t="n"/>
      <c r="K551" s="291" t="n"/>
      <c r="L551" s="280" t="n"/>
      <c r="M551" s="280" t="n"/>
      <c r="N551" s="292" t="n">
        <v>103000</v>
      </c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inlineStr">
        <is>
          <t>17-Oct-24</t>
        </is>
      </c>
      <c r="C552" s="278" t="n">
        <v>3</v>
      </c>
      <c r="D552" s="280" t="inlineStr">
        <is>
          <t>Materai 5 pcs</t>
        </is>
      </c>
      <c r="E552" s="280" t="inlineStr">
        <is>
          <t>-</t>
        </is>
      </c>
      <c r="F552" s="287" t="n">
        <v>55000</v>
      </c>
      <c r="G552" s="282" t="inlineStr">
        <is>
          <t>IDR</t>
        </is>
      </c>
      <c r="H552" s="288" t="n">
        <v>1</v>
      </c>
      <c r="I552" s="290" t="n"/>
      <c r="J552" s="290" t="n"/>
      <c r="K552" s="291" t="n"/>
      <c r="L552" s="280" t="n"/>
      <c r="M552" s="280" t="n"/>
      <c r="N552" s="292" t="n">
        <v>55000</v>
      </c>
      <c r="O552" s="280" t="n"/>
      <c r="P552" s="280" t="n"/>
      <c r="Q552" s="280" t="n"/>
      <c r="R552" s="285" t="n"/>
      <c r="S552" s="285" t="n"/>
      <c r="T552" s="285" t="n"/>
      <c r="U552" s="285" t="n"/>
      <c r="V552" s="285" t="n"/>
      <c r="W552" s="285" t="n"/>
      <c r="X552" s="285" t="n"/>
      <c r="Y552" s="285" t="n"/>
    </row>
    <row r="553" ht="15.5" customHeight="1">
      <c r="B553" s="286" t="inlineStr">
        <is>
          <t>21-Nov-24</t>
        </is>
      </c>
      <c r="C553" s="278" t="n">
        <v>4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90" t="n"/>
      <c r="J553" s="290" t="n"/>
      <c r="K553" s="291" t="n"/>
      <c r="L553" s="280" t="n"/>
      <c r="M553" s="280" t="n"/>
      <c r="N553" s="292" t="n">
        <v>103000</v>
      </c>
      <c r="O553" s="280" t="n"/>
      <c r="P553" s="280" t="n"/>
      <c r="Q553" s="280" t="n"/>
      <c r="R553" s="285" t="n"/>
      <c r="S553" s="285" t="n"/>
      <c r="T553" s="285" t="n"/>
      <c r="U553" s="285" t="n"/>
      <c r="V553" s="285" t="n"/>
      <c r="W553" s="285" t="n"/>
      <c r="X553" s="285" t="n"/>
      <c r="Y553" s="285" t="n"/>
    </row>
    <row r="554" ht="15.5" customHeight="1">
      <c r="B554" s="311" t="n"/>
      <c r="C554" s="278" t="n"/>
      <c r="D554" s="312" t="inlineStr">
        <is>
          <t>Biaya Operasi</t>
        </is>
      </c>
      <c r="E554" s="322" t="n"/>
      <c r="F554" s="281" t="n"/>
      <c r="G554" s="278" t="n"/>
      <c r="H554" s="278" t="n"/>
      <c r="I554" s="283" t="n"/>
      <c r="J554" s="279" t="n"/>
      <c r="K554" s="279" t="n"/>
      <c r="L554" s="279" t="n"/>
      <c r="M554" s="279" t="n"/>
      <c r="N554" s="283" t="n"/>
      <c r="O554" s="279" t="n"/>
      <c r="P554" s="279" t="n"/>
      <c r="Q554" s="279" t="n"/>
      <c r="R554" s="315" t="n"/>
      <c r="S554" s="315" t="n"/>
      <c r="T554" s="315" t="n"/>
      <c r="U554" s="315" t="n"/>
      <c r="V554" s="315" t="n"/>
      <c r="W554" s="315" t="n"/>
      <c r="X554" s="315" t="n"/>
      <c r="Y554" s="315" t="n"/>
    </row>
    <row r="555" ht="15.5" customHeight="1">
      <c r="B555" s="286" t="inlineStr">
        <is>
          <t>20-Sep-24</t>
        </is>
      </c>
      <c r="C555" s="278" t="n">
        <v>5</v>
      </c>
      <c r="D555" s="280" t="inlineStr">
        <is>
          <t>JNE courier</t>
        </is>
      </c>
      <c r="E555" s="280" t="inlineStr">
        <is>
          <t>-</t>
        </is>
      </c>
      <c r="F555" s="287" t="n">
        <v>18000</v>
      </c>
      <c r="G555" s="282" t="inlineStr">
        <is>
          <t>IDR</t>
        </is>
      </c>
      <c r="H555" s="288" t="n">
        <v>1</v>
      </c>
      <c r="I555" s="290" t="n"/>
      <c r="J555" s="289" t="n">
        <v>18000</v>
      </c>
      <c r="K555" s="291" t="n"/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25-Sep-24</t>
        </is>
      </c>
      <c r="C556" s="278" t="n">
        <v>6</v>
      </c>
      <c r="D556" s="280" t="inlineStr">
        <is>
          <t>POS courier</t>
        </is>
      </c>
      <c r="E556" s="280" t="inlineStr">
        <is>
          <t>-</t>
        </is>
      </c>
      <c r="F556" s="287" t="n">
        <v>8000</v>
      </c>
      <c r="G556" s="282" t="inlineStr">
        <is>
          <t>IDR</t>
        </is>
      </c>
      <c r="H556" s="288" t="n">
        <v>1</v>
      </c>
      <c r="I556" s="290" t="n"/>
      <c r="J556" s="289" t="n">
        <v>8000</v>
      </c>
      <c r="K556" s="291" t="n"/>
      <c r="L556" s="280" t="n"/>
      <c r="M556" s="280" t="n"/>
      <c r="N556" s="280" t="n"/>
      <c r="O556" s="280" t="n"/>
      <c r="P556" s="280" t="n"/>
      <c r="Q556" s="280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inlineStr">
        <is>
          <t>09-Oct-24</t>
        </is>
      </c>
      <c r="C557" s="278" t="n">
        <v>7</v>
      </c>
      <c r="D557" s="280" t="inlineStr">
        <is>
          <t>POS courier</t>
        </is>
      </c>
      <c r="E557" s="280" t="inlineStr">
        <is>
          <t>-</t>
        </is>
      </c>
      <c r="F557" s="287" t="n">
        <v>15000</v>
      </c>
      <c r="G557" s="282" t="inlineStr">
        <is>
          <t>IDR</t>
        </is>
      </c>
      <c r="H557" s="288" t="n">
        <v>1</v>
      </c>
      <c r="I557" s="290" t="n"/>
      <c r="J557" s="289" t="n">
        <v>15000</v>
      </c>
      <c r="K557" s="291" t="n"/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  <c r="Y557" s="285" t="n"/>
    </row>
    <row r="558" ht="15.5" customHeight="1">
      <c r="B558" s="286" t="inlineStr">
        <is>
          <t>14-Oct-24</t>
        </is>
      </c>
      <c r="C558" s="278" t="n">
        <v>8</v>
      </c>
      <c r="D558" s="280" t="inlineStr">
        <is>
          <t>JNE courier</t>
        </is>
      </c>
      <c r="E558" s="280" t="inlineStr">
        <is>
          <t>-</t>
        </is>
      </c>
      <c r="F558" s="287" t="n">
        <v>10000</v>
      </c>
      <c r="G558" s="282" t="inlineStr">
        <is>
          <t>IDR</t>
        </is>
      </c>
      <c r="H558" s="288" t="n">
        <v>1</v>
      </c>
      <c r="I558" s="290" t="n"/>
      <c r="J558" s="289" t="n">
        <v>10000</v>
      </c>
      <c r="K558" s="291" t="n"/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  <c r="Y558" s="285" t="n"/>
    </row>
    <row r="559" ht="15.5" customHeight="1">
      <c r="B559" s="286" t="inlineStr">
        <is>
          <t>14-Oct-24</t>
        </is>
      </c>
      <c r="C559" s="278" t="n">
        <v>9</v>
      </c>
      <c r="D559" s="280" t="inlineStr">
        <is>
          <t>GoCar to Elnusa PP</t>
        </is>
      </c>
      <c r="E559" s="280" t="inlineStr">
        <is>
          <t>-</t>
        </is>
      </c>
      <c r="F559" s="287" t="n">
        <v>275000</v>
      </c>
      <c r="G559" s="282" t="inlineStr">
        <is>
          <t>IDR</t>
        </is>
      </c>
      <c r="H559" s="288" t="n">
        <v>1</v>
      </c>
      <c r="I559" s="290" t="n"/>
      <c r="J559" s="289" t="n">
        <v>275000</v>
      </c>
      <c r="K559" s="291" t="n"/>
      <c r="L559" s="280" t="n"/>
      <c r="M559" s="280" t="n"/>
      <c r="N559" s="280" t="n"/>
      <c r="O559" s="280" t="n"/>
      <c r="P559" s="280" t="n"/>
      <c r="Q559" s="280" t="n"/>
      <c r="R559" s="285" t="n"/>
      <c r="S559" s="285" t="n"/>
      <c r="T559" s="285" t="n"/>
      <c r="U559" s="285" t="n"/>
      <c r="V559" s="285" t="n"/>
      <c r="W559" s="285" t="n"/>
      <c r="X559" s="285" t="n"/>
      <c r="Y559" s="285" t="n"/>
    </row>
    <row r="560" ht="15.5" customHeight="1">
      <c r="B560" s="286" t="inlineStr">
        <is>
          <t>14-Oct-24</t>
        </is>
      </c>
      <c r="C560" s="278" t="n">
        <v>10</v>
      </c>
      <c r="D560" s="280" t="inlineStr">
        <is>
          <t>Tol &amp; parking fee</t>
        </is>
      </c>
      <c r="E560" s="280" t="inlineStr">
        <is>
          <t>-</t>
        </is>
      </c>
      <c r="F560" s="287" t="n">
        <v>31500</v>
      </c>
      <c r="G560" s="282" t="inlineStr">
        <is>
          <t>IDR</t>
        </is>
      </c>
      <c r="H560" s="288" t="n">
        <v>1</v>
      </c>
      <c r="I560" s="290" t="n"/>
      <c r="J560" s="289" t="n">
        <v>31500</v>
      </c>
      <c r="K560" s="291" t="n"/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  <c r="Y560" s="285" t="n"/>
    </row>
    <row r="561" ht="15.5" customHeight="1">
      <c r="B561" s="286" t="inlineStr">
        <is>
          <t>17-Oct-24</t>
        </is>
      </c>
      <c r="C561" s="278" t="n">
        <v>11</v>
      </c>
      <c r="D561" s="280" t="inlineStr">
        <is>
          <t>GoCar to Elnusa PP</t>
        </is>
      </c>
      <c r="E561" s="280" t="inlineStr">
        <is>
          <t>-</t>
        </is>
      </c>
      <c r="F561" s="287" t="n">
        <v>266000</v>
      </c>
      <c r="G561" s="282" t="inlineStr">
        <is>
          <t>IDR</t>
        </is>
      </c>
      <c r="H561" s="288" t="n">
        <v>1</v>
      </c>
      <c r="I561" s="290" t="n"/>
      <c r="J561" s="289" t="n">
        <v>266000</v>
      </c>
      <c r="K561" s="291" t="n"/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  <c r="Y561" s="285" t="n"/>
    </row>
    <row r="562" ht="15.5" customHeight="1">
      <c r="B562" s="286" t="inlineStr">
        <is>
          <t>17-Oct-24</t>
        </is>
      </c>
      <c r="C562" s="278" t="n">
        <v>12</v>
      </c>
      <c r="D562" s="280" t="inlineStr">
        <is>
          <t>Tol &amp; parking fee</t>
        </is>
      </c>
      <c r="E562" s="280" t="inlineStr">
        <is>
          <t>-</t>
        </is>
      </c>
      <c r="F562" s="287" t="n">
        <v>53500</v>
      </c>
      <c r="G562" s="282" t="inlineStr">
        <is>
          <t>IDR</t>
        </is>
      </c>
      <c r="H562" s="288" t="n">
        <v>1</v>
      </c>
      <c r="I562" s="290" t="n"/>
      <c r="J562" s="289" t="n">
        <v>53500</v>
      </c>
      <c r="K562" s="291" t="n"/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  <c r="Y562" s="285" t="n"/>
    </row>
    <row r="563" ht="15.5" customHeight="1">
      <c r="B563" s="286" t="inlineStr">
        <is>
          <t>21-Nov-24</t>
        </is>
      </c>
      <c r="C563" s="278" t="n">
        <v>13</v>
      </c>
      <c r="D563" s="280" t="inlineStr">
        <is>
          <t>GoCar to Elnusa PP</t>
        </is>
      </c>
      <c r="E563" s="280" t="inlineStr">
        <is>
          <t>-</t>
        </is>
      </c>
      <c r="F563" s="287" t="n">
        <v>269000</v>
      </c>
      <c r="G563" s="282" t="inlineStr">
        <is>
          <t>IDR</t>
        </is>
      </c>
      <c r="H563" s="288" t="n">
        <v>1</v>
      </c>
      <c r="I563" s="290" t="n"/>
      <c r="J563" s="289" t="n">
        <v>269000</v>
      </c>
      <c r="K563" s="291" t="n"/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  <c r="Y563" s="285" t="n"/>
    </row>
    <row r="564" ht="15.5" customHeight="1">
      <c r="B564" s="286" t="inlineStr">
        <is>
          <t>21-Nov-24</t>
        </is>
      </c>
      <c r="C564" s="278" t="n">
        <v>14</v>
      </c>
      <c r="D564" s="280" t="inlineStr">
        <is>
          <t>Tol &amp; parking fee</t>
        </is>
      </c>
      <c r="E564" s="280" t="inlineStr">
        <is>
          <t>-</t>
        </is>
      </c>
      <c r="F564" s="287" t="n">
        <v>43450</v>
      </c>
      <c r="G564" s="282" t="inlineStr">
        <is>
          <t>IDR</t>
        </is>
      </c>
      <c r="H564" s="288" t="n">
        <v>1</v>
      </c>
      <c r="I564" s="290" t="n"/>
      <c r="J564" s="289" t="n">
        <v>43450</v>
      </c>
      <c r="K564" s="291" t="n"/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  <c r="Y564" s="285" t="n"/>
    </row>
    <row r="565" ht="15.5" customHeight="1">
      <c r="B565" s="286" t="inlineStr">
        <is>
          <t>10-Dec-24</t>
        </is>
      </c>
      <c r="C565" s="278" t="n">
        <v>15</v>
      </c>
      <c r="D565" s="280" t="inlineStr">
        <is>
          <t>GoCar to Elnusa PP</t>
        </is>
      </c>
      <c r="E565" s="280" t="inlineStr">
        <is>
          <t>-</t>
        </is>
      </c>
      <c r="F565" s="287" t="n">
        <v>290000</v>
      </c>
      <c r="G565" s="282" t="inlineStr">
        <is>
          <t>IDR</t>
        </is>
      </c>
      <c r="H565" s="288" t="n">
        <v>1</v>
      </c>
      <c r="I565" s="290" t="n"/>
      <c r="J565" s="289" t="n">
        <v>290000</v>
      </c>
      <c r="K565" s="291" t="n"/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  <c r="Y565" s="285" t="n"/>
    </row>
    <row r="566" ht="15.5" customHeight="1">
      <c r="B566" s="286" t="inlineStr">
        <is>
          <t>10-Dec-24</t>
        </is>
      </c>
      <c r="C566" s="278" t="n">
        <v>16</v>
      </c>
      <c r="D566" s="280" t="inlineStr">
        <is>
          <t>Tol &amp; parking fee</t>
        </is>
      </c>
      <c r="E566" s="280" t="inlineStr">
        <is>
          <t>-</t>
        </is>
      </c>
      <c r="F566" s="287" t="n">
        <v>48500</v>
      </c>
      <c r="G566" s="282" t="inlineStr">
        <is>
          <t>IDR</t>
        </is>
      </c>
      <c r="H566" s="288" t="n">
        <v>1</v>
      </c>
      <c r="I566" s="290" t="n"/>
      <c r="J566" s="289" t="n">
        <v>48500</v>
      </c>
      <c r="K566" s="291" t="n"/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  <c r="Y566" s="285" t="n"/>
    </row>
    <row r="567" ht="15.5" customHeight="1">
      <c r="B567" s="333" t="inlineStr">
        <is>
          <t>Expense#41</t>
        </is>
      </c>
      <c r="C567" s="303" t="inlineStr">
        <is>
          <t>:</t>
        </is>
      </c>
      <c r="D567" s="304" t="inlineStr">
        <is>
          <t>Starlink Kit_DS</t>
        </is>
      </c>
      <c r="E567" s="305" t="n"/>
      <c r="F567" s="326" t="n"/>
      <c r="G567" s="320" t="n"/>
      <c r="H567" s="320" t="n"/>
      <c r="I567" s="307" t="n"/>
      <c r="J567" s="309" t="n"/>
      <c r="K567" s="309" t="n"/>
      <c r="L567" s="309" t="n"/>
      <c r="M567" s="309" t="n"/>
      <c r="N567" s="309" t="n"/>
      <c r="O567" s="309" t="n"/>
      <c r="P567" s="308" t="n"/>
      <c r="Q567" s="309" t="n"/>
      <c r="R567" s="310" t="n"/>
      <c r="S567" s="310" t="n"/>
      <c r="T567" s="310" t="n"/>
      <c r="U567" s="310" t="n"/>
      <c r="V567" s="310" t="n"/>
      <c r="W567" s="310" t="n"/>
      <c r="X567" s="310" t="n"/>
      <c r="Y567" s="310" t="n"/>
    </row>
    <row r="568" ht="15.5" customHeight="1">
      <c r="B568" s="277" t="n"/>
      <c r="C568" s="278" t="n"/>
      <c r="D568" s="312" t="inlineStr">
        <is>
          <t>Pembelian Barang</t>
        </is>
      </c>
      <c r="E568" s="313" t="n"/>
      <c r="F568" s="281" t="n"/>
      <c r="G568" s="280" t="n"/>
      <c r="H568" s="280" t="n"/>
      <c r="I568" s="283" t="n"/>
      <c r="J568" s="279" t="n"/>
      <c r="K568" s="279" t="n"/>
      <c r="L568" s="279" t="n"/>
      <c r="M568" s="279" t="n"/>
      <c r="N568" s="279" t="n"/>
      <c r="O568" s="279" t="n"/>
      <c r="P568" s="284" t="n"/>
      <c r="Q568" s="279" t="n"/>
      <c r="R568" s="315" t="n"/>
      <c r="S568" s="315" t="n"/>
      <c r="T568" s="315" t="n"/>
      <c r="U568" s="315" t="n"/>
      <c r="V568" s="315" t="n"/>
      <c r="W568" s="315" t="n"/>
      <c r="X568" s="315" t="n"/>
      <c r="Y568" s="315" t="n"/>
    </row>
    <row r="569" ht="15.5" customHeight="1">
      <c r="B569" s="286" t="inlineStr">
        <is>
          <t>11-Nov-24</t>
        </is>
      </c>
      <c r="C569" s="278" t="n">
        <v>1</v>
      </c>
      <c r="D569" s="280" t="inlineStr">
        <is>
          <t>Starlink Kit</t>
        </is>
      </c>
      <c r="E569" s="280" t="inlineStr">
        <is>
          <t>-</t>
        </is>
      </c>
      <c r="F569" s="287" t="n">
        <v>5583200</v>
      </c>
      <c r="G569" s="282" t="inlineStr">
        <is>
          <t>IDR</t>
        </is>
      </c>
      <c r="H569" s="288" t="n">
        <v>1</v>
      </c>
      <c r="I569" s="290" t="n"/>
      <c r="J569" s="290" t="n"/>
      <c r="K569" s="291" t="n"/>
      <c r="L569" s="280" t="n"/>
      <c r="M569" s="280" t="n"/>
      <c r="N569" s="280" t="n"/>
      <c r="O569" s="292" t="n">
        <v>5583200</v>
      </c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333" t="inlineStr">
        <is>
          <t>Expense#42</t>
        </is>
      </c>
      <c r="C570" s="303" t="inlineStr">
        <is>
          <t>:</t>
        </is>
      </c>
      <c r="D570" s="304" t="inlineStr">
        <is>
          <t>Pelican Case 1650 TMA</t>
        </is>
      </c>
      <c r="E570" s="305" t="n"/>
      <c r="F570" s="326" t="n"/>
      <c r="G570" s="320" t="n"/>
      <c r="H570" s="320" t="n"/>
      <c r="I570" s="307" t="n"/>
      <c r="J570" s="309" t="n"/>
      <c r="K570" s="309" t="n"/>
      <c r="L570" s="309" t="n"/>
      <c r="M570" s="309" t="n"/>
      <c r="N570" s="309" t="n"/>
      <c r="O570" s="309" t="n"/>
      <c r="P570" s="308" t="n"/>
      <c r="Q570" s="309" t="n"/>
      <c r="R570" s="310" t="n"/>
      <c r="S570" s="310" t="n"/>
      <c r="T570" s="310" t="n"/>
      <c r="U570" s="310" t="n"/>
      <c r="V570" s="310" t="n"/>
      <c r="W570" s="310" t="n"/>
      <c r="X570" s="310" t="n"/>
      <c r="Y570" s="310" t="n"/>
    </row>
    <row r="571" ht="15.5" customHeight="1">
      <c r="B571" s="277" t="n"/>
      <c r="C571" s="278" t="n"/>
      <c r="D571" s="312" t="inlineStr">
        <is>
          <t>Pembelian Barang</t>
        </is>
      </c>
      <c r="E571" s="313" t="n"/>
      <c r="F571" s="281" t="n"/>
      <c r="G571" s="280" t="n"/>
      <c r="H571" s="280" t="n"/>
      <c r="I571" s="283" t="n"/>
      <c r="J571" s="279" t="n"/>
      <c r="K571" s="279" t="n"/>
      <c r="L571" s="279" t="n"/>
      <c r="M571" s="279" t="n"/>
      <c r="N571" s="279" t="n"/>
      <c r="O571" s="279" t="n"/>
      <c r="P571" s="279" t="n"/>
      <c r="Q571" s="279" t="n"/>
      <c r="R571" s="315" t="n"/>
      <c r="S571" s="315" t="n"/>
      <c r="T571" s="315" t="n"/>
      <c r="U571" s="315" t="n"/>
      <c r="V571" s="315" t="n"/>
      <c r="W571" s="315" t="n"/>
      <c r="X571" s="315" t="n"/>
      <c r="Y571" s="315" t="n"/>
    </row>
    <row r="572" ht="15.5" customHeight="1">
      <c r="B572" s="286" t="inlineStr">
        <is>
          <t>14-Dec-24</t>
        </is>
      </c>
      <c r="C572" s="278" t="n">
        <v>1</v>
      </c>
      <c r="D572" s="280" t="inlineStr">
        <is>
          <t>Pelican Case 1650</t>
        </is>
      </c>
      <c r="E572" s="280" t="inlineStr">
        <is>
          <t>-</t>
        </is>
      </c>
      <c r="F572" s="287" t="n">
        <v>8156000</v>
      </c>
      <c r="G572" s="282" t="inlineStr">
        <is>
          <t>IDR</t>
        </is>
      </c>
      <c r="H572" s="288" t="n">
        <v>1</v>
      </c>
      <c r="I572" s="290" t="n"/>
      <c r="J572" s="290" t="n"/>
      <c r="K572" s="291" t="n"/>
      <c r="L572" s="280" t="n"/>
      <c r="M572" s="280" t="n"/>
      <c r="N572" s="280" t="n"/>
      <c r="O572" s="292" t="n">
        <v>8156000</v>
      </c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302" t="inlineStr">
        <is>
          <t>Expense#43</t>
        </is>
      </c>
      <c r="C573" s="303" t="inlineStr">
        <is>
          <t>:</t>
        </is>
      </c>
      <c r="D573" s="304" t="inlineStr">
        <is>
          <t>Non trip 3rd (follow up MCU concul &amp; visit KPP and Graha Elnusa)_AC</t>
        </is>
      </c>
      <c r="E573" s="305" t="n"/>
      <c r="F573" s="326" t="n"/>
      <c r="G573" s="320" t="n"/>
      <c r="H573" s="320" t="n"/>
      <c r="I573" s="307" t="n"/>
      <c r="J573" s="309" t="n"/>
      <c r="K573" s="309" t="n"/>
      <c r="L573" s="309" t="n"/>
      <c r="M573" s="309" t="n"/>
      <c r="N573" s="309" t="n"/>
      <c r="O573" s="309" t="n"/>
      <c r="P573" s="309" t="n"/>
      <c r="Q573" s="309" t="n"/>
      <c r="R573" s="310" t="n"/>
      <c r="S573" s="310" t="n"/>
      <c r="T573" s="310" t="n"/>
      <c r="U573" s="310" t="n"/>
      <c r="V573" s="310" t="n"/>
      <c r="W573" s="310" t="n"/>
      <c r="X573" s="310" t="n"/>
      <c r="Y573" s="310" t="n"/>
    </row>
    <row r="574" ht="15.5" customHeight="1">
      <c r="B574" s="311" t="n"/>
      <c r="C574" s="278" t="n"/>
      <c r="D574" s="312" t="inlineStr">
        <is>
          <t>Biaya Operasi</t>
        </is>
      </c>
      <c r="E574" s="313" t="n"/>
      <c r="F574" s="281" t="n"/>
      <c r="G574" s="280" t="n"/>
      <c r="H574" s="280" t="n"/>
      <c r="I574" s="283" t="n"/>
      <c r="J574" s="279" t="n"/>
      <c r="K574" s="279" t="n"/>
      <c r="L574" s="279" t="n"/>
      <c r="M574" s="279" t="n"/>
      <c r="N574" s="279" t="n"/>
      <c r="O574" s="279" t="n"/>
      <c r="P574" s="279" t="n"/>
      <c r="Q574" s="279" t="n"/>
      <c r="R574" s="315" t="n"/>
      <c r="S574" s="315" t="n"/>
      <c r="T574" s="315" t="n"/>
      <c r="U574" s="315" t="n"/>
      <c r="V574" s="315" t="n"/>
      <c r="W574" s="315" t="n"/>
      <c r="X574" s="315" t="n"/>
      <c r="Y574" s="315" t="n"/>
    </row>
    <row r="575" ht="15.5" customHeight="1">
      <c r="B575" s="286" t="inlineStr">
        <is>
          <t>11-Nov-24</t>
        </is>
      </c>
      <c r="C575" s="278" t="n">
        <v>1</v>
      </c>
      <c r="D575" s="280" t="inlineStr">
        <is>
          <t>Fuel diesel visit consul to KPP pajak</t>
        </is>
      </c>
      <c r="E575" s="280" t="inlineStr">
        <is>
          <t>-</t>
        </is>
      </c>
      <c r="F575" s="287" t="n">
        <v>276216</v>
      </c>
      <c r="G575" s="282" t="inlineStr">
        <is>
          <t>IDR</t>
        </is>
      </c>
      <c r="H575" s="288" t="n">
        <v>1</v>
      </c>
      <c r="I575" s="290" t="n"/>
      <c r="J575" s="289" t="n">
        <v>276216</v>
      </c>
      <c r="K575" s="291" t="n"/>
      <c r="L575" s="280" t="n"/>
      <c r="M575" s="280" t="n"/>
      <c r="N575" s="280" t="n"/>
      <c r="O575" s="280" t="n"/>
      <c r="P575" s="280" t="n"/>
      <c r="Q575" s="280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2</v>
      </c>
      <c r="D576" s="280" t="inlineStr">
        <is>
          <t>toll gate</t>
        </is>
      </c>
      <c r="E576" s="280" t="inlineStr">
        <is>
          <t>-</t>
        </is>
      </c>
      <c r="F576" s="287" t="n">
        <v>79500</v>
      </c>
      <c r="G576" s="282" t="inlineStr">
        <is>
          <t>IDR</t>
        </is>
      </c>
      <c r="H576" s="288" t="n">
        <v>1</v>
      </c>
      <c r="I576" s="290" t="n"/>
      <c r="J576" s="289" t="n">
        <v>79500</v>
      </c>
      <c r="K576" s="291" t="n"/>
      <c r="L576" s="280" t="n"/>
      <c r="M576" s="280" t="n"/>
      <c r="N576" s="280" t="n"/>
      <c r="O576" s="280" t="n"/>
      <c r="P576" s="280" t="n"/>
      <c r="Q576" s="280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inlineStr">
        <is>
          <t>26-Nov-24</t>
        </is>
      </c>
      <c r="C577" s="278" t="n">
        <v>3</v>
      </c>
      <c r="D577" s="280" t="inlineStr">
        <is>
          <t>Parkir Graha Elnusa (HSE tool hall meeting) at Elnusa (graha Elnusa)</t>
        </is>
      </c>
      <c r="E577" s="280" t="inlineStr">
        <is>
          <t>-</t>
        </is>
      </c>
      <c r="F577" s="287" t="n">
        <v>29000</v>
      </c>
      <c r="G577" s="282" t="inlineStr">
        <is>
          <t>IDR</t>
        </is>
      </c>
      <c r="H577" s="288" t="n">
        <v>1</v>
      </c>
      <c r="I577" s="290" t="n"/>
      <c r="J577" s="289" t="n">
        <v>29000</v>
      </c>
      <c r="K577" s="291" t="n"/>
      <c r="L577" s="280" t="n"/>
      <c r="M577" s="280" t="n"/>
      <c r="N577" s="280" t="n"/>
      <c r="O577" s="280" t="n"/>
      <c r="P577" s="280" t="n"/>
      <c r="Q577" s="280" t="n"/>
      <c r="R577" s="285" t="n"/>
      <c r="S577" s="285" t="n"/>
      <c r="T577" s="285" t="n"/>
      <c r="U577" s="285" t="n"/>
      <c r="V577" s="285" t="n"/>
      <c r="W577" s="285" t="n"/>
      <c r="X577" s="285" t="n"/>
      <c r="Y577" s="285" t="n"/>
    </row>
    <row r="578" ht="15.5" customHeight="1">
      <c r="B578" s="286" t="inlineStr">
        <is>
          <t>26-Nov-24</t>
        </is>
      </c>
      <c r="C578" s="278" t="n">
        <v>4</v>
      </c>
      <c r="D578" s="280" t="inlineStr">
        <is>
          <t>toll gate</t>
        </is>
      </c>
      <c r="E578" s="280" t="inlineStr">
        <is>
          <t>-</t>
        </is>
      </c>
      <c r="F578" s="287" t="n">
        <v>17000</v>
      </c>
      <c r="G578" s="282" t="inlineStr">
        <is>
          <t>IDR</t>
        </is>
      </c>
      <c r="H578" s="288" t="n">
        <v>1</v>
      </c>
      <c r="I578" s="290" t="n"/>
      <c r="J578" s="289" t="n">
        <v>17000</v>
      </c>
      <c r="K578" s="291" t="n"/>
      <c r="L578" s="280" t="n"/>
      <c r="M578" s="280" t="n"/>
      <c r="N578" s="280" t="n"/>
      <c r="O578" s="280" t="n"/>
      <c r="P578" s="280" t="n"/>
      <c r="Q578" s="280" t="n"/>
      <c r="R578" s="285" t="n"/>
      <c r="S578" s="285" t="n"/>
      <c r="T578" s="285" t="n"/>
      <c r="U578" s="285" t="n"/>
      <c r="V578" s="285" t="n"/>
      <c r="W578" s="285" t="n"/>
      <c r="X578" s="285" t="n"/>
      <c r="Y578" s="285" t="n"/>
    </row>
    <row r="579" ht="15.5" customHeight="1">
      <c r="B579" s="286" t="inlineStr">
        <is>
          <t>10-Dec-24</t>
        </is>
      </c>
      <c r="C579" s="278" t="n">
        <v>5</v>
      </c>
      <c r="D579" s="280" t="inlineStr">
        <is>
          <t>Taksi,take Document from Loket Graha Elnusa</t>
        </is>
      </c>
      <c r="E579" s="280" t="inlineStr">
        <is>
          <t>-</t>
        </is>
      </c>
      <c r="F579" s="287" t="n">
        <v>155680</v>
      </c>
      <c r="G579" s="282" t="inlineStr">
        <is>
          <t>IDR</t>
        </is>
      </c>
      <c r="H579" s="288" t="n">
        <v>1</v>
      </c>
      <c r="I579" s="290" t="n"/>
      <c r="J579" s="289" t="n">
        <v>155680</v>
      </c>
      <c r="K579" s="291" t="n"/>
      <c r="L579" s="280" t="n"/>
      <c r="M579" s="280" t="n"/>
      <c r="N579" s="280" t="n"/>
      <c r="O579" s="280" t="n"/>
      <c r="P579" s="280" t="n"/>
      <c r="Q579" s="280" t="n"/>
      <c r="R579" s="285" t="n"/>
      <c r="S579" s="285" t="n"/>
      <c r="T579" s="285" t="n"/>
      <c r="U579" s="285" t="n"/>
      <c r="V579" s="285" t="n"/>
      <c r="W579" s="285" t="n"/>
      <c r="X579" s="285" t="n"/>
      <c r="Y579" s="285" t="n"/>
    </row>
    <row r="580" ht="15.5" customHeight="1">
      <c r="B580" s="286" t="inlineStr">
        <is>
          <t>10-Dec-24</t>
        </is>
      </c>
      <c r="C580" s="278" t="n">
        <v>6</v>
      </c>
      <c r="D580" s="280" t="inlineStr">
        <is>
          <t>Parkir Graha Elnusa (antar dokemen invoice)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90" t="n"/>
      <c r="J580" s="289" t="n">
        <v>17000</v>
      </c>
      <c r="K580" s="291" t="n"/>
      <c r="L580" s="280" t="n"/>
      <c r="M580" s="280" t="n"/>
      <c r="N580" s="280" t="n"/>
      <c r="O580" s="280" t="n"/>
      <c r="P580" s="280" t="n"/>
      <c r="Q580" s="280" t="n"/>
      <c r="R580" s="285" t="n"/>
      <c r="S580" s="285" t="n"/>
      <c r="T580" s="285" t="n"/>
      <c r="U580" s="285" t="n"/>
      <c r="V580" s="285" t="n"/>
      <c r="W580" s="285" t="n"/>
      <c r="X580" s="285" t="n"/>
      <c r="Y580" s="285" t="n"/>
    </row>
    <row r="581" ht="15.5" customHeight="1">
      <c r="B581" s="277" t="n"/>
      <c r="C581" s="278" t="n"/>
      <c r="D581" s="312" t="inlineStr">
        <is>
          <t>Kesehatan</t>
        </is>
      </c>
      <c r="E581" s="313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  <c r="R581" s="315" t="n"/>
      <c r="S581" s="315" t="n"/>
      <c r="T581" s="315" t="n"/>
      <c r="U581" s="315" t="n"/>
      <c r="V581" s="315" t="n"/>
      <c r="W581" s="315" t="n"/>
      <c r="X581" s="315" t="n"/>
      <c r="Y581" s="315" t="n"/>
    </row>
    <row r="582" ht="15.5" customHeight="1">
      <c r="B582" s="286" t="inlineStr">
        <is>
          <t>31-Oct-24</t>
        </is>
      </c>
      <c r="C582" s="278" t="n">
        <v>7</v>
      </c>
      <c r="D582" s="280" t="inlineStr">
        <is>
          <t>Medicine lanjutan</t>
        </is>
      </c>
      <c r="E582" s="280" t="inlineStr">
        <is>
          <t>-</t>
        </is>
      </c>
      <c r="F582" s="287" t="n">
        <v>604000</v>
      </c>
      <c r="G582" s="282" t="inlineStr">
        <is>
          <t>IDR</t>
        </is>
      </c>
      <c r="H582" s="288" t="n">
        <v>1</v>
      </c>
      <c r="I582" s="290" t="n"/>
      <c r="J582" s="290" t="n"/>
      <c r="K582" s="291" t="n"/>
      <c r="L582" s="280" t="n"/>
      <c r="M582" s="280" t="n"/>
      <c r="N582" s="280" t="n"/>
      <c r="O582" s="280" t="n"/>
      <c r="P582" s="280" t="n"/>
      <c r="Q582" s="292" t="n">
        <v>604000</v>
      </c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01-Dec-24</t>
        </is>
      </c>
      <c r="C583" s="278" t="n">
        <v>8</v>
      </c>
      <c r="D583" s="280" t="inlineStr">
        <is>
          <t>Biaya Konsul dokter Kulit a/n Diofavian</t>
        </is>
      </c>
      <c r="E583" s="280" t="inlineStr">
        <is>
          <t>-</t>
        </is>
      </c>
      <c r="F583" s="287" t="n">
        <v>1582141</v>
      </c>
      <c r="G583" s="282" t="inlineStr">
        <is>
          <t>IDR</t>
        </is>
      </c>
      <c r="H583" s="288" t="n">
        <v>1</v>
      </c>
      <c r="I583" s="290" t="n"/>
      <c r="J583" s="290" t="n"/>
      <c r="K583" s="291" t="n"/>
      <c r="L583" s="280" t="n"/>
      <c r="M583" s="280" t="n"/>
      <c r="N583" s="280" t="n"/>
      <c r="O583" s="280" t="n"/>
      <c r="P583" s="280" t="n"/>
      <c r="Q583" s="292" t="n">
        <v>1582141</v>
      </c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inlineStr">
        <is>
          <t>01-Dec-24</t>
        </is>
      </c>
      <c r="C584" s="278" t="n">
        <v>9</v>
      </c>
      <c r="D584" s="280" t="inlineStr">
        <is>
          <t>Biaya Konsul Dokter mata a/n Eva linda</t>
        </is>
      </c>
      <c r="E584" s="280" t="inlineStr">
        <is>
          <t>-</t>
        </is>
      </c>
      <c r="F584" s="287" t="n">
        <v>970767</v>
      </c>
      <c r="G584" s="282" t="inlineStr">
        <is>
          <t>IDR</t>
        </is>
      </c>
      <c r="H584" s="288" t="n">
        <v>1</v>
      </c>
      <c r="I584" s="290" t="n"/>
      <c r="J584" s="290" t="n"/>
      <c r="K584" s="291" t="n"/>
      <c r="L584" s="280" t="n"/>
      <c r="M584" s="280" t="n"/>
      <c r="N584" s="280" t="n"/>
      <c r="O584" s="280" t="n"/>
      <c r="P584" s="280" t="n"/>
      <c r="Q584" s="292" t="n">
        <v>970767</v>
      </c>
      <c r="R584" s="285" t="n"/>
      <c r="S584" s="285" t="n"/>
      <c r="T584" s="285" t="n"/>
      <c r="U584" s="285" t="n"/>
      <c r="V584" s="285" t="n"/>
      <c r="W584" s="285" t="n"/>
      <c r="X584" s="285" t="n"/>
      <c r="Y584" s="285" t="n"/>
    </row>
    <row r="585" ht="15.5" customHeight="1">
      <c r="B585" s="286" t="inlineStr">
        <is>
          <t>01-Dec-24</t>
        </is>
      </c>
      <c r="C585" s="278" t="n">
        <v>10</v>
      </c>
      <c r="D585" s="280" t="inlineStr">
        <is>
          <t>Medicine lanjutan</t>
        </is>
      </c>
      <c r="E585" s="280" t="inlineStr">
        <is>
          <t>-</t>
        </is>
      </c>
      <c r="F585" s="287" t="n">
        <v>157000</v>
      </c>
      <c r="G585" s="282" t="inlineStr">
        <is>
          <t>IDR</t>
        </is>
      </c>
      <c r="H585" s="288" t="n">
        <v>1</v>
      </c>
      <c r="I585" s="290" t="n"/>
      <c r="J585" s="290" t="n"/>
      <c r="K585" s="291" t="n"/>
      <c r="L585" s="280" t="n"/>
      <c r="M585" s="280" t="n"/>
      <c r="N585" s="280" t="n"/>
      <c r="O585" s="280" t="n"/>
      <c r="P585" s="280" t="n"/>
      <c r="Q585" s="292" t="n">
        <v>157000</v>
      </c>
      <c r="R585" s="285" t="n"/>
      <c r="S585" s="285" t="n"/>
      <c r="T585" s="285" t="n"/>
      <c r="U585" s="285" t="n"/>
      <c r="V585" s="285" t="n"/>
      <c r="W585" s="285" t="n"/>
      <c r="X585" s="285" t="n"/>
      <c r="Y585" s="285" t="n"/>
    </row>
    <row r="586" ht="15.5" customHeight="1">
      <c r="B586" s="286" t="inlineStr">
        <is>
          <t>01-Dec-24</t>
        </is>
      </c>
      <c r="C586" s="278" t="n">
        <v>11</v>
      </c>
      <c r="D586" s="280" t="inlineStr">
        <is>
          <t>Medicine lanjutan</t>
        </is>
      </c>
      <c r="E586" s="280" t="inlineStr">
        <is>
          <t>-</t>
        </is>
      </c>
      <c r="F586" s="287" t="n">
        <v>152000</v>
      </c>
      <c r="G586" s="282" t="inlineStr">
        <is>
          <t>IDR</t>
        </is>
      </c>
      <c r="H586" s="288" t="n">
        <v>1</v>
      </c>
      <c r="I586" s="290" t="n"/>
      <c r="J586" s="290" t="n"/>
      <c r="K586" s="291" t="n"/>
      <c r="L586" s="280" t="n"/>
      <c r="M586" s="280" t="n"/>
      <c r="N586" s="280" t="n"/>
      <c r="O586" s="280" t="n"/>
      <c r="P586" s="280" t="n"/>
      <c r="Q586" s="292" t="n">
        <v>152000</v>
      </c>
      <c r="R586" s="285" t="n"/>
      <c r="S586" s="285" t="n"/>
      <c r="T586" s="285" t="n"/>
      <c r="U586" s="285" t="n"/>
      <c r="V586" s="285" t="n"/>
      <c r="W586" s="285" t="n"/>
      <c r="X586" s="285" t="n"/>
      <c r="Y586" s="285" t="n"/>
    </row>
    <row r="587" ht="15.5" customHeight="1">
      <c r="B587" s="286" t="inlineStr">
        <is>
          <t>02-Dec-24</t>
        </is>
      </c>
      <c r="C587" s="278" t="n">
        <v>12</v>
      </c>
      <c r="D587" s="280" t="inlineStr">
        <is>
          <t>Biaya Konsul Dokter Jantung 3rdPenyakit dalam</t>
        </is>
      </c>
      <c r="E587" s="280" t="inlineStr">
        <is>
          <t>-</t>
        </is>
      </c>
      <c r="F587" s="287" t="n">
        <v>799000</v>
      </c>
      <c r="G587" s="282" t="inlineStr">
        <is>
          <t>IDR</t>
        </is>
      </c>
      <c r="H587" s="288" t="n">
        <v>1</v>
      </c>
      <c r="I587" s="290" t="n"/>
      <c r="J587" s="290" t="n"/>
      <c r="K587" s="291" t="n"/>
      <c r="L587" s="280" t="n"/>
      <c r="M587" s="280" t="n"/>
      <c r="N587" s="280" t="n"/>
      <c r="O587" s="280" t="n"/>
      <c r="P587" s="280" t="n"/>
      <c r="Q587" s="292" t="n">
        <v>799000</v>
      </c>
      <c r="R587" s="285" t="n"/>
      <c r="S587" s="285" t="n"/>
      <c r="T587" s="285" t="n"/>
      <c r="U587" s="285" t="n"/>
      <c r="V587" s="285" t="n"/>
      <c r="W587" s="285" t="n"/>
      <c r="X587" s="285" t="n"/>
      <c r="Y587" s="285" t="n"/>
    </row>
    <row r="588" ht="15.5" customHeight="1">
      <c r="B588" s="286" t="inlineStr">
        <is>
          <t>02-Dec-24</t>
        </is>
      </c>
      <c r="C588" s="278" t="n">
        <v>13</v>
      </c>
      <c r="D588" s="280" t="inlineStr">
        <is>
          <t>Medicine after konsul jantung 3rd</t>
        </is>
      </c>
      <c r="E588" s="280" t="inlineStr">
        <is>
          <t>-</t>
        </is>
      </c>
      <c r="F588" s="287" t="n">
        <v>190309.5</v>
      </c>
      <c r="G588" s="282" t="inlineStr">
        <is>
          <t>IDR</t>
        </is>
      </c>
      <c r="H588" s="288" t="n">
        <v>1</v>
      </c>
      <c r="I588" s="290" t="n"/>
      <c r="J588" s="290" t="n"/>
      <c r="K588" s="291" t="n"/>
      <c r="L588" s="280" t="n"/>
      <c r="M588" s="280" t="n"/>
      <c r="N588" s="280" t="n"/>
      <c r="O588" s="280" t="n"/>
      <c r="P588" s="280" t="n"/>
      <c r="Q588" s="292" t="n">
        <v>190309.5</v>
      </c>
      <c r="R588" s="285" t="n"/>
      <c r="S588" s="285" t="n"/>
      <c r="T588" s="285" t="n"/>
      <c r="U588" s="285" t="n"/>
      <c r="V588" s="285" t="n"/>
      <c r="W588" s="285" t="n"/>
      <c r="X588" s="285" t="n"/>
      <c r="Y588" s="285" t="n"/>
    </row>
    <row r="589" ht="15.5" customHeight="1">
      <c r="B589" s="286" t="inlineStr">
        <is>
          <t>11-Dec-24</t>
        </is>
      </c>
      <c r="C589" s="278" t="n">
        <v>14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417600</v>
      </c>
      <c r="G589" s="282" t="inlineStr">
        <is>
          <t>IDR</t>
        </is>
      </c>
      <c r="H589" s="288" t="n">
        <v>1</v>
      </c>
      <c r="I589" s="290" t="n"/>
      <c r="J589" s="290" t="n"/>
      <c r="K589" s="291" t="n"/>
      <c r="L589" s="280" t="n"/>
      <c r="M589" s="280" t="n"/>
      <c r="N589" s="280" t="n"/>
      <c r="O589" s="280" t="n"/>
      <c r="P589" s="280" t="n"/>
      <c r="Q589" s="292" t="n">
        <v>417600</v>
      </c>
      <c r="R589" s="285" t="n"/>
      <c r="S589" s="285" t="n"/>
      <c r="T589" s="285" t="n"/>
      <c r="U589" s="285" t="n"/>
      <c r="V589" s="285" t="n"/>
      <c r="W589" s="285" t="n"/>
      <c r="X589" s="285" t="n"/>
      <c r="Y589" s="285" t="n"/>
    </row>
    <row r="590" ht="15.5" customHeight="1">
      <c r="B590" s="333" t="inlineStr">
        <is>
          <t>Expense#44</t>
        </is>
      </c>
      <c r="C590" s="303" t="inlineStr">
        <is>
          <t>:</t>
        </is>
      </c>
      <c r="D590" s="304" t="inlineStr">
        <is>
          <t>Meeting presentasi With Elnusa - Bandung &amp;Pembelian Sparepart dari Pei-Genesis.</t>
        </is>
      </c>
      <c r="E590" s="320" t="n"/>
      <c r="F590" s="326" t="n"/>
      <c r="G590" s="303" t="n"/>
      <c r="H590" s="303" t="n"/>
      <c r="I590" s="309" t="n"/>
      <c r="J590" s="309" t="n"/>
      <c r="K590" s="309" t="n"/>
      <c r="L590" s="309" t="n"/>
      <c r="M590" s="309" t="n"/>
      <c r="N590" s="309" t="n"/>
      <c r="O590" s="309" t="n"/>
      <c r="P590" s="308" t="n"/>
      <c r="Q590" s="309" t="n"/>
      <c r="R590" s="310" t="n"/>
      <c r="S590" s="310" t="n"/>
      <c r="T590" s="310" t="n"/>
      <c r="U590" s="310" t="n"/>
      <c r="V590" s="310" t="n"/>
      <c r="W590" s="310" t="n"/>
      <c r="X590" s="310" t="n"/>
      <c r="Y590" s="310" t="n"/>
    </row>
    <row r="591" ht="15.5" customHeight="1">
      <c r="B591" s="277" t="n"/>
      <c r="C591" s="278" t="n"/>
      <c r="D591" s="312" t="inlineStr">
        <is>
          <t>Administrasi</t>
        </is>
      </c>
      <c r="E591" s="280" t="n"/>
      <c r="F591" s="281" t="n"/>
      <c r="G591" s="278" t="n"/>
      <c r="H591" s="278" t="n"/>
      <c r="I591" s="279" t="n"/>
      <c r="J591" s="279" t="n"/>
      <c r="K591" s="279" t="n"/>
      <c r="L591" s="279" t="n"/>
      <c r="M591" s="279" t="n"/>
      <c r="N591" s="279" t="n"/>
      <c r="O591" s="279" t="n"/>
      <c r="P591" s="284" t="n"/>
      <c r="Q591" s="279" t="n"/>
      <c r="R591" s="315" t="n"/>
      <c r="S591" s="315" t="n"/>
      <c r="T591" s="315" t="n"/>
      <c r="U591" s="315" t="n"/>
      <c r="V591" s="315" t="n"/>
      <c r="W591" s="315" t="n"/>
      <c r="X591" s="315" t="n"/>
      <c r="Y591" s="315" t="n"/>
    </row>
    <row r="592" ht="15.5" customHeight="1">
      <c r="B592" s="286" t="inlineStr">
        <is>
          <t>24-Dec-24</t>
        </is>
      </c>
      <c r="C592" s="278" t="n">
        <v>1</v>
      </c>
      <c r="D592" s="280" t="inlineStr">
        <is>
          <t>payment for hotel Grand Dafam and</t>
        </is>
      </c>
      <c r="E592" s="280" t="inlineStr">
        <is>
          <t>-</t>
        </is>
      </c>
      <c r="F592" s="287" t="n">
        <v>4913283</v>
      </c>
      <c r="G592" s="282" t="inlineStr">
        <is>
          <t>IDR</t>
        </is>
      </c>
      <c r="H592" s="288" t="n">
        <v>1</v>
      </c>
      <c r="I592" s="290" t="n"/>
      <c r="J592" s="290" t="n"/>
      <c r="K592" s="291" t="n"/>
      <c r="L592" s="280" t="n"/>
      <c r="M592" s="280" t="n"/>
      <c r="N592" s="292" t="n">
        <v>4913283</v>
      </c>
      <c r="O592" s="280" t="n"/>
      <c r="P592" s="280" t="n"/>
      <c r="Q592" s="280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77" t="n"/>
      <c r="C593" s="278" t="n"/>
      <c r="D593" s="312" t="inlineStr">
        <is>
          <t>Biaya Operasi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5" t="n"/>
      <c r="S593" s="315" t="n"/>
      <c r="T593" s="315" t="n"/>
      <c r="U593" s="315" t="n"/>
      <c r="V593" s="315" t="n"/>
      <c r="W593" s="315" t="n"/>
      <c r="X593" s="315" t="n"/>
      <c r="Y593" s="315" t="n"/>
    </row>
    <row r="594" ht="15.5" customHeight="1">
      <c r="B594" s="286" t="inlineStr">
        <is>
          <t>20-Dec-24</t>
        </is>
      </c>
      <c r="C594" s="278" t="n">
        <v>2</v>
      </c>
      <c r="D594" s="280" t="inlineStr">
        <is>
          <t>Traveling Jakarta - Bandung</t>
        </is>
      </c>
      <c r="E594" s="280" t="inlineStr">
        <is>
          <t>-</t>
        </is>
      </c>
      <c r="F594" s="287" t="n">
        <v>160000</v>
      </c>
      <c r="G594" s="282" t="inlineStr">
        <is>
          <t>IDR</t>
        </is>
      </c>
      <c r="H594" s="288" t="n">
        <v>1</v>
      </c>
      <c r="I594" s="290" t="n"/>
      <c r="J594" s="289" t="n">
        <v>160000</v>
      </c>
      <c r="K594" s="291" t="n"/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3</v>
      </c>
      <c r="D595" s="280" t="inlineStr">
        <is>
          <t>Meal</t>
        </is>
      </c>
      <c r="E595" s="280" t="inlineStr">
        <is>
          <t>-</t>
        </is>
      </c>
      <c r="F595" s="287" t="n">
        <v>195585</v>
      </c>
      <c r="G595" s="282" t="inlineStr">
        <is>
          <t>IDR</t>
        </is>
      </c>
      <c r="H595" s="288" t="n">
        <v>1</v>
      </c>
      <c r="I595" s="290" t="n"/>
      <c r="J595" s="289" t="n">
        <v>195585</v>
      </c>
      <c r="K595" s="291" t="n"/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inlineStr">
        <is>
          <t>21-Dec-24</t>
        </is>
      </c>
      <c r="C596" s="278" t="n">
        <v>4</v>
      </c>
      <c r="D596" s="280" t="inlineStr">
        <is>
          <t>Taksi around the Bandung city for 2 days</t>
        </is>
      </c>
      <c r="E596" s="280" t="inlineStr">
        <is>
          <t>-</t>
        </is>
      </c>
      <c r="F596" s="287" t="n">
        <v>200000</v>
      </c>
      <c r="G596" s="282" t="inlineStr">
        <is>
          <t>IDR</t>
        </is>
      </c>
      <c r="H596" s="288" t="n">
        <v>1</v>
      </c>
      <c r="I596" s="290" t="n"/>
      <c r="J596" s="289" t="n">
        <v>200000</v>
      </c>
      <c r="K596" s="291" t="n"/>
      <c r="L596" s="280" t="n"/>
      <c r="M596" s="280" t="n"/>
      <c r="N596" s="280" t="n"/>
      <c r="O596" s="280" t="n"/>
      <c r="P596" s="280" t="n"/>
      <c r="Q596" s="280" t="n"/>
      <c r="R596" s="285" t="n"/>
      <c r="S596" s="285" t="n"/>
      <c r="T596" s="285" t="n"/>
      <c r="U596" s="285" t="n"/>
      <c r="V596" s="285" t="n"/>
      <c r="W596" s="285" t="n"/>
      <c r="X596" s="285" t="n"/>
      <c r="Y596" s="285" t="n"/>
    </row>
    <row r="597" ht="15.5" customHeight="1">
      <c r="B597" s="286" t="inlineStr">
        <is>
          <t>21-Dec-24</t>
        </is>
      </c>
      <c r="C597" s="278" t="n">
        <v>5</v>
      </c>
      <c r="D597" s="280" t="inlineStr">
        <is>
          <t>Traveling Bandung - Jakarta</t>
        </is>
      </c>
      <c r="E597" s="280" t="inlineStr">
        <is>
          <t>-</t>
        </is>
      </c>
      <c r="F597" s="287" t="n">
        <v>160000</v>
      </c>
      <c r="G597" s="282" t="inlineStr">
        <is>
          <t>IDR</t>
        </is>
      </c>
      <c r="H597" s="288" t="n">
        <v>1</v>
      </c>
      <c r="I597" s="290" t="n"/>
      <c r="J597" s="289" t="n">
        <v>160000</v>
      </c>
      <c r="K597" s="291" t="n"/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  <c r="Y597" s="285" t="n"/>
    </row>
    <row r="598" ht="15.5" customHeight="1">
      <c r="B598" s="286" t="inlineStr">
        <is>
          <t>21-Dec-24</t>
        </is>
      </c>
      <c r="C598" s="278" t="n">
        <v>6</v>
      </c>
      <c r="D598" s="280" t="inlineStr">
        <is>
          <t>Meal</t>
        </is>
      </c>
      <c r="E598" s="280" t="inlineStr">
        <is>
          <t>-</t>
        </is>
      </c>
      <c r="F598" s="287" t="n">
        <v>299900</v>
      </c>
      <c r="G598" s="282" t="inlineStr">
        <is>
          <t>IDR</t>
        </is>
      </c>
      <c r="H598" s="288" t="n">
        <v>1</v>
      </c>
      <c r="I598" s="290" t="n"/>
      <c r="J598" s="289" t="n">
        <v>299900</v>
      </c>
      <c r="K598" s="291" t="n"/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  <c r="Y598" s="285" t="n"/>
    </row>
    <row r="599" ht="15.5" customHeight="1">
      <c r="B599" s="302" t="inlineStr">
        <is>
          <t>Expense#45</t>
        </is>
      </c>
      <c r="C599" s="303" t="inlineStr">
        <is>
          <t>:</t>
        </is>
      </c>
      <c r="D599" s="304" t="inlineStr">
        <is>
          <t>General Operation_Year 2024 - AM</t>
        </is>
      </c>
      <c r="E599" s="305" t="n"/>
      <c r="F599" s="326" t="n"/>
      <c r="G599" s="303" t="n"/>
      <c r="H599" s="303" t="n"/>
      <c r="I599" s="307" t="n"/>
      <c r="J599" s="309" t="n"/>
      <c r="K599" s="309" t="n"/>
      <c r="L599" s="309" t="n"/>
      <c r="M599" s="309" t="n"/>
      <c r="N599" s="309" t="n"/>
      <c r="O599" s="309" t="n"/>
      <c r="P599" s="309" t="n"/>
      <c r="Q599" s="309" t="n"/>
      <c r="R599" s="310" t="n"/>
      <c r="S599" s="310" t="n"/>
      <c r="T599" s="310" t="n"/>
      <c r="U599" s="310" t="n"/>
      <c r="V599" s="310" t="n"/>
      <c r="W599" s="310" t="n"/>
      <c r="X599" s="310" t="n"/>
      <c r="Y599" s="310" t="n"/>
    </row>
    <row r="600" ht="15.5" customHeight="1">
      <c r="B600" s="279" t="n"/>
      <c r="C600" s="330" t="n"/>
      <c r="D600" s="331" t="inlineStr">
        <is>
          <t>Administrasi</t>
        </is>
      </c>
      <c r="E600" s="332" t="n"/>
      <c r="F600" s="280" t="n"/>
      <c r="G600" s="278" t="n"/>
      <c r="H600" s="278" t="n"/>
      <c r="I600" s="279" t="n"/>
      <c r="J600" s="279" t="n"/>
      <c r="K600" s="279" t="n"/>
      <c r="L600" s="279" t="n"/>
      <c r="M600" s="279" t="n"/>
      <c r="N600" s="279" t="n"/>
      <c r="O600" s="279" t="n"/>
      <c r="P600" s="279" t="n"/>
      <c r="Q600" s="279" t="n"/>
      <c r="R600" s="315" t="n"/>
      <c r="S600" s="315" t="n"/>
      <c r="T600" s="315" t="n"/>
      <c r="U600" s="315" t="n"/>
      <c r="V600" s="315" t="n"/>
      <c r="W600" s="315" t="n"/>
      <c r="X600" s="315" t="n"/>
      <c r="Y600" s="315" t="n"/>
    </row>
    <row r="601" ht="15.5" customHeight="1">
      <c r="B601" s="286" t="inlineStr">
        <is>
          <t>16-Jan-24</t>
        </is>
      </c>
      <c r="C601" s="278" t="n">
        <v>1</v>
      </c>
      <c r="D601" s="280" t="inlineStr">
        <is>
          <t>Google Workspace PT. EWI</t>
        </is>
      </c>
      <c r="E601" s="280" t="inlineStr">
        <is>
          <t>-</t>
        </is>
      </c>
      <c r="F601" s="287" t="n">
        <v>306982</v>
      </c>
      <c r="G601" s="282" t="inlineStr">
        <is>
          <t>IDR</t>
        </is>
      </c>
      <c r="H601" s="288" t="n">
        <v>1</v>
      </c>
      <c r="I601" s="290" t="n"/>
      <c r="J601" s="290" t="n"/>
      <c r="K601" s="291" t="n"/>
      <c r="L601" s="280" t="n"/>
      <c r="M601" s="280" t="n"/>
      <c r="N601" s="292" t="n">
        <v>306982</v>
      </c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16-Feb-24</t>
        </is>
      </c>
      <c r="C602" s="278" t="n">
        <v>2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90" t="n"/>
      <c r="J602" s="290" t="n"/>
      <c r="K602" s="291" t="n"/>
      <c r="L602" s="280" t="n"/>
      <c r="M602" s="280" t="n"/>
      <c r="N602" s="292" t="n">
        <v>306982</v>
      </c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inlineStr">
        <is>
          <t>16-Mar-24</t>
        </is>
      </c>
      <c r="C603" s="278" t="n">
        <v>3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90" t="n"/>
      <c r="J603" s="290" t="n"/>
      <c r="K603" s="291" t="n"/>
      <c r="L603" s="280" t="n"/>
      <c r="M603" s="280" t="n"/>
      <c r="N603" s="292" t="n">
        <v>306982</v>
      </c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  <c r="Y603" s="285" t="n"/>
    </row>
    <row r="604" ht="15.5" customHeight="1">
      <c r="B604" s="286" t="inlineStr">
        <is>
          <t>16-Apr-24</t>
        </is>
      </c>
      <c r="C604" s="278" t="n">
        <v>4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90" t="n"/>
      <c r="J604" s="290" t="n"/>
      <c r="K604" s="291" t="n"/>
      <c r="L604" s="280" t="n"/>
      <c r="M604" s="280" t="n"/>
      <c r="N604" s="292" t="n">
        <v>306982</v>
      </c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  <c r="Y604" s="285" t="n"/>
    </row>
    <row r="605" ht="15.5" customHeight="1">
      <c r="B605" s="286" t="inlineStr">
        <is>
          <t>16-May-24</t>
        </is>
      </c>
      <c r="C605" s="278" t="n">
        <v>5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90" t="n"/>
      <c r="J605" s="290" t="n"/>
      <c r="K605" s="291" t="n"/>
      <c r="L605" s="280" t="n"/>
      <c r="M605" s="280" t="n"/>
      <c r="N605" s="292" t="n">
        <v>306982</v>
      </c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  <c r="Y605" s="285" t="n"/>
    </row>
    <row r="606" ht="15.5" customHeight="1">
      <c r="B606" s="311" t="n"/>
      <c r="C606" s="278" t="n"/>
      <c r="D606" s="312" t="inlineStr">
        <is>
          <t>Biaya Operasi</t>
        </is>
      </c>
      <c r="E606" s="313" t="n"/>
      <c r="F606" s="281" t="n"/>
      <c r="G606" s="278" t="n"/>
      <c r="H606" s="278" t="n"/>
      <c r="I606" s="283" t="n"/>
      <c r="J606" s="279" t="n"/>
      <c r="K606" s="279" t="n"/>
      <c r="L606" s="279" t="n"/>
      <c r="M606" s="279" t="n"/>
      <c r="N606" s="279" t="n"/>
      <c r="O606" s="279" t="n"/>
      <c r="P606" s="279" t="n"/>
      <c r="Q606" s="279" t="n"/>
      <c r="R606" s="315" t="n"/>
      <c r="S606" s="315" t="n"/>
      <c r="T606" s="315" t="n"/>
      <c r="U606" s="315" t="n"/>
      <c r="V606" s="315" t="n"/>
      <c r="W606" s="315" t="n"/>
      <c r="X606" s="315" t="n"/>
      <c r="Y606" s="315" t="n"/>
    </row>
    <row r="607" ht="15.5" customHeight="1">
      <c r="B607" s="286" t="inlineStr">
        <is>
          <t>13-Feb-24</t>
        </is>
      </c>
      <c r="C607" s="278" t="n">
        <v>6</v>
      </c>
      <c r="D607" s="280" t="inlineStr">
        <is>
          <t>Shipment Benchmark DTR to Malaysia</t>
        </is>
      </c>
      <c r="E607" s="280" t="inlineStr">
        <is>
          <t>-</t>
        </is>
      </c>
      <c r="F607" s="287" t="n">
        <v>13201183.322</v>
      </c>
      <c r="G607" s="282" t="inlineStr">
        <is>
          <t>MYR</t>
        </is>
      </c>
      <c r="H607" s="288" t="n">
        <v>3636.89</v>
      </c>
      <c r="I607" s="290" t="n"/>
      <c r="J607" s="289" t="n">
        <v>13201183.322</v>
      </c>
      <c r="K607" s="291" t="n"/>
      <c r="L607" s="280" t="n"/>
      <c r="M607" s="280" t="n"/>
      <c r="N607" s="280" t="n"/>
      <c r="O607" s="280" t="n"/>
      <c r="P607" s="280" t="n"/>
      <c r="Q607" s="280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11-Mar-24</t>
        </is>
      </c>
      <c r="C608" s="278" t="n">
        <v>7</v>
      </c>
      <c r="D608" s="280" t="inlineStr">
        <is>
          <t>Taxi Home - CGK Airport</t>
        </is>
      </c>
      <c r="E608" s="280" t="inlineStr">
        <is>
          <t>-</t>
        </is>
      </c>
      <c r="F608" s="287" t="n">
        <v>200000</v>
      </c>
      <c r="G608" s="282" t="inlineStr">
        <is>
          <t>IDR</t>
        </is>
      </c>
      <c r="H608" s="288" t="n">
        <v>1</v>
      </c>
      <c r="I608" s="290" t="n"/>
      <c r="J608" s="289" t="n">
        <v>200000</v>
      </c>
      <c r="K608" s="291" t="n"/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inlineStr">
        <is>
          <t>11-Mar-24</t>
        </is>
      </c>
      <c r="C609" s="278" t="n">
        <v>8</v>
      </c>
      <c r="D609" s="280" t="inlineStr">
        <is>
          <t>Flight CGK-KUL + Hotel 1 night</t>
        </is>
      </c>
      <c r="E609" s="280" t="inlineStr">
        <is>
          <t>-</t>
        </is>
      </c>
      <c r="F609" s="287" t="n">
        <v>1803353</v>
      </c>
      <c r="G609" s="282" t="inlineStr">
        <is>
          <t>IDR</t>
        </is>
      </c>
      <c r="H609" s="288" t="n">
        <v>1</v>
      </c>
      <c r="I609" s="290" t="n"/>
      <c r="J609" s="289" t="n">
        <v>1803353</v>
      </c>
      <c r="K609" s="291" t="n"/>
      <c r="L609" s="280" t="n"/>
      <c r="M609" s="280" t="n"/>
      <c r="N609" s="280" t="n"/>
      <c r="O609" s="280" t="n"/>
      <c r="P609" s="280" t="n"/>
      <c r="Q609" s="280" t="n"/>
      <c r="R609" s="285" t="n"/>
      <c r="S609" s="285" t="n"/>
      <c r="T609" s="285" t="n"/>
      <c r="U609" s="285" t="n"/>
      <c r="V609" s="285" t="n"/>
      <c r="W609" s="285" t="n"/>
      <c r="X609" s="285" t="n"/>
      <c r="Y609" s="285" t="n"/>
    </row>
    <row r="610" ht="15.5" customHeight="1">
      <c r="B610" s="286" t="inlineStr">
        <is>
          <t>11-Mar-24</t>
        </is>
      </c>
      <c r="C610" s="278" t="n">
        <v>9</v>
      </c>
      <c r="D610" s="280" t="inlineStr">
        <is>
          <t>Train KLIA Airport to Hyperseal</t>
        </is>
      </c>
      <c r="E610" s="280" t="inlineStr">
        <is>
          <t>-</t>
        </is>
      </c>
      <c r="F610" s="287" t="n">
        <v>181844.5</v>
      </c>
      <c r="G610" s="282" t="inlineStr">
        <is>
          <t>MYR</t>
        </is>
      </c>
      <c r="H610" s="288" t="n">
        <v>3636.89</v>
      </c>
      <c r="I610" s="290" t="n"/>
      <c r="J610" s="289" t="n">
        <v>181844.5</v>
      </c>
      <c r="K610" s="291" t="n"/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  <c r="Y610" s="285" t="n"/>
    </row>
    <row r="611" ht="15.5" customHeight="1">
      <c r="B611" s="286" t="inlineStr">
        <is>
          <t>12-Mar-24</t>
        </is>
      </c>
      <c r="C611" s="278" t="n">
        <v>10</v>
      </c>
      <c r="D611" s="280" t="inlineStr">
        <is>
          <t>Flight KUL- CGK</t>
        </is>
      </c>
      <c r="E611" s="280" t="inlineStr">
        <is>
          <t>-</t>
        </is>
      </c>
      <c r="F611" s="287" t="n">
        <v>1897983</v>
      </c>
      <c r="G611" s="282" t="inlineStr">
        <is>
          <t>IDR</t>
        </is>
      </c>
      <c r="H611" s="288" t="n">
        <v>1</v>
      </c>
      <c r="I611" s="290" t="n"/>
      <c r="J611" s="289" t="n">
        <v>1897983</v>
      </c>
      <c r="K611" s="291" t="n"/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  <c r="Y611" s="285" t="n"/>
    </row>
    <row r="612" ht="15.5" customHeight="1">
      <c r="B612" s="286" t="inlineStr">
        <is>
          <t>12-Mar-24</t>
        </is>
      </c>
      <c r="C612" s="278" t="n">
        <v>11</v>
      </c>
      <c r="D612" s="280" t="inlineStr">
        <is>
          <t>Train Hyperseal to KLIA Airport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90" t="n"/>
      <c r="J612" s="289" t="n">
        <v>181844.5</v>
      </c>
      <c r="K612" s="291" t="n"/>
      <c r="L612" s="280" t="n"/>
      <c r="M612" s="280" t="n"/>
      <c r="N612" s="280" t="n"/>
      <c r="O612" s="280" t="n"/>
      <c r="P612" s="280" t="n"/>
      <c r="Q612" s="280" t="n"/>
      <c r="R612" s="285" t="n"/>
      <c r="S612" s="285" t="n"/>
      <c r="T612" s="285" t="n"/>
      <c r="U612" s="285" t="n"/>
      <c r="V612" s="285" t="n"/>
      <c r="W612" s="285" t="n"/>
      <c r="X612" s="285" t="n"/>
      <c r="Y612" s="285" t="n"/>
    </row>
    <row r="613" ht="15.5" customHeight="1">
      <c r="B613" s="286" t="inlineStr">
        <is>
          <t>12-Mar-24</t>
        </is>
      </c>
      <c r="C613" s="278" t="n">
        <v>12</v>
      </c>
      <c r="D613" s="280" t="inlineStr">
        <is>
          <t>Taxi CGK Airport to Home</t>
        </is>
      </c>
      <c r="E613" s="280" t="inlineStr">
        <is>
          <t>-</t>
        </is>
      </c>
      <c r="F613" s="287" t="n">
        <v>200000</v>
      </c>
      <c r="G613" s="282" t="inlineStr">
        <is>
          <t>IDR</t>
        </is>
      </c>
      <c r="H613" s="288" t="n">
        <v>1</v>
      </c>
      <c r="I613" s="290" t="n"/>
      <c r="J613" s="289" t="n">
        <v>200000</v>
      </c>
      <c r="K613" s="291" t="n"/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  <c r="Y613" s="285" t="n"/>
    </row>
    <row r="614" ht="15.5" customHeight="1">
      <c r="B614" s="286" t="inlineStr">
        <is>
          <t>12-Mar-24</t>
        </is>
      </c>
      <c r="C614" s="278" t="n">
        <v>13</v>
      </c>
      <c r="D614" s="280" t="inlineStr">
        <is>
          <t>Meals 2 days @ 300,000/day</t>
        </is>
      </c>
      <c r="E614" s="280" t="inlineStr">
        <is>
          <t>-</t>
        </is>
      </c>
      <c r="F614" s="287" t="n">
        <v>600000</v>
      </c>
      <c r="G614" s="282" t="inlineStr">
        <is>
          <t>IDR</t>
        </is>
      </c>
      <c r="H614" s="288" t="n">
        <v>1</v>
      </c>
      <c r="I614" s="290" t="n"/>
      <c r="J614" s="289" t="n">
        <v>600000</v>
      </c>
      <c r="K614" s="291" t="n"/>
      <c r="L614" s="280" t="n"/>
      <c r="M614" s="280" t="n"/>
      <c r="N614" s="280" t="n"/>
      <c r="O614" s="280" t="n"/>
      <c r="P614" s="280" t="n"/>
      <c r="Q614" s="280" t="n"/>
      <c r="R614" s="285" t="n"/>
      <c r="S614" s="285" t="n"/>
      <c r="T614" s="285" t="n"/>
      <c r="U614" s="285" t="n"/>
      <c r="V614" s="285" t="n"/>
      <c r="W614" s="285" t="n"/>
      <c r="X614" s="285" t="n"/>
      <c r="Y614" s="285" t="n"/>
    </row>
    <row r="615" ht="15.5" customHeight="1">
      <c r="B615" s="286" t="inlineStr">
        <is>
          <t>22-Apr-24</t>
        </is>
      </c>
      <c r="C615" s="278" t="n">
        <v>14</v>
      </c>
      <c r="D615" s="280" t="inlineStr">
        <is>
          <t>Car 22-23 Apr 2024 (2 days) incl. Fuel &amp; Tol</t>
        </is>
      </c>
      <c r="E615" s="280" t="inlineStr">
        <is>
          <t>-</t>
        </is>
      </c>
      <c r="F615" s="287" t="n">
        <v>3000000</v>
      </c>
      <c r="G615" s="282" t="inlineStr">
        <is>
          <t>IDR</t>
        </is>
      </c>
      <c r="H615" s="288" t="n">
        <v>1</v>
      </c>
      <c r="I615" s="290" t="n"/>
      <c r="J615" s="289" t="n">
        <v>3000000</v>
      </c>
      <c r="K615" s="291" t="n"/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  <c r="Y615" s="285" t="n"/>
    </row>
    <row r="616" ht="15.5" customHeight="1">
      <c r="B616" s="286" t="inlineStr">
        <is>
          <t>23-Apr-24</t>
        </is>
      </c>
      <c r="C616" s="278" t="n">
        <v>15</v>
      </c>
      <c r="D616" s="280" t="inlineStr">
        <is>
          <t>Tunjangan Lapangan @ 1.5 juta/day x 2 days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90" t="n"/>
      <c r="J616" s="289" t="n">
        <v>3000000</v>
      </c>
      <c r="K616" s="291" t="n"/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  <c r="Y616" s="285" t="n"/>
    </row>
    <row r="617" ht="15.5" customHeight="1">
      <c r="B617" s="286" t="inlineStr">
        <is>
          <t>23-Apr-24</t>
        </is>
      </c>
      <c r="C617" s="278" t="n">
        <v>16</v>
      </c>
      <c r="D617" s="280" t="inlineStr">
        <is>
          <t>Meals 2 days @ 150,000/day</t>
        </is>
      </c>
      <c r="E617" s="280" t="inlineStr">
        <is>
          <t>-</t>
        </is>
      </c>
      <c r="F617" s="287" t="n">
        <v>300000</v>
      </c>
      <c r="G617" s="282" t="inlineStr">
        <is>
          <t>IDR</t>
        </is>
      </c>
      <c r="H617" s="288" t="n">
        <v>1</v>
      </c>
      <c r="I617" s="290" t="n"/>
      <c r="J617" s="289" t="n">
        <v>300000</v>
      </c>
      <c r="K617" s="291" t="n"/>
      <c r="L617" s="280" t="n"/>
      <c r="M617" s="280" t="n"/>
      <c r="N617" s="280" t="n"/>
      <c r="O617" s="280" t="n"/>
      <c r="P617" s="280" t="n"/>
      <c r="Q617" s="280" t="n"/>
      <c r="R617" s="285" t="n"/>
      <c r="S617" s="285" t="n"/>
      <c r="T617" s="285" t="n"/>
      <c r="U617" s="285" t="n"/>
      <c r="V617" s="285" t="n"/>
      <c r="W617" s="285" t="n"/>
      <c r="X617" s="285" t="n"/>
      <c r="Y617" s="285" t="n"/>
    </row>
    <row r="618" ht="15.5" customHeight="1">
      <c r="B618" s="286" t="inlineStr">
        <is>
          <t>30-Apr-24</t>
        </is>
      </c>
      <c r="C618" s="278" t="n">
        <v>17</v>
      </c>
      <c r="D618" s="280" t="inlineStr">
        <is>
          <t>Car 30 Apr-01 May 2024 (2 days) incl. Fuel &amp; Tol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90" t="n"/>
      <c r="J618" s="289" t="n">
        <v>3000000</v>
      </c>
      <c r="K618" s="291" t="n"/>
      <c r="L618" s="280" t="n"/>
      <c r="M618" s="280" t="n"/>
      <c r="N618" s="280" t="n"/>
      <c r="O618" s="280" t="n"/>
      <c r="P618" s="280" t="n"/>
      <c r="Q618" s="280" t="n"/>
      <c r="R618" s="285" t="n"/>
      <c r="S618" s="285" t="n"/>
      <c r="T618" s="285" t="n"/>
      <c r="U618" s="285" t="n"/>
      <c r="V618" s="285" t="n"/>
      <c r="W618" s="285" t="n"/>
      <c r="X618" s="285" t="n"/>
      <c r="Y618" s="285" t="n"/>
    </row>
    <row r="619" ht="15.5" customHeight="1">
      <c r="B619" s="286" t="inlineStr">
        <is>
          <t>20-Dec-24</t>
        </is>
      </c>
      <c r="C619" s="278" t="n">
        <v>18</v>
      </c>
      <c r="D619" s="280" t="inlineStr">
        <is>
          <t>Taxi Home to KCIC Train station</t>
        </is>
      </c>
      <c r="E619" s="280" t="inlineStr">
        <is>
          <t>-</t>
        </is>
      </c>
      <c r="F619" s="287" t="n">
        <v>100000</v>
      </c>
      <c r="G619" s="282" t="inlineStr">
        <is>
          <t>IDR</t>
        </is>
      </c>
      <c r="H619" s="288" t="n">
        <v>1</v>
      </c>
      <c r="I619" s="290" t="n"/>
      <c r="J619" s="289" t="n">
        <v>100000</v>
      </c>
      <c r="K619" s="291" t="n"/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  <c r="Y619" s="285" t="n"/>
    </row>
    <row r="620" ht="15.5" customHeight="1">
      <c r="B620" s="286" t="inlineStr">
        <is>
          <t>20-Dec-24</t>
        </is>
      </c>
      <c r="C620" s="278" t="n">
        <v>19</v>
      </c>
      <c r="D620" s="280" t="inlineStr">
        <is>
          <t>Train Round trip Jakarta - Bandung @200K/trip</t>
        </is>
      </c>
      <c r="E620" s="280" t="inlineStr">
        <is>
          <t>-</t>
        </is>
      </c>
      <c r="F620" s="287" t="n">
        <v>400000</v>
      </c>
      <c r="G620" s="282" t="inlineStr">
        <is>
          <t>IDR</t>
        </is>
      </c>
      <c r="H620" s="288" t="n">
        <v>1</v>
      </c>
      <c r="I620" s="290" t="n"/>
      <c r="J620" s="289" t="n">
        <v>400000</v>
      </c>
      <c r="K620" s="291" t="n"/>
      <c r="L620" s="280" t="n"/>
      <c r="M620" s="280" t="n"/>
      <c r="N620" s="280" t="n"/>
      <c r="O620" s="280" t="n"/>
      <c r="P620" s="280" t="n"/>
      <c r="Q620" s="280" t="n"/>
      <c r="R620" s="285" t="n"/>
      <c r="S620" s="285" t="n"/>
      <c r="T620" s="285" t="n"/>
      <c r="U620" s="285" t="n"/>
      <c r="V620" s="285" t="n"/>
      <c r="W620" s="285" t="n"/>
      <c r="X620" s="285" t="n"/>
      <c r="Y620" s="285" t="n"/>
    </row>
    <row r="621" ht="15.5" customHeight="1">
      <c r="B621" s="286" t="inlineStr">
        <is>
          <t>21-Dec-24</t>
        </is>
      </c>
      <c r="C621" s="278" t="n">
        <v>20</v>
      </c>
      <c r="D621" s="280" t="inlineStr">
        <is>
          <t>Hotel 1 night 20 - 21 Dec 2024</t>
        </is>
      </c>
      <c r="E621" s="280" t="inlineStr">
        <is>
          <t>-</t>
        </is>
      </c>
      <c r="F621" s="287" t="n">
        <v>784000</v>
      </c>
      <c r="G621" s="282" t="inlineStr">
        <is>
          <t>IDR</t>
        </is>
      </c>
      <c r="H621" s="288" t="n">
        <v>1</v>
      </c>
      <c r="I621" s="290" t="n"/>
      <c r="J621" s="289" t="n">
        <v>784000</v>
      </c>
      <c r="K621" s="291" t="n"/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  <c r="Y621" s="285" t="n"/>
    </row>
    <row r="622" ht="15.5" customHeight="1">
      <c r="B622" s="286" t="inlineStr">
        <is>
          <t>21-Dec-24</t>
        </is>
      </c>
      <c r="C622" s="278" t="n">
        <v>21</v>
      </c>
      <c r="D622" s="280" t="inlineStr">
        <is>
          <t>Taxi from KCIC Stationa Halim to Home</t>
        </is>
      </c>
      <c r="E622" s="280" t="inlineStr">
        <is>
          <t>-</t>
        </is>
      </c>
      <c r="F622" s="287" t="n">
        <v>100000</v>
      </c>
      <c r="G622" s="282" t="inlineStr">
        <is>
          <t>IDR</t>
        </is>
      </c>
      <c r="H622" s="288" t="n">
        <v>1</v>
      </c>
      <c r="I622" s="290" t="n"/>
      <c r="J622" s="289" t="n">
        <v>100000</v>
      </c>
      <c r="K622" s="291" t="n"/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  <c r="Y622" s="285" t="n"/>
    </row>
    <row r="623" ht="15.5" customHeight="1">
      <c r="B623" s="286" t="inlineStr">
        <is>
          <t>21-Dec-24</t>
        </is>
      </c>
      <c r="C623" s="278" t="n">
        <v>22</v>
      </c>
      <c r="D623" s="280" t="inlineStr">
        <is>
          <t>Meals 2 days @ 150,000/day</t>
        </is>
      </c>
      <c r="E623" s="280" t="inlineStr">
        <is>
          <t>-</t>
        </is>
      </c>
      <c r="F623" s="287" t="n">
        <v>300000</v>
      </c>
      <c r="G623" s="282" t="inlineStr">
        <is>
          <t>IDR</t>
        </is>
      </c>
      <c r="H623" s="288" t="n">
        <v>1</v>
      </c>
      <c r="I623" s="290" t="n"/>
      <c r="J623" s="289" t="n">
        <v>300000</v>
      </c>
      <c r="K623" s="291" t="n"/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  <c r="Y623" s="285" t="n"/>
    </row>
    <row r="624" ht="15.5" customHeight="1">
      <c r="B624" s="302" t="inlineStr">
        <is>
          <t>Expense#46</t>
        </is>
      </c>
      <c r="C624" s="303" t="inlineStr">
        <is>
          <t>:</t>
        </is>
      </c>
      <c r="D624" s="304" t="inlineStr">
        <is>
          <t>Non trip - Training BSS - AC</t>
        </is>
      </c>
      <c r="E624" s="305" t="n"/>
      <c r="F624" s="326" t="n"/>
      <c r="G624" s="303" t="n"/>
      <c r="H624" s="303" t="n"/>
      <c r="I624" s="308" t="n"/>
      <c r="J624" s="309" t="n"/>
      <c r="K624" s="309" t="n"/>
      <c r="L624" s="309" t="n"/>
      <c r="M624" s="307" t="n"/>
      <c r="N624" s="309" t="n"/>
      <c r="O624" s="309" t="n"/>
      <c r="P624" s="309" t="n"/>
      <c r="Q624" s="309" t="n"/>
      <c r="R624" s="310" t="n"/>
      <c r="S624" s="310" t="n"/>
      <c r="T624" s="310" t="n"/>
      <c r="U624" s="310" t="n"/>
      <c r="V624" s="310" t="n"/>
      <c r="W624" s="310" t="n"/>
      <c r="X624" s="310" t="n"/>
      <c r="Y624" s="310" t="n"/>
    </row>
    <row r="625" ht="15.5" customHeight="1">
      <c r="B625" s="311" t="n"/>
      <c r="C625" s="278" t="n"/>
      <c r="D625" s="312" t="inlineStr">
        <is>
          <t>Biaya Operasi</t>
        </is>
      </c>
      <c r="E625" s="322" t="n"/>
      <c r="F625" s="281" t="n"/>
      <c r="G625" s="278" t="n"/>
      <c r="H625" s="278" t="n"/>
      <c r="I625" s="279" t="n"/>
      <c r="J625" s="279" t="n"/>
      <c r="K625" s="279" t="n"/>
      <c r="L625" s="279" t="n"/>
      <c r="M625" s="279" t="n"/>
      <c r="N625" s="279" t="n"/>
      <c r="O625" s="279" t="n"/>
      <c r="P625" s="279" t="n"/>
      <c r="Q625" s="279" t="n"/>
      <c r="R625" s="315" t="n"/>
      <c r="S625" s="315" t="n"/>
      <c r="T625" s="315" t="n"/>
      <c r="U625" s="315" t="n"/>
      <c r="V625" s="315" t="n"/>
      <c r="W625" s="315" t="n"/>
      <c r="X625" s="315" t="n"/>
      <c r="Y625" s="315" t="n"/>
    </row>
    <row r="626" ht="15.5" customHeight="1">
      <c r="B626" s="286" t="inlineStr">
        <is>
          <t>10-Dec-24</t>
        </is>
      </c>
      <c r="C626" s="278" t="n">
        <v>1</v>
      </c>
      <c r="D626" s="280" t="inlineStr">
        <is>
          <t>Traning Basic Sea Survival (BSS)</t>
        </is>
      </c>
      <c r="E626" s="280" t="inlineStr">
        <is>
          <t>-</t>
        </is>
      </c>
      <c r="F626" s="287" t="n">
        <v>2700000</v>
      </c>
      <c r="G626" s="282" t="inlineStr">
        <is>
          <t>IDR</t>
        </is>
      </c>
      <c r="H626" s="288" t="n">
        <v>1</v>
      </c>
      <c r="I626" s="290" t="n"/>
      <c r="J626" s="289" t="n">
        <v>2700000</v>
      </c>
      <c r="K626" s="291" t="n"/>
      <c r="L626" s="280" t="n"/>
      <c r="M626" s="280" t="n"/>
      <c r="N626" s="280" t="n"/>
      <c r="O626" s="280" t="n"/>
      <c r="P626" s="280" t="n"/>
      <c r="Q626" s="280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316" t="inlineStr">
        <is>
          <t>Expense#47</t>
        </is>
      </c>
      <c r="C627" s="317" t="inlineStr">
        <is>
          <t>:</t>
        </is>
      </c>
      <c r="D627" s="318" t="inlineStr">
        <is>
          <t>Trip Rakan : BSTTraining at HSSE Training Center PT Pertamina EP Zone 7 Cirebon</t>
        </is>
      </c>
      <c r="E627" s="319" t="n"/>
      <c r="F627" s="320" t="n"/>
      <c r="G627" s="303" t="n"/>
      <c r="H627" s="303" t="n"/>
      <c r="I627" s="309" t="n"/>
      <c r="J627" s="309" t="n"/>
      <c r="K627" s="309" t="n"/>
      <c r="L627" s="309" t="n"/>
      <c r="M627" s="309" t="n"/>
      <c r="N627" s="309" t="n"/>
      <c r="O627" s="309" t="n"/>
      <c r="P627" s="309" t="n"/>
      <c r="Q627" s="309" t="n"/>
      <c r="R627" s="310" t="n"/>
      <c r="S627" s="310" t="n"/>
      <c r="T627" s="310" t="n"/>
      <c r="U627" s="310" t="n"/>
      <c r="V627" s="310" t="n"/>
      <c r="W627" s="310" t="n"/>
      <c r="X627" s="310" t="n"/>
      <c r="Y627" s="310" t="n"/>
    </row>
    <row r="628" ht="15.5" customHeight="1">
      <c r="B628" s="311" t="n"/>
      <c r="C628" s="278" t="n"/>
      <c r="D628" s="312" t="inlineStr">
        <is>
          <t>Biaya Operasi</t>
        </is>
      </c>
      <c r="E628" s="322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  <c r="R628" s="315" t="n"/>
      <c r="S628" s="315" t="n"/>
      <c r="T628" s="315" t="n"/>
      <c r="U628" s="315" t="n"/>
      <c r="V628" s="315" t="n"/>
      <c r="W628" s="315" t="n"/>
      <c r="X628" s="315" t="n"/>
      <c r="Y628" s="315" t="n"/>
    </row>
    <row r="629" ht="15.5" customHeight="1">
      <c r="B629" s="286" t="inlineStr">
        <is>
          <t>29-Dec-24</t>
        </is>
      </c>
      <c r="C629" s="278" t="n">
        <v>1</v>
      </c>
      <c r="D629" s="280" t="inlineStr">
        <is>
          <t>Transport Train, (Jakarta to Cirebon)</t>
        </is>
      </c>
      <c r="E629" s="280" t="inlineStr">
        <is>
          <t>-</t>
        </is>
      </c>
      <c r="F629" s="287" t="n">
        <v>200000</v>
      </c>
      <c r="G629" s="282" t="inlineStr">
        <is>
          <t>IDR</t>
        </is>
      </c>
      <c r="H629" s="288" t="n">
        <v>1</v>
      </c>
      <c r="I629" s="290" t="n"/>
      <c r="J629" s="289" t="n">
        <v>200000</v>
      </c>
      <c r="K629" s="291" t="n"/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2</v>
      </c>
      <c r="D630" s="280" t="inlineStr">
        <is>
          <t>Gojek (Cirendeu to Gambir Station)</t>
        </is>
      </c>
      <c r="E630" s="280" t="inlineStr">
        <is>
          <t>-</t>
        </is>
      </c>
      <c r="F630" s="287" t="n">
        <v>61500</v>
      </c>
      <c r="G630" s="282" t="inlineStr">
        <is>
          <t>IDR</t>
        </is>
      </c>
      <c r="H630" s="288" t="n">
        <v>1</v>
      </c>
      <c r="I630" s="290" t="n"/>
      <c r="J630" s="289" t="n">
        <v>61500</v>
      </c>
      <c r="K630" s="291" t="n"/>
      <c r="L630" s="280" t="n"/>
      <c r="M630" s="280" t="n"/>
      <c r="N630" s="280" t="n"/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inlineStr">
        <is>
          <t>29-Dec-24</t>
        </is>
      </c>
      <c r="C631" s="278" t="n">
        <v>3</v>
      </c>
      <c r="D631" s="280" t="inlineStr">
        <is>
          <t>Gojek (Cirebon Station to Hotel)</t>
        </is>
      </c>
      <c r="E631" s="280" t="inlineStr">
        <is>
          <t>-</t>
        </is>
      </c>
      <c r="F631" s="287" t="n">
        <v>12500</v>
      </c>
      <c r="G631" s="282" t="inlineStr">
        <is>
          <t>IDR</t>
        </is>
      </c>
      <c r="H631" s="288" t="n">
        <v>1</v>
      </c>
      <c r="I631" s="290" t="n"/>
      <c r="J631" s="289" t="n">
        <v>12500</v>
      </c>
      <c r="K631" s="291" t="n"/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  <c r="Y631" s="285" t="n"/>
    </row>
    <row r="632" ht="15.5" customHeight="1">
      <c r="B632" s="286" t="inlineStr">
        <is>
          <t>29-Dec-24</t>
        </is>
      </c>
      <c r="C632" s="278" t="n">
        <v>4</v>
      </c>
      <c r="D632" s="280" t="inlineStr">
        <is>
          <t>Accomodation Hotel (Pia Hotel 29 - 30 des, 1 Night)</t>
        </is>
      </c>
      <c r="E632" s="280" t="inlineStr">
        <is>
          <t>-</t>
        </is>
      </c>
      <c r="F632" s="287" t="n">
        <v>224000</v>
      </c>
      <c r="G632" s="282" t="inlineStr">
        <is>
          <t>IDR</t>
        </is>
      </c>
      <c r="H632" s="288" t="n">
        <v>1</v>
      </c>
      <c r="I632" s="290" t="n"/>
      <c r="J632" s="289" t="n">
        <v>224000</v>
      </c>
      <c r="K632" s="291" t="n"/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  <c r="Y632" s="285" t="n"/>
    </row>
    <row r="633" ht="15.5" customHeight="1">
      <c r="B633" s="286" t="inlineStr">
        <is>
          <t>30-Dec-24</t>
        </is>
      </c>
      <c r="C633" s="278" t="n">
        <v>5</v>
      </c>
      <c r="D633" s="280" t="inlineStr">
        <is>
          <t>Transport Train (Cirebon to Jakarta)</t>
        </is>
      </c>
      <c r="E633" s="280" t="inlineStr">
        <is>
          <t>-</t>
        </is>
      </c>
      <c r="F633" s="287" t="n">
        <v>140000</v>
      </c>
      <c r="G633" s="282" t="inlineStr">
        <is>
          <t>IDR</t>
        </is>
      </c>
      <c r="H633" s="288" t="n">
        <v>1</v>
      </c>
      <c r="I633" s="290" t="n"/>
      <c r="J633" s="289" t="n">
        <v>140000</v>
      </c>
      <c r="K633" s="291" t="n"/>
      <c r="L633" s="280" t="n"/>
      <c r="M633" s="280" t="n"/>
      <c r="N633" s="280" t="n"/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  <c r="Y633" s="285" t="n"/>
    </row>
    <row r="634" ht="15.5" customHeight="1">
      <c r="B634" s="286" t="inlineStr">
        <is>
          <t>30-Dec-24</t>
        </is>
      </c>
      <c r="C634" s="278" t="n">
        <v>6</v>
      </c>
      <c r="D634" s="280" t="inlineStr">
        <is>
          <t>Gojek (Hotel to HSSE Training Center PEP Zone 7)</t>
        </is>
      </c>
      <c r="E634" s="280" t="inlineStr">
        <is>
          <t>-</t>
        </is>
      </c>
      <c r="F634" s="287" t="n">
        <v>11000</v>
      </c>
      <c r="G634" s="282" t="inlineStr">
        <is>
          <t>IDR</t>
        </is>
      </c>
      <c r="H634" s="288" t="n">
        <v>1</v>
      </c>
      <c r="I634" s="290" t="n"/>
      <c r="J634" s="289" t="n">
        <v>11000</v>
      </c>
      <c r="K634" s="291" t="n"/>
      <c r="L634" s="280" t="n"/>
      <c r="M634" s="280" t="n"/>
      <c r="N634" s="280" t="n"/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  <c r="Y634" s="285" t="n"/>
    </row>
    <row r="635" ht="15.5" customHeight="1">
      <c r="B635" s="286" t="inlineStr">
        <is>
          <t>30-Dec-24</t>
        </is>
      </c>
      <c r="C635" s="278" t="n">
        <v>7</v>
      </c>
      <c r="D635" s="280" t="inlineStr">
        <is>
          <t>Gojek (CSB to Cirebon Train Station)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90" t="n"/>
      <c r="J635" s="289" t="n">
        <v>11000</v>
      </c>
      <c r="K635" s="291" t="n"/>
      <c r="L635" s="280" t="n"/>
      <c r="M635" s="280" t="n"/>
      <c r="N635" s="280" t="n"/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  <c r="Y635" s="285" t="n"/>
    </row>
    <row r="636" ht="15.5" customHeight="1">
      <c r="B636" s="286" t="inlineStr">
        <is>
          <t>30-Dec-24</t>
        </is>
      </c>
      <c r="C636" s="278" t="n">
        <v>8</v>
      </c>
      <c r="D636" s="280" t="inlineStr">
        <is>
          <t>Gojek (Gambir Station to Cirendeu)</t>
        </is>
      </c>
      <c r="E636" s="280" t="inlineStr">
        <is>
          <t>-</t>
        </is>
      </c>
      <c r="F636" s="287" t="n">
        <v>66000</v>
      </c>
      <c r="G636" s="282" t="inlineStr">
        <is>
          <t>IDR</t>
        </is>
      </c>
      <c r="H636" s="288" t="n">
        <v>1</v>
      </c>
      <c r="I636" s="290" t="n"/>
      <c r="J636" s="289" t="n">
        <v>66000</v>
      </c>
      <c r="K636" s="291" t="n"/>
      <c r="L636" s="280" t="n"/>
      <c r="M636" s="280" t="n"/>
      <c r="N636" s="280" t="n"/>
      <c r="O636" s="280" t="n"/>
      <c r="P636" s="280" t="n"/>
      <c r="Q636" s="280" t="n"/>
      <c r="R636" s="285" t="n"/>
      <c r="S636" s="285" t="n"/>
      <c r="T636" s="285" t="n"/>
      <c r="U636" s="285" t="n"/>
      <c r="V636" s="285" t="n"/>
      <c r="W636" s="285" t="n"/>
      <c r="X636" s="285" t="n"/>
      <c r="Y636" s="285" t="n"/>
    </row>
    <row r="637" ht="15.5" customHeight="1">
      <c r="B637" s="286" t="inlineStr">
        <is>
          <t>30-Dec-24</t>
        </is>
      </c>
      <c r="C637" s="278" t="n">
        <v>9</v>
      </c>
      <c r="D637" s="280" t="inlineStr">
        <is>
          <t>Meal Allowance 2 Days (29 - 30 December 2024)@ 150 rb</t>
        </is>
      </c>
      <c r="E637" s="280" t="inlineStr">
        <is>
          <t>-</t>
        </is>
      </c>
      <c r="F637" s="287" t="n">
        <v>300000</v>
      </c>
      <c r="G637" s="282" t="inlineStr">
        <is>
          <t>IDR</t>
        </is>
      </c>
      <c r="H637" s="288" t="n">
        <v>1</v>
      </c>
      <c r="I637" s="290" t="n"/>
      <c r="J637" s="289" t="n">
        <v>300000</v>
      </c>
      <c r="K637" s="291" t="n"/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  <c r="Y637" s="285" t="n"/>
    </row>
    <row r="638" ht="15.5" customHeight="1">
      <c r="B638" s="341" t="inlineStr">
        <is>
          <t>TOTAL</t>
        </is>
      </c>
      <c r="C638" s="230" t="n"/>
      <c r="D638" s="230" t="n"/>
      <c r="E638" s="230" t="n"/>
      <c r="F638" s="230" t="n"/>
      <c r="G638" s="230" t="n"/>
      <c r="H638" s="227" t="n"/>
      <c r="I638" s="342" t="n">
        <v>991500000</v>
      </c>
      <c r="J638" s="342" t="n">
        <v>1165223146.932</v>
      </c>
      <c r="K638" s="342" t="n">
        <v>0</v>
      </c>
      <c r="L638" s="342" t="n">
        <v>356012003</v>
      </c>
      <c r="M638" s="343" t="n">
        <v>367745000</v>
      </c>
      <c r="N638" s="342" t="n">
        <v>8769780</v>
      </c>
      <c r="O638" s="342" t="n">
        <v>200517570</v>
      </c>
      <c r="P638" s="342" t="n">
        <v>4995000</v>
      </c>
      <c r="Q638" s="342" t="n">
        <v>38548717.5</v>
      </c>
      <c r="R638" s="344" t="n">
        <v>202920000</v>
      </c>
      <c r="S638" s="344" t="n">
        <v>0</v>
      </c>
      <c r="T638" s="344" t="n">
        <v>0</v>
      </c>
      <c r="U638" s="344" t="n">
        <v>0</v>
      </c>
      <c r="V638" s="344" t="n">
        <v>0</v>
      </c>
      <c r="W638" s="344" t="n">
        <v>0</v>
      </c>
      <c r="X638" s="344" t="n">
        <v>0</v>
      </c>
      <c r="Y638" s="344" t="n">
        <v>0</v>
      </c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B638:H638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5" customHeight="1">
      <c r="A3" s="345" t="n"/>
      <c r="B3" s="347" t="inlineStr">
        <is>
          <t>PT. EXSPAN WIRELINE INDONESIA</t>
        </is>
      </c>
      <c r="F3" s="348" t="n"/>
      <c r="G3" s="349" t="inlineStr">
        <is>
          <t>PT. EXSPAN WIRELINE INDONESIA</t>
        </is>
      </c>
      <c r="H3" s="349" t="n"/>
      <c r="I3" s="349" t="n"/>
      <c r="J3" s="349" t="n"/>
    </row>
    <row r="4" ht="20.5" customHeight="1">
      <c r="A4" s="345" t="n"/>
      <c r="B4" s="350" t="inlineStr">
        <is>
          <t>LABA RUGI | TAHUN 2024</t>
        </is>
      </c>
      <c r="F4" s="348" t="n"/>
      <c r="G4" s="351" t="inlineStr">
        <is>
          <t>NERACA |TAHUN YANG BERAKHIR, 31 DESEMBER 2024</t>
        </is>
      </c>
      <c r="H4" s="351" t="n"/>
      <c r="I4" s="351" t="n"/>
      <c r="J4" s="351" t="n"/>
    </row>
    <row r="5" ht="6" customHeight="1">
      <c r="A5" s="345" t="n"/>
      <c r="B5" s="345" t="n"/>
      <c r="C5" s="345" t="n"/>
      <c r="D5" s="345" t="n"/>
      <c r="E5" s="346" t="n"/>
      <c r="F5" s="348" t="n"/>
      <c r="G5" s="348" t="n"/>
      <c r="H5" s="352" t="n"/>
      <c r="I5" s="352" t="n"/>
      <c r="J5" s="352" t="n"/>
    </row>
    <row r="6" ht="15.5" customHeight="1">
      <c r="A6" s="345" t="n"/>
      <c r="B6" s="353" t="n"/>
      <c r="C6" s="354" t="n"/>
      <c r="D6" s="355" t="inlineStr">
        <is>
          <t>PT. Exspan Wireline Indonesia</t>
        </is>
      </c>
      <c r="E6" s="221" t="n"/>
      <c r="F6" s="348" t="n"/>
      <c r="G6" s="356" t="n"/>
      <c r="H6" s="357" t="n"/>
      <c r="I6" s="355" t="inlineStr">
        <is>
          <t>PT. Exspan Wireline Indonesia</t>
        </is>
      </c>
      <c r="J6" s="221" t="n"/>
    </row>
    <row r="7" ht="15.5" customHeight="1">
      <c r="A7" s="345" t="n"/>
      <c r="B7" s="358" t="n"/>
      <c r="C7" s="359" t="n"/>
      <c r="D7" s="360" t="inlineStr">
        <is>
          <t>(Rp)</t>
        </is>
      </c>
      <c r="E7" s="226" t="n"/>
      <c r="F7" s="348" t="n"/>
      <c r="G7" s="361" t="n"/>
      <c r="H7" s="362" t="n"/>
      <c r="I7" s="360" t="inlineStr">
        <is>
          <t>(Rp)</t>
        </is>
      </c>
      <c r="J7" s="226" t="n"/>
    </row>
    <row r="8">
      <c r="A8" s="345" t="n"/>
      <c r="B8" s="363" t="inlineStr">
        <is>
          <t>PENDAPATAN</t>
        </is>
      </c>
      <c r="C8" s="364" t="n"/>
      <c r="D8" s="365" t="n"/>
      <c r="E8" s="366" t="n"/>
      <c r="F8" s="348" t="n"/>
      <c r="G8" s="367" t="inlineStr">
        <is>
          <t>AKTIVA</t>
        </is>
      </c>
      <c r="H8" s="368" t="n"/>
      <c r="I8" s="369" t="n"/>
      <c r="J8" s="370" t="n"/>
    </row>
    <row r="9">
      <c r="A9" s="345" t="n"/>
      <c r="B9" s="371" t="n"/>
      <c r="C9" s="364" t="inlineStr">
        <is>
          <t>PENDAPATAN LANGSUNG</t>
        </is>
      </c>
      <c r="D9" s="371" t="inlineStr">
        <is>
          <t>Rp</t>
        </is>
      </c>
      <c r="E9" s="372">
        <f>SUM('Revenue-Cost_2024'!L8:L20)</f>
        <v/>
      </c>
      <c r="F9" s="348" t="n"/>
      <c r="G9" s="373" t="inlineStr">
        <is>
          <t>AKTIVA LANCAR</t>
        </is>
      </c>
      <c r="H9" s="374" t="n"/>
      <c r="I9" s="373" t="n"/>
      <c r="J9" s="375" t="n"/>
    </row>
    <row r="10">
      <c r="A10" s="345" t="n"/>
      <c r="B10" s="371" t="n"/>
      <c r="C10" s="364" t="inlineStr">
        <is>
          <t>PENDAPATAN LAIN LAIN</t>
        </is>
      </c>
      <c r="D10" s="371" t="inlineStr">
        <is>
          <t>Rp</t>
        </is>
      </c>
      <c r="E10" s="372">
        <f>SUM('Revenue-Cost_2024'!L21:L21)</f>
        <v/>
      </c>
      <c r="F10" s="348" t="n"/>
      <c r="G10" s="376" t="n"/>
      <c r="H10" s="377" t="inlineStr">
        <is>
          <t>KAS DAN SETARA KAS TAHUN SEBELUMNYA</t>
        </is>
      </c>
      <c r="I10" s="371" t="inlineStr">
        <is>
          <t>Rp</t>
        </is>
      </c>
      <c r="J10" s="378" t="n">
        <v>0</v>
      </c>
    </row>
    <row r="11">
      <c r="A11" s="345" t="n"/>
      <c r="B11" s="371" t="n"/>
      <c r="C11" s="364" t="n"/>
      <c r="D11" s="379" t="n"/>
      <c r="E11" s="380" t="n"/>
      <c r="F11" s="348" t="n"/>
      <c r="G11" s="376" t="n"/>
      <c r="H11" s="377" t="inlineStr">
        <is>
          <t>KAS DAN SETARA KAS TAHUN LAPORAN</t>
        </is>
      </c>
      <c r="I11" s="371" t="inlineStr">
        <is>
          <t>Rp</t>
        </is>
      </c>
      <c r="J11" s="378">
        <f>E46-'Business Summary'!E13</f>
        <v/>
      </c>
    </row>
    <row r="12">
      <c r="A12" s="345" t="n"/>
      <c r="B12" s="381" t="inlineStr">
        <is>
          <t>TOTALPENDAPATAN</t>
        </is>
      </c>
      <c r="C12" s="382" t="n"/>
      <c r="D12" s="383" t="inlineStr">
        <is>
          <t>Rp</t>
        </is>
      </c>
      <c r="E12" s="384">
        <f>SUM(E9:E11)</f>
        <v/>
      </c>
      <c r="F12" s="348" t="n"/>
      <c r="G12" s="376" t="n"/>
      <c r="H12" s="377" t="inlineStr">
        <is>
          <t>PIUTANG USAHA</t>
        </is>
      </c>
      <c r="I12" s="371" t="inlineStr">
        <is>
          <t>Rp</t>
        </is>
      </c>
      <c r="J12" s="378" t="n">
        <v>0</v>
      </c>
    </row>
    <row r="13">
      <c r="A13" s="345" t="n"/>
      <c r="B13" s="371" t="n"/>
      <c r="C13" s="364" t="n"/>
      <c r="D13" s="365" t="n"/>
      <c r="E13" s="385" t="n"/>
      <c r="F13" s="348" t="n"/>
      <c r="G13" s="376" t="n"/>
      <c r="H13" s="377" t="inlineStr">
        <is>
          <t>PAJAK BAYAR DI MUKA (pph23)</t>
        </is>
      </c>
      <c r="I13" s="371" t="inlineStr">
        <is>
          <t>Rp</t>
        </is>
      </c>
      <c r="J13" s="378" t="n">
        <v>0</v>
      </c>
    </row>
    <row r="14">
      <c r="A14" s="345" t="n"/>
      <c r="B14" s="386" t="inlineStr">
        <is>
          <t>BEBAN LANGSUNG</t>
        </is>
      </c>
      <c r="C14" s="364" t="n"/>
      <c r="D14" s="371" t="n"/>
      <c r="E14" s="387" t="n"/>
      <c r="F14" s="348" t="n"/>
      <c r="G14" s="376" t="n"/>
      <c r="H14" s="377" t="inlineStr">
        <is>
          <t>BIAYA BAYAR DI MUKA</t>
        </is>
      </c>
      <c r="I14" s="371" t="inlineStr">
        <is>
          <t>Rp</t>
        </is>
      </c>
      <c r="J14" s="378" t="n">
        <v>0</v>
      </c>
    </row>
    <row r="15">
      <c r="A15" s="345" t="n"/>
      <c r="B15" s="388" t="n"/>
      <c r="C15" s="364" t="inlineStr">
        <is>
          <t xml:space="preserve">Biaya Operasi </t>
        </is>
      </c>
      <c r="D15" s="371" t="inlineStr">
        <is>
          <t>Rp</t>
        </is>
      </c>
      <c r="E15" s="387">
        <f>'Revenue-Cost_2024'!I638</f>
        <v/>
      </c>
      <c r="F15" s="348" t="n"/>
      <c r="G15" s="389" t="n"/>
      <c r="H15" s="377" t="inlineStr">
        <is>
          <t>PIUTANG LAIN LAIN</t>
        </is>
      </c>
      <c r="I15" s="371" t="inlineStr">
        <is>
          <t>Rp</t>
        </is>
      </c>
      <c r="J15" s="378" t="n">
        <v>0</v>
      </c>
    </row>
    <row r="16">
      <c r="A16" s="345" t="n"/>
      <c r="B16" s="388" t="n"/>
      <c r="C16" s="364" t="inlineStr">
        <is>
          <t>Biaya research (R &amp; D)</t>
        </is>
      </c>
      <c r="D16" s="371" t="inlineStr">
        <is>
          <t>Rp</t>
        </is>
      </c>
      <c r="E16" s="387">
        <f>'Revenue-Cost_2024'!J638</f>
        <v/>
      </c>
      <c r="F16" s="348" t="n"/>
      <c r="G16" s="390" t="n"/>
      <c r="H16" s="391" t="inlineStr">
        <is>
          <t>TOTAL AKTIVA LANCAR</t>
        </is>
      </c>
      <c r="I16" s="383" t="inlineStr">
        <is>
          <t>Rp</t>
        </is>
      </c>
      <c r="J16" s="392">
        <f>SUM(J10:J15)</f>
        <v/>
      </c>
    </row>
    <row r="17">
      <c r="A17" s="345" t="n"/>
      <c r="B17" s="388" t="n"/>
      <c r="C17" s="364" t="inlineStr">
        <is>
          <t>BIAYA SEWA PERALATAN</t>
        </is>
      </c>
      <c r="D17" s="371" t="inlineStr">
        <is>
          <t>Rp</t>
        </is>
      </c>
      <c r="E17" s="387">
        <f>'Revenue-Cost_2024'!K638</f>
        <v/>
      </c>
      <c r="F17" s="348" t="n"/>
      <c r="G17" s="376" t="n"/>
      <c r="H17" s="377" t="n"/>
      <c r="I17" s="393" t="n"/>
      <c r="J17" s="394" t="n"/>
    </row>
    <row r="18">
      <c r="A18" s="345" t="n"/>
      <c r="B18" s="388" t="n"/>
      <c r="C18" s="364" t="inlineStr">
        <is>
          <t>BIAYA Data Processing</t>
        </is>
      </c>
      <c r="D18" s="371" t="inlineStr">
        <is>
          <t>Rp</t>
        </is>
      </c>
      <c r="E18" s="387">
        <f>'Revenue-Cost_2024'!L638</f>
        <v/>
      </c>
      <c r="F18" s="348" t="n"/>
      <c r="G18" s="373" t="inlineStr">
        <is>
          <t>ACTIVA TETAP</t>
        </is>
      </c>
      <c r="H18" s="395" t="n"/>
      <c r="I18" s="367" t="n"/>
      <c r="J18" s="378" t="n"/>
    </row>
    <row r="19">
      <c r="A19" s="345" t="n"/>
      <c r="B19" s="388" t="n"/>
      <c r="C19" s="364" t="n"/>
      <c r="D19" s="371" t="n"/>
      <c r="E19" s="387" t="n"/>
      <c r="F19" s="348" t="n"/>
      <c r="G19" s="373" t="n"/>
      <c r="H19" s="395" t="n"/>
      <c r="I19" s="367" t="n"/>
      <c r="J19" s="378" t="n"/>
    </row>
    <row r="20">
      <c r="A20" s="345" t="n"/>
      <c r="B20" s="388" t="n"/>
      <c r="C20" s="364" t="n"/>
      <c r="D20" s="379" t="n"/>
      <c r="E20" s="396" t="n"/>
      <c r="F20" s="348" t="n"/>
      <c r="G20" s="376" t="n"/>
      <c r="H20" s="377" t="inlineStr">
        <is>
          <t>INVENTARIS KANTOR</t>
        </is>
      </c>
      <c r="I20" s="371" t="inlineStr">
        <is>
          <t>Rp</t>
        </is>
      </c>
      <c r="J20" s="378" t="n">
        <v>0</v>
      </c>
    </row>
    <row r="21">
      <c r="A21" s="345" t="n"/>
      <c r="B21" s="381" t="inlineStr">
        <is>
          <t>TOTAL BIAYA LANGSUNG</t>
        </is>
      </c>
      <c r="C21" s="382" t="n"/>
      <c r="D21" s="383" t="inlineStr">
        <is>
          <t>Rp</t>
        </is>
      </c>
      <c r="E21" s="397">
        <f>SUM(E15:E20)</f>
        <v/>
      </c>
      <c r="F21" s="348" t="n"/>
      <c r="G21" s="376" t="n"/>
      <c r="H21" s="395" t="n"/>
      <c r="I21" s="398" t="n"/>
      <c r="J21" s="399" t="n"/>
    </row>
    <row r="22">
      <c r="A22" s="345" t="n"/>
      <c r="B22" s="371" t="n"/>
      <c r="C22" s="364" t="n"/>
      <c r="D22" s="365" t="n"/>
      <c r="E22" s="400" t="n"/>
      <c r="F22" s="348" t="n"/>
      <c r="G22" s="390" t="n"/>
      <c r="H22" s="391" t="inlineStr">
        <is>
          <t>TOTAL AKTIVA TETAP</t>
        </is>
      </c>
      <c r="I22" s="383" t="inlineStr">
        <is>
          <t>Rp</t>
        </is>
      </c>
      <c r="J22" s="392">
        <f>J20</f>
        <v/>
      </c>
    </row>
    <row r="23">
      <c r="A23" s="345" t="n"/>
      <c r="B23" s="386" t="inlineStr">
        <is>
          <t>BEBAN TIDAK LANGSUNG</t>
        </is>
      </c>
      <c r="C23" s="364" t="n"/>
      <c r="D23" s="371" t="n"/>
      <c r="E23" s="387">
        <f>'Revenue-Cost_2024'!Q638</f>
        <v/>
      </c>
      <c r="F23" s="348" t="n"/>
      <c r="G23" s="376" t="n"/>
      <c r="H23" s="377" t="n"/>
      <c r="I23" s="393" t="n"/>
      <c r="J23" s="370" t="n"/>
    </row>
    <row r="24">
      <c r="A24" s="345" t="n"/>
      <c r="B24" s="371" t="n"/>
      <c r="C24" s="364" t="n"/>
      <c r="D24" s="371" t="n"/>
      <c r="E24" s="387" t="n"/>
      <c r="F24" s="348" t="n"/>
      <c r="G24" s="373" t="inlineStr">
        <is>
          <t>ACTIVA LAIN LAIN</t>
        </is>
      </c>
      <c r="H24" s="395" t="n"/>
      <c r="I24" s="367" t="n"/>
      <c r="J24" s="378" t="n">
        <v>0</v>
      </c>
    </row>
    <row r="25">
      <c r="A25" s="345" t="n"/>
      <c r="B25" s="371" t="n"/>
      <c r="C25" s="364" t="n"/>
      <c r="D25" s="371" t="inlineStr">
        <is>
          <t>Rp</t>
        </is>
      </c>
      <c r="E25" s="387" t="n"/>
      <c r="F25" s="348" t="n"/>
      <c r="G25" s="376" t="n"/>
      <c r="H25" s="377" t="n"/>
      <c r="I25" s="401" t="n"/>
      <c r="J25" s="402" t="n">
        <v>0</v>
      </c>
    </row>
    <row r="26">
      <c r="A26" s="345" t="n"/>
      <c r="B26" s="371" t="n"/>
      <c r="C26" s="364" t="n"/>
      <c r="D26" s="379" t="n"/>
      <c r="E26" s="396" t="n"/>
      <c r="F26" s="348" t="n"/>
      <c r="G26" s="390" t="n"/>
      <c r="H26" s="391" t="inlineStr">
        <is>
          <t>TOTAL AKTIVA LAIN LAIN</t>
        </is>
      </c>
      <c r="I26" s="383" t="inlineStr">
        <is>
          <t>Rp</t>
        </is>
      </c>
      <c r="J26" s="392">
        <f>SUM(J25:J25)</f>
        <v/>
      </c>
    </row>
    <row r="27">
      <c r="A27" s="345" t="n"/>
      <c r="B27" s="381" t="inlineStr">
        <is>
          <t>TOTAL BIAYA TIDAK LANGSUNG</t>
        </is>
      </c>
      <c r="C27" s="382" t="n"/>
      <c r="D27" s="383" t="inlineStr">
        <is>
          <t>Rp</t>
        </is>
      </c>
      <c r="E27" s="397">
        <f>SUM(E22:E26)</f>
        <v/>
      </c>
      <c r="F27" s="348" t="n"/>
      <c r="G27" s="376" t="n"/>
      <c r="H27" s="377" t="n"/>
      <c r="I27" s="403" t="n"/>
      <c r="J27" s="404" t="n"/>
    </row>
    <row r="28">
      <c r="A28" s="345" t="n"/>
      <c r="B28" s="371" t="n"/>
      <c r="C28" s="364" t="n"/>
      <c r="D28" s="365" t="n"/>
      <c r="E28" s="400" t="n"/>
      <c r="F28" s="348" t="n"/>
      <c r="G28" s="381" t="inlineStr">
        <is>
          <t>TOTAL AKTIVA</t>
        </is>
      </c>
      <c r="H28" s="382" t="n"/>
      <c r="I28" s="383" t="inlineStr">
        <is>
          <t>Rp</t>
        </is>
      </c>
      <c r="J28" s="405">
        <f>J26+J22+J16</f>
        <v/>
      </c>
    </row>
    <row r="29">
      <c r="A29" s="345" t="n"/>
      <c r="B29" s="386" t="inlineStr">
        <is>
          <t>BIAYA ADMINISTRASI DAN UMUM</t>
        </is>
      </c>
      <c r="C29" s="364" t="n"/>
      <c r="D29" s="371" t="n"/>
      <c r="E29" s="387" t="n"/>
      <c r="F29" s="348" t="n"/>
      <c r="G29" s="406" t="n"/>
      <c r="H29" s="407" t="n"/>
      <c r="I29" s="406" t="n"/>
      <c r="J29" s="394" t="n"/>
    </row>
    <row r="30">
      <c r="A30" s="345" t="n"/>
      <c r="B30" s="388" t="n"/>
      <c r="C30" s="364" t="inlineStr">
        <is>
          <t>BIAYA ADMINISTRASI</t>
        </is>
      </c>
      <c r="D30" s="371" t="inlineStr">
        <is>
          <t>Rp</t>
        </is>
      </c>
      <c r="E30" s="387">
        <f>'Revenue-Cost_2024'!M638</f>
        <v/>
      </c>
      <c r="F30" s="348" t="n"/>
      <c r="G30" s="408" t="inlineStr">
        <is>
          <t>HUTANG DAN MODAL</t>
        </is>
      </c>
      <c r="H30" s="368" t="n"/>
      <c r="I30" s="408" t="n"/>
      <c r="J30" s="409" t="n"/>
    </row>
    <row r="31">
      <c r="A31" s="345" t="n"/>
      <c r="B31" s="388" t="n"/>
      <c r="C31" s="364" t="inlineStr">
        <is>
          <t>BIAYA PEMBELIAN Barang</t>
        </is>
      </c>
      <c r="D31" s="371" t="inlineStr">
        <is>
          <t>Rp</t>
        </is>
      </c>
      <c r="E31" s="387">
        <f>'Revenue-Cost_2024'!N638</f>
        <v/>
      </c>
      <c r="F31" s="348" t="n"/>
      <c r="G31" s="408" t="n"/>
      <c r="H31" s="368" t="n"/>
      <c r="I31" s="408" t="n"/>
      <c r="J31" s="409" t="n"/>
    </row>
    <row r="32">
      <c r="A32" s="345" t="n"/>
      <c r="B32" s="388" t="n"/>
      <c r="C32" s="364" t="inlineStr">
        <is>
          <t>BIAYA SEWA KANTOR</t>
        </is>
      </c>
      <c r="D32" s="371" t="inlineStr">
        <is>
          <t>Rp</t>
        </is>
      </c>
      <c r="E32" s="387">
        <f>'Revenue-Cost_2024'!O638</f>
        <v/>
      </c>
      <c r="F32" s="348" t="n"/>
      <c r="G32" s="373" t="inlineStr">
        <is>
          <t>HUTANG LANCAR</t>
        </is>
      </c>
      <c r="H32" s="374" t="n"/>
      <c r="I32" s="373" t="n"/>
      <c r="J32" s="375" t="n"/>
    </row>
    <row r="33">
      <c r="A33" s="345" t="n"/>
      <c r="B33" s="388" t="n"/>
      <c r="C33" s="364" t="inlineStr">
        <is>
          <t>BIAYA KESEHATAN</t>
        </is>
      </c>
      <c r="D33" s="371" t="inlineStr">
        <is>
          <t>Rp</t>
        </is>
      </c>
      <c r="E33" s="387">
        <f>'Revenue-Cost_2024'!P638</f>
        <v/>
      </c>
      <c r="F33" s="348" t="n"/>
      <c r="G33" s="376" t="n"/>
      <c r="H33" s="377" t="inlineStr">
        <is>
          <t>HUTANG USAHA</t>
        </is>
      </c>
      <c r="I33" s="371" t="inlineStr">
        <is>
          <t>Rp</t>
        </is>
      </c>
      <c r="J33" s="378" t="n">
        <v>0</v>
      </c>
    </row>
    <row r="34">
      <c r="A34" s="345" t="n"/>
      <c r="B34" s="388" t="n"/>
      <c r="C34" s="364" t="n"/>
      <c r="D34" s="379" t="n"/>
      <c r="E34" s="396" t="n"/>
      <c r="F34" s="348" t="n"/>
      <c r="G34" s="376" t="n"/>
      <c r="H34" s="410" t="inlineStr">
        <is>
          <t>HUTANG GAJI</t>
        </is>
      </c>
      <c r="I34" s="371" t="inlineStr">
        <is>
          <t>Rp</t>
        </is>
      </c>
      <c r="J34" s="378" t="n">
        <v>0</v>
      </c>
    </row>
    <row r="35">
      <c r="A35" s="345" t="n"/>
      <c r="B35" s="381" t="inlineStr">
        <is>
          <t>TOTAL BIAYA ADMINISTRASI DAN UMUM</t>
        </is>
      </c>
      <c r="C35" s="382" t="n"/>
      <c r="D35" s="383" t="inlineStr">
        <is>
          <t>Rp</t>
        </is>
      </c>
      <c r="E35" s="384">
        <f>SUM(E30:E34)</f>
        <v/>
      </c>
      <c r="F35" s="348" t="n"/>
      <c r="G35" s="376" t="n"/>
      <c r="H35" s="377" t="inlineStr">
        <is>
          <t>HUTANG PEMEGANG SAHAM</t>
        </is>
      </c>
      <c r="I35" s="371" t="inlineStr">
        <is>
          <t>Rp</t>
        </is>
      </c>
      <c r="J35" s="378" t="n">
        <v>0</v>
      </c>
    </row>
    <row r="36">
      <c r="A36" s="345" t="n"/>
      <c r="B36" s="388" t="n"/>
      <c r="C36" s="364" t="n"/>
      <c r="D36" s="383" t="n"/>
      <c r="E36" s="411" t="n"/>
      <c r="F36" s="348" t="n"/>
      <c r="G36" s="376" t="n"/>
      <c r="H36" s="377" t="inlineStr">
        <is>
          <t>BIAYA YANG MASIH HARUS DI BAYAR</t>
        </is>
      </c>
      <c r="I36" s="371" t="inlineStr">
        <is>
          <t>Rp</t>
        </is>
      </c>
      <c r="J36" s="378" t="n">
        <v>0</v>
      </c>
    </row>
    <row r="37">
      <c r="A37" s="345" t="n"/>
      <c r="B37" s="381" t="inlineStr">
        <is>
          <t>TOTAL BIAYA</t>
        </is>
      </c>
      <c r="C37" s="382" t="n"/>
      <c r="D37" s="383" t="inlineStr">
        <is>
          <t>Rp</t>
        </is>
      </c>
      <c r="E37" s="384">
        <f>E35+E21+E27</f>
        <v/>
      </c>
      <c r="F37" s="348" t="n"/>
      <c r="G37" s="412" t="n"/>
      <c r="H37" s="413" t="n"/>
      <c r="I37" s="412" t="n"/>
      <c r="J37" s="414" t="n"/>
    </row>
    <row r="38">
      <c r="A38" s="345" t="n"/>
      <c r="B38" s="363" t="n"/>
      <c r="C38" s="415" t="n"/>
      <c r="D38" s="365" t="n"/>
      <c r="E38" s="416" t="n"/>
      <c r="F38" s="348" t="n"/>
      <c r="G38" s="390" t="n"/>
      <c r="H38" s="391" t="inlineStr">
        <is>
          <t>TOTAL HUTANG LANCAR</t>
        </is>
      </c>
      <c r="I38" s="417" t="n"/>
      <c r="J38" s="392">
        <f>SUM(J33:J36)</f>
        <v/>
      </c>
    </row>
    <row r="39">
      <c r="A39" s="345" t="n"/>
      <c r="B39" s="386" t="inlineStr">
        <is>
          <t xml:space="preserve">PENDAPATAN/BEBAN LAIN LAIN </t>
        </is>
      </c>
      <c r="C39" s="364" t="n"/>
      <c r="D39" s="371" t="inlineStr">
        <is>
          <t>Rp</t>
        </is>
      </c>
      <c r="E39" s="418" t="n"/>
      <c r="F39" s="348" t="n"/>
      <c r="G39" s="376" t="n"/>
      <c r="H39" s="395" t="n"/>
      <c r="I39" s="419" t="n"/>
      <c r="J39" s="370" t="n"/>
    </row>
    <row r="40">
      <c r="A40" s="345" t="n"/>
      <c r="B40" s="386" t="n"/>
      <c r="C40" s="364" t="inlineStr">
        <is>
          <t>PENDAPATAN LAINNYA</t>
        </is>
      </c>
      <c r="D40" s="371" t="inlineStr">
        <is>
          <t>Rp</t>
        </is>
      </c>
      <c r="E40" s="372" t="n">
        <v>0</v>
      </c>
      <c r="F40" s="348" t="n"/>
      <c r="G40" s="373" t="inlineStr">
        <is>
          <t>MODAL</t>
        </is>
      </c>
      <c r="H40" s="374" t="n"/>
      <c r="I40" s="373" t="n"/>
      <c r="J40" s="375" t="n"/>
    </row>
    <row r="41">
      <c r="A41" s="345" t="n"/>
      <c r="B41" s="386" t="n"/>
      <c r="C41" s="364" t="n"/>
      <c r="D41" s="379" t="n"/>
      <c r="E41" s="420" t="n"/>
      <c r="F41" s="348" t="n"/>
      <c r="G41" s="376" t="n"/>
      <c r="H41" s="377" t="inlineStr">
        <is>
          <t>MODAL SAHAM</t>
        </is>
      </c>
      <c r="I41" s="371" t="inlineStr">
        <is>
          <t>Rp</t>
        </is>
      </c>
      <c r="J41" s="378" t="n">
        <v>0</v>
      </c>
    </row>
    <row r="42">
      <c r="A42" s="345" t="n"/>
      <c r="B42" s="381" t="inlineStr">
        <is>
          <t>LABA RUGI SEBELUM PAJAK</t>
        </is>
      </c>
      <c r="C42" s="382" t="n"/>
      <c r="D42" s="383" t="inlineStr">
        <is>
          <t>Rp</t>
        </is>
      </c>
      <c r="E42" s="384">
        <f>E12-E37</f>
        <v/>
      </c>
      <c r="F42" s="348" t="n"/>
      <c r="G42" s="376" t="n"/>
      <c r="H42" s="377" t="inlineStr">
        <is>
          <t>LABA DI TAHAN</t>
        </is>
      </c>
      <c r="I42" s="371" t="inlineStr">
        <is>
          <t>Rp</t>
        </is>
      </c>
      <c r="J42" s="378" t="n">
        <v>0</v>
      </c>
    </row>
    <row r="43">
      <c r="A43" s="345" t="n"/>
      <c r="B43" s="421" t="n"/>
      <c r="C43" s="415" t="n"/>
      <c r="D43" s="365" t="n"/>
      <c r="E43" s="385" t="n"/>
      <c r="F43" s="348" t="n"/>
      <c r="G43" s="373" t="n"/>
      <c r="H43" s="377" t="inlineStr">
        <is>
          <t>TOTAL LABA (RUGI) DITAHAN</t>
        </is>
      </c>
      <c r="I43" s="379" t="inlineStr">
        <is>
          <t>Rp</t>
        </is>
      </c>
      <c r="J43" s="402">
        <f>J28-J38-J41-J42</f>
        <v/>
      </c>
    </row>
    <row r="44">
      <c r="A44" s="345" t="n"/>
      <c r="B44" s="386" t="inlineStr">
        <is>
          <t>CORPORATE TAX (PPh 29)</t>
        </is>
      </c>
      <c r="D44" s="371" t="inlineStr">
        <is>
          <t>Rp</t>
        </is>
      </c>
      <c r="E44" s="372" t="n">
        <v>0</v>
      </c>
      <c r="F44" s="348" t="n"/>
      <c r="G44" s="390" t="n"/>
      <c r="H44" s="391" t="inlineStr">
        <is>
          <t>TOTAL MODAL</t>
        </is>
      </c>
      <c r="I44" s="383" t="inlineStr">
        <is>
          <t>Rp</t>
        </is>
      </c>
      <c r="J44" s="392">
        <f>SUM(J41:J43)</f>
        <v/>
      </c>
    </row>
    <row r="45">
      <c r="A45" s="345" t="n"/>
      <c r="B45" s="386" t="n"/>
      <c r="C45" s="364" t="n"/>
      <c r="D45" s="379" t="n"/>
      <c r="E45" s="420" t="n"/>
      <c r="F45" s="348" t="n"/>
      <c r="G45" s="376" t="n"/>
      <c r="H45" s="377" t="n"/>
      <c r="I45" s="403" t="n"/>
      <c r="J45" s="404" t="n"/>
    </row>
    <row r="46" ht="15" customHeight="1">
      <c r="A46" s="345" t="n"/>
      <c r="B46" s="422" t="inlineStr">
        <is>
          <t>LABA / RUGI BERSIH</t>
        </is>
      </c>
      <c r="C46" s="423" t="n"/>
      <c r="D46" s="424" t="n"/>
      <c r="E46" s="425">
        <f>E42-E44</f>
        <v/>
      </c>
      <c r="F46" s="348" t="n"/>
      <c r="G46" s="426" t="inlineStr">
        <is>
          <t>TOTAL HUTANG DAN MODAL</t>
        </is>
      </c>
      <c r="H46" s="427" t="n"/>
      <c r="I46" s="424" t="inlineStr">
        <is>
          <t>Rp</t>
        </is>
      </c>
      <c r="J46" s="428">
        <f>J44+J38</f>
        <v/>
      </c>
    </row>
    <row r="47" ht="4.5" customHeight="1">
      <c r="A47" s="345" t="n"/>
      <c r="F47" s="348" t="n"/>
    </row>
    <row r="48" ht="50.65" customHeight="1">
      <c r="A48" s="345" t="n"/>
      <c r="F48" s="348" t="n"/>
      <c r="G48" s="429" t="n"/>
    </row>
    <row r="49" ht="16.75" customHeight="1">
      <c r="A49" s="345" t="n"/>
      <c r="B49" s="430" t="n"/>
      <c r="F49" s="348" t="n"/>
      <c r="G49" s="430" t="n"/>
    </row>
    <row r="50" ht="15.65" customHeight="1">
      <c r="A50" s="364" t="n"/>
      <c r="B50" s="431" t="inlineStr">
        <is>
          <t>Direktur</t>
        </is>
      </c>
      <c r="F50" s="348" t="n"/>
      <c r="G50" s="431" t="inlineStr">
        <is>
          <t>Direktur</t>
        </is>
      </c>
    </row>
    <row r="51">
      <c r="A51" s="364" t="n"/>
      <c r="F51" s="348" t="n"/>
    </row>
    <row r="52">
      <c r="A52" s="364" t="n"/>
      <c r="F52" s="348" t="n"/>
      <c r="J52" s="432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5" customHeight="1">
      <c r="A3" s="345" t="n"/>
      <c r="B3" s="347" t="inlineStr">
        <is>
          <t>PT. EXSPAN WIRELINE INDONESIA</t>
        </is>
      </c>
      <c r="F3" s="348" t="n"/>
    </row>
    <row r="4" ht="20.5" customHeight="1">
      <c r="A4" s="345" t="n"/>
      <c r="B4" s="350" t="inlineStr">
        <is>
          <t>BUSINESS SUMMARY | TAHUN 2024</t>
        </is>
      </c>
      <c r="F4" s="348" t="n"/>
    </row>
    <row r="5" ht="6" customHeight="1">
      <c r="A5" s="345" t="n"/>
      <c r="B5" s="345" t="n"/>
      <c r="C5" s="345" t="n"/>
      <c r="D5" s="345" t="n"/>
      <c r="E5" s="346" t="n"/>
      <c r="F5" s="348" t="n"/>
    </row>
    <row r="6" ht="20" customHeight="1">
      <c r="A6" s="345" t="n"/>
      <c r="B6" s="433" t="inlineStr">
        <is>
          <t>#</t>
        </is>
      </c>
      <c r="C6" s="433" t="inlineStr">
        <is>
          <t>Items</t>
        </is>
      </c>
      <c r="D6" s="434" t="inlineStr">
        <is>
          <t>Amount</t>
        </is>
      </c>
      <c r="E6" s="227" t="n"/>
      <c r="F6" s="348" t="n"/>
    </row>
    <row r="7" ht="20" customHeight="1">
      <c r="A7" s="345" t="n"/>
      <c r="B7" s="435" t="n">
        <v>1</v>
      </c>
      <c r="C7" s="436" t="inlineStr">
        <is>
          <t>Revenue</t>
        </is>
      </c>
      <c r="D7" s="437" t="inlineStr">
        <is>
          <t>Rp</t>
        </is>
      </c>
      <c r="E7" s="438">
        <f>SUM('Revenue-Cost_2024'!L8:L21)</f>
        <v/>
      </c>
      <c r="F7" s="348" t="n"/>
    </row>
    <row r="8" ht="20" customHeight="1">
      <c r="A8" s="345" t="n"/>
      <c r="B8" s="435" t="n">
        <v>2</v>
      </c>
      <c r="C8" s="436" t="inlineStr">
        <is>
          <t>Revenue Diterima (Setelah Pajak)</t>
        </is>
      </c>
      <c r="D8" s="437" t="inlineStr">
        <is>
          <t>Rp</t>
        </is>
      </c>
      <c r="E8" s="438">
        <f>E7-SUM('Revenue-Cost_2024'!N8:N21)</f>
        <v/>
      </c>
      <c r="F8" s="348" t="n"/>
    </row>
    <row r="9" ht="20" customHeight="1">
      <c r="A9" s="345" t="n"/>
      <c r="B9" s="435" t="n">
        <v>3</v>
      </c>
      <c r="C9" s="436" t="inlineStr">
        <is>
          <t>Biaya</t>
        </is>
      </c>
      <c r="D9" s="437" t="inlineStr">
        <is>
          <t>Rp</t>
        </is>
      </c>
      <c r="E9" s="438">
        <f>SUM('Revenue-Cost_2024'!I638:Q638)</f>
        <v/>
      </c>
      <c r="F9" s="348" t="n"/>
    </row>
    <row r="10" ht="20" customHeight="1">
      <c r="A10" s="345" t="n"/>
      <c r="B10" s="435" t="n">
        <v>4</v>
      </c>
      <c r="C10" s="436" t="inlineStr">
        <is>
          <t>Profit SebelumTax</t>
        </is>
      </c>
      <c r="D10" s="437" t="inlineStr">
        <is>
          <t>Rp</t>
        </is>
      </c>
      <c r="E10" s="438">
        <f>E7-E9</f>
        <v/>
      </c>
      <c r="F10" s="348" t="n"/>
    </row>
    <row r="11" ht="20" customHeight="1">
      <c r="A11" s="345" t="n"/>
      <c r="B11" s="435" t="n">
        <v>5</v>
      </c>
      <c r="C11" s="436" t="inlineStr">
        <is>
          <t>PPh Badan (22%*50%)</t>
        </is>
      </c>
      <c r="D11" s="437" t="inlineStr">
        <is>
          <t>Rp</t>
        </is>
      </c>
      <c r="E11" s="438">
        <f>E10*22%*50%</f>
        <v/>
      </c>
      <c r="F11" s="348" t="n"/>
    </row>
    <row r="12" ht="20" customHeight="1">
      <c r="A12" s="345" t="n"/>
      <c r="B12" s="435" t="n">
        <v>6</v>
      </c>
      <c r="C12" s="436" t="inlineStr">
        <is>
          <t>PPh 23 Dipotong oleh client</t>
        </is>
      </c>
      <c r="D12" s="437" t="inlineStr">
        <is>
          <t>Rp</t>
        </is>
      </c>
      <c r="E12" s="438">
        <f>SUM('Revenue-Cost_2024'!N8:N21)</f>
        <v/>
      </c>
      <c r="F12" s="348" t="n"/>
    </row>
    <row r="13" ht="20" customHeight="1">
      <c r="A13" s="345" t="n"/>
      <c r="B13" s="435" t="n">
        <v>7</v>
      </c>
      <c r="C13" s="436" t="inlineStr">
        <is>
          <t>Kekurangan Bayar PPh Badan</t>
        </is>
      </c>
      <c r="D13" s="437" t="inlineStr">
        <is>
          <t>Rp</t>
        </is>
      </c>
      <c r="E13" s="439">
        <f>E11-E12</f>
        <v/>
      </c>
      <c r="F13" s="348" t="n"/>
    </row>
    <row r="14" ht="20" customHeight="1">
      <c r="A14" s="345" t="n"/>
      <c r="B14" s="435" t="n">
        <v>8</v>
      </c>
      <c r="C14" s="436" t="inlineStr">
        <is>
          <t>Profit After Tax</t>
        </is>
      </c>
      <c r="D14" s="437" t="inlineStr">
        <is>
          <t>Rp</t>
        </is>
      </c>
      <c r="E14" s="438">
        <f>E10-E13</f>
        <v/>
      </c>
      <c r="F14" s="348" t="n"/>
    </row>
    <row r="15" ht="20" customHeight="1">
      <c r="A15" s="345" t="n"/>
      <c r="B15" s="435" t="n">
        <v>9</v>
      </c>
      <c r="C15" s="436" t="inlineStr">
        <is>
          <t>Deviden Dibagi</t>
        </is>
      </c>
      <c r="D15" s="437" t="inlineStr">
        <is>
          <t>Rp</t>
        </is>
      </c>
      <c r="E15" s="438">
        <f>E14-E16</f>
        <v/>
      </c>
      <c r="F15" s="348" t="n"/>
    </row>
    <row r="16" ht="20" customHeight="1">
      <c r="A16" s="345" t="n"/>
      <c r="B16" s="435" t="n">
        <v>10</v>
      </c>
      <c r="C16" s="436" t="inlineStr">
        <is>
          <t>Profit Ditahan</t>
        </is>
      </c>
      <c r="D16" s="437" t="inlineStr">
        <is>
          <t>Rp</t>
        </is>
      </c>
      <c r="E16" s="438" t="n">
        <v>33763737</v>
      </c>
      <c r="F16" s="348" t="n"/>
    </row>
    <row r="17">
      <c r="A17" s="345" t="n"/>
      <c r="B17" s="345" t="n"/>
      <c r="C17" s="345" t="n"/>
      <c r="D17" s="345" t="n"/>
      <c r="E17" s="346" t="n"/>
      <c r="F17" s="348" t="n"/>
    </row>
    <row r="18" ht="18" customHeight="1">
      <c r="A18" s="345" t="n"/>
      <c r="B18" s="440" t="inlineStr">
        <is>
          <t>DEVIDEN</t>
        </is>
      </c>
      <c r="F18" s="348" t="n"/>
    </row>
    <row r="19" ht="20" customHeight="1">
      <c r="A19" s="345" t="n"/>
      <c r="B19" s="441" t="inlineStr">
        <is>
          <t>#</t>
        </is>
      </c>
      <c r="C19" s="441" t="inlineStr">
        <is>
          <t>Nama Lengkap</t>
        </is>
      </c>
      <c r="D19" s="442" t="inlineStr"/>
      <c r="E19" s="443" t="inlineStr">
        <is>
          <t>Amount</t>
        </is>
      </c>
      <c r="F19" s="348" t="inlineStr"/>
      <c r="G19" s="444" t="inlineStr">
        <is>
          <t>Pajak</t>
        </is>
      </c>
    </row>
    <row r="20" ht="19" customHeight="1">
      <c r="A20" s="345" t="n"/>
      <c r="B20" s="445" t="n">
        <v>1</v>
      </c>
      <c r="C20" s="446" t="inlineStr">
        <is>
          <t>Anevril Chairulsyah</t>
        </is>
      </c>
      <c r="D20" s="447" t="inlineStr">
        <is>
          <t>Rp</t>
        </is>
      </c>
      <c r="E20" s="448">
        <f>IF(C20="","",ROUND($E$15/COUNTA($C$20:$C$21), 0))</f>
        <v/>
      </c>
      <c r="F20" s="348" t="n"/>
      <c r="G20" s="449" t="inlineStr">
        <is>
          <t>Pajak 10%</t>
        </is>
      </c>
    </row>
    <row r="21" ht="20" customHeight="1">
      <c r="A21" s="364" t="n"/>
      <c r="B21" s="450" t="n">
        <v>2</v>
      </c>
      <c r="C21" s="451" t="inlineStr">
        <is>
          <t>Alan Muhadjir</t>
        </is>
      </c>
      <c r="D21" s="452" t="inlineStr">
        <is>
          <t>Rp</t>
        </is>
      </c>
      <c r="E21" s="453">
        <f>IF(C21="","",ROUND($E$15/COUNTA($C$20:$C$21), 0))</f>
        <v/>
      </c>
      <c r="F21" s="348" t="n"/>
      <c r="G21" t="inlineStr">
        <is>
          <t>Pajak 10%</t>
        </is>
      </c>
    </row>
    <row r="22">
      <c r="A22" s="364" t="n"/>
      <c r="F22" s="34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2026-04-18T12:00:42Z</dcterms:modified>
  <cp:lastModifiedBy>Diofavian - Student</cp:lastModifiedBy>
</cp:coreProperties>
</file>