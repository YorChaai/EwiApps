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8" borderId="20" applyAlignment="1" pivotButton="0" quotePrefix="0" xfId="0">
      <alignment horizontal="center" vertical="center"/>
    </xf>
    <xf numFmtId="0" fontId="8" fillId="8" borderId="20" pivotButton="0" quotePrefix="0" xfId="0"/>
    <xf numFmtId="0" fontId="36" fillId="8" borderId="20" pivotButton="0" quotePrefix="0" xfId="0"/>
    <xf numFmtId="168" fontId="10" fillId="8" borderId="20" pivotButton="0" quotePrefix="0" xfId="0"/>
    <xf numFmtId="0" fontId="10" fillId="8" borderId="20" applyAlignment="1" pivotButton="0" quotePrefix="0" xfId="0">
      <alignment horizontal="center" vertical="top"/>
    </xf>
    <xf numFmtId="3" fontId="10" fillId="8" borderId="20" applyAlignment="1" pivotButton="0" quotePrefix="0" xfId="0">
      <alignment horizontal="center"/>
    </xf>
    <xf numFmtId="165" fontId="8" fillId="8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3" fontId="0" fillId="0" borderId="20" pivotButton="0" quotePrefix="0" xfId="0"/>
    <xf numFmtId="165" fontId="10" fillId="6" borderId="20" pivotButton="0" quotePrefix="0" xfId="2"/>
    <xf numFmtId="0" fontId="17" fillId="6" borderId="20" pivotButton="0" quotePrefix="0" xfId="0"/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15" fontId="10" fillId="0" borderId="20" applyAlignment="1" pivotButton="0" quotePrefix="0" xfId="0">
      <alignment horizontal="right" vertical="center"/>
    </xf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20" pivotButton="0" quotePrefix="0" xfId="0"/>
    <xf numFmtId="15" fontId="10" fillId="6" borderId="20" pivotButton="0" quotePrefix="0" xfId="0"/>
    <xf numFmtId="0" fontId="16" fillId="6" borderId="20" pivotButton="0" quotePrefix="0" xfId="0"/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69" t="inlineStr">
        <is>
          <t>Expense#1</t>
        </is>
      </c>
      <c r="C98" s="370" t="inlineStr">
        <is>
          <t>:</t>
        </is>
      </c>
      <c r="D98" s="371" t="inlineStr">
        <is>
          <t>asdasd</t>
        </is>
      </c>
      <c r="E98" s="372" t="n"/>
      <c r="F98" s="373" t="n"/>
      <c r="G98" s="374" t="n"/>
      <c r="H98" s="375" t="n"/>
      <c r="I98" s="376" t="n"/>
      <c r="J98" s="376" t="n"/>
      <c r="K98" s="376" t="n"/>
      <c r="L98" s="376" t="n"/>
      <c r="M98" s="376" t="n"/>
      <c r="N98" s="376" t="n"/>
      <c r="O98" s="376" t="n"/>
      <c r="P98" s="376" t="n"/>
      <c r="Q98" s="376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77" t="n"/>
      <c r="C99" s="378" t="n"/>
      <c r="D99" s="379" t="inlineStr">
        <is>
          <t>asdasda</t>
        </is>
      </c>
      <c r="E99" s="380" t="n"/>
      <c r="F99" s="381" t="n"/>
      <c r="G99" s="378" t="n"/>
      <c r="H99" s="378" t="n"/>
      <c r="I99" s="382" t="n"/>
      <c r="J99" s="382" t="n"/>
      <c r="K99" s="383" t="n"/>
      <c r="L99" s="383" t="n"/>
      <c r="M99" s="383" t="n"/>
      <c r="N99" s="383" t="n"/>
      <c r="O99" s="383" t="n"/>
      <c r="P99" s="383" t="n"/>
      <c r="Q99" s="383" t="n"/>
      <c r="R99" s="384" t="n"/>
      <c r="S99" s="384" t="n"/>
      <c r="T99" s="384" t="n"/>
      <c r="U99" s="384" t="n"/>
      <c r="V99" s="384" t="n"/>
      <c r="W99" s="384" t="n"/>
      <c r="X99" s="384" t="n"/>
    </row>
    <row r="100" ht="15.5" customHeight="1" s="297">
      <c r="A100" s="385" t="n"/>
      <c r="B100" s="386" t="n">
        <v>46100</v>
      </c>
      <c r="C100" s="387" t="n">
        <v>1</v>
      </c>
      <c r="D100" s="388" t="inlineStr">
        <is>
          <t>asdasda</t>
        </is>
      </c>
      <c r="E100" s="388" t="n"/>
      <c r="F100" s="389" t="n">
        <v>123123123</v>
      </c>
      <c r="G100" s="387" t="inlineStr">
        <is>
          <t>IDR</t>
        </is>
      </c>
      <c r="H100" s="390" t="n">
        <v>1</v>
      </c>
      <c r="I100" s="343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91" t="n">
        <v>123123123</v>
      </c>
      <c r="W100" s="345" t="n"/>
      <c r="X100" s="345" t="n"/>
    </row>
    <row r="101" hidden="1" ht="15.5" customHeight="1" s="297">
      <c r="B101" s="386" t="n"/>
      <c r="C101" s="387" t="n"/>
      <c r="D101" s="388" t="n"/>
      <c r="E101" s="388" t="n"/>
      <c r="F101" s="392" t="n"/>
      <c r="G101" s="387" t="n"/>
      <c r="H101" s="387" t="n"/>
      <c r="I101" s="343" t="n"/>
      <c r="J101" s="342" t="n"/>
      <c r="K101" s="344" t="n"/>
      <c r="L101" s="344" t="n"/>
      <c r="M101" s="344" t="n"/>
      <c r="N101" s="344" t="n"/>
      <c r="O101" s="344" t="n"/>
      <c r="P101" s="344" t="n"/>
      <c r="Q101" s="344" t="n"/>
      <c r="R101" s="345" t="n"/>
      <c r="S101" s="345" t="n"/>
      <c r="T101" s="345" t="n"/>
      <c r="U101" s="345" t="n"/>
      <c r="V101" s="345" t="n"/>
      <c r="W101" s="345" t="n"/>
      <c r="X101" s="345" t="n"/>
    </row>
    <row r="102" hidden="1" ht="15.5" customHeight="1" s="297">
      <c r="B102" s="386" t="n"/>
      <c r="C102" s="387" t="n"/>
      <c r="D102" s="388" t="n"/>
      <c r="E102" s="388" t="n"/>
      <c r="F102" s="392" t="n"/>
      <c r="G102" s="387" t="n"/>
      <c r="H102" s="387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6" t="n"/>
      <c r="C103" s="387" t="n"/>
      <c r="D103" s="393" t="n"/>
      <c r="E103" s="393" t="n"/>
      <c r="F103" s="392" t="n"/>
      <c r="G103" s="387" t="n"/>
      <c r="H103" s="387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6" t="n"/>
      <c r="C104" s="387" t="n"/>
      <c r="D104" s="388" t="n"/>
      <c r="E104" s="388" t="n"/>
      <c r="F104" s="392" t="n"/>
      <c r="G104" s="387" t="n"/>
      <c r="H104" s="387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6" t="n"/>
      <c r="C105" s="387" t="n"/>
      <c r="D105" s="388" t="n"/>
      <c r="E105" s="388" t="n"/>
      <c r="F105" s="392" t="n"/>
      <c r="G105" s="387" t="n"/>
      <c r="H105" s="387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6" t="n"/>
      <c r="C106" s="387" t="n"/>
      <c r="D106" s="388" t="n"/>
      <c r="E106" s="388" t="n"/>
      <c r="F106" s="392" t="n"/>
      <c r="G106" s="387" t="n"/>
      <c r="H106" s="387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6" t="n"/>
      <c r="C107" s="387" t="n"/>
      <c r="D107" s="388" t="n"/>
      <c r="E107" s="388" t="n"/>
      <c r="F107" s="392" t="n"/>
      <c r="G107" s="387" t="n"/>
      <c r="H107" s="387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6" t="n"/>
      <c r="C108" s="387" t="n"/>
      <c r="D108" s="388" t="n"/>
      <c r="E108" s="388" t="n"/>
      <c r="F108" s="394" t="n"/>
      <c r="G108" s="387" t="n"/>
      <c r="H108" s="387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6" t="n"/>
      <c r="C109" s="387" t="n"/>
      <c r="D109" s="388" t="n"/>
      <c r="E109" s="388" t="n"/>
      <c r="F109" s="394" t="n"/>
      <c r="G109" s="387" t="n"/>
      <c r="H109" s="387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6" t="n"/>
      <c r="C110" s="387" t="n"/>
      <c r="D110" s="395" t="n"/>
      <c r="E110" s="395" t="n"/>
      <c r="F110" s="392" t="n"/>
      <c r="G110" s="387" t="n"/>
      <c r="H110" s="387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6" t="n"/>
      <c r="C111" s="387" t="n"/>
      <c r="D111" s="388" t="n"/>
      <c r="E111" s="388" t="n"/>
      <c r="F111" s="392" t="n"/>
      <c r="G111" s="387" t="n"/>
      <c r="H111" s="387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6" t="n"/>
      <c r="C112" s="387" t="n"/>
      <c r="D112" s="388" t="n"/>
      <c r="E112" s="388" t="n"/>
      <c r="F112" s="392" t="n"/>
      <c r="G112" s="387" t="n"/>
      <c r="H112" s="387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6" t="n"/>
      <c r="C113" s="387" t="n"/>
      <c r="D113" s="388" t="n"/>
      <c r="E113" s="388" t="n"/>
      <c r="F113" s="392" t="n"/>
      <c r="G113" s="387" t="n"/>
      <c r="H113" s="387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6" t="n"/>
      <c r="C114" s="387" t="n"/>
      <c r="D114" s="395" t="n"/>
      <c r="E114" s="395" t="n"/>
      <c r="F114" s="392" t="n"/>
      <c r="G114" s="387" t="n"/>
      <c r="H114" s="387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6" t="n"/>
      <c r="C115" s="387" t="n"/>
      <c r="D115" s="396" t="n"/>
      <c r="E115" s="396" t="n"/>
      <c r="F115" s="392" t="n"/>
      <c r="G115" s="387" t="n"/>
      <c r="H115" s="387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6" t="n"/>
      <c r="C116" s="387" t="n"/>
      <c r="D116" s="396" t="n"/>
      <c r="E116" s="396" t="n"/>
      <c r="F116" s="392" t="n"/>
      <c r="G116" s="387" t="n"/>
      <c r="H116" s="387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6" t="n"/>
      <c r="C117" s="387" t="n"/>
      <c r="D117" s="396" t="n"/>
      <c r="E117" s="396" t="n"/>
      <c r="F117" s="392" t="n"/>
      <c r="G117" s="387" t="n"/>
      <c r="H117" s="387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6" t="n"/>
      <c r="C118" s="387" t="n"/>
      <c r="D118" s="396" t="n"/>
      <c r="E118" s="396" t="n"/>
      <c r="F118" s="392" t="n"/>
      <c r="G118" s="387" t="n"/>
      <c r="H118" s="387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6" t="n"/>
      <c r="C119" s="387" t="n"/>
      <c r="D119" s="396" t="n"/>
      <c r="E119" s="396" t="n"/>
      <c r="F119" s="392" t="n"/>
      <c r="G119" s="387" t="n"/>
      <c r="H119" s="387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6" t="n"/>
      <c r="C120" s="387" t="n"/>
      <c r="D120" s="396" t="n"/>
      <c r="E120" s="396" t="n"/>
      <c r="F120" s="392" t="n"/>
      <c r="G120" s="387" t="n"/>
      <c r="H120" s="387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6" t="n"/>
      <c r="C121" s="387" t="n"/>
      <c r="D121" s="395" t="n"/>
      <c r="E121" s="395" t="n"/>
      <c r="F121" s="392" t="n"/>
      <c r="G121" s="387" t="n"/>
      <c r="H121" s="387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6" t="n"/>
      <c r="C122" s="387" t="n"/>
      <c r="D122" s="388" t="n"/>
      <c r="E122" s="388" t="n"/>
      <c r="F122" s="397" t="n"/>
      <c r="G122" s="387" t="n"/>
      <c r="H122" s="387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6" t="n"/>
      <c r="C123" s="387" t="n"/>
      <c r="D123" s="395" t="n"/>
      <c r="E123" s="395" t="n"/>
      <c r="F123" s="392" t="n"/>
      <c r="G123" s="387" t="n"/>
      <c r="H123" s="387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6" t="n"/>
      <c r="C124" s="387" t="n"/>
      <c r="D124" s="388" t="n"/>
      <c r="E124" s="388" t="n"/>
      <c r="F124" s="392" t="n"/>
      <c r="G124" s="387" t="n"/>
      <c r="H124" s="387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6" t="n"/>
      <c r="C125" s="387" t="n"/>
      <c r="D125" s="395" t="n"/>
      <c r="E125" s="395" t="n"/>
      <c r="F125" s="392" t="n"/>
      <c r="G125" s="387" t="n"/>
      <c r="H125" s="387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6" t="n"/>
      <c r="C126" s="387" t="n"/>
      <c r="D126" s="388" t="n"/>
      <c r="E126" s="388" t="n"/>
      <c r="F126" s="392" t="n"/>
      <c r="G126" s="387" t="n"/>
      <c r="H126" s="398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69" t="inlineStr">
        <is>
          <t>Expense#2</t>
        </is>
      </c>
      <c r="C127" s="370" t="inlineStr">
        <is>
          <t>:</t>
        </is>
      </c>
      <c r="D127" s="371" t="inlineStr">
        <is>
          <t>kerja ke goweel</t>
        </is>
      </c>
      <c r="E127" s="372" t="n"/>
      <c r="F127" s="373" t="n"/>
      <c r="G127" s="356" t="n"/>
      <c r="H127" s="356" t="n"/>
      <c r="I127" s="399" t="n"/>
      <c r="J127" s="376" t="n"/>
      <c r="K127" s="361" t="n"/>
      <c r="L127" s="361" t="n"/>
      <c r="M127" s="399" t="n"/>
      <c r="N127" s="361" t="n"/>
      <c r="O127" s="361" t="n"/>
      <c r="P127" s="361" t="n"/>
      <c r="Q127" s="361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77" t="n"/>
      <c r="C128" s="378" t="n"/>
      <c r="D128" s="379" t="inlineStr">
        <is>
          <t>Biaya Bank</t>
        </is>
      </c>
      <c r="E128" s="400" t="n"/>
      <c r="F128" s="381" t="n"/>
      <c r="G128" s="378" t="n"/>
      <c r="H128" s="378" t="n"/>
      <c r="I128" s="401" t="n"/>
      <c r="J128" s="382" t="n"/>
      <c r="K128" s="383" t="n"/>
      <c r="L128" s="383" t="n"/>
      <c r="M128" s="401" t="n"/>
      <c r="N128" s="383" t="n"/>
      <c r="O128" s="383" t="n"/>
      <c r="P128" s="383" t="n"/>
      <c r="Q128" s="383" t="n"/>
      <c r="R128" s="384" t="n"/>
      <c r="S128" s="384" t="n"/>
      <c r="T128" s="384" t="n"/>
      <c r="U128" s="384" t="n"/>
      <c r="V128" s="384" t="n"/>
      <c r="W128" s="384" t="n"/>
      <c r="X128" s="384" t="n"/>
    </row>
    <row r="129" ht="15.5" customHeight="1" s="297">
      <c r="B129" s="386" t="n">
        <v>46093</v>
      </c>
      <c r="C129" s="387" t="n">
        <v>1</v>
      </c>
      <c r="D129" s="388" t="inlineStr">
        <is>
          <t>23000</t>
        </is>
      </c>
      <c r="E129" s="388" t="n"/>
      <c r="F129" s="389" t="n">
        <v>200000</v>
      </c>
      <c r="G129" s="387" t="inlineStr">
        <is>
          <t>IDR</t>
        </is>
      </c>
      <c r="H129" s="390" t="n">
        <v>1</v>
      </c>
      <c r="I129" s="343" t="n"/>
      <c r="J129" s="344" t="n"/>
      <c r="K129" s="344" t="n"/>
      <c r="L129" s="344" t="n"/>
      <c r="M129" s="402" t="n">
        <v>200000</v>
      </c>
      <c r="N129" s="344" t="n"/>
      <c r="O129" s="344" t="n"/>
      <c r="P129" s="344" t="n"/>
      <c r="Q129" s="344" t="n"/>
      <c r="R129" s="345" t="n"/>
      <c r="S129" s="345" t="n"/>
      <c r="T129" s="345" t="n"/>
      <c r="U129" s="345" t="n"/>
      <c r="V129" s="345" t="n"/>
      <c r="W129" s="345" t="n"/>
      <c r="X129" s="345" t="n"/>
    </row>
    <row r="130" ht="15.5" customHeight="1" s="297">
      <c r="A130" s="385" t="n"/>
      <c r="B130" s="377" t="n"/>
      <c r="C130" s="378" t="n"/>
      <c r="D130" s="379" t="inlineStr">
        <is>
          <t>Pembuatan Alat</t>
        </is>
      </c>
      <c r="E130" s="400" t="n"/>
      <c r="F130" s="381" t="n"/>
      <c r="G130" s="378" t="n"/>
      <c r="H130" s="378" t="n"/>
      <c r="I130" s="401" t="n"/>
      <c r="J130" s="382" t="n"/>
      <c r="K130" s="383" t="n"/>
      <c r="L130" s="383" t="n"/>
      <c r="M130" s="401" t="n"/>
      <c r="N130" s="383" t="n"/>
      <c r="O130" s="383" t="n"/>
      <c r="P130" s="383" t="n"/>
      <c r="Q130" s="383" t="n"/>
      <c r="R130" s="384" t="n"/>
      <c r="S130" s="384" t="n"/>
      <c r="T130" s="384" t="n"/>
      <c r="U130" s="384" t="n"/>
      <c r="V130" s="384" t="n"/>
      <c r="W130" s="384" t="n"/>
      <c r="X130" s="384" t="n"/>
    </row>
    <row r="131" ht="15.5" customHeight="1" s="297">
      <c r="A131" s="385" t="n"/>
      <c r="B131" s="386" t="n">
        <v>46093</v>
      </c>
      <c r="C131" s="387" t="n">
        <v>2</v>
      </c>
      <c r="D131" s="388" t="inlineStr">
        <is>
          <t>123123</t>
        </is>
      </c>
      <c r="E131" s="388" t="n"/>
      <c r="F131" s="389" t="n">
        <v>544000</v>
      </c>
      <c r="G131" s="387" t="inlineStr">
        <is>
          <t>USD</t>
        </is>
      </c>
      <c r="H131" s="390" t="n">
        <v>16000</v>
      </c>
      <c r="I131" s="403" t="n">
        <v>544000</v>
      </c>
      <c r="J131" s="344" t="n"/>
      <c r="K131" s="344" t="n"/>
      <c r="L131" s="344" t="n"/>
      <c r="M131" s="402" t="n"/>
      <c r="N131" s="344" t="n"/>
      <c r="O131" s="344" t="n"/>
      <c r="P131" s="344" t="n"/>
      <c r="Q131" s="344" t="n"/>
      <c r="R131" s="345" t="n"/>
      <c r="S131" s="345" t="n"/>
      <c r="T131" s="345" t="n"/>
      <c r="U131" s="345" t="n"/>
      <c r="V131" s="345" t="n"/>
      <c r="W131" s="345" t="n"/>
      <c r="X131" s="345" t="n"/>
    </row>
    <row r="132" hidden="1" ht="15.5" customHeight="1" s="297">
      <c r="B132" s="386" t="n"/>
      <c r="C132" s="387" t="n"/>
      <c r="D132" s="388" t="n"/>
      <c r="E132" s="388" t="n"/>
      <c r="F132" s="392" t="n"/>
      <c r="G132" s="387" t="n"/>
      <c r="H132" s="387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6" t="n"/>
      <c r="C133" s="387" t="n"/>
      <c r="D133" s="388" t="n"/>
      <c r="E133" s="388" t="n"/>
      <c r="F133" s="394" t="n"/>
      <c r="G133" s="387" t="n"/>
      <c r="H133" s="387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6" t="n"/>
      <c r="C134" s="387" t="n"/>
      <c r="D134" s="388" t="n"/>
      <c r="E134" s="388" t="n"/>
      <c r="F134" s="394" t="n"/>
      <c r="G134" s="387" t="n"/>
      <c r="H134" s="387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6" t="n"/>
      <c r="C135" s="387" t="n"/>
      <c r="D135" s="395" t="n"/>
      <c r="E135" s="395" t="n"/>
      <c r="F135" s="392" t="n"/>
      <c r="G135" s="387" t="n"/>
      <c r="H135" s="387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6" t="n"/>
      <c r="C136" s="387" t="n"/>
      <c r="D136" s="388" t="n"/>
      <c r="E136" s="388" t="n"/>
      <c r="F136" s="392" t="n"/>
      <c r="G136" s="387" t="n"/>
      <c r="H136" s="387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6" t="n"/>
      <c r="C137" s="387" t="n"/>
      <c r="D137" s="395" t="n"/>
      <c r="E137" s="395" t="n"/>
      <c r="F137" s="392" t="n"/>
      <c r="G137" s="387" t="n"/>
      <c r="H137" s="387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6" t="n"/>
      <c r="C138" s="387" t="n"/>
      <c r="D138" s="396" t="n"/>
      <c r="E138" s="396" t="n"/>
      <c r="F138" s="392" t="n"/>
      <c r="G138" s="387" t="n"/>
      <c r="H138" s="387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6" t="n"/>
      <c r="C139" s="387" t="n"/>
      <c r="D139" s="396" t="n"/>
      <c r="E139" s="396" t="n"/>
      <c r="F139" s="392" t="n"/>
      <c r="G139" s="387" t="n"/>
      <c r="H139" s="387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6" t="n"/>
      <c r="C140" s="387" t="n"/>
      <c r="D140" s="396" t="n"/>
      <c r="E140" s="396" t="n"/>
      <c r="F140" s="392" t="n"/>
      <c r="G140" s="387" t="n"/>
      <c r="H140" s="387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6" t="n"/>
      <c r="C141" s="387" t="n"/>
      <c r="D141" s="395" t="n"/>
      <c r="E141" s="395" t="n"/>
      <c r="F141" s="392" t="n"/>
      <c r="G141" s="387" t="n"/>
      <c r="H141" s="387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6" t="n"/>
      <c r="C142" s="387" t="n"/>
      <c r="D142" s="388" t="n"/>
      <c r="E142" s="388" t="n"/>
      <c r="F142" s="392" t="n"/>
      <c r="G142" s="387" t="n"/>
      <c r="H142" s="387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6" t="n"/>
      <c r="C143" s="387" t="n"/>
      <c r="D143" s="395" t="n"/>
      <c r="E143" s="395" t="n"/>
      <c r="F143" s="392" t="n"/>
      <c r="G143" s="387" t="n"/>
      <c r="H143" s="387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6" t="n"/>
      <c r="C144" s="387" t="n"/>
      <c r="D144" s="388" t="n"/>
      <c r="E144" s="388" t="n"/>
      <c r="F144" s="392" t="n"/>
      <c r="G144" s="387" t="n"/>
      <c r="H144" s="398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69" t="inlineStr">
        <is>
          <t>Expense#3</t>
        </is>
      </c>
      <c r="C145" s="370" t="inlineStr">
        <is>
          <t>:</t>
        </is>
      </c>
      <c r="D145" s="371" t="inlineStr">
        <is>
          <t>kerja sampingan</t>
        </is>
      </c>
      <c r="E145" s="372" t="n"/>
      <c r="F145" s="373" t="n"/>
      <c r="G145" s="356" t="n"/>
      <c r="H145" s="356" t="n"/>
      <c r="I145" s="376" t="n"/>
      <c r="J145" s="376" t="n"/>
      <c r="K145" s="361" t="n"/>
      <c r="L145" s="361" t="n"/>
      <c r="M145" s="399" t="n"/>
      <c r="N145" s="361" t="n"/>
      <c r="O145" s="361" t="n"/>
      <c r="P145" s="361" t="n"/>
      <c r="Q145" s="361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404" t="n"/>
      <c r="C146" s="378" t="n"/>
      <c r="D146" s="379" t="inlineStr">
        <is>
          <t>Hand Tools</t>
        </is>
      </c>
      <c r="E146" s="400" t="n"/>
      <c r="F146" s="381" t="n"/>
      <c r="G146" s="378" t="n"/>
      <c r="H146" s="378" t="n"/>
      <c r="I146" s="382" t="n"/>
      <c r="J146" s="382" t="n"/>
      <c r="K146" s="383" t="n"/>
      <c r="L146" s="383" t="n"/>
      <c r="M146" s="401" t="n"/>
      <c r="N146" s="383" t="n"/>
      <c r="O146" s="383" t="n"/>
      <c r="P146" s="383" t="n"/>
      <c r="Q146" s="383" t="n"/>
      <c r="R146" s="384" t="n"/>
      <c r="S146" s="384" t="n"/>
      <c r="T146" s="384" t="n"/>
      <c r="U146" s="384" t="n"/>
      <c r="V146" s="384" t="n"/>
      <c r="W146" s="384" t="n"/>
      <c r="X146" s="384" t="n"/>
    </row>
    <row r="147" ht="15.5" customHeight="1" s="297">
      <c r="B147" s="386" t="n">
        <v>46099</v>
      </c>
      <c r="C147" s="387" t="n">
        <v>1</v>
      </c>
      <c r="D147" s="388" t="inlineStr">
        <is>
          <t>asdasd11</t>
        </is>
      </c>
      <c r="E147" s="388" t="n"/>
      <c r="F147" s="389" t="n">
        <v>1231231</v>
      </c>
      <c r="G147" s="387" t="inlineStr">
        <is>
          <t>IDR</t>
        </is>
      </c>
      <c r="H147" s="390" t="n">
        <v>1</v>
      </c>
      <c r="I147" s="343" t="n"/>
      <c r="J147" s="342" t="n"/>
      <c r="K147" s="344" t="n"/>
      <c r="L147" s="344" t="n"/>
      <c r="M147" s="343" t="n"/>
      <c r="N147" s="402" t="n">
        <v>1231231</v>
      </c>
      <c r="O147" s="344" t="n"/>
      <c r="P147" s="344" t="n"/>
      <c r="Q147" s="344" t="n"/>
      <c r="R147" s="345" t="n"/>
      <c r="S147" s="345" t="n"/>
      <c r="T147" s="345" t="n"/>
      <c r="U147" s="345" t="n"/>
      <c r="V147" s="345" t="n"/>
      <c r="W147" s="345" t="n"/>
      <c r="X147" s="345" t="n"/>
    </row>
    <row r="148" hidden="1" ht="15.5" customHeight="1" s="297">
      <c r="B148" s="386" t="n"/>
      <c r="C148" s="387" t="n"/>
      <c r="D148" s="388" t="n"/>
      <c r="E148" s="388" t="n"/>
      <c r="F148" s="392" t="n"/>
      <c r="G148" s="387" t="n"/>
      <c r="H148" s="387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6" t="n"/>
      <c r="C149" s="387" t="n"/>
      <c r="D149" s="395" t="n"/>
      <c r="E149" s="395" t="n"/>
      <c r="F149" s="392" t="n"/>
      <c r="G149" s="387" t="n"/>
      <c r="H149" s="387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6" t="n"/>
      <c r="C150" s="387" t="n"/>
      <c r="D150" s="388" t="n"/>
      <c r="E150" s="388" t="n"/>
      <c r="F150" s="392" t="n"/>
      <c r="G150" s="387" t="n"/>
      <c r="H150" s="387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6" t="n"/>
      <c r="C151" s="387" t="n"/>
      <c r="D151" s="395" t="n"/>
      <c r="E151" s="395" t="n"/>
      <c r="F151" s="392" t="n"/>
      <c r="G151" s="387" t="n"/>
      <c r="H151" s="387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6" t="n"/>
      <c r="C152" s="387" t="n"/>
      <c r="D152" s="388" t="n"/>
      <c r="E152" s="388" t="n"/>
      <c r="F152" s="392" t="n"/>
      <c r="G152" s="387" t="n"/>
      <c r="H152" s="387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6" t="n"/>
      <c r="C153" s="387" t="n"/>
      <c r="D153" s="395" t="n"/>
      <c r="E153" s="395" t="n"/>
      <c r="F153" s="392" t="n"/>
      <c r="G153" s="387" t="n"/>
      <c r="H153" s="387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6" t="n"/>
      <c r="C154" s="387" t="n"/>
      <c r="D154" s="388" t="n"/>
      <c r="E154" s="388" t="n"/>
      <c r="F154" s="392" t="n"/>
      <c r="G154" s="387" t="n"/>
      <c r="H154" s="398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69" t="inlineStr">
        <is>
          <t>Expense#4</t>
        </is>
      </c>
      <c r="C155" s="370" t="inlineStr">
        <is>
          <t>:</t>
        </is>
      </c>
      <c r="D155" s="371" t="inlineStr">
        <is>
          <t>Pengeluaran Batch</t>
        </is>
      </c>
      <c r="E155" s="372" t="n"/>
      <c r="F155" s="373" t="n"/>
      <c r="G155" s="356" t="n"/>
      <c r="H155" s="356" t="n"/>
      <c r="I155" s="376" t="n"/>
      <c r="J155" s="376" t="n"/>
      <c r="K155" s="361" t="n"/>
      <c r="L155" s="361" t="n"/>
      <c r="M155" s="399" t="n"/>
      <c r="N155" s="361" t="n"/>
      <c r="O155" s="361" t="n"/>
      <c r="P155" s="361" t="n"/>
      <c r="Q155" s="361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404" t="n"/>
      <c r="C156" s="378" t="n"/>
      <c r="D156" s="405" t="inlineStr">
        <is>
          <t>nanas</t>
        </is>
      </c>
      <c r="E156" s="406" t="n"/>
      <c r="F156" s="381" t="n"/>
      <c r="G156" s="378" t="n"/>
      <c r="H156" s="378" t="n"/>
      <c r="I156" s="382" t="n"/>
      <c r="J156" s="382" t="n"/>
      <c r="K156" s="383" t="n"/>
      <c r="L156" s="383" t="n"/>
      <c r="M156" s="401" t="n"/>
      <c r="N156" s="382" t="n"/>
      <c r="O156" s="383" t="n"/>
      <c r="P156" s="383" t="n"/>
      <c r="Q156" s="383" t="n"/>
      <c r="R156" s="384" t="n"/>
      <c r="S156" s="384" t="n"/>
      <c r="T156" s="384" t="n"/>
      <c r="U156" s="384" t="n"/>
      <c r="V156" s="384" t="n"/>
      <c r="W156" s="384" t="n"/>
      <c r="X156" s="384" t="n"/>
    </row>
    <row r="157" ht="15.5" customHeight="1" s="297">
      <c r="A157" s="385" t="n"/>
      <c r="B157" s="404" t="n">
        <v>46093</v>
      </c>
      <c r="C157" s="378" t="n">
        <v>1</v>
      </c>
      <c r="D157" s="405" t="inlineStr">
        <is>
          <t>12312</t>
        </is>
      </c>
      <c r="E157" s="406" t="n"/>
      <c r="F157" s="407" t="n">
        <v>123123</v>
      </c>
      <c r="G157" s="378" t="inlineStr">
        <is>
          <t>IDR</t>
        </is>
      </c>
      <c r="H157" s="408" t="n">
        <v>1</v>
      </c>
      <c r="I157" s="409" t="n">
        <v>123123</v>
      </c>
      <c r="J157" s="382" t="n"/>
      <c r="K157" s="383" t="n"/>
      <c r="L157" s="383" t="n"/>
      <c r="M157" s="401" t="n"/>
      <c r="N157" s="382" t="n"/>
      <c r="O157" s="383" t="n"/>
      <c r="P157" s="383" t="n"/>
      <c r="Q157" s="383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404" t="n"/>
      <c r="C158" s="378" t="n"/>
      <c r="D158" s="405" t="inlineStr">
        <is>
          <t>Pembuatan Alat</t>
        </is>
      </c>
      <c r="E158" s="406" t="n"/>
      <c r="F158" s="381" t="n"/>
      <c r="G158" s="378" t="n"/>
      <c r="H158" s="378" t="n"/>
      <c r="I158" s="382" t="n"/>
      <c r="J158" s="382" t="n"/>
      <c r="K158" s="383" t="n"/>
      <c r="L158" s="383" t="n"/>
      <c r="M158" s="401" t="n"/>
      <c r="N158" s="382" t="n"/>
      <c r="O158" s="383" t="n"/>
      <c r="P158" s="383" t="n"/>
      <c r="Q158" s="383" t="n"/>
      <c r="R158" s="384" t="n"/>
      <c r="S158" s="384" t="n"/>
      <c r="T158" s="384" t="n"/>
      <c r="U158" s="384" t="n"/>
      <c r="V158" s="384" t="n"/>
      <c r="W158" s="384" t="n"/>
      <c r="X158" s="384" t="n"/>
    </row>
    <row r="159" ht="15.5" customHeight="1" s="297">
      <c r="A159" s="385" t="n"/>
      <c r="B159" s="404" t="n">
        <v>46093</v>
      </c>
      <c r="C159" s="378" t="n">
        <v>2</v>
      </c>
      <c r="D159" s="405" t="inlineStr">
        <is>
          <t>123123</t>
        </is>
      </c>
      <c r="E159" s="406" t="n"/>
      <c r="F159" s="407" t="n">
        <v>12312312</v>
      </c>
      <c r="G159" s="378" t="inlineStr">
        <is>
          <t>IDR</t>
        </is>
      </c>
      <c r="H159" s="408" t="n">
        <v>1</v>
      </c>
      <c r="I159" s="409" t="n">
        <v>12312312</v>
      </c>
      <c r="J159" s="382" t="n"/>
      <c r="K159" s="383" t="n"/>
      <c r="L159" s="383" t="n"/>
      <c r="M159" s="401" t="n"/>
      <c r="N159" s="382" t="n"/>
      <c r="O159" s="383" t="n"/>
      <c r="P159" s="383" t="n"/>
      <c r="Q159" s="383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410" t="n"/>
      <c r="C160" s="338" t="n"/>
      <c r="D160" s="339" t="n"/>
      <c r="E160" s="339" t="n"/>
      <c r="F160" s="394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410" t="n"/>
      <c r="C161" s="338" t="n"/>
      <c r="D161" s="339" t="n"/>
      <c r="E161" s="339" t="n"/>
      <c r="F161" s="394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410" t="n"/>
      <c r="C162" s="338" t="n"/>
      <c r="D162" s="339" t="n"/>
      <c r="E162" s="339" t="n"/>
      <c r="F162" s="394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410" t="n"/>
      <c r="C163" s="338" t="n"/>
      <c r="D163" s="339" t="n"/>
      <c r="E163" s="339" t="n"/>
      <c r="F163" s="394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69" t="inlineStr">
        <is>
          <t>Expense#5</t>
        </is>
      </c>
      <c r="C164" s="370" t="inlineStr">
        <is>
          <t>:</t>
        </is>
      </c>
      <c r="D164" s="371" t="inlineStr">
        <is>
          <t>Pengeluaran Batch</t>
        </is>
      </c>
      <c r="E164" s="372" t="n"/>
      <c r="F164" s="373" t="n"/>
      <c r="G164" s="356" t="n"/>
      <c r="H164" s="356" t="n"/>
      <c r="I164" s="376" t="n"/>
      <c r="J164" s="376" t="n"/>
      <c r="K164" s="361" t="n"/>
      <c r="L164" s="361" t="n"/>
      <c r="M164" s="361" t="n"/>
      <c r="N164" s="361" t="n"/>
      <c r="O164" s="361" t="n"/>
      <c r="P164" s="361" t="n"/>
      <c r="Q164" s="361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404" t="n"/>
      <c r="C165" s="378" t="n"/>
      <c r="D165" s="411" t="inlineStr">
        <is>
          <t>pepaya</t>
        </is>
      </c>
      <c r="E165" s="406" t="n"/>
      <c r="F165" s="412" t="n"/>
      <c r="G165" s="378" t="n"/>
      <c r="H165" s="378" t="n"/>
      <c r="I165" s="382" t="n"/>
      <c r="J165" s="382" t="n"/>
      <c r="K165" s="383" t="n"/>
      <c r="L165" s="383" t="n"/>
      <c r="M165" s="383" t="n"/>
      <c r="N165" s="383" t="n"/>
      <c r="O165" s="383" t="n"/>
      <c r="P165" s="382" t="n"/>
      <c r="Q165" s="383" t="n"/>
      <c r="R165" s="384" t="n"/>
      <c r="S165" s="384" t="n"/>
      <c r="T165" s="384" t="n"/>
      <c r="U165" s="384" t="n"/>
      <c r="V165" s="384" t="n"/>
      <c r="W165" s="384" t="n"/>
      <c r="X165" s="384" t="n"/>
    </row>
    <row r="166" ht="15.5" customHeight="1" s="297">
      <c r="B166" s="369" t="inlineStr">
        <is>
          <t>Expense#6</t>
        </is>
      </c>
      <c r="C166" s="370" t="inlineStr">
        <is>
          <t>:</t>
        </is>
      </c>
      <c r="D166" s="371" t="inlineStr">
        <is>
          <t>gowel party</t>
        </is>
      </c>
      <c r="E166" s="372" t="n"/>
      <c r="F166" s="373" t="n"/>
      <c r="G166" s="356" t="n"/>
      <c r="H166" s="356" t="n"/>
      <c r="I166" s="376" t="n"/>
      <c r="J166" s="376" t="n"/>
      <c r="K166" s="361" t="n"/>
      <c r="L166" s="361" t="n"/>
      <c r="M166" s="376" t="n"/>
      <c r="N166" s="361" t="n"/>
      <c r="O166" s="361" t="n"/>
      <c r="P166" s="361" t="n"/>
      <c r="Q166" s="361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404" t="n"/>
      <c r="C167" s="378" t="n"/>
      <c r="D167" s="379" t="inlineStr">
        <is>
          <t>Rental Tool</t>
        </is>
      </c>
      <c r="E167" s="400" t="n"/>
      <c r="F167" s="381" t="n"/>
      <c r="G167" s="378" t="n"/>
      <c r="H167" s="378" t="n"/>
      <c r="I167" s="382" t="n"/>
      <c r="J167" s="382" t="n"/>
      <c r="K167" s="383" t="n"/>
      <c r="L167" s="383" t="n"/>
      <c r="M167" s="382" t="n"/>
      <c r="N167" s="383" t="n"/>
      <c r="O167" s="383" t="n"/>
      <c r="P167" s="383" t="n"/>
      <c r="Q167" s="383" t="n"/>
      <c r="R167" s="384" t="n"/>
      <c r="S167" s="384" t="n"/>
      <c r="T167" s="384" t="n"/>
      <c r="U167" s="384" t="n"/>
      <c r="V167" s="384" t="n"/>
      <c r="W167" s="384" t="n"/>
      <c r="X167" s="384" t="n"/>
    </row>
    <row r="168" ht="15.5" customHeight="1" s="297">
      <c r="B168" s="386" t="n">
        <v>46093</v>
      </c>
      <c r="C168" s="387" t="n">
        <v>1</v>
      </c>
      <c r="D168" s="388" t="inlineStr">
        <is>
          <t>blejar party</t>
        </is>
      </c>
      <c r="E168" s="388" t="n"/>
      <c r="F168" s="389" t="n">
        <v>12312312</v>
      </c>
      <c r="G168" s="387" t="inlineStr">
        <is>
          <t>IDR</t>
        </is>
      </c>
      <c r="H168" s="390" t="n">
        <v>1</v>
      </c>
      <c r="I168" s="343" t="n"/>
      <c r="J168" s="342" t="n"/>
      <c r="K168" s="402" t="n">
        <v>12312312</v>
      </c>
      <c r="L168" s="344" t="n"/>
      <c r="M168" s="342" t="n"/>
      <c r="N168" s="344" t="n"/>
      <c r="O168" s="344" t="n"/>
      <c r="P168" s="344" t="n"/>
      <c r="Q168" s="344" t="n"/>
      <c r="R168" s="345" t="n"/>
      <c r="S168" s="345" t="n"/>
      <c r="T168" s="345" t="n"/>
      <c r="U168" s="345" t="n"/>
      <c r="V168" s="345" t="n"/>
      <c r="W168" s="345" t="n"/>
      <c r="X168" s="345" t="n"/>
    </row>
    <row r="169" hidden="1" ht="15.5" customHeight="1" s="297">
      <c r="B169" s="386" t="n"/>
      <c r="C169" s="387" t="n"/>
      <c r="D169" s="388" t="n"/>
      <c r="E169" s="388" t="n"/>
      <c r="F169" s="392" t="n"/>
      <c r="G169" s="387" t="n"/>
      <c r="H169" s="387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6" t="n"/>
      <c r="C170" s="387" t="n"/>
      <c r="D170" s="395" t="n"/>
      <c r="E170" s="395" t="n"/>
      <c r="F170" s="392" t="n"/>
      <c r="G170" s="387" t="n"/>
      <c r="H170" s="387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6" t="n"/>
      <c r="C171" s="387" t="n"/>
      <c r="D171" s="388" t="n"/>
      <c r="E171" s="388" t="n"/>
      <c r="F171" s="392" t="n"/>
      <c r="G171" s="387" t="n"/>
      <c r="H171" s="387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6" t="n"/>
      <c r="C172" s="387" t="n"/>
      <c r="D172" s="395" t="n"/>
      <c r="E172" s="395" t="n"/>
      <c r="F172" s="392" t="n"/>
      <c r="G172" s="387" t="n"/>
      <c r="H172" s="387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6" t="n"/>
      <c r="C173" s="387" t="n"/>
      <c r="D173" s="388" t="n"/>
      <c r="E173" s="388" t="n"/>
      <c r="F173" s="392" t="n"/>
      <c r="G173" s="387" t="n"/>
      <c r="H173" s="387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6" t="n"/>
      <c r="C174" s="387" t="n"/>
      <c r="D174" s="395" t="n"/>
      <c r="E174" s="395" t="n"/>
      <c r="F174" s="392" t="n"/>
      <c r="G174" s="387" t="n"/>
      <c r="H174" s="387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6" t="n"/>
      <c r="C175" s="387" t="n"/>
      <c r="D175" s="388" t="n"/>
      <c r="E175" s="388" t="n"/>
      <c r="F175" s="392" t="n"/>
      <c r="G175" s="387" t="n"/>
      <c r="H175" s="387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6" t="n"/>
      <c r="C176" s="387" t="n"/>
      <c r="D176" s="388" t="n"/>
      <c r="E176" s="388" t="n"/>
      <c r="F176" s="392" t="n"/>
      <c r="G176" s="387" t="n"/>
      <c r="H176" s="387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6" t="n"/>
      <c r="C177" s="387" t="n"/>
      <c r="D177" s="388" t="n"/>
      <c r="E177" s="388" t="n"/>
      <c r="F177" s="392" t="n"/>
      <c r="G177" s="387" t="n"/>
      <c r="H177" s="387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6" t="n"/>
      <c r="C178" s="387" t="n"/>
      <c r="D178" s="388" t="n"/>
      <c r="E178" s="388" t="n"/>
      <c r="F178" s="392" t="n"/>
      <c r="G178" s="387" t="n"/>
      <c r="H178" s="387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6" t="n"/>
      <c r="C179" s="387" t="n"/>
      <c r="D179" s="388" t="n"/>
      <c r="E179" s="388" t="n"/>
      <c r="F179" s="392" t="n"/>
      <c r="G179" s="387" t="n"/>
      <c r="H179" s="387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6" t="n"/>
      <c r="C180" s="387" t="n"/>
      <c r="D180" s="388" t="n"/>
      <c r="E180" s="388" t="n"/>
      <c r="F180" s="392" t="n"/>
      <c r="G180" s="387" t="n"/>
      <c r="H180" s="387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6" t="n"/>
      <c r="C181" s="387" t="n"/>
      <c r="D181" s="395" t="n"/>
      <c r="E181" s="395" t="n"/>
      <c r="F181" s="392" t="n"/>
      <c r="G181" s="387" t="n"/>
      <c r="H181" s="387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6" t="n"/>
      <c r="C182" s="387" t="n"/>
      <c r="D182" s="388" t="n"/>
      <c r="E182" s="388" t="n"/>
      <c r="F182" s="392" t="n"/>
      <c r="G182" s="387" t="n"/>
      <c r="H182" s="387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6" t="n"/>
      <c r="C183" s="387" t="n"/>
      <c r="D183" s="395" t="n"/>
      <c r="E183" s="395" t="n"/>
      <c r="F183" s="392" t="n"/>
      <c r="G183" s="387" t="n"/>
      <c r="H183" s="387" t="n"/>
      <c r="I183" s="413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6" t="n"/>
      <c r="C184" s="387" t="n"/>
      <c r="D184" s="388" t="n"/>
      <c r="E184" s="388" t="n"/>
      <c r="F184" s="392" t="n"/>
      <c r="G184" s="387" t="n"/>
      <c r="H184" s="398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70" t="inlineStr">
        <is>
          <t>:</t>
        </is>
      </c>
      <c r="D185" s="372" t="n"/>
      <c r="E185" s="372" t="n"/>
      <c r="F185" s="373" t="n"/>
      <c r="G185" s="356" t="n"/>
      <c r="H185" s="356" t="n"/>
      <c r="I185" s="376" t="n"/>
      <c r="J185" s="376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414" t="n"/>
      <c r="C186" s="387" t="n"/>
      <c r="D186" s="415" t="inlineStr">
        <is>
          <t>Transportation</t>
        </is>
      </c>
      <c r="E186" s="415" t="n"/>
      <c r="F186" s="392" t="n"/>
      <c r="G186" s="387" t="n"/>
      <c r="H186" s="387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6" t="n">
        <v>45408</v>
      </c>
      <c r="C187" s="387" t="n">
        <v>1</v>
      </c>
      <c r="D187" s="388" t="inlineStr">
        <is>
          <t>Fuels</t>
        </is>
      </c>
      <c r="E187" s="388" t="n"/>
      <c r="F187" s="392" t="n">
        <v>284308</v>
      </c>
      <c r="G187" s="387" t="inlineStr">
        <is>
          <t>IDR</t>
        </is>
      </c>
      <c r="H187" s="387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6" t="n">
        <v>45410</v>
      </c>
      <c r="C188" s="387" t="n">
        <v>2</v>
      </c>
      <c r="D188" s="388" t="inlineStr">
        <is>
          <t>Toll</t>
        </is>
      </c>
      <c r="E188" s="388" t="n"/>
      <c r="F188" s="392" t="n">
        <v>298000</v>
      </c>
      <c r="G188" s="387" t="inlineStr">
        <is>
          <t>IDR</t>
        </is>
      </c>
      <c r="H188" s="387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6" t="n"/>
      <c r="C189" s="387" t="n"/>
      <c r="D189" s="395" t="inlineStr">
        <is>
          <t>Accommodation</t>
        </is>
      </c>
      <c r="E189" s="395" t="n"/>
      <c r="F189" s="392" t="n"/>
      <c r="G189" s="387" t="n"/>
      <c r="H189" s="387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6" t="n">
        <v>45410</v>
      </c>
      <c r="C190" s="387" t="n">
        <v>3</v>
      </c>
      <c r="D190" s="388" t="inlineStr">
        <is>
          <t>Hotel 2 days</t>
        </is>
      </c>
      <c r="E190" s="388" t="n"/>
      <c r="F190" s="392" t="n">
        <v>1357481</v>
      </c>
      <c r="G190" s="387" t="inlineStr">
        <is>
          <t>IDR</t>
        </is>
      </c>
      <c r="H190" s="387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6" t="n">
        <v>45410</v>
      </c>
      <c r="C191" s="387" t="n">
        <v>4</v>
      </c>
      <c r="D191" s="388" t="inlineStr">
        <is>
          <t>Laundry 2 days</t>
        </is>
      </c>
      <c r="E191" s="388" t="n"/>
      <c r="F191" s="392" t="n">
        <v>100000</v>
      </c>
      <c r="G191" s="387" t="inlineStr">
        <is>
          <t>IDR</t>
        </is>
      </c>
      <c r="H191" s="387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6" t="n"/>
      <c r="C192" s="387" t="n"/>
      <c r="D192" s="395" t="inlineStr">
        <is>
          <t>Meal</t>
        </is>
      </c>
      <c r="E192" s="395" t="n"/>
      <c r="F192" s="392" t="n"/>
      <c r="G192" s="387" t="n"/>
      <c r="H192" s="387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6" t="n">
        <v>45410</v>
      </c>
      <c r="C193" s="387" t="n">
        <v>6</v>
      </c>
      <c r="D193" s="388" t="inlineStr">
        <is>
          <t>Meals 2 days 1 Persons @ 150K IDR/day</t>
        </is>
      </c>
      <c r="E193" s="388" t="n"/>
      <c r="F193" s="392" t="n">
        <v>300000</v>
      </c>
      <c r="G193" s="387" t="inlineStr">
        <is>
          <t>IDR</t>
        </is>
      </c>
      <c r="H193" s="387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6" t="n"/>
      <c r="C194" s="387" t="n"/>
      <c r="D194" s="395" t="inlineStr">
        <is>
          <t>Allowance</t>
        </is>
      </c>
      <c r="E194" s="395" t="n"/>
      <c r="F194" s="392" t="n"/>
      <c r="G194" s="387" t="n"/>
      <c r="H194" s="387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6" t="n">
        <v>45410</v>
      </c>
      <c r="C195" s="387" t="n">
        <v>7</v>
      </c>
      <c r="D195" s="388" t="inlineStr">
        <is>
          <t>Tunjangan Lapangan for 2 days</t>
        </is>
      </c>
      <c r="E195" s="388" t="n"/>
      <c r="F195" s="392" t="n">
        <v>200</v>
      </c>
      <c r="G195" s="387" t="inlineStr">
        <is>
          <t>USD</t>
        </is>
      </c>
      <c r="H195" s="398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70" t="inlineStr">
        <is>
          <t>:</t>
        </is>
      </c>
      <c r="D196" s="372" t="n"/>
      <c r="E196" s="372" t="n"/>
      <c r="F196" s="373" t="n"/>
      <c r="G196" s="356" t="n"/>
      <c r="H196" s="356" t="n"/>
      <c r="I196" s="361" t="n"/>
      <c r="J196" s="376" t="n"/>
      <c r="K196" s="361" t="n"/>
      <c r="L196" s="361" t="n"/>
      <c r="M196" s="399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16" t="inlineStr">
        <is>
          <t>Transportation</t>
        </is>
      </c>
      <c r="E197" s="416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410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410" t="n"/>
      <c r="C199" s="338" t="n"/>
      <c r="D199" s="416" t="inlineStr">
        <is>
          <t>Transportation</t>
        </is>
      </c>
      <c r="E199" s="416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17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410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410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410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410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410" t="n"/>
      <c r="C205" s="338" t="n"/>
      <c r="D205" s="418" t="inlineStr">
        <is>
          <t>Accommodation</t>
        </is>
      </c>
      <c r="E205" s="418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410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19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410" t="n"/>
      <c r="C207" s="338" t="n"/>
      <c r="D207" s="418" t="inlineStr">
        <is>
          <t>Meal</t>
        </is>
      </c>
      <c r="E207" s="418" t="n"/>
      <c r="F207" s="348" t="n"/>
      <c r="G207" s="338" t="n"/>
      <c r="H207" s="338" t="n"/>
      <c r="I207" s="419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410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70" t="inlineStr">
        <is>
          <t>:</t>
        </is>
      </c>
      <c r="D209" s="372" t="n"/>
      <c r="E209" s="372" t="n"/>
      <c r="F209" s="420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410" t="n"/>
      <c r="C210" s="338" t="n"/>
      <c r="D210" s="416" t="inlineStr">
        <is>
          <t>Transportation</t>
        </is>
      </c>
      <c r="E210" s="416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410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410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410" t="n"/>
      <c r="C213" s="338" t="n"/>
      <c r="D213" s="418" t="inlineStr">
        <is>
          <t>Accommodation</t>
        </is>
      </c>
      <c r="E213" s="418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410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410" t="n"/>
      <c r="C215" s="338" t="n"/>
      <c r="D215" s="418" t="inlineStr">
        <is>
          <t>Allowance</t>
        </is>
      </c>
      <c r="E215" s="418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410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410" t="n"/>
      <c r="C217" s="338" t="n"/>
      <c r="D217" s="418" t="inlineStr">
        <is>
          <t>Allowance</t>
        </is>
      </c>
      <c r="E217" s="418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410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410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70" t="inlineStr">
        <is>
          <t>:</t>
        </is>
      </c>
      <c r="D220" s="372" t="n"/>
      <c r="E220" s="372" t="n"/>
      <c r="F220" s="420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6" t="n"/>
      <c r="C221" s="387" t="n"/>
      <c r="D221" s="395" t="inlineStr">
        <is>
          <t>Accommodation</t>
        </is>
      </c>
      <c r="E221" s="395" t="n"/>
      <c r="F221" s="421" t="n"/>
      <c r="G221" s="396" t="n"/>
      <c r="H221" s="396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6" t="n">
        <v>45407</v>
      </c>
      <c r="C222" s="387" t="n">
        <v>1</v>
      </c>
      <c r="D222" s="388" t="inlineStr">
        <is>
          <t>Hotel 25 Apr - 27 Apr &amp; 29 Apr- 2 May 2024 (6 days)</t>
        </is>
      </c>
      <c r="E222" s="388" t="n"/>
      <c r="F222" s="421" t="n">
        <v>3292802</v>
      </c>
      <c r="G222" s="396" t="inlineStr">
        <is>
          <t>IDR</t>
        </is>
      </c>
      <c r="H222" s="387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6" t="n">
        <v>45407</v>
      </c>
      <c r="C223" s="387" t="n">
        <v>2</v>
      </c>
      <c r="D223" s="388" t="inlineStr">
        <is>
          <t>Laundry 7 days 1 Persons @ 50K IDR/day</t>
        </is>
      </c>
      <c r="E223" s="388" t="n"/>
      <c r="F223" s="421" t="n">
        <v>350000</v>
      </c>
      <c r="G223" s="396" t="inlineStr">
        <is>
          <t>IDR</t>
        </is>
      </c>
      <c r="H223" s="387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6" t="n"/>
      <c r="C224" s="387" t="n"/>
      <c r="D224" s="395" t="inlineStr">
        <is>
          <t>Logistic</t>
        </is>
      </c>
      <c r="E224" s="395" t="n"/>
      <c r="F224" s="421" t="n"/>
      <c r="G224" s="396" t="n"/>
      <c r="H224" s="387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6" t="n">
        <v>45401</v>
      </c>
      <c r="C225" s="387" t="n">
        <v>3</v>
      </c>
      <c r="D225" s="396" t="inlineStr">
        <is>
          <t>Tekiro Kunci L, Tekiro Tang, Obeng Set</t>
        </is>
      </c>
      <c r="E225" s="396" t="n"/>
      <c r="F225" s="421" t="n">
        <v>349000</v>
      </c>
      <c r="G225" s="396" t="inlineStr">
        <is>
          <t>IDR</t>
        </is>
      </c>
      <c r="H225" s="387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6" t="n">
        <v>45411</v>
      </c>
      <c r="C226" s="387" t="n">
        <v>4</v>
      </c>
      <c r="D226" s="396" t="inlineStr">
        <is>
          <t>Internet Data</t>
        </is>
      </c>
      <c r="E226" s="396" t="n"/>
      <c r="F226" s="421" t="n">
        <v>75000</v>
      </c>
      <c r="G226" s="396" t="inlineStr">
        <is>
          <t>IDR</t>
        </is>
      </c>
      <c r="H226" s="387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6" t="n"/>
      <c r="C227" s="387" t="n"/>
      <c r="D227" s="395" t="inlineStr">
        <is>
          <t>Meal</t>
        </is>
      </c>
      <c r="E227" s="395" t="n"/>
      <c r="F227" s="421" t="n"/>
      <c r="G227" s="396" t="n"/>
      <c r="H227" s="387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6" t="n">
        <v>45407</v>
      </c>
      <c r="C228" s="387" t="n">
        <v>5</v>
      </c>
      <c r="D228" s="388" t="inlineStr">
        <is>
          <t>Crew's Operational</t>
        </is>
      </c>
      <c r="E228" s="388" t="n"/>
      <c r="F228" s="397" t="n">
        <v>657000</v>
      </c>
      <c r="G228" s="396" t="inlineStr">
        <is>
          <t>IDR</t>
        </is>
      </c>
      <c r="H228" s="387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6" t="n"/>
      <c r="C229" s="387" t="n"/>
      <c r="D229" s="395" t="inlineStr">
        <is>
          <t>Meal</t>
        </is>
      </c>
      <c r="E229" s="395" t="n"/>
      <c r="F229" s="421" t="n"/>
      <c r="G229" s="396" t="n"/>
      <c r="H229" s="387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6" t="n">
        <v>45407</v>
      </c>
      <c r="C230" s="387" t="n">
        <v>6</v>
      </c>
      <c r="D230" s="388" t="inlineStr">
        <is>
          <t>Meals 7 days 1 Persons @ 150K IDR/day</t>
        </is>
      </c>
      <c r="E230" s="388" t="n"/>
      <c r="F230" s="421" t="n">
        <v>1050000</v>
      </c>
      <c r="G230" s="396" t="inlineStr">
        <is>
          <t>IDR</t>
        </is>
      </c>
      <c r="H230" s="387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6" t="n"/>
      <c r="C231" s="387" t="n"/>
      <c r="D231" s="395" t="inlineStr">
        <is>
          <t>Allowance</t>
        </is>
      </c>
      <c r="E231" s="395" t="n"/>
      <c r="F231" s="421" t="n"/>
      <c r="G231" s="396" t="n"/>
      <c r="H231" s="387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6" t="n">
        <v>45407</v>
      </c>
      <c r="C232" s="387" t="n">
        <v>7</v>
      </c>
      <c r="D232" s="388" t="inlineStr">
        <is>
          <t>Field Bonus for 7 days (25$/Day)</t>
        </is>
      </c>
      <c r="E232" s="388" t="n"/>
      <c r="F232" s="421" t="n">
        <v>75</v>
      </c>
      <c r="G232" s="396" t="inlineStr">
        <is>
          <t>USD</t>
        </is>
      </c>
      <c r="H232" s="398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6" t="n">
        <v>45407</v>
      </c>
      <c r="C233" s="387" t="n">
        <v>8</v>
      </c>
      <c r="D233" s="388" t="inlineStr">
        <is>
          <t>Field Bonus for 4 days 29 April-2 May 2024 (100$/Day</t>
        </is>
      </c>
      <c r="E233" s="388" t="n"/>
      <c r="F233" s="421" t="n">
        <v>400</v>
      </c>
      <c r="G233" s="396" t="inlineStr">
        <is>
          <t>USD</t>
        </is>
      </c>
      <c r="H233" s="398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70" t="inlineStr">
        <is>
          <t>:</t>
        </is>
      </c>
      <c r="D234" s="372" t="n"/>
      <c r="E234" s="372" t="n"/>
      <c r="F234" s="420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6" t="n"/>
      <c r="C235" s="387" t="n"/>
      <c r="D235" s="395" t="inlineStr">
        <is>
          <t>Accommodation</t>
        </is>
      </c>
      <c r="E235" s="395" t="n"/>
      <c r="F235" s="421" t="n"/>
      <c r="G235" s="396" t="n"/>
      <c r="H235" s="396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6" t="n">
        <v>45401</v>
      </c>
      <c r="C236" s="387" t="n">
        <v>1</v>
      </c>
      <c r="D236" s="388" t="inlineStr">
        <is>
          <t>Hotel 19 Apr-22 Apr 2024 (3 days)</t>
        </is>
      </c>
      <c r="E236" s="388" t="n"/>
      <c r="F236" s="421">
        <f>650000*3</f>
        <v/>
      </c>
      <c r="G236" s="396" t="inlineStr">
        <is>
          <t>IDR</t>
        </is>
      </c>
      <c r="H236" s="396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6" t="n">
        <v>45401</v>
      </c>
      <c r="C237" s="387" t="n">
        <v>2</v>
      </c>
      <c r="D237" s="388" t="inlineStr">
        <is>
          <t>Laundry 4 days 1 Persons @ 50K IDR/day</t>
        </is>
      </c>
      <c r="E237" s="388" t="n"/>
      <c r="F237" s="421">
        <f>4*50000</f>
        <v/>
      </c>
      <c r="G237" s="396" t="inlineStr">
        <is>
          <t>IDR</t>
        </is>
      </c>
      <c r="H237" s="396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6" t="n"/>
      <c r="C238" s="387" t="n"/>
      <c r="D238" s="395" t="inlineStr">
        <is>
          <t>Logistic</t>
        </is>
      </c>
      <c r="E238" s="395" t="n"/>
      <c r="F238" s="421" t="n"/>
      <c r="G238" s="396" t="n"/>
      <c r="H238" s="396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6" t="n">
        <v>45401</v>
      </c>
      <c r="C239" s="387" t="n">
        <v>3</v>
      </c>
      <c r="D239" s="396" t="inlineStr">
        <is>
          <t>Battery A2</t>
        </is>
      </c>
      <c r="E239" s="396" t="n"/>
      <c r="F239" s="421" t="n">
        <v>101800</v>
      </c>
      <c r="G239" s="396" t="inlineStr">
        <is>
          <t>IDR</t>
        </is>
      </c>
      <c r="H239" s="396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6" t="n"/>
      <c r="C240" s="387" t="n"/>
      <c r="D240" s="395" t="inlineStr">
        <is>
          <t>Meal</t>
        </is>
      </c>
      <c r="E240" s="395" t="n"/>
      <c r="F240" s="421" t="n"/>
      <c r="G240" s="396" t="n"/>
      <c r="H240" s="396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6" t="n">
        <v>45401</v>
      </c>
      <c r="C241" s="387" t="n">
        <v>4</v>
      </c>
      <c r="D241" s="388" t="inlineStr">
        <is>
          <t>Crew's Operational</t>
        </is>
      </c>
      <c r="E241" s="388" t="n"/>
      <c r="F241" s="397" t="n">
        <v>481900</v>
      </c>
      <c r="G241" s="396" t="inlineStr">
        <is>
          <t>IDR</t>
        </is>
      </c>
      <c r="H241" s="396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6" t="n"/>
      <c r="C242" s="387" t="n"/>
      <c r="D242" s="395" t="inlineStr">
        <is>
          <t>Meal</t>
        </is>
      </c>
      <c r="E242" s="395" t="n"/>
      <c r="F242" s="421" t="n"/>
      <c r="G242" s="396" t="n"/>
      <c r="H242" s="396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6" t="n">
        <v>45401</v>
      </c>
      <c r="C243" s="387" t="n">
        <v>5</v>
      </c>
      <c r="D243" s="388" t="inlineStr">
        <is>
          <t>Meals 4 days 1 Persons @ 150K IDR/day</t>
        </is>
      </c>
      <c r="E243" s="388" t="n"/>
      <c r="F243" s="421">
        <f>4*150000</f>
        <v/>
      </c>
      <c r="G243" s="396" t="inlineStr">
        <is>
          <t>IDR</t>
        </is>
      </c>
      <c r="H243" s="396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6" t="n"/>
      <c r="C244" s="387" t="n"/>
      <c r="D244" s="395" t="inlineStr">
        <is>
          <t>Transportation</t>
        </is>
      </c>
      <c r="E244" s="395" t="n"/>
      <c r="F244" s="421" t="n"/>
      <c r="G244" s="396" t="n"/>
      <c r="H244" s="396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6" t="n">
        <v>45404</v>
      </c>
      <c r="C245" s="387" t="n">
        <v>6</v>
      </c>
      <c r="D245" s="388" t="inlineStr">
        <is>
          <t>Taxi Bintaro-Wisma Mas</t>
        </is>
      </c>
      <c r="E245" s="388" t="n"/>
      <c r="F245" s="421" t="n">
        <v>78500</v>
      </c>
      <c r="G245" s="396" t="inlineStr">
        <is>
          <t>IDR</t>
        </is>
      </c>
      <c r="H245" s="396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6" t="n"/>
      <c r="C246" s="387" t="n"/>
      <c r="D246" s="395" t="inlineStr">
        <is>
          <t>Allowance</t>
        </is>
      </c>
      <c r="E246" s="395" t="n"/>
      <c r="F246" s="421" t="n"/>
      <c r="G246" s="396" t="n"/>
      <c r="H246" s="396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6" t="n">
        <v>45401</v>
      </c>
      <c r="C247" s="387" t="n">
        <v>7</v>
      </c>
      <c r="D247" s="388" t="inlineStr">
        <is>
          <t>Field Bonus for 4 days (25$/Day)</t>
        </is>
      </c>
      <c r="E247" s="388" t="n"/>
      <c r="F247" s="421">
        <f>4*25</f>
        <v/>
      </c>
      <c r="G247" s="396" t="inlineStr">
        <is>
          <t>USD</t>
        </is>
      </c>
      <c r="H247" s="422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70" t="inlineStr">
        <is>
          <t>:</t>
        </is>
      </c>
      <c r="D248" s="372" t="n"/>
      <c r="E248" s="372" t="n"/>
      <c r="F248" s="373" t="n"/>
      <c r="G248" s="356" t="n"/>
      <c r="H248" s="356" t="n"/>
      <c r="I248" s="376" t="n"/>
      <c r="J248" s="376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6" t="inlineStr">
        <is>
          <t>17/5/2024</t>
        </is>
      </c>
      <c r="C249" s="387" t="n">
        <v>1</v>
      </c>
      <c r="D249" s="388" t="inlineStr">
        <is>
          <t>BOSIET Training</t>
        </is>
      </c>
      <c r="E249" s="388" t="n"/>
      <c r="F249" s="421" t="n">
        <v>9693878</v>
      </c>
      <c r="G249" s="387" t="inlineStr">
        <is>
          <t>IDR</t>
        </is>
      </c>
      <c r="H249" s="387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70" t="inlineStr">
        <is>
          <t>:</t>
        </is>
      </c>
      <c r="D250" s="372" t="n"/>
      <c r="E250" s="372" t="n"/>
      <c r="F250" s="373" t="n"/>
      <c r="G250" s="356" t="n"/>
      <c r="H250" s="356" t="n"/>
      <c r="I250" s="376" t="n"/>
      <c r="J250" s="376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70" t="inlineStr">
        <is>
          <t>:</t>
        </is>
      </c>
      <c r="D253" s="423" t="n"/>
      <c r="E253" s="423" t="n"/>
      <c r="F253" s="373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70" t="inlineStr">
        <is>
          <t>:</t>
        </is>
      </c>
      <c r="D255" s="372" t="n"/>
      <c r="E255" s="372" t="n"/>
      <c r="F255" s="373" t="n"/>
      <c r="G255" s="356" t="n"/>
      <c r="H255" s="356" t="n"/>
      <c r="I255" s="399" t="n"/>
      <c r="J255" s="376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410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410" t="n">
        <v>45436</v>
      </c>
      <c r="C257" s="338" t="n"/>
      <c r="D257" s="424" t="inlineStr">
        <is>
          <t>Reschedule Tiket Pesawat dari Citilink ke Super Air Jet (CGK-PLg)</t>
        </is>
      </c>
      <c r="E257" s="424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410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410" t="n"/>
      <c r="C259" s="338" t="n"/>
      <c r="D259" s="425" t="inlineStr">
        <is>
          <t>Allowance</t>
        </is>
      </c>
      <c r="E259" s="425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410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410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410" t="n"/>
      <c r="C262" s="338" t="n"/>
      <c r="D262" s="425" t="inlineStr">
        <is>
          <t>Allowance</t>
        </is>
      </c>
      <c r="E262" s="425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410" t="n">
        <v>45437</v>
      </c>
      <c r="C263" s="338" t="n"/>
      <c r="D263" s="424" t="inlineStr">
        <is>
          <t xml:space="preserve">Tunjangan Lapangan JRK-193 (25 - 30 May 2024) </t>
        </is>
      </c>
      <c r="E263" s="424" t="n"/>
      <c r="F263" s="426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70" t="inlineStr">
        <is>
          <t>:</t>
        </is>
      </c>
      <c r="D264" s="372" t="n"/>
      <c r="E264" s="372" t="n"/>
      <c r="F264" s="373" t="n"/>
      <c r="G264" s="356" t="n"/>
      <c r="H264" s="356" t="n"/>
      <c r="I264" s="361" t="n"/>
      <c r="J264" s="376" t="n"/>
      <c r="K264" s="361" t="n"/>
      <c r="L264" s="361" t="n"/>
      <c r="M264" s="399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410" t="n"/>
      <c r="C265" s="338" t="n"/>
      <c r="D265" s="416" t="inlineStr">
        <is>
          <t>Transportation</t>
        </is>
      </c>
      <c r="E265" s="416" t="n"/>
      <c r="F265" s="348" t="n"/>
      <c r="G265" s="338" t="n"/>
      <c r="H265" s="338" t="n"/>
      <c r="I265" s="427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17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410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410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410" t="n"/>
      <c r="C269" s="338" t="n"/>
      <c r="D269" s="418" t="inlineStr">
        <is>
          <t>Hand Tools</t>
        </is>
      </c>
      <c r="E269" s="418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410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410" t="n"/>
      <c r="C271" s="338" t="n"/>
      <c r="D271" s="418" t="inlineStr">
        <is>
          <t>Logistic</t>
        </is>
      </c>
      <c r="E271" s="418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410" t="n">
        <v>45437</v>
      </c>
      <c r="C272" s="338" t="n">
        <v>3</v>
      </c>
      <c r="D272" s="428" t="inlineStr">
        <is>
          <t>Wrapping Alfa Box</t>
        </is>
      </c>
      <c r="E272" s="428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410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27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410" t="n"/>
      <c r="C274" s="338" t="n"/>
      <c r="D274" s="418" t="inlineStr">
        <is>
          <t>Allowance</t>
        </is>
      </c>
      <c r="E274" s="418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410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410" t="n"/>
      <c r="C276" s="338" t="n"/>
      <c r="D276" s="418" t="inlineStr">
        <is>
          <t>Laundry</t>
        </is>
      </c>
      <c r="E276" s="418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410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27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410" t="n"/>
      <c r="C278" s="338" t="n"/>
      <c r="D278" s="418" t="inlineStr">
        <is>
          <t>Allowance</t>
        </is>
      </c>
      <c r="E278" s="418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410" t="n">
        <v>45437</v>
      </c>
      <c r="C279" s="338" t="n"/>
      <c r="D279" s="424" t="inlineStr">
        <is>
          <t>Tunjangan Lapangan JRK-193 (25 - 30 May 2024). 1US$=16.200</t>
        </is>
      </c>
      <c r="E279" s="424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27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70" t="inlineStr">
        <is>
          <t>:</t>
        </is>
      </c>
      <c r="D280" s="423" t="n"/>
      <c r="E280" s="423" t="n"/>
      <c r="F280" s="373" t="n"/>
      <c r="G280" s="356" t="n"/>
      <c r="H280" s="356" t="n"/>
      <c r="I280" s="376" t="n"/>
      <c r="J280" s="376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6" t="n"/>
      <c r="C281" s="387" t="n"/>
      <c r="D281" s="395" t="inlineStr">
        <is>
          <t>Accommodation</t>
        </is>
      </c>
      <c r="E281" s="395" t="n"/>
      <c r="F281" s="392" t="n"/>
      <c r="G281" s="387" t="n"/>
      <c r="H281" s="387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6" t="n">
        <v>45437</v>
      </c>
      <c r="C282" s="387" t="n">
        <v>1</v>
      </c>
      <c r="D282" s="388" t="inlineStr">
        <is>
          <t>Hotel 24 May - 30 May (6 days)</t>
        </is>
      </c>
      <c r="E282" s="388" t="n"/>
      <c r="F282" s="392" t="n">
        <v>1650000</v>
      </c>
      <c r="G282" s="387" t="inlineStr">
        <is>
          <t>IDR</t>
        </is>
      </c>
      <c r="H282" s="387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6" t="n">
        <v>45437</v>
      </c>
      <c r="C283" s="387" t="n">
        <v>2</v>
      </c>
      <c r="D283" s="388" t="inlineStr">
        <is>
          <t>Laundry 6 days 1 Persons @ 50K IDR/day</t>
        </is>
      </c>
      <c r="E283" s="388" t="n"/>
      <c r="F283" s="392" t="n">
        <v>300000</v>
      </c>
      <c r="G283" s="387" t="inlineStr">
        <is>
          <t>IDR</t>
        </is>
      </c>
      <c r="H283" s="387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6" t="n"/>
      <c r="C284" s="387" t="n"/>
      <c r="D284" s="395" t="inlineStr">
        <is>
          <t>Transportation</t>
        </is>
      </c>
      <c r="E284" s="395" t="n"/>
      <c r="F284" s="392" t="n"/>
      <c r="G284" s="387" t="n"/>
      <c r="H284" s="387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6" t="n">
        <v>45437</v>
      </c>
      <c r="C285" s="387" t="n">
        <v>3</v>
      </c>
      <c r="D285" s="388" t="inlineStr">
        <is>
          <t>Airplane Ticket CGK-PLM (2 Person)</t>
        </is>
      </c>
      <c r="E285" s="388" t="n"/>
      <c r="F285" s="392" t="n">
        <v>1418800</v>
      </c>
      <c r="G285" s="387" t="inlineStr">
        <is>
          <t>IDR</t>
        </is>
      </c>
      <c r="H285" s="387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6" t="n">
        <v>45437</v>
      </c>
      <c r="C286" s="387" t="n">
        <v>4</v>
      </c>
      <c r="D286" s="388" t="inlineStr">
        <is>
          <t>Taxi Pondok Cabe-CGK</t>
        </is>
      </c>
      <c r="E286" s="388" t="n"/>
      <c r="F286" s="392" t="n">
        <v>166000</v>
      </c>
      <c r="G286" s="387" t="inlineStr">
        <is>
          <t>IDR</t>
        </is>
      </c>
      <c r="H286" s="387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6" t="n">
        <v>45437</v>
      </c>
      <c r="C287" s="387" t="n">
        <v>5</v>
      </c>
      <c r="D287" s="388" t="inlineStr">
        <is>
          <t>Toll (Pondok Cabe-CGK)</t>
        </is>
      </c>
      <c r="E287" s="388" t="n"/>
      <c r="F287" s="392" t="n">
        <v>60000</v>
      </c>
      <c r="G287" s="387" t="inlineStr">
        <is>
          <t>IDR</t>
        </is>
      </c>
      <c r="H287" s="387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6" t="n">
        <v>45437</v>
      </c>
      <c r="C288" s="387" t="n">
        <v>6</v>
      </c>
      <c r="D288" s="388" t="inlineStr">
        <is>
          <t>Rent Car 6 Days</t>
        </is>
      </c>
      <c r="E288" s="388" t="n"/>
      <c r="F288" s="392" t="n">
        <v>2900000</v>
      </c>
      <c r="G288" s="387" t="inlineStr">
        <is>
          <t>IDR</t>
        </is>
      </c>
      <c r="H288" s="387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6" t="n">
        <v>45437</v>
      </c>
      <c r="C289" s="387" t="n">
        <v>7</v>
      </c>
      <c r="D289" s="396" t="inlineStr">
        <is>
          <t>Gasoline</t>
        </is>
      </c>
      <c r="E289" s="396" t="n"/>
      <c r="F289" s="392" t="n">
        <v>400000</v>
      </c>
      <c r="G289" s="387" t="inlineStr">
        <is>
          <t>IDR</t>
        </is>
      </c>
      <c r="H289" s="387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6" t="n">
        <v>45442</v>
      </c>
      <c r="C290" s="387" t="n">
        <v>8</v>
      </c>
      <c r="D290" s="396" t="inlineStr">
        <is>
          <t>Taxi CGK-Pondok Cabe (inc Toll+Parking)</t>
        </is>
      </c>
      <c r="E290" s="396" t="n"/>
      <c r="F290" s="392" t="n">
        <v>300000</v>
      </c>
      <c r="G290" s="387" t="inlineStr">
        <is>
          <t>IDR</t>
        </is>
      </c>
      <c r="H290" s="387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6" t="n">
        <v>45442</v>
      </c>
      <c r="C291" s="387" t="n">
        <v>9</v>
      </c>
      <c r="D291" s="388" t="inlineStr">
        <is>
          <t>Airplane Ticket PLM-CGK (2 Person)</t>
        </is>
      </c>
      <c r="E291" s="388" t="n"/>
      <c r="F291" s="392" t="n">
        <v>1326410</v>
      </c>
      <c r="G291" s="387" t="inlineStr">
        <is>
          <t>IDR</t>
        </is>
      </c>
      <c r="H291" s="387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6" t="n"/>
      <c r="C292" s="429" t="n"/>
      <c r="D292" s="395" t="inlineStr">
        <is>
          <t>Meal</t>
        </is>
      </c>
      <c r="E292" s="395" t="n"/>
      <c r="F292" s="392" t="n"/>
      <c r="G292" s="387" t="n"/>
      <c r="H292" s="387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6" t="n">
        <v>45437</v>
      </c>
      <c r="C293" s="387" t="n">
        <v>9</v>
      </c>
      <c r="D293" s="388" t="inlineStr">
        <is>
          <t>Meal Crew's Operational</t>
        </is>
      </c>
      <c r="E293" s="388" t="n"/>
      <c r="F293" s="397" t="n">
        <v>709300</v>
      </c>
      <c r="G293" s="387" t="inlineStr">
        <is>
          <t>IDR</t>
        </is>
      </c>
      <c r="H293" s="387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6" t="n"/>
      <c r="C294" s="429" t="n"/>
      <c r="D294" s="395" t="inlineStr">
        <is>
          <t>Meal</t>
        </is>
      </c>
      <c r="E294" s="395" t="n"/>
      <c r="F294" s="392" t="n"/>
      <c r="G294" s="387" t="n"/>
      <c r="H294" s="387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6" t="n">
        <v>45437</v>
      </c>
      <c r="C295" s="387" t="n">
        <v>10</v>
      </c>
      <c r="D295" s="388" t="inlineStr">
        <is>
          <t>Meals 7 days 1 Persons @ 150K IDR/day</t>
        </is>
      </c>
      <c r="E295" s="388" t="n"/>
      <c r="F295" s="392" t="n">
        <v>900000</v>
      </c>
      <c r="G295" s="387" t="inlineStr">
        <is>
          <t>IDR</t>
        </is>
      </c>
      <c r="H295" s="387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6" t="n"/>
      <c r="C296" s="429" t="n"/>
      <c r="D296" s="395" t="inlineStr">
        <is>
          <t>Allowance</t>
        </is>
      </c>
      <c r="E296" s="395" t="n"/>
      <c r="F296" s="392" t="n"/>
      <c r="G296" s="387" t="n"/>
      <c r="H296" s="387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6" t="n">
        <v>45437</v>
      </c>
      <c r="C297" s="429" t="n">
        <v>11</v>
      </c>
      <c r="D297" s="388" t="inlineStr">
        <is>
          <t>Tunjangan Lapangan for 6 days</t>
        </is>
      </c>
      <c r="E297" s="388" t="n"/>
      <c r="F297" s="392" t="n">
        <v>600</v>
      </c>
      <c r="G297" s="387" t="inlineStr">
        <is>
          <t>USD</t>
        </is>
      </c>
      <c r="H297" s="398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70" t="inlineStr">
        <is>
          <t>:</t>
        </is>
      </c>
      <c r="D298" s="372" t="n"/>
      <c r="E298" s="372" t="n"/>
      <c r="F298" s="373" t="n"/>
      <c r="G298" s="356" t="n"/>
      <c r="H298" s="356" t="n"/>
      <c r="I298" s="361" t="n"/>
      <c r="J298" s="376" t="n"/>
      <c r="K298" s="361" t="n"/>
      <c r="L298" s="361" t="n"/>
      <c r="M298" s="399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16" t="inlineStr">
        <is>
          <t>Training</t>
        </is>
      </c>
      <c r="E299" s="416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410" t="n"/>
      <c r="C301" s="338" t="n"/>
      <c r="D301" s="416" t="inlineStr">
        <is>
          <t>Transportation</t>
        </is>
      </c>
      <c r="E301" s="416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17" t="n">
        <v>45448</v>
      </c>
      <c r="C302" s="338" t="n">
        <v>2</v>
      </c>
      <c r="D302" s="424" t="inlineStr">
        <is>
          <t>Personal Car from Home to PT. LTJ (converted) DAY-1</t>
        </is>
      </c>
      <c r="E302" s="424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17" t="n">
        <v>45449</v>
      </c>
      <c r="C303" s="338" t="n">
        <v>3</v>
      </c>
      <c r="D303" s="424" t="inlineStr">
        <is>
          <t xml:space="preserve">Transport DAY - 2 BOSIET </t>
        </is>
      </c>
      <c r="E303" s="424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410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70" t="inlineStr">
        <is>
          <t>:</t>
        </is>
      </c>
      <c r="D305" s="372" t="n"/>
      <c r="E305" s="372" t="n"/>
      <c r="F305" s="373" t="n"/>
      <c r="G305" s="356" t="n"/>
      <c r="H305" s="356" t="n"/>
      <c r="I305" s="361" t="n"/>
      <c r="J305" s="376" t="n"/>
      <c r="K305" s="361" t="n"/>
      <c r="L305" s="361" t="n"/>
      <c r="M305" s="361" t="n"/>
      <c r="N305" s="399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6" t="n"/>
      <c r="C306" s="387" t="n"/>
      <c r="D306" s="395" t="inlineStr">
        <is>
          <t>Accommodation</t>
        </is>
      </c>
      <c r="E306" s="395" t="n"/>
      <c r="F306" s="421" t="n"/>
      <c r="G306" s="387" t="n"/>
      <c r="H306" s="387" t="n"/>
      <c r="I306" s="413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6" t="n">
        <v>45428</v>
      </c>
      <c r="C307" s="387" t="n">
        <v>1</v>
      </c>
      <c r="D307" s="388" t="inlineStr">
        <is>
          <t>Hotel 16 June - 19 June (3 days)</t>
        </is>
      </c>
      <c r="E307" s="388" t="n"/>
      <c r="F307" s="421" t="n">
        <v>720000</v>
      </c>
      <c r="G307" s="387" t="inlineStr">
        <is>
          <t>IDR</t>
        </is>
      </c>
      <c r="H307" s="387" t="n">
        <v>1</v>
      </c>
      <c r="I307" s="413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6" t="n">
        <v>45428</v>
      </c>
      <c r="C308" s="387" t="n">
        <v>2</v>
      </c>
      <c r="D308" s="388" t="inlineStr">
        <is>
          <t>Laundry 4 days 1 Persons @ 50K IDR/day</t>
        </is>
      </c>
      <c r="E308" s="388" t="n"/>
      <c r="F308" s="421">
        <f>4*50000</f>
        <v/>
      </c>
      <c r="G308" s="387" t="inlineStr">
        <is>
          <t>IDR</t>
        </is>
      </c>
      <c r="H308" s="387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6" t="n"/>
      <c r="C309" s="387" t="n"/>
      <c r="D309" s="395" t="inlineStr">
        <is>
          <t>Transportation</t>
        </is>
      </c>
      <c r="E309" s="395" t="n"/>
      <c r="F309" s="421" t="n"/>
      <c r="G309" s="387" t="n"/>
      <c r="H309" s="387" t="n"/>
      <c r="I309" s="413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6" t="n">
        <v>45428</v>
      </c>
      <c r="C310" s="387" t="n">
        <v>3</v>
      </c>
      <c r="D310" s="388" t="inlineStr">
        <is>
          <t xml:space="preserve">Airplane Ticket CGK-PLM </t>
        </is>
      </c>
      <c r="E310" s="388" t="n"/>
      <c r="F310" s="421" t="n">
        <v>995500</v>
      </c>
      <c r="G310" s="387" t="inlineStr">
        <is>
          <t>IDR</t>
        </is>
      </c>
      <c r="H310" s="387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6" t="n">
        <v>45428</v>
      </c>
      <c r="C311" s="387" t="n">
        <v>4</v>
      </c>
      <c r="D311" s="388" t="inlineStr">
        <is>
          <t>Taxi Pondok Cabe-CGK</t>
        </is>
      </c>
      <c r="E311" s="388" t="n"/>
      <c r="F311" s="421" t="n">
        <v>273500</v>
      </c>
      <c r="G311" s="387" t="inlineStr">
        <is>
          <t>IDR</t>
        </is>
      </c>
      <c r="H311" s="387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6" t="n">
        <v>45428</v>
      </c>
      <c r="C312" s="387" t="n">
        <v>5</v>
      </c>
      <c r="D312" s="388" t="inlineStr">
        <is>
          <t>Toll Prabumulih (PP)</t>
        </is>
      </c>
      <c r="E312" s="388" t="n"/>
      <c r="F312" s="421" t="n">
        <v>224000</v>
      </c>
      <c r="G312" s="387" t="inlineStr">
        <is>
          <t>IDR</t>
        </is>
      </c>
      <c r="H312" s="387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6" t="n">
        <v>45428</v>
      </c>
      <c r="C313" s="387" t="n">
        <v>6</v>
      </c>
      <c r="D313" s="388" t="inlineStr">
        <is>
          <t>Rent Car 4 Days</t>
        </is>
      </c>
      <c r="E313" s="388" t="n"/>
      <c r="F313" s="421" t="n">
        <v>2000000</v>
      </c>
      <c r="G313" s="387" t="inlineStr">
        <is>
          <t>IDR</t>
        </is>
      </c>
      <c r="H313" s="387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6" t="n">
        <v>45428</v>
      </c>
      <c r="C314" s="387" t="n">
        <v>7</v>
      </c>
      <c r="D314" s="396" t="inlineStr">
        <is>
          <t>Gasoline</t>
        </is>
      </c>
      <c r="E314" s="396" t="n"/>
      <c r="F314" s="421" t="n">
        <v>330000</v>
      </c>
      <c r="G314" s="387" t="inlineStr">
        <is>
          <t>IDR</t>
        </is>
      </c>
      <c r="H314" s="387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6" t="n">
        <v>45428</v>
      </c>
      <c r="C315" s="387" t="n">
        <v>8</v>
      </c>
      <c r="D315" s="396" t="inlineStr">
        <is>
          <t>Taxi HLP-Pondok Cabe (inc Toll+Parking)</t>
        </is>
      </c>
      <c r="E315" s="396" t="n"/>
      <c r="F315" s="421" t="n">
        <v>270000</v>
      </c>
      <c r="G315" s="387" t="inlineStr">
        <is>
          <t>IDR</t>
        </is>
      </c>
      <c r="H315" s="387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6" t="n">
        <v>45428</v>
      </c>
      <c r="C316" s="387" t="n">
        <v>9</v>
      </c>
      <c r="D316" s="388" t="inlineStr">
        <is>
          <t>Airplane Ticket PLM-HLP</t>
        </is>
      </c>
      <c r="E316" s="388" t="n"/>
      <c r="F316" s="421" t="n">
        <v>1004000</v>
      </c>
      <c r="G316" s="387" t="inlineStr">
        <is>
          <t>IDR</t>
        </is>
      </c>
      <c r="H316" s="387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6" t="n"/>
      <c r="C317" s="429" t="n"/>
      <c r="D317" s="395" t="inlineStr">
        <is>
          <t>Logistic</t>
        </is>
      </c>
      <c r="E317" s="395" t="n"/>
      <c r="F317" s="421" t="n"/>
      <c r="G317" s="387" t="n"/>
      <c r="H317" s="387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6" t="n">
        <v>45428</v>
      </c>
      <c r="C318" s="387" t="n">
        <v>9</v>
      </c>
      <c r="D318" s="388" t="inlineStr">
        <is>
          <t>Uneed Power Station</t>
        </is>
      </c>
      <c r="E318" s="388" t="n"/>
      <c r="F318" s="397" t="n">
        <v>2371000</v>
      </c>
      <c r="G318" s="387" t="inlineStr">
        <is>
          <t>IDR</t>
        </is>
      </c>
      <c r="H318" s="387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6" t="n"/>
      <c r="C319" s="429" t="n"/>
      <c r="D319" s="395" t="inlineStr">
        <is>
          <t>Meal</t>
        </is>
      </c>
      <c r="E319" s="395" t="n"/>
      <c r="F319" s="421" t="n"/>
      <c r="G319" s="387" t="n"/>
      <c r="H319" s="387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6" t="n">
        <v>45428</v>
      </c>
      <c r="C320" s="387" t="n">
        <v>10</v>
      </c>
      <c r="D320" s="388" t="inlineStr">
        <is>
          <t>Meals 4 days 1 Persons @ 150K IDR/day</t>
        </is>
      </c>
      <c r="E320" s="388" t="n"/>
      <c r="F320" s="421">
        <f>4*150000</f>
        <v/>
      </c>
      <c r="G320" s="387" t="inlineStr">
        <is>
          <t>IDR</t>
        </is>
      </c>
      <c r="H320" s="387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6" t="n"/>
      <c r="C321" s="429" t="n"/>
      <c r="D321" s="395" t="inlineStr">
        <is>
          <t>Allowance</t>
        </is>
      </c>
      <c r="E321" s="395" t="n"/>
      <c r="F321" s="421" t="n"/>
      <c r="G321" s="387" t="n"/>
      <c r="H321" s="387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6" t="n">
        <v>45428</v>
      </c>
      <c r="C322" s="429" t="n">
        <v>11</v>
      </c>
      <c r="D322" s="388" t="inlineStr">
        <is>
          <t xml:space="preserve">Tunjangan Lapangan for 4 days </t>
        </is>
      </c>
      <c r="E322" s="388" t="n"/>
      <c r="F322" s="421">
        <f>4*100</f>
        <v/>
      </c>
      <c r="G322" s="387" t="inlineStr">
        <is>
          <t>USD</t>
        </is>
      </c>
      <c r="H322" s="398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70" t="inlineStr">
        <is>
          <t>:</t>
        </is>
      </c>
      <c r="D323" s="372" t="n"/>
      <c r="E323" s="372" t="n"/>
      <c r="F323" s="373" t="n"/>
      <c r="G323" s="356" t="n"/>
      <c r="H323" s="356" t="n"/>
      <c r="I323" s="361" t="n"/>
      <c r="J323" s="376" t="n"/>
      <c r="K323" s="361" t="n"/>
      <c r="L323" s="361" t="n"/>
      <c r="M323" s="376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6" t="n"/>
      <c r="C324" s="387" t="n"/>
      <c r="D324" s="395" t="inlineStr">
        <is>
          <t>Transportation</t>
        </is>
      </c>
      <c r="E324" s="395" t="n"/>
      <c r="F324" s="421" t="n"/>
      <c r="G324" s="387" t="n"/>
      <c r="H324" s="387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6" t="n">
        <v>45478</v>
      </c>
      <c r="C325" s="387" t="n">
        <v>1</v>
      </c>
      <c r="D325" s="388" t="inlineStr">
        <is>
          <t>Lalamove Gowell-Bogor-Gowell</t>
        </is>
      </c>
      <c r="E325" s="388" t="n"/>
      <c r="F325" s="421">
        <f>288715+306089</f>
        <v/>
      </c>
      <c r="G325" s="387" t="inlineStr">
        <is>
          <t>IDR</t>
        </is>
      </c>
      <c r="H325" s="387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6" t="n"/>
      <c r="C326" s="387" t="n"/>
      <c r="D326" s="395" t="inlineStr">
        <is>
          <t>Logistic</t>
        </is>
      </c>
      <c r="E326" s="395" t="n"/>
      <c r="F326" s="421" t="n"/>
      <c r="G326" s="387" t="n"/>
      <c r="H326" s="387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6" t="n">
        <v>45483</v>
      </c>
      <c r="C327" s="387" t="n">
        <v>2</v>
      </c>
      <c r="D327" s="388" t="inlineStr">
        <is>
          <t>Pin Punch</t>
        </is>
      </c>
      <c r="E327" s="388" t="n"/>
      <c r="F327" s="421" t="n">
        <v>381960</v>
      </c>
      <c r="G327" s="387" t="inlineStr">
        <is>
          <t>IDR</t>
        </is>
      </c>
      <c r="H327" s="387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6" t="n">
        <v>45483</v>
      </c>
      <c r="C328" s="387" t="n">
        <v>3</v>
      </c>
      <c r="D328" s="388" t="inlineStr">
        <is>
          <t>Hardcase Custom</t>
        </is>
      </c>
      <c r="E328" s="388" t="n"/>
      <c r="F328" s="421" t="n">
        <v>3595000</v>
      </c>
      <c r="G328" s="387" t="inlineStr">
        <is>
          <t>IDR</t>
        </is>
      </c>
      <c r="H328" s="387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70" t="inlineStr">
        <is>
          <t>:</t>
        </is>
      </c>
      <c r="D329" s="372" t="n"/>
      <c r="E329" s="372" t="n"/>
      <c r="F329" s="373" t="n"/>
      <c r="G329" s="356" t="n"/>
      <c r="H329" s="356" t="n"/>
      <c r="I329" s="361" t="n"/>
      <c r="J329" s="376" t="n"/>
      <c r="K329" s="361" t="n"/>
      <c r="L329" s="361" t="n"/>
      <c r="M329" s="399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6" t="n"/>
      <c r="C330" s="387" t="n"/>
      <c r="D330" s="395" t="inlineStr">
        <is>
          <t>Accommodation</t>
        </is>
      </c>
      <c r="E330" s="395" t="n"/>
      <c r="F330" s="392" t="n"/>
      <c r="G330" s="387" t="n"/>
      <c r="H330" s="387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6" t="n">
        <v>45481</v>
      </c>
      <c r="C331" s="387" t="n">
        <v>1</v>
      </c>
      <c r="D331" s="388" t="inlineStr">
        <is>
          <t>Hotel</t>
        </is>
      </c>
      <c r="E331" s="388" t="n"/>
      <c r="F331" s="392" t="n">
        <v>344305</v>
      </c>
      <c r="G331" s="387" t="inlineStr">
        <is>
          <t>IDR</t>
        </is>
      </c>
      <c r="H331" s="387" t="n">
        <v>1</v>
      </c>
      <c r="I331" s="413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6" t="n">
        <v>45481</v>
      </c>
      <c r="C332" s="387" t="n">
        <v>2</v>
      </c>
      <c r="D332" s="396" t="inlineStr">
        <is>
          <t>Hotel Tax Foreigner</t>
        </is>
      </c>
      <c r="E332" s="396" t="n"/>
      <c r="F332" s="392" t="n">
        <v>10</v>
      </c>
      <c r="G332" s="387" t="inlineStr">
        <is>
          <t>MYR</t>
        </is>
      </c>
      <c r="H332" s="387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6" t="n"/>
      <c r="C333" s="387" t="n"/>
      <c r="D333" s="395" t="inlineStr">
        <is>
          <t>Transportation</t>
        </is>
      </c>
      <c r="E333" s="395" t="n"/>
      <c r="F333" s="392" t="n"/>
      <c r="G333" s="387" t="n"/>
      <c r="H333" s="387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6" t="n">
        <v>45481</v>
      </c>
      <c r="C334" s="387" t="n">
        <v>3</v>
      </c>
      <c r="D334" s="388" t="inlineStr">
        <is>
          <t>Airplane Ticket CGK-KLIA</t>
        </is>
      </c>
      <c r="E334" s="388" t="n"/>
      <c r="F334" s="392" t="n">
        <v>4912100</v>
      </c>
      <c r="G334" s="387" t="inlineStr">
        <is>
          <t>IDR</t>
        </is>
      </c>
      <c r="H334" s="387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6" t="n">
        <v>45481</v>
      </c>
      <c r="C335" s="387" t="n">
        <v>4</v>
      </c>
      <c r="D335" s="396" t="inlineStr">
        <is>
          <t>Taxi Home - CGK</t>
        </is>
      </c>
      <c r="E335" s="396" t="n"/>
      <c r="F335" s="392" t="n">
        <v>250000</v>
      </c>
      <c r="G335" s="387" t="inlineStr">
        <is>
          <t>IDR</t>
        </is>
      </c>
      <c r="H335" s="387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6" t="n">
        <v>45481</v>
      </c>
      <c r="C336" s="387" t="n">
        <v>5</v>
      </c>
      <c r="D336" s="396" t="inlineStr">
        <is>
          <t>Taxi KLIA - Hotel</t>
        </is>
      </c>
      <c r="E336" s="396" t="n"/>
      <c r="F336" s="392" t="n">
        <v>72</v>
      </c>
      <c r="G336" s="387" t="inlineStr">
        <is>
          <t>MYR</t>
        </is>
      </c>
      <c r="H336" s="387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6" t="n">
        <v>45482</v>
      </c>
      <c r="C337" s="387" t="n">
        <v>6</v>
      </c>
      <c r="D337" s="388" t="inlineStr">
        <is>
          <t>Taxi Hyperseal - Hotel</t>
        </is>
      </c>
      <c r="E337" s="388" t="n"/>
      <c r="F337" s="392" t="n">
        <v>8</v>
      </c>
      <c r="G337" s="387" t="inlineStr">
        <is>
          <t>MYR</t>
        </is>
      </c>
      <c r="H337" s="387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6" t="n">
        <v>45482</v>
      </c>
      <c r="C338" s="387" t="n">
        <v>7</v>
      </c>
      <c r="D338" s="388" t="inlineStr">
        <is>
          <t>Taxi Hotel - KLIA</t>
        </is>
      </c>
      <c r="E338" s="388" t="n"/>
      <c r="F338" s="392" t="n">
        <v>82.03</v>
      </c>
      <c r="G338" s="387" t="inlineStr">
        <is>
          <t>MYR</t>
        </is>
      </c>
      <c r="H338" s="387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6" t="n">
        <v>45482</v>
      </c>
      <c r="C339" s="387" t="n">
        <v>8</v>
      </c>
      <c r="D339" s="396" t="inlineStr">
        <is>
          <t>Taxi CGK - Home</t>
        </is>
      </c>
      <c r="E339" s="396" t="n"/>
      <c r="F339" s="392" t="n">
        <v>259120</v>
      </c>
      <c r="G339" s="387" t="inlineStr">
        <is>
          <t>IDR</t>
        </is>
      </c>
      <c r="H339" s="387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6" t="n"/>
      <c r="C340" s="387" t="n"/>
      <c r="D340" s="395" t="inlineStr">
        <is>
          <t>Logistic</t>
        </is>
      </c>
      <c r="E340" s="395" t="n"/>
      <c r="F340" s="392" t="n"/>
      <c r="G340" s="387" t="n"/>
      <c r="H340" s="387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410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94" t="n">
        <v>9778400</v>
      </c>
      <c r="G341" s="387" t="inlineStr">
        <is>
          <t>IDR</t>
        </is>
      </c>
      <c r="H341" s="387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6" t="n">
        <v>45483</v>
      </c>
      <c r="C342" s="387" t="n">
        <v>10</v>
      </c>
      <c r="D342" s="396" t="inlineStr">
        <is>
          <t>OTG Type C</t>
        </is>
      </c>
      <c r="E342" s="396" t="n"/>
      <c r="F342" s="392" t="n">
        <v>163100</v>
      </c>
      <c r="G342" s="387" t="inlineStr">
        <is>
          <t>IDR</t>
        </is>
      </c>
      <c r="H342" s="387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70" t="inlineStr">
        <is>
          <t>:</t>
        </is>
      </c>
      <c r="D343" s="423" t="n"/>
      <c r="E343" s="423" t="n"/>
      <c r="F343" s="373" t="n"/>
      <c r="G343" s="356" t="n"/>
      <c r="H343" s="356" t="n"/>
      <c r="I343" s="361" t="n"/>
      <c r="J343" s="361" t="n"/>
      <c r="K343" s="361" t="n"/>
      <c r="L343" s="361" t="n"/>
      <c r="M343" s="399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70" t="inlineStr">
        <is>
          <t>:</t>
        </is>
      </c>
      <c r="D349" s="372" t="n"/>
      <c r="E349" s="372" t="n"/>
      <c r="F349" s="373" t="n"/>
      <c r="G349" s="356" t="n"/>
      <c r="H349" s="356" t="n"/>
      <c r="I349" s="399" t="n"/>
      <c r="J349" s="361" t="n"/>
      <c r="K349" s="361" t="n"/>
      <c r="L349" s="361" t="n"/>
      <c r="M349" s="399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16" t="inlineStr">
        <is>
          <t>Transportation</t>
        </is>
      </c>
      <c r="E350" s="416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410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410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410" t="n"/>
      <c r="C353" s="338" t="n"/>
      <c r="D353" s="416" t="inlineStr">
        <is>
          <t>Transportation</t>
        </is>
      </c>
      <c r="E353" s="416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17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410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410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410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410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410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410" t="n"/>
      <c r="C360" s="338" t="n"/>
      <c r="D360" s="430" t="inlineStr">
        <is>
          <t>Transportation</t>
        </is>
      </c>
      <c r="E360" s="430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410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410" t="n"/>
      <c r="C362" s="338" t="n"/>
      <c r="D362" s="418" t="inlineStr">
        <is>
          <t>Accommodation</t>
        </is>
      </c>
      <c r="E362" s="418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410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410" t="n"/>
      <c r="C364" s="338" t="n"/>
      <c r="D364" s="418" t="inlineStr">
        <is>
          <t>Allowance</t>
        </is>
      </c>
      <c r="E364" s="418" t="n"/>
      <c r="F364" s="348" t="n"/>
      <c r="G364" s="338" t="n"/>
      <c r="H364" s="338" t="n"/>
      <c r="I364" s="413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410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413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410" t="n"/>
      <c r="C366" s="338" t="n"/>
      <c r="D366" s="418" t="inlineStr">
        <is>
          <t>Laundry</t>
        </is>
      </c>
      <c r="E366" s="418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410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410" t="n"/>
      <c r="C368" s="338" t="n"/>
      <c r="D368" s="418" t="inlineStr">
        <is>
          <t>Allowance</t>
        </is>
      </c>
      <c r="E368" s="418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410" t="n">
        <v>45500</v>
      </c>
      <c r="C369" s="338" t="n"/>
      <c r="D369" s="424" t="inlineStr">
        <is>
          <t>Tunajngan Lapangan JRK-163 (21-27 Juli 2024). 1US$=16.200</t>
        </is>
      </c>
      <c r="E369" s="424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410" t="n"/>
      <c r="C370" s="338" t="n"/>
      <c r="D370" s="431" t="inlineStr">
        <is>
          <t>Operation</t>
        </is>
      </c>
      <c r="E370" s="431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410" t="n">
        <v>45495</v>
      </c>
      <c r="C371" s="338" t="n"/>
      <c r="D371" s="424" t="inlineStr">
        <is>
          <t>Rags - Gloves</t>
        </is>
      </c>
      <c r="E371" s="424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410" t="n">
        <v>45498</v>
      </c>
      <c r="C372" s="338" t="n"/>
      <c r="D372" s="424" t="inlineStr">
        <is>
          <t>Snacks</t>
        </is>
      </c>
      <c r="E372" s="424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410" t="n">
        <v>45498</v>
      </c>
      <c r="C373" s="338" t="n"/>
      <c r="D373" s="424" t="inlineStr">
        <is>
          <t>Battery for DTR (Spare)</t>
        </is>
      </c>
      <c r="E373" s="424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70" t="inlineStr">
        <is>
          <t>:</t>
        </is>
      </c>
      <c r="D374" s="372" t="n"/>
      <c r="E374" s="372" t="n"/>
      <c r="F374" s="373" t="n"/>
      <c r="G374" s="356" t="n"/>
      <c r="H374" s="356" t="n"/>
      <c r="I374" s="361" t="n"/>
      <c r="J374" s="361" t="n"/>
      <c r="K374" s="361" t="n"/>
      <c r="L374" s="361" t="n"/>
      <c r="M374" s="376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410" t="n"/>
      <c r="C375" s="338" t="n"/>
      <c r="D375" s="430" t="inlineStr">
        <is>
          <t>Allowance</t>
        </is>
      </c>
      <c r="E375" s="430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410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410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410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410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410" t="n"/>
      <c r="C380" s="338" t="n"/>
      <c r="D380" s="430" t="inlineStr">
        <is>
          <t>Allowance</t>
        </is>
      </c>
      <c r="E380" s="430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410" t="n">
        <v>45463</v>
      </c>
      <c r="C381" s="341" t="n">
        <v>3</v>
      </c>
      <c r="D381" s="424" t="inlineStr">
        <is>
          <t>Tunjangan LapanganJRK-163 (16 - 19 Juni 2024) pending job</t>
        </is>
      </c>
      <c r="E381" s="424" t="n"/>
      <c r="F381" s="426" t="n">
        <v>100</v>
      </c>
      <c r="G381" s="341" t="inlineStr">
        <is>
          <t>$</t>
        </is>
      </c>
      <c r="H381" s="341" t="n">
        <v>16300</v>
      </c>
      <c r="I381" s="432">
        <f>H381*F381</f>
        <v/>
      </c>
      <c r="J381" s="433" t="n"/>
      <c r="K381" s="433" t="n"/>
      <c r="L381" s="433" t="n"/>
      <c r="M381" s="432" t="n"/>
      <c r="N381" s="433" t="n"/>
      <c r="O381" s="433" t="n"/>
      <c r="P381" s="433" t="n"/>
      <c r="Q381" s="433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410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34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6" t="n"/>
      <c r="C384" s="387" t="n"/>
      <c r="D384" s="395" t="inlineStr">
        <is>
          <t>Laundry</t>
        </is>
      </c>
      <c r="E384" s="395" t="n"/>
      <c r="F384" s="392" t="n"/>
      <c r="G384" s="387" t="n"/>
      <c r="H384" s="387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6" t="n">
        <v>45511</v>
      </c>
      <c r="C385" s="387" t="n">
        <v>1</v>
      </c>
      <c r="D385" s="388" t="inlineStr">
        <is>
          <t>Laundry 10 days 1 Persons @ 50K IDR/day</t>
        </is>
      </c>
      <c r="E385" s="388" t="n"/>
      <c r="F385" s="392" t="n">
        <v>500000</v>
      </c>
      <c r="G385" s="387" t="inlineStr">
        <is>
          <t>IDR</t>
        </is>
      </c>
      <c r="H385" s="387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6" t="n"/>
      <c r="C386" s="387" t="n"/>
      <c r="D386" s="395" t="inlineStr">
        <is>
          <t>Meal</t>
        </is>
      </c>
      <c r="E386" s="395" t="n"/>
      <c r="F386" s="392" t="n"/>
      <c r="G386" s="387" t="n"/>
      <c r="H386" s="387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6" t="n">
        <v>45511</v>
      </c>
      <c r="C387" s="387" t="n">
        <v>2</v>
      </c>
      <c r="D387" s="388" t="inlineStr">
        <is>
          <t>Meals 10 days 1 Persons @ 150K IDR/day</t>
        </is>
      </c>
      <c r="E387" s="388" t="n"/>
      <c r="F387" s="392" t="n">
        <v>1500000</v>
      </c>
      <c r="G387" s="387" t="inlineStr">
        <is>
          <t>IDR</t>
        </is>
      </c>
      <c r="H387" s="387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6" t="n"/>
      <c r="C388" s="387" t="n"/>
      <c r="D388" s="395" t="inlineStr">
        <is>
          <t>Logistic</t>
        </is>
      </c>
      <c r="E388" s="395" t="n"/>
      <c r="F388" s="392" t="n"/>
      <c r="G388" s="387" t="n"/>
      <c r="H388" s="387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6" t="n">
        <v>45516</v>
      </c>
      <c r="C389" s="387" t="n">
        <v>3</v>
      </c>
      <c r="D389" s="388" t="inlineStr">
        <is>
          <t>Pelican Long Case 1770</t>
        </is>
      </c>
      <c r="E389" s="388" t="n"/>
      <c r="F389" s="392" t="n">
        <v>15166600</v>
      </c>
      <c r="G389" s="387" t="inlineStr">
        <is>
          <t>IDR</t>
        </is>
      </c>
      <c r="H389" s="387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6" t="n"/>
      <c r="C390" s="387" t="n"/>
      <c r="D390" s="395" t="inlineStr">
        <is>
          <t>Allowance</t>
        </is>
      </c>
      <c r="E390" s="395" t="n"/>
      <c r="F390" s="392" t="n"/>
      <c r="G390" s="387" t="n"/>
      <c r="H390" s="387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6" t="n">
        <v>45512</v>
      </c>
      <c r="C391" s="387" t="n">
        <v>4</v>
      </c>
      <c r="D391" s="388" t="inlineStr">
        <is>
          <t>Tunjangan Lapangan for 10 days</t>
        </is>
      </c>
      <c r="E391" s="388" t="n"/>
      <c r="F391" s="392" t="n">
        <v>1000</v>
      </c>
      <c r="G391" s="387" t="inlineStr">
        <is>
          <t>USD</t>
        </is>
      </c>
      <c r="H391" s="398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70" t="inlineStr">
        <is>
          <t>:</t>
        </is>
      </c>
      <c r="D392" s="372" t="n"/>
      <c r="E392" s="372" t="n"/>
      <c r="F392" s="373" t="n"/>
      <c r="G392" s="356" t="n"/>
      <c r="H392" s="356" t="n"/>
      <c r="I392" s="361" t="n"/>
      <c r="J392" s="361" t="n"/>
      <c r="K392" s="361" t="n"/>
      <c r="L392" s="361" t="n"/>
      <c r="M392" s="399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16" t="inlineStr">
        <is>
          <t>Transportation</t>
        </is>
      </c>
      <c r="E393" s="416" t="n"/>
      <c r="F393" s="394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410" t="n">
        <v>45507</v>
      </c>
      <c r="C394" s="338" t="n"/>
      <c r="D394" s="350" t="inlineStr">
        <is>
          <t>Jakarta - Semarang</t>
        </is>
      </c>
      <c r="E394" s="350" t="n"/>
      <c r="F394" s="394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410" t="n"/>
      <c r="C395" s="338" t="n"/>
      <c r="D395" s="416" t="inlineStr">
        <is>
          <t>Transportation</t>
        </is>
      </c>
      <c r="E395" s="416" t="n"/>
      <c r="F395" s="394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17" t="n">
        <v>45507</v>
      </c>
      <c r="C396" s="338" t="n"/>
      <c r="D396" s="339" t="inlineStr">
        <is>
          <t>Taxi+Tol Serpong - Gambir</t>
        </is>
      </c>
      <c r="E396" s="339" t="n"/>
      <c r="F396" s="394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17" t="n">
        <v>45507</v>
      </c>
      <c r="C397" s="338" t="n"/>
      <c r="D397" s="339" t="inlineStr">
        <is>
          <t>Gocar St. Tawang - PT. TIS</t>
        </is>
      </c>
      <c r="E397" s="339" t="n"/>
      <c r="F397" s="394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410" t="n">
        <v>45511</v>
      </c>
      <c r="C398" s="338" t="n"/>
      <c r="D398" s="339" t="inlineStr">
        <is>
          <t>Gocar Hotel to Tawang</t>
        </is>
      </c>
      <c r="E398" s="339" t="n"/>
      <c r="F398" s="394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410" t="n"/>
      <c r="C399" s="338" t="n"/>
      <c r="D399" s="418" t="inlineStr">
        <is>
          <t>Accommodation</t>
        </is>
      </c>
      <c r="E399" s="418" t="n"/>
      <c r="F399" s="394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410" t="n">
        <v>45507</v>
      </c>
      <c r="C400" s="338" t="n"/>
      <c r="D400" s="339" t="inlineStr">
        <is>
          <t>Hotel 3 Aug - 6 Aug 2024 (2 rooms)</t>
        </is>
      </c>
      <c r="E400" s="339" t="n"/>
      <c r="F400" s="394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410" t="n">
        <v>45509</v>
      </c>
      <c r="C401" s="338" t="n"/>
      <c r="D401" s="339" t="inlineStr">
        <is>
          <t>Hotel 6 Aug - 7 Aug 2024 (2 rooms)</t>
        </is>
      </c>
      <c r="E401" s="339" t="n"/>
      <c r="F401" s="394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410" t="n"/>
      <c r="C402" s="338" t="n"/>
      <c r="D402" s="418" t="inlineStr">
        <is>
          <t>Allowance</t>
        </is>
      </c>
      <c r="E402" s="418" t="n"/>
      <c r="F402" s="394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410" t="n">
        <v>45511</v>
      </c>
      <c r="C403" s="338" t="n"/>
      <c r="D403" s="339" t="inlineStr">
        <is>
          <t>Uang Makan (3 - 7 Aug 2024)</t>
        </is>
      </c>
      <c r="E403" s="339" t="n"/>
      <c r="F403" s="394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410" t="n"/>
      <c r="C404" s="338" t="n"/>
      <c r="D404" s="418" t="inlineStr">
        <is>
          <t>Laundry</t>
        </is>
      </c>
      <c r="E404" s="418" t="n"/>
      <c r="F404" s="394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410" t="n">
        <v>45511</v>
      </c>
      <c r="C405" s="338" t="n"/>
      <c r="D405" s="339" t="inlineStr">
        <is>
          <t>Laundry (3 - 7 Aug 2024)</t>
        </is>
      </c>
      <c r="E405" s="339" t="n"/>
      <c r="F405" s="394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410" t="n"/>
      <c r="C406" s="338" t="n"/>
      <c r="D406" s="418" t="inlineStr">
        <is>
          <t>Allowance</t>
        </is>
      </c>
      <c r="E406" s="418" t="n"/>
      <c r="F406" s="394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410" t="n">
        <v>45511</v>
      </c>
      <c r="C407" s="338" t="n"/>
      <c r="D407" s="424" t="inlineStr">
        <is>
          <t>Tunjangan LapanganRBG-3B PT. TIS (3-7 Aug 2024)</t>
        </is>
      </c>
      <c r="E407" s="424" t="n"/>
      <c r="F407" s="394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70" t="inlineStr">
        <is>
          <t>:</t>
        </is>
      </c>
      <c r="D408" s="372" t="n"/>
      <c r="E408" s="372" t="n"/>
      <c r="F408" s="373" t="n"/>
      <c r="G408" s="356" t="n"/>
      <c r="H408" s="356" t="n"/>
      <c r="I408" s="361" t="n"/>
      <c r="J408" s="361" t="n"/>
      <c r="K408" s="361" t="n"/>
      <c r="L408" s="361" t="n"/>
      <c r="M408" s="399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410" t="n"/>
      <c r="C417" s="338" t="n"/>
      <c r="D417" s="416" t="inlineStr">
        <is>
          <t>Shipping</t>
        </is>
      </c>
      <c r="E417" s="416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410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410" t="n"/>
      <c r="C419" s="338" t="n"/>
      <c r="D419" s="418" t="inlineStr">
        <is>
          <t>Transportation</t>
        </is>
      </c>
      <c r="E419" s="418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410" t="n"/>
      <c r="C434" s="338" t="n"/>
      <c r="D434" s="418" t="inlineStr">
        <is>
          <t>Meal</t>
        </is>
      </c>
      <c r="E434" s="418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70" t="inlineStr">
        <is>
          <t>:</t>
        </is>
      </c>
      <c r="D438" s="372" t="n"/>
      <c r="E438" s="372" t="n"/>
      <c r="F438" s="373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35" t="inlineStr">
        <is>
          <t>Transportation</t>
        </is>
      </c>
      <c r="E439" s="435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410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410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410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410" t="n"/>
      <c r="C443" s="338" t="n"/>
      <c r="D443" s="418" t="inlineStr">
        <is>
          <t>Accommodation</t>
        </is>
      </c>
      <c r="E443" s="418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410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410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410" t="n"/>
      <c r="C446" s="338" t="n"/>
      <c r="D446" s="418" t="inlineStr">
        <is>
          <t>Logistic</t>
        </is>
      </c>
      <c r="E446" s="418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410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410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410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410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410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410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410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410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410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410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410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410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410" t="n"/>
      <c r="C459" s="338" t="n"/>
      <c r="D459" s="418" t="inlineStr">
        <is>
          <t>Meal</t>
        </is>
      </c>
      <c r="E459" s="418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410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410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410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410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410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410" t="n"/>
      <c r="C465" s="338" t="n"/>
      <c r="D465" s="418" t="inlineStr">
        <is>
          <t>Allowance</t>
        </is>
      </c>
      <c r="E465" s="418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410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410" t="n"/>
      <c r="C467" s="338" t="n"/>
      <c r="D467" s="418" t="inlineStr">
        <is>
          <t>Allowance</t>
        </is>
      </c>
      <c r="E467" s="418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410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70" t="inlineStr">
        <is>
          <t>:</t>
        </is>
      </c>
      <c r="D469" s="372" t="n"/>
      <c r="E469" s="372" t="n"/>
      <c r="F469" s="373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6" t="n"/>
      <c r="C470" s="387" t="n"/>
      <c r="D470" s="395" t="inlineStr">
        <is>
          <t>Accommodation</t>
        </is>
      </c>
      <c r="E470" s="395" t="n"/>
      <c r="F470" s="392" t="n"/>
      <c r="G470" s="387" t="n"/>
      <c r="H470" s="387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6" t="n">
        <v>45502</v>
      </c>
      <c r="C471" s="387" t="n">
        <v>1</v>
      </c>
      <c r="D471" s="388" t="inlineStr">
        <is>
          <t>Electrical Bill</t>
        </is>
      </c>
      <c r="E471" s="388" t="n"/>
      <c r="F471" s="392" t="n">
        <v>159682</v>
      </c>
      <c r="G471" s="387" t="inlineStr">
        <is>
          <t>IDR</t>
        </is>
      </c>
      <c r="H471" s="387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6" t="n">
        <v>45502</v>
      </c>
      <c r="C472" s="387" t="n">
        <v>2</v>
      </c>
      <c r="D472" s="388" t="inlineStr">
        <is>
          <t>Laundry 10 days 1 Persons @ 50K IDR/day</t>
        </is>
      </c>
      <c r="E472" s="388" t="n"/>
      <c r="F472" s="392" t="n">
        <v>500000</v>
      </c>
      <c r="G472" s="387" t="inlineStr">
        <is>
          <t>IDR</t>
        </is>
      </c>
      <c r="H472" s="387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6" t="n"/>
      <c r="C473" s="387" t="n"/>
      <c r="D473" s="395" t="inlineStr">
        <is>
          <t>Transportation</t>
        </is>
      </c>
      <c r="E473" s="395" t="n"/>
      <c r="F473" s="392" t="n"/>
      <c r="G473" s="387" t="n"/>
      <c r="H473" s="387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6" t="n">
        <v>45499</v>
      </c>
      <c r="C474" s="387" t="n">
        <v>3</v>
      </c>
      <c r="D474" s="388" t="inlineStr">
        <is>
          <t>Lalamove Base to Barikin</t>
        </is>
      </c>
      <c r="E474" s="388" t="n"/>
      <c r="F474" s="392" t="n">
        <v>276500</v>
      </c>
      <c r="G474" s="387" t="inlineStr">
        <is>
          <t>IDR</t>
        </is>
      </c>
      <c r="H474" s="387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6" t="n">
        <v>45499</v>
      </c>
      <c r="C475" s="387" t="n">
        <v>4</v>
      </c>
      <c r="D475" s="388" t="inlineStr">
        <is>
          <t>Lalamove Pak Subi to Base</t>
        </is>
      </c>
      <c r="E475" s="388" t="n"/>
      <c r="F475" s="392" t="n">
        <v>63568</v>
      </c>
      <c r="G475" s="387" t="inlineStr">
        <is>
          <t>IDR</t>
        </is>
      </c>
      <c r="H475" s="387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6" t="n">
        <v>45517</v>
      </c>
      <c r="C476" s="387" t="n">
        <v>5</v>
      </c>
      <c r="D476" s="388" t="inlineStr">
        <is>
          <t>Lalamove Barikin to Base</t>
        </is>
      </c>
      <c r="E476" s="388" t="n"/>
      <c r="F476" s="392" t="n">
        <v>161885</v>
      </c>
      <c r="G476" s="387" t="inlineStr">
        <is>
          <t>IDR</t>
        </is>
      </c>
      <c r="H476" s="387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6" t="n"/>
      <c r="C477" s="387" t="n"/>
      <c r="D477" s="395" t="inlineStr">
        <is>
          <t>Operation</t>
        </is>
      </c>
      <c r="E477" s="395" t="n"/>
      <c r="F477" s="392" t="n"/>
      <c r="G477" s="387" t="n"/>
      <c r="H477" s="387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6" t="n">
        <v>45499</v>
      </c>
      <c r="C478" s="387" t="n">
        <v>6</v>
      </c>
      <c r="D478" s="388" t="inlineStr">
        <is>
          <t>TOP 1 High Temp Grease</t>
        </is>
      </c>
      <c r="E478" s="388" t="n"/>
      <c r="F478" s="392" t="n">
        <v>144900</v>
      </c>
      <c r="G478" s="387" t="inlineStr">
        <is>
          <t>IDR</t>
        </is>
      </c>
      <c r="H478" s="387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6" t="n"/>
      <c r="C479" s="429" t="n"/>
      <c r="D479" s="395" t="inlineStr">
        <is>
          <t>Meal</t>
        </is>
      </c>
      <c r="E479" s="395" t="n"/>
      <c r="F479" s="392" t="n"/>
      <c r="G479" s="387" t="n"/>
      <c r="H479" s="387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6" t="n">
        <v>45502</v>
      </c>
      <c r="C480" s="387" t="n">
        <v>7</v>
      </c>
      <c r="D480" s="388" t="inlineStr">
        <is>
          <t>Meal Crew's Operational</t>
        </is>
      </c>
      <c r="E480" s="388" t="n"/>
      <c r="F480" s="397" t="n">
        <v>263200</v>
      </c>
      <c r="G480" s="387" t="inlineStr">
        <is>
          <t>IDR</t>
        </is>
      </c>
      <c r="H480" s="387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6" t="n"/>
      <c r="C481" s="429" t="n"/>
      <c r="D481" s="395" t="inlineStr">
        <is>
          <t>Meal</t>
        </is>
      </c>
      <c r="E481" s="395" t="n"/>
      <c r="F481" s="392" t="n"/>
      <c r="G481" s="387" t="n"/>
      <c r="H481" s="387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6" t="n">
        <v>45502</v>
      </c>
      <c r="C482" s="387" t="n">
        <v>8</v>
      </c>
      <c r="D482" s="388" t="inlineStr">
        <is>
          <t>Meals 10 days 1 Persons @ 150K IDR/day</t>
        </is>
      </c>
      <c r="E482" s="388" t="n"/>
      <c r="F482" s="392" t="n">
        <v>1500000</v>
      </c>
      <c r="G482" s="387" t="inlineStr">
        <is>
          <t>IDR</t>
        </is>
      </c>
      <c r="H482" s="387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6" t="n"/>
      <c r="C483" s="429" t="n"/>
      <c r="D483" s="395" t="inlineStr">
        <is>
          <t>Allowance</t>
        </is>
      </c>
      <c r="E483" s="395" t="n"/>
      <c r="F483" s="392" t="n"/>
      <c r="G483" s="387" t="n"/>
      <c r="H483" s="387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6" t="n">
        <v>45502</v>
      </c>
      <c r="C484" s="387" t="n">
        <v>9</v>
      </c>
      <c r="D484" s="388" t="inlineStr">
        <is>
          <t xml:space="preserve">Tunjangan Lapangan for 10 days </t>
        </is>
      </c>
      <c r="E484" s="388" t="n"/>
      <c r="F484" s="392" t="n">
        <v>1000</v>
      </c>
      <c r="G484" s="387" t="inlineStr">
        <is>
          <t>USD</t>
        </is>
      </c>
      <c r="H484" s="398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70" t="inlineStr">
        <is>
          <t>:</t>
        </is>
      </c>
      <c r="D485" s="372" t="n"/>
      <c r="E485" s="372" t="n"/>
      <c r="F485" s="373" t="n"/>
      <c r="G485" s="356" t="n"/>
      <c r="H485" s="356" t="n"/>
      <c r="I485" s="361" t="n"/>
      <c r="J485" s="361" t="n"/>
      <c r="K485" s="361" t="n"/>
      <c r="L485" s="361" t="n"/>
      <c r="M485" s="361" t="n"/>
      <c r="N485" s="399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410" t="n"/>
      <c r="C486" s="338" t="n"/>
      <c r="D486" s="425" t="inlineStr">
        <is>
          <t>Allowance</t>
        </is>
      </c>
      <c r="E486" s="425" t="n"/>
      <c r="F486" s="348" t="n"/>
      <c r="G486" s="338" t="n"/>
      <c r="H486" s="338" t="n"/>
      <c r="I486" s="436" t="n"/>
      <c r="J486" s="436" t="n"/>
      <c r="K486" s="436" t="n"/>
      <c r="L486" s="436" t="n"/>
      <c r="M486" s="436" t="n"/>
      <c r="N486" s="436" t="n"/>
      <c r="O486" s="436" t="n"/>
      <c r="P486" s="436" t="n"/>
      <c r="Q486" s="436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410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410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410" t="n"/>
      <c r="C489" s="338" t="n"/>
      <c r="D489" s="425" t="inlineStr">
        <is>
          <t>Allowance</t>
        </is>
      </c>
      <c r="E489" s="425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410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70" t="inlineStr">
        <is>
          <t>:</t>
        </is>
      </c>
      <c r="D491" s="372" t="n"/>
      <c r="E491" s="372" t="n"/>
      <c r="F491" s="373" t="n"/>
      <c r="G491" s="356" t="n"/>
      <c r="H491" s="356" t="n"/>
      <c r="I491" s="437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6" t="n"/>
      <c r="C492" s="387" t="n"/>
      <c r="D492" s="438" t="inlineStr">
        <is>
          <t>Accommodation</t>
        </is>
      </c>
      <c r="E492" s="438" t="n"/>
      <c r="F492" s="392" t="n"/>
      <c r="G492" s="387" t="n"/>
      <c r="H492" s="387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6" t="n">
        <v>45541</v>
      </c>
      <c r="C493" s="387" t="n">
        <v>1</v>
      </c>
      <c r="D493" s="388" t="inlineStr">
        <is>
          <t>Hotel 6 Sept - 11 Sept (5 days)</t>
        </is>
      </c>
      <c r="E493" s="388" t="n"/>
      <c r="F493" s="392" t="n">
        <v>1800000</v>
      </c>
      <c r="G493" s="387" t="inlineStr">
        <is>
          <t>IDR</t>
        </is>
      </c>
      <c r="H493" s="387" t="n">
        <v>1</v>
      </c>
      <c r="I493" s="413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6" t="n">
        <v>45541</v>
      </c>
      <c r="C494" s="387" t="n">
        <v>2</v>
      </c>
      <c r="D494" s="388" t="inlineStr">
        <is>
          <t>Laundry 6 days 1 Persons @ 50K IDR/day</t>
        </is>
      </c>
      <c r="E494" s="388" t="n"/>
      <c r="F494" s="392" t="n">
        <v>300000</v>
      </c>
      <c r="G494" s="387" t="inlineStr">
        <is>
          <t>IDR</t>
        </is>
      </c>
      <c r="H494" s="387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6" t="n"/>
      <c r="C495" s="387" t="n"/>
      <c r="D495" s="438" t="inlineStr">
        <is>
          <t>Transportation</t>
        </is>
      </c>
      <c r="E495" s="438" t="n"/>
      <c r="F495" s="392" t="n"/>
      <c r="G495" s="387" t="n"/>
      <c r="H495" s="387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6" t="n">
        <v>45541</v>
      </c>
      <c r="C496" s="387" t="n">
        <v>3</v>
      </c>
      <c r="D496" s="388" t="inlineStr">
        <is>
          <t>Airplane Ticket CGK-PLM</t>
        </is>
      </c>
      <c r="E496" s="388" t="n"/>
      <c r="F496" s="392" t="n">
        <v>904682</v>
      </c>
      <c r="G496" s="387" t="inlineStr">
        <is>
          <t>IDR</t>
        </is>
      </c>
      <c r="H496" s="387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6" t="n">
        <v>45541</v>
      </c>
      <c r="C497" s="387" t="n">
        <v>4</v>
      </c>
      <c r="D497" s="388" t="inlineStr">
        <is>
          <t>Taxi Pondok Cabe-Vania-CGK (inc Toll)</t>
        </is>
      </c>
      <c r="E497" s="388" t="n"/>
      <c r="F497" s="392" t="n">
        <v>256500</v>
      </c>
      <c r="G497" s="387" t="inlineStr">
        <is>
          <t>IDR</t>
        </is>
      </c>
      <c r="H497" s="387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6" t="n">
        <v>45541</v>
      </c>
      <c r="C498" s="387" t="n">
        <v>5</v>
      </c>
      <c r="D498" s="388" t="inlineStr">
        <is>
          <t>Toll (PLM-Prabumulih-PLM)</t>
        </is>
      </c>
      <c r="E498" s="388" t="n"/>
      <c r="F498" s="392" t="n">
        <v>224000</v>
      </c>
      <c r="G498" s="387" t="inlineStr">
        <is>
          <t>IDR</t>
        </is>
      </c>
      <c r="H498" s="387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6" t="n">
        <v>45541</v>
      </c>
      <c r="C499" s="387" t="n">
        <v>6</v>
      </c>
      <c r="D499" s="388" t="inlineStr">
        <is>
          <t>Rent Car 6 Days</t>
        </is>
      </c>
      <c r="E499" s="388" t="n"/>
      <c r="F499" s="392" t="n">
        <v>3000000</v>
      </c>
      <c r="G499" s="387" t="inlineStr">
        <is>
          <t>IDR</t>
        </is>
      </c>
      <c r="H499" s="387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6" t="n">
        <v>45541</v>
      </c>
      <c r="C500" s="387" t="n">
        <v>7</v>
      </c>
      <c r="D500" s="396" t="inlineStr">
        <is>
          <t>Gasoline</t>
        </is>
      </c>
      <c r="E500" s="396" t="n"/>
      <c r="F500" s="392" t="n">
        <v>400000</v>
      </c>
      <c r="G500" s="387" t="inlineStr">
        <is>
          <t>IDR</t>
        </is>
      </c>
      <c r="H500" s="387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6" t="n">
        <v>45541</v>
      </c>
      <c r="C501" s="387" t="n">
        <v>8</v>
      </c>
      <c r="D501" s="396" t="inlineStr">
        <is>
          <t>Taxi CGK-Pondok Cabe (inc Toll+Parking)</t>
        </is>
      </c>
      <c r="E501" s="396" t="n"/>
      <c r="F501" s="392" t="n">
        <v>310660</v>
      </c>
      <c r="G501" s="387" t="inlineStr">
        <is>
          <t>IDR</t>
        </is>
      </c>
      <c r="H501" s="387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6" t="n">
        <v>45543</v>
      </c>
      <c r="C502" s="387" t="n">
        <v>9</v>
      </c>
      <c r="D502" s="388" t="inlineStr">
        <is>
          <t>Airplane Ticket PLM-CGK</t>
        </is>
      </c>
      <c r="E502" s="388" t="n"/>
      <c r="F502" s="392" t="n">
        <v>836100</v>
      </c>
      <c r="G502" s="387" t="inlineStr">
        <is>
          <t>IDR</t>
        </is>
      </c>
      <c r="H502" s="387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6" t="n"/>
      <c r="C503" s="429" t="n"/>
      <c r="D503" s="438" t="inlineStr">
        <is>
          <t>Allowance</t>
        </is>
      </c>
      <c r="E503" s="438" t="n"/>
      <c r="F503" s="392" t="n"/>
      <c r="G503" s="387" t="n"/>
      <c r="H503" s="387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6" t="n">
        <v>45541</v>
      </c>
      <c r="C504" s="387" t="n">
        <v>10</v>
      </c>
      <c r="D504" s="388" t="inlineStr">
        <is>
          <t>Field Allowance</t>
        </is>
      </c>
      <c r="E504" s="388" t="n"/>
      <c r="F504" s="392" t="n">
        <v>600</v>
      </c>
      <c r="G504" s="387" t="inlineStr">
        <is>
          <t>USD</t>
        </is>
      </c>
      <c r="H504" s="398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6" t="n">
        <v>45541</v>
      </c>
      <c r="C505" s="387" t="n">
        <v>11</v>
      </c>
      <c r="D505" s="388" t="inlineStr">
        <is>
          <t>Meals</t>
        </is>
      </c>
      <c r="E505" s="388" t="n"/>
      <c r="F505" s="392" t="n">
        <v>900000</v>
      </c>
      <c r="G505" s="387" t="inlineStr">
        <is>
          <t>IDR</t>
        </is>
      </c>
      <c r="H505" s="387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70" t="inlineStr">
        <is>
          <t>:</t>
        </is>
      </c>
      <c r="D506" s="372" t="n"/>
      <c r="E506" s="372" t="n"/>
      <c r="F506" s="373" t="n"/>
      <c r="G506" s="356" t="n"/>
      <c r="H506" s="356" t="n"/>
      <c r="I506" s="437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410" t="n"/>
      <c r="C507" s="338" t="n"/>
      <c r="D507" s="416" t="inlineStr">
        <is>
          <t>Transportation</t>
        </is>
      </c>
      <c r="E507" s="416" t="n"/>
      <c r="F507" s="348" t="n"/>
      <c r="G507" s="350" t="n"/>
      <c r="H507" s="439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17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39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17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39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410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39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410" t="n"/>
      <c r="C511" s="338" t="n"/>
      <c r="D511" s="418" t="inlineStr">
        <is>
          <t>Allowance</t>
        </is>
      </c>
      <c r="E511" s="418" t="n"/>
      <c r="F511" s="348" t="n"/>
      <c r="G511" s="350" t="n"/>
      <c r="H511" s="439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410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39" t="n">
        <v>1</v>
      </c>
      <c r="I512" s="413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410" t="n"/>
      <c r="C513" s="338" t="n"/>
      <c r="D513" s="418" t="inlineStr">
        <is>
          <t>Laundry</t>
        </is>
      </c>
      <c r="E513" s="418" t="n"/>
      <c r="F513" s="348" t="n"/>
      <c r="G513" s="350" t="n"/>
      <c r="H513" s="439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410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39" t="n">
        <v>1</v>
      </c>
      <c r="I514" s="413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410" t="n"/>
      <c r="C515" s="338" t="n"/>
      <c r="D515" s="418" t="inlineStr">
        <is>
          <t>Allowance</t>
        </is>
      </c>
      <c r="E515" s="418" t="n"/>
      <c r="F515" s="348" t="n"/>
      <c r="G515" s="350" t="n"/>
      <c r="H515" s="439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410" t="n">
        <v>45561</v>
      </c>
      <c r="C516" s="338" t="n">
        <v>6</v>
      </c>
      <c r="D516" s="424" t="inlineStr">
        <is>
          <t>Field Bonus SKW#26 (22 - 26 Sept 2024). 1US$=15.100</t>
        </is>
      </c>
      <c r="E516" s="424" t="n"/>
      <c r="F516" s="348">
        <f>5*100</f>
        <v/>
      </c>
      <c r="G516" s="350" t="inlineStr">
        <is>
          <t>IDR</t>
        </is>
      </c>
      <c r="H516" s="439" t="n">
        <v>15100</v>
      </c>
      <c r="I516" s="413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70" t="inlineStr">
        <is>
          <t>:</t>
        </is>
      </c>
      <c r="D517" s="372" t="n"/>
      <c r="E517" s="372" t="n"/>
      <c r="F517" s="373" t="n"/>
      <c r="G517" s="356" t="n"/>
      <c r="H517" s="356" t="n"/>
      <c r="I517" s="399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6" t="n"/>
      <c r="C518" s="387" t="n"/>
      <c r="D518" s="395" t="inlineStr">
        <is>
          <t>Accommodation</t>
        </is>
      </c>
      <c r="E518" s="395" t="n"/>
      <c r="F518" s="392" t="n"/>
      <c r="G518" s="387" t="n"/>
      <c r="H518" s="387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6" t="n">
        <v>45563</v>
      </c>
      <c r="C519" s="387" t="n">
        <v>1</v>
      </c>
      <c r="D519" s="388" t="inlineStr">
        <is>
          <t xml:space="preserve">Hotel 21 Sept - 27 Sept 2024 (6 days) </t>
        </is>
      </c>
      <c r="E519" s="388" t="n"/>
      <c r="F519" s="392" t="n">
        <v>1680000</v>
      </c>
      <c r="G519" s="387" t="inlineStr">
        <is>
          <t>IDR</t>
        </is>
      </c>
      <c r="H519" s="387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6" t="n">
        <v>45563</v>
      </c>
      <c r="C520" s="387" t="n">
        <v>2</v>
      </c>
      <c r="D520" s="388" t="inlineStr">
        <is>
          <t>Laundry 20 Sept - 27 Sept 2024 (7days) @ Rp. 50000</t>
        </is>
      </c>
      <c r="E520" s="388" t="n"/>
      <c r="F520" s="392" t="n">
        <v>350000</v>
      </c>
      <c r="G520" s="387" t="inlineStr">
        <is>
          <t>IDR</t>
        </is>
      </c>
      <c r="H520" s="387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6" t="n"/>
      <c r="C521" s="387" t="n"/>
      <c r="D521" s="395" t="inlineStr">
        <is>
          <t>Transportation</t>
        </is>
      </c>
      <c r="E521" s="395" t="n"/>
      <c r="F521" s="392" t="n"/>
      <c r="G521" s="387" t="n"/>
      <c r="H521" s="387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6" t="n">
        <v>45563</v>
      </c>
      <c r="C522" s="387" t="n"/>
      <c r="D522" s="388" t="inlineStr">
        <is>
          <t>Gasoline</t>
        </is>
      </c>
      <c r="E522" s="388" t="n"/>
      <c r="F522" s="392" t="n">
        <v>200000</v>
      </c>
      <c r="G522" s="387" t="inlineStr">
        <is>
          <t>IDR</t>
        </is>
      </c>
      <c r="H522" s="387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6" t="n">
        <v>45563</v>
      </c>
      <c r="C523" s="387" t="n"/>
      <c r="D523" s="388" t="inlineStr">
        <is>
          <t>Gasoline</t>
        </is>
      </c>
      <c r="E523" s="388" t="n"/>
      <c r="F523" s="392" t="n">
        <v>215000</v>
      </c>
      <c r="G523" s="387" t="inlineStr">
        <is>
          <t>IDR</t>
        </is>
      </c>
      <c r="H523" s="387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6" t="n">
        <v>45563</v>
      </c>
      <c r="C524" s="387" t="n"/>
      <c r="D524" s="388" t="inlineStr">
        <is>
          <t>Gasoline</t>
        </is>
      </c>
      <c r="E524" s="388" t="n"/>
      <c r="F524" s="392" t="n">
        <v>197000</v>
      </c>
      <c r="G524" s="387" t="inlineStr">
        <is>
          <t>IDR</t>
        </is>
      </c>
      <c r="H524" s="387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6" t="n">
        <v>45563</v>
      </c>
      <c r="C525" s="387" t="n"/>
      <c r="D525" s="388" t="inlineStr">
        <is>
          <t>Gasoline</t>
        </is>
      </c>
      <c r="E525" s="388" t="n"/>
      <c r="F525" s="392" t="n">
        <v>200000</v>
      </c>
      <c r="G525" s="387" t="inlineStr">
        <is>
          <t>IDR</t>
        </is>
      </c>
      <c r="H525" s="387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6" t="n">
        <v>45563</v>
      </c>
      <c r="C526" s="387" t="n"/>
      <c r="D526" s="388" t="inlineStr">
        <is>
          <t>Gasoline</t>
        </is>
      </c>
      <c r="E526" s="388" t="n"/>
      <c r="F526" s="392" t="n">
        <v>220000</v>
      </c>
      <c r="G526" s="387" t="inlineStr">
        <is>
          <t>IDR</t>
        </is>
      </c>
      <c r="H526" s="387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6" t="n">
        <v>45563</v>
      </c>
      <c r="C527" s="387" t="n"/>
      <c r="D527" s="388" t="inlineStr">
        <is>
          <t>Toll (PLM-Prabumulih)</t>
        </is>
      </c>
      <c r="E527" s="388" t="n"/>
      <c r="F527" s="392" t="n">
        <v>112000</v>
      </c>
      <c r="G527" s="387" t="inlineStr">
        <is>
          <t>IDR</t>
        </is>
      </c>
      <c r="H527" s="387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6" t="n">
        <v>45563</v>
      </c>
      <c r="C528" s="387" t="n"/>
      <c r="D528" s="388" t="inlineStr">
        <is>
          <t>Toll (Prabumulih-PLM)</t>
        </is>
      </c>
      <c r="E528" s="388" t="n"/>
      <c r="F528" s="392" t="n">
        <v>117000</v>
      </c>
      <c r="G528" s="387" t="inlineStr">
        <is>
          <t>IDR</t>
        </is>
      </c>
      <c r="H528" s="387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6" t="n">
        <v>45563</v>
      </c>
      <c r="C529" s="387" t="n"/>
      <c r="D529" s="388" t="inlineStr">
        <is>
          <t>Car Wash</t>
        </is>
      </c>
      <c r="E529" s="388" t="n"/>
      <c r="F529" s="392" t="n">
        <v>40000</v>
      </c>
      <c r="G529" s="387" t="inlineStr">
        <is>
          <t>IDR</t>
        </is>
      </c>
      <c r="H529" s="387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6" t="n"/>
      <c r="C530" s="387" t="n"/>
      <c r="D530" s="395" t="inlineStr">
        <is>
          <t>Operation</t>
        </is>
      </c>
      <c r="E530" s="395" t="n"/>
      <c r="F530" s="392" t="n"/>
      <c r="G530" s="387" t="n"/>
      <c r="H530" s="387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6" t="n">
        <v>45563</v>
      </c>
      <c r="C531" s="387" t="n"/>
      <c r="D531" s="396" t="inlineStr">
        <is>
          <t>Aqua 600 ML + Sunlight</t>
        </is>
      </c>
      <c r="E531" s="396" t="n"/>
      <c r="F531" s="392" t="n">
        <v>65000</v>
      </c>
      <c r="G531" s="387" t="inlineStr">
        <is>
          <t>IDR</t>
        </is>
      </c>
      <c r="H531" s="387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6" t="n">
        <v>45563</v>
      </c>
      <c r="C532" s="387" t="n"/>
      <c r="D532" s="396" t="inlineStr">
        <is>
          <t>Fried Food + Soft Drink</t>
        </is>
      </c>
      <c r="E532" s="396" t="n"/>
      <c r="F532" s="392" t="n">
        <v>150000</v>
      </c>
      <c r="G532" s="387" t="inlineStr">
        <is>
          <t>IDR</t>
        </is>
      </c>
      <c r="H532" s="387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6" t="n">
        <v>45563</v>
      </c>
      <c r="C533" s="387" t="n"/>
      <c r="D533" s="396" t="inlineStr">
        <is>
          <t>Meal's Crew</t>
        </is>
      </c>
      <c r="E533" s="396" t="n"/>
      <c r="F533" s="392" t="n">
        <v>120000</v>
      </c>
      <c r="G533" s="387" t="inlineStr">
        <is>
          <t>IDR</t>
        </is>
      </c>
      <c r="H533" s="387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6" t="n">
        <v>45563</v>
      </c>
      <c r="C534" s="387" t="n"/>
      <c r="D534" s="396" t="inlineStr">
        <is>
          <t>Snack's Crew</t>
        </is>
      </c>
      <c r="E534" s="396" t="n"/>
      <c r="F534" s="392" t="n">
        <v>172000</v>
      </c>
      <c r="G534" s="387" t="inlineStr">
        <is>
          <t>IDR</t>
        </is>
      </c>
      <c r="H534" s="387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6" t="n">
        <v>45563</v>
      </c>
      <c r="C535" s="387" t="n"/>
      <c r="D535" s="396" t="inlineStr">
        <is>
          <t xml:space="preserve">Meal's + Soft Drink Crew </t>
        </is>
      </c>
      <c r="E535" s="396" t="n"/>
      <c r="F535" s="392" t="n">
        <v>300000</v>
      </c>
      <c r="G535" s="387" t="inlineStr">
        <is>
          <t>IDR</t>
        </is>
      </c>
      <c r="H535" s="387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6" t="n">
        <v>45563</v>
      </c>
      <c r="C536" s="387" t="n"/>
      <c r="D536" s="396" t="inlineStr">
        <is>
          <t>Aqua 600 ML</t>
        </is>
      </c>
      <c r="E536" s="396" t="n"/>
      <c r="F536" s="392" t="n">
        <v>65000</v>
      </c>
      <c r="G536" s="387" t="inlineStr">
        <is>
          <t>IDR</t>
        </is>
      </c>
      <c r="H536" s="387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6" t="n">
        <v>45563</v>
      </c>
      <c r="C537" s="387" t="n"/>
      <c r="D537" s="396" t="inlineStr">
        <is>
          <t>Meal's Crws + Ice Tea</t>
        </is>
      </c>
      <c r="E537" s="396" t="n"/>
      <c r="F537" s="392" t="n">
        <v>200000</v>
      </c>
      <c r="G537" s="387" t="inlineStr">
        <is>
          <t>IDR</t>
        </is>
      </c>
      <c r="H537" s="387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6" t="n">
        <v>45563</v>
      </c>
      <c r="C538" s="387" t="n"/>
      <c r="D538" s="396" t="inlineStr">
        <is>
          <t>Snack's Crew</t>
        </is>
      </c>
      <c r="E538" s="396" t="n"/>
      <c r="F538" s="392" t="n">
        <v>240000</v>
      </c>
      <c r="G538" s="387" t="inlineStr">
        <is>
          <t>IDR</t>
        </is>
      </c>
      <c r="H538" s="387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6" t="n">
        <v>45563</v>
      </c>
      <c r="C539" s="387" t="n"/>
      <c r="D539" s="396" t="inlineStr">
        <is>
          <t xml:space="preserve">Meal's + Soft Drink Crew </t>
        </is>
      </c>
      <c r="E539" s="396" t="n"/>
      <c r="F539" s="392" t="n">
        <v>230000</v>
      </c>
      <c r="G539" s="387" t="inlineStr">
        <is>
          <t>IDR</t>
        </is>
      </c>
      <c r="H539" s="387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6" t="n">
        <v>45563</v>
      </c>
      <c r="C540" s="387" t="n"/>
      <c r="D540" s="396" t="inlineStr">
        <is>
          <t>Soft Drink</t>
        </is>
      </c>
      <c r="E540" s="396" t="n"/>
      <c r="F540" s="392" t="n">
        <v>110000</v>
      </c>
      <c r="G540" s="387" t="inlineStr">
        <is>
          <t>IDR</t>
        </is>
      </c>
      <c r="H540" s="387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6" t="n">
        <v>45563</v>
      </c>
      <c r="C541" s="387" t="n"/>
      <c r="D541" s="396" t="inlineStr">
        <is>
          <t xml:space="preserve">Black Coffe </t>
        </is>
      </c>
      <c r="E541" s="396" t="n"/>
      <c r="F541" s="392" t="n">
        <v>47000</v>
      </c>
      <c r="G541" s="387" t="inlineStr">
        <is>
          <t>IDR</t>
        </is>
      </c>
      <c r="H541" s="387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6" t="n"/>
      <c r="C542" s="429" t="n"/>
      <c r="D542" s="395" t="inlineStr">
        <is>
          <t>Allowance</t>
        </is>
      </c>
      <c r="E542" s="395" t="n"/>
      <c r="F542" s="392" t="n"/>
      <c r="G542" s="387" t="n"/>
      <c r="H542" s="387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6" t="n">
        <v>45563</v>
      </c>
      <c r="C543" s="429" t="n"/>
      <c r="D543" s="388" t="inlineStr">
        <is>
          <t>Field Allowance 20 Sept - 27 Sept 2024</t>
        </is>
      </c>
      <c r="E543" s="388" t="n"/>
      <c r="F543" s="392" t="n">
        <v>175</v>
      </c>
      <c r="G543" s="387" t="inlineStr">
        <is>
          <t>USD</t>
        </is>
      </c>
      <c r="H543" s="398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6" t="n">
        <v>45563</v>
      </c>
      <c r="C544" s="387" t="n"/>
      <c r="D544" s="388" t="inlineStr">
        <is>
          <t>Meals 20 Sept - 27 Sept 2024 7 days</t>
        </is>
      </c>
      <c r="E544" s="388" t="n"/>
      <c r="F544" s="392">
        <f>150000*7</f>
        <v/>
      </c>
      <c r="G544" s="387" t="inlineStr">
        <is>
          <t>IDR</t>
        </is>
      </c>
      <c r="H544" s="387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70" t="inlineStr">
        <is>
          <t>:</t>
        </is>
      </c>
      <c r="D545" s="372" t="n"/>
      <c r="E545" s="372" t="n"/>
      <c r="F545" s="373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16" t="inlineStr">
        <is>
          <t>Transportation</t>
        </is>
      </c>
      <c r="E546" s="416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410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410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410" t="n"/>
      <c r="C549" s="338" t="n"/>
      <c r="D549" s="416" t="inlineStr">
        <is>
          <t>Transportation</t>
        </is>
      </c>
      <c r="E549" s="416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410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410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410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410" t="n"/>
      <c r="C553" s="338" t="n"/>
      <c r="D553" s="430" t="inlineStr">
        <is>
          <t>Transportation</t>
        </is>
      </c>
      <c r="E553" s="430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410" t="n"/>
      <c r="C554" s="338" t="n"/>
      <c r="D554" s="418" t="inlineStr">
        <is>
          <t>Accommodation</t>
        </is>
      </c>
      <c r="E554" s="418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410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410" t="n"/>
      <c r="C556" s="338" t="n"/>
      <c r="D556" s="418" t="inlineStr">
        <is>
          <t>Allowance</t>
        </is>
      </c>
      <c r="E556" s="418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410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410" t="n"/>
      <c r="C558" s="338" t="n"/>
      <c r="D558" s="418" t="inlineStr">
        <is>
          <t>Allowance</t>
        </is>
      </c>
      <c r="E558" s="418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410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413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70" t="inlineStr">
        <is>
          <t>:</t>
        </is>
      </c>
      <c r="D560" s="372" t="n"/>
      <c r="E560" s="372" t="n"/>
      <c r="F560" s="373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410" t="n"/>
      <c r="C561" s="338" t="n"/>
      <c r="D561" s="418" t="inlineStr">
        <is>
          <t>Transportation</t>
        </is>
      </c>
      <c r="E561" s="418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40" t="n"/>
      <c r="C572" s="440" t="n"/>
      <c r="D572" s="441" t="inlineStr">
        <is>
          <t>Trip</t>
        </is>
      </c>
      <c r="E572" s="441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410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410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410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410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410" t="n"/>
      <c r="C577" s="338" t="n"/>
      <c r="D577" s="418" t="inlineStr">
        <is>
          <t>Accommodation</t>
        </is>
      </c>
      <c r="E577" s="418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410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410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410" t="n"/>
      <c r="C580" s="338" t="n"/>
      <c r="D580" s="418" t="inlineStr">
        <is>
          <t>Meal</t>
        </is>
      </c>
      <c r="E580" s="418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410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70" t="inlineStr">
        <is>
          <t>:</t>
        </is>
      </c>
      <c r="D583" s="372" t="n"/>
      <c r="E583" s="372" t="n"/>
      <c r="F583" s="373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35" t="inlineStr">
        <is>
          <t>Medical</t>
        </is>
      </c>
      <c r="E584" s="435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410" t="n"/>
      <c r="C594" s="338" t="n"/>
      <c r="D594" s="416" t="inlineStr">
        <is>
          <t>Shipping</t>
        </is>
      </c>
      <c r="E594" s="416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410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410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410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410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410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70" t="inlineStr">
        <is>
          <t>:</t>
        </is>
      </c>
      <c r="D600" s="372" t="n"/>
      <c r="E600" s="372" t="n"/>
      <c r="F600" s="373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6" t="n"/>
      <c r="C601" s="387" t="n"/>
      <c r="D601" s="395" t="inlineStr">
        <is>
          <t>Accommodation</t>
        </is>
      </c>
      <c r="E601" s="395" t="n"/>
      <c r="F601" s="421" t="n"/>
      <c r="G601" s="387" t="n"/>
      <c r="H601" s="387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6" t="n">
        <v>45558</v>
      </c>
      <c r="C602" s="387" t="n">
        <v>1</v>
      </c>
      <c r="D602" s="388" t="inlineStr">
        <is>
          <t>Hotel 23 Sept - 26 Sept (3 days)</t>
        </is>
      </c>
      <c r="E602" s="388" t="n"/>
      <c r="F602" s="421">
        <f>1175684+408500</f>
        <v/>
      </c>
      <c r="G602" s="387" t="inlineStr">
        <is>
          <t>IDR</t>
        </is>
      </c>
      <c r="H602" s="387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6" t="n">
        <v>45558</v>
      </c>
      <c r="C603" s="387" t="n">
        <v>2</v>
      </c>
      <c r="D603" s="388" t="inlineStr">
        <is>
          <t>Laundry 6 days 1 Persons @ 50K IDR/day</t>
        </is>
      </c>
      <c r="E603" s="388" t="n"/>
      <c r="F603" s="421">
        <f>5*50000</f>
        <v/>
      </c>
      <c r="G603" s="387" t="inlineStr">
        <is>
          <t>IDR</t>
        </is>
      </c>
      <c r="H603" s="387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6" t="n"/>
      <c r="C604" s="387" t="n"/>
      <c r="D604" s="395" t="inlineStr">
        <is>
          <t>Transportation</t>
        </is>
      </c>
      <c r="E604" s="395" t="n"/>
      <c r="F604" s="421" t="n"/>
      <c r="G604" s="387" t="n"/>
      <c r="H604" s="387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6" t="n">
        <v>45558</v>
      </c>
      <c r="C605" s="387" t="n">
        <v>3</v>
      </c>
      <c r="D605" s="388" t="inlineStr">
        <is>
          <t>Train Ticket Gambir-Cepu (2 pax)</t>
        </is>
      </c>
      <c r="E605" s="388" t="n"/>
      <c r="F605" s="421" t="n">
        <v>1213500</v>
      </c>
      <c r="G605" s="387" t="inlineStr">
        <is>
          <t>IDR</t>
        </is>
      </c>
      <c r="H605" s="387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6" t="n">
        <v>45558</v>
      </c>
      <c r="C606" s="387" t="n">
        <v>4</v>
      </c>
      <c r="D606" s="388" t="inlineStr">
        <is>
          <t>Taxi Pondok Cabe-Gambir</t>
        </is>
      </c>
      <c r="E606" s="388" t="n"/>
      <c r="F606" s="421" t="n">
        <v>132500</v>
      </c>
      <c r="G606" s="387" t="inlineStr">
        <is>
          <t>IDR</t>
        </is>
      </c>
      <c r="H606" s="387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6" t="n">
        <v>45558</v>
      </c>
      <c r="C607" s="387" t="n">
        <v>5</v>
      </c>
      <c r="D607" s="388" t="inlineStr">
        <is>
          <t>Demob Tools (Kalog)</t>
        </is>
      </c>
      <c r="E607" s="388" t="n"/>
      <c r="F607" s="421" t="n">
        <v>280400</v>
      </c>
      <c r="G607" s="387" t="inlineStr">
        <is>
          <t>IDR</t>
        </is>
      </c>
      <c r="H607" s="387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6" t="n">
        <v>45558</v>
      </c>
      <c r="C608" s="387" t="n">
        <v>6</v>
      </c>
      <c r="D608" s="396" t="inlineStr">
        <is>
          <t>Taxi Gambir-Pondok Cabe (inc Toll+Parking)</t>
        </is>
      </c>
      <c r="E608" s="396" t="n"/>
      <c r="F608" s="421" t="n">
        <v>326600</v>
      </c>
      <c r="G608" s="387" t="inlineStr">
        <is>
          <t>IDR</t>
        </is>
      </c>
      <c r="H608" s="387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6" t="n">
        <v>45558</v>
      </c>
      <c r="C609" s="387" t="n">
        <v>7</v>
      </c>
      <c r="D609" s="388" t="inlineStr">
        <is>
          <t>Train Ticket Bojonegoro-Gambir (2 pax)</t>
        </is>
      </c>
      <c r="E609" s="388" t="n"/>
      <c r="F609" s="421" t="n">
        <v>1653500</v>
      </c>
      <c r="G609" s="387" t="inlineStr">
        <is>
          <t>IDR</t>
        </is>
      </c>
      <c r="H609" s="387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6" t="n">
        <v>45558</v>
      </c>
      <c r="C610" s="387" t="n">
        <v>8</v>
      </c>
      <c r="D610" s="388" t="inlineStr">
        <is>
          <t>Lalamove Kalog-Gowell</t>
        </is>
      </c>
      <c r="E610" s="388" t="n"/>
      <c r="F610" s="421" t="n">
        <v>73584</v>
      </c>
      <c r="G610" s="387" t="inlineStr">
        <is>
          <t>IDR</t>
        </is>
      </c>
      <c r="H610" s="387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6" t="n"/>
      <c r="C611" s="429" t="n"/>
      <c r="D611" s="395" t="inlineStr">
        <is>
          <t>Allowance</t>
        </is>
      </c>
      <c r="E611" s="395" t="n"/>
      <c r="F611" s="421" t="n"/>
      <c r="G611" s="387" t="n"/>
      <c r="H611" s="387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6" t="n">
        <v>45558</v>
      </c>
      <c r="C612" s="387" t="n">
        <v>9</v>
      </c>
      <c r="D612" s="388" t="inlineStr">
        <is>
          <t>Field Allowance</t>
        </is>
      </c>
      <c r="E612" s="388" t="n"/>
      <c r="F612" s="421">
        <f>5*100</f>
        <v/>
      </c>
      <c r="G612" s="387" t="inlineStr">
        <is>
          <t>USD</t>
        </is>
      </c>
      <c r="H612" s="398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6" t="n">
        <v>45558</v>
      </c>
      <c r="C613" s="387" t="n">
        <v>10</v>
      </c>
      <c r="D613" s="388" t="inlineStr">
        <is>
          <t>Meals</t>
        </is>
      </c>
      <c r="E613" s="388" t="n"/>
      <c r="F613" s="421">
        <f>5*150000</f>
        <v/>
      </c>
      <c r="G613" s="387" t="inlineStr">
        <is>
          <t>IDR</t>
        </is>
      </c>
      <c r="H613" s="387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70" t="inlineStr">
        <is>
          <t>:</t>
        </is>
      </c>
      <c r="D614" s="372" t="n"/>
      <c r="E614" s="372" t="n"/>
      <c r="F614" s="373" t="n"/>
      <c r="G614" s="356" t="n"/>
      <c r="H614" s="356" t="n"/>
      <c r="I614" s="361" t="n"/>
      <c r="J614" s="361" t="n"/>
      <c r="K614" s="361" t="n"/>
      <c r="L614" s="361" t="n"/>
      <c r="M614" s="399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410" t="n"/>
      <c r="C615" s="338" t="n"/>
      <c r="D615" s="416" t="inlineStr">
        <is>
          <t>Transportation</t>
        </is>
      </c>
      <c r="E615" s="416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410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410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410" t="n"/>
      <c r="C618" s="338" t="n"/>
      <c r="D618" s="430" t="inlineStr">
        <is>
          <t>Accommodation</t>
        </is>
      </c>
      <c r="E618" s="430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410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410" t="n"/>
      <c r="C620" s="338" t="n"/>
      <c r="D620" s="418" t="inlineStr">
        <is>
          <t>Logistic</t>
        </is>
      </c>
      <c r="E620" s="418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410" t="n"/>
      <c r="C621" s="338" t="n"/>
      <c r="D621" s="430" t="inlineStr">
        <is>
          <t>Meal</t>
        </is>
      </c>
      <c r="E621" s="430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410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410" t="n"/>
      <c r="C623" s="338" t="n"/>
      <c r="D623" s="430" t="inlineStr">
        <is>
          <t>Allowance</t>
        </is>
      </c>
      <c r="E623" s="430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410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410" t="n"/>
      <c r="C625" s="338" t="n"/>
      <c r="D625" s="418" t="inlineStr">
        <is>
          <t>Allowance</t>
        </is>
      </c>
      <c r="E625" s="418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410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413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70" t="inlineStr">
        <is>
          <t>:</t>
        </is>
      </c>
      <c r="D627" s="372" t="n"/>
      <c r="E627" s="372" t="n"/>
      <c r="F627" s="373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6" t="n"/>
      <c r="C628" s="387" t="n"/>
      <c r="D628" s="395" t="inlineStr">
        <is>
          <t>Training</t>
        </is>
      </c>
      <c r="E628" s="395" t="n"/>
      <c r="F628" s="421" t="n"/>
      <c r="G628" s="387" t="n"/>
      <c r="H628" s="387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6" t="n">
        <v>45622</v>
      </c>
      <c r="C629" s="387" t="n">
        <v>1</v>
      </c>
      <c r="D629" s="388" t="inlineStr">
        <is>
          <t>Basic Sea Survival</t>
        </is>
      </c>
      <c r="E629" s="388" t="n"/>
      <c r="F629" s="421" t="n">
        <v>2700000</v>
      </c>
      <c r="G629" s="387" t="inlineStr">
        <is>
          <t>IDR</t>
        </is>
      </c>
      <c r="H629" s="387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6" t="n"/>
      <c r="C630" s="387" t="n"/>
      <c r="D630" s="395" t="inlineStr">
        <is>
          <t>Transportation</t>
        </is>
      </c>
      <c r="E630" s="395" t="n"/>
      <c r="F630" s="421" t="n"/>
      <c r="G630" s="387" t="n"/>
      <c r="H630" s="387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6" t="n">
        <v>45622</v>
      </c>
      <c r="C631" s="387" t="n"/>
      <c r="D631" s="388" t="inlineStr">
        <is>
          <t>Gojek ( Damn Coffe - PT Lautan Tenang Jaya )</t>
        </is>
      </c>
      <c r="E631" s="388" t="n"/>
      <c r="F631" s="421" t="n">
        <v>15000</v>
      </c>
      <c r="G631" s="387" t="inlineStr">
        <is>
          <t>IDR</t>
        </is>
      </c>
      <c r="H631" s="387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6" t="n">
        <v>45622</v>
      </c>
      <c r="C632" s="387" t="n"/>
      <c r="D632" s="388" t="inlineStr">
        <is>
          <t>Gojek ( PT Lautan Tenang Jaya - Stasiun MRT )</t>
        </is>
      </c>
      <c r="E632" s="388" t="n"/>
      <c r="F632" s="421" t="n">
        <v>15000</v>
      </c>
      <c r="G632" s="387" t="inlineStr">
        <is>
          <t>IDR</t>
        </is>
      </c>
      <c r="H632" s="387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6" t="n">
        <v>45622</v>
      </c>
      <c r="C633" s="387" t="n"/>
      <c r="D633" s="388" t="inlineStr">
        <is>
          <t>Gojek ( Stasiun Sudimara - Home )</t>
        </is>
      </c>
      <c r="E633" s="388" t="n"/>
      <c r="F633" s="421" t="n">
        <v>15000</v>
      </c>
      <c r="G633" s="387" t="inlineStr">
        <is>
          <t>IDR</t>
        </is>
      </c>
      <c r="H633" s="387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6" t="n">
        <v>45622</v>
      </c>
      <c r="C634" s="387" t="n"/>
      <c r="D634" s="388" t="inlineStr">
        <is>
          <t xml:space="preserve">MRT ( Lebak Bulus - Duku Atas ) </t>
        </is>
      </c>
      <c r="E634" s="388" t="n"/>
      <c r="F634" s="421" t="n">
        <v>14000</v>
      </c>
      <c r="G634" s="387" t="inlineStr">
        <is>
          <t>IDR</t>
        </is>
      </c>
      <c r="H634" s="387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6" t="n">
        <v>45622</v>
      </c>
      <c r="C635" s="387" t="n"/>
      <c r="D635" s="388" t="inlineStr">
        <is>
          <t>KRL ( Duku Atas - Sudimara )</t>
        </is>
      </c>
      <c r="E635" s="388" t="n"/>
      <c r="F635" s="421" t="n">
        <v>3000</v>
      </c>
      <c r="G635" s="387" t="inlineStr">
        <is>
          <t>IDR</t>
        </is>
      </c>
      <c r="H635" s="387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70" t="inlineStr">
        <is>
          <t>:</t>
        </is>
      </c>
      <c r="D636" s="372" t="n"/>
      <c r="E636" s="372" t="n"/>
      <c r="F636" s="373" t="n"/>
      <c r="G636" s="356" t="n"/>
      <c r="H636" s="356" t="n"/>
      <c r="I636" s="361" t="n"/>
      <c r="J636" s="361" t="n"/>
      <c r="K636" s="361" t="n"/>
      <c r="L636" s="361" t="n"/>
      <c r="M636" s="399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42" t="n"/>
      <c r="C637" s="443" t="n"/>
      <c r="D637" s="444" t="inlineStr">
        <is>
          <t>Shipping</t>
        </is>
      </c>
      <c r="E637" s="444" t="n"/>
      <c r="F637" s="445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46" t="n">
        <v>45071</v>
      </c>
      <c r="C638" s="443" t="n"/>
      <c r="D638" s="447" t="inlineStr">
        <is>
          <t>Materai 15 pcs</t>
        </is>
      </c>
      <c r="E638" s="447" t="n"/>
      <c r="F638" s="448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46" t="n">
        <v>45085</v>
      </c>
      <c r="C639" s="443" t="n"/>
      <c r="D639" s="447" t="inlineStr">
        <is>
          <t>Plastic folder 3 pcs</t>
        </is>
      </c>
      <c r="E639" s="447" t="n"/>
      <c r="F639" s="449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46" t="n"/>
      <c r="C640" s="443" t="n"/>
      <c r="D640" s="447" t="inlineStr">
        <is>
          <t>JNE courier</t>
        </is>
      </c>
      <c r="E640" s="447" t="n"/>
      <c r="F640" s="450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46" t="n">
        <v>45076</v>
      </c>
      <c r="C641" s="443" t="n"/>
      <c r="D641" s="447" t="inlineStr">
        <is>
          <t>Lala Move courier</t>
        </is>
      </c>
      <c r="E641" s="447" t="n"/>
      <c r="F641" s="450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46" t="n">
        <v>45121</v>
      </c>
      <c r="C642" s="443" t="n"/>
      <c r="D642" s="447" t="inlineStr">
        <is>
          <t>Anvelope, Plastic map</t>
        </is>
      </c>
      <c r="E642" s="447" t="n"/>
      <c r="F642" s="450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46" t="n">
        <v>45261</v>
      </c>
      <c r="C643" s="443" t="n"/>
      <c r="D643" s="447" t="inlineStr">
        <is>
          <t>JNE courier</t>
        </is>
      </c>
      <c r="E643" s="447" t="n"/>
      <c r="F643" s="450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46" t="n">
        <v>45572</v>
      </c>
      <c r="C644" s="443" t="n"/>
      <c r="D644" s="447" t="inlineStr">
        <is>
          <t>Materai 6 pcs</t>
        </is>
      </c>
      <c r="E644" s="447" t="n"/>
      <c r="F644" s="450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46" t="n">
        <v>45555</v>
      </c>
      <c r="C645" s="443" t="n"/>
      <c r="D645" s="447" t="inlineStr">
        <is>
          <t>JNE courier</t>
        </is>
      </c>
      <c r="E645" s="447" t="n"/>
      <c r="F645" s="450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46" t="n">
        <v>45560</v>
      </c>
      <c r="C646" s="443" t="n"/>
      <c r="D646" s="447" t="inlineStr">
        <is>
          <t>POS courier</t>
        </is>
      </c>
      <c r="E646" s="447" t="n"/>
      <c r="F646" s="450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46" t="n">
        <v>45574</v>
      </c>
      <c r="C647" s="443" t="n"/>
      <c r="D647" s="447" t="inlineStr">
        <is>
          <t>POS courier</t>
        </is>
      </c>
      <c r="E647" s="447" t="n"/>
      <c r="F647" s="450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46" t="n">
        <v>45579</v>
      </c>
      <c r="C648" s="443" t="n"/>
      <c r="D648" s="447" t="inlineStr">
        <is>
          <t>JNE courier</t>
        </is>
      </c>
      <c r="E648" s="447" t="n"/>
      <c r="F648" s="450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46" t="n">
        <v>45579</v>
      </c>
      <c r="C649" s="443" t="n"/>
      <c r="D649" s="447" t="inlineStr">
        <is>
          <t>Materai 10 pcs</t>
        </is>
      </c>
      <c r="E649" s="447" t="n"/>
      <c r="F649" s="450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46" t="n">
        <v>45582</v>
      </c>
      <c r="C650" s="443" t="n"/>
      <c r="D650" s="447" t="inlineStr">
        <is>
          <t>Materai 5 pcs</t>
        </is>
      </c>
      <c r="E650" s="447" t="n"/>
      <c r="F650" s="450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46" t="n">
        <v>45617</v>
      </c>
      <c r="C651" s="443" t="n"/>
      <c r="D651" s="447" t="inlineStr">
        <is>
          <t>Materai 10 pcs</t>
        </is>
      </c>
      <c r="E651" s="447" t="n"/>
      <c r="F651" s="450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42" t="n"/>
      <c r="C652" s="443" t="n"/>
      <c r="D652" s="451" t="inlineStr">
        <is>
          <t>Transportation</t>
        </is>
      </c>
      <c r="E652" s="451" t="n"/>
      <c r="F652" s="450" t="n"/>
      <c r="G652" s="338" t="n"/>
      <c r="H652" s="338" t="n"/>
      <c r="I652" s="432" t="n"/>
      <c r="J652" s="432" t="n"/>
      <c r="K652" s="432" t="n"/>
      <c r="L652" s="432" t="n"/>
      <c r="M652" s="432" t="n"/>
      <c r="N652" s="432" t="n"/>
      <c r="O652" s="432" t="n"/>
      <c r="P652" s="432" t="n"/>
      <c r="Q652" s="432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46" t="n">
        <v>45579</v>
      </c>
      <c r="C653" s="443" t="n"/>
      <c r="D653" s="447" t="inlineStr">
        <is>
          <t>GoCar to Elnusa PP</t>
        </is>
      </c>
      <c r="E653" s="447" t="n"/>
      <c r="F653" s="450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32" t="n"/>
      <c r="K653" s="432" t="n"/>
      <c r="L653" s="432" t="n"/>
      <c r="M653" s="432" t="n"/>
      <c r="N653" s="432" t="n"/>
      <c r="O653" s="432" t="n"/>
      <c r="P653" s="432" t="n"/>
      <c r="Q653" s="432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46" t="n">
        <v>45579</v>
      </c>
      <c r="C654" s="443" t="n"/>
      <c r="D654" s="447" t="inlineStr">
        <is>
          <t>Tol &amp; parking fee</t>
        </is>
      </c>
      <c r="E654" s="447" t="n"/>
      <c r="F654" s="450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32" t="n"/>
      <c r="K654" s="432" t="n"/>
      <c r="L654" s="432" t="n"/>
      <c r="M654" s="432" t="n"/>
      <c r="N654" s="432" t="n"/>
      <c r="O654" s="432" t="n"/>
      <c r="P654" s="432" t="n"/>
      <c r="Q654" s="432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46" t="n">
        <v>45582</v>
      </c>
      <c r="C655" s="443" t="n"/>
      <c r="D655" s="447" t="inlineStr">
        <is>
          <t>GoCar to Elnusa PP</t>
        </is>
      </c>
      <c r="E655" s="447" t="n"/>
      <c r="F655" s="450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32" t="n"/>
      <c r="K655" s="432" t="n"/>
      <c r="L655" s="432" t="n"/>
      <c r="M655" s="432" t="n"/>
      <c r="N655" s="432" t="n"/>
      <c r="O655" s="432" t="n"/>
      <c r="P655" s="432" t="n"/>
      <c r="Q655" s="432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46" t="n">
        <v>45582</v>
      </c>
      <c r="C656" s="443" t="n"/>
      <c r="D656" s="447" t="inlineStr">
        <is>
          <t>Tol &amp; parking fee</t>
        </is>
      </c>
      <c r="E656" s="447" t="n"/>
      <c r="F656" s="450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32" t="n"/>
      <c r="K656" s="432" t="n"/>
      <c r="L656" s="432" t="n"/>
      <c r="M656" s="432" t="n"/>
      <c r="N656" s="432" t="n"/>
      <c r="O656" s="432" t="n"/>
      <c r="P656" s="432" t="n"/>
      <c r="Q656" s="432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46" t="n">
        <v>45617</v>
      </c>
      <c r="C657" s="443" t="n"/>
      <c r="D657" s="447" t="inlineStr">
        <is>
          <t>GoCar to Elnusa PP</t>
        </is>
      </c>
      <c r="E657" s="447" t="n"/>
      <c r="F657" s="450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32" t="n"/>
      <c r="K657" s="432" t="n"/>
      <c r="L657" s="432" t="n"/>
      <c r="M657" s="432" t="n"/>
      <c r="N657" s="432" t="n"/>
      <c r="O657" s="432" t="n"/>
      <c r="P657" s="432" t="n"/>
      <c r="Q657" s="432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46" t="n">
        <v>45617</v>
      </c>
      <c r="C658" s="443" t="n"/>
      <c r="D658" s="447" t="inlineStr">
        <is>
          <t>Tol &amp; parking fee</t>
        </is>
      </c>
      <c r="E658" s="447" t="n"/>
      <c r="F658" s="450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32" t="n"/>
      <c r="K658" s="432" t="n"/>
      <c r="L658" s="432" t="n"/>
      <c r="M658" s="432" t="n"/>
      <c r="N658" s="432" t="n"/>
      <c r="O658" s="432" t="n"/>
      <c r="P658" s="432" t="n"/>
      <c r="Q658" s="432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46" t="n">
        <v>45636</v>
      </c>
      <c r="C659" s="443" t="n"/>
      <c r="D659" s="447" t="inlineStr">
        <is>
          <t>GoCar to Elnusa PP</t>
        </is>
      </c>
      <c r="E659" s="447" t="n"/>
      <c r="F659" s="450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32" t="n"/>
      <c r="K659" s="432" t="n"/>
      <c r="L659" s="432" t="n"/>
      <c r="M659" s="432" t="n"/>
      <c r="N659" s="432" t="n"/>
      <c r="O659" s="432" t="n"/>
      <c r="P659" s="432" t="n"/>
      <c r="Q659" s="432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46" t="n">
        <v>45636</v>
      </c>
      <c r="C660" s="443" t="n"/>
      <c r="D660" s="447" t="inlineStr">
        <is>
          <t>Tol &amp; parking fee</t>
        </is>
      </c>
      <c r="E660" s="447" t="n"/>
      <c r="F660" s="450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32" t="n"/>
      <c r="K660" s="432" t="n"/>
      <c r="L660" s="432" t="n"/>
      <c r="M660" s="432" t="n"/>
      <c r="N660" s="432" t="n"/>
      <c r="O660" s="432" t="n"/>
      <c r="P660" s="432" t="n"/>
      <c r="Q660" s="432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52" t="inlineStr">
        <is>
          <t>Expense#41</t>
        </is>
      </c>
      <c r="C661" s="370" t="inlineStr">
        <is>
          <t>:</t>
        </is>
      </c>
      <c r="D661" s="453" t="n"/>
      <c r="E661" s="453" t="n"/>
      <c r="F661" s="454" t="n"/>
      <c r="G661" s="370" t="n"/>
      <c r="H661" s="370" t="n"/>
      <c r="I661" s="455" t="n"/>
      <c r="J661" s="455" t="n"/>
      <c r="K661" s="455" t="n"/>
      <c r="L661" s="455" t="n"/>
      <c r="M661" s="455" t="n"/>
      <c r="N661" s="455" t="n"/>
      <c r="O661" s="455" t="n"/>
      <c r="P661" s="455" t="n"/>
      <c r="Q661" s="455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32" t="n"/>
      <c r="J662" s="432" t="n"/>
      <c r="K662" s="432" t="n"/>
      <c r="L662" s="432" t="n"/>
      <c r="M662" s="432" t="n"/>
      <c r="N662" s="432">
        <f>F662</f>
        <v/>
      </c>
      <c r="O662" s="432" t="n"/>
      <c r="P662" s="432" t="n"/>
      <c r="Q662" s="432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52" t="inlineStr">
        <is>
          <t>Expense#42</t>
        </is>
      </c>
      <c r="C663" s="370" t="inlineStr">
        <is>
          <t>:</t>
        </is>
      </c>
      <c r="D663" s="453" t="n"/>
      <c r="E663" s="453" t="n"/>
      <c r="F663" s="454" t="n"/>
      <c r="G663" s="370" t="n"/>
      <c r="H663" s="370" t="n"/>
      <c r="I663" s="455" t="n"/>
      <c r="J663" s="455" t="n"/>
      <c r="K663" s="455" t="n"/>
      <c r="L663" s="455" t="n"/>
      <c r="M663" s="455" t="n"/>
      <c r="N663" s="455" t="n"/>
      <c r="O663" s="455" t="n"/>
      <c r="P663" s="455" t="n"/>
      <c r="Q663" s="455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17" t="n">
        <v>45640</v>
      </c>
      <c r="C664" s="338" t="n">
        <v>1</v>
      </c>
      <c r="D664" s="456" t="inlineStr">
        <is>
          <t>Pelican Case 1650</t>
        </is>
      </c>
      <c r="E664" s="456" t="n"/>
      <c r="F664" s="457" t="n">
        <v>8156000</v>
      </c>
      <c r="G664" s="458" t="inlineStr">
        <is>
          <t>IDR</t>
        </is>
      </c>
      <c r="H664" s="458" t="n">
        <v>1</v>
      </c>
      <c r="I664" s="432" t="n"/>
      <c r="J664" s="432" t="n"/>
      <c r="K664" s="432" t="n"/>
      <c r="L664" s="432" t="n"/>
      <c r="M664" s="432" t="n"/>
      <c r="N664" s="432">
        <f>F664</f>
        <v/>
      </c>
      <c r="O664" s="432" t="n"/>
      <c r="P664" s="432" t="n"/>
      <c r="Q664" s="432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70" t="inlineStr">
        <is>
          <t>:</t>
        </is>
      </c>
      <c r="D665" s="372" t="n"/>
      <c r="E665" s="372" t="n"/>
      <c r="F665" s="454" t="n"/>
      <c r="G665" s="370" t="n"/>
      <c r="H665" s="370" t="n"/>
      <c r="I665" s="455" t="n"/>
      <c r="J665" s="455" t="n"/>
      <c r="K665" s="455" t="n"/>
      <c r="L665" s="455" t="n"/>
      <c r="M665" s="455" t="n"/>
      <c r="N665" s="455" t="n"/>
      <c r="O665" s="455" t="n"/>
      <c r="P665" s="455" t="n"/>
      <c r="Q665" s="455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59" t="n"/>
      <c r="C666" s="459" t="n"/>
      <c r="D666" s="456" t="inlineStr">
        <is>
          <t>Medical</t>
        </is>
      </c>
      <c r="E666" s="456" t="n"/>
      <c r="F666" s="459" t="n"/>
      <c r="G666" s="458" t="n"/>
      <c r="H666" s="458" t="n"/>
      <c r="I666" s="432" t="n"/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32" t="n"/>
      <c r="J667" s="432" t="n"/>
      <c r="K667" s="432" t="n"/>
      <c r="L667" s="432" t="n"/>
      <c r="M667" s="432" t="n"/>
      <c r="N667" s="432" t="n"/>
      <c r="O667" s="432" t="n"/>
      <c r="P667" s="432">
        <f>F667</f>
        <v/>
      </c>
      <c r="Q667" s="432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32" t="n"/>
      <c r="J668" s="432" t="n"/>
      <c r="K668" s="432" t="n"/>
      <c r="L668" s="432" t="n"/>
      <c r="M668" s="432" t="n"/>
      <c r="N668" s="432" t="n"/>
      <c r="O668" s="432" t="n"/>
      <c r="P668" s="432">
        <f>F668</f>
        <v/>
      </c>
      <c r="Q668" s="432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32" t="n"/>
      <c r="J669" s="432" t="n"/>
      <c r="K669" s="432" t="n"/>
      <c r="L669" s="432" t="n"/>
      <c r="M669" s="432" t="n"/>
      <c r="N669" s="432" t="n"/>
      <c r="O669" s="432" t="n"/>
      <c r="P669" s="432">
        <f>F669</f>
        <v/>
      </c>
      <c r="Q669" s="432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32" t="n"/>
      <c r="J670" s="432" t="n"/>
      <c r="K670" s="432" t="n"/>
      <c r="L670" s="432" t="n"/>
      <c r="M670" s="432" t="n"/>
      <c r="N670" s="432" t="n"/>
      <c r="O670" s="432" t="n"/>
      <c r="P670" s="432">
        <f>F670</f>
        <v/>
      </c>
      <c r="Q670" s="432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32" t="n"/>
      <c r="J671" s="432" t="n"/>
      <c r="K671" s="432" t="n"/>
      <c r="L671" s="432" t="n"/>
      <c r="M671" s="432" t="n"/>
      <c r="N671" s="432" t="n"/>
      <c r="O671" s="432" t="n"/>
      <c r="P671" s="432">
        <f>F671</f>
        <v/>
      </c>
      <c r="Q671" s="432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32" t="n"/>
      <c r="J672" s="432" t="n"/>
      <c r="K672" s="432" t="n"/>
      <c r="L672" s="432" t="n"/>
      <c r="M672" s="432" t="n"/>
      <c r="N672" s="432" t="n"/>
      <c r="O672" s="432" t="n"/>
      <c r="P672" s="432">
        <f>F672</f>
        <v/>
      </c>
      <c r="Q672" s="432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32" t="n"/>
      <c r="J673" s="432" t="n"/>
      <c r="K673" s="432" t="n"/>
      <c r="L673" s="432" t="n"/>
      <c r="M673" s="432" t="n"/>
      <c r="N673" s="432" t="n"/>
      <c r="O673" s="432" t="n"/>
      <c r="P673" s="432">
        <f>F673</f>
        <v/>
      </c>
      <c r="Q673" s="432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32" t="n"/>
      <c r="J674" s="432" t="n"/>
      <c r="K674" s="432" t="n"/>
      <c r="L674" s="432" t="n"/>
      <c r="M674" s="432" t="n"/>
      <c r="N674" s="432" t="n"/>
      <c r="O674" s="432" t="n"/>
      <c r="P674" s="432">
        <f>F674</f>
        <v/>
      </c>
      <c r="Q674" s="432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410" t="n"/>
      <c r="C675" s="338" t="n"/>
      <c r="D675" s="416" t="inlineStr">
        <is>
          <t>Transportation</t>
        </is>
      </c>
      <c r="E675" s="416" t="n"/>
      <c r="F675" s="348" t="n"/>
      <c r="G675" s="338" t="n"/>
      <c r="H675" s="338" t="n"/>
      <c r="I675" s="432" t="n"/>
      <c r="J675" s="432" t="n"/>
      <c r="K675" s="432" t="n"/>
      <c r="L675" s="432" t="n"/>
      <c r="M675" s="432" t="n"/>
      <c r="N675" s="432" t="n"/>
      <c r="O675" s="432" t="n"/>
      <c r="P675" s="432" t="n"/>
      <c r="Q675" s="432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410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410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410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410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32" t="n"/>
      <c r="K679" s="432" t="n"/>
      <c r="L679" s="432" t="n"/>
      <c r="M679" s="432" t="n"/>
      <c r="N679" s="432" t="n"/>
      <c r="O679" s="432" t="n"/>
      <c r="P679" s="432" t="n"/>
      <c r="Q679" s="432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410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32" t="n"/>
      <c r="K680" s="432" t="n"/>
      <c r="L680" s="432" t="n"/>
      <c r="M680" s="432" t="n"/>
      <c r="N680" s="432" t="n"/>
      <c r="O680" s="432" t="n"/>
      <c r="P680" s="432" t="n"/>
      <c r="Q680" s="432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410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32" t="n"/>
      <c r="K681" s="432" t="n"/>
      <c r="L681" s="432" t="n"/>
      <c r="M681" s="432" t="n"/>
      <c r="N681" s="432" t="n"/>
      <c r="O681" s="432" t="n"/>
      <c r="P681" s="432" t="n"/>
      <c r="Q681" s="432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70" t="inlineStr">
        <is>
          <t>:</t>
        </is>
      </c>
      <c r="D682" s="372" t="n"/>
      <c r="E682" s="372" t="n"/>
      <c r="F682" s="373" t="n"/>
      <c r="G682" s="356" t="n"/>
      <c r="H682" s="356" t="n"/>
      <c r="I682" s="455" t="n"/>
      <c r="J682" s="455" t="n"/>
      <c r="K682" s="455" t="n"/>
      <c r="L682" s="455" t="n"/>
      <c r="M682" s="455" t="n"/>
      <c r="N682" s="455" t="n"/>
      <c r="O682" s="455" t="n"/>
      <c r="P682" s="455" t="n"/>
      <c r="Q682" s="455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410" t="n"/>
      <c r="C683" s="338" t="n"/>
      <c r="D683" s="416" t="inlineStr">
        <is>
          <t>Transportation</t>
        </is>
      </c>
      <c r="E683" s="416" t="n"/>
      <c r="F683" s="348" t="n"/>
      <c r="G683" s="338" t="n"/>
      <c r="H683" s="338" t="n"/>
      <c r="I683" s="432" t="n"/>
      <c r="J683" s="432" t="n"/>
      <c r="K683" s="432" t="n"/>
      <c r="L683" s="432" t="n"/>
      <c r="M683" s="432" t="n"/>
      <c r="N683" s="432" t="n"/>
      <c r="O683" s="432" t="n"/>
      <c r="P683" s="432" t="n"/>
      <c r="Q683" s="432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410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32" t="n"/>
      <c r="K684" s="432" t="n"/>
      <c r="L684" s="432" t="n"/>
      <c r="M684" s="432" t="n"/>
      <c r="N684" s="432" t="n"/>
      <c r="O684" s="432" t="n"/>
      <c r="P684" s="432" t="n"/>
      <c r="Q684" s="432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410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32" t="n"/>
      <c r="K685" s="432" t="n"/>
      <c r="L685" s="432" t="n"/>
      <c r="M685" s="432" t="n"/>
      <c r="N685" s="432" t="n"/>
      <c r="O685" s="432" t="n"/>
      <c r="P685" s="432" t="n"/>
      <c r="Q685" s="432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410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32" t="n"/>
      <c r="K686" s="432" t="n"/>
      <c r="L686" s="432" t="n"/>
      <c r="M686" s="432" t="n"/>
      <c r="N686" s="432" t="n"/>
      <c r="O686" s="432" t="n"/>
      <c r="P686" s="432" t="n"/>
      <c r="Q686" s="432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410" t="n"/>
      <c r="C687" s="338" t="n"/>
      <c r="D687" s="418" t="inlineStr">
        <is>
          <t>Meal</t>
        </is>
      </c>
      <c r="E687" s="418" t="n"/>
      <c r="F687" s="348" t="n"/>
      <c r="G687" s="338" t="n"/>
      <c r="H687" s="338" t="n"/>
      <c r="I687" s="432" t="n"/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410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32">
        <f>F688</f>
        <v/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410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32">
        <f>F689</f>
        <v/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410" t="n"/>
      <c r="C690" s="338" t="n"/>
      <c r="D690" s="418" t="inlineStr">
        <is>
          <t>Accommodation</t>
        </is>
      </c>
      <c r="E690" s="418" t="n"/>
      <c r="F690" s="348" t="n"/>
      <c r="G690" s="338" t="n"/>
      <c r="H690" s="338" t="n"/>
      <c r="I690" s="432" t="n"/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410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32" t="n"/>
      <c r="J691" s="432" t="n"/>
      <c r="K691" s="432" t="n"/>
      <c r="L691" s="432" t="n"/>
      <c r="M691" s="432">
        <f>F691</f>
        <v/>
      </c>
      <c r="N691" s="432" t="n"/>
      <c r="O691" s="432" t="n"/>
      <c r="P691" s="432" t="n"/>
      <c r="Q691" s="432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410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32" t="n"/>
      <c r="J692" s="432" t="n"/>
      <c r="K692" s="432" t="n"/>
      <c r="L692" s="432" t="n"/>
      <c r="M692" s="432" t="n"/>
      <c r="N692" s="432" t="n"/>
      <c r="O692" s="432" t="n"/>
      <c r="P692" s="432" t="n"/>
      <c r="Q692" s="432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60" t="n"/>
      <c r="E693" s="460" t="n"/>
      <c r="F693" s="373" t="n"/>
      <c r="G693" s="356" t="n"/>
      <c r="H693" s="356" t="n"/>
      <c r="I693" s="455" t="n"/>
      <c r="J693" s="455" t="n"/>
      <c r="K693" s="455" t="n"/>
      <c r="L693" s="455" t="n"/>
      <c r="M693" s="455" t="n"/>
      <c r="N693" s="455" t="n"/>
      <c r="O693" s="455" t="n"/>
      <c r="P693" s="455" t="n"/>
      <c r="Q693" s="455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61" t="n"/>
      <c r="C694" s="338" t="n"/>
      <c r="D694" s="461" t="inlineStr">
        <is>
          <t>Trip</t>
        </is>
      </c>
      <c r="E694" s="461" t="n"/>
      <c r="F694" s="348" t="n"/>
      <c r="G694" s="338" t="n"/>
      <c r="H694" s="338" t="n"/>
      <c r="I694" s="432" t="n"/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62" t="n">
        <v>45335</v>
      </c>
      <c r="C695" s="351" t="n">
        <v>1</v>
      </c>
      <c r="D695" s="463" t="inlineStr">
        <is>
          <t>Shipment Benchmark DTR to Malaysia</t>
        </is>
      </c>
      <c r="E695" s="463" t="n"/>
      <c r="F695" s="464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62" t="n">
        <v>45362</v>
      </c>
      <c r="C696" s="351" t="inlineStr">
        <is>
          <t>N/A</t>
        </is>
      </c>
      <c r="D696" s="463" t="inlineStr">
        <is>
          <t>Taxi Home - CGK Airport</t>
        </is>
      </c>
      <c r="E696" s="463" t="n"/>
      <c r="F696" s="464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62" t="n">
        <v>45362</v>
      </c>
      <c r="C697" s="351" t="n">
        <v>2</v>
      </c>
      <c r="D697" s="463" t="inlineStr">
        <is>
          <t>Flight CGK-KUL + Hotel 1 night</t>
        </is>
      </c>
      <c r="E697" s="463" t="n"/>
      <c r="F697" s="464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62" t="n">
        <v>45362</v>
      </c>
      <c r="C698" s="351" t="inlineStr">
        <is>
          <t>N/A</t>
        </is>
      </c>
      <c r="D698" s="465" t="inlineStr">
        <is>
          <t>Train KLIA Airport to Hyperseal</t>
        </is>
      </c>
      <c r="E698" s="465" t="n"/>
      <c r="F698" s="464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62" t="n">
        <v>45363</v>
      </c>
      <c r="C699" s="351" t="n">
        <v>3</v>
      </c>
      <c r="D699" s="465" t="inlineStr">
        <is>
          <t>Flight KUL- CGK</t>
        </is>
      </c>
      <c r="E699" s="465" t="n"/>
      <c r="F699" s="464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62" t="n">
        <v>45363</v>
      </c>
      <c r="C700" s="351" t="inlineStr">
        <is>
          <t>N/A</t>
        </is>
      </c>
      <c r="D700" s="463" t="inlineStr">
        <is>
          <t>Train Hyperseal to KLIA Airport</t>
        </is>
      </c>
      <c r="E700" s="463" t="n"/>
      <c r="F700" s="464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62" t="n">
        <v>45363</v>
      </c>
      <c r="C701" s="351" t="inlineStr">
        <is>
          <t>N/A</t>
        </is>
      </c>
      <c r="D701" s="463" t="inlineStr">
        <is>
          <t>Taxi CGK Airport to Home</t>
        </is>
      </c>
      <c r="E701" s="463" t="n"/>
      <c r="F701" s="464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62" t="n">
        <v>45363</v>
      </c>
      <c r="C702" s="351" t="inlineStr">
        <is>
          <t>N/A</t>
        </is>
      </c>
      <c r="D702" s="465" t="inlineStr">
        <is>
          <t>Meals 2 days @ 300,000/day</t>
        </is>
      </c>
      <c r="E702" s="465" t="n"/>
      <c r="F702" s="464" t="n">
        <v>600000</v>
      </c>
      <c r="G702" s="351" t="inlineStr">
        <is>
          <t>IDR</t>
        </is>
      </c>
      <c r="H702" s="351" t="n">
        <v>1</v>
      </c>
      <c r="I702" s="432">
        <f>F702</f>
        <v/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61" t="n"/>
      <c r="C703" s="351" t="n"/>
      <c r="D703" s="461" t="inlineStr">
        <is>
          <t>Trip</t>
        </is>
      </c>
      <c r="E703" s="461" t="n"/>
      <c r="F703" s="464" t="n"/>
      <c r="G703" s="351" t="n"/>
      <c r="H703" s="351" t="n"/>
      <c r="I703" s="432" t="n"/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66" t="n">
        <v>45404</v>
      </c>
      <c r="C704" s="351" t="inlineStr">
        <is>
          <t>N/A</t>
        </is>
      </c>
      <c r="D704" s="463" t="inlineStr">
        <is>
          <t>Car 22-23 Apr 2024 (2 days) incl. Fuel &amp; Tol</t>
        </is>
      </c>
      <c r="E704" s="463" t="n"/>
      <c r="F704" s="464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62" t="n">
        <v>45405</v>
      </c>
      <c r="C705" s="351" t="inlineStr">
        <is>
          <t>N/A</t>
        </is>
      </c>
      <c r="D705" s="463" t="inlineStr">
        <is>
          <t>Tunjangan Lapangan @ 1.5 juta/day x 2 days</t>
        </is>
      </c>
      <c r="E705" s="463" t="n"/>
      <c r="F705" s="464" t="n">
        <v>3000000</v>
      </c>
      <c r="G705" s="351" t="inlineStr">
        <is>
          <t>IDR</t>
        </is>
      </c>
      <c r="H705" s="351" t="n">
        <v>1</v>
      </c>
      <c r="I705" s="432">
        <f>F705</f>
        <v/>
      </c>
      <c r="J705" s="432" t="n"/>
      <c r="K705" s="432" t="n"/>
      <c r="L705" s="432" t="n"/>
      <c r="M705" s="432" t="n"/>
      <c r="N705" s="432" t="n"/>
      <c r="O705" s="432" t="n"/>
      <c r="P705" s="432" t="n"/>
      <c r="Q705" s="432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62" t="n">
        <v>45405</v>
      </c>
      <c r="C706" s="351" t="inlineStr">
        <is>
          <t>N/A</t>
        </is>
      </c>
      <c r="D706" s="465" t="inlineStr">
        <is>
          <t>Meals 2 days @ 150,000/day</t>
        </is>
      </c>
      <c r="E706" s="465" t="n"/>
      <c r="F706" s="464" t="n">
        <v>300000</v>
      </c>
      <c r="G706" s="351" t="inlineStr">
        <is>
          <t>IDR</t>
        </is>
      </c>
      <c r="H706" s="351" t="n">
        <v>1</v>
      </c>
      <c r="I706" s="432">
        <f>F706</f>
        <v/>
      </c>
      <c r="J706" s="432" t="n"/>
      <c r="K706" s="432" t="n"/>
      <c r="L706" s="432" t="n"/>
      <c r="M706" s="432" t="n"/>
      <c r="N706" s="432" t="n"/>
      <c r="O706" s="432" t="n"/>
      <c r="P706" s="432" t="n"/>
      <c r="Q706" s="432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61" t="n"/>
      <c r="C707" s="351" t="n"/>
      <c r="D707" s="461" t="inlineStr">
        <is>
          <t>Trip</t>
        </is>
      </c>
      <c r="E707" s="461" t="n"/>
      <c r="F707" s="464" t="n"/>
      <c r="G707" s="351" t="n"/>
      <c r="H707" s="351" t="n"/>
      <c r="I707" s="432" t="n"/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62" t="n">
        <v>45412</v>
      </c>
      <c r="C708" s="351" t="inlineStr">
        <is>
          <t>N/A</t>
        </is>
      </c>
      <c r="D708" s="463" t="inlineStr">
        <is>
          <t>Car 30 Apr-01 May 2024 (2 days) incl. Fuel &amp; Tol</t>
        </is>
      </c>
      <c r="E708" s="463" t="n"/>
      <c r="F708" s="464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32" t="n"/>
      <c r="K708" s="432" t="n"/>
      <c r="L708" s="432" t="n"/>
      <c r="M708" s="432" t="n"/>
      <c r="N708" s="432" t="n"/>
      <c r="O708" s="432" t="n"/>
      <c r="P708" s="432" t="n"/>
      <c r="Q708" s="432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61" t="n"/>
      <c r="C709" s="351" t="n"/>
      <c r="D709" s="461" t="inlineStr">
        <is>
          <t>Training</t>
        </is>
      </c>
      <c r="E709" s="461" t="n"/>
      <c r="F709" s="464" t="n"/>
      <c r="G709" s="351" t="n"/>
      <c r="H709" s="351" t="n"/>
      <c r="I709" s="432" t="n"/>
      <c r="J709" s="432" t="n"/>
      <c r="K709" s="432" t="n"/>
      <c r="L709" s="432" t="n"/>
      <c r="M709" s="432" t="n"/>
      <c r="N709" s="432" t="n"/>
      <c r="O709" s="432" t="n"/>
      <c r="P709" s="432" t="n"/>
      <c r="Q709" s="432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66" t="n">
        <v>45646</v>
      </c>
      <c r="C710" s="351" t="inlineStr">
        <is>
          <t>N/A</t>
        </is>
      </c>
      <c r="D710" s="463" t="inlineStr">
        <is>
          <t>Taxi Home to KCIC Train station</t>
        </is>
      </c>
      <c r="E710" s="463" t="n"/>
      <c r="F710" s="464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66" t="n">
        <v>45646</v>
      </c>
      <c r="C711" s="351" t="inlineStr">
        <is>
          <t>N/A</t>
        </is>
      </c>
      <c r="D711" s="463" t="inlineStr">
        <is>
          <t>Train Round trip Jakarta - Bandung @200K/trip</t>
        </is>
      </c>
      <c r="E711" s="463" t="n"/>
      <c r="F711" s="464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32" t="n"/>
      <c r="K711" s="432" t="n"/>
      <c r="L711" s="432" t="n"/>
      <c r="M711" s="432" t="n"/>
      <c r="N711" s="432" t="n"/>
      <c r="O711" s="432" t="n"/>
      <c r="P711" s="432" t="n"/>
      <c r="Q711" s="432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66" t="n">
        <v>45647</v>
      </c>
      <c r="C712" s="351" t="n">
        <v>4</v>
      </c>
      <c r="D712" s="465" t="inlineStr">
        <is>
          <t>Hotel 1 night 20 - 21 Dec 2024</t>
        </is>
      </c>
      <c r="E712" s="465" t="n"/>
      <c r="F712" s="464" t="n">
        <v>784000</v>
      </c>
      <c r="G712" s="351" t="inlineStr">
        <is>
          <t>IDR</t>
        </is>
      </c>
      <c r="H712" s="351" t="n">
        <v>1</v>
      </c>
      <c r="I712" s="432">
        <f>F712</f>
        <v/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66" t="n">
        <v>45647</v>
      </c>
      <c r="C713" s="351" t="inlineStr">
        <is>
          <t>N/A</t>
        </is>
      </c>
      <c r="D713" s="465" t="inlineStr">
        <is>
          <t>Taxi from KCIC Stationa Halim to Home</t>
        </is>
      </c>
      <c r="E713" s="465" t="n"/>
      <c r="F713" s="464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66" t="n">
        <v>45647</v>
      </c>
      <c r="C714" s="351" t="inlineStr">
        <is>
          <t>N/A</t>
        </is>
      </c>
      <c r="D714" s="465" t="inlineStr">
        <is>
          <t>Meals 2 days @ 150,000/day</t>
        </is>
      </c>
      <c r="E714" s="465" t="n"/>
      <c r="F714" s="464" t="n">
        <v>300000</v>
      </c>
      <c r="G714" s="351" t="inlineStr">
        <is>
          <t>IDR</t>
        </is>
      </c>
      <c r="H714" s="351" t="n">
        <v>1</v>
      </c>
      <c r="I714" s="432">
        <f>F714</f>
        <v/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61" t="n"/>
      <c r="C715" s="351" t="n"/>
      <c r="D715" s="461" t="inlineStr">
        <is>
          <t>IT Services</t>
        </is>
      </c>
      <c r="E715" s="461" t="n"/>
      <c r="F715" s="464" t="n"/>
      <c r="G715" s="351" t="n"/>
      <c r="H715" s="351" t="n"/>
      <c r="I715" s="432" t="n"/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66" t="n">
        <v>44789</v>
      </c>
      <c r="C716" s="351" t="n">
        <v>5</v>
      </c>
      <c r="D716" s="463" t="inlineStr">
        <is>
          <t>Domain PT. Exspan Wireline Indonesia</t>
        </is>
      </c>
      <c r="E716" s="463" t="n"/>
      <c r="F716" s="464" t="n">
        <v>184182</v>
      </c>
      <c r="G716" s="351" t="inlineStr">
        <is>
          <t>IDR</t>
        </is>
      </c>
      <c r="H716" s="351" t="n">
        <v>1</v>
      </c>
      <c r="I716" s="432" t="n"/>
      <c r="J716" s="432" t="n"/>
      <c r="K716" s="432" t="n"/>
      <c r="L716" s="432" t="n"/>
      <c r="M716" s="432">
        <f>F716</f>
        <v/>
      </c>
      <c r="N716" s="432" t="n"/>
      <c r="O716" s="432" t="n"/>
      <c r="P716" s="432" t="n"/>
      <c r="Q716" s="432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66" t="n">
        <v>44820</v>
      </c>
      <c r="C717" s="351" t="n">
        <v>6</v>
      </c>
      <c r="D717" s="463" t="inlineStr">
        <is>
          <t>Google Workspace PT. EWI</t>
        </is>
      </c>
      <c r="E717" s="463" t="n"/>
      <c r="F717" s="464">
        <f>107437*1</f>
        <v/>
      </c>
      <c r="G717" s="351" t="inlineStr">
        <is>
          <t>IDR</t>
        </is>
      </c>
      <c r="H717" s="351" t="n">
        <v>1</v>
      </c>
      <c r="I717" s="432" t="n"/>
      <c r="J717" s="432" t="n"/>
      <c r="K717" s="432" t="n"/>
      <c r="L717" s="432" t="n"/>
      <c r="M717" s="432">
        <f>F717</f>
        <v/>
      </c>
      <c r="N717" s="432" t="n"/>
      <c r="O717" s="432" t="n"/>
      <c r="P717" s="432" t="n"/>
      <c r="Q717" s="432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66" t="n">
        <v>44850</v>
      </c>
      <c r="C718" s="351" t="n">
        <v>7</v>
      </c>
      <c r="D718" s="463" t="inlineStr">
        <is>
          <t>Google Workspace PT. EWI</t>
        </is>
      </c>
      <c r="E718" s="463" t="n"/>
      <c r="F718" s="464" t="n">
        <v>177258</v>
      </c>
      <c r="G718" s="351" t="inlineStr">
        <is>
          <t>IDR</t>
        </is>
      </c>
      <c r="H718" s="351" t="n">
        <v>1</v>
      </c>
      <c r="I718" s="432" t="n"/>
      <c r="J718" s="432" t="n"/>
      <c r="K718" s="432" t="n"/>
      <c r="L718" s="432" t="n"/>
      <c r="M718" s="432">
        <f>F718</f>
        <v/>
      </c>
      <c r="N718" s="432" t="n"/>
      <c r="O718" s="432" t="n"/>
      <c r="P718" s="432" t="n"/>
      <c r="Q718" s="432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66" t="n">
        <v>44881</v>
      </c>
      <c r="C719" s="351" t="n">
        <v>8</v>
      </c>
      <c r="D719" s="463" t="inlineStr">
        <is>
          <t>Google Workspace PT. EWI</t>
        </is>
      </c>
      <c r="E719" s="463" t="n"/>
      <c r="F719" s="464" t="n">
        <v>214896</v>
      </c>
      <c r="G719" s="351" t="inlineStr">
        <is>
          <t>IDR</t>
        </is>
      </c>
      <c r="H719" s="351" t="n">
        <v>1</v>
      </c>
      <c r="I719" s="432" t="n"/>
      <c r="J719" s="432" t="n"/>
      <c r="K719" s="432" t="n"/>
      <c r="L719" s="432" t="n"/>
      <c r="M719" s="432">
        <f>F719</f>
        <v/>
      </c>
      <c r="N719" s="432" t="n"/>
      <c r="O719" s="432" t="n"/>
      <c r="P719" s="432" t="n"/>
      <c r="Q719" s="432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66" t="n">
        <v>44911</v>
      </c>
      <c r="C720" s="351" t="n">
        <v>9</v>
      </c>
      <c r="D720" s="463" t="inlineStr">
        <is>
          <t>Google Workspace PT. EWI</t>
        </is>
      </c>
      <c r="E720" s="463" t="n"/>
      <c r="F720" s="464" t="n">
        <v>214896</v>
      </c>
      <c r="G720" s="351" t="inlineStr">
        <is>
          <t>IDR</t>
        </is>
      </c>
      <c r="H720" s="351" t="n">
        <v>1</v>
      </c>
      <c r="I720" s="432" t="n"/>
      <c r="J720" s="432" t="n"/>
      <c r="K720" s="432" t="n"/>
      <c r="L720" s="432" t="n"/>
      <c r="M720" s="432">
        <f>F720</f>
        <v/>
      </c>
      <c r="N720" s="432" t="n"/>
      <c r="O720" s="432" t="n"/>
      <c r="P720" s="432" t="n"/>
      <c r="Q720" s="432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66" t="n">
        <v>44942</v>
      </c>
      <c r="C721" s="351" t="n">
        <v>10</v>
      </c>
      <c r="D721" s="463" t="inlineStr">
        <is>
          <t>Google Workspace PT. EWI</t>
        </is>
      </c>
      <c r="E721" s="463" t="n"/>
      <c r="F721" s="464" t="n">
        <v>214896</v>
      </c>
      <c r="G721" s="351" t="inlineStr">
        <is>
          <t>IDR</t>
        </is>
      </c>
      <c r="H721" s="351" t="n">
        <v>1</v>
      </c>
      <c r="I721" s="432" t="n"/>
      <c r="J721" s="432" t="n"/>
      <c r="K721" s="432" t="n"/>
      <c r="L721" s="432" t="n"/>
      <c r="M721" s="432">
        <f>F721</f>
        <v/>
      </c>
      <c r="N721" s="432" t="n"/>
      <c r="O721" s="432" t="n"/>
      <c r="P721" s="432" t="n"/>
      <c r="Q721" s="432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66" t="n">
        <v>44973</v>
      </c>
      <c r="C722" s="351" t="n">
        <v>11</v>
      </c>
      <c r="D722" s="463" t="inlineStr">
        <is>
          <t>Google Workspace PT. EWI</t>
        </is>
      </c>
      <c r="E722" s="463" t="n"/>
      <c r="F722" s="464" t="n">
        <v>214896</v>
      </c>
      <c r="G722" s="351" t="inlineStr">
        <is>
          <t>IDR</t>
        </is>
      </c>
      <c r="H722" s="351" t="n">
        <v>1</v>
      </c>
      <c r="I722" s="432" t="n"/>
      <c r="J722" s="432" t="n"/>
      <c r="K722" s="432" t="n"/>
      <c r="L722" s="432" t="n"/>
      <c r="M722" s="432">
        <f>F722</f>
        <v/>
      </c>
      <c r="N722" s="432" t="n"/>
      <c r="O722" s="432" t="n"/>
      <c r="P722" s="432" t="n"/>
      <c r="Q722" s="432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66" t="n">
        <v>45001</v>
      </c>
      <c r="C723" s="351" t="n">
        <v>12</v>
      </c>
      <c r="D723" s="463" t="inlineStr">
        <is>
          <t>Google Workspace PT. EWI</t>
        </is>
      </c>
      <c r="E723" s="463" t="n"/>
      <c r="F723" s="464" t="n">
        <v>214896</v>
      </c>
      <c r="G723" s="351" t="inlineStr">
        <is>
          <t>IDR</t>
        </is>
      </c>
      <c r="H723" s="351" t="n">
        <v>1</v>
      </c>
      <c r="I723" s="432" t="n"/>
      <c r="J723" s="432" t="n"/>
      <c r="K723" s="432" t="n"/>
      <c r="L723" s="432" t="n"/>
      <c r="M723" s="432">
        <f>F723</f>
        <v/>
      </c>
      <c r="N723" s="432" t="n"/>
      <c r="O723" s="432" t="n"/>
      <c r="P723" s="432" t="n"/>
      <c r="Q723" s="432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66" t="n">
        <v>45032</v>
      </c>
      <c r="C724" s="351" t="n">
        <v>13</v>
      </c>
      <c r="D724" s="463" t="inlineStr">
        <is>
          <t>Google Workspace PT. EWI</t>
        </is>
      </c>
      <c r="E724" s="463" t="n"/>
      <c r="F724" s="464" t="n">
        <v>214896</v>
      </c>
      <c r="G724" s="351" t="inlineStr">
        <is>
          <t>IDR</t>
        </is>
      </c>
      <c r="H724" s="351" t="n">
        <v>1</v>
      </c>
      <c r="I724" s="432" t="n"/>
      <c r="J724" s="432" t="n"/>
      <c r="K724" s="432" t="n"/>
      <c r="L724" s="432" t="n"/>
      <c r="M724" s="432">
        <f>F724</f>
        <v/>
      </c>
      <c r="N724" s="432" t="n"/>
      <c r="O724" s="432" t="n"/>
      <c r="P724" s="432" t="n"/>
      <c r="Q724" s="432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66" t="n">
        <v>45062</v>
      </c>
      <c r="C725" s="351" t="n">
        <v>14</v>
      </c>
      <c r="D725" s="463" t="inlineStr">
        <is>
          <t>Google Workspace PT. EWI</t>
        </is>
      </c>
      <c r="E725" s="463" t="n"/>
      <c r="F725" s="464" t="n">
        <v>214896</v>
      </c>
      <c r="G725" s="351" t="inlineStr">
        <is>
          <t>IDR</t>
        </is>
      </c>
      <c r="H725" s="351" t="n">
        <v>1</v>
      </c>
      <c r="I725" s="432" t="n"/>
      <c r="J725" s="432" t="n"/>
      <c r="K725" s="432" t="n"/>
      <c r="L725" s="432" t="n"/>
      <c r="M725" s="432">
        <f>F725</f>
        <v/>
      </c>
      <c r="N725" s="432" t="n"/>
      <c r="O725" s="432" t="n"/>
      <c r="P725" s="432" t="n"/>
      <c r="Q725" s="432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66" t="n">
        <v>45093</v>
      </c>
      <c r="C726" s="351" t="n">
        <v>15</v>
      </c>
      <c r="D726" s="463" t="inlineStr">
        <is>
          <t>Google Workspace PT. EWI</t>
        </is>
      </c>
      <c r="E726" s="463" t="n"/>
      <c r="F726" s="464" t="n">
        <v>214896</v>
      </c>
      <c r="G726" s="351" t="inlineStr">
        <is>
          <t>IDR</t>
        </is>
      </c>
      <c r="H726" s="351" t="n">
        <v>1</v>
      </c>
      <c r="I726" s="432" t="n"/>
      <c r="J726" s="432" t="n"/>
      <c r="K726" s="432" t="n"/>
      <c r="L726" s="432" t="n"/>
      <c r="M726" s="432">
        <f>F726</f>
        <v/>
      </c>
      <c r="N726" s="432" t="n"/>
      <c r="O726" s="432" t="n"/>
      <c r="P726" s="432" t="n"/>
      <c r="Q726" s="432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66" t="n">
        <v>45123</v>
      </c>
      <c r="C727" s="351" t="n">
        <v>16</v>
      </c>
      <c r="D727" s="463" t="inlineStr">
        <is>
          <t>Google Workspace PT. EWI</t>
        </is>
      </c>
      <c r="E727" s="463" t="n"/>
      <c r="F727" s="464" t="n">
        <v>214896</v>
      </c>
      <c r="G727" s="351" t="inlineStr">
        <is>
          <t>IDR</t>
        </is>
      </c>
      <c r="H727" s="351" t="n">
        <v>1</v>
      </c>
      <c r="I727" s="432" t="n"/>
      <c r="J727" s="432" t="n"/>
      <c r="K727" s="432" t="n"/>
      <c r="L727" s="432" t="n"/>
      <c r="M727" s="432">
        <f>F727</f>
        <v/>
      </c>
      <c r="N727" s="432" t="n"/>
      <c r="O727" s="432" t="n"/>
      <c r="P727" s="432" t="n"/>
      <c r="Q727" s="432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66" t="n">
        <v>45154</v>
      </c>
      <c r="C728" s="351" t="n">
        <v>17</v>
      </c>
      <c r="D728" s="463" t="inlineStr">
        <is>
          <t>Domain + Google Workspace PT. EWI</t>
        </is>
      </c>
      <c r="E728" s="463" t="n"/>
      <c r="F728" s="464" t="n">
        <v>399078</v>
      </c>
      <c r="G728" s="351" t="inlineStr">
        <is>
          <t>IDR</t>
        </is>
      </c>
      <c r="H728" s="351" t="n">
        <v>1</v>
      </c>
      <c r="I728" s="432" t="n"/>
      <c r="J728" s="432" t="n"/>
      <c r="K728" s="432" t="n"/>
      <c r="L728" s="432" t="n"/>
      <c r="M728" s="432">
        <f>F728</f>
        <v/>
      </c>
      <c r="N728" s="432" t="n"/>
      <c r="O728" s="432" t="n"/>
      <c r="P728" s="432" t="n"/>
      <c r="Q728" s="432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66" t="n">
        <v>45185</v>
      </c>
      <c r="C729" s="351" t="n">
        <v>18</v>
      </c>
      <c r="D729" s="463" t="inlineStr">
        <is>
          <t>Google Workspace PT. EWI</t>
        </is>
      </c>
      <c r="E729" s="463" t="n"/>
      <c r="F729" s="464" t="n">
        <v>214896</v>
      </c>
      <c r="G729" s="351" t="inlineStr">
        <is>
          <t>IDR</t>
        </is>
      </c>
      <c r="H729" s="351" t="n">
        <v>1</v>
      </c>
      <c r="I729" s="432" t="n"/>
      <c r="J729" s="432" t="n"/>
      <c r="K729" s="432" t="n"/>
      <c r="L729" s="432" t="n"/>
      <c r="M729" s="432">
        <f>F729</f>
        <v/>
      </c>
      <c r="N729" s="432" t="n"/>
      <c r="O729" s="432" t="n"/>
      <c r="P729" s="432" t="n"/>
      <c r="Q729" s="432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66" t="n">
        <v>45215</v>
      </c>
      <c r="C730" s="351" t="n">
        <v>19</v>
      </c>
      <c r="D730" s="463" t="inlineStr">
        <is>
          <t>Google Workspace PT. EWI</t>
        </is>
      </c>
      <c r="E730" s="463" t="n"/>
      <c r="F730" s="464" t="n">
        <v>306982</v>
      </c>
      <c r="G730" s="351" t="inlineStr">
        <is>
          <t>IDR</t>
        </is>
      </c>
      <c r="H730" s="351" t="n">
        <v>1</v>
      </c>
      <c r="I730" s="432" t="n"/>
      <c r="J730" s="432" t="n"/>
      <c r="K730" s="432" t="n"/>
      <c r="L730" s="432" t="n"/>
      <c r="M730" s="432">
        <f>F730</f>
        <v/>
      </c>
      <c r="N730" s="432" t="n"/>
      <c r="O730" s="432" t="n"/>
      <c r="P730" s="432" t="n"/>
      <c r="Q730" s="432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66" t="n">
        <v>45246</v>
      </c>
      <c r="C731" s="351" t="n">
        <v>20</v>
      </c>
      <c r="D731" s="463" t="inlineStr">
        <is>
          <t>Google Workspace PT. EWI</t>
        </is>
      </c>
      <c r="E731" s="463" t="n"/>
      <c r="F731" s="464" t="n">
        <v>306982</v>
      </c>
      <c r="G731" s="351" t="inlineStr">
        <is>
          <t>IDR</t>
        </is>
      </c>
      <c r="H731" s="351" t="n">
        <v>1</v>
      </c>
      <c r="I731" s="432" t="n"/>
      <c r="J731" s="432" t="n"/>
      <c r="K731" s="432" t="n"/>
      <c r="L731" s="432" t="n"/>
      <c r="M731" s="432">
        <f>F731</f>
        <v/>
      </c>
      <c r="N731" s="432" t="n"/>
      <c r="O731" s="432" t="n"/>
      <c r="P731" s="432" t="n"/>
      <c r="Q731" s="432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66" t="n">
        <v>45276</v>
      </c>
      <c r="C732" s="351" t="n">
        <v>21</v>
      </c>
      <c r="D732" s="463" t="inlineStr">
        <is>
          <t>Google Workspace PT. EWI</t>
        </is>
      </c>
      <c r="E732" s="463" t="n"/>
      <c r="F732" s="464" t="n">
        <v>306982</v>
      </c>
      <c r="G732" s="351" t="inlineStr">
        <is>
          <t>IDR</t>
        </is>
      </c>
      <c r="H732" s="351" t="n">
        <v>1</v>
      </c>
      <c r="I732" s="432" t="n"/>
      <c r="J732" s="432" t="n"/>
      <c r="K732" s="432" t="n"/>
      <c r="L732" s="432" t="n"/>
      <c r="M732" s="432">
        <f>F732</f>
        <v/>
      </c>
      <c r="N732" s="432" t="n"/>
      <c r="O732" s="432" t="n"/>
      <c r="P732" s="432" t="n"/>
      <c r="Q732" s="432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66" t="n">
        <v>45307</v>
      </c>
      <c r="C733" s="351" t="n">
        <v>22</v>
      </c>
      <c r="D733" s="463" t="inlineStr">
        <is>
          <t>Google Workspace PT. EWI</t>
        </is>
      </c>
      <c r="E733" s="463" t="n"/>
      <c r="F733" s="464" t="n">
        <v>306982</v>
      </c>
      <c r="G733" s="351" t="inlineStr">
        <is>
          <t>IDR</t>
        </is>
      </c>
      <c r="H733" s="351" t="n">
        <v>1</v>
      </c>
      <c r="I733" s="432" t="n"/>
      <c r="J733" s="432" t="n"/>
      <c r="K733" s="432" t="n"/>
      <c r="L733" s="432" t="n"/>
      <c r="M733" s="432">
        <f>F733</f>
        <v/>
      </c>
      <c r="N733" s="432" t="n"/>
      <c r="O733" s="432" t="n"/>
      <c r="P733" s="432" t="n"/>
      <c r="Q733" s="432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66" t="n">
        <v>45338</v>
      </c>
      <c r="C734" s="351" t="n">
        <v>23</v>
      </c>
      <c r="D734" s="463" t="inlineStr">
        <is>
          <t>Google Workspace PT. EWI</t>
        </is>
      </c>
      <c r="E734" s="463" t="n"/>
      <c r="F734" s="464" t="n">
        <v>306982</v>
      </c>
      <c r="G734" s="351" t="inlineStr">
        <is>
          <t>IDR</t>
        </is>
      </c>
      <c r="H734" s="351" t="n">
        <v>1</v>
      </c>
      <c r="I734" s="432" t="n"/>
      <c r="J734" s="432" t="n"/>
      <c r="K734" s="432" t="n"/>
      <c r="L734" s="432" t="n"/>
      <c r="M734" s="432">
        <f>F734</f>
        <v/>
      </c>
      <c r="N734" s="432" t="n"/>
      <c r="O734" s="432" t="n"/>
      <c r="P734" s="432" t="n"/>
      <c r="Q734" s="432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66" t="n">
        <v>45367</v>
      </c>
      <c r="C735" s="351" t="n">
        <v>24</v>
      </c>
      <c r="D735" s="463" t="inlineStr">
        <is>
          <t>Google Workspace PT. EWI</t>
        </is>
      </c>
      <c r="E735" s="463" t="n"/>
      <c r="F735" s="464" t="n">
        <v>306982</v>
      </c>
      <c r="G735" s="351" t="inlineStr">
        <is>
          <t>IDR</t>
        </is>
      </c>
      <c r="H735" s="351" t="n">
        <v>1</v>
      </c>
      <c r="I735" s="432" t="n"/>
      <c r="J735" s="432" t="n"/>
      <c r="K735" s="432" t="n"/>
      <c r="L735" s="432" t="n"/>
      <c r="M735" s="432">
        <f>F735</f>
        <v/>
      </c>
      <c r="N735" s="432" t="n"/>
      <c r="O735" s="432" t="n"/>
      <c r="P735" s="432" t="n"/>
      <c r="Q735" s="432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66" t="n">
        <v>45398</v>
      </c>
      <c r="C736" s="351" t="n">
        <v>25</v>
      </c>
      <c r="D736" s="463" t="inlineStr">
        <is>
          <t>Google Workspace PT. EWI</t>
        </is>
      </c>
      <c r="E736" s="463" t="n"/>
      <c r="F736" s="464" t="n">
        <v>306982</v>
      </c>
      <c r="G736" s="351" t="inlineStr">
        <is>
          <t>IDR</t>
        </is>
      </c>
      <c r="H736" s="351" t="n">
        <v>1</v>
      </c>
      <c r="I736" s="432" t="n"/>
      <c r="J736" s="432" t="n"/>
      <c r="K736" s="432" t="n"/>
      <c r="L736" s="432" t="n"/>
      <c r="M736" s="432">
        <f>F736</f>
        <v/>
      </c>
      <c r="N736" s="432" t="n"/>
      <c r="O736" s="432" t="n"/>
      <c r="P736" s="432" t="n"/>
      <c r="Q736" s="432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66" t="n">
        <v>45428</v>
      </c>
      <c r="C737" s="351" t="n">
        <v>26</v>
      </c>
      <c r="D737" s="463" t="inlineStr">
        <is>
          <t>Google Workspace PT. EWI</t>
        </is>
      </c>
      <c r="E737" s="463" t="n"/>
      <c r="F737" s="464" t="n">
        <v>306982</v>
      </c>
      <c r="G737" s="351" t="inlineStr">
        <is>
          <t>IDR</t>
        </is>
      </c>
      <c r="H737" s="351" t="n">
        <v>1</v>
      </c>
      <c r="I737" s="432" t="n"/>
      <c r="J737" s="432" t="n"/>
      <c r="K737" s="432" t="n"/>
      <c r="L737" s="432" t="n"/>
      <c r="M737" s="432">
        <f>F737</f>
        <v/>
      </c>
      <c r="N737" s="432" t="n"/>
      <c r="O737" s="432" t="n"/>
      <c r="P737" s="432" t="n"/>
      <c r="Q737" s="432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70" t="inlineStr">
        <is>
          <t>:</t>
        </is>
      </c>
      <c r="D738" s="423" t="n"/>
      <c r="E738" s="423" t="n"/>
      <c r="F738" s="373" t="n"/>
      <c r="G738" s="356" t="n"/>
      <c r="H738" s="356" t="n"/>
      <c r="I738" s="455" t="n"/>
      <c r="J738" s="455" t="n"/>
      <c r="K738" s="455" t="n"/>
      <c r="L738" s="455" t="n"/>
      <c r="M738" s="455" t="n"/>
      <c r="N738" s="455" t="n"/>
      <c r="O738" s="455" t="n"/>
      <c r="P738" s="455" t="n"/>
      <c r="Q738" s="455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32" t="n"/>
      <c r="K739" s="432" t="n"/>
      <c r="L739" s="432" t="n"/>
      <c r="M739" s="432" t="n"/>
      <c r="N739" s="432" t="n"/>
      <c r="O739" s="432" t="n"/>
      <c r="P739" s="432" t="n"/>
      <c r="Q739" s="432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67" t="n"/>
      <c r="D740" s="468" t="n"/>
      <c r="E740" s="468" t="n"/>
      <c r="F740" s="467" t="n"/>
      <c r="G740" s="467" t="n"/>
      <c r="H740" s="467" t="n"/>
      <c r="I740" s="467" t="n"/>
      <c r="J740" s="467" t="n"/>
      <c r="K740" s="467" t="n"/>
      <c r="L740" s="467" t="n"/>
      <c r="M740" s="467" t="n"/>
      <c r="N740" s="467" t="n"/>
      <c r="O740" s="467" t="n"/>
      <c r="P740" s="455" t="n"/>
      <c r="Q740" s="455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69" t="n">
        <v>45655</v>
      </c>
      <c r="C741" s="341" t="n">
        <v>1</v>
      </c>
      <c r="D741" s="470" t="inlineStr">
        <is>
          <t xml:space="preserve">Transport Train, (Jakarta to Cirebon) </t>
        </is>
      </c>
      <c r="E741" s="470" t="n"/>
      <c r="F741" s="471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72" t="n"/>
      <c r="K741" s="472" t="n"/>
      <c r="L741" s="472" t="n"/>
      <c r="M741" s="472" t="n"/>
      <c r="N741" s="472" t="n"/>
      <c r="O741" s="472" t="n"/>
      <c r="P741" s="432" t="n"/>
      <c r="Q741" s="432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69" t="n">
        <v>45655</v>
      </c>
      <c r="C742" s="338" t="n">
        <v>2</v>
      </c>
      <c r="D742" s="470" t="inlineStr">
        <is>
          <t>Gojek (Cirendeu to Gambir Station)</t>
        </is>
      </c>
      <c r="E742" s="470" t="n"/>
      <c r="F742" s="473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74" t="n"/>
      <c r="K742" s="474" t="n"/>
      <c r="L742" s="472" t="n"/>
      <c r="M742" s="474" t="n"/>
      <c r="N742" s="474" t="n"/>
      <c r="O742" s="472" t="n"/>
      <c r="P742" s="432" t="n"/>
      <c r="Q742" s="432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69" t="n">
        <v>45655</v>
      </c>
      <c r="C743" s="338" t="n">
        <v>3</v>
      </c>
      <c r="D743" s="470" t="inlineStr">
        <is>
          <t xml:space="preserve">Gojek (Cirebon Station to Hotel) </t>
        </is>
      </c>
      <c r="E743" s="470" t="n"/>
      <c r="F743" s="473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74" t="n"/>
      <c r="K743" s="474" t="n"/>
      <c r="L743" s="472" t="n"/>
      <c r="M743" s="474" t="n"/>
      <c r="N743" s="474" t="n"/>
      <c r="O743" s="472" t="n"/>
      <c r="P743" s="432" t="n"/>
      <c r="Q743" s="432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69" t="n">
        <v>45655</v>
      </c>
      <c r="C744" s="338" t="n">
        <v>4</v>
      </c>
      <c r="D744" s="470" t="inlineStr">
        <is>
          <t>Accomodation Hotel (Pia Hotel 29 - 30 des, 1 Night)</t>
        </is>
      </c>
      <c r="E744" s="470" t="n"/>
      <c r="F744" s="473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74" t="n"/>
      <c r="K744" s="474" t="n"/>
      <c r="L744" s="472" t="n"/>
      <c r="M744" s="474" t="n"/>
      <c r="N744" s="474" t="n"/>
      <c r="O744" s="472" t="n"/>
      <c r="P744" s="432" t="n"/>
      <c r="Q744" s="432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69" t="n">
        <v>45656</v>
      </c>
      <c r="C745" s="338" t="n">
        <v>6</v>
      </c>
      <c r="D745" s="470" t="inlineStr">
        <is>
          <t>Transport Train (Cirebon to Jakarta)</t>
        </is>
      </c>
      <c r="E745" s="470" t="n"/>
      <c r="F745" s="473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74" t="n"/>
      <c r="K745" s="474" t="n"/>
      <c r="L745" s="472" t="n"/>
      <c r="M745" s="474" t="n"/>
      <c r="N745" s="474" t="n"/>
      <c r="O745" s="472" t="n"/>
      <c r="P745" s="432" t="n"/>
      <c r="Q745" s="432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69" t="n">
        <v>45656</v>
      </c>
      <c r="C746" s="338" t="n">
        <v>7</v>
      </c>
      <c r="D746" s="470" t="inlineStr">
        <is>
          <t xml:space="preserve">Gojek (Hotel to HSSE Training Center PEP Zone 7) </t>
        </is>
      </c>
      <c r="E746" s="470" t="n"/>
      <c r="F746" s="473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74" t="n"/>
      <c r="K746" s="474" t="n"/>
      <c r="L746" s="472" t="n"/>
      <c r="M746" s="474" t="n"/>
      <c r="N746" s="474" t="n"/>
      <c r="O746" s="472" t="n"/>
      <c r="P746" s="432" t="n"/>
      <c r="Q746" s="432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69" t="n">
        <v>45656</v>
      </c>
      <c r="C747" s="338" t="n">
        <v>8</v>
      </c>
      <c r="D747" s="470" t="inlineStr">
        <is>
          <t xml:space="preserve">Gojek (CSB to Cirebon Train Station) </t>
        </is>
      </c>
      <c r="E747" s="470" t="n"/>
      <c r="F747" s="473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74" t="n"/>
      <c r="K747" s="474" t="n"/>
      <c r="L747" s="472" t="n"/>
      <c r="M747" s="474" t="n"/>
      <c r="N747" s="474" t="n"/>
      <c r="O747" s="472" t="n"/>
      <c r="P747" s="432" t="n"/>
      <c r="Q747" s="432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69" t="n">
        <v>45656</v>
      </c>
      <c r="C748" s="338" t="n">
        <v>9</v>
      </c>
      <c r="D748" s="470" t="inlineStr">
        <is>
          <t xml:space="preserve">Gojek (Gambir Station to Cirendeu) </t>
        </is>
      </c>
      <c r="E748" s="470" t="n"/>
      <c r="F748" s="473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74" t="n"/>
      <c r="K748" s="474" t="n"/>
      <c r="L748" s="472" t="n"/>
      <c r="M748" s="474" t="n"/>
      <c r="N748" s="474" t="n"/>
      <c r="O748" s="472" t="n"/>
      <c r="P748" s="432" t="n"/>
      <c r="Q748" s="432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69" t="n">
        <v>45656</v>
      </c>
      <c r="C749" s="338" t="n">
        <v>10</v>
      </c>
      <c r="D749" s="470" t="inlineStr">
        <is>
          <t>Meal Allowance 2 Days (29 - 30 December 2024)@ 150 rb</t>
        </is>
      </c>
      <c r="E749" s="470" t="n"/>
      <c r="F749" s="473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74" t="n"/>
      <c r="K749" s="474" t="n"/>
      <c r="L749" s="474" t="n"/>
      <c r="M749" s="474" t="n"/>
      <c r="N749" s="474" t="n"/>
      <c r="O749" s="472" t="n"/>
      <c r="P749" s="432" t="n"/>
      <c r="Q749" s="432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410" t="n"/>
      <c r="C750" s="459" t="inlineStr">
        <is>
          <t>TOTAL</t>
        </is>
      </c>
      <c r="D750" s="278" t="n"/>
      <c r="E750" s="278" t="n"/>
      <c r="F750" s="278" t="n"/>
      <c r="G750" s="278" t="n"/>
      <c r="H750" s="279" t="n"/>
      <c r="I750" s="432" t="n">
        <v>137910145</v>
      </c>
      <c r="J750" s="432" t="n">
        <v>234234335</v>
      </c>
      <c r="K750" s="432" t="n">
        <v>123135435424</v>
      </c>
      <c r="L750" s="432" t="n">
        <v>13131</v>
      </c>
      <c r="M750" s="432" t="n">
        <v>311111</v>
      </c>
      <c r="N750" s="432" t="n">
        <v>1231231</v>
      </c>
      <c r="O750" s="432" t="n">
        <v>1111111</v>
      </c>
      <c r="P750" s="432" t="n">
        <v>0</v>
      </c>
      <c r="Q750" s="432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75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75" t="n">
        <v>0</v>
      </c>
      <c r="J751" s="475" t="n">
        <v>0</v>
      </c>
      <c r="K751" s="475" t="n">
        <v>0</v>
      </c>
      <c r="L751" s="475" t="n">
        <v>0</v>
      </c>
      <c r="M751" s="475" t="n">
        <v>0</v>
      </c>
      <c r="N751" s="475" t="n">
        <v>0</v>
      </c>
      <c r="O751" s="475" t="n">
        <v>0</v>
      </c>
      <c r="P751" s="475" t="n">
        <v>0</v>
      </c>
      <c r="Q751" s="475" t="n">
        <v>0</v>
      </c>
      <c r="R751" s="475" t="n">
        <v>0</v>
      </c>
      <c r="S751" s="475" t="n">
        <v>0</v>
      </c>
      <c r="T751" s="475" t="n">
        <v>0</v>
      </c>
      <c r="U751" s="475" t="n">
        <v>0</v>
      </c>
      <c r="V751" s="475" t="n">
        <v>0</v>
      </c>
      <c r="W751" s="475" t="n">
        <v>0</v>
      </c>
      <c r="X751" s="475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6" t="n"/>
      <c r="B1" s="476" t="n"/>
      <c r="C1" s="476" t="n"/>
      <c r="D1" s="476" t="n"/>
      <c r="E1" s="477" t="n"/>
    </row>
    <row r="2" ht="37.25" customHeight="1" s="297">
      <c r="A2" s="476" t="n"/>
      <c r="B2" s="476" t="n"/>
      <c r="C2" s="476" t="n"/>
      <c r="D2" s="476" t="n"/>
      <c r="E2" s="477" t="n"/>
    </row>
    <row r="3" ht="33.65" customHeight="1" s="297">
      <c r="A3" s="476" t="n"/>
      <c r="B3" s="478" t="inlineStr">
        <is>
          <t>PT. EXSPAN WIRELINE INDONESIA</t>
        </is>
      </c>
      <c r="F3" s="479" t="n"/>
      <c r="G3" s="480" t="inlineStr">
        <is>
          <t>PT. EXSPAN WIRELINE INDONESIA</t>
        </is>
      </c>
      <c r="H3" s="480" t="n"/>
      <c r="I3" s="480" t="n"/>
      <c r="J3" s="480" t="n"/>
    </row>
    <row r="4" ht="20.5" customHeight="1" s="297">
      <c r="A4" s="476" t="n"/>
      <c r="B4" s="481" t="inlineStr">
        <is>
          <t>LABA RUGI | TAHUN 2026</t>
        </is>
      </c>
      <c r="F4" s="479" t="n"/>
      <c r="G4" s="482" t="inlineStr">
        <is>
          <t>NERACA | TAHUN YANG BERAKHIR, 31 DESEMBER 2026</t>
        </is>
      </c>
      <c r="H4" s="482" t="n"/>
      <c r="I4" s="482" t="n"/>
      <c r="J4" s="482" t="n"/>
      <c r="K4" s="483" t="inlineStr">
        <is>
          <t>CATATAN KEAMANAN</t>
        </is>
      </c>
    </row>
    <row r="5" ht="6" customHeight="1" s="297">
      <c r="A5" s="476" t="n"/>
      <c r="B5" s="476" t="n"/>
      <c r="C5" s="476" t="n"/>
      <c r="D5" s="476" t="n"/>
      <c r="E5" s="477" t="n"/>
      <c r="F5" s="479" t="n"/>
      <c r="G5" s="479" t="n"/>
      <c r="H5" s="484" t="n"/>
      <c r="I5" s="484" t="n"/>
      <c r="J5" s="484" t="n"/>
      <c r="K5" t="inlineStr">
        <is>
          <t>Kolom ini aman dari overwrite sistem.</t>
        </is>
      </c>
    </row>
    <row r="6" ht="15.5" customHeight="1" s="297">
      <c r="A6" s="476" t="n"/>
      <c r="B6" s="485" t="n"/>
      <c r="C6" s="486" t="n"/>
      <c r="D6" s="487" t="inlineStr">
        <is>
          <t>PT. Exspan Wireline Indonesia</t>
        </is>
      </c>
      <c r="E6" s="289" t="n"/>
      <c r="F6" s="479" t="n"/>
      <c r="G6" s="488" t="n"/>
      <c r="H6" s="489" t="n"/>
      <c r="I6" s="487" t="inlineStr">
        <is>
          <t>PT. Exspan Wireline Indonesia</t>
        </is>
      </c>
      <c r="J6" s="289" t="n"/>
      <c r="K6" t="inlineStr">
        <is>
          <t>Diverifikasi pada: 2026-03-29 16:32</t>
        </is>
      </c>
    </row>
    <row r="7" ht="15.5" customHeight="1" s="297">
      <c r="A7" s="476" t="n"/>
      <c r="B7" s="490" t="n"/>
      <c r="C7" s="491" t="n"/>
      <c r="D7" s="492" t="inlineStr">
        <is>
          <t>(Rp)</t>
        </is>
      </c>
      <c r="E7" s="290" t="n"/>
      <c r="F7" s="479" t="n"/>
      <c r="G7" s="493" t="n"/>
      <c r="H7" s="494" t="n"/>
      <c r="I7" s="492" t="inlineStr">
        <is>
          <t>(Rp)</t>
        </is>
      </c>
      <c r="J7" s="290" t="n"/>
    </row>
    <row r="8">
      <c r="A8" s="476" t="n"/>
      <c r="B8" s="495" t="inlineStr">
        <is>
          <t>PENDAPATAN</t>
        </is>
      </c>
      <c r="C8" s="496" t="n"/>
      <c r="D8" s="497" t="n"/>
      <c r="E8" s="498" t="n"/>
      <c r="F8" s="479" t="n"/>
      <c r="G8" s="499" t="inlineStr">
        <is>
          <t>AKTIVA</t>
        </is>
      </c>
      <c r="H8" s="500" t="n"/>
      <c r="I8" s="501" t="n"/>
      <c r="J8" s="502" t="n"/>
    </row>
    <row r="9">
      <c r="A9" s="476" t="n"/>
      <c r="B9" s="503" t="n"/>
      <c r="C9" s="496" t="inlineStr">
        <is>
          <t>PENDAPATAN LANGSUNG</t>
        </is>
      </c>
      <c r="D9" s="503" t="inlineStr">
        <is>
          <t>Rp</t>
        </is>
      </c>
      <c r="E9" s="504">
        <f>SUM('Revenue-Cost_2026'!F8:F20)</f>
        <v/>
      </c>
      <c r="F9" s="479" t="n"/>
      <c r="G9" s="505" t="inlineStr">
        <is>
          <t>AKTIVA LANCAR</t>
        </is>
      </c>
      <c r="H9" s="506" t="n"/>
      <c r="I9" s="505" t="n"/>
      <c r="J9" s="507" t="n"/>
    </row>
    <row r="10">
      <c r="A10" s="476" t="n"/>
      <c r="B10" s="503" t="n"/>
      <c r="C10" s="496" t="inlineStr">
        <is>
          <t>PENDAPATAN LAIN LAIN</t>
        </is>
      </c>
      <c r="D10" s="503" t="inlineStr">
        <is>
          <t>Rp</t>
        </is>
      </c>
      <c r="E10" s="504">
        <f>SUM('Revenue-Cost_2026'!F21)</f>
        <v/>
      </c>
      <c r="F10" s="479" t="n"/>
      <c r="G10" s="508" t="n"/>
      <c r="H10" s="509" t="inlineStr">
        <is>
          <t>KAS DAN SETARA KAS TAHUN SEBELUMNYA</t>
        </is>
      </c>
      <c r="I10" s="503" t="inlineStr">
        <is>
          <t>Rp</t>
        </is>
      </c>
      <c r="J10" s="510" t="n">
        <v>0</v>
      </c>
    </row>
    <row r="11">
      <c r="A11" s="476" t="n"/>
      <c r="B11" s="503" t="n"/>
      <c r="C11" s="496" t="n"/>
      <c r="D11" s="511" t="n"/>
      <c r="E11" s="512" t="n"/>
      <c r="F11" s="479" t="n"/>
      <c r="G11" s="508" t="n"/>
      <c r="H11" s="509" t="inlineStr">
        <is>
          <t>KAS DAN SETARA KAS TAHUN LAPORAN</t>
        </is>
      </c>
      <c r="I11" s="503" t="inlineStr">
        <is>
          <t>Rp</t>
        </is>
      </c>
      <c r="J11" s="510">
        <f>E46-'Business Summary'!E13</f>
        <v/>
      </c>
    </row>
    <row r="12">
      <c r="A12" s="476" t="n"/>
      <c r="B12" s="513" t="inlineStr">
        <is>
          <t>TOTALPENDAPATAN</t>
        </is>
      </c>
      <c r="C12" s="514" t="n"/>
      <c r="D12" s="515" t="inlineStr">
        <is>
          <t>Rp</t>
        </is>
      </c>
      <c r="E12" s="516">
        <f>SUM(E9:E11)</f>
        <v/>
      </c>
      <c r="F12" s="479" t="n"/>
      <c r="G12" s="508" t="n"/>
      <c r="H12" s="509" t="inlineStr">
        <is>
          <t>PIUTANG USAHA</t>
        </is>
      </c>
      <c r="I12" s="503" t="inlineStr">
        <is>
          <t>Rp</t>
        </is>
      </c>
      <c r="J12" s="510" t="n">
        <v>0</v>
      </c>
    </row>
    <row r="13">
      <c r="A13" s="476" t="n"/>
      <c r="B13" s="503" t="n"/>
      <c r="C13" s="496" t="n"/>
      <c r="D13" s="497" t="n"/>
      <c r="E13" s="517" t="n"/>
      <c r="F13" s="479" t="n"/>
      <c r="G13" s="508" t="n"/>
      <c r="H13" s="509" t="inlineStr">
        <is>
          <t>PAJAK BAYAR DI MUKA (pph23)</t>
        </is>
      </c>
      <c r="I13" s="503" t="inlineStr">
        <is>
          <t>Rp</t>
        </is>
      </c>
      <c r="J13" s="510" t="n">
        <v>0</v>
      </c>
    </row>
    <row r="14">
      <c r="A14" s="476" t="n"/>
      <c r="B14" s="518" t="inlineStr">
        <is>
          <t>BEBAN LANGSUNG</t>
        </is>
      </c>
      <c r="C14" s="496" t="n"/>
      <c r="D14" s="503" t="n"/>
      <c r="E14" s="519" t="n"/>
      <c r="F14" s="479" t="n"/>
      <c r="G14" s="508" t="n"/>
      <c r="H14" s="509" t="inlineStr">
        <is>
          <t>BIAYA BAYAR DI MUKA</t>
        </is>
      </c>
      <c r="I14" s="503" t="inlineStr">
        <is>
          <t>Rp</t>
        </is>
      </c>
      <c r="J14" s="510" t="n">
        <v>0</v>
      </c>
    </row>
    <row r="15">
      <c r="A15" s="476" t="n"/>
      <c r="B15" s="520" t="n"/>
      <c r="C15" s="496" t="inlineStr">
        <is>
          <t xml:space="preserve">Biaya Operasi </t>
        </is>
      </c>
      <c r="D15" s="503" t="inlineStr">
        <is>
          <t>Rp</t>
        </is>
      </c>
      <c r="E15" s="519">
        <f>'Revenue-Cost_2026'!I750</f>
        <v/>
      </c>
      <c r="F15" s="479" t="n"/>
      <c r="G15" s="521" t="n"/>
      <c r="H15" s="509" t="inlineStr">
        <is>
          <t>PIUTANG LAIN LAIN</t>
        </is>
      </c>
      <c r="I15" s="503" t="inlineStr">
        <is>
          <t>Rp</t>
        </is>
      </c>
      <c r="J15" s="510" t="n">
        <v>0</v>
      </c>
    </row>
    <row r="16">
      <c r="A16" s="476" t="n"/>
      <c r="B16" s="520" t="n"/>
      <c r="C16" s="496" t="inlineStr">
        <is>
          <t>Biaya research (R &amp; D)</t>
        </is>
      </c>
      <c r="D16" s="503" t="inlineStr">
        <is>
          <t>Rp</t>
        </is>
      </c>
      <c r="E16" s="519">
        <f>'Revenue-Cost_2026'!J750</f>
        <v/>
      </c>
      <c r="F16" s="479" t="n"/>
      <c r="G16" s="522" t="n"/>
      <c r="H16" s="523" t="inlineStr">
        <is>
          <t>TOTAL AKTIVA LANCAR</t>
        </is>
      </c>
      <c r="I16" s="515" t="inlineStr">
        <is>
          <t>Rp</t>
        </is>
      </c>
      <c r="J16" s="524">
        <f>SUM(J10:J15)</f>
        <v/>
      </c>
    </row>
    <row r="17">
      <c r="A17" s="476" t="n"/>
      <c r="B17" s="520" t="n"/>
      <c r="C17" s="496" t="inlineStr">
        <is>
          <t>BIAYA SEWA PERALATAN</t>
        </is>
      </c>
      <c r="D17" s="503" t="inlineStr">
        <is>
          <t>Rp</t>
        </is>
      </c>
      <c r="E17" s="519">
        <f>'Revenue-Cost_2026'!K750</f>
        <v/>
      </c>
      <c r="F17" s="479" t="n"/>
      <c r="G17" s="508" t="n"/>
      <c r="H17" s="509" t="n"/>
      <c r="I17" s="525" t="n"/>
      <c r="J17" s="526" t="n"/>
    </row>
    <row r="18">
      <c r="A18" s="476" t="n"/>
      <c r="B18" s="520" t="n"/>
      <c r="C18" s="496" t="inlineStr">
        <is>
          <t>BIAYA Data Processing</t>
        </is>
      </c>
      <c r="D18" s="503" t="inlineStr">
        <is>
          <t>Rp</t>
        </is>
      </c>
      <c r="E18" s="519">
        <f>'Revenue-Cost_2026'!L750</f>
        <v/>
      </c>
      <c r="F18" s="479" t="n"/>
      <c r="G18" s="505" t="inlineStr">
        <is>
          <t>ACTIVA TETAP</t>
        </is>
      </c>
      <c r="H18" s="527" t="n"/>
      <c r="I18" s="499" t="n"/>
      <c r="J18" s="510" t="n"/>
    </row>
    <row r="19">
      <c r="A19" s="476" t="n"/>
      <c r="B19" s="520" t="n"/>
      <c r="C19" s="496" t="n"/>
      <c r="D19" s="503" t="n"/>
      <c r="E19" s="519" t="n"/>
      <c r="F19" s="479" t="n"/>
      <c r="G19" s="505" t="n"/>
      <c r="H19" s="527" t="n"/>
      <c r="I19" s="499" t="n"/>
      <c r="J19" s="510" t="n"/>
    </row>
    <row r="20">
      <c r="A20" s="476" t="n"/>
      <c r="B20" s="520" t="n"/>
      <c r="C20" s="496" t="n"/>
      <c r="D20" s="511" t="n"/>
      <c r="E20" s="528" t="n"/>
      <c r="F20" s="479" t="n"/>
      <c r="G20" s="508" t="n"/>
      <c r="H20" s="509" t="inlineStr">
        <is>
          <t>INVENTARIS KANTOR</t>
        </is>
      </c>
      <c r="I20" s="503" t="inlineStr">
        <is>
          <t>Rp</t>
        </is>
      </c>
      <c r="J20" s="510" t="n">
        <v>0</v>
      </c>
    </row>
    <row r="21">
      <c r="A21" s="476" t="n"/>
      <c r="B21" s="513" t="inlineStr">
        <is>
          <t>TOTAL BIAYA LANGSUNG</t>
        </is>
      </c>
      <c r="C21" s="514" t="n"/>
      <c r="D21" s="515" t="inlineStr">
        <is>
          <t>Rp</t>
        </is>
      </c>
      <c r="E21" s="529">
        <f>SUM(E15:E20)</f>
        <v/>
      </c>
      <c r="F21" s="479" t="n"/>
      <c r="G21" s="508" t="n"/>
      <c r="H21" s="527" t="n"/>
      <c r="I21" s="530" t="n"/>
      <c r="J21" s="531" t="n"/>
    </row>
    <row r="22">
      <c r="A22" s="476" t="n"/>
      <c r="B22" s="503" t="n"/>
      <c r="C22" s="496" t="n"/>
      <c r="D22" s="497" t="n"/>
      <c r="E22" s="532" t="n"/>
      <c r="F22" s="479" t="n"/>
      <c r="G22" s="522" t="n"/>
      <c r="H22" s="523" t="inlineStr">
        <is>
          <t>TOTAL AKTIVA TETAP</t>
        </is>
      </c>
      <c r="I22" s="515" t="inlineStr">
        <is>
          <t>Rp</t>
        </is>
      </c>
      <c r="J22" s="524">
        <f>J20</f>
        <v/>
      </c>
    </row>
    <row r="23">
      <c r="A23" s="476" t="n"/>
      <c r="B23" s="518" t="inlineStr">
        <is>
          <t>BEBAN TIDAK LANGSUNG</t>
        </is>
      </c>
      <c r="C23" s="496" t="n"/>
      <c r="D23" s="503" t="n"/>
      <c r="E23" s="519">
        <f>'Revenue-Cost_2026'!Q750</f>
        <v/>
      </c>
      <c r="F23" s="479" t="n"/>
      <c r="G23" s="508" t="n"/>
      <c r="H23" s="509" t="n"/>
      <c r="I23" s="525" t="n"/>
      <c r="J23" s="502" t="n"/>
    </row>
    <row r="24">
      <c r="A24" s="476" t="n"/>
      <c r="B24" s="503" t="n"/>
      <c r="C24" s="496" t="n"/>
      <c r="D24" s="503" t="n"/>
      <c r="E24" s="519" t="n"/>
      <c r="F24" s="479" t="n"/>
      <c r="G24" s="505" t="inlineStr">
        <is>
          <t>ACTIVA LAIN LAIN</t>
        </is>
      </c>
      <c r="H24" s="527" t="n"/>
      <c r="I24" s="499" t="n"/>
      <c r="J24" s="510" t="n">
        <v>0</v>
      </c>
    </row>
    <row r="25">
      <c r="A25" s="476" t="n"/>
      <c r="B25" s="503" t="n"/>
      <c r="C25" s="496" t="n"/>
      <c r="D25" s="503" t="inlineStr">
        <is>
          <t>Rp</t>
        </is>
      </c>
      <c r="E25" s="519" t="n"/>
      <c r="F25" s="479" t="n"/>
      <c r="G25" s="508" t="n"/>
      <c r="H25" s="509" t="n"/>
      <c r="I25" s="533" t="n"/>
      <c r="J25" s="534" t="n">
        <v>0</v>
      </c>
    </row>
    <row r="26">
      <c r="A26" s="476" t="n"/>
      <c r="B26" s="503" t="n"/>
      <c r="C26" s="496" t="n"/>
      <c r="D26" s="511" t="n"/>
      <c r="E26" s="528" t="n"/>
      <c r="F26" s="479" t="n"/>
      <c r="G26" s="522" t="n"/>
      <c r="H26" s="523" t="inlineStr">
        <is>
          <t>TOTAL AKTIVA LAIN LAIN</t>
        </is>
      </c>
      <c r="I26" s="515" t="inlineStr">
        <is>
          <t>Rp</t>
        </is>
      </c>
      <c r="J26" s="524">
        <f>SUM(J25:J25)</f>
        <v/>
      </c>
    </row>
    <row r="27">
      <c r="A27" s="476" t="n"/>
      <c r="B27" s="513" t="inlineStr">
        <is>
          <t>TOTAL BIAYA TIDAK LANGSUNG</t>
        </is>
      </c>
      <c r="C27" s="514" t="n"/>
      <c r="D27" s="515" t="inlineStr">
        <is>
          <t>Rp</t>
        </is>
      </c>
      <c r="E27" s="529">
        <f>SUM(E22:E26)</f>
        <v/>
      </c>
      <c r="F27" s="479" t="n"/>
      <c r="G27" s="508" t="n"/>
      <c r="H27" s="509" t="n"/>
      <c r="I27" s="535" t="n"/>
      <c r="J27" s="536" t="n"/>
    </row>
    <row r="28">
      <c r="A28" s="476" t="n"/>
      <c r="B28" s="503" t="n"/>
      <c r="C28" s="496" t="n"/>
      <c r="D28" s="497" t="n"/>
      <c r="E28" s="532" t="n"/>
      <c r="F28" s="479" t="n"/>
      <c r="G28" s="513" t="inlineStr">
        <is>
          <t>TOTAL AKTIVA</t>
        </is>
      </c>
      <c r="H28" s="514" t="n"/>
      <c r="I28" s="515" t="inlineStr">
        <is>
          <t>Rp</t>
        </is>
      </c>
      <c r="J28" s="537">
        <f>J26+J22+J16</f>
        <v/>
      </c>
    </row>
    <row r="29">
      <c r="A29" s="476" t="n"/>
      <c r="B29" s="518" t="inlineStr">
        <is>
          <t>BIAYA ADMINISTRASI DAN UMUM</t>
        </is>
      </c>
      <c r="C29" s="496" t="n"/>
      <c r="D29" s="503" t="n"/>
      <c r="E29" s="519" t="n"/>
      <c r="F29" s="479" t="n"/>
      <c r="G29" s="538" t="n"/>
      <c r="H29" s="539" t="n"/>
      <c r="I29" s="538" t="n"/>
      <c r="J29" s="526" t="n"/>
    </row>
    <row r="30">
      <c r="A30" s="476" t="n"/>
      <c r="B30" s="520" t="n"/>
      <c r="C30" s="496" t="inlineStr">
        <is>
          <t>BIAYA ADMINISTRASI</t>
        </is>
      </c>
      <c r="D30" s="503" t="inlineStr">
        <is>
          <t>Rp</t>
        </is>
      </c>
      <c r="E30" s="519">
        <f>'Revenue-Cost_2026'!M750</f>
        <v/>
      </c>
      <c r="F30" s="479" t="n"/>
      <c r="G30" s="540" t="inlineStr">
        <is>
          <t>HUTANG DAN MODAL</t>
        </is>
      </c>
      <c r="H30" s="500" t="n"/>
      <c r="I30" s="540" t="n"/>
      <c r="J30" s="541" t="n"/>
    </row>
    <row r="31">
      <c r="A31" s="476" t="n"/>
      <c r="B31" s="520" t="n"/>
      <c r="C31" s="496" t="inlineStr">
        <is>
          <t>BIAYA PEMBELIAN Barang</t>
        </is>
      </c>
      <c r="D31" s="503" t="inlineStr">
        <is>
          <t>Rp</t>
        </is>
      </c>
      <c r="E31" s="519">
        <f>'Revenue-Cost_2026'!N750</f>
        <v/>
      </c>
      <c r="F31" s="479" t="n"/>
      <c r="G31" s="540" t="n"/>
      <c r="H31" s="500" t="n"/>
      <c r="I31" s="540" t="n"/>
      <c r="J31" s="541" t="n"/>
    </row>
    <row r="32">
      <c r="A32" s="476" t="n"/>
      <c r="B32" s="520" t="n"/>
      <c r="C32" s="496" t="inlineStr">
        <is>
          <t>BIAYA SEWA KANTOR</t>
        </is>
      </c>
      <c r="D32" s="503" t="inlineStr">
        <is>
          <t>Rp</t>
        </is>
      </c>
      <c r="E32" s="519">
        <f>'Revenue-Cost_2026'!O750</f>
        <v/>
      </c>
      <c r="F32" s="479" t="n"/>
      <c r="G32" s="505" t="inlineStr">
        <is>
          <t>HUTANG LANCAR</t>
        </is>
      </c>
      <c r="H32" s="506" t="n"/>
      <c r="I32" s="505" t="n"/>
      <c r="J32" s="507" t="n"/>
    </row>
    <row r="33">
      <c r="A33" s="476" t="n"/>
      <c r="B33" s="520" t="n"/>
      <c r="C33" s="496" t="inlineStr">
        <is>
          <t>BIAYA KESEHATAN</t>
        </is>
      </c>
      <c r="D33" s="503" t="inlineStr">
        <is>
          <t>Rp</t>
        </is>
      </c>
      <c r="E33" s="519">
        <f>'Revenue-Cost_2026'!P750</f>
        <v/>
      </c>
      <c r="F33" s="479" t="n"/>
      <c r="G33" s="508" t="n"/>
      <c r="H33" s="509" t="inlineStr">
        <is>
          <t>HUTANG USAHA</t>
        </is>
      </c>
      <c r="I33" s="503" t="inlineStr">
        <is>
          <t>Rp</t>
        </is>
      </c>
      <c r="J33" s="510" t="n">
        <v>0</v>
      </c>
    </row>
    <row r="34">
      <c r="A34" s="476" t="n"/>
      <c r="B34" s="520" t="n"/>
      <c r="C34" s="496" t="n"/>
      <c r="D34" s="511" t="n"/>
      <c r="E34" s="528" t="n"/>
      <c r="F34" s="479" t="n"/>
      <c r="G34" s="508" t="n"/>
      <c r="H34" s="542" t="inlineStr">
        <is>
          <t>HUTANG GAJI</t>
        </is>
      </c>
      <c r="I34" s="503" t="inlineStr">
        <is>
          <t>Rp</t>
        </is>
      </c>
      <c r="J34" s="510" t="n">
        <v>0</v>
      </c>
    </row>
    <row r="35">
      <c r="A35" s="476" t="n"/>
      <c r="B35" s="513" t="inlineStr">
        <is>
          <t>TOTAL BIAYA ADMINISTRASI DAN UMUM</t>
        </is>
      </c>
      <c r="C35" s="514" t="n"/>
      <c r="D35" s="515" t="inlineStr">
        <is>
          <t>Rp</t>
        </is>
      </c>
      <c r="E35" s="516">
        <f>SUM(E30:E34)</f>
        <v/>
      </c>
      <c r="F35" s="479" t="n"/>
      <c r="G35" s="508" t="n"/>
      <c r="H35" s="509" t="inlineStr">
        <is>
          <t>HUTANG PEMEGANG SAHAM</t>
        </is>
      </c>
      <c r="I35" s="503" t="inlineStr">
        <is>
          <t>Rp</t>
        </is>
      </c>
      <c r="J35" s="510" t="n">
        <v>0</v>
      </c>
    </row>
    <row r="36">
      <c r="A36" s="476" t="n"/>
      <c r="B36" s="520" t="n"/>
      <c r="C36" s="496" t="n"/>
      <c r="D36" s="515" t="n"/>
      <c r="E36" s="543" t="n"/>
      <c r="F36" s="479" t="n"/>
      <c r="G36" s="508" t="n"/>
      <c r="H36" s="509" t="inlineStr">
        <is>
          <t>BIAYA YANG MASIH HARUS DI BAYAR</t>
        </is>
      </c>
      <c r="I36" s="503" t="inlineStr">
        <is>
          <t>Rp</t>
        </is>
      </c>
      <c r="J36" s="510" t="n">
        <v>0</v>
      </c>
    </row>
    <row r="37">
      <c r="A37" s="476" t="n"/>
      <c r="B37" s="513" t="inlineStr">
        <is>
          <t>TOTAL BIAYA</t>
        </is>
      </c>
      <c r="C37" s="514" t="n"/>
      <c r="D37" s="515" t="inlineStr">
        <is>
          <t>Rp</t>
        </is>
      </c>
      <c r="E37" s="516">
        <f>E35+E21+E27</f>
        <v/>
      </c>
      <c r="F37" s="479" t="n"/>
      <c r="G37" s="544" t="n"/>
      <c r="H37" s="545" t="n"/>
      <c r="I37" s="544" t="n"/>
      <c r="J37" s="546" t="n"/>
    </row>
    <row r="38">
      <c r="A38" s="476" t="n"/>
      <c r="B38" s="495" t="n"/>
      <c r="C38" s="547" t="n"/>
      <c r="D38" s="497" t="n"/>
      <c r="E38" s="548" t="n"/>
      <c r="F38" s="479" t="n"/>
      <c r="G38" s="522" t="n"/>
      <c r="H38" s="523" t="inlineStr">
        <is>
          <t>TOTAL HUTANG LANCAR</t>
        </is>
      </c>
      <c r="I38" s="549" t="n"/>
      <c r="J38" s="524">
        <f>SUM(J33:J36)</f>
        <v/>
      </c>
    </row>
    <row r="39">
      <c r="A39" s="476" t="n"/>
      <c r="B39" s="518" t="inlineStr">
        <is>
          <t xml:space="preserve">PENDAPATAN/BEBAN LAIN LAIN </t>
        </is>
      </c>
      <c r="C39" s="496" t="n"/>
      <c r="D39" s="503" t="inlineStr">
        <is>
          <t>Rp</t>
        </is>
      </c>
      <c r="E39" s="550" t="n"/>
      <c r="F39" s="479" t="n"/>
      <c r="G39" s="508" t="n"/>
      <c r="H39" s="527" t="n"/>
      <c r="I39" s="551" t="n"/>
      <c r="J39" s="502" t="n"/>
    </row>
    <row r="40">
      <c r="A40" s="476" t="n"/>
      <c r="B40" s="518" t="n"/>
      <c r="C40" s="496" t="inlineStr">
        <is>
          <t>PENDAPATAN LAINNYA</t>
        </is>
      </c>
      <c r="D40" s="503" t="inlineStr">
        <is>
          <t>Rp</t>
        </is>
      </c>
      <c r="E40" s="504" t="n">
        <v>0</v>
      </c>
      <c r="F40" s="479" t="n"/>
      <c r="G40" s="505" t="inlineStr">
        <is>
          <t>MODAL</t>
        </is>
      </c>
      <c r="H40" s="506" t="n"/>
      <c r="I40" s="505" t="n"/>
      <c r="J40" s="507" t="n"/>
    </row>
    <row r="41">
      <c r="A41" s="476" t="n"/>
      <c r="B41" s="518" t="n"/>
      <c r="C41" s="496" t="n"/>
      <c r="D41" s="511" t="n"/>
      <c r="E41" s="552" t="n"/>
      <c r="F41" s="479" t="n"/>
      <c r="G41" s="508" t="n"/>
      <c r="H41" s="509" t="inlineStr">
        <is>
          <t>MODAL SAHAM</t>
        </is>
      </c>
      <c r="I41" s="503" t="inlineStr">
        <is>
          <t>Rp</t>
        </is>
      </c>
      <c r="J41" s="510" t="n">
        <v>0</v>
      </c>
    </row>
    <row r="42">
      <c r="A42" s="476" t="n"/>
      <c r="B42" s="513" t="inlineStr">
        <is>
          <t>LABA RUGI SEBELUM PAJAK</t>
        </is>
      </c>
      <c r="C42" s="514" t="n"/>
      <c r="D42" s="515" t="inlineStr">
        <is>
          <t>Rp</t>
        </is>
      </c>
      <c r="E42" s="516">
        <f>E12-E37</f>
        <v/>
      </c>
      <c r="F42" s="479" t="n"/>
      <c r="G42" s="508" t="n"/>
      <c r="H42" s="509" t="inlineStr">
        <is>
          <t>LABA DI TAHAN</t>
        </is>
      </c>
      <c r="I42" s="503" t="inlineStr">
        <is>
          <t>Rp</t>
        </is>
      </c>
      <c r="J42" s="510" t="n">
        <v>0</v>
      </c>
    </row>
    <row r="43">
      <c r="A43" s="476" t="n"/>
      <c r="B43" s="553" t="n"/>
      <c r="C43" s="547" t="n"/>
      <c r="D43" s="497" t="n"/>
      <c r="E43" s="517" t="n"/>
      <c r="F43" s="479" t="n"/>
      <c r="G43" s="505" t="n"/>
      <c r="H43" s="509" t="inlineStr">
        <is>
          <t>TOTAL LABA (RUGI) DITAHAN</t>
        </is>
      </c>
      <c r="I43" s="511" t="inlineStr">
        <is>
          <t>Rp</t>
        </is>
      </c>
      <c r="J43" s="534">
        <f>J28-J38-J41-J42</f>
        <v/>
      </c>
    </row>
    <row r="44">
      <c r="A44" s="476" t="n"/>
      <c r="B44" s="518" t="inlineStr">
        <is>
          <t>CORPORATE TAX (PPh 29)</t>
        </is>
      </c>
      <c r="D44" s="503" t="inlineStr">
        <is>
          <t>Rp</t>
        </is>
      </c>
      <c r="E44" s="504" t="n">
        <v>0</v>
      </c>
      <c r="F44" s="479" t="n"/>
      <c r="G44" s="522" t="n"/>
      <c r="H44" s="523" t="inlineStr">
        <is>
          <t>TOTAL MODAL</t>
        </is>
      </c>
      <c r="I44" s="515" t="inlineStr">
        <is>
          <t>Rp</t>
        </is>
      </c>
      <c r="J44" s="524">
        <f>SUM(J41:J43)</f>
        <v/>
      </c>
    </row>
    <row r="45">
      <c r="A45" s="476" t="n"/>
      <c r="B45" s="518" t="n"/>
      <c r="C45" s="496" t="n"/>
      <c r="D45" s="511" t="n"/>
      <c r="E45" s="552" t="n"/>
      <c r="F45" s="479" t="n"/>
      <c r="G45" s="508" t="n"/>
      <c r="H45" s="509" t="n"/>
      <c r="I45" s="535" t="n"/>
      <c r="J45" s="536" t="n"/>
    </row>
    <row r="46" ht="15" customHeight="1" s="297">
      <c r="A46" s="476" t="n"/>
      <c r="B46" s="554" t="inlineStr">
        <is>
          <t>LABA / RUGI BERSIH</t>
        </is>
      </c>
      <c r="C46" s="303" t="n"/>
      <c r="D46" s="555" t="n"/>
      <c r="E46" s="556">
        <f>E42-E44</f>
        <v/>
      </c>
      <c r="F46" s="479" t="n"/>
      <c r="G46" s="557" t="inlineStr">
        <is>
          <t>TOTAL HUTANG DAN MODAL</t>
        </is>
      </c>
      <c r="H46" s="558" t="n"/>
      <c r="I46" s="555" t="inlineStr">
        <is>
          <t>Rp</t>
        </is>
      </c>
      <c r="J46" s="559">
        <f>J44+J38</f>
        <v/>
      </c>
    </row>
    <row r="47" ht="4.5" customHeight="1" s="297">
      <c r="A47" s="476" t="n"/>
      <c r="F47" s="479" t="n"/>
    </row>
    <row r="48" ht="50.65" customHeight="1" s="297">
      <c r="A48" s="476" t="n"/>
      <c r="F48" s="479" t="n"/>
      <c r="G48" s="560" t="n"/>
    </row>
    <row r="49" ht="16.75" customHeight="1" s="297">
      <c r="A49" s="476" t="n"/>
      <c r="B49" s="561" t="n"/>
      <c r="F49" s="479" t="n"/>
      <c r="G49" s="561" t="n"/>
    </row>
    <row r="50" ht="15.65" customHeight="1" s="297">
      <c r="A50" s="496" t="n"/>
      <c r="B50" s="562" t="inlineStr">
        <is>
          <t>Direktur</t>
        </is>
      </c>
      <c r="F50" s="479" t="n"/>
      <c r="G50" s="562" t="inlineStr">
        <is>
          <t>Direktur</t>
        </is>
      </c>
    </row>
    <row r="51">
      <c r="A51" s="496" t="n"/>
      <c r="F51" s="479" t="n"/>
    </row>
    <row r="52">
      <c r="A52" s="496" t="n"/>
      <c r="F52" s="479" t="n"/>
      <c r="J52" s="56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6" t="n"/>
      <c r="B1" s="476" t="n"/>
      <c r="C1" s="476" t="n"/>
      <c r="D1" s="476" t="n"/>
      <c r="E1" s="477" t="n"/>
    </row>
    <row r="2" ht="37.25" customHeight="1" s="297">
      <c r="A2" s="476" t="n"/>
      <c r="B2" s="476" t="n"/>
      <c r="C2" s="476" t="n"/>
      <c r="D2" s="476" t="n"/>
      <c r="E2" s="477" t="n"/>
    </row>
    <row r="3" ht="33.65" customHeight="1" s="297">
      <c r="A3" s="476" t="n"/>
      <c r="B3" s="478" t="inlineStr">
        <is>
          <t>PT. EXSPAN WIRELINE INDONESIA</t>
        </is>
      </c>
      <c r="F3" s="479" t="n"/>
    </row>
    <row r="4" ht="20.5" customHeight="1" s="297">
      <c r="A4" s="476" t="n"/>
      <c r="B4" s="481" t="inlineStr">
        <is>
          <t>BUSINESS SUMMARY | TAHUN 2026</t>
        </is>
      </c>
      <c r="F4" s="479" t="n"/>
    </row>
    <row r="5" ht="6" customHeight="1" s="297">
      <c r="A5" s="476" t="n"/>
      <c r="B5" s="476" t="n"/>
      <c r="C5" s="476" t="n"/>
      <c r="D5" s="476" t="n"/>
      <c r="E5" s="477" t="n"/>
      <c r="F5" s="479" t="n"/>
    </row>
    <row r="6" ht="19" customHeight="1" s="297">
      <c r="A6" s="476" t="n"/>
      <c r="B6" s="564" t="inlineStr">
        <is>
          <t>#</t>
        </is>
      </c>
      <c r="C6" s="564" t="inlineStr">
        <is>
          <t>Items</t>
        </is>
      </c>
      <c r="D6" s="565" t="inlineStr">
        <is>
          <t>Amount</t>
        </is>
      </c>
      <c r="E6" s="279" t="n"/>
      <c r="F6" s="479" t="n"/>
    </row>
    <row r="7" ht="19" customHeight="1" s="297">
      <c r="A7" s="476" t="n"/>
      <c r="B7" s="566" t="n">
        <v>1</v>
      </c>
      <c r="C7" s="567" t="inlineStr">
        <is>
          <t>Revenue</t>
        </is>
      </c>
      <c r="D7" s="568" t="inlineStr">
        <is>
          <t>Rp</t>
        </is>
      </c>
      <c r="E7" s="569">
        <f>'Revenue-Cost_2026'!F22</f>
        <v/>
      </c>
      <c r="F7" s="479" t="n"/>
    </row>
    <row r="8" ht="19" customHeight="1" s="297">
      <c r="A8" s="476" t="n"/>
      <c r="B8" s="566" t="n">
        <v>2</v>
      </c>
      <c r="C8" s="567" t="inlineStr">
        <is>
          <t>Revenue Diterima (Setelah Pajak)</t>
        </is>
      </c>
      <c r="D8" s="568" t="inlineStr">
        <is>
          <t>Rp</t>
        </is>
      </c>
      <c r="E8" s="569">
        <f>E7-'Revenue-Cost_2026'!N22</f>
        <v/>
      </c>
      <c r="F8" s="479" t="n"/>
    </row>
    <row r="9" ht="19" customHeight="1" s="297">
      <c r="A9" s="476" t="n"/>
      <c r="B9" s="566" t="n">
        <v>3</v>
      </c>
      <c r="C9" s="567" t="inlineStr">
        <is>
          <t>Biaya</t>
        </is>
      </c>
      <c r="D9" s="568" t="inlineStr">
        <is>
          <t>Rp</t>
        </is>
      </c>
      <c r="E9" s="569">
        <f>SUM('Revenue-Cost_2026'!I750:Q750)</f>
        <v/>
      </c>
      <c r="F9" s="479" t="n"/>
    </row>
    <row r="10" ht="19" customHeight="1" s="297">
      <c r="A10" s="476" t="n"/>
      <c r="B10" s="566" t="n">
        <v>4</v>
      </c>
      <c r="C10" s="567" t="inlineStr">
        <is>
          <t>Profit SebelumTax</t>
        </is>
      </c>
      <c r="D10" s="568" t="inlineStr">
        <is>
          <t>Rp</t>
        </is>
      </c>
      <c r="E10" s="569">
        <f>E7-E9</f>
        <v/>
      </c>
      <c r="F10" s="479" t="n"/>
    </row>
    <row r="11" ht="19" customHeight="1" s="297">
      <c r="A11" s="476" t="n"/>
      <c r="B11" s="566" t="n">
        <v>5</v>
      </c>
      <c r="C11" s="567" t="inlineStr">
        <is>
          <t>PPh Badan (22%*50%)</t>
        </is>
      </c>
      <c r="D11" s="568" t="inlineStr">
        <is>
          <t>Rp</t>
        </is>
      </c>
      <c r="E11" s="569">
        <f>E10*22%*50%</f>
        <v/>
      </c>
      <c r="F11" s="479" t="n"/>
    </row>
    <row r="12" ht="19" customHeight="1" s="297">
      <c r="A12" s="476" t="n"/>
      <c r="B12" s="566" t="n">
        <v>6</v>
      </c>
      <c r="C12" s="567" t="inlineStr">
        <is>
          <t>PPh 23 Dipotong oleh client</t>
        </is>
      </c>
      <c r="D12" s="568" t="inlineStr">
        <is>
          <t>Rp</t>
        </is>
      </c>
      <c r="E12" s="569">
        <f>'Revenue-Cost_2026'!N22</f>
        <v/>
      </c>
      <c r="F12" s="479" t="n"/>
    </row>
    <row r="13" ht="19" customHeight="1" s="297">
      <c r="A13" s="476" t="n"/>
      <c r="B13" s="566" t="n">
        <v>7</v>
      </c>
      <c r="C13" s="567" t="inlineStr">
        <is>
          <t>Kekurangan Bayar PPh Badan</t>
        </is>
      </c>
      <c r="D13" s="568" t="inlineStr">
        <is>
          <t>Rp</t>
        </is>
      </c>
      <c r="E13" s="570">
        <f>E11-E12</f>
        <v/>
      </c>
      <c r="F13" s="479" t="n"/>
    </row>
    <row r="14" ht="19" customHeight="1" s="297">
      <c r="A14" s="476" t="n"/>
      <c r="B14" s="566" t="n">
        <v>8</v>
      </c>
      <c r="C14" s="567" t="inlineStr">
        <is>
          <t>Profit After Tax</t>
        </is>
      </c>
      <c r="D14" s="568" t="inlineStr">
        <is>
          <t>Rp</t>
        </is>
      </c>
      <c r="E14" s="569">
        <f>E10-E13</f>
        <v/>
      </c>
      <c r="F14" s="479" t="n"/>
    </row>
    <row r="15" ht="19" customHeight="1" s="297">
      <c r="A15" s="476" t="n"/>
      <c r="B15" s="566" t="n">
        <v>9</v>
      </c>
      <c r="C15" s="567" t="inlineStr">
        <is>
          <t>Deviden Dibagi</t>
        </is>
      </c>
      <c r="D15" s="568" t="inlineStr">
        <is>
          <t>Rp</t>
        </is>
      </c>
      <c r="E15" s="569">
        <f>E14-E16</f>
        <v/>
      </c>
      <c r="F15" s="479" t="n"/>
    </row>
    <row r="16" ht="19" customHeight="1" s="297">
      <c r="A16" s="476" t="n"/>
      <c r="B16" s="566" t="n">
        <v>10</v>
      </c>
      <c r="C16" s="567" t="inlineStr">
        <is>
          <t>Profit Ditahan</t>
        </is>
      </c>
      <c r="D16" s="568" t="inlineStr">
        <is>
          <t>Rp</t>
        </is>
      </c>
      <c r="E16" s="569" t="n">
        <v>200</v>
      </c>
      <c r="F16" s="479" t="n"/>
    </row>
    <row r="17">
      <c r="A17" s="476" t="n"/>
      <c r="B17" s="476" t="n"/>
      <c r="C17" s="476" t="n"/>
      <c r="D17" s="476" t="n"/>
      <c r="E17" s="477" t="n"/>
      <c r="F17" s="479" t="n"/>
    </row>
    <row r="18" ht="18" customHeight="1" s="297">
      <c r="A18" s="476" t="n"/>
      <c r="B18" s="270" t="inlineStr">
        <is>
          <t>DEVIDEN</t>
        </is>
      </c>
      <c r="F18" s="479" t="n"/>
    </row>
    <row r="19" ht="19" customHeight="1" s="297">
      <c r="A19" s="476" t="n"/>
      <c r="B19" s="271" t="n"/>
      <c r="C19" s="272" t="n"/>
      <c r="D19" s="567" t="n"/>
      <c r="E19" s="571" t="n"/>
      <c r="F19" s="479" t="n"/>
      <c r="G19" s="572" t="n"/>
    </row>
    <row r="20" ht="19" customHeight="1" s="297">
      <c r="A20" s="476" t="n"/>
      <c r="B20" s="271" t="n"/>
      <c r="C20" s="272" t="n"/>
      <c r="D20" s="567" t="n"/>
      <c r="E20" s="571" t="n"/>
      <c r="F20" s="479" t="n"/>
      <c r="G20" s="572" t="n"/>
    </row>
    <row r="21" ht="48.75" customHeight="1" s="297">
      <c r="A21" s="496" t="n"/>
      <c r="F21" s="479" t="n"/>
    </row>
    <row r="22">
      <c r="A22" s="496" t="n"/>
      <c r="F22" s="47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2026-03-29T09:32:40Z</dcterms:modified>
  <cp:lastModifiedBy>Diofavian - Student</cp:lastModifiedBy>
</cp:coreProperties>
</file>