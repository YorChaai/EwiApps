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31.9" customWidth="1" min="2" max="2"/>
    <col width="5.5" bestFit="1" customWidth="1" min="3" max="3"/>
    <col width="86.90000000000001" customWidth="1" min="4" max="4"/>
    <col width="7.700000000000001" bestFit="1" customWidth="1" min="5" max="5"/>
    <col width="45.1" bestFit="1" customWidth="1" min="6" max="6"/>
    <col width="5" customWidth="1" style="3" min="7" max="7"/>
    <col width="10" customWidth="1" style="3" min="8" max="8"/>
    <col width="22" customWidth="1" min="9" max="9"/>
    <col width="22" bestFit="1" customWidth="1" min="10" max="10"/>
    <col width="29.7" bestFit="1" customWidth="1" min="11" max="11"/>
    <col width="18.7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6" t="n">
        <v>45388</v>
      </c>
      <c r="C42" s="279" t="n">
        <v>1</v>
      </c>
      <c r="D42" s="281" t="inlineStr">
        <is>
          <t>THR 2024_Yufitri</t>
        </is>
      </c>
      <c r="E42" s="281" t="inlineStr">
        <is>
          <t>BCA</t>
        </is>
      </c>
      <c r="F42" s="287" t="n">
        <v>3000000</v>
      </c>
      <c r="G42" s="283" t="inlineStr">
        <is>
          <t>IDR</t>
        </is>
      </c>
      <c r="H42" s="288" t="n">
        <v>1</v>
      </c>
      <c r="I42" s="289" t="n"/>
      <c r="J42" s="289" t="n"/>
      <c r="K42" s="290" t="n"/>
      <c r="L42" s="291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6" t="n">
        <v>45657</v>
      </c>
      <c r="C44" s="279" t="n">
        <v>2</v>
      </c>
      <c r="D44" s="281" t="inlineStr">
        <is>
          <t>Total Biaya Transaksi Bank selama 1 tahun</t>
        </is>
      </c>
      <c r="E44" s="281" t="inlineStr">
        <is>
          <t>-</t>
        </is>
      </c>
      <c r="F44" s="287" t="n">
        <v>1998587</v>
      </c>
      <c r="G44" s="283" t="inlineStr">
        <is>
          <t>IDR</t>
        </is>
      </c>
      <c r="H44" s="288" t="n">
        <v>1</v>
      </c>
      <c r="I44" s="289" t="n"/>
      <c r="J44" s="289" t="n"/>
      <c r="K44" s="290" t="n"/>
      <c r="L44" s="281" t="n"/>
      <c r="M44" s="291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0" t="n"/>
      <c r="M45" s="280" t="n"/>
      <c r="N45" s="280" t="n"/>
      <c r="O45" s="280" t="n"/>
      <c r="P45" s="280" t="n"/>
      <c r="Q45" s="280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6" t="n">
        <v>45413</v>
      </c>
      <c r="C46" s="279" t="n">
        <v>3</v>
      </c>
      <c r="D46" s="281" t="inlineStr">
        <is>
          <t>Data proccesing MTD 4 well, project Tomori-Alan</t>
        </is>
      </c>
      <c r="E46" s="281" t="inlineStr">
        <is>
          <t>BCA</t>
        </is>
      </c>
      <c r="F46" s="287" t="n">
        <v>122625000</v>
      </c>
      <c r="G46" s="283" t="inlineStr">
        <is>
          <t>IDR</t>
        </is>
      </c>
      <c r="H46" s="288" t="n">
        <v>1</v>
      </c>
      <c r="I46" s="289" t="n"/>
      <c r="J46" s="289" t="n"/>
      <c r="K46" s="291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6" t="n">
        <v>45525</v>
      </c>
      <c r="C47" s="279" t="n">
        <v>4</v>
      </c>
      <c r="D47" s="281" t="inlineStr">
        <is>
          <t>Data proccesing TGB-33 DAN TIS (RBG-3b)-Alan</t>
        </is>
      </c>
      <c r="E47" s="281" t="inlineStr">
        <is>
          <t>BCA</t>
        </is>
      </c>
      <c r="F47" s="287" t="n">
        <v>101120000</v>
      </c>
      <c r="G47" s="283" t="inlineStr">
        <is>
          <t>IDR</t>
        </is>
      </c>
      <c r="H47" s="288" t="n">
        <v>1</v>
      </c>
      <c r="I47" s="289" t="n"/>
      <c r="J47" s="289" t="n"/>
      <c r="K47" s="291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6" t="n">
        <v>45589</v>
      </c>
      <c r="C48" s="279" t="n">
        <v>5</v>
      </c>
      <c r="D48" s="281" t="inlineStr">
        <is>
          <t>Data Processing 8 Well Alan Project SIJAK</t>
        </is>
      </c>
      <c r="E48" s="281" t="inlineStr">
        <is>
          <t>BRI</t>
        </is>
      </c>
      <c r="F48" s="287" t="n">
        <v>144000000</v>
      </c>
      <c r="G48" s="283" t="inlineStr">
        <is>
          <t>IDR</t>
        </is>
      </c>
      <c r="H48" s="288" t="n">
        <v>1</v>
      </c>
      <c r="I48" s="289" t="n"/>
      <c r="J48" s="289" t="n"/>
      <c r="K48" s="291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0" t="n"/>
      <c r="M49" s="280" t="n"/>
      <c r="N49" s="280" t="n"/>
      <c r="O49" s="280" t="n"/>
      <c r="P49" s="280" t="n"/>
      <c r="Q49" s="280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6" t="n">
        <v>45501</v>
      </c>
      <c r="C50" s="279" t="n">
        <v>6</v>
      </c>
      <c r="D50" s="281" t="inlineStr">
        <is>
          <t>Handphone Operational untuk Secretary (Yufitri)</t>
        </is>
      </c>
      <c r="E50" s="281" t="inlineStr">
        <is>
          <t>BCA</t>
        </is>
      </c>
      <c r="F50" s="287" t="n">
        <v>2600000</v>
      </c>
      <c r="G50" s="283" t="inlineStr">
        <is>
          <t>IDR</t>
        </is>
      </c>
      <c r="H50" s="288" t="n">
        <v>1</v>
      </c>
      <c r="I50" s="289" t="n"/>
      <c r="J50" s="289" t="n"/>
      <c r="K50" s="290" t="n"/>
      <c r="L50" s="281" t="n"/>
      <c r="M50" s="281" t="n"/>
      <c r="N50" s="291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0" t="n"/>
      <c r="M51" s="280" t="n"/>
      <c r="N51" s="280" t="n"/>
      <c r="O51" s="280" t="n"/>
      <c r="P51" s="280" t="n"/>
      <c r="Q51" s="280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6" t="n">
        <v>45323</v>
      </c>
      <c r="C52" s="279" t="n">
        <v>7</v>
      </c>
      <c r="D52" s="281" t="inlineStr">
        <is>
          <t>Gaji Januari 2024 _Yufitri</t>
        </is>
      </c>
      <c r="E52" s="281" t="inlineStr">
        <is>
          <t>BCA</t>
        </is>
      </c>
      <c r="F52" s="287" t="n">
        <v>2500000</v>
      </c>
      <c r="G52" s="283" t="inlineStr">
        <is>
          <t>IDR</t>
        </is>
      </c>
      <c r="H52" s="288" t="n">
        <v>1</v>
      </c>
      <c r="I52" s="289" t="n"/>
      <c r="J52" s="289" t="n"/>
      <c r="K52" s="290" t="n"/>
      <c r="L52" s="291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6" t="n">
        <v>45356</v>
      </c>
      <c r="C53" s="279" t="n">
        <v>8</v>
      </c>
      <c r="D53" s="281" t="inlineStr">
        <is>
          <t>Gaji Februari 2024 + raple gaji Januari 2024_Yufitri</t>
        </is>
      </c>
      <c r="E53" s="281" t="inlineStr">
        <is>
          <t>BCA</t>
        </is>
      </c>
      <c r="F53" s="287" t="n">
        <v>3500000</v>
      </c>
      <c r="G53" s="283" t="inlineStr">
        <is>
          <t>IDR</t>
        </is>
      </c>
      <c r="H53" s="288" t="n">
        <v>1</v>
      </c>
      <c r="I53" s="289" t="n"/>
      <c r="J53" s="289" t="n"/>
      <c r="K53" s="290" t="n"/>
      <c r="L53" s="291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6" t="n">
        <v>45379</v>
      </c>
      <c r="C54" s="279" t="n">
        <v>9</v>
      </c>
      <c r="D54" s="281" t="inlineStr">
        <is>
          <t>Gaji Maret 2024_Yufitri</t>
        </is>
      </c>
      <c r="E54" s="281" t="inlineStr">
        <is>
          <t>BCA</t>
        </is>
      </c>
      <c r="F54" s="287" t="n">
        <v>3000000</v>
      </c>
      <c r="G54" s="283" t="inlineStr">
        <is>
          <t>IDR</t>
        </is>
      </c>
      <c r="H54" s="288" t="n">
        <v>1</v>
      </c>
      <c r="I54" s="289" t="n"/>
      <c r="J54" s="289" t="n"/>
      <c r="K54" s="290" t="n"/>
      <c r="L54" s="291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6" t="n">
        <v>45416</v>
      </c>
      <c r="C55" s="279" t="n">
        <v>10</v>
      </c>
      <c r="D55" s="281" t="inlineStr">
        <is>
          <t>Gaji April_Yufitri</t>
        </is>
      </c>
      <c r="E55" s="281" t="inlineStr">
        <is>
          <t>BCA</t>
        </is>
      </c>
      <c r="F55" s="287" t="n">
        <v>3000000</v>
      </c>
      <c r="G55" s="283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6" t="n">
        <v>45446</v>
      </c>
      <c r="C56" s="279" t="n">
        <v>11</v>
      </c>
      <c r="D56" s="281" t="inlineStr">
        <is>
          <t>Gaji Mei_Yufitri</t>
        </is>
      </c>
      <c r="E56" s="281" t="inlineStr">
        <is>
          <t>BCA</t>
        </is>
      </c>
      <c r="F56" s="287" t="n">
        <v>3000000</v>
      </c>
      <c r="G56" s="283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6" t="n">
        <v>45473</v>
      </c>
      <c r="C57" s="279" t="n">
        <v>12</v>
      </c>
      <c r="D57" s="281" t="inlineStr">
        <is>
          <t>Gaji Juni 2024_Yufitri</t>
        </is>
      </c>
      <c r="E57" s="281" t="inlineStr">
        <is>
          <t>BCA</t>
        </is>
      </c>
      <c r="F57" s="287" t="n">
        <v>3000000</v>
      </c>
      <c r="G57" s="283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6" t="n">
        <v>45501</v>
      </c>
      <c r="C58" s="279" t="n">
        <v>13</v>
      </c>
      <c r="D58" s="281" t="inlineStr">
        <is>
          <t>Gaji Juli 2024_Yufitri</t>
        </is>
      </c>
      <c r="E58" s="281" t="inlineStr">
        <is>
          <t>BCA</t>
        </is>
      </c>
      <c r="F58" s="287" t="n">
        <v>3000000</v>
      </c>
      <c r="G58" s="283" t="inlineStr">
        <is>
          <t>IDR</t>
        </is>
      </c>
      <c r="H58" s="288" t="n">
        <v>1</v>
      </c>
      <c r="I58" s="289" t="n"/>
      <c r="J58" s="289" t="n"/>
      <c r="K58" s="290" t="n"/>
      <c r="L58" s="291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6" t="n">
        <v>45535</v>
      </c>
      <c r="C59" s="279" t="n">
        <v>14</v>
      </c>
      <c r="D59" s="281" t="inlineStr">
        <is>
          <t>Gaji Agustus 2024_Yufitri</t>
        </is>
      </c>
      <c r="E59" s="281" t="inlineStr">
        <is>
          <t>BCA</t>
        </is>
      </c>
      <c r="F59" s="287" t="n">
        <v>3000000</v>
      </c>
      <c r="G59" s="283" t="inlineStr">
        <is>
          <t>IDR</t>
        </is>
      </c>
      <c r="H59" s="288" t="n">
        <v>1</v>
      </c>
      <c r="I59" s="289" t="n"/>
      <c r="J59" s="289" t="n"/>
      <c r="K59" s="290" t="n"/>
      <c r="L59" s="291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6" t="n">
        <v>45568</v>
      </c>
      <c r="C60" s="279" t="n">
        <v>15</v>
      </c>
      <c r="D60" s="281" t="inlineStr">
        <is>
          <t>Gaji fitri bulan september 2024</t>
        </is>
      </c>
      <c r="E60" s="281" t="inlineStr">
        <is>
          <t>BRI</t>
        </is>
      </c>
      <c r="F60" s="287" t="n">
        <v>3000000</v>
      </c>
      <c r="G60" s="283" t="inlineStr">
        <is>
          <t>IDR</t>
        </is>
      </c>
      <c r="H60" s="288" t="n">
        <v>1</v>
      </c>
      <c r="I60" s="289" t="n"/>
      <c r="J60" s="289" t="n"/>
      <c r="K60" s="290" t="n"/>
      <c r="L60" s="291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6" t="n">
        <v>45568</v>
      </c>
      <c r="C61" s="279" t="n">
        <v>16</v>
      </c>
      <c r="D61" s="281" t="inlineStr">
        <is>
          <t>Gaji fitri bulan October 2024</t>
        </is>
      </c>
      <c r="E61" s="281" t="inlineStr">
        <is>
          <t>BRI</t>
        </is>
      </c>
      <c r="F61" s="287" t="n">
        <v>3000000</v>
      </c>
      <c r="G61" s="283" t="inlineStr">
        <is>
          <t>IDR</t>
        </is>
      </c>
      <c r="H61" s="288" t="n">
        <v>1</v>
      </c>
      <c r="I61" s="289" t="n"/>
      <c r="J61" s="289" t="n"/>
      <c r="K61" s="290" t="n"/>
      <c r="L61" s="291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6" t="n">
        <v>45625</v>
      </c>
      <c r="C62" s="279" t="n">
        <v>17</v>
      </c>
      <c r="D62" s="281" t="inlineStr">
        <is>
          <t>Gaji fitri bulan November 2024</t>
        </is>
      </c>
      <c r="E62" s="281" t="inlineStr">
        <is>
          <t>BRI</t>
        </is>
      </c>
      <c r="F62" s="287" t="n">
        <v>3000000</v>
      </c>
      <c r="G62" s="283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6" t="n">
        <v>45651</v>
      </c>
      <c r="C63" s="279" t="n">
        <v>18</v>
      </c>
      <c r="D63" s="281" t="inlineStr">
        <is>
          <t>Gaji Desember 2024 + Bomnus akhir tahun - 4 bulan_Yufitri</t>
        </is>
      </c>
      <c r="E63" s="281" t="inlineStr">
        <is>
          <t>BCA</t>
        </is>
      </c>
      <c r="F63" s="287" t="n">
        <v>15000000</v>
      </c>
      <c r="G63" s="283" t="inlineStr">
        <is>
          <t>IDR</t>
        </is>
      </c>
      <c r="H63" s="288" t="n">
        <v>1</v>
      </c>
      <c r="I63" s="289" t="n"/>
      <c r="J63" s="289" t="n"/>
      <c r="K63" s="290" t="n"/>
      <c r="L63" s="291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0" t="n"/>
      <c r="M64" s="280" t="n"/>
      <c r="N64" s="280" t="n"/>
      <c r="O64" s="280" t="n"/>
      <c r="P64" s="280" t="n"/>
      <c r="Q64" s="280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6" t="n">
        <v>45473</v>
      </c>
      <c r="C65" s="279" t="n">
        <v>19</v>
      </c>
      <c r="D65" s="281" t="inlineStr">
        <is>
          <t>Downhole Sampling tool #1-1 GARINDO SARANA BARU</t>
        </is>
      </c>
      <c r="E65" s="281" t="inlineStr">
        <is>
          <t>BCA</t>
        </is>
      </c>
      <c r="F65" s="287" t="n">
        <v>39800000</v>
      </c>
      <c r="G65" s="283" t="inlineStr">
        <is>
          <t>IDR</t>
        </is>
      </c>
      <c r="H65" s="288" t="n">
        <v>1</v>
      </c>
      <c r="I65" s="289" t="n"/>
      <c r="J65" s="289" t="n"/>
      <c r="K65" s="290" t="n"/>
      <c r="L65" s="281" t="n"/>
      <c r="M65" s="281" t="n"/>
      <c r="N65" s="291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6" t="n">
        <v>45519</v>
      </c>
      <c r="C66" s="279" t="n">
        <v>20</v>
      </c>
      <c r="D66" s="281" t="inlineStr">
        <is>
          <t>Downhole Sampling tool #1-2 GARINDO SARANA BARU</t>
        </is>
      </c>
      <c r="E66" s="281" t="inlineStr">
        <is>
          <t>BCA</t>
        </is>
      </c>
      <c r="F66" s="287" t="n">
        <v>53835000</v>
      </c>
      <c r="G66" s="283" t="inlineStr">
        <is>
          <t>IDR</t>
        </is>
      </c>
      <c r="H66" s="288" t="n">
        <v>1</v>
      </c>
      <c r="I66" s="289" t="n"/>
      <c r="J66" s="289" t="n"/>
      <c r="K66" s="290" t="n"/>
      <c r="L66" s="281" t="n"/>
      <c r="M66" s="281" t="n"/>
      <c r="N66" s="291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6" t="n">
        <v>45556</v>
      </c>
      <c r="C67" s="279" t="n">
        <v>21</v>
      </c>
      <c r="D67" s="281" t="inlineStr">
        <is>
          <t>Downhole Sampling tool #2 GARINDO SARANA BARU</t>
        </is>
      </c>
      <c r="E67" s="281" t="inlineStr">
        <is>
          <t>BCA</t>
        </is>
      </c>
      <c r="F67" s="287" t="n">
        <v>34299000</v>
      </c>
      <c r="G67" s="283" t="inlineStr">
        <is>
          <t>IDR</t>
        </is>
      </c>
      <c r="H67" s="288" t="n">
        <v>1</v>
      </c>
      <c r="I67" s="289" t="n"/>
      <c r="J67" s="289" t="n"/>
      <c r="K67" s="290" t="n"/>
      <c r="L67" s="281" t="n"/>
      <c r="M67" s="281" t="n"/>
      <c r="N67" s="291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0" t="n"/>
      <c r="M68" s="280" t="n"/>
      <c r="N68" s="280" t="n"/>
      <c r="O68" s="280" t="n"/>
      <c r="P68" s="280" t="n"/>
      <c r="Q68" s="280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6" t="n">
        <v>45644</v>
      </c>
      <c r="C69" s="279" t="n">
        <v>22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7" t="n">
        <v>39201350</v>
      </c>
      <c r="G69" s="283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0" t="n"/>
      <c r="M70" s="280" t="n"/>
      <c r="N70" s="280" t="n"/>
      <c r="O70" s="280" t="n"/>
      <c r="P70" s="280" t="n"/>
      <c r="Q70" s="280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6" t="n">
        <v>45483</v>
      </c>
      <c r="C71" s="279" t="n">
        <v>23</v>
      </c>
      <c r="D71" s="281" t="inlineStr">
        <is>
          <t>Pembelian Lisence Sonoechometer to PT Weebz Mandiri</t>
        </is>
      </c>
      <c r="E71" s="281" t="inlineStr">
        <is>
          <t>BCA</t>
        </is>
      </c>
      <c r="F71" s="287" t="n">
        <v>16650000</v>
      </c>
      <c r="G71" s="283" t="inlineStr">
        <is>
          <t>IDR</t>
        </is>
      </c>
      <c r="H71" s="288" t="n">
        <v>1</v>
      </c>
      <c r="I71" s="289" t="n"/>
      <c r="J71" s="289" t="n"/>
      <c r="K71" s="290" t="n"/>
      <c r="L71" s="281" t="n"/>
      <c r="M71" s="281" t="n"/>
      <c r="N71" s="281" t="n"/>
      <c r="O71" s="281" t="n"/>
      <c r="P71" s="281" t="n"/>
      <c r="Q71" s="291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6" t="n">
        <v>45519</v>
      </c>
      <c r="C72" s="279" t="n">
        <v>24</v>
      </c>
      <c r="D72" s="281" t="inlineStr">
        <is>
          <t>MUTRI | Sewa ruangan kantor BBC 2 bulan</t>
        </is>
      </c>
      <c r="E72" s="281" t="inlineStr">
        <is>
          <t>BCA</t>
        </is>
      </c>
      <c r="F72" s="287" t="n">
        <v>11270000</v>
      </c>
      <c r="G72" s="283" t="inlineStr">
        <is>
          <t>IDR</t>
        </is>
      </c>
      <c r="H72" s="288" t="n">
        <v>1</v>
      </c>
      <c r="I72" s="289" t="n"/>
      <c r="J72" s="289" t="n"/>
      <c r="K72" s="290" t="n"/>
      <c r="L72" s="281" t="n"/>
      <c r="M72" s="281" t="n"/>
      <c r="N72" s="281" t="n"/>
      <c r="O72" s="281" t="n"/>
      <c r="P72" s="281" t="n"/>
      <c r="Q72" s="291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6" t="n">
        <v>45539</v>
      </c>
      <c r="C73" s="279" t="n">
        <v>25</v>
      </c>
      <c r="D73" s="281" t="inlineStr">
        <is>
          <t>MUTRI | Penambahan modal biaya kerja</t>
        </is>
      </c>
      <c r="E73" s="281" t="inlineStr">
        <is>
          <t>BRI</t>
        </is>
      </c>
      <c r="F73" s="287" t="n">
        <v>100000000</v>
      </c>
      <c r="G73" s="283" t="inlineStr">
        <is>
          <t>IDR</t>
        </is>
      </c>
      <c r="H73" s="288" t="n">
        <v>1</v>
      </c>
      <c r="I73" s="289" t="n"/>
      <c r="J73" s="289" t="n"/>
      <c r="K73" s="290" t="n"/>
      <c r="L73" s="281" t="n"/>
      <c r="M73" s="281" t="n"/>
      <c r="N73" s="281" t="n"/>
      <c r="O73" s="281" t="n"/>
      <c r="P73" s="281" t="n"/>
      <c r="Q73" s="291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6" t="n">
        <v>45625</v>
      </c>
      <c r="C74" s="279" t="n">
        <v>26</v>
      </c>
      <c r="D74" s="281" t="inlineStr">
        <is>
          <t>MUTRI | Penambahan modal biaya kerja 3rd</t>
        </is>
      </c>
      <c r="E74" s="281" t="inlineStr">
        <is>
          <t>BRI</t>
        </is>
      </c>
      <c r="F74" s="287" t="n">
        <v>75000000</v>
      </c>
      <c r="G74" s="283" t="inlineStr">
        <is>
          <t>IDR</t>
        </is>
      </c>
      <c r="H74" s="288" t="n">
        <v>1</v>
      </c>
      <c r="I74" s="289" t="n"/>
      <c r="J74" s="289" t="n"/>
      <c r="K74" s="290" t="n"/>
      <c r="L74" s="281" t="n"/>
      <c r="M74" s="281" t="n"/>
      <c r="N74" s="281" t="n"/>
      <c r="O74" s="281" t="n"/>
      <c r="P74" s="281" t="n"/>
      <c r="Q74" s="291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0" t="n"/>
      <c r="M75" s="280" t="n"/>
      <c r="N75" s="280" t="n"/>
      <c r="O75" s="280" t="n"/>
      <c r="P75" s="280" t="n"/>
      <c r="Q75" s="280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6" t="n">
        <v>45364</v>
      </c>
      <c r="C76" s="279" t="n">
        <v>27</v>
      </c>
      <c r="D76" s="281" t="inlineStr">
        <is>
          <t>Ralika Jaya Utama | Permbuatan alat Downhole Wireless Telemetry</t>
        </is>
      </c>
      <c r="E76" s="281" t="inlineStr">
        <is>
          <t>BCA</t>
        </is>
      </c>
      <c r="F76" s="287" t="n">
        <v>100000000</v>
      </c>
      <c r="G76" s="283" t="inlineStr">
        <is>
          <t>IDR</t>
        </is>
      </c>
      <c r="H76" s="288" t="n">
        <v>1</v>
      </c>
      <c r="I76" s="289" t="n"/>
      <c r="J76" s="292" t="n">
        <v>100000000</v>
      </c>
      <c r="K76" s="290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6" t="n">
        <v>45418</v>
      </c>
      <c r="C77" s="279" t="n">
        <v>28</v>
      </c>
      <c r="D77" s="281" t="inlineStr">
        <is>
          <t>Ralika Jaya Utama | Permbuatan alat Downhole Wireless Telemetry</t>
        </is>
      </c>
      <c r="E77" s="281" t="inlineStr">
        <is>
          <t>BRI</t>
        </is>
      </c>
      <c r="F77" s="287" t="n">
        <v>100000000</v>
      </c>
      <c r="G77" s="283" t="inlineStr">
        <is>
          <t>IDR</t>
        </is>
      </c>
      <c r="H77" s="288" t="n">
        <v>1</v>
      </c>
      <c r="I77" s="289" t="n"/>
      <c r="J77" s="292" t="n">
        <v>100000000</v>
      </c>
      <c r="K77" s="290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6" t="n">
        <v>45502</v>
      </c>
      <c r="C78" s="279" t="n">
        <v>29</v>
      </c>
      <c r="D78" s="281" t="inlineStr">
        <is>
          <t>Ralika Jaya Utama | Permbuatan alat injeksi listrik (EAS)</t>
        </is>
      </c>
      <c r="E78" s="281" t="inlineStr">
        <is>
          <t>BRI</t>
        </is>
      </c>
      <c r="F78" s="287" t="n">
        <v>100000000</v>
      </c>
      <c r="G78" s="283" t="inlineStr">
        <is>
          <t>IDR</t>
        </is>
      </c>
      <c r="H78" s="288" t="n">
        <v>1</v>
      </c>
      <c r="I78" s="289" t="n"/>
      <c r="J78" s="292" t="n">
        <v>100000000</v>
      </c>
      <c r="K78" s="290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6" t="n">
        <v>45548</v>
      </c>
      <c r="C79" s="279" t="n">
        <v>30</v>
      </c>
      <c r="D79" s="281" t="inlineStr">
        <is>
          <t>Ralika Jaya Utama | Permbuatan alat EMR</t>
        </is>
      </c>
      <c r="E79" s="281" t="inlineStr">
        <is>
          <t>BRI</t>
        </is>
      </c>
      <c r="F79" s="287" t="n">
        <v>150000000</v>
      </c>
      <c r="G79" s="283" t="inlineStr">
        <is>
          <t>IDR</t>
        </is>
      </c>
      <c r="H79" s="288" t="n">
        <v>1</v>
      </c>
      <c r="I79" s="289" t="n"/>
      <c r="J79" s="292" t="n">
        <v>150000000</v>
      </c>
      <c r="K79" s="290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6" t="n">
        <v>45631</v>
      </c>
      <c r="C80" s="279" t="n">
        <v>31</v>
      </c>
      <c r="D80" s="281" t="inlineStr">
        <is>
          <t>Ralika Jaya Utama | Permbuatan alat injeksi listrik (EAS)</t>
        </is>
      </c>
      <c r="E80" s="281" t="inlineStr">
        <is>
          <t>BRI</t>
        </is>
      </c>
      <c r="F80" s="287" t="n">
        <v>400000000</v>
      </c>
      <c r="G80" s="283" t="inlineStr">
        <is>
          <t>IDR</t>
        </is>
      </c>
      <c r="H80" s="288" t="n">
        <v>1</v>
      </c>
      <c r="I80" s="289" t="n"/>
      <c r="J80" s="292" t="n">
        <v>400000000</v>
      </c>
      <c r="K80" s="290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6" t="n">
        <v>45653</v>
      </c>
      <c r="C81" s="279" t="n">
        <v>32</v>
      </c>
      <c r="D81" s="281" t="inlineStr">
        <is>
          <t>KUPA | Pembelian Mesin Retort Horizontal 500 Lt Automatic Control</t>
        </is>
      </c>
      <c r="E81" s="281" t="inlineStr">
        <is>
          <t>BCA</t>
        </is>
      </c>
      <c r="F81" s="287" t="n">
        <v>141500000</v>
      </c>
      <c r="G81" s="283" t="inlineStr">
        <is>
          <t>IDR</t>
        </is>
      </c>
      <c r="H81" s="288" t="n">
        <v>1</v>
      </c>
      <c r="I81" s="289" t="n"/>
      <c r="J81" s="292" t="n">
        <v>141500000</v>
      </c>
      <c r="K81" s="290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0" t="n"/>
      <c r="M82" s="280" t="n"/>
      <c r="N82" s="280" t="n"/>
      <c r="O82" s="280" t="n"/>
      <c r="P82" s="280" t="n"/>
      <c r="Q82" s="280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6" t="n">
        <v>45446</v>
      </c>
      <c r="C83" s="279" t="n">
        <v>33</v>
      </c>
      <c r="D83" s="281" t="inlineStr">
        <is>
          <t>PT Laka Indonesia |  Wastafel for WIKA Anantara Ubud Bali</t>
        </is>
      </c>
      <c r="E83" s="281" t="inlineStr">
        <is>
          <t>BCA</t>
        </is>
      </c>
      <c r="F83" s="287" t="n">
        <v>300000000</v>
      </c>
      <c r="G83" s="283" t="inlineStr">
        <is>
          <t>IDR</t>
        </is>
      </c>
      <c r="H83" s="288" t="n">
        <v>1</v>
      </c>
      <c r="I83" s="289" t="n"/>
      <c r="J83" s="289" t="n"/>
      <c r="K83" s="290" t="n"/>
      <c r="L83" s="291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6" t="n">
        <v>45478</v>
      </c>
      <c r="C84" s="279" t="n">
        <v>34</v>
      </c>
      <c r="D84" s="281" t="inlineStr">
        <is>
          <t>Repair ESOR panel &amp; Fabricate dummy test load, Payment#2</t>
        </is>
      </c>
      <c r="E84" s="281" t="inlineStr">
        <is>
          <t>BRI</t>
        </is>
      </c>
      <c r="F84" s="287" t="n">
        <v>25000000</v>
      </c>
      <c r="G84" s="283" t="inlineStr">
        <is>
          <t>IDR</t>
        </is>
      </c>
      <c r="H84" s="288" t="n">
        <v>1</v>
      </c>
      <c r="I84" s="289" t="n"/>
      <c r="J84" s="289" t="n"/>
      <c r="K84" s="290" t="n"/>
      <c r="L84" s="291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6" t="n">
        <v>45480</v>
      </c>
      <c r="C85" s="279" t="n">
        <v>35</v>
      </c>
      <c r="D85" s="281" t="inlineStr">
        <is>
          <t>PT Laka Indonesia |  Wastafel for WIKA Anantara Ubud Bali</t>
        </is>
      </c>
      <c r="E85" s="281" t="inlineStr">
        <is>
          <t>BCA</t>
        </is>
      </c>
      <c r="F85" s="287" t="n">
        <v>25000000</v>
      </c>
      <c r="G85" s="283" t="inlineStr">
        <is>
          <t>IDR</t>
        </is>
      </c>
      <c r="H85" s="288" t="n">
        <v>1</v>
      </c>
      <c r="I85" s="289" t="n"/>
      <c r="J85" s="289" t="n"/>
      <c r="K85" s="290" t="n"/>
      <c r="L85" s="291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6" t="n">
        <v>45492</v>
      </c>
      <c r="C86" s="279" t="n">
        <v>36</v>
      </c>
      <c r="D86" s="281" t="inlineStr">
        <is>
          <t>PT Laka Indonesia |  Wastafel for WIKA Anantara Ubud Bali</t>
        </is>
      </c>
      <c r="E86" s="281" t="inlineStr">
        <is>
          <t>BCA</t>
        </is>
      </c>
      <c r="F86" s="287" t="n">
        <v>25000000</v>
      </c>
      <c r="G86" s="283" t="inlineStr">
        <is>
          <t>IDR</t>
        </is>
      </c>
      <c r="H86" s="288" t="n">
        <v>1</v>
      </c>
      <c r="I86" s="289" t="n"/>
      <c r="J86" s="289" t="n"/>
      <c r="K86" s="290" t="n"/>
      <c r="L86" s="291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6" t="n">
        <v>45493</v>
      </c>
      <c r="C87" s="279" t="n">
        <v>37</v>
      </c>
      <c r="D87" s="281" t="inlineStr">
        <is>
          <t>Repair ESOR panel &amp; Fabricate dummy test load, Payment#1</t>
        </is>
      </c>
      <c r="E87" s="281" t="inlineStr">
        <is>
          <t>BCA</t>
        </is>
      </c>
      <c r="F87" s="287" t="n">
        <v>20000000</v>
      </c>
      <c r="G87" s="283" t="inlineStr">
        <is>
          <t>IDR</t>
        </is>
      </c>
      <c r="H87" s="288" t="n">
        <v>1</v>
      </c>
      <c r="I87" s="289" t="n"/>
      <c r="J87" s="289" t="n"/>
      <c r="K87" s="290" t="n"/>
      <c r="L87" s="291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6" t="n">
        <v>45581</v>
      </c>
      <c r="C88" s="279" t="n">
        <v>38</v>
      </c>
      <c r="D88" s="281" t="inlineStr">
        <is>
          <t>PT Laka Indonesia | Project Lampu Taman Istana Negara Jakarta</t>
        </is>
      </c>
      <c r="E88" s="281" t="inlineStr">
        <is>
          <t>BRI</t>
        </is>
      </c>
      <c r="F88" s="287" t="n">
        <v>100000000</v>
      </c>
      <c r="G88" s="283" t="inlineStr">
        <is>
          <t>IDR</t>
        </is>
      </c>
      <c r="H88" s="288" t="n">
        <v>1</v>
      </c>
      <c r="I88" s="289" t="n"/>
      <c r="J88" s="289" t="n"/>
      <c r="K88" s="290" t="n"/>
      <c r="L88" s="291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0" t="n"/>
      <c r="M89" s="280" t="n"/>
      <c r="N89" s="280" t="n"/>
      <c r="O89" s="280" t="n"/>
      <c r="P89" s="280" t="n"/>
      <c r="Q89" s="280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6" t="n">
        <v>45302</v>
      </c>
      <c r="C90" s="279" t="n">
        <v>39</v>
      </c>
      <c r="D90" s="281" t="inlineStr">
        <is>
          <t>ALFA Service PDP-075 Pertamina Zona#4 - Rental Tool</t>
        </is>
      </c>
      <c r="E90" s="281" t="inlineStr">
        <is>
          <t>BCA</t>
        </is>
      </c>
      <c r="F90" s="287" t="n">
        <v>29640916</v>
      </c>
      <c r="G90" s="283" t="inlineStr">
        <is>
          <t>IDR</t>
        </is>
      </c>
      <c r="H90" s="288" t="n">
        <v>1</v>
      </c>
      <c r="I90" s="292" t="n">
        <v>29640916</v>
      </c>
      <c r="J90" s="289" t="n"/>
      <c r="K90" s="290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6" t="n">
        <v>45302</v>
      </c>
      <c r="C91" s="279" t="n">
        <v>40</v>
      </c>
      <c r="D91" s="281" t="inlineStr">
        <is>
          <t>ALFA Service PDS-01ST Pertamina Zona#4 - Rental Tool</t>
        </is>
      </c>
      <c r="E91" s="281" t="inlineStr">
        <is>
          <t>BCA</t>
        </is>
      </c>
      <c r="F91" s="287" t="n">
        <v>29640916</v>
      </c>
      <c r="G91" s="283" t="inlineStr">
        <is>
          <t>IDR</t>
        </is>
      </c>
      <c r="H91" s="288" t="n">
        <v>1</v>
      </c>
      <c r="I91" s="292" t="n">
        <v>29640916</v>
      </c>
      <c r="J91" s="289" t="n"/>
      <c r="K91" s="290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6" t="n">
        <v>45302</v>
      </c>
      <c r="C92" s="279" t="n">
        <v>41</v>
      </c>
      <c r="D92" s="281" t="inlineStr">
        <is>
          <t>ALFA Service JRK-254 Pertamina Zona#4 - Rental Tool</t>
        </is>
      </c>
      <c r="E92" s="281" t="inlineStr">
        <is>
          <t>BCA</t>
        </is>
      </c>
      <c r="F92" s="287" t="n">
        <v>29640916</v>
      </c>
      <c r="G92" s="283" t="inlineStr">
        <is>
          <t>IDR</t>
        </is>
      </c>
      <c r="H92" s="288" t="n">
        <v>1</v>
      </c>
      <c r="I92" s="292" t="n">
        <v>29640916</v>
      </c>
      <c r="J92" s="289" t="n"/>
      <c r="K92" s="290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6" t="n">
        <v>45446</v>
      </c>
      <c r="C93" s="279" t="n">
        <v>42</v>
      </c>
      <c r="D93" s="281" t="inlineStr">
        <is>
          <t>ALFA Service TLJ-58 Pertamina Zona#4 - Rental Tool</t>
        </is>
      </c>
      <c r="E93" s="281" t="inlineStr">
        <is>
          <t>BCA</t>
        </is>
      </c>
      <c r="F93" s="287" t="n">
        <v>29640916</v>
      </c>
      <c r="G93" s="283" t="inlineStr">
        <is>
          <t>IDR</t>
        </is>
      </c>
      <c r="H93" s="288" t="n">
        <v>1</v>
      </c>
      <c r="I93" s="292" t="n">
        <v>29640916</v>
      </c>
      <c r="J93" s="289" t="n"/>
      <c r="K93" s="290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6" t="n">
        <v>45447</v>
      </c>
      <c r="C94" s="279" t="n">
        <v>43</v>
      </c>
      <c r="D94" s="281" t="inlineStr">
        <is>
          <t>ALFA Service JRK-193 Pertamina Zona#4 - Rental Tool</t>
        </is>
      </c>
      <c r="E94" s="281" t="inlineStr">
        <is>
          <t>BCA</t>
        </is>
      </c>
      <c r="F94" s="287" t="n">
        <v>29640916</v>
      </c>
      <c r="G94" s="283" t="inlineStr">
        <is>
          <t>IDR</t>
        </is>
      </c>
      <c r="H94" s="288" t="n">
        <v>1</v>
      </c>
      <c r="I94" s="292" t="n">
        <v>29640916</v>
      </c>
      <c r="J94" s="289" t="n"/>
      <c r="K94" s="290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6" t="n">
        <v>45537</v>
      </c>
      <c r="C95" s="279" t="n">
        <v>44</v>
      </c>
      <c r="D95" s="281" t="inlineStr">
        <is>
          <t>ALFA Service JRK-163 Pertamina Zona#4 - Rental Tool</t>
        </is>
      </c>
      <c r="E95" s="281" t="inlineStr">
        <is>
          <t>BCA</t>
        </is>
      </c>
      <c r="F95" s="287" t="n">
        <v>29640916</v>
      </c>
      <c r="G95" s="283" t="inlineStr">
        <is>
          <t>IDR</t>
        </is>
      </c>
      <c r="H95" s="288" t="n">
        <v>1</v>
      </c>
      <c r="I95" s="292" t="n">
        <v>29640916</v>
      </c>
      <c r="J95" s="289" t="n"/>
      <c r="K95" s="290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6" t="n">
        <v>45569</v>
      </c>
      <c r="C96" s="279" t="n">
        <v>45</v>
      </c>
      <c r="D96" s="281" t="inlineStr">
        <is>
          <t>PLT Service TGB-033 Pertamina Cirebon - Rental Tool</t>
        </is>
      </c>
      <c r="E96" s="281" t="inlineStr">
        <is>
          <t>BCA</t>
        </is>
      </c>
      <c r="F96" s="287" t="n">
        <v>16165271</v>
      </c>
      <c r="G96" s="283" t="inlineStr">
        <is>
          <t>IDR</t>
        </is>
      </c>
      <c r="H96" s="288" t="n">
        <v>1</v>
      </c>
      <c r="I96" s="292" t="n">
        <v>16165271</v>
      </c>
      <c r="J96" s="289" t="n"/>
      <c r="K96" s="290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6" t="n">
        <v>45569</v>
      </c>
      <c r="C97" s="279" t="n">
        <v>46</v>
      </c>
      <c r="D97" s="281" t="inlineStr">
        <is>
          <t>ALFA Service TGB-033 Pertamina Cirebon - Rental Tool</t>
        </is>
      </c>
      <c r="E97" s="281" t="inlineStr">
        <is>
          <t>BCA</t>
        </is>
      </c>
      <c r="F97" s="287" t="n">
        <v>25967616</v>
      </c>
      <c r="G97" s="283" t="inlineStr">
        <is>
          <t>IDR</t>
        </is>
      </c>
      <c r="H97" s="288" t="n">
        <v>1</v>
      </c>
      <c r="I97" s="292" t="n">
        <v>25967616</v>
      </c>
      <c r="J97" s="289" t="n"/>
      <c r="K97" s="290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6" t="n">
        <v>45569</v>
      </c>
      <c r="C98" s="279" t="n">
        <v>47</v>
      </c>
      <c r="D98" s="281" t="inlineStr">
        <is>
          <t>MFC Service TGB-033 Pertamina Cirebon - Rental Tool</t>
        </is>
      </c>
      <c r="E98" s="281" t="inlineStr">
        <is>
          <t>BCA</t>
        </is>
      </c>
      <c r="F98" s="287" t="n">
        <v>32101247</v>
      </c>
      <c r="G98" s="283" t="inlineStr">
        <is>
          <t>IDR</t>
        </is>
      </c>
      <c r="H98" s="288" t="n">
        <v>1</v>
      </c>
      <c r="I98" s="292" t="n">
        <v>32101247</v>
      </c>
      <c r="J98" s="289" t="n"/>
      <c r="K98" s="290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6" t="n">
        <v>45572</v>
      </c>
      <c r="C99" s="279" t="n">
        <v>48</v>
      </c>
      <c r="D99" s="281" t="inlineStr">
        <is>
          <t>ALFA Service JRK-095 Pertamina Zona#4 - Rental Tool</t>
        </is>
      </c>
      <c r="E99" s="281" t="inlineStr">
        <is>
          <t>BCA</t>
        </is>
      </c>
      <c r="F99" s="287" t="n">
        <v>29640916</v>
      </c>
      <c r="G99" s="283" t="inlineStr">
        <is>
          <t>IDR</t>
        </is>
      </c>
      <c r="H99" s="288" t="n">
        <v>1</v>
      </c>
      <c r="I99" s="292" t="n">
        <v>29640916</v>
      </c>
      <c r="J99" s="289" t="n"/>
      <c r="K99" s="290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6" t="n">
        <v>45576</v>
      </c>
      <c r="C100" s="279" t="n">
        <v>49</v>
      </c>
      <c r="D100" s="281" t="inlineStr">
        <is>
          <t>MPLT/GR-CCL/ALFA TIS - Rental Tool</t>
        </is>
      </c>
      <c r="E100" s="281" t="inlineStr">
        <is>
          <t>BCA</t>
        </is>
      </c>
      <c r="F100" s="287" t="n">
        <v>74291457</v>
      </c>
      <c r="G100" s="283" t="inlineStr">
        <is>
          <t>IDR</t>
        </is>
      </c>
      <c r="H100" s="288" t="n">
        <v>1</v>
      </c>
      <c r="I100" s="292" t="n">
        <v>74291457</v>
      </c>
      <c r="J100" s="289" t="n"/>
      <c r="K100" s="290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6" t="n">
        <v>45657</v>
      </c>
      <c r="C101" s="279" t="n">
        <v>50</v>
      </c>
      <c r="D101" s="281" t="inlineStr">
        <is>
          <t>qweqwe</t>
        </is>
      </c>
      <c r="E101" s="281" t="inlineStr">
        <is>
          <t>Advance</t>
        </is>
      </c>
      <c r="F101" s="287" t="n">
        <v>123123</v>
      </c>
      <c r="G101" s="283" t="inlineStr">
        <is>
          <t>IDR</t>
        </is>
      </c>
      <c r="H101" s="288" t="n">
        <v>1</v>
      </c>
      <c r="I101" s="292" t="n">
        <v>123123</v>
      </c>
      <c r="J101" s="289" t="n"/>
      <c r="K101" s="290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6" t="n">
        <v>45304</v>
      </c>
      <c r="C103" s="279" t="n">
        <v>51</v>
      </c>
      <c r="D103" s="281" t="inlineStr">
        <is>
          <t>Sales cost 4 Well Integrity Pertamina Z.4</t>
        </is>
      </c>
      <c r="E103" s="281" t="inlineStr">
        <is>
          <t>BRI</t>
        </is>
      </c>
      <c r="F103" s="287" t="n">
        <v>77672400</v>
      </c>
      <c r="G103" s="283" t="inlineStr">
        <is>
          <t>IDR</t>
        </is>
      </c>
      <c r="H103" s="288" t="n">
        <v>1</v>
      </c>
      <c r="I103" s="289" t="n"/>
      <c r="J103" s="289" t="n"/>
      <c r="K103" s="290" t="n"/>
      <c r="L103" s="291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0" t="n"/>
      <c r="M104" s="280" t="n"/>
      <c r="N104" s="280" t="n"/>
      <c r="O104" s="280" t="n"/>
      <c r="P104" s="280" t="n"/>
      <c r="Q104" s="280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6" t="n">
        <v>45632</v>
      </c>
      <c r="C105" s="279" t="n">
        <v>52</v>
      </c>
      <c r="D105" s="281" t="inlineStr">
        <is>
          <t>Sewa Virtual Office 1th, 1jan25 - 31des25_BBC_ Ganesha Dwipaya B</t>
        </is>
      </c>
      <c r="E105" s="281" t="inlineStr">
        <is>
          <t>BCA</t>
        </is>
      </c>
      <c r="F105" s="287" t="n">
        <v>4995000</v>
      </c>
      <c r="G105" s="283" t="inlineStr">
        <is>
          <t>IDR</t>
        </is>
      </c>
      <c r="H105" s="288" t="n">
        <v>1</v>
      </c>
      <c r="I105" s="289" t="n"/>
      <c r="J105" s="289" t="n"/>
      <c r="K105" s="290" t="n"/>
      <c r="L105" s="281" t="n"/>
      <c r="M105" s="281" t="n"/>
      <c r="N105" s="281" t="n"/>
      <c r="O105" s="291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0" t="n"/>
      <c r="M106" s="280" t="n"/>
      <c r="N106" s="280" t="n"/>
      <c r="O106" s="280" t="n"/>
      <c r="P106" s="280" t="n"/>
      <c r="Q106" s="280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6" t="n">
        <v>45476</v>
      </c>
      <c r="C107" s="279" t="n">
        <v>53</v>
      </c>
      <c r="D107" s="281" t="inlineStr">
        <is>
          <t>Kekurangan (PPN ) ke PT Garindo sarana Baru (Downhole Sampling)</t>
        </is>
      </c>
      <c r="E107" s="281" t="inlineStr">
        <is>
          <t>BCA</t>
        </is>
      </c>
      <c r="F107" s="287" t="n">
        <v>3582000</v>
      </c>
      <c r="G107" s="283" t="inlineStr">
        <is>
          <t>IDR</t>
        </is>
      </c>
      <c r="H107" s="288" t="n">
        <v>1</v>
      </c>
      <c r="I107" s="289" t="n"/>
      <c r="J107" s="289" t="n"/>
      <c r="K107" s="290" t="n"/>
      <c r="L107" s="281" t="n"/>
      <c r="M107" s="281" t="n"/>
      <c r="N107" s="291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6" t="n">
        <v>45630</v>
      </c>
      <c r="C108" s="279" t="n">
        <v>54</v>
      </c>
      <c r="D108" s="281" t="inlineStr">
        <is>
          <t>Payment ke UPS Biaya Import pembelian sparepart dari Pei-Genesis</t>
        </is>
      </c>
      <c r="E108" s="281" t="inlineStr">
        <is>
          <t>BRI</t>
        </is>
      </c>
      <c r="F108" s="287" t="n">
        <v>777246</v>
      </c>
      <c r="G108" s="283" t="inlineStr">
        <is>
          <t>IDR</t>
        </is>
      </c>
      <c r="H108" s="288" t="n">
        <v>1</v>
      </c>
      <c r="I108" s="289" t="n"/>
      <c r="J108" s="289" t="n"/>
      <c r="K108" s="290" t="n"/>
      <c r="L108" s="281" t="n"/>
      <c r="M108" s="281" t="n"/>
      <c r="N108" s="291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0" t="n"/>
      <c r="M109" s="280" t="n"/>
      <c r="N109" s="280" t="n"/>
      <c r="O109" s="280" t="n"/>
      <c r="P109" s="280" t="n"/>
      <c r="Q109" s="280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6" t="n">
        <v>45422</v>
      </c>
      <c r="C110" s="279" t="n">
        <v>55</v>
      </c>
      <c r="D110" s="281" t="inlineStr">
        <is>
          <t>Aro Energy | Moving slickline dari Duri (Toni Supriadi) ke Sungai lilin</t>
        </is>
      </c>
      <c r="E110" s="281" t="inlineStr">
        <is>
          <t>BCA</t>
        </is>
      </c>
      <c r="F110" s="287" t="n">
        <v>18000000</v>
      </c>
      <c r="G110" s="283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6" t="n">
        <v>45601</v>
      </c>
      <c r="C111" s="279" t="n">
        <v>56</v>
      </c>
      <c r="D111" s="281" t="inlineStr">
        <is>
          <t>Sales fee 2 Well Integrity Pertamina Z.4</t>
        </is>
      </c>
      <c r="E111" s="281" t="inlineStr">
        <is>
          <t>BRI</t>
        </is>
      </c>
      <c r="F111" s="287" t="n">
        <v>38838700</v>
      </c>
      <c r="G111" s="283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3" t="n"/>
      <c r="C112" s="294" t="n"/>
      <c r="D112" s="295" t="inlineStr">
        <is>
          <t>OPERATION COST AND OFFICE - Expenses Report</t>
        </is>
      </c>
      <c r="E112" s="296" t="n"/>
      <c r="F112" s="297" t="n"/>
      <c r="G112" s="294" t="n"/>
      <c r="H112" s="294" t="n"/>
      <c r="I112" s="298" t="n"/>
      <c r="J112" s="299" t="n"/>
      <c r="K112" s="300" t="n"/>
      <c r="L112" s="300" t="n"/>
      <c r="M112" s="300" t="n"/>
      <c r="N112" s="298" t="n"/>
      <c r="O112" s="300" t="n"/>
      <c r="P112" s="300" t="n"/>
      <c r="Q112" s="300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1" t="inlineStr">
        <is>
          <t>Expense#1</t>
        </is>
      </c>
      <c r="C113" s="302" t="inlineStr">
        <is>
          <t>:</t>
        </is>
      </c>
      <c r="D113" s="303" t="inlineStr">
        <is>
          <t>ALFA_ TLJ-58 (PEPZ4-Prabumulih field) SIJak- IC</t>
        </is>
      </c>
      <c r="E113" s="304" t="n"/>
      <c r="F113" s="305" t="n"/>
      <c r="G113" s="302" t="n"/>
      <c r="H113" s="302" t="n"/>
      <c r="I113" s="306" t="n"/>
      <c r="J113" s="307" t="n"/>
      <c r="K113" s="308" t="n"/>
      <c r="L113" s="308" t="n"/>
      <c r="M113" s="308" t="n"/>
      <c r="N113" s="306" t="n"/>
      <c r="O113" s="308" t="n"/>
      <c r="P113" s="308" t="n"/>
      <c r="Q113" s="308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09" t="n"/>
      <c r="C114" s="279" t="n"/>
      <c r="D114" s="310" t="inlineStr">
        <is>
          <t>Accommodation</t>
        </is>
      </c>
      <c r="E114" s="311" t="n"/>
      <c r="F114" s="312" t="n"/>
      <c r="G114" s="279" t="n"/>
      <c r="H114" s="279" t="n"/>
      <c r="I114" s="284" t="n"/>
      <c r="J114" s="285" t="n"/>
      <c r="K114" s="280" t="n"/>
      <c r="L114" s="280" t="n"/>
      <c r="M114" s="280" t="n"/>
      <c r="N114" s="284" t="n"/>
      <c r="O114" s="280" t="n"/>
      <c r="P114" s="280" t="n"/>
      <c r="Q114" s="280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6" t="n">
        <v>45329</v>
      </c>
      <c r="C115" s="279" t="n">
        <v>57</v>
      </c>
      <c r="D115" s="281" t="inlineStr">
        <is>
          <t>Hotel Prabumulih 8 Feb- 7 Mar 2024 (1 Month)</t>
        </is>
      </c>
      <c r="E115" s="281" t="inlineStr">
        <is>
          <t>-</t>
        </is>
      </c>
      <c r="F115" s="287" t="n">
        <v>3300000</v>
      </c>
      <c r="G115" s="283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09" t="n"/>
      <c r="C116" s="279" t="n"/>
      <c r="D116" s="310" t="inlineStr">
        <is>
          <t>Allowance</t>
        </is>
      </c>
      <c r="E116" s="281" t="n"/>
      <c r="F116" s="312" t="n"/>
      <c r="G116" s="279" t="n"/>
      <c r="H116" s="279" t="n"/>
      <c r="I116" s="284" t="n"/>
      <c r="J116" s="285" t="n"/>
      <c r="K116" s="280" t="n"/>
      <c r="L116" s="280" t="n"/>
      <c r="M116" s="280" t="n"/>
      <c r="N116" s="284" t="n"/>
      <c r="O116" s="280" t="n"/>
      <c r="P116" s="280" t="n"/>
      <c r="Q116" s="280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6" t="n">
        <v>45355</v>
      </c>
      <c r="C117" s="279" t="n">
        <v>58</v>
      </c>
      <c r="D117" s="281" t="inlineStr">
        <is>
          <t>Tunjangan Lapangan for 27 days</t>
        </is>
      </c>
      <c r="E117" s="281" t="inlineStr">
        <is>
          <t>-</t>
        </is>
      </c>
      <c r="F117" s="287" t="n">
        <v>42589800</v>
      </c>
      <c r="G117" s="283" t="inlineStr">
        <is>
          <t>USD</t>
        </is>
      </c>
      <c r="H117" s="288" t="n">
        <v>15774</v>
      </c>
      <c r="I117" s="289" t="n"/>
      <c r="J117" s="289" t="n"/>
      <c r="K117" s="290" t="n"/>
      <c r="L117" s="291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09" t="n"/>
      <c r="C118" s="279" t="n"/>
      <c r="D118" s="310" t="inlineStr">
        <is>
          <t>Hand Tools</t>
        </is>
      </c>
      <c r="E118" s="281" t="n"/>
      <c r="F118" s="312" t="n"/>
      <c r="G118" s="279" t="n"/>
      <c r="H118" s="279" t="n"/>
      <c r="I118" s="284" t="n"/>
      <c r="J118" s="285" t="n"/>
      <c r="K118" s="280" t="n"/>
      <c r="L118" s="280" t="n"/>
      <c r="M118" s="280" t="n"/>
      <c r="N118" s="284" t="n"/>
      <c r="O118" s="280" t="n"/>
      <c r="P118" s="280" t="n"/>
      <c r="Q118" s="280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6" t="n">
        <v>45344</v>
      </c>
      <c r="C119" s="279" t="n">
        <v>59</v>
      </c>
      <c r="D119" s="281" t="inlineStr">
        <is>
          <t>Gloves</t>
        </is>
      </c>
      <c r="E119" s="281" t="inlineStr">
        <is>
          <t>-</t>
        </is>
      </c>
      <c r="F119" s="287" t="n">
        <v>65000</v>
      </c>
      <c r="G119" s="283" t="inlineStr">
        <is>
          <t>IDR</t>
        </is>
      </c>
      <c r="H119" s="288" t="n">
        <v>1</v>
      </c>
      <c r="I119" s="289" t="n"/>
      <c r="J119" s="289" t="n"/>
      <c r="K119" s="290" t="n"/>
      <c r="L119" s="281" t="n"/>
      <c r="M119" s="281" t="n"/>
      <c r="N119" s="291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09" t="n"/>
      <c r="C120" s="279" t="n"/>
      <c r="D120" s="310" t="inlineStr">
        <is>
          <t>Laundry</t>
        </is>
      </c>
      <c r="E120" s="281" t="n"/>
      <c r="F120" s="312" t="n"/>
      <c r="G120" s="279" t="n"/>
      <c r="H120" s="279" t="n"/>
      <c r="I120" s="280" t="n"/>
      <c r="J120" s="285" t="n"/>
      <c r="K120" s="280" t="n"/>
      <c r="L120" s="280" t="n"/>
      <c r="M120" s="284" t="n"/>
      <c r="N120" s="284" t="n"/>
      <c r="O120" s="280" t="n"/>
      <c r="P120" s="280" t="n"/>
      <c r="Q120" s="280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6" t="n">
        <v>45355</v>
      </c>
      <c r="C121" s="279" t="n">
        <v>60</v>
      </c>
      <c r="D121" s="281" t="inlineStr">
        <is>
          <t>Laundry 27 days 1 Persons @ 50K IDR/day</t>
        </is>
      </c>
      <c r="E121" s="281" t="inlineStr">
        <is>
          <t>-</t>
        </is>
      </c>
      <c r="F121" s="287" t="n">
        <v>1350000</v>
      </c>
      <c r="G121" s="283" t="inlineStr">
        <is>
          <t>IDR</t>
        </is>
      </c>
      <c r="H121" s="288" t="n">
        <v>1</v>
      </c>
      <c r="I121" s="289" t="n"/>
      <c r="J121" s="289" t="n"/>
      <c r="K121" s="290" t="n"/>
      <c r="L121" s="291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09" t="n"/>
      <c r="C122" s="279" t="n"/>
      <c r="D122" s="310" t="inlineStr">
        <is>
          <t>Meal</t>
        </is>
      </c>
      <c r="E122" s="313" t="n"/>
      <c r="F122" s="290" t="n"/>
      <c r="G122" s="279" t="n"/>
      <c r="H122" s="279" t="n"/>
      <c r="I122" s="285" t="n"/>
      <c r="J122" s="285" t="n"/>
      <c r="K122" s="280" t="n"/>
      <c r="L122" s="280" t="n"/>
      <c r="M122" s="280" t="n"/>
      <c r="N122" s="280" t="n"/>
      <c r="O122" s="280" t="n"/>
      <c r="P122" s="280" t="n"/>
      <c r="Q122" s="280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6" t="n">
        <v>45355</v>
      </c>
      <c r="C123" s="279" t="n">
        <v>61</v>
      </c>
      <c r="D123" s="281" t="inlineStr">
        <is>
          <t>Meals 27 days 1 Persons @ 150K IDR/day</t>
        </is>
      </c>
      <c r="E123" s="281" t="inlineStr">
        <is>
          <t>-</t>
        </is>
      </c>
      <c r="F123" s="287" t="n">
        <v>4050000</v>
      </c>
      <c r="G123" s="283" t="inlineStr">
        <is>
          <t>IDR</t>
        </is>
      </c>
      <c r="H123" s="288" t="n">
        <v>1</v>
      </c>
      <c r="I123" s="289" t="n"/>
      <c r="J123" s="289" t="n"/>
      <c r="K123" s="290" t="n"/>
      <c r="L123" s="291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09" t="n"/>
      <c r="C124" s="279" t="n"/>
      <c r="D124" s="310" t="inlineStr">
        <is>
          <t>Sparepart</t>
        </is>
      </c>
      <c r="E124" s="313" t="n"/>
      <c r="F124" s="312" t="n"/>
      <c r="G124" s="279" t="n"/>
      <c r="H124" s="279" t="n"/>
      <c r="I124" s="284" t="n"/>
      <c r="J124" s="285" t="n"/>
      <c r="K124" s="280" t="n"/>
      <c r="L124" s="280" t="n"/>
      <c r="M124" s="285" t="n"/>
      <c r="N124" s="280" t="n"/>
      <c r="O124" s="280" t="n"/>
      <c r="P124" s="280" t="n"/>
      <c r="Q124" s="280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6" t="n">
        <v>45350</v>
      </c>
      <c r="C125" s="279" t="n">
        <v>62</v>
      </c>
      <c r="D125" s="281" t="inlineStr">
        <is>
          <t>Internet Data</t>
        </is>
      </c>
      <c r="E125" s="281" t="inlineStr">
        <is>
          <t>-</t>
        </is>
      </c>
      <c r="F125" s="287" t="n">
        <v>87000</v>
      </c>
      <c r="G125" s="283" t="inlineStr">
        <is>
          <t>IDR</t>
        </is>
      </c>
      <c r="H125" s="288" t="n">
        <v>1</v>
      </c>
      <c r="I125" s="289" t="n"/>
      <c r="J125" s="289" t="n"/>
      <c r="K125" s="290" t="n"/>
      <c r="L125" s="281" t="n"/>
      <c r="M125" s="281" t="n"/>
      <c r="N125" s="291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09" t="n"/>
      <c r="C126" s="279" t="n"/>
      <c r="D126" s="310" t="inlineStr">
        <is>
          <t>Transportation</t>
        </is>
      </c>
      <c r="E126" s="313" t="n"/>
      <c r="F126" s="312" t="n"/>
      <c r="G126" s="279" t="n"/>
      <c r="H126" s="314" t="n"/>
      <c r="I126" s="285" t="n"/>
      <c r="J126" s="285" t="n"/>
      <c r="K126" s="280" t="n"/>
      <c r="L126" s="280" t="n"/>
      <c r="M126" s="280" t="n"/>
      <c r="N126" s="280" t="n"/>
      <c r="O126" s="280" t="n"/>
      <c r="P126" s="280" t="n"/>
      <c r="Q126" s="280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6" t="n">
        <v>45355</v>
      </c>
      <c r="C127" s="279" t="n">
        <v>63</v>
      </c>
      <c r="D127" s="281" t="inlineStr">
        <is>
          <t>Toll Fee</t>
        </is>
      </c>
      <c r="E127" s="281" t="inlineStr">
        <is>
          <t>-</t>
        </is>
      </c>
      <c r="F127" s="287" t="n">
        <v>378000</v>
      </c>
      <c r="G127" s="283" t="inlineStr">
        <is>
          <t>IDR</t>
        </is>
      </c>
      <c r="H127" s="288" t="n">
        <v>1</v>
      </c>
      <c r="I127" s="289" t="n"/>
      <c r="J127" s="289" t="n"/>
      <c r="K127" s="290" t="n"/>
      <c r="L127" s="291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5" t="inlineStr">
        <is>
          <t>Expense#2</t>
        </is>
      </c>
      <c r="C128" s="302" t="inlineStr">
        <is>
          <t>:</t>
        </is>
      </c>
      <c r="D128" s="303" t="inlineStr">
        <is>
          <t>Training ALFA _TLJ-58 (PEPZ4-Prabumulih field_ Titis Maulana</t>
        </is>
      </c>
      <c r="E128" s="316" t="n"/>
      <c r="F128" s="305" t="n"/>
      <c r="G128" s="302" t="n"/>
      <c r="H128" s="302" t="n"/>
      <c r="I128" s="306" t="n"/>
      <c r="J128" s="307" t="n"/>
      <c r="K128" s="308" t="n"/>
      <c r="L128" s="308" t="n"/>
      <c r="M128" s="306" t="n"/>
      <c r="N128" s="308" t="n"/>
      <c r="O128" s="308" t="n"/>
      <c r="P128" s="308" t="n"/>
      <c r="Q128" s="308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09" t="n"/>
      <c r="C129" s="279" t="n"/>
      <c r="D129" s="310" t="inlineStr">
        <is>
          <t>Hand Tools</t>
        </is>
      </c>
      <c r="E129" s="313" t="n"/>
      <c r="F129" s="312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6" t="n">
        <v>45324</v>
      </c>
      <c r="C130" s="279" t="n">
        <v>64</v>
      </c>
      <c r="D130" s="281" t="inlineStr">
        <is>
          <t>Safety Shoes</t>
        </is>
      </c>
      <c r="E130" s="281" t="inlineStr">
        <is>
          <t>-</t>
        </is>
      </c>
      <c r="F130" s="287" t="n">
        <v>499940</v>
      </c>
      <c r="G130" s="283" t="inlineStr">
        <is>
          <t>IDR</t>
        </is>
      </c>
      <c r="H130" s="288" t="n">
        <v>1</v>
      </c>
      <c r="I130" s="289" t="n"/>
      <c r="J130" s="289" t="n"/>
      <c r="K130" s="290" t="n"/>
      <c r="L130" s="281" t="n"/>
      <c r="M130" s="281" t="n"/>
      <c r="N130" s="291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09" t="n"/>
      <c r="C131" s="279" t="n"/>
      <c r="D131" s="310" t="inlineStr">
        <is>
          <t>Laundry</t>
        </is>
      </c>
      <c r="E131" s="313" t="n"/>
      <c r="F131" s="312" t="n"/>
      <c r="G131" s="279" t="n"/>
      <c r="H131" s="279" t="n"/>
      <c r="I131" s="284" t="n"/>
      <c r="J131" s="285" t="n"/>
      <c r="K131" s="280" t="n"/>
      <c r="L131" s="280" t="n"/>
      <c r="M131" s="280" t="n"/>
      <c r="N131" s="280" t="n"/>
      <c r="O131" s="280" t="n"/>
      <c r="P131" s="280" t="n"/>
      <c r="Q131" s="280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6" t="n">
        <v>45358</v>
      </c>
      <c r="C132" s="279" t="n">
        <v>65</v>
      </c>
      <c r="D132" s="281" t="inlineStr">
        <is>
          <t>Laundry 30 days 1 Persons @ 50K IDR/day</t>
        </is>
      </c>
      <c r="E132" s="281" t="inlineStr">
        <is>
          <t>-</t>
        </is>
      </c>
      <c r="F132" s="287" t="n">
        <v>1500000</v>
      </c>
      <c r="G132" s="283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09" t="n"/>
      <c r="C133" s="279" t="n"/>
      <c r="D133" s="310" t="inlineStr">
        <is>
          <t>Logistic</t>
        </is>
      </c>
      <c r="E133" s="313" t="n"/>
      <c r="F133" s="312" t="n"/>
      <c r="G133" s="279" t="n"/>
      <c r="H133" s="279" t="n"/>
      <c r="I133" s="284" t="n"/>
      <c r="J133" s="285" t="n"/>
      <c r="K133" s="280" t="n"/>
      <c r="L133" s="280" t="n"/>
      <c r="M133" s="280" t="n"/>
      <c r="N133" s="284" t="n"/>
      <c r="O133" s="280" t="n"/>
      <c r="P133" s="280" t="n"/>
      <c r="Q133" s="280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6" t="n">
        <v>45358</v>
      </c>
      <c r="C134" s="279" t="n">
        <v>66</v>
      </c>
      <c r="D134" s="281" t="inlineStr">
        <is>
          <t>Extra Baggage</t>
        </is>
      </c>
      <c r="E134" s="281" t="inlineStr">
        <is>
          <t>-</t>
        </is>
      </c>
      <c r="F134" s="287" t="n">
        <v>540000</v>
      </c>
      <c r="G134" s="283" t="inlineStr">
        <is>
          <t>IDR</t>
        </is>
      </c>
      <c r="H134" s="288" t="n">
        <v>1</v>
      </c>
      <c r="I134" s="289" t="n"/>
      <c r="J134" s="289" t="n"/>
      <c r="K134" s="290" t="n"/>
      <c r="L134" s="281" t="n"/>
      <c r="M134" s="281" t="n"/>
      <c r="N134" s="291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09" t="n"/>
      <c r="C135" s="279" t="n"/>
      <c r="D135" s="310" t="inlineStr">
        <is>
          <t>Meal</t>
        </is>
      </c>
      <c r="E135" s="311" t="n"/>
      <c r="F135" s="312" t="n"/>
      <c r="G135" s="279" t="n"/>
      <c r="H135" s="279" t="n"/>
      <c r="I135" s="284" t="n"/>
      <c r="J135" s="285" t="n"/>
      <c r="K135" s="280" t="n"/>
      <c r="L135" s="280" t="n"/>
      <c r="M135" s="280" t="n"/>
      <c r="N135" s="284" t="n"/>
      <c r="O135" s="280" t="n"/>
      <c r="P135" s="280" t="n"/>
      <c r="Q135" s="280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6" t="n">
        <v>45358</v>
      </c>
      <c r="C136" s="279" t="n">
        <v>67</v>
      </c>
      <c r="D136" s="281" t="inlineStr">
        <is>
          <t>Meals 30 days 1 Persons @ 150K IDR/day</t>
        </is>
      </c>
      <c r="E136" s="281" t="inlineStr">
        <is>
          <t>-</t>
        </is>
      </c>
      <c r="F136" s="287" t="n">
        <v>4500000</v>
      </c>
      <c r="G136" s="283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09" t="n"/>
      <c r="C137" s="279" t="n"/>
      <c r="D137" s="310" t="inlineStr">
        <is>
          <t>Sparepart</t>
        </is>
      </c>
      <c r="E137" s="311" t="n"/>
      <c r="F137" s="312" t="n"/>
      <c r="G137" s="279" t="n"/>
      <c r="H137" s="279" t="n"/>
      <c r="I137" s="284" t="n"/>
      <c r="J137" s="285" t="n"/>
      <c r="K137" s="280" t="n"/>
      <c r="L137" s="280" t="n"/>
      <c r="M137" s="280" t="n"/>
      <c r="N137" s="280" t="n"/>
      <c r="O137" s="280" t="n"/>
      <c r="P137" s="280" t="n"/>
      <c r="Q137" s="280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6" t="n">
        <v>45354</v>
      </c>
      <c r="C138" s="279" t="n">
        <v>68</v>
      </c>
      <c r="D138" s="281" t="inlineStr">
        <is>
          <t>Internet Data</t>
        </is>
      </c>
      <c r="E138" s="281" t="inlineStr">
        <is>
          <t>-</t>
        </is>
      </c>
      <c r="F138" s="287" t="n">
        <v>70000</v>
      </c>
      <c r="G138" s="283" t="inlineStr">
        <is>
          <t>IDR</t>
        </is>
      </c>
      <c r="H138" s="288" t="n">
        <v>1</v>
      </c>
      <c r="I138" s="289" t="n"/>
      <c r="J138" s="289" t="n"/>
      <c r="K138" s="290" t="n"/>
      <c r="L138" s="281" t="n"/>
      <c r="M138" s="281" t="n"/>
      <c r="N138" s="291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09" t="n"/>
      <c r="C139" s="279" t="n"/>
      <c r="D139" s="310" t="inlineStr">
        <is>
          <t>Transportation</t>
        </is>
      </c>
      <c r="E139" s="281" t="n"/>
      <c r="F139" s="312" t="n"/>
      <c r="G139" s="279" t="n"/>
      <c r="H139" s="279" t="n"/>
      <c r="I139" s="280" t="n"/>
      <c r="J139" s="285" t="n"/>
      <c r="K139" s="280" t="n"/>
      <c r="L139" s="280" t="n"/>
      <c r="M139" s="284" t="n"/>
      <c r="N139" s="285" t="n"/>
      <c r="O139" s="280" t="n"/>
      <c r="P139" s="280" t="n"/>
      <c r="Q139" s="280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6" t="n">
        <v>45358</v>
      </c>
      <c r="C140" s="279" t="n">
        <v>69</v>
      </c>
      <c r="D140" s="281" t="inlineStr">
        <is>
          <t>Tunjangan Lapangan (Training) untuk 27 days</t>
        </is>
      </c>
      <c r="E140" s="281" t="inlineStr">
        <is>
          <t>-</t>
        </is>
      </c>
      <c r="F140" s="287" t="n">
        <v>11705250</v>
      </c>
      <c r="G140" s="283" t="inlineStr">
        <is>
          <t>USD</t>
        </is>
      </c>
      <c r="H140" s="288" t="n">
        <v>15607</v>
      </c>
      <c r="I140" s="289" t="n"/>
      <c r="J140" s="289" t="n"/>
      <c r="K140" s="290" t="n"/>
      <c r="L140" s="291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1" t="inlineStr">
        <is>
          <t>Expense#3</t>
        </is>
      </c>
      <c r="C141" s="302" t="inlineStr">
        <is>
          <t>:</t>
        </is>
      </c>
      <c r="D141" s="303" t="inlineStr">
        <is>
          <t>MPLT (SAKA-UjungPangkah field) GOWell - TGE _IC</t>
        </is>
      </c>
      <c r="E141" s="317" t="n"/>
      <c r="F141" s="305" t="n"/>
      <c r="G141" s="302" t="n"/>
      <c r="H141" s="302" t="n"/>
      <c r="I141" s="307" t="n"/>
      <c r="J141" s="307" t="n"/>
      <c r="K141" s="308" t="n"/>
      <c r="L141" s="308" t="n"/>
      <c r="M141" s="308" t="n"/>
      <c r="N141" s="308" t="n"/>
      <c r="O141" s="308" t="n"/>
      <c r="P141" s="308" t="n"/>
      <c r="Q141" s="308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09" t="n"/>
      <c r="C142" s="279" t="n"/>
      <c r="D142" s="310" t="inlineStr">
        <is>
          <t>Allowance</t>
        </is>
      </c>
      <c r="E142" s="313" t="n"/>
      <c r="F142" s="312" t="n"/>
      <c r="G142" s="279" t="n"/>
      <c r="H142" s="279" t="n"/>
      <c r="I142" s="284" t="n"/>
      <c r="J142" s="285" t="n"/>
      <c r="K142" s="280" t="n"/>
      <c r="L142" s="280" t="n"/>
      <c r="M142" s="280" t="n"/>
      <c r="N142" s="280" t="n"/>
      <c r="O142" s="280" t="n"/>
      <c r="P142" s="280" t="n"/>
      <c r="Q142" s="280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6" t="n">
        <v>45375</v>
      </c>
      <c r="C143" s="279" t="n">
        <v>70</v>
      </c>
      <c r="D143" s="281" t="inlineStr">
        <is>
          <t>Tunjangan Lapangan untuk 6 days</t>
        </is>
      </c>
      <c r="E143" s="281" t="inlineStr">
        <is>
          <t>-</t>
        </is>
      </c>
      <c r="F143" s="287" t="n">
        <v>9501000</v>
      </c>
      <c r="G143" s="283" t="inlineStr">
        <is>
          <t>USD</t>
        </is>
      </c>
      <c r="H143" s="288" t="n">
        <v>15835</v>
      </c>
      <c r="I143" s="289" t="n"/>
      <c r="J143" s="289" t="n"/>
      <c r="K143" s="290" t="n"/>
      <c r="L143" s="291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09" t="n"/>
      <c r="C144" s="279" t="n"/>
      <c r="D144" s="310" t="inlineStr">
        <is>
          <t>Laundry</t>
        </is>
      </c>
      <c r="E144" s="313" t="n"/>
      <c r="F144" s="312" t="n"/>
      <c r="G144" s="279" t="n"/>
      <c r="H144" s="314" t="n"/>
      <c r="I144" s="285" t="n"/>
      <c r="J144" s="285" t="n"/>
      <c r="K144" s="280" t="n"/>
      <c r="L144" s="280" t="n"/>
      <c r="M144" s="284" t="n"/>
      <c r="N144" s="280" t="n"/>
      <c r="O144" s="280" t="n"/>
      <c r="P144" s="280" t="n"/>
      <c r="Q144" s="280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6" t="n">
        <v>45375</v>
      </c>
      <c r="C145" s="279" t="n">
        <v>71</v>
      </c>
      <c r="D145" s="281" t="inlineStr">
        <is>
          <t>Laundry 6 days 1 Persons @ 50K IDR/day</t>
        </is>
      </c>
      <c r="E145" s="281" t="inlineStr">
        <is>
          <t>-</t>
        </is>
      </c>
      <c r="F145" s="287" t="n">
        <v>300000</v>
      </c>
      <c r="G145" s="283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09" t="n"/>
      <c r="C146" s="279" t="n"/>
      <c r="D146" s="310" t="inlineStr">
        <is>
          <t>Meal</t>
        </is>
      </c>
      <c r="E146" s="318" t="n"/>
      <c r="F146" s="312" t="n"/>
      <c r="G146" s="279" t="n"/>
      <c r="H146" s="279" t="n"/>
      <c r="I146" s="285" t="n"/>
      <c r="J146" s="285" t="n"/>
      <c r="K146" s="280" t="n"/>
      <c r="L146" s="280" t="n"/>
      <c r="M146" s="284" t="n"/>
      <c r="N146" s="280" t="n"/>
      <c r="O146" s="280" t="n"/>
      <c r="P146" s="280" t="n"/>
      <c r="Q146" s="280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6" t="n">
        <v>45375</v>
      </c>
      <c r="C147" s="279" t="n">
        <v>72</v>
      </c>
      <c r="D147" s="281" t="inlineStr">
        <is>
          <t>Meals 6 days 1 Persons @ 150K IDR/day</t>
        </is>
      </c>
      <c r="E147" s="281" t="inlineStr">
        <is>
          <t>-</t>
        </is>
      </c>
      <c r="F147" s="287" t="n">
        <v>900000</v>
      </c>
      <c r="G147" s="283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09" t="n"/>
      <c r="C148" s="279" t="n"/>
      <c r="D148" s="310" t="inlineStr">
        <is>
          <t>Transportation</t>
        </is>
      </c>
      <c r="E148" s="313" t="n"/>
      <c r="F148" s="312" t="n"/>
      <c r="G148" s="279" t="n"/>
      <c r="H148" s="279" t="n"/>
      <c r="I148" s="284" t="n"/>
      <c r="J148" s="285" t="n"/>
      <c r="K148" s="280" t="n"/>
      <c r="L148" s="280" t="n"/>
      <c r="M148" s="280" t="n"/>
      <c r="N148" s="280" t="n"/>
      <c r="O148" s="280" t="n"/>
      <c r="P148" s="280" t="n"/>
      <c r="Q148" s="280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6" t="n">
        <v>45375</v>
      </c>
      <c r="C149" s="279" t="n">
        <v>73</v>
      </c>
      <c r="D149" s="281" t="inlineStr">
        <is>
          <t>Taxi CGK-Bintaro</t>
        </is>
      </c>
      <c r="E149" s="281" t="inlineStr">
        <is>
          <t>-</t>
        </is>
      </c>
      <c r="F149" s="287" t="n">
        <v>250000</v>
      </c>
      <c r="G149" s="283" t="inlineStr">
        <is>
          <t>IDR</t>
        </is>
      </c>
      <c r="H149" s="288" t="n">
        <v>1</v>
      </c>
      <c r="I149" s="289" t="n"/>
      <c r="J149" s="289" t="n"/>
      <c r="K149" s="290" t="n"/>
      <c r="L149" s="291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1" t="inlineStr">
        <is>
          <t>Expense#4</t>
        </is>
      </c>
      <c r="C150" s="302" t="inlineStr">
        <is>
          <t>:</t>
        </is>
      </c>
      <c r="D150" s="303" t="inlineStr">
        <is>
          <t>Non project (3rd) _ Ivan Chairulsyah</t>
        </is>
      </c>
      <c r="E150" s="304" t="n"/>
      <c r="F150" s="305" t="n"/>
      <c r="G150" s="302" t="n"/>
      <c r="H150" s="302" t="n"/>
      <c r="I150" s="307" t="n"/>
      <c r="J150" s="307" t="n"/>
      <c r="K150" s="308" t="n"/>
      <c r="L150" s="308" t="n"/>
      <c r="M150" s="308" t="n"/>
      <c r="N150" s="308" t="n"/>
      <c r="O150" s="308" t="n"/>
      <c r="P150" s="308" t="n"/>
      <c r="Q150" s="308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09" t="n"/>
      <c r="C151" s="279" t="n"/>
      <c r="D151" s="310" t="inlineStr">
        <is>
          <t>Elektronik &amp; Gadget</t>
        </is>
      </c>
      <c r="E151" s="311" t="n"/>
      <c r="F151" s="312" t="n"/>
      <c r="G151" s="279" t="n"/>
      <c r="H151" s="279" t="n"/>
      <c r="I151" s="285" t="n"/>
      <c r="J151" s="285" t="n"/>
      <c r="K151" s="280" t="n"/>
      <c r="L151" s="280" t="n"/>
      <c r="M151" s="280" t="n"/>
      <c r="N151" s="280" t="n"/>
      <c r="O151" s="280" t="n"/>
      <c r="P151" s="280" t="n"/>
      <c r="Q151" s="280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6" t="n">
        <v>45369</v>
      </c>
      <c r="C152" s="279" t="n">
        <v>74</v>
      </c>
      <c r="D152" s="281" t="inlineStr">
        <is>
          <t>Buy SANWA YX360TRF</t>
        </is>
      </c>
      <c r="E152" s="281" t="inlineStr">
        <is>
          <t>-</t>
        </is>
      </c>
      <c r="F152" s="287" t="n">
        <v>455600</v>
      </c>
      <c r="G152" s="283" t="inlineStr">
        <is>
          <t>IDR</t>
        </is>
      </c>
      <c r="H152" s="288" t="n">
        <v>1</v>
      </c>
      <c r="I152" s="289" t="n"/>
      <c r="J152" s="289" t="n"/>
      <c r="K152" s="290" t="n"/>
      <c r="L152" s="281" t="n"/>
      <c r="M152" s="281" t="n"/>
      <c r="N152" s="291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09" t="n"/>
      <c r="C153" s="279" t="n"/>
      <c r="D153" s="310" t="inlineStr">
        <is>
          <t>Hand Tools</t>
        </is>
      </c>
      <c r="E153" s="311" t="n"/>
      <c r="F153" s="312" t="n"/>
      <c r="G153" s="279" t="n"/>
      <c r="H153" s="279" t="n"/>
      <c r="I153" s="280" t="n"/>
      <c r="J153" s="285" t="n"/>
      <c r="K153" s="280" t="n"/>
      <c r="L153" s="280" t="n"/>
      <c r="M153" s="284" t="n"/>
      <c r="N153" s="280" t="n"/>
      <c r="O153" s="280" t="n"/>
      <c r="P153" s="280" t="n"/>
      <c r="Q153" s="280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6" t="n">
        <v>45370</v>
      </c>
      <c r="C154" s="279" t="n">
        <v>75</v>
      </c>
      <c r="D154" s="281" t="inlineStr">
        <is>
          <t>Send Tool from Gowell to TGE</t>
        </is>
      </c>
      <c r="E154" s="281" t="inlineStr">
        <is>
          <t>-</t>
        </is>
      </c>
      <c r="F154" s="287" t="n">
        <v>168732</v>
      </c>
      <c r="G154" s="283" t="inlineStr">
        <is>
          <t>IDR</t>
        </is>
      </c>
      <c r="H154" s="288" t="n">
        <v>1</v>
      </c>
      <c r="I154" s="289" t="n"/>
      <c r="J154" s="289" t="n"/>
      <c r="K154" s="290" t="n"/>
      <c r="L154" s="281" t="n"/>
      <c r="M154" s="281" t="n"/>
      <c r="N154" s="291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9" t="inlineStr">
        <is>
          <t>Expense#5</t>
        </is>
      </c>
      <c r="C155" s="320" t="inlineStr">
        <is>
          <t>:</t>
        </is>
      </c>
      <c r="D155" s="321" t="inlineStr">
        <is>
          <t>MCU RS PP _Titis Maulana</t>
        </is>
      </c>
      <c r="E155" s="322" t="n"/>
      <c r="F155" s="323" t="n"/>
      <c r="G155" s="302" t="n"/>
      <c r="H155" s="302" t="n"/>
      <c r="I155" s="307" t="n"/>
      <c r="J155" s="307" t="n"/>
      <c r="K155" s="308" t="n"/>
      <c r="L155" s="308" t="n"/>
      <c r="M155" s="306" t="n"/>
      <c r="N155" s="308" t="n"/>
      <c r="O155" s="308" t="n"/>
      <c r="P155" s="308" t="n"/>
      <c r="Q155" s="308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09" t="n"/>
      <c r="C156" s="279" t="n"/>
      <c r="D156" s="310" t="inlineStr">
        <is>
          <t>Medical</t>
        </is>
      </c>
      <c r="E156" s="313" t="n"/>
      <c r="F156" s="312" t="n"/>
      <c r="G156" s="279" t="n"/>
      <c r="H156" s="279" t="n"/>
      <c r="I156" s="285" t="n"/>
      <c r="J156" s="285" t="n"/>
      <c r="K156" s="280" t="n"/>
      <c r="L156" s="280" t="n"/>
      <c r="M156" s="284" t="n"/>
      <c r="N156" s="285" t="n"/>
      <c r="O156" s="280" t="n"/>
      <c r="P156" s="280" t="n"/>
      <c r="Q156" s="280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6" t="n">
        <v>45384</v>
      </c>
      <c r="C157" s="279" t="n">
        <v>76</v>
      </c>
      <c r="D157" s="281" t="inlineStr">
        <is>
          <t>MCU RS PP</t>
        </is>
      </c>
      <c r="E157" s="281" t="inlineStr">
        <is>
          <t>-</t>
        </is>
      </c>
      <c r="F157" s="287" t="n">
        <v>5407000</v>
      </c>
      <c r="G157" s="283" t="inlineStr">
        <is>
          <t>IDR</t>
        </is>
      </c>
      <c r="H157" s="288" t="n">
        <v>1</v>
      </c>
      <c r="I157" s="289" t="n"/>
      <c r="J157" s="289" t="n"/>
      <c r="K157" s="290" t="n"/>
      <c r="L157" s="281" t="n"/>
      <c r="M157" s="281" t="n"/>
      <c r="N157" s="281" t="n"/>
      <c r="O157" s="281" t="n"/>
      <c r="P157" s="291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1" t="inlineStr">
        <is>
          <t>Expense#6</t>
        </is>
      </c>
      <c r="C158" s="302" t="inlineStr">
        <is>
          <t>:</t>
        </is>
      </c>
      <c r="D158" s="303" t="inlineStr">
        <is>
          <t>MPLT (SAKA-UjungPangkah field) by TGE - GOWell project_IC</t>
        </is>
      </c>
      <c r="E158" s="304" t="n"/>
      <c r="F158" s="305" t="n"/>
      <c r="G158" s="302" t="n"/>
      <c r="H158" s="302" t="n"/>
      <c r="I158" s="307" t="n"/>
      <c r="J158" s="307" t="n"/>
      <c r="K158" s="308" t="n"/>
      <c r="L158" s="308" t="n"/>
      <c r="M158" s="306" t="n"/>
      <c r="N158" s="307" t="n"/>
      <c r="O158" s="308" t="n"/>
      <c r="P158" s="308" t="n"/>
      <c r="Q158" s="308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09" t="n"/>
      <c r="C159" s="279" t="n"/>
      <c r="D159" s="310" t="inlineStr">
        <is>
          <t>Biaya Operasi Lain-lain</t>
        </is>
      </c>
      <c r="E159" s="313" t="n"/>
      <c r="F159" s="312" t="n"/>
      <c r="G159" s="279" t="n"/>
      <c r="H159" s="279" t="n"/>
      <c r="I159" s="285" t="n"/>
      <c r="J159" s="285" t="n"/>
      <c r="K159" s="280" t="n"/>
      <c r="L159" s="280" t="n"/>
      <c r="M159" s="284" t="n"/>
      <c r="N159" s="285" t="n"/>
      <c r="O159" s="280" t="n"/>
      <c r="P159" s="280" t="n"/>
      <c r="Q159" s="280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6" t="n">
        <v>45407</v>
      </c>
      <c r="C160" s="279" t="n">
        <v>77</v>
      </c>
      <c r="D160" s="281" t="inlineStr">
        <is>
          <t>Send MPLT TGE - Gowell</t>
        </is>
      </c>
      <c r="E160" s="281" t="inlineStr">
        <is>
          <t>-</t>
        </is>
      </c>
      <c r="F160" s="287" t="n">
        <v>167297</v>
      </c>
      <c r="G160" s="283" t="inlineStr">
        <is>
          <t>IDR</t>
        </is>
      </c>
      <c r="H160" s="288" t="n">
        <v>1</v>
      </c>
      <c r="I160" s="289" t="n"/>
      <c r="J160" s="289" t="n"/>
      <c r="K160" s="290" t="n"/>
      <c r="L160" s="291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09" t="n"/>
      <c r="C161" s="279" t="n"/>
      <c r="D161" s="310" t="inlineStr">
        <is>
          <t>Laundry</t>
        </is>
      </c>
      <c r="E161" s="313" t="n"/>
      <c r="F161" s="312" t="n"/>
      <c r="G161" s="279" t="n"/>
      <c r="H161" s="279" t="n"/>
      <c r="I161" s="285" t="n"/>
      <c r="J161" s="285" t="n"/>
      <c r="K161" s="280" t="n"/>
      <c r="L161" s="280" t="n"/>
      <c r="M161" s="284" t="n"/>
      <c r="N161" s="285" t="n"/>
      <c r="O161" s="280" t="n"/>
      <c r="P161" s="280" t="n"/>
      <c r="Q161" s="280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6" t="n">
        <v>45402</v>
      </c>
      <c r="C162" s="279" t="n">
        <v>78</v>
      </c>
      <c r="D162" s="281" t="inlineStr">
        <is>
          <t>Laundry 5 days 1 Persons @ 50K IDR/day</t>
        </is>
      </c>
      <c r="E162" s="281" t="inlineStr">
        <is>
          <t>-</t>
        </is>
      </c>
      <c r="F162" s="287" t="n">
        <v>250000</v>
      </c>
      <c r="G162" s="283" t="inlineStr">
        <is>
          <t>IDR</t>
        </is>
      </c>
      <c r="H162" s="288" t="n">
        <v>1</v>
      </c>
      <c r="I162" s="289" t="n"/>
      <c r="J162" s="289" t="n"/>
      <c r="K162" s="290" t="n"/>
      <c r="L162" s="291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09" t="n"/>
      <c r="C163" s="279" t="n"/>
      <c r="D163" s="310" t="inlineStr">
        <is>
          <t>Meal</t>
        </is>
      </c>
      <c r="E163" s="313" t="n"/>
      <c r="F163" s="312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6" t="n">
        <v>45402</v>
      </c>
      <c r="C164" s="279" t="n">
        <v>79</v>
      </c>
      <c r="D164" s="281" t="inlineStr">
        <is>
          <t>Meals 5 days 1 Persons @ 150K IDR/day</t>
        </is>
      </c>
      <c r="E164" s="281" t="inlineStr">
        <is>
          <t>-</t>
        </is>
      </c>
      <c r="F164" s="287" t="n">
        <v>750000</v>
      </c>
      <c r="G164" s="283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09" t="n"/>
      <c r="C165" s="279" t="n"/>
      <c r="D165" s="310" t="inlineStr">
        <is>
          <t>Transportation</t>
        </is>
      </c>
      <c r="E165" s="313" t="n"/>
      <c r="F165" s="282" t="n"/>
      <c r="G165" s="279" t="n"/>
      <c r="H165" s="279" t="n"/>
      <c r="I165" s="285" t="n"/>
      <c r="J165" s="285" t="n"/>
      <c r="K165" s="280" t="n"/>
      <c r="L165" s="280" t="n"/>
      <c r="M165" s="280" t="n"/>
      <c r="N165" s="280" t="n"/>
      <c r="O165" s="280" t="n"/>
      <c r="P165" s="285" t="n"/>
      <c r="Q165" s="280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6" t="n">
        <v>45402</v>
      </c>
      <c r="C166" s="279" t="n">
        <v>80</v>
      </c>
      <c r="D166" s="281" t="inlineStr">
        <is>
          <t>Taxi CGK-Bintaro</t>
        </is>
      </c>
      <c r="E166" s="281" t="inlineStr">
        <is>
          <t>-</t>
        </is>
      </c>
      <c r="F166" s="287" t="n">
        <v>250000</v>
      </c>
      <c r="G166" s="283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1" t="inlineStr">
        <is>
          <t>Expense#7</t>
        </is>
      </c>
      <c r="C167" s="302" t="inlineStr">
        <is>
          <t>:</t>
        </is>
      </c>
      <c r="D167" s="303" t="inlineStr">
        <is>
          <t>PLT SRO_ TGB-33 (Jatibarang Field) Elnusa _ IC</t>
        </is>
      </c>
      <c r="E167" s="316" t="n"/>
      <c r="F167" s="305" t="n"/>
      <c r="G167" s="302" t="n"/>
      <c r="H167" s="302" t="n"/>
      <c r="I167" s="307" t="n"/>
      <c r="J167" s="307" t="n"/>
      <c r="K167" s="308" t="n"/>
      <c r="L167" s="308" t="n"/>
      <c r="M167" s="307" t="n"/>
      <c r="N167" s="308" t="n"/>
      <c r="O167" s="308" t="n"/>
      <c r="P167" s="308" t="n"/>
      <c r="Q167" s="308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09" t="n"/>
      <c r="C168" s="279" t="n"/>
      <c r="D168" s="310" t="inlineStr">
        <is>
          <t>Accommodation</t>
        </is>
      </c>
      <c r="E168" s="313" t="n"/>
      <c r="F168" s="312" t="n"/>
      <c r="G168" s="279" t="n"/>
      <c r="H168" s="279" t="n"/>
      <c r="I168" s="284" t="n"/>
      <c r="J168" s="285" t="n"/>
      <c r="K168" s="280" t="n"/>
      <c r="L168" s="280" t="n"/>
      <c r="M168" s="285" t="n"/>
      <c r="N168" s="280" t="n"/>
      <c r="O168" s="280" t="n"/>
      <c r="P168" s="280" t="n"/>
      <c r="Q168" s="280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6" t="n">
        <v>45410</v>
      </c>
      <c r="C169" s="279" t="n">
        <v>81</v>
      </c>
      <c r="D169" s="281" t="inlineStr">
        <is>
          <t>Hotel 2 days</t>
        </is>
      </c>
      <c r="E169" s="281" t="inlineStr">
        <is>
          <t>-</t>
        </is>
      </c>
      <c r="F169" s="287" t="n">
        <v>1357481</v>
      </c>
      <c r="G169" s="283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09" t="n"/>
      <c r="C170" s="279" t="n"/>
      <c r="D170" s="310" t="inlineStr">
        <is>
          <t>Allowance</t>
        </is>
      </c>
      <c r="E170" s="311" t="n"/>
      <c r="F170" s="312" t="n"/>
      <c r="G170" s="279" t="n"/>
      <c r="H170" s="279" t="n"/>
      <c r="I170" s="285" t="n"/>
      <c r="J170" s="285" t="n"/>
      <c r="K170" s="280" t="n"/>
      <c r="L170" s="280" t="n"/>
      <c r="M170" s="285" t="n"/>
      <c r="N170" s="280" t="n"/>
      <c r="O170" s="280" t="n"/>
      <c r="P170" s="280" t="n"/>
      <c r="Q170" s="280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6" t="n">
        <v>45410</v>
      </c>
      <c r="C171" s="279" t="n">
        <v>82</v>
      </c>
      <c r="D171" s="281" t="inlineStr">
        <is>
          <t>Tunjangan Lapangan for 2 days</t>
        </is>
      </c>
      <c r="E171" s="281" t="inlineStr">
        <is>
          <t>-</t>
        </is>
      </c>
      <c r="F171" s="287" t="n">
        <v>3251400</v>
      </c>
      <c r="G171" s="283" t="inlineStr">
        <is>
          <t>USD</t>
        </is>
      </c>
      <c r="H171" s="288" t="n">
        <v>16257</v>
      </c>
      <c r="I171" s="289" t="n"/>
      <c r="J171" s="289" t="n"/>
      <c r="K171" s="290" t="n"/>
      <c r="L171" s="291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09" t="n"/>
      <c r="C172" s="279" t="n"/>
      <c r="D172" s="310" t="inlineStr">
        <is>
          <t>Laundry</t>
        </is>
      </c>
      <c r="E172" s="311" t="n"/>
      <c r="F172" s="312" t="n"/>
      <c r="G172" s="279" t="n"/>
      <c r="H172" s="279" t="n"/>
      <c r="I172" s="285" t="n"/>
      <c r="J172" s="285" t="n"/>
      <c r="K172" s="280" t="n"/>
      <c r="L172" s="280" t="n"/>
      <c r="M172" s="285" t="n"/>
      <c r="N172" s="280" t="n"/>
      <c r="O172" s="280" t="n"/>
      <c r="P172" s="280" t="n"/>
      <c r="Q172" s="280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6" t="n">
        <v>45410</v>
      </c>
      <c r="C173" s="279" t="n">
        <v>83</v>
      </c>
      <c r="D173" s="281" t="inlineStr">
        <is>
          <t>Laundry 2 days</t>
        </is>
      </c>
      <c r="E173" s="281" t="inlineStr">
        <is>
          <t>-</t>
        </is>
      </c>
      <c r="F173" s="287" t="n">
        <v>100000</v>
      </c>
      <c r="G173" s="283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09" t="n"/>
      <c r="C174" s="279" t="n"/>
      <c r="D174" s="310" t="inlineStr">
        <is>
          <t>Meal</t>
        </is>
      </c>
      <c r="E174" s="311" t="n"/>
      <c r="F174" s="312" t="n"/>
      <c r="G174" s="279" t="n"/>
      <c r="H174" s="279" t="n"/>
      <c r="I174" s="285" t="n"/>
      <c r="J174" s="285" t="n"/>
      <c r="K174" s="280" t="n"/>
      <c r="L174" s="280" t="n"/>
      <c r="M174" s="285" t="n"/>
      <c r="N174" s="280" t="n"/>
      <c r="O174" s="280" t="n"/>
      <c r="P174" s="280" t="n"/>
      <c r="Q174" s="280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6" t="n">
        <v>45410</v>
      </c>
      <c r="C175" s="279" t="n">
        <v>84</v>
      </c>
      <c r="D175" s="281" t="inlineStr">
        <is>
          <t>Meals 2 days 1 Persons @ 150K IDR/day</t>
        </is>
      </c>
      <c r="E175" s="281" t="inlineStr">
        <is>
          <t>-</t>
        </is>
      </c>
      <c r="F175" s="287" t="n">
        <v>300000</v>
      </c>
      <c r="G175" s="283" t="inlineStr">
        <is>
          <t>IDR</t>
        </is>
      </c>
      <c r="H175" s="288" t="n">
        <v>1</v>
      </c>
      <c r="I175" s="289" t="n"/>
      <c r="J175" s="289" t="n"/>
      <c r="K175" s="290" t="n"/>
      <c r="L175" s="291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09" t="n"/>
      <c r="C176" s="279" t="n"/>
      <c r="D176" s="310" t="inlineStr">
        <is>
          <t>Transportation</t>
        </is>
      </c>
      <c r="E176" s="313" t="n"/>
      <c r="F176" s="312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6" t="n">
        <v>45410</v>
      </c>
      <c r="C177" s="279" t="n">
        <v>85</v>
      </c>
      <c r="D177" s="281" t="inlineStr">
        <is>
          <t>Toll</t>
        </is>
      </c>
      <c r="E177" s="281" t="inlineStr">
        <is>
          <t>-</t>
        </is>
      </c>
      <c r="F177" s="287" t="n">
        <v>298000</v>
      </c>
      <c r="G177" s="283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1" t="inlineStr">
        <is>
          <t>Expense#8</t>
        </is>
      </c>
      <c r="C178" s="302" t="inlineStr">
        <is>
          <t>:</t>
        </is>
      </c>
      <c r="D178" s="303" t="inlineStr">
        <is>
          <t>Training BST_ PHR-zona 4 (Dwiyanto) (Dwi_Febri dan Ilham)</t>
        </is>
      </c>
      <c r="E178" s="304" t="n"/>
      <c r="F178" s="305" t="n"/>
      <c r="G178" s="302" t="n"/>
      <c r="H178" s="302" t="n"/>
      <c r="I178" s="306" t="n"/>
      <c r="J178" s="307" t="n"/>
      <c r="K178" s="308" t="n"/>
      <c r="L178" s="308" t="n"/>
      <c r="M178" s="306" t="n"/>
      <c r="N178" s="308" t="n"/>
      <c r="O178" s="308" t="n"/>
      <c r="P178" s="308" t="n"/>
      <c r="Q178" s="308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09" t="n"/>
      <c r="C179" s="279" t="n"/>
      <c r="D179" s="310" t="inlineStr">
        <is>
          <t>Accommodation</t>
        </is>
      </c>
      <c r="E179" s="313" t="n"/>
      <c r="F179" s="312" t="n"/>
      <c r="G179" s="279" t="n"/>
      <c r="H179" s="279" t="n"/>
      <c r="I179" s="284" t="n"/>
      <c r="J179" s="285" t="n"/>
      <c r="K179" s="280" t="n"/>
      <c r="L179" s="280" t="n"/>
      <c r="M179" s="280" t="n"/>
      <c r="N179" s="280" t="n"/>
      <c r="O179" s="280" t="n"/>
      <c r="P179" s="280" t="n"/>
      <c r="Q179" s="280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6" t="n">
        <v>45420</v>
      </c>
      <c r="C180" s="279" t="n">
        <v>86</v>
      </c>
      <c r="D180" s="281" t="inlineStr">
        <is>
          <t>Hotel</t>
        </is>
      </c>
      <c r="E180" s="281" t="inlineStr">
        <is>
          <t>-</t>
        </is>
      </c>
      <c r="F180" s="287" t="n">
        <v>360000</v>
      </c>
      <c r="G180" s="283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09" t="n"/>
      <c r="C181" s="279" t="n"/>
      <c r="D181" s="310" t="inlineStr">
        <is>
          <t>Biaya Operasi Lain-lain</t>
        </is>
      </c>
      <c r="E181" s="311" t="n"/>
      <c r="F181" s="312" t="n"/>
      <c r="G181" s="279" t="n"/>
      <c r="H181" s="279" t="n"/>
      <c r="I181" s="280" t="n"/>
      <c r="J181" s="280" t="n"/>
      <c r="K181" s="280" t="n"/>
      <c r="L181" s="280" t="n"/>
      <c r="M181" s="280" t="n"/>
      <c r="N181" s="280" t="n"/>
      <c r="O181" s="280" t="n"/>
      <c r="P181" s="280" t="n"/>
      <c r="Q181" s="280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6" t="n">
        <v>45418</v>
      </c>
      <c r="C182" s="279" t="n">
        <v>87</v>
      </c>
      <c r="D182" s="281" t="inlineStr">
        <is>
          <t>Jakarta - Palembang - Jakarta</t>
        </is>
      </c>
      <c r="E182" s="281" t="inlineStr">
        <is>
          <t>-</t>
        </is>
      </c>
      <c r="F182" s="287" t="n">
        <v>1387800</v>
      </c>
      <c r="G182" s="283" t="inlineStr">
        <is>
          <t>IDR</t>
        </is>
      </c>
      <c r="H182" s="288" t="n">
        <v>1</v>
      </c>
      <c r="I182" s="289" t="n"/>
      <c r="J182" s="289" t="n"/>
      <c r="K182" s="290" t="n"/>
      <c r="L182" s="291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09" t="n"/>
      <c r="C183" s="279" t="n"/>
      <c r="D183" s="310" t="inlineStr">
        <is>
          <t>Meal</t>
        </is>
      </c>
      <c r="E183" s="311" t="n"/>
      <c r="F183" s="312" t="n"/>
      <c r="G183" s="279" t="n"/>
      <c r="H183" s="279" t="n"/>
      <c r="I183" s="324" t="n"/>
      <c r="J183" s="280" t="n"/>
      <c r="K183" s="280" t="n"/>
      <c r="L183" s="280" t="n"/>
      <c r="M183" s="280" t="n"/>
      <c r="N183" s="280" t="n"/>
      <c r="O183" s="280" t="n"/>
      <c r="P183" s="280" t="n"/>
      <c r="Q183" s="280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6" t="n">
        <v>45419</v>
      </c>
      <c r="C184" s="279" t="n">
        <v>88</v>
      </c>
      <c r="D184" s="281" t="inlineStr">
        <is>
          <t>Dinner (Dwi, Febri, Ilham)</t>
        </is>
      </c>
      <c r="E184" s="281" t="inlineStr">
        <is>
          <t>-</t>
        </is>
      </c>
      <c r="F184" s="287" t="n">
        <v>103400</v>
      </c>
      <c r="G184" s="283" t="inlineStr">
        <is>
          <t>IDR</t>
        </is>
      </c>
      <c r="H184" s="288" t="n">
        <v>1</v>
      </c>
      <c r="I184" s="289" t="n"/>
      <c r="J184" s="289" t="n"/>
      <c r="K184" s="290" t="n"/>
      <c r="L184" s="291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0" t="n"/>
      <c r="C185" s="325" t="n"/>
      <c r="D185" s="326" t="inlineStr">
        <is>
          <t>Transportation</t>
        </is>
      </c>
      <c r="E185" s="327" t="n"/>
      <c r="F185" s="281" t="n"/>
      <c r="G185" s="279" t="n"/>
      <c r="H185" s="279" t="n"/>
      <c r="I185" s="285" t="n"/>
      <c r="J185" s="285" t="n"/>
      <c r="K185" s="280" t="n"/>
      <c r="L185" s="280" t="n"/>
      <c r="M185" s="280" t="n"/>
      <c r="N185" s="280" t="n"/>
      <c r="O185" s="280" t="n"/>
      <c r="P185" s="280" t="n"/>
      <c r="Q185" s="280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6" t="n">
        <v>45421</v>
      </c>
      <c r="C186" s="279" t="n">
        <v>89</v>
      </c>
      <c r="D186" s="281" t="inlineStr">
        <is>
          <t>Tol + Taxi From Airport Jakarta</t>
        </is>
      </c>
      <c r="E186" s="281" t="inlineStr">
        <is>
          <t>-</t>
        </is>
      </c>
      <c r="F186" s="287" t="n">
        <v>276900</v>
      </c>
      <c r="G186" s="283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1" t="inlineStr">
        <is>
          <t>Expense#9</t>
        </is>
      </c>
      <c r="C187" s="302" t="inlineStr">
        <is>
          <t>:</t>
        </is>
      </c>
      <c r="D187" s="303" t="inlineStr">
        <is>
          <t>MFC and ALFA Memory (Jatibarang Field) TGB-033_Elnusa_ AC</t>
        </is>
      </c>
      <c r="E187" s="304" t="n"/>
      <c r="F187" s="305" t="n"/>
      <c r="G187" s="302" t="n"/>
      <c r="H187" s="302" t="n"/>
      <c r="I187" s="306" t="n"/>
      <c r="J187" s="307" t="n"/>
      <c r="K187" s="308" t="n"/>
      <c r="L187" s="308" t="n"/>
      <c r="M187" s="306" t="n"/>
      <c r="N187" s="308" t="n"/>
      <c r="O187" s="308" t="n"/>
      <c r="P187" s="308" t="n"/>
      <c r="Q187" s="308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09" t="n"/>
      <c r="C188" s="279" t="n"/>
      <c r="D188" s="310" t="inlineStr">
        <is>
          <t>Allowance</t>
        </is>
      </c>
      <c r="E188" s="313" t="n"/>
      <c r="F188" s="312" t="n"/>
      <c r="G188" s="279" t="n"/>
      <c r="H188" s="279" t="n"/>
      <c r="I188" s="284" t="n"/>
      <c r="J188" s="285" t="n"/>
      <c r="K188" s="280" t="n"/>
      <c r="L188" s="280" t="n"/>
      <c r="M188" s="280" t="n"/>
      <c r="N188" s="280" t="n"/>
      <c r="O188" s="280" t="n"/>
      <c r="P188" s="280" t="n"/>
      <c r="Q188" s="280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6" t="n">
        <v>45403</v>
      </c>
      <c r="C189" s="279" t="n">
        <v>90</v>
      </c>
      <c r="D189" s="281" t="inlineStr">
        <is>
          <t>Tunajngan lapangan for 3 days (19-21 apr24) Anevril</t>
        </is>
      </c>
      <c r="E189" s="281" t="inlineStr">
        <is>
          <t>-</t>
        </is>
      </c>
      <c r="F189" s="287" t="n">
        <v>4815300</v>
      </c>
      <c r="G189" s="283" t="inlineStr">
        <is>
          <t>USD</t>
        </is>
      </c>
      <c r="H189" s="288" t="n">
        <v>16051</v>
      </c>
      <c r="I189" s="289" t="n"/>
      <c r="J189" s="289" t="n"/>
      <c r="K189" s="290" t="n"/>
      <c r="L189" s="291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09" t="n"/>
      <c r="C190" s="279" t="n"/>
      <c r="D190" s="310" t="inlineStr">
        <is>
          <t>Laundry</t>
        </is>
      </c>
      <c r="E190" s="313" t="n"/>
      <c r="F190" s="312" t="n"/>
      <c r="G190" s="279" t="n"/>
      <c r="H190" s="279" t="n"/>
      <c r="I190" s="284" t="n"/>
      <c r="J190" s="285" t="n"/>
      <c r="K190" s="280" t="n"/>
      <c r="L190" s="280" t="n"/>
      <c r="M190" s="280" t="n"/>
      <c r="N190" s="284" t="n"/>
      <c r="O190" s="280" t="n"/>
      <c r="P190" s="280" t="n"/>
      <c r="Q190" s="280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6" t="n">
        <v>45403</v>
      </c>
      <c r="C191" s="279" t="n">
        <v>91</v>
      </c>
      <c r="D191" s="281" t="inlineStr">
        <is>
          <t>Laundry 3 days @ Rp. 50.000</t>
        </is>
      </c>
      <c r="E191" s="281" t="inlineStr">
        <is>
          <t>-</t>
        </is>
      </c>
      <c r="F191" s="287" t="n">
        <v>150000</v>
      </c>
      <c r="G191" s="283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09" t="n"/>
      <c r="C192" s="279" t="n"/>
      <c r="D192" s="310" t="inlineStr">
        <is>
          <t>Meal</t>
        </is>
      </c>
      <c r="E192" s="311" t="n"/>
      <c r="F192" s="312" t="n"/>
      <c r="G192" s="279" t="n"/>
      <c r="H192" s="279" t="n"/>
      <c r="I192" s="284" t="n"/>
      <c r="J192" s="285" t="n"/>
      <c r="K192" s="280" t="n"/>
      <c r="L192" s="280" t="n"/>
      <c r="M192" s="280" t="n"/>
      <c r="N192" s="284" t="n"/>
      <c r="O192" s="280" t="n"/>
      <c r="P192" s="280" t="n"/>
      <c r="Q192" s="280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6" t="n">
        <v>45420</v>
      </c>
      <c r="C193" s="279" t="n">
        <v>92</v>
      </c>
      <c r="D193" s="281" t="inlineStr">
        <is>
          <t>Dinner (Dwi, Febri, Ilham)</t>
        </is>
      </c>
      <c r="E193" s="281" t="inlineStr">
        <is>
          <t>-</t>
        </is>
      </c>
      <c r="F193" s="287" t="n">
        <v>128000</v>
      </c>
      <c r="G193" s="283" t="inlineStr">
        <is>
          <t>IDR</t>
        </is>
      </c>
      <c r="H193" s="288" t="n">
        <v>1</v>
      </c>
      <c r="I193" s="289" t="n"/>
      <c r="J193" s="289" t="n"/>
      <c r="K193" s="290" t="n"/>
      <c r="L193" s="291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09" t="n"/>
      <c r="C194" s="279" t="n"/>
      <c r="D194" s="310" t="inlineStr">
        <is>
          <t>Transportation</t>
        </is>
      </c>
      <c r="E194" s="311" t="n"/>
      <c r="F194" s="312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6" t="n">
        <v>45403</v>
      </c>
      <c r="C195" s="279" t="n">
        <v>93</v>
      </c>
      <c r="D195" s="281" t="inlineStr">
        <is>
          <t>Taksi</t>
        </is>
      </c>
      <c r="E195" s="281" t="inlineStr">
        <is>
          <t>-</t>
        </is>
      </c>
      <c r="F195" s="287" t="n">
        <v>150000</v>
      </c>
      <c r="G195" s="283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9" t="inlineStr">
        <is>
          <t>Expense#10</t>
        </is>
      </c>
      <c r="C196" s="320" t="inlineStr">
        <is>
          <t>:</t>
        </is>
      </c>
      <c r="D196" s="321" t="inlineStr">
        <is>
          <t>ALFA+PLT (TGB-033 Zona 7) Elnusa_TMA</t>
        </is>
      </c>
      <c r="E196" s="322" t="n"/>
      <c r="F196" s="323" t="n"/>
      <c r="G196" s="302" t="n"/>
      <c r="H196" s="302" t="n"/>
      <c r="I196" s="308" t="n"/>
      <c r="J196" s="307" t="n"/>
      <c r="K196" s="308" t="n"/>
      <c r="L196" s="308" t="n"/>
      <c r="M196" s="306" t="n"/>
      <c r="N196" s="308" t="n"/>
      <c r="O196" s="308" t="n"/>
      <c r="P196" s="308" t="n"/>
      <c r="Q196" s="308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78" t="n"/>
      <c r="C197" s="279" t="n"/>
      <c r="D197" s="310" t="inlineStr">
        <is>
          <t>Accommodation</t>
        </is>
      </c>
      <c r="E197" s="318" t="n"/>
      <c r="F197" s="282" t="n"/>
      <c r="G197" s="279" t="n"/>
      <c r="H197" s="279" t="n"/>
      <c r="I197" s="285" t="n"/>
      <c r="J197" s="285" t="n"/>
      <c r="K197" s="280" t="n"/>
      <c r="L197" s="280" t="n"/>
      <c r="M197" s="285" t="n"/>
      <c r="N197" s="280" t="n"/>
      <c r="O197" s="280" t="n"/>
      <c r="P197" s="280" t="n"/>
      <c r="Q197" s="280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6" t="n">
        <v>45407</v>
      </c>
      <c r="C198" s="279" t="n">
        <v>94</v>
      </c>
      <c r="D198" s="281" t="inlineStr">
        <is>
          <t>Hotel 25 Apr - 27 Apr &amp; 29 Apr- 2 May 2024 (6 days)</t>
        </is>
      </c>
      <c r="E198" s="281" t="inlineStr">
        <is>
          <t>-</t>
        </is>
      </c>
      <c r="F198" s="287" t="n">
        <v>3292802</v>
      </c>
      <c r="G198" s="283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09" t="n"/>
      <c r="C199" s="279" t="n"/>
      <c r="D199" s="310" t="inlineStr">
        <is>
          <t>Allowance</t>
        </is>
      </c>
      <c r="E199" s="318" t="n"/>
      <c r="F199" s="282" t="n"/>
      <c r="G199" s="279" t="n"/>
      <c r="H199" s="279" t="n"/>
      <c r="I199" s="285" t="n"/>
      <c r="J199" s="285" t="n"/>
      <c r="K199" s="280" t="n"/>
      <c r="L199" s="280" t="n"/>
      <c r="M199" s="285" t="n"/>
      <c r="N199" s="280" t="n"/>
      <c r="O199" s="280" t="n"/>
      <c r="P199" s="280" t="n"/>
      <c r="Q199" s="280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6" t="n">
        <v>45407</v>
      </c>
      <c r="C200" s="279" t="n">
        <v>95</v>
      </c>
      <c r="D200" s="281" t="inlineStr">
        <is>
          <t>Field Bonus for 4 days 29 April-2 May 2024 (100$/Day</t>
        </is>
      </c>
      <c r="E200" s="281" t="inlineStr">
        <is>
          <t>-</t>
        </is>
      </c>
      <c r="F200" s="287" t="n">
        <v>6420340</v>
      </c>
      <c r="G200" s="283" t="inlineStr">
        <is>
          <t>USD</t>
        </is>
      </c>
      <c r="H200" s="288" t="n">
        <v>16050.85</v>
      </c>
      <c r="I200" s="289" t="n"/>
      <c r="J200" s="289" t="n"/>
      <c r="K200" s="290" t="n"/>
      <c r="L200" s="291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09" t="n"/>
      <c r="C201" s="279" t="n"/>
      <c r="D201" s="310" t="inlineStr">
        <is>
          <t>Biaya Operasi Lain-lain</t>
        </is>
      </c>
      <c r="E201" s="313" t="n"/>
      <c r="F201" s="282" t="n"/>
      <c r="G201" s="279" t="n"/>
      <c r="H201" s="279" t="n"/>
      <c r="I201" s="284" t="n"/>
      <c r="J201" s="280" t="n"/>
      <c r="K201" s="280" t="n"/>
      <c r="L201" s="280" t="n"/>
      <c r="M201" s="280" t="n"/>
      <c r="N201" s="280" t="n"/>
      <c r="O201" s="280" t="n"/>
      <c r="P201" s="280" t="n"/>
      <c r="Q201" s="280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6" t="n">
        <v>45411</v>
      </c>
      <c r="C202" s="279" t="n">
        <v>96</v>
      </c>
      <c r="D202" s="281" t="inlineStr">
        <is>
          <t>Internet Data</t>
        </is>
      </c>
      <c r="E202" s="281" t="inlineStr">
        <is>
          <t>-</t>
        </is>
      </c>
      <c r="F202" s="287" t="n">
        <v>75000</v>
      </c>
      <c r="G202" s="283" t="inlineStr">
        <is>
          <t>IDR</t>
        </is>
      </c>
      <c r="H202" s="288" t="n">
        <v>1</v>
      </c>
      <c r="I202" s="289" t="n"/>
      <c r="J202" s="289" t="n"/>
      <c r="K202" s="290" t="n"/>
      <c r="L202" s="291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09" t="n"/>
      <c r="C203" s="279" t="n"/>
      <c r="D203" s="310" t="inlineStr">
        <is>
          <t>Hand Tools</t>
        </is>
      </c>
      <c r="E203" s="313" t="n"/>
      <c r="F203" s="282" t="n"/>
      <c r="G203" s="279" t="n"/>
      <c r="H203" s="279" t="n"/>
      <c r="I203" s="284" t="n"/>
      <c r="J203" s="285" t="n"/>
      <c r="K203" s="280" t="n"/>
      <c r="L203" s="280" t="n"/>
      <c r="M203" s="280" t="n"/>
      <c r="N203" s="280" t="n"/>
      <c r="O203" s="280" t="n"/>
      <c r="P203" s="280" t="n"/>
      <c r="Q203" s="280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6" t="n">
        <v>45401</v>
      </c>
      <c r="C204" s="279" t="n">
        <v>97</v>
      </c>
      <c r="D204" s="281" t="inlineStr">
        <is>
          <t>Tekiro Kunci L, Tekiro Tang, Obeng Set</t>
        </is>
      </c>
      <c r="E204" s="281" t="inlineStr">
        <is>
          <t>-</t>
        </is>
      </c>
      <c r="F204" s="287" t="n">
        <v>349000</v>
      </c>
      <c r="G204" s="283" t="inlineStr">
        <is>
          <t>IDR</t>
        </is>
      </c>
      <c r="H204" s="288" t="n">
        <v>1</v>
      </c>
      <c r="I204" s="289" t="n"/>
      <c r="J204" s="289" t="n"/>
      <c r="K204" s="290" t="n"/>
      <c r="L204" s="281" t="n"/>
      <c r="M204" s="281" t="n"/>
      <c r="N204" s="291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09" t="n"/>
      <c r="C205" s="279" t="n"/>
      <c r="D205" s="310" t="inlineStr">
        <is>
          <t>Laundry</t>
        </is>
      </c>
      <c r="E205" s="311" t="n"/>
      <c r="F205" s="282" t="n"/>
      <c r="G205" s="279" t="n"/>
      <c r="H205" s="279" t="n"/>
      <c r="I205" s="284" t="n"/>
      <c r="J205" s="285" t="n"/>
      <c r="K205" s="280" t="n"/>
      <c r="L205" s="280" t="n"/>
      <c r="M205" s="280" t="n"/>
      <c r="N205" s="280" t="n"/>
      <c r="O205" s="280" t="n"/>
      <c r="P205" s="280" t="n"/>
      <c r="Q205" s="280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6" t="n">
        <v>45407</v>
      </c>
      <c r="C206" s="279" t="n">
        <v>98</v>
      </c>
      <c r="D206" s="281" t="inlineStr">
        <is>
          <t>Laundry 7 days 1 Persons @ 50K IDR/day</t>
        </is>
      </c>
      <c r="E206" s="281" t="inlineStr">
        <is>
          <t>-</t>
        </is>
      </c>
      <c r="F206" s="287" t="n">
        <v>350000</v>
      </c>
      <c r="G206" s="283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09" t="n"/>
      <c r="C207" s="279" t="n"/>
      <c r="D207" s="310" t="inlineStr">
        <is>
          <t>Meal</t>
        </is>
      </c>
      <c r="E207" s="311" t="n"/>
      <c r="F207" s="282" t="n"/>
      <c r="G207" s="279" t="n"/>
      <c r="H207" s="279" t="n"/>
      <c r="I207" s="324" t="n"/>
      <c r="J207" s="285" t="n"/>
      <c r="K207" s="280" t="n"/>
      <c r="L207" s="280" t="n"/>
      <c r="M207" s="280" t="n"/>
      <c r="N207" s="280" t="n"/>
      <c r="O207" s="280" t="n"/>
      <c r="P207" s="280" t="n"/>
      <c r="Q207" s="280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6" t="n">
        <v>45407</v>
      </c>
      <c r="C208" s="279" t="n">
        <v>99</v>
      </c>
      <c r="D208" s="281" t="inlineStr">
        <is>
          <t>Meals 7 days 1 Persons @ 150K IDR/day</t>
        </is>
      </c>
      <c r="E208" s="281" t="inlineStr">
        <is>
          <t>-</t>
        </is>
      </c>
      <c r="F208" s="287" t="n">
        <v>1050000</v>
      </c>
      <c r="G208" s="283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9" t="inlineStr">
        <is>
          <t>Expense#11</t>
        </is>
      </c>
      <c r="C209" s="320" t="inlineStr">
        <is>
          <t>:</t>
        </is>
      </c>
      <c r="D209" s="321" t="inlineStr">
        <is>
          <t>ALFA+MFC (TGB-033 Zona 7) Elnusa_TMA</t>
        </is>
      </c>
      <c r="E209" s="322" t="n"/>
      <c r="F209" s="328" t="n"/>
      <c r="G209" s="302" t="n"/>
      <c r="H209" s="302" t="n"/>
      <c r="I209" s="308" t="n"/>
      <c r="J209" s="308" t="n"/>
      <c r="K209" s="308" t="n"/>
      <c r="L209" s="308" t="n"/>
      <c r="M209" s="308" t="n"/>
      <c r="N209" s="308" t="n"/>
      <c r="O209" s="308" t="n"/>
      <c r="P209" s="308" t="n"/>
      <c r="Q209" s="308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09" t="n"/>
      <c r="C210" s="279" t="n"/>
      <c r="D210" s="310" t="inlineStr">
        <is>
          <t>Accommodation</t>
        </is>
      </c>
      <c r="E210" s="318" t="n"/>
      <c r="F210" s="282" t="n"/>
      <c r="G210" s="279" t="n"/>
      <c r="H210" s="279" t="n"/>
      <c r="I210" s="280" t="n"/>
      <c r="J210" s="280" t="n"/>
      <c r="K210" s="280" t="n"/>
      <c r="L210" s="280" t="n"/>
      <c r="M210" s="280" t="n"/>
      <c r="N210" s="280" t="n"/>
      <c r="O210" s="280" t="n"/>
      <c r="P210" s="280" t="n"/>
      <c r="Q210" s="280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6" t="n">
        <v>45401</v>
      </c>
      <c r="C211" s="279" t="n">
        <v>100</v>
      </c>
      <c r="D211" s="281" t="inlineStr">
        <is>
          <t>Hotel 19 Apr-22 Apr 2024 (3 days)</t>
        </is>
      </c>
      <c r="E211" s="281" t="inlineStr">
        <is>
          <t>-</t>
        </is>
      </c>
      <c r="F211" s="287" t="n">
        <v>1950000</v>
      </c>
      <c r="G211" s="283" t="inlineStr">
        <is>
          <t>IDR</t>
        </is>
      </c>
      <c r="H211" s="288" t="n">
        <v>1</v>
      </c>
      <c r="I211" s="289" t="n"/>
      <c r="J211" s="289" t="n"/>
      <c r="K211" s="290" t="n"/>
      <c r="L211" s="291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09" t="n"/>
      <c r="C212" s="279" t="n"/>
      <c r="D212" s="310" t="inlineStr">
        <is>
          <t>Allowance</t>
        </is>
      </c>
      <c r="E212" s="313" t="n"/>
      <c r="F212" s="282" t="n"/>
      <c r="G212" s="279" t="n"/>
      <c r="H212" s="279" t="n"/>
      <c r="I212" s="284" t="n"/>
      <c r="J212" s="285" t="n"/>
      <c r="K212" s="280" t="n"/>
      <c r="L212" s="280" t="n"/>
      <c r="M212" s="280" t="n"/>
      <c r="N212" s="280" t="n"/>
      <c r="O212" s="280" t="n"/>
      <c r="P212" s="280" t="n"/>
      <c r="Q212" s="280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6" t="n">
        <v>45401</v>
      </c>
      <c r="C213" s="279" t="n">
        <v>101</v>
      </c>
      <c r="D213" s="281" t="inlineStr">
        <is>
          <t>Field Bonus for 4 days (25$/Day)</t>
        </is>
      </c>
      <c r="E213" s="281" t="inlineStr">
        <is>
          <t>-</t>
        </is>
      </c>
      <c r="F213" s="287" t="n">
        <v>1605085</v>
      </c>
      <c r="G213" s="283" t="inlineStr">
        <is>
          <t>USD</t>
        </is>
      </c>
      <c r="H213" s="288" t="n">
        <v>16050.85</v>
      </c>
      <c r="I213" s="289" t="n"/>
      <c r="J213" s="289" t="n"/>
      <c r="K213" s="290" t="n"/>
      <c r="L213" s="291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09" t="n"/>
      <c r="C214" s="279" t="n"/>
      <c r="D214" s="310" t="inlineStr">
        <is>
          <t>Biaya Operasi Lain-lain</t>
        </is>
      </c>
      <c r="E214" s="313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6" t="n">
        <v>45401</v>
      </c>
      <c r="C215" s="279" t="n">
        <v>102</v>
      </c>
      <c r="D215" s="281" t="inlineStr">
        <is>
          <t>Crew's Operational</t>
        </is>
      </c>
      <c r="E215" s="281" t="inlineStr">
        <is>
          <t>-</t>
        </is>
      </c>
      <c r="F215" s="287" t="n">
        <v>481900</v>
      </c>
      <c r="G215" s="283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09" t="n"/>
      <c r="C216" s="279" t="n"/>
      <c r="D216" s="310" t="inlineStr">
        <is>
          <t>Laundry</t>
        </is>
      </c>
      <c r="E216" s="313" t="n"/>
      <c r="F216" s="282" t="n"/>
      <c r="G216" s="279" t="n"/>
      <c r="H216" s="279" t="n"/>
      <c r="I216" s="285" t="n"/>
      <c r="J216" s="285" t="n"/>
      <c r="K216" s="280" t="n"/>
      <c r="L216" s="280" t="n"/>
      <c r="M216" s="280" t="n"/>
      <c r="N216" s="280" t="n"/>
      <c r="O216" s="280" t="n"/>
      <c r="P216" s="280" t="n"/>
      <c r="Q216" s="280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6" t="n">
        <v>45401</v>
      </c>
      <c r="C217" s="279" t="n">
        <v>103</v>
      </c>
      <c r="D217" s="281" t="inlineStr">
        <is>
          <t>Laundry 4 days 1 Persons @ 50K IDR/day</t>
        </is>
      </c>
      <c r="E217" s="281" t="inlineStr">
        <is>
          <t>-</t>
        </is>
      </c>
      <c r="F217" s="287" t="n">
        <v>200000</v>
      </c>
      <c r="G217" s="283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09" t="n"/>
      <c r="C218" s="279" t="n"/>
      <c r="D218" s="310" t="inlineStr">
        <is>
          <t>Meal</t>
        </is>
      </c>
      <c r="E218" s="313" t="n"/>
      <c r="F218" s="282" t="n"/>
      <c r="G218" s="279" t="n"/>
      <c r="H218" s="279" t="n"/>
      <c r="I218" s="285" t="n"/>
      <c r="J218" s="285" t="n"/>
      <c r="K218" s="280" t="n"/>
      <c r="L218" s="280" t="n"/>
      <c r="M218" s="280" t="n"/>
      <c r="N218" s="280" t="n"/>
      <c r="O218" s="280" t="n"/>
      <c r="P218" s="280" t="n"/>
      <c r="Q218" s="280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6" t="n">
        <v>45401</v>
      </c>
      <c r="C219" s="279" t="n">
        <v>104</v>
      </c>
      <c r="D219" s="281" t="inlineStr">
        <is>
          <t>Meals 4 days 1 Persons @ 150K IDR/day</t>
        </is>
      </c>
      <c r="E219" s="281" t="inlineStr">
        <is>
          <t>-</t>
        </is>
      </c>
      <c r="F219" s="287" t="n">
        <v>600000</v>
      </c>
      <c r="G219" s="283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0" t="n"/>
      <c r="C220" s="325" t="n"/>
      <c r="D220" s="326" t="inlineStr">
        <is>
          <t>Transportation</t>
        </is>
      </c>
      <c r="E220" s="327" t="n"/>
      <c r="F220" s="282" t="n"/>
      <c r="G220" s="279" t="n"/>
      <c r="H220" s="279" t="n"/>
      <c r="I220" s="280" t="n"/>
      <c r="J220" s="280" t="n"/>
      <c r="K220" s="280" t="n"/>
      <c r="L220" s="280" t="n"/>
      <c r="M220" s="280" t="n"/>
      <c r="N220" s="280" t="n"/>
      <c r="O220" s="280" t="n"/>
      <c r="P220" s="280" t="n"/>
      <c r="Q220" s="280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6" t="n">
        <v>45404</v>
      </c>
      <c r="C221" s="279" t="n">
        <v>105</v>
      </c>
      <c r="D221" s="281" t="inlineStr">
        <is>
          <t>Taxi Bintaro-Wisma Mas</t>
        </is>
      </c>
      <c r="E221" s="281" t="inlineStr">
        <is>
          <t>-</t>
        </is>
      </c>
      <c r="F221" s="287" t="n">
        <v>78500</v>
      </c>
      <c r="G221" s="283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1" t="inlineStr">
        <is>
          <t>Expense#12</t>
        </is>
      </c>
      <c r="C222" s="302" t="inlineStr">
        <is>
          <t>:</t>
        </is>
      </c>
      <c r="D222" s="303" t="inlineStr">
        <is>
          <t>BOSIET Training -_TMA</t>
        </is>
      </c>
      <c r="E222" s="304" t="n"/>
      <c r="F222" s="328" t="n"/>
      <c r="G222" s="323" t="n"/>
      <c r="H222" s="302" t="n"/>
      <c r="I222" s="306" t="n"/>
      <c r="J222" s="307" t="n"/>
      <c r="K222" s="308" t="n"/>
      <c r="L222" s="308" t="n"/>
      <c r="M222" s="308" t="n"/>
      <c r="N222" s="308" t="n"/>
      <c r="O222" s="308" t="n"/>
      <c r="P222" s="308" t="n"/>
      <c r="Q222" s="308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09" t="n"/>
      <c r="C223" s="279" t="n"/>
      <c r="D223" s="310" t="inlineStr">
        <is>
          <t>Transportation</t>
        </is>
      </c>
      <c r="E223" s="313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6" t="n">
        <v>45429</v>
      </c>
      <c r="C224" s="279" t="n">
        <v>106</v>
      </c>
      <c r="D224" s="281" t="inlineStr">
        <is>
          <t>BOSIET Training</t>
        </is>
      </c>
      <c r="E224" s="281" t="inlineStr">
        <is>
          <t>-</t>
        </is>
      </c>
      <c r="F224" s="287" t="n">
        <v>9693878</v>
      </c>
      <c r="G224" s="283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1" t="inlineStr">
        <is>
          <t>Expense#13</t>
        </is>
      </c>
      <c r="C225" s="302" t="inlineStr">
        <is>
          <t>:</t>
        </is>
      </c>
      <c r="D225" s="303" t="inlineStr">
        <is>
          <t>Non Trip MCU Dwiyanto</t>
        </is>
      </c>
      <c r="E225" s="323" t="n"/>
      <c r="F225" s="328" t="n"/>
      <c r="G225" s="323" t="n"/>
      <c r="H225" s="302" t="n"/>
      <c r="I225" s="307" t="n"/>
      <c r="J225" s="307" t="n"/>
      <c r="K225" s="308" t="n"/>
      <c r="L225" s="308" t="n"/>
      <c r="M225" s="308" t="n"/>
      <c r="N225" s="306" t="n"/>
      <c r="O225" s="308" t="n"/>
      <c r="P225" s="308" t="n"/>
      <c r="Q225" s="308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09" t="n"/>
      <c r="C226" s="279" t="n"/>
      <c r="D226" s="310" t="inlineStr">
        <is>
          <t>Hand Tools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6" t="n">
        <v>45433</v>
      </c>
      <c r="C227" s="279" t="n">
        <v>107</v>
      </c>
      <c r="D227" s="281" t="inlineStr">
        <is>
          <t>Safety shoes</t>
        </is>
      </c>
      <c r="E227" s="281" t="inlineStr">
        <is>
          <t>-</t>
        </is>
      </c>
      <c r="F227" s="287" t="n">
        <v>2402000</v>
      </c>
      <c r="G227" s="283" t="inlineStr">
        <is>
          <t>IDR</t>
        </is>
      </c>
      <c r="H227" s="288" t="n">
        <v>1</v>
      </c>
      <c r="I227" s="289" t="n"/>
      <c r="J227" s="289" t="n"/>
      <c r="K227" s="290" t="n"/>
      <c r="L227" s="281" t="n"/>
      <c r="M227" s="281" t="n"/>
      <c r="N227" s="291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09" t="n"/>
      <c r="C228" s="279" t="n"/>
      <c r="D228" s="310" t="inlineStr">
        <is>
          <t>Medical</t>
        </is>
      </c>
      <c r="E228" s="313" t="n"/>
      <c r="F228" s="290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6" t="n">
        <v>45432</v>
      </c>
      <c r="C229" s="279" t="n">
        <v>108</v>
      </c>
      <c r="D229" s="281" t="inlineStr">
        <is>
          <t>MCU Paket Umum Basic 1</t>
        </is>
      </c>
      <c r="E229" s="281" t="inlineStr">
        <is>
          <t>-</t>
        </is>
      </c>
      <c r="F229" s="287" t="n">
        <v>5322000</v>
      </c>
      <c r="G229" s="283" t="inlineStr">
        <is>
          <t>IDR</t>
        </is>
      </c>
      <c r="H229" s="288" t="n">
        <v>1</v>
      </c>
      <c r="I229" s="289" t="n"/>
      <c r="J229" s="289" t="n"/>
      <c r="K229" s="290" t="n"/>
      <c r="L229" s="281" t="n"/>
      <c r="M229" s="281" t="n"/>
      <c r="N229" s="281" t="n"/>
      <c r="O229" s="281" t="n"/>
      <c r="P229" s="291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1" t="inlineStr">
        <is>
          <t>Expense#14</t>
        </is>
      </c>
      <c r="C230" s="302" t="inlineStr">
        <is>
          <t>:</t>
        </is>
      </c>
      <c r="D230" s="303" t="inlineStr">
        <is>
          <t>Non project _ MCU - Ilham BR</t>
        </is>
      </c>
      <c r="E230" s="304" t="n"/>
      <c r="F230" s="328" t="n"/>
      <c r="G230" s="323" t="n"/>
      <c r="H230" s="302" t="n"/>
      <c r="I230" s="306" t="n"/>
      <c r="J230" s="308" t="n"/>
      <c r="K230" s="308" t="n"/>
      <c r="L230" s="308" t="n"/>
      <c r="M230" s="308" t="n"/>
      <c r="N230" s="308" t="n"/>
      <c r="O230" s="308" t="n"/>
      <c r="P230" s="308" t="n"/>
      <c r="Q230" s="308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09" t="n"/>
      <c r="C231" s="279" t="n"/>
      <c r="D231" s="310" t="inlineStr">
        <is>
          <t>Medical</t>
        </is>
      </c>
      <c r="E231" s="311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6" t="n">
        <v>45432</v>
      </c>
      <c r="C232" s="279" t="n">
        <v>109</v>
      </c>
      <c r="D232" s="281" t="inlineStr">
        <is>
          <t>Biaya MCU</t>
        </is>
      </c>
      <c r="E232" s="281" t="inlineStr">
        <is>
          <t>-</t>
        </is>
      </c>
      <c r="F232" s="287" t="n">
        <v>5407000</v>
      </c>
      <c r="G232" s="283" t="inlineStr">
        <is>
          <t>IDR</t>
        </is>
      </c>
      <c r="H232" s="288" t="n">
        <v>1</v>
      </c>
      <c r="I232" s="289" t="n"/>
      <c r="J232" s="289" t="n"/>
      <c r="K232" s="290" t="n"/>
      <c r="L232" s="281" t="n"/>
      <c r="M232" s="281" t="n"/>
      <c r="N232" s="281" t="n"/>
      <c r="O232" s="281" t="n"/>
      <c r="P232" s="291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1" t="inlineStr">
        <is>
          <t>Expense#15</t>
        </is>
      </c>
      <c r="C233" s="302" t="inlineStr">
        <is>
          <t>:</t>
        </is>
      </c>
      <c r="D233" s="303" t="inlineStr">
        <is>
          <t>ALFA Job - Jrk-193 _ OJT_ Ilham BR</t>
        </is>
      </c>
      <c r="E233" s="304" t="n"/>
      <c r="F233" s="328" t="n"/>
      <c r="G233" s="323" t="n"/>
      <c r="H233" s="329" t="n"/>
      <c r="I233" s="306" t="n"/>
      <c r="J233" s="307" t="n"/>
      <c r="K233" s="308" t="n"/>
      <c r="L233" s="308" t="n"/>
      <c r="M233" s="308" t="n"/>
      <c r="N233" s="308" t="n"/>
      <c r="O233" s="308" t="n"/>
      <c r="P233" s="308" t="n"/>
      <c r="Q233" s="308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0" t="n"/>
      <c r="C234" s="325" t="n"/>
      <c r="D234" s="326" t="inlineStr">
        <is>
          <t>Allowance</t>
        </is>
      </c>
      <c r="E234" s="327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6" t="n">
        <v>45437</v>
      </c>
      <c r="C235" s="279" t="n">
        <v>110</v>
      </c>
      <c r="D235" s="281" t="inlineStr">
        <is>
          <t>Tunjangan Lapangan JRK-193 (25 - 30 May 2024)</t>
        </is>
      </c>
      <c r="E235" s="281" t="inlineStr">
        <is>
          <t>-</t>
        </is>
      </c>
      <c r="F235" s="287" t="n">
        <v>2430000</v>
      </c>
      <c r="G235" s="283" t="inlineStr">
        <is>
          <t>$</t>
        </is>
      </c>
      <c r="H235" s="288" t="n">
        <v>16200</v>
      </c>
      <c r="I235" s="289" t="n"/>
      <c r="J235" s="289" t="n"/>
      <c r="K235" s="290" t="n"/>
      <c r="L235" s="291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09" t="n"/>
      <c r="C236" s="279" t="n"/>
      <c r="D236" s="310" t="inlineStr">
        <is>
          <t>Meal</t>
        </is>
      </c>
      <c r="E236" s="313" t="n"/>
      <c r="F236" s="282" t="n"/>
      <c r="G236" s="281" t="n"/>
      <c r="H236" s="281" t="n"/>
      <c r="I236" s="284" t="n"/>
      <c r="J236" s="285" t="n"/>
      <c r="K236" s="280" t="n"/>
      <c r="L236" s="280" t="n"/>
      <c r="M236" s="280" t="n"/>
      <c r="N236" s="280" t="n"/>
      <c r="O236" s="280" t="n"/>
      <c r="P236" s="280" t="n"/>
      <c r="Q236" s="280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6" t="n">
        <v>45437</v>
      </c>
      <c r="C237" s="279" t="n">
        <v>111</v>
      </c>
      <c r="D237" s="281" t="inlineStr">
        <is>
          <t>Uang makan (25 - 30 May 2024)</t>
        </is>
      </c>
      <c r="E237" s="281" t="inlineStr">
        <is>
          <t>-</t>
        </is>
      </c>
      <c r="F237" s="287" t="n">
        <v>900000</v>
      </c>
      <c r="G237" s="283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09" t="n"/>
      <c r="C238" s="279" t="n"/>
      <c r="D238" s="310" t="inlineStr">
        <is>
          <t>Transportation</t>
        </is>
      </c>
      <c r="E238" s="311" t="n"/>
      <c r="F238" s="282" t="n"/>
      <c r="G238" s="281" t="n"/>
      <c r="H238" s="281" t="n"/>
      <c r="I238" s="285" t="n"/>
      <c r="J238" s="285" t="n"/>
      <c r="K238" s="280" t="n"/>
      <c r="L238" s="280" t="n"/>
      <c r="M238" s="280" t="n"/>
      <c r="N238" s="280" t="n"/>
      <c r="O238" s="280" t="n"/>
      <c r="P238" s="280" t="n"/>
      <c r="Q238" s="280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6" t="n">
        <v>45436</v>
      </c>
      <c r="C239" s="279" t="n">
        <v>112</v>
      </c>
      <c r="D239" s="281" t="inlineStr">
        <is>
          <t>Taxi + Tol To Airport CGK</t>
        </is>
      </c>
      <c r="E239" s="281" t="inlineStr">
        <is>
          <t>-</t>
        </is>
      </c>
      <c r="F239" s="287" t="n">
        <v>250000</v>
      </c>
      <c r="G239" s="283" t="inlineStr">
        <is>
          <t>IDR</t>
        </is>
      </c>
      <c r="H239" s="288" t="n">
        <v>1</v>
      </c>
      <c r="I239" s="289" t="n"/>
      <c r="J239" s="289" t="n"/>
      <c r="K239" s="290" t="n"/>
      <c r="L239" s="291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1" t="inlineStr">
        <is>
          <t>Expense#16</t>
        </is>
      </c>
      <c r="C240" s="302" t="inlineStr">
        <is>
          <t>:</t>
        </is>
      </c>
      <c r="D240" s="303" t="inlineStr">
        <is>
          <t>ALFA job - JRK-193 OJT - Dwiyanto S</t>
        </is>
      </c>
      <c r="E240" s="317" t="n"/>
      <c r="F240" s="328" t="n"/>
      <c r="G240" s="323" t="n"/>
      <c r="H240" s="323" t="n"/>
      <c r="I240" s="306" t="n"/>
      <c r="J240" s="307" t="n"/>
      <c r="K240" s="308" t="n"/>
      <c r="L240" s="308" t="n"/>
      <c r="M240" s="308" t="n"/>
      <c r="N240" s="308" t="n"/>
      <c r="O240" s="308" t="n"/>
      <c r="P240" s="308" t="n"/>
      <c r="Q240" s="308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09" t="n"/>
      <c r="C241" s="279" t="n"/>
      <c r="D241" s="310" t="inlineStr">
        <is>
          <t>Allowance</t>
        </is>
      </c>
      <c r="E241" s="313" t="n"/>
      <c r="F241" s="290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6" t="n">
        <v>45437</v>
      </c>
      <c r="C242" s="279" t="n">
        <v>113</v>
      </c>
      <c r="D242" s="281" t="inlineStr">
        <is>
          <t>Tunjangan Lapangan JRK-193 (25 - 30 May 2024). 1US$=16.200</t>
        </is>
      </c>
      <c r="E242" s="281" t="inlineStr">
        <is>
          <t>-</t>
        </is>
      </c>
      <c r="F242" s="287" t="n">
        <v>150</v>
      </c>
      <c r="G242" s="283" t="inlineStr">
        <is>
          <t>IDR</t>
        </is>
      </c>
      <c r="H242" s="288" t="n">
        <v>16200</v>
      </c>
      <c r="I242" s="289" t="n"/>
      <c r="J242" s="289" t="n"/>
      <c r="K242" s="290" t="n"/>
      <c r="L242" s="291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09" t="n"/>
      <c r="C243" s="279" t="n"/>
      <c r="D243" s="310" t="inlineStr">
        <is>
          <t>Hand Tools</t>
        </is>
      </c>
      <c r="E243" s="313" t="n"/>
      <c r="F243" s="282" t="n"/>
      <c r="G243" s="281" t="n"/>
      <c r="H243" s="281" t="n"/>
      <c r="I243" s="284" t="n"/>
      <c r="J243" s="285" t="n"/>
      <c r="K243" s="280" t="n"/>
      <c r="L243" s="280" t="n"/>
      <c r="M243" s="280" t="n"/>
      <c r="N243" s="280" t="n"/>
      <c r="O243" s="280" t="n"/>
      <c r="P243" s="280" t="n"/>
      <c r="Q243" s="280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6" t="n">
        <v>45439</v>
      </c>
      <c r="C244" s="279" t="n">
        <v>114</v>
      </c>
      <c r="D244" s="281" t="inlineStr">
        <is>
          <t>Hand gloves</t>
        </is>
      </c>
      <c r="E244" s="281" t="inlineStr">
        <is>
          <t>-</t>
        </is>
      </c>
      <c r="F244" s="287" t="n">
        <v>21900</v>
      </c>
      <c r="G244" s="283" t="inlineStr">
        <is>
          <t>IDR</t>
        </is>
      </c>
      <c r="H244" s="288" t="n">
        <v>1</v>
      </c>
      <c r="I244" s="289" t="n"/>
      <c r="J244" s="289" t="n"/>
      <c r="K244" s="290" t="n"/>
      <c r="L244" s="281" t="n"/>
      <c r="M244" s="281" t="n"/>
      <c r="N244" s="291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09" t="n"/>
      <c r="C245" s="279" t="n"/>
      <c r="D245" s="310" t="inlineStr">
        <is>
          <t>Laundry</t>
        </is>
      </c>
      <c r="E245" s="313" t="n"/>
      <c r="F245" s="282" t="n"/>
      <c r="G245" s="281" t="n"/>
      <c r="H245" s="281" t="n"/>
      <c r="I245" s="284" t="n"/>
      <c r="J245" s="285" t="n"/>
      <c r="K245" s="280" t="n"/>
      <c r="L245" s="280" t="n"/>
      <c r="M245" s="280" t="n"/>
      <c r="N245" s="280" t="n"/>
      <c r="O245" s="280" t="n"/>
      <c r="P245" s="280" t="n"/>
      <c r="Q245" s="280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6" t="n">
        <v>45437</v>
      </c>
      <c r="C246" s="279" t="n">
        <v>115</v>
      </c>
      <c r="D246" s="281" t="inlineStr">
        <is>
          <t>Laundry (25 - 30 May 2024)</t>
        </is>
      </c>
      <c r="E246" s="281" t="inlineStr">
        <is>
          <t>-</t>
        </is>
      </c>
      <c r="F246" s="287" t="n">
        <v>300000</v>
      </c>
      <c r="G246" s="283" t="inlineStr">
        <is>
          <t>IDR</t>
        </is>
      </c>
      <c r="H246" s="288" t="n">
        <v>1</v>
      </c>
      <c r="I246" s="289" t="n"/>
      <c r="J246" s="289" t="n"/>
      <c r="K246" s="290" t="n"/>
      <c r="L246" s="291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09" t="n"/>
      <c r="C247" s="279" t="n"/>
      <c r="D247" s="310" t="inlineStr">
        <is>
          <t>Logistic</t>
        </is>
      </c>
      <c r="E247" s="313" t="n"/>
      <c r="F247" s="282" t="n"/>
      <c r="G247" s="281" t="n"/>
      <c r="H247" s="291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6" t="n">
        <v>45437</v>
      </c>
      <c r="C248" s="279" t="n">
        <v>116</v>
      </c>
      <c r="D248" s="281" t="inlineStr">
        <is>
          <t>Wrapping Alfa Box</t>
        </is>
      </c>
      <c r="E248" s="281" t="inlineStr">
        <is>
          <t>-</t>
        </is>
      </c>
      <c r="F248" s="287" t="n">
        <v>80000</v>
      </c>
      <c r="G248" s="283" t="inlineStr">
        <is>
          <t>IDR</t>
        </is>
      </c>
      <c r="H248" s="288" t="n">
        <v>1</v>
      </c>
      <c r="I248" s="289" t="n"/>
      <c r="J248" s="289" t="n"/>
      <c r="K248" s="290" t="n"/>
      <c r="L248" s="281" t="n"/>
      <c r="M248" s="281" t="n"/>
      <c r="N248" s="291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09" t="n"/>
      <c r="C249" s="279" t="n"/>
      <c r="D249" s="310" t="inlineStr">
        <is>
          <t>Meal</t>
        </is>
      </c>
      <c r="E249" s="313" t="n"/>
      <c r="F249" s="282" t="n"/>
      <c r="G249" s="279" t="n"/>
      <c r="H249" s="279" t="n"/>
      <c r="I249" s="284" t="n"/>
      <c r="J249" s="285" t="n"/>
      <c r="K249" s="280" t="n"/>
      <c r="L249" s="280" t="n"/>
      <c r="M249" s="280" t="n"/>
      <c r="N249" s="280" t="n"/>
      <c r="O249" s="280" t="n"/>
      <c r="P249" s="280" t="n"/>
      <c r="Q249" s="280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6" t="n">
        <v>45437</v>
      </c>
      <c r="C250" s="279" t="n">
        <v>117</v>
      </c>
      <c r="D250" s="281" t="inlineStr">
        <is>
          <t>Uang Makan (25 - 30 May 2024)</t>
        </is>
      </c>
      <c r="E250" s="281" t="inlineStr">
        <is>
          <t>-</t>
        </is>
      </c>
      <c r="F250" s="287" t="n">
        <v>900000</v>
      </c>
      <c r="G250" s="283" t="inlineStr">
        <is>
          <t>IDR</t>
        </is>
      </c>
      <c r="H250" s="288" t="n">
        <v>1</v>
      </c>
      <c r="I250" s="289" t="n"/>
      <c r="J250" s="289" t="n"/>
      <c r="K250" s="290" t="n"/>
      <c r="L250" s="291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78" t="n"/>
      <c r="C251" s="279" t="n"/>
      <c r="D251" s="310" t="inlineStr">
        <is>
          <t>Sparepart</t>
        </is>
      </c>
      <c r="E251" s="281" t="n"/>
      <c r="F251" s="282" t="n"/>
      <c r="G251" s="279" t="n"/>
      <c r="H251" s="279" t="n"/>
      <c r="I251" s="285" t="n"/>
      <c r="J251" s="285" t="n"/>
      <c r="K251" s="280" t="n"/>
      <c r="L251" s="280" t="n"/>
      <c r="M251" s="280" t="n"/>
      <c r="N251" s="280" t="n"/>
      <c r="O251" s="280" t="n"/>
      <c r="P251" s="285" t="n"/>
      <c r="Q251" s="280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6" t="n">
        <v>45443</v>
      </c>
      <c r="C252" s="279" t="n">
        <v>118</v>
      </c>
      <c r="D252" s="281" t="inlineStr">
        <is>
          <t>Allen key, pliers, screwdrivers</t>
        </is>
      </c>
      <c r="E252" s="281" t="inlineStr">
        <is>
          <t>-</t>
        </is>
      </c>
      <c r="F252" s="287" t="n">
        <v>268000</v>
      </c>
      <c r="G252" s="283" t="inlineStr">
        <is>
          <t>IDR</t>
        </is>
      </c>
      <c r="H252" s="288" t="n">
        <v>1</v>
      </c>
      <c r="I252" s="289" t="n"/>
      <c r="J252" s="289" t="n"/>
      <c r="K252" s="290" t="n"/>
      <c r="L252" s="281" t="n"/>
      <c r="M252" s="281" t="n"/>
      <c r="N252" s="291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0" t="n"/>
      <c r="C253" s="325" t="n"/>
      <c r="D253" s="326" t="inlineStr">
        <is>
          <t>Transportation</t>
        </is>
      </c>
      <c r="E253" s="330" t="n"/>
      <c r="F253" s="281" t="n"/>
      <c r="G253" s="279" t="n"/>
      <c r="H253" s="279" t="n"/>
      <c r="I253" s="280" t="n"/>
      <c r="J253" s="280" t="n"/>
      <c r="K253" s="280" t="n"/>
      <c r="L253" s="280" t="n"/>
      <c r="M253" s="280" t="n"/>
      <c r="N253" s="280" t="n"/>
      <c r="O253" s="280" t="n"/>
      <c r="P253" s="280" t="n"/>
      <c r="Q253" s="280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6" t="n">
        <v>45437</v>
      </c>
      <c r="C254" s="279" t="n">
        <v>119</v>
      </c>
      <c r="D254" s="281" t="inlineStr">
        <is>
          <t>fuel + tol PLM-Prabu</t>
        </is>
      </c>
      <c r="E254" s="281" t="inlineStr">
        <is>
          <t>-</t>
        </is>
      </c>
      <c r="F254" s="287" t="n">
        <v>312000</v>
      </c>
      <c r="G254" s="283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9" t="inlineStr">
        <is>
          <t>Expense#17</t>
        </is>
      </c>
      <c r="C255" s="320" t="inlineStr">
        <is>
          <t>:</t>
        </is>
      </c>
      <c r="D255" s="321" t="inlineStr">
        <is>
          <t>ALFA JRK-193 - project SI_ TMA</t>
        </is>
      </c>
      <c r="E255" s="322" t="n"/>
      <c r="F255" s="323" t="n"/>
      <c r="G255" s="302" t="n"/>
      <c r="H255" s="302" t="n"/>
      <c r="I255" s="306" t="n"/>
      <c r="J255" s="307" t="n"/>
      <c r="K255" s="308" t="n"/>
      <c r="L255" s="308" t="n"/>
      <c r="M255" s="308" t="n"/>
      <c r="N255" s="308" t="n"/>
      <c r="O255" s="308" t="n"/>
      <c r="P255" s="308" t="n"/>
      <c r="Q255" s="308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09" t="n"/>
      <c r="C256" s="279" t="n"/>
      <c r="D256" s="310" t="inlineStr">
        <is>
          <t>Accommodation</t>
        </is>
      </c>
      <c r="E256" s="313" t="n"/>
      <c r="F256" s="282" t="n"/>
      <c r="G256" s="279" t="n"/>
      <c r="H256" s="279" t="n"/>
      <c r="I256" s="284" t="n"/>
      <c r="J256" s="285" t="n"/>
      <c r="K256" s="280" t="n"/>
      <c r="L256" s="280" t="n"/>
      <c r="M256" s="280" t="n"/>
      <c r="N256" s="280" t="n"/>
      <c r="O256" s="280" t="n"/>
      <c r="P256" s="280" t="n"/>
      <c r="Q256" s="280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6" t="n">
        <v>45437</v>
      </c>
      <c r="C257" s="279" t="n">
        <v>120</v>
      </c>
      <c r="D257" s="281" t="inlineStr">
        <is>
          <t>Hotel 24 May - 30 May (6 days)</t>
        </is>
      </c>
      <c r="E257" s="281" t="inlineStr">
        <is>
          <t>-</t>
        </is>
      </c>
      <c r="F257" s="287" t="n">
        <v>1650000</v>
      </c>
      <c r="G257" s="283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09" t="n"/>
      <c r="C258" s="279" t="n"/>
      <c r="D258" s="310" t="inlineStr">
        <is>
          <t>Allowance</t>
        </is>
      </c>
      <c r="E258" s="313" t="n"/>
      <c r="F258" s="282" t="n"/>
      <c r="G258" s="279" t="n"/>
      <c r="H258" s="279" t="n"/>
      <c r="I258" s="284" t="n"/>
      <c r="J258" s="285" t="n"/>
      <c r="K258" s="280" t="n"/>
      <c r="L258" s="280" t="n"/>
      <c r="M258" s="280" t="n"/>
      <c r="N258" s="280" t="n"/>
      <c r="O258" s="280" t="n"/>
      <c r="P258" s="280" t="n"/>
      <c r="Q258" s="280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6" t="n">
        <v>45437</v>
      </c>
      <c r="C259" s="279" t="n">
        <v>121</v>
      </c>
      <c r="D259" s="281" t="inlineStr">
        <is>
          <t>Tunjangan Lapangan for 6 days</t>
        </is>
      </c>
      <c r="E259" s="281" t="inlineStr">
        <is>
          <t>-</t>
        </is>
      </c>
      <c r="F259" s="287" t="n">
        <v>9717600</v>
      </c>
      <c r="G259" s="283" t="inlineStr">
        <is>
          <t>USD</t>
        </is>
      </c>
      <c r="H259" s="288" t="n">
        <v>16196</v>
      </c>
      <c r="I259" s="289" t="n"/>
      <c r="J259" s="289" t="n"/>
      <c r="K259" s="290" t="n"/>
      <c r="L259" s="291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09" t="n"/>
      <c r="C260" s="279" t="n"/>
      <c r="D260" s="310" t="inlineStr">
        <is>
          <t>Biaya Operasi Lain-lain</t>
        </is>
      </c>
      <c r="E260" s="313" t="n"/>
      <c r="F260" s="282" t="n"/>
      <c r="G260" s="279" t="n"/>
      <c r="H260" s="279" t="n"/>
      <c r="I260" s="284" t="n"/>
      <c r="J260" s="285" t="n"/>
      <c r="K260" s="280" t="n"/>
      <c r="L260" s="280" t="n"/>
      <c r="M260" s="284" t="n"/>
      <c r="N260" s="280" t="n"/>
      <c r="O260" s="280" t="n"/>
      <c r="P260" s="280" t="n"/>
      <c r="Q260" s="280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6" t="n">
        <v>45437</v>
      </c>
      <c r="C261" s="279" t="n">
        <v>122</v>
      </c>
      <c r="D261" s="281" t="inlineStr">
        <is>
          <t>Rent Car 6 Days</t>
        </is>
      </c>
      <c r="E261" s="281" t="inlineStr">
        <is>
          <t>-</t>
        </is>
      </c>
      <c r="F261" s="287" t="n">
        <v>2900000</v>
      </c>
      <c r="G261" s="283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09" t="n"/>
      <c r="C262" s="279" t="n"/>
      <c r="D262" s="310" t="inlineStr">
        <is>
          <t>Laundry</t>
        </is>
      </c>
      <c r="E262" s="331" t="n"/>
      <c r="F262" s="282" t="n"/>
      <c r="G262" s="279" t="n"/>
      <c r="H262" s="279" t="n"/>
      <c r="I262" s="284" t="n"/>
      <c r="J262" s="285" t="n"/>
      <c r="K262" s="280" t="n"/>
      <c r="L262" s="280" t="n"/>
      <c r="M262" s="284" t="n"/>
      <c r="N262" s="280" t="n"/>
      <c r="O262" s="280" t="n"/>
      <c r="P262" s="280" t="n"/>
      <c r="Q262" s="280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6" t="n">
        <v>45437</v>
      </c>
      <c r="C263" s="279" t="n">
        <v>123</v>
      </c>
      <c r="D263" s="281" t="inlineStr">
        <is>
          <t>Laundry 6 days 1 Persons @ 50K IDR/day</t>
        </is>
      </c>
      <c r="E263" s="281" t="inlineStr">
        <is>
          <t>-</t>
        </is>
      </c>
      <c r="F263" s="287" t="n">
        <v>300000</v>
      </c>
      <c r="G263" s="283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0" t="n"/>
      <c r="C264" s="325" t="n"/>
      <c r="D264" s="326" t="inlineStr">
        <is>
          <t>Meal</t>
        </is>
      </c>
      <c r="E264" s="327" t="n"/>
      <c r="F264" s="281" t="n"/>
      <c r="G264" s="279" t="n"/>
      <c r="H264" s="279" t="n"/>
      <c r="I264" s="280" t="n"/>
      <c r="J264" s="285" t="n"/>
      <c r="K264" s="280" t="n"/>
      <c r="L264" s="280" t="n"/>
      <c r="M264" s="284" t="n"/>
      <c r="N264" s="280" t="n"/>
      <c r="O264" s="280" t="n"/>
      <c r="P264" s="280" t="n"/>
      <c r="Q264" s="280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6" t="n">
        <v>45437</v>
      </c>
      <c r="C265" s="279" t="n">
        <v>124</v>
      </c>
      <c r="D265" s="281" t="inlineStr">
        <is>
          <t>Meals 7 days 1 Persons @ 150K IDR/day</t>
        </is>
      </c>
      <c r="E265" s="281" t="inlineStr">
        <is>
          <t>-</t>
        </is>
      </c>
      <c r="F265" s="287" t="n">
        <v>900000</v>
      </c>
      <c r="G265" s="283" t="inlineStr">
        <is>
          <t>IDR</t>
        </is>
      </c>
      <c r="H265" s="288" t="n">
        <v>1</v>
      </c>
      <c r="I265" s="289" t="n"/>
      <c r="J265" s="289" t="n"/>
      <c r="K265" s="290" t="n"/>
      <c r="L265" s="291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32" t="n"/>
      <c r="C266" s="279" t="n"/>
      <c r="D266" s="310" t="inlineStr">
        <is>
          <t>Transportation</t>
        </is>
      </c>
      <c r="E266" s="313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6" t="n">
        <v>45442</v>
      </c>
      <c r="C267" s="279" t="n">
        <v>125</v>
      </c>
      <c r="D267" s="281" t="inlineStr">
        <is>
          <t>Airplane Ticket PLM-CGK (2 Person)</t>
        </is>
      </c>
      <c r="E267" s="281" t="inlineStr">
        <is>
          <t>-</t>
        </is>
      </c>
      <c r="F267" s="287" t="n">
        <v>1326410</v>
      </c>
      <c r="G267" s="283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1" t="inlineStr">
        <is>
          <t>Expense#18</t>
        </is>
      </c>
      <c r="C268" s="302" t="inlineStr">
        <is>
          <t>:</t>
        </is>
      </c>
      <c r="D268" s="303" t="inlineStr">
        <is>
          <t>Non Trip - BOSIET Training - DS</t>
        </is>
      </c>
      <c r="E268" s="304" t="n"/>
      <c r="F268" s="328" t="n"/>
      <c r="G268" s="302" t="n"/>
      <c r="H268" s="302" t="n"/>
      <c r="I268" s="306" t="n"/>
      <c r="J268" s="307" t="n"/>
      <c r="K268" s="308" t="n"/>
      <c r="L268" s="308" t="n"/>
      <c r="M268" s="308" t="n"/>
      <c r="N268" s="306" t="n"/>
      <c r="O268" s="308" t="n"/>
      <c r="P268" s="308" t="n"/>
      <c r="Q268" s="308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09" t="n"/>
      <c r="C269" s="279" t="n"/>
      <c r="D269" s="310" t="inlineStr">
        <is>
          <t>Biaya Operasi Lain-lain</t>
        </is>
      </c>
      <c r="E269" s="311" t="n"/>
      <c r="F269" s="282" t="n"/>
      <c r="G269" s="279" t="n"/>
      <c r="H269" s="279" t="n"/>
      <c r="I269" s="284" t="n"/>
      <c r="J269" s="285" t="n"/>
      <c r="K269" s="280" t="n"/>
      <c r="L269" s="280" t="n"/>
      <c r="M269" s="280" t="n"/>
      <c r="N269" s="284" t="n"/>
      <c r="O269" s="280" t="n"/>
      <c r="P269" s="280" t="n"/>
      <c r="Q269" s="280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6" t="n">
        <v>45448</v>
      </c>
      <c r="C270" s="279" t="n">
        <v>126</v>
      </c>
      <c r="D270" s="281" t="inlineStr">
        <is>
          <t>Personal Car from Home to PT. LTJ (converted) DAY-1</t>
        </is>
      </c>
      <c r="E270" s="281" t="inlineStr">
        <is>
          <t>-</t>
        </is>
      </c>
      <c r="F270" s="287" t="n">
        <v>233000</v>
      </c>
      <c r="G270" s="283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09" t="n"/>
      <c r="C271" s="279" t="n"/>
      <c r="D271" s="310" t="inlineStr">
        <is>
          <t>Training</t>
        </is>
      </c>
      <c r="E271" s="311" t="n"/>
      <c r="F271" s="282" t="n"/>
      <c r="G271" s="279" t="n"/>
      <c r="H271" s="279" t="n"/>
      <c r="I271" s="284" t="n"/>
      <c r="J271" s="285" t="n"/>
      <c r="K271" s="280" t="n"/>
      <c r="L271" s="280" t="n"/>
      <c r="M271" s="280" t="n"/>
      <c r="N271" s="284" t="n"/>
      <c r="O271" s="280" t="n"/>
      <c r="P271" s="280" t="n"/>
      <c r="Q271" s="280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6" t="n">
        <v>45450</v>
      </c>
      <c r="C272" s="279" t="n">
        <v>127</v>
      </c>
      <c r="D272" s="281" t="inlineStr">
        <is>
          <t>BOSIET 5 - 7 June 2024</t>
        </is>
      </c>
      <c r="E272" s="281" t="inlineStr">
        <is>
          <t>-</t>
        </is>
      </c>
      <c r="F272" s="287" t="n">
        <v>9693878</v>
      </c>
      <c r="G272" s="283" t="inlineStr">
        <is>
          <t>IDR</t>
        </is>
      </c>
      <c r="H272" s="288" t="n">
        <v>1</v>
      </c>
      <c r="I272" s="289" t="n"/>
      <c r="J272" s="289" t="n"/>
      <c r="K272" s="290" t="n"/>
      <c r="L272" s="291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09" t="n"/>
      <c r="C273" s="279" t="n"/>
      <c r="D273" s="310" t="inlineStr">
        <is>
          <t>Transportation</t>
        </is>
      </c>
      <c r="E273" s="313" t="n"/>
      <c r="F273" s="282" t="n"/>
      <c r="G273" s="279" t="n"/>
      <c r="H273" s="279" t="n"/>
      <c r="I273" s="285" t="n"/>
      <c r="J273" s="285" t="n"/>
      <c r="K273" s="280" t="n"/>
      <c r="L273" s="280" t="n"/>
      <c r="M273" s="280" t="n"/>
      <c r="N273" s="284" t="n"/>
      <c r="O273" s="280" t="n"/>
      <c r="P273" s="280" t="n"/>
      <c r="Q273" s="280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6" t="n">
        <v>45450</v>
      </c>
      <c r="C274" s="279" t="n">
        <v>128</v>
      </c>
      <c r="D274" s="281" t="inlineStr">
        <is>
          <t>Transport DAY - 3 BOSIET</t>
        </is>
      </c>
      <c r="E274" s="281" t="inlineStr">
        <is>
          <t>-</t>
        </is>
      </c>
      <c r="F274" s="287" t="n">
        <v>59000</v>
      </c>
      <c r="G274" s="283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1" t="inlineStr">
        <is>
          <t>Expense#19</t>
        </is>
      </c>
      <c r="C275" s="302" t="inlineStr">
        <is>
          <t>:</t>
        </is>
      </c>
      <c r="D275" s="303" t="inlineStr">
        <is>
          <t>ALFA JRK-163 (Pending job) - TMA</t>
        </is>
      </c>
      <c r="E275" s="304" t="n"/>
      <c r="F275" s="328" t="n"/>
      <c r="G275" s="302" t="n"/>
      <c r="H275" s="302" t="n"/>
      <c r="I275" s="307" t="n"/>
      <c r="J275" s="307" t="n"/>
      <c r="K275" s="308" t="n"/>
      <c r="L275" s="308" t="n"/>
      <c r="M275" s="306" t="n"/>
      <c r="N275" s="308" t="n"/>
      <c r="O275" s="308" t="n"/>
      <c r="P275" s="308" t="n"/>
      <c r="Q275" s="308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09" t="n"/>
      <c r="C276" s="279" t="n"/>
      <c r="D276" s="310" t="inlineStr">
        <is>
          <t>Accommodation</t>
        </is>
      </c>
      <c r="E276" s="311" t="n"/>
      <c r="F276" s="282" t="n"/>
      <c r="G276" s="279" t="n"/>
      <c r="H276" s="279" t="n"/>
      <c r="I276" s="285" t="n"/>
      <c r="J276" s="285" t="n"/>
      <c r="K276" s="280" t="n"/>
      <c r="L276" s="280" t="n"/>
      <c r="M276" s="284" t="n"/>
      <c r="N276" s="280" t="n"/>
      <c r="O276" s="280" t="n"/>
      <c r="P276" s="280" t="n"/>
      <c r="Q276" s="280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6" t="n">
        <v>45428</v>
      </c>
      <c r="C277" s="279" t="n">
        <v>129</v>
      </c>
      <c r="D277" s="281" t="inlineStr">
        <is>
          <t>Hotel 16 June - 19 June (3 days)</t>
        </is>
      </c>
      <c r="E277" s="281" t="inlineStr">
        <is>
          <t>-</t>
        </is>
      </c>
      <c r="F277" s="287" t="n">
        <v>720000</v>
      </c>
      <c r="G277" s="283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09" t="n"/>
      <c r="C278" s="279" t="n"/>
      <c r="D278" s="310" t="inlineStr">
        <is>
          <t>Allowance</t>
        </is>
      </c>
      <c r="E278" s="311" t="n"/>
      <c r="F278" s="282" t="n"/>
      <c r="G278" s="279" t="n"/>
      <c r="H278" s="279" t="n"/>
      <c r="I278" s="285" t="n"/>
      <c r="J278" s="285" t="n"/>
      <c r="K278" s="280" t="n"/>
      <c r="L278" s="280" t="n"/>
      <c r="M278" s="284" t="n"/>
      <c r="N278" s="280" t="n"/>
      <c r="O278" s="280" t="n"/>
      <c r="P278" s="280" t="n"/>
      <c r="Q278" s="280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6" t="n">
        <v>45428</v>
      </c>
      <c r="C279" s="279" t="n">
        <v>130</v>
      </c>
      <c r="D279" s="281" t="inlineStr">
        <is>
          <t>Tunjangan Lapangan for 4 days</t>
        </is>
      </c>
      <c r="E279" s="281" t="inlineStr">
        <is>
          <t>-</t>
        </is>
      </c>
      <c r="F279" s="287" t="n">
        <v>6551200</v>
      </c>
      <c r="G279" s="283" t="inlineStr">
        <is>
          <t>USD</t>
        </is>
      </c>
      <c r="H279" s="288" t="n">
        <v>16378</v>
      </c>
      <c r="I279" s="289" t="n"/>
      <c r="J279" s="289" t="n"/>
      <c r="K279" s="290" t="n"/>
      <c r="L279" s="291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0" t="n"/>
      <c r="C280" s="325" t="n"/>
      <c r="D280" s="326" t="inlineStr">
        <is>
          <t>Biaya Operasi Lain-lain</t>
        </is>
      </c>
      <c r="E280" s="330" t="n"/>
      <c r="F280" s="281" t="n"/>
      <c r="G280" s="279" t="n"/>
      <c r="H280" s="279" t="n"/>
      <c r="I280" s="285" t="n"/>
      <c r="J280" s="285" t="n"/>
      <c r="K280" s="280" t="n"/>
      <c r="L280" s="280" t="n"/>
      <c r="M280" s="280" t="n"/>
      <c r="N280" s="280" t="n"/>
      <c r="O280" s="280" t="n"/>
      <c r="P280" s="280" t="n"/>
      <c r="Q280" s="280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6" t="n">
        <v>45428</v>
      </c>
      <c r="C281" s="279" t="n">
        <v>131</v>
      </c>
      <c r="D281" s="281" t="inlineStr">
        <is>
          <t>Rent Car 4 Days</t>
        </is>
      </c>
      <c r="E281" s="281" t="inlineStr">
        <is>
          <t>-</t>
        </is>
      </c>
      <c r="F281" s="287" t="n">
        <v>2000000</v>
      </c>
      <c r="G281" s="283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09" t="n"/>
      <c r="C282" s="279" t="n"/>
      <c r="D282" s="310" t="inlineStr">
        <is>
          <t>Elektronik &amp; Gadget</t>
        </is>
      </c>
      <c r="E282" s="313" t="n"/>
      <c r="F282" s="312" t="n"/>
      <c r="G282" s="279" t="n"/>
      <c r="H282" s="279" t="n"/>
      <c r="I282" s="285" t="n"/>
      <c r="J282" s="285" t="n"/>
      <c r="K282" s="280" t="n"/>
      <c r="L282" s="280" t="n"/>
      <c r="M282" s="280" t="n"/>
      <c r="N282" s="280" t="n"/>
      <c r="O282" s="280" t="n"/>
      <c r="P282" s="280" t="n"/>
      <c r="Q282" s="280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6" t="n">
        <v>45428</v>
      </c>
      <c r="C283" s="279" t="n">
        <v>132</v>
      </c>
      <c r="D283" s="281" t="inlineStr">
        <is>
          <t>Uneed Power Station</t>
        </is>
      </c>
      <c r="E283" s="281" t="inlineStr">
        <is>
          <t>-</t>
        </is>
      </c>
      <c r="F283" s="287" t="n">
        <v>2371000</v>
      </c>
      <c r="G283" s="283" t="inlineStr">
        <is>
          <t>IDR</t>
        </is>
      </c>
      <c r="H283" s="288" t="n">
        <v>1</v>
      </c>
      <c r="I283" s="289" t="n"/>
      <c r="J283" s="289" t="n"/>
      <c r="K283" s="290" t="n"/>
      <c r="L283" s="281" t="n"/>
      <c r="M283" s="281" t="n"/>
      <c r="N283" s="291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09" t="n"/>
      <c r="C284" s="279" t="n"/>
      <c r="D284" s="310" t="inlineStr">
        <is>
          <t>Laundry</t>
        </is>
      </c>
      <c r="E284" s="311" t="n"/>
      <c r="F284" s="312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6" t="n">
        <v>45428</v>
      </c>
      <c r="C285" s="279" t="n">
        <v>133</v>
      </c>
      <c r="D285" s="281" t="inlineStr">
        <is>
          <t>Laundry 4 days 1 Persons @ 50K IDR/day</t>
        </is>
      </c>
      <c r="E285" s="281" t="inlineStr">
        <is>
          <t>-</t>
        </is>
      </c>
      <c r="F285" s="287" t="n">
        <v>200000</v>
      </c>
      <c r="G285" s="283" t="inlineStr">
        <is>
          <t>IDR</t>
        </is>
      </c>
      <c r="H285" s="288" t="n">
        <v>1</v>
      </c>
      <c r="I285" s="289" t="n"/>
      <c r="J285" s="289" t="n"/>
      <c r="K285" s="290" t="n"/>
      <c r="L285" s="291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09" t="n"/>
      <c r="C286" s="279" t="n"/>
      <c r="D286" s="310" t="inlineStr">
        <is>
          <t>Meal</t>
        </is>
      </c>
      <c r="E286" s="313" t="n"/>
      <c r="F286" s="312" t="n"/>
      <c r="G286" s="279" t="n"/>
      <c r="H286" s="279" t="n"/>
      <c r="I286" s="284" t="n"/>
      <c r="J286" s="285" t="n"/>
      <c r="K286" s="280" t="n"/>
      <c r="L286" s="280" t="n"/>
      <c r="M286" s="280" t="n"/>
      <c r="N286" s="280" t="n"/>
      <c r="O286" s="280" t="n"/>
      <c r="P286" s="280" t="n"/>
      <c r="Q286" s="280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6" t="n">
        <v>45428</v>
      </c>
      <c r="C287" s="279" t="n">
        <v>134</v>
      </c>
      <c r="D287" s="281" t="inlineStr">
        <is>
          <t>Meals 4 days 1 Persons @ 150K IDR/day</t>
        </is>
      </c>
      <c r="E287" s="281" t="inlineStr">
        <is>
          <t>-</t>
        </is>
      </c>
      <c r="F287" s="287" t="n">
        <v>600000</v>
      </c>
      <c r="G287" s="283" t="inlineStr">
        <is>
          <t>IDR</t>
        </is>
      </c>
      <c r="H287" s="288" t="n">
        <v>1</v>
      </c>
      <c r="I287" s="289" t="n"/>
      <c r="J287" s="289" t="n"/>
      <c r="K287" s="290" t="n"/>
      <c r="L287" s="291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09" t="n"/>
      <c r="C288" s="279" t="n"/>
      <c r="D288" s="310" t="inlineStr">
        <is>
          <t>Transportation</t>
        </is>
      </c>
      <c r="E288" s="313" t="n"/>
      <c r="F288" s="312" t="n"/>
      <c r="G288" s="279" t="n"/>
      <c r="H288" s="279" t="n"/>
      <c r="I288" s="284" t="n"/>
      <c r="J288" s="285" t="n"/>
      <c r="K288" s="280" t="n"/>
      <c r="L288" s="280" t="n"/>
      <c r="M288" s="280" t="n"/>
      <c r="N288" s="280" t="n"/>
      <c r="O288" s="280" t="n"/>
      <c r="P288" s="280" t="n"/>
      <c r="Q288" s="280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6" t="n">
        <v>45428</v>
      </c>
      <c r="C289" s="279" t="n">
        <v>135</v>
      </c>
      <c r="D289" s="281" t="inlineStr">
        <is>
          <t>Airplane Ticket PLM-HLP</t>
        </is>
      </c>
      <c r="E289" s="281" t="inlineStr">
        <is>
          <t>-</t>
        </is>
      </c>
      <c r="F289" s="287" t="n">
        <v>1004000</v>
      </c>
      <c r="G289" s="283" t="inlineStr">
        <is>
          <t>IDR</t>
        </is>
      </c>
      <c r="H289" s="288" t="n">
        <v>1</v>
      </c>
      <c r="I289" s="289" t="n"/>
      <c r="J289" s="289" t="n"/>
      <c r="K289" s="290" t="n"/>
      <c r="L289" s="291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1" t="inlineStr">
        <is>
          <t>Expense#20</t>
        </is>
      </c>
      <c r="C290" s="302" t="inlineStr">
        <is>
          <t>:</t>
        </is>
      </c>
      <c r="D290" s="303" t="inlineStr">
        <is>
          <t>Preparation TIS Petroleum - TMA</t>
        </is>
      </c>
      <c r="E290" s="323" t="n"/>
      <c r="F290" s="305" t="n"/>
      <c r="G290" s="302" t="n"/>
      <c r="H290" s="302" t="n"/>
      <c r="I290" s="306" t="n"/>
      <c r="J290" s="307" t="n"/>
      <c r="K290" s="308" t="n"/>
      <c r="L290" s="308" t="n"/>
      <c r="M290" s="308" t="n"/>
      <c r="N290" s="308" t="n"/>
      <c r="O290" s="308" t="n"/>
      <c r="P290" s="308" t="n"/>
      <c r="Q290" s="308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09" t="n"/>
      <c r="C291" s="279" t="n"/>
      <c r="D291" s="310" t="inlineStr">
        <is>
          <t>Sparepart</t>
        </is>
      </c>
      <c r="E291" s="313" t="n"/>
      <c r="F291" s="312" t="n"/>
      <c r="G291" s="279" t="n"/>
      <c r="H291" s="279" t="n"/>
      <c r="I291" s="284" t="n"/>
      <c r="J291" s="285" t="n"/>
      <c r="K291" s="280" t="n"/>
      <c r="L291" s="280" t="n"/>
      <c r="M291" s="280" t="n"/>
      <c r="N291" s="280" t="n"/>
      <c r="O291" s="280" t="n"/>
      <c r="P291" s="280" t="n"/>
      <c r="Q291" s="280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6" t="n">
        <v>45483</v>
      </c>
      <c r="C292" s="279" t="n">
        <v>136</v>
      </c>
      <c r="D292" s="281" t="inlineStr">
        <is>
          <t>Hardcase Custom</t>
        </is>
      </c>
      <c r="E292" s="281" t="inlineStr">
        <is>
          <t>-</t>
        </is>
      </c>
      <c r="F292" s="287" t="n">
        <v>3595000</v>
      </c>
      <c r="G292" s="283" t="inlineStr">
        <is>
          <t>IDR</t>
        </is>
      </c>
      <c r="H292" s="288" t="n">
        <v>1</v>
      </c>
      <c r="I292" s="289" t="n"/>
      <c r="J292" s="289" t="n"/>
      <c r="K292" s="290" t="n"/>
      <c r="L292" s="281" t="n"/>
      <c r="M292" s="281" t="n"/>
      <c r="N292" s="291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09" t="n"/>
      <c r="C293" s="279" t="n"/>
      <c r="D293" s="310" t="inlineStr">
        <is>
          <t>Transportation</t>
        </is>
      </c>
      <c r="E293" s="313" t="n"/>
      <c r="F293" s="290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6" t="n">
        <v>45478</v>
      </c>
      <c r="C294" s="279" t="n">
        <v>137</v>
      </c>
      <c r="D294" s="281" t="inlineStr">
        <is>
          <t>Lalamove Gowell-Bogor-Gowell</t>
        </is>
      </c>
      <c r="E294" s="281" t="inlineStr">
        <is>
          <t>-</t>
        </is>
      </c>
      <c r="F294" s="287" t="n">
        <v>594804</v>
      </c>
      <c r="G294" s="283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1" t="inlineStr">
        <is>
          <t>Expense#21</t>
        </is>
      </c>
      <c r="C295" s="302" t="inlineStr">
        <is>
          <t>:</t>
        </is>
      </c>
      <c r="D295" s="303" t="inlineStr">
        <is>
          <t>Delivery Tools Sonoecho (KL) - TMA</t>
        </is>
      </c>
      <c r="E295" s="304" t="n"/>
      <c r="F295" s="305" t="n"/>
      <c r="G295" s="302" t="n"/>
      <c r="H295" s="302" t="n"/>
      <c r="I295" s="307" t="n"/>
      <c r="J295" s="307" t="n"/>
      <c r="K295" s="308" t="n"/>
      <c r="L295" s="308" t="n"/>
      <c r="M295" s="306" t="n"/>
      <c r="N295" s="308" t="n"/>
      <c r="O295" s="308" t="n"/>
      <c r="P295" s="308" t="n"/>
      <c r="Q295" s="308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09" t="n"/>
      <c r="C296" s="333" t="n"/>
      <c r="D296" s="310" t="inlineStr">
        <is>
          <t>Accommodation</t>
        </is>
      </c>
      <c r="E296" s="311" t="n"/>
      <c r="F296" s="312" t="n"/>
      <c r="G296" s="279" t="n"/>
      <c r="H296" s="279" t="n"/>
      <c r="I296" s="285" t="n"/>
      <c r="J296" s="285" t="n"/>
      <c r="K296" s="280" t="n"/>
      <c r="L296" s="280" t="n"/>
      <c r="M296" s="284" t="n"/>
      <c r="N296" s="280" t="n"/>
      <c r="O296" s="280" t="n"/>
      <c r="P296" s="280" t="n"/>
      <c r="Q296" s="280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6" t="n">
        <v>45481</v>
      </c>
      <c r="C297" s="279" t="n">
        <v>138</v>
      </c>
      <c r="D297" s="281" t="inlineStr">
        <is>
          <t>Hotel Tax Foreigner</t>
        </is>
      </c>
      <c r="E297" s="281" t="inlineStr">
        <is>
          <t>-</t>
        </is>
      </c>
      <c r="F297" s="287" t="n">
        <v>34620</v>
      </c>
      <c r="G297" s="283" t="inlineStr">
        <is>
          <t>MYR</t>
        </is>
      </c>
      <c r="H297" s="288" t="n">
        <v>3462</v>
      </c>
      <c r="I297" s="289" t="n"/>
      <c r="J297" s="289" t="n"/>
      <c r="K297" s="290" t="n"/>
      <c r="L297" s="291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0" t="n"/>
      <c r="C298" s="325" t="n"/>
      <c r="D298" s="326" t="inlineStr">
        <is>
          <t>Elektronik &amp; Gadget</t>
        </is>
      </c>
      <c r="E298" s="327" t="n"/>
      <c r="F298" s="281" t="n"/>
      <c r="G298" s="279" t="n"/>
      <c r="H298" s="279" t="n"/>
      <c r="I298" s="280" t="n"/>
      <c r="J298" s="285" t="n"/>
      <c r="K298" s="280" t="n"/>
      <c r="L298" s="280" t="n"/>
      <c r="M298" s="284" t="n"/>
      <c r="N298" s="280" t="n"/>
      <c r="O298" s="280" t="n"/>
      <c r="P298" s="280" t="n"/>
      <c r="Q298" s="280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6" t="n">
        <v>45483</v>
      </c>
      <c r="C299" s="279" t="n">
        <v>139</v>
      </c>
      <c r="D299" s="281" t="inlineStr">
        <is>
          <t>OTG Type C</t>
        </is>
      </c>
      <c r="E299" s="281" t="inlineStr">
        <is>
          <t>-</t>
        </is>
      </c>
      <c r="F299" s="287" t="n">
        <v>163100</v>
      </c>
      <c r="G299" s="283" t="inlineStr">
        <is>
          <t>IDR</t>
        </is>
      </c>
      <c r="H299" s="288" t="n">
        <v>1</v>
      </c>
      <c r="I299" s="289" t="n"/>
      <c r="J299" s="289" t="n"/>
      <c r="K299" s="290" t="n"/>
      <c r="L299" s="281" t="n"/>
      <c r="M299" s="281" t="n"/>
      <c r="N299" s="291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78" t="n"/>
      <c r="C300" s="279" t="n"/>
      <c r="D300" s="310" t="inlineStr">
        <is>
          <t>Transportation</t>
        </is>
      </c>
      <c r="E300" s="281" t="n"/>
      <c r="F300" s="282" t="n"/>
      <c r="G300" s="279" t="n"/>
      <c r="H300" s="279" t="n"/>
      <c r="I300" s="284" t="n"/>
      <c r="J300" s="285" t="n"/>
      <c r="K300" s="280" t="n"/>
      <c r="L300" s="280" t="n"/>
      <c r="M300" s="284" t="n"/>
      <c r="N300" s="280" t="n"/>
      <c r="O300" s="280" t="n"/>
      <c r="P300" s="280" t="n"/>
      <c r="Q300" s="280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6" t="n">
        <v>45482</v>
      </c>
      <c r="C301" s="279" t="n">
        <v>140</v>
      </c>
      <c r="D301" s="281" t="inlineStr">
        <is>
          <t>Taxi CGK - Home</t>
        </is>
      </c>
      <c r="E301" s="281" t="inlineStr">
        <is>
          <t>-</t>
        </is>
      </c>
      <c r="F301" s="287" t="n">
        <v>259120</v>
      </c>
      <c r="G301" s="283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34" t="inlineStr">
        <is>
          <t>Expense#22</t>
        </is>
      </c>
      <c r="C302" s="302" t="inlineStr">
        <is>
          <t>:</t>
        </is>
      </c>
      <c r="D302" s="303" t="inlineStr">
        <is>
          <t>Non project ( MCU ulang )_ IBR</t>
        </is>
      </c>
      <c r="E302" s="335" t="n"/>
      <c r="F302" s="328" t="n"/>
      <c r="G302" s="302" t="n"/>
      <c r="H302" s="302" t="n"/>
      <c r="I302" s="306" t="n"/>
      <c r="J302" s="307" t="n"/>
      <c r="K302" s="308" t="n"/>
      <c r="L302" s="308" t="n"/>
      <c r="M302" s="306" t="n"/>
      <c r="N302" s="308" t="n"/>
      <c r="O302" s="308" t="n"/>
      <c r="P302" s="308" t="n"/>
      <c r="Q302" s="308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32" t="n"/>
      <c r="C303" s="279" t="n"/>
      <c r="D303" s="310" t="inlineStr">
        <is>
          <t>Medical</t>
        </is>
      </c>
      <c r="E303" s="336" t="n"/>
      <c r="F303" s="282" t="n"/>
      <c r="G303" s="279" t="n"/>
      <c r="H303" s="279" t="n"/>
      <c r="I303" s="284" t="n"/>
      <c r="J303" s="285" t="n"/>
      <c r="K303" s="280" t="n"/>
      <c r="L303" s="280" t="n"/>
      <c r="M303" s="280" t="n"/>
      <c r="N303" s="280" t="n"/>
      <c r="O303" s="280" t="n"/>
      <c r="P303" s="280" t="n"/>
      <c r="Q303" s="280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6" t="n">
        <v>45453</v>
      </c>
      <c r="C304" s="279" t="n">
        <v>141</v>
      </c>
      <c r="D304" s="281" t="inlineStr">
        <is>
          <t>Farmasi</t>
        </is>
      </c>
      <c r="E304" s="281" t="inlineStr">
        <is>
          <t>-</t>
        </is>
      </c>
      <c r="F304" s="287" t="n">
        <v>109000</v>
      </c>
      <c r="G304" s="283" t="inlineStr">
        <is>
          <t>IDR</t>
        </is>
      </c>
      <c r="H304" s="288" t="n">
        <v>1</v>
      </c>
      <c r="I304" s="289" t="n"/>
      <c r="J304" s="289" t="n"/>
      <c r="K304" s="290" t="n"/>
      <c r="L304" s="281" t="n"/>
      <c r="M304" s="281" t="n"/>
      <c r="N304" s="281" t="n"/>
      <c r="O304" s="281" t="n"/>
      <c r="P304" s="291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9" t="inlineStr">
        <is>
          <t>Expense#23</t>
        </is>
      </c>
      <c r="C305" s="320" t="inlineStr">
        <is>
          <t>:</t>
        </is>
      </c>
      <c r="D305" s="321" t="inlineStr">
        <is>
          <t>ALFA job - JRK-163 (Job)_undr Sijak_ DS</t>
        </is>
      </c>
      <c r="E305" s="322" t="n"/>
      <c r="F305" s="323" t="n"/>
      <c r="G305" s="302" t="n"/>
      <c r="H305" s="302" t="n"/>
      <c r="I305" s="308" t="n"/>
      <c r="J305" s="307" t="n"/>
      <c r="K305" s="308" t="n"/>
      <c r="L305" s="308" t="n"/>
      <c r="M305" s="308" t="n"/>
      <c r="N305" s="306" t="n"/>
      <c r="O305" s="308" t="n"/>
      <c r="P305" s="308" t="n"/>
      <c r="Q305" s="308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09" t="n"/>
      <c r="C306" s="279" t="n"/>
      <c r="D306" s="310" t="inlineStr">
        <is>
          <t>Accommodation</t>
        </is>
      </c>
      <c r="E306" s="311" t="n"/>
      <c r="F306" s="282" t="n"/>
      <c r="G306" s="279" t="n"/>
      <c r="H306" s="279" t="n"/>
      <c r="I306" s="337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6" t="n">
        <v>45500</v>
      </c>
      <c r="C307" s="279" t="n">
        <v>142</v>
      </c>
      <c r="D307" s="281" t="inlineStr">
        <is>
          <t>Lodge 21-27 Jul 2024 (3 rooms)</t>
        </is>
      </c>
      <c r="E307" s="281" t="inlineStr">
        <is>
          <t>-</t>
        </is>
      </c>
      <c r="F307" s="287" t="n">
        <v>2160000</v>
      </c>
      <c r="G307" s="283" t="inlineStr">
        <is>
          <t>IDR</t>
        </is>
      </c>
      <c r="H307" s="288" t="n">
        <v>1</v>
      </c>
      <c r="I307" s="289" t="n"/>
      <c r="J307" s="289" t="n"/>
      <c r="K307" s="290" t="n"/>
      <c r="L307" s="291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09" t="n"/>
      <c r="C308" s="279" t="n"/>
      <c r="D308" s="310" t="inlineStr">
        <is>
          <t>Allowance</t>
        </is>
      </c>
      <c r="E308" s="313" t="n"/>
      <c r="F308" s="282" t="n"/>
      <c r="G308" s="279" t="n"/>
      <c r="H308" s="279" t="n"/>
      <c r="I308" s="284" t="n"/>
      <c r="J308" s="285" t="n"/>
      <c r="K308" s="280" t="n"/>
      <c r="L308" s="280" t="n"/>
      <c r="M308" s="280" t="n"/>
      <c r="N308" s="280" t="n"/>
      <c r="O308" s="280" t="n"/>
      <c r="P308" s="280" t="n"/>
      <c r="Q308" s="280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6" t="n">
        <v>45500</v>
      </c>
      <c r="C309" s="279" t="n">
        <v>143</v>
      </c>
      <c r="D309" s="281" t="inlineStr">
        <is>
          <t>Tunajngan Lapangan JRK-163 (21-27 Juli 2024). 1US$=16.200</t>
        </is>
      </c>
      <c r="E309" s="281" t="inlineStr">
        <is>
          <t>-</t>
        </is>
      </c>
      <c r="F309" s="287" t="n">
        <v>700</v>
      </c>
      <c r="G309" s="283" t="inlineStr">
        <is>
          <t>IDR</t>
        </is>
      </c>
      <c r="H309" s="288" t="n">
        <v>16200</v>
      </c>
      <c r="I309" s="289" t="n"/>
      <c r="J309" s="289" t="n"/>
      <c r="K309" s="290" t="n"/>
      <c r="L309" s="291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09" t="n"/>
      <c r="C310" s="279" t="n"/>
      <c r="D310" s="310" t="inlineStr">
        <is>
          <t>Biaya Operasi Lain-lain</t>
        </is>
      </c>
      <c r="E310" s="313" t="n"/>
      <c r="F310" s="282" t="n"/>
      <c r="G310" s="279" t="n"/>
      <c r="H310" s="279" t="n"/>
      <c r="I310" s="284" t="n"/>
      <c r="J310" s="285" t="n"/>
      <c r="K310" s="280" t="n"/>
      <c r="L310" s="280" t="n"/>
      <c r="M310" s="280" t="n"/>
      <c r="N310" s="280" t="n"/>
      <c r="O310" s="280" t="n"/>
      <c r="P310" s="280" t="n"/>
      <c r="Q310" s="280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6" t="n">
        <v>45494</v>
      </c>
      <c r="C311" s="279" t="n">
        <v>144</v>
      </c>
      <c r="D311" s="281" t="inlineStr">
        <is>
          <t>Jakarta - Palembang</t>
        </is>
      </c>
      <c r="E311" s="281" t="inlineStr">
        <is>
          <t>-</t>
        </is>
      </c>
      <c r="F311" s="287" t="n">
        <v>400000</v>
      </c>
      <c r="G311" s="283" t="inlineStr">
        <is>
          <t>IDR</t>
        </is>
      </c>
      <c r="H311" s="288" t="n">
        <v>1</v>
      </c>
      <c r="I311" s="289" t="n"/>
      <c r="J311" s="289" t="n"/>
      <c r="K311" s="290" t="n"/>
      <c r="L311" s="291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09" t="n"/>
      <c r="C312" s="279" t="n"/>
      <c r="D312" s="310" t="inlineStr">
        <is>
          <t>Hand Tools</t>
        </is>
      </c>
      <c r="E312" s="313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6" t="n">
        <v>45495</v>
      </c>
      <c r="C313" s="279" t="n">
        <v>145</v>
      </c>
      <c r="D313" s="281" t="inlineStr">
        <is>
          <t>Rags - Gloves</t>
        </is>
      </c>
      <c r="E313" s="281" t="inlineStr">
        <is>
          <t>-</t>
        </is>
      </c>
      <c r="F313" s="287" t="n">
        <v>70000</v>
      </c>
      <c r="G313" s="283" t="inlineStr">
        <is>
          <t>IDR</t>
        </is>
      </c>
      <c r="H313" s="288" t="n">
        <v>1</v>
      </c>
      <c r="I313" s="289" t="n"/>
      <c r="J313" s="289" t="n"/>
      <c r="K313" s="290" t="n"/>
      <c r="L313" s="281" t="n"/>
      <c r="M313" s="281" t="n"/>
      <c r="N313" s="291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09" t="n"/>
      <c r="C314" s="279" t="n"/>
      <c r="D314" s="310" t="inlineStr">
        <is>
          <t>Laundry</t>
        </is>
      </c>
      <c r="E314" s="281" t="n"/>
      <c r="F314" s="282" t="n"/>
      <c r="G314" s="279" t="n"/>
      <c r="H314" s="279" t="n"/>
      <c r="I314" s="284" t="n"/>
      <c r="J314" s="285" t="n"/>
      <c r="K314" s="280" t="n"/>
      <c r="L314" s="280" t="n"/>
      <c r="M314" s="284" t="n"/>
      <c r="N314" s="280" t="n"/>
      <c r="O314" s="280" t="n"/>
      <c r="P314" s="280" t="n"/>
      <c r="Q314" s="280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6" t="n">
        <v>45500</v>
      </c>
      <c r="C315" s="279" t="n">
        <v>146</v>
      </c>
      <c r="D315" s="281" t="inlineStr">
        <is>
          <t>Laundry (21 - 27 Juli 2024)</t>
        </is>
      </c>
      <c r="E315" s="281" t="inlineStr">
        <is>
          <t>-</t>
        </is>
      </c>
      <c r="F315" s="287" t="n">
        <v>350000</v>
      </c>
      <c r="G315" s="283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09" t="n"/>
      <c r="C316" s="279" t="n"/>
      <c r="D316" s="310" t="inlineStr">
        <is>
          <t>Meal</t>
        </is>
      </c>
      <c r="E316" s="313" t="n"/>
      <c r="F316" s="282" t="n"/>
      <c r="G316" s="279" t="n"/>
      <c r="H316" s="279" t="n"/>
      <c r="I316" s="284" t="n"/>
      <c r="J316" s="285" t="n"/>
      <c r="K316" s="280" t="n"/>
      <c r="L316" s="280" t="n"/>
      <c r="M316" s="284" t="n"/>
      <c r="N316" s="280" t="n"/>
      <c r="O316" s="280" t="n"/>
      <c r="P316" s="280" t="n"/>
      <c r="Q316" s="280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6" t="n">
        <v>45500</v>
      </c>
      <c r="C317" s="279" t="n">
        <v>147</v>
      </c>
      <c r="D317" s="281" t="inlineStr">
        <is>
          <t>Uang Makan (21 - 27 Juli 2024)</t>
        </is>
      </c>
      <c r="E317" s="281" t="inlineStr">
        <is>
          <t>-</t>
        </is>
      </c>
      <c r="F317" s="287" t="n">
        <v>1050000</v>
      </c>
      <c r="G317" s="283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09" t="n"/>
      <c r="C318" s="279" t="n"/>
      <c r="D318" s="310" t="inlineStr">
        <is>
          <t>Sparepart</t>
        </is>
      </c>
      <c r="E318" s="313" t="n"/>
      <c r="F318" s="290" t="n"/>
      <c r="G318" s="279" t="n"/>
      <c r="H318" s="279" t="n"/>
      <c r="I318" s="285" t="n"/>
      <c r="J318" s="285" t="n"/>
      <c r="K318" s="280" t="n"/>
      <c r="L318" s="280" t="n"/>
      <c r="M318" s="284" t="n"/>
      <c r="N318" s="285" t="n"/>
      <c r="O318" s="280" t="n"/>
      <c r="P318" s="280" t="n"/>
      <c r="Q318" s="280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6" t="n">
        <v>45498</v>
      </c>
      <c r="C319" s="279" t="n">
        <v>148</v>
      </c>
      <c r="D319" s="281" t="inlineStr">
        <is>
          <t>Battery for DTR (Spare)</t>
        </is>
      </c>
      <c r="E319" s="281" t="inlineStr">
        <is>
          <t>-</t>
        </is>
      </c>
      <c r="F319" s="287" t="n">
        <v>38900</v>
      </c>
      <c r="G319" s="283" t="inlineStr">
        <is>
          <t>IDR</t>
        </is>
      </c>
      <c r="H319" s="288" t="n">
        <v>1</v>
      </c>
      <c r="I319" s="289" t="n"/>
      <c r="J319" s="289" t="n"/>
      <c r="K319" s="290" t="n"/>
      <c r="L319" s="281" t="n"/>
      <c r="M319" s="281" t="n"/>
      <c r="N319" s="291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09" t="n"/>
      <c r="C320" s="279" t="n"/>
      <c r="D320" s="310" t="inlineStr">
        <is>
          <t>Transportation</t>
        </is>
      </c>
      <c r="E320" s="313" t="n"/>
      <c r="F320" s="282" t="n"/>
      <c r="G320" s="279" t="n"/>
      <c r="H320" s="279" t="n"/>
      <c r="I320" s="285" t="n"/>
      <c r="J320" s="285" t="n"/>
      <c r="K320" s="280" t="n"/>
      <c r="L320" s="280" t="n"/>
      <c r="M320" s="284" t="n"/>
      <c r="N320" s="280" t="n"/>
      <c r="O320" s="280" t="n"/>
      <c r="P320" s="280" t="n"/>
      <c r="Q320" s="280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6" t="n">
        <v>45500</v>
      </c>
      <c r="C321" s="279" t="n">
        <v>149</v>
      </c>
      <c r="D321" s="281" t="inlineStr">
        <is>
          <t>Car rental 21 - 27 Jul 2024</t>
        </is>
      </c>
      <c r="E321" s="281" t="inlineStr">
        <is>
          <t>-</t>
        </is>
      </c>
      <c r="F321" s="287" t="n">
        <v>3500000</v>
      </c>
      <c r="G321" s="283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1" t="inlineStr">
        <is>
          <t>Expense#24</t>
        </is>
      </c>
      <c r="C322" s="338" t="inlineStr">
        <is>
          <t>:</t>
        </is>
      </c>
      <c r="D322" s="303" t="inlineStr">
        <is>
          <t>ALFA JOB - JRK 163 (training 2nd_ IBR)</t>
        </is>
      </c>
      <c r="E322" s="304" t="n"/>
      <c r="F322" s="328" t="n"/>
      <c r="G322" s="302" t="n"/>
      <c r="H322" s="329" t="n"/>
      <c r="I322" s="307" t="n"/>
      <c r="J322" s="307" t="n"/>
      <c r="K322" s="308" t="n"/>
      <c r="L322" s="308" t="n"/>
      <c r="M322" s="306" t="n"/>
      <c r="N322" s="308" t="n"/>
      <c r="O322" s="308" t="n"/>
      <c r="P322" s="308" t="n"/>
      <c r="Q322" s="308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0" t="n"/>
      <c r="C323" s="325" t="n"/>
      <c r="D323" s="326" t="inlineStr">
        <is>
          <t>Allowance</t>
        </is>
      </c>
      <c r="E323" s="327" t="n"/>
      <c r="F323" s="281" t="n"/>
      <c r="G323" s="279" t="n"/>
      <c r="H323" s="279" t="n"/>
      <c r="I323" s="280" t="n"/>
      <c r="J323" s="285" t="n"/>
      <c r="K323" s="280" t="n"/>
      <c r="L323" s="280" t="n"/>
      <c r="M323" s="285" t="n"/>
      <c r="N323" s="280" t="n"/>
      <c r="O323" s="280" t="n"/>
      <c r="P323" s="280" t="n"/>
      <c r="Q323" s="280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6" t="n">
        <v>45501</v>
      </c>
      <c r="C324" s="279" t="n">
        <v>150</v>
      </c>
      <c r="D324" s="281" t="inlineStr">
        <is>
          <t>Tunjangan Lapangan JRK-163 (21 - 27 Juli 2024)</t>
        </is>
      </c>
      <c r="E324" s="281" t="inlineStr">
        <is>
          <t>-</t>
        </is>
      </c>
      <c r="F324" s="287" t="n">
        <v>2852500</v>
      </c>
      <c r="G324" s="283" t="inlineStr">
        <is>
          <t>$</t>
        </is>
      </c>
      <c r="H324" s="288" t="n">
        <v>16300</v>
      </c>
      <c r="I324" s="289" t="n"/>
      <c r="J324" s="289" t="n"/>
      <c r="K324" s="290" t="n"/>
      <c r="L324" s="291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09" t="n"/>
      <c r="C325" s="279" t="n"/>
      <c r="D325" s="310" t="inlineStr">
        <is>
          <t>Laundry</t>
        </is>
      </c>
      <c r="E325" s="313" t="n"/>
      <c r="F325" s="282" t="n"/>
      <c r="G325" s="279" t="n"/>
      <c r="H325" s="279" t="n"/>
      <c r="I325" s="284" t="n"/>
      <c r="J325" s="285" t="n"/>
      <c r="K325" s="280" t="n"/>
      <c r="L325" s="280" t="n"/>
      <c r="M325" s="284" t="n"/>
      <c r="N325" s="280" t="n"/>
      <c r="O325" s="280" t="n"/>
      <c r="P325" s="280" t="n"/>
      <c r="Q325" s="280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6" t="n">
        <v>45501</v>
      </c>
      <c r="C326" s="279" t="n">
        <v>151</v>
      </c>
      <c r="D326" s="281" t="inlineStr">
        <is>
          <t>Laundry (21 - 27 Juli 2024)</t>
        </is>
      </c>
      <c r="E326" s="281" t="inlineStr">
        <is>
          <t>-</t>
        </is>
      </c>
      <c r="F326" s="287" t="n">
        <v>350000</v>
      </c>
      <c r="G326" s="283" t="inlineStr">
        <is>
          <t>IDR</t>
        </is>
      </c>
      <c r="H326" s="288" t="n">
        <v>1</v>
      </c>
      <c r="I326" s="289" t="n"/>
      <c r="J326" s="289" t="n"/>
      <c r="K326" s="290" t="n"/>
      <c r="L326" s="291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09" t="n"/>
      <c r="C327" s="279" t="n"/>
      <c r="D327" s="310" t="inlineStr">
        <is>
          <t>Meal</t>
        </is>
      </c>
      <c r="E327" s="313" t="n"/>
      <c r="F327" s="282" t="n"/>
      <c r="G327" s="279" t="n"/>
      <c r="H327" s="279" t="n"/>
      <c r="I327" s="285" t="n"/>
      <c r="J327" s="285" t="n"/>
      <c r="K327" s="280" t="n"/>
      <c r="L327" s="280" t="n"/>
      <c r="M327" s="284" t="n"/>
      <c r="N327" s="284" t="n"/>
      <c r="O327" s="280" t="n"/>
      <c r="P327" s="280" t="n"/>
      <c r="Q327" s="280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6" t="n">
        <v>45501</v>
      </c>
      <c r="C328" s="279" t="n">
        <v>152</v>
      </c>
      <c r="D328" s="281" t="inlineStr">
        <is>
          <t>Uang makan (21 - 27 Juli 2024)</t>
        </is>
      </c>
      <c r="E328" s="281" t="inlineStr">
        <is>
          <t>-</t>
        </is>
      </c>
      <c r="F328" s="287" t="n">
        <v>1050000</v>
      </c>
      <c r="G328" s="283" t="inlineStr">
        <is>
          <t>IDR</t>
        </is>
      </c>
      <c r="H328" s="288" t="n">
        <v>1</v>
      </c>
      <c r="I328" s="289" t="n"/>
      <c r="J328" s="289" t="n"/>
      <c r="K328" s="290" t="n"/>
      <c r="L328" s="291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9" t="inlineStr">
        <is>
          <t>Expense#25</t>
        </is>
      </c>
      <c r="C329" s="320" t="inlineStr">
        <is>
          <t>:</t>
        </is>
      </c>
      <c r="D329" s="321" t="inlineStr">
        <is>
          <t>TIS-Blora Field-PLT ALFA BHS by BARIKIN - IC</t>
        </is>
      </c>
      <c r="E329" s="322" t="n"/>
      <c r="F329" s="323" t="n"/>
      <c r="G329" s="302" t="n"/>
      <c r="H329" s="302" t="n"/>
      <c r="I329" s="308" t="n"/>
      <c r="J329" s="307" t="n"/>
      <c r="K329" s="308" t="n"/>
      <c r="L329" s="308" t="n"/>
      <c r="M329" s="306" t="n"/>
      <c r="N329" s="308" t="n"/>
      <c r="O329" s="308" t="n"/>
      <c r="P329" s="308" t="n"/>
      <c r="Q329" s="308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09" t="n"/>
      <c r="C330" s="279" t="n"/>
      <c r="D330" s="310" t="inlineStr">
        <is>
          <t>Allowance</t>
        </is>
      </c>
      <c r="E330" s="311" t="n"/>
      <c r="F330" s="312" t="n"/>
      <c r="G330" s="279" t="n"/>
      <c r="H330" s="279" t="n"/>
      <c r="I330" s="280" t="n"/>
      <c r="J330" s="280" t="n"/>
      <c r="K330" s="280" t="n"/>
      <c r="L330" s="280" t="n"/>
      <c r="M330" s="280" t="n"/>
      <c r="N330" s="280" t="n"/>
      <c r="O330" s="280" t="n"/>
      <c r="P330" s="280" t="n"/>
      <c r="Q330" s="280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6" t="n">
        <v>45512</v>
      </c>
      <c r="C331" s="279" t="n">
        <v>153</v>
      </c>
      <c r="D331" s="281" t="inlineStr">
        <is>
          <t>Tunjangan Lapangan for 10 days</t>
        </is>
      </c>
      <c r="E331" s="281" t="inlineStr">
        <is>
          <t>-</t>
        </is>
      </c>
      <c r="F331" s="287" t="n">
        <v>16100000</v>
      </c>
      <c r="G331" s="283" t="inlineStr">
        <is>
          <t>USD</t>
        </is>
      </c>
      <c r="H331" s="288" t="n">
        <v>16100</v>
      </c>
      <c r="I331" s="289" t="n"/>
      <c r="J331" s="289" t="n"/>
      <c r="K331" s="290" t="n"/>
      <c r="L331" s="291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09" t="n"/>
      <c r="C332" s="279" t="n"/>
      <c r="D332" s="310" t="inlineStr">
        <is>
          <t>Laundry</t>
        </is>
      </c>
      <c r="E332" s="281" t="n"/>
      <c r="F332" s="312" t="n"/>
      <c r="G332" s="279" t="n"/>
      <c r="H332" s="279" t="n"/>
      <c r="I332" s="284" t="n"/>
      <c r="J332" s="285" t="n"/>
      <c r="K332" s="280" t="n"/>
      <c r="L332" s="280" t="n"/>
      <c r="M332" s="280" t="n"/>
      <c r="N332" s="280" t="n"/>
      <c r="O332" s="280" t="n"/>
      <c r="P332" s="280" t="n"/>
      <c r="Q332" s="280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6" t="n">
        <v>45511</v>
      </c>
      <c r="C333" s="279" t="n">
        <v>154</v>
      </c>
      <c r="D333" s="281" t="inlineStr">
        <is>
          <t>Laundry 10 days 1 Persons @ 50K IDR/day</t>
        </is>
      </c>
      <c r="E333" s="281" t="inlineStr">
        <is>
          <t>-</t>
        </is>
      </c>
      <c r="F333" s="287" t="n">
        <v>500000</v>
      </c>
      <c r="G333" s="283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09" t="n"/>
      <c r="C334" s="279" t="n"/>
      <c r="D334" s="310" t="inlineStr">
        <is>
          <t>Meal</t>
        </is>
      </c>
      <c r="E334" s="313" t="n"/>
      <c r="F334" s="312" t="n"/>
      <c r="G334" s="279" t="n"/>
      <c r="H334" s="279" t="n"/>
      <c r="I334" s="284" t="n"/>
      <c r="J334" s="285" t="n"/>
      <c r="K334" s="280" t="n"/>
      <c r="L334" s="280" t="n"/>
      <c r="M334" s="280" t="n"/>
      <c r="N334" s="280" t="n"/>
      <c r="O334" s="280" t="n"/>
      <c r="P334" s="280" t="n"/>
      <c r="Q334" s="280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6" t="n">
        <v>45511</v>
      </c>
      <c r="C335" s="279" t="n">
        <v>155</v>
      </c>
      <c r="D335" s="281" t="inlineStr">
        <is>
          <t>Meals 10 days 1 Persons @ 150K IDR/day</t>
        </is>
      </c>
      <c r="E335" s="281" t="inlineStr">
        <is>
          <t>-</t>
        </is>
      </c>
      <c r="F335" s="287" t="n">
        <v>1500000</v>
      </c>
      <c r="G335" s="283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09" t="n"/>
      <c r="C336" s="279" t="n"/>
      <c r="D336" s="310" t="inlineStr">
        <is>
          <t>Sparepart</t>
        </is>
      </c>
      <c r="E336" s="281" t="n"/>
      <c r="F336" s="312" t="n"/>
      <c r="G336" s="279" t="n"/>
      <c r="H336" s="279" t="n"/>
      <c r="I336" s="284" t="n"/>
      <c r="J336" s="285" t="n"/>
      <c r="K336" s="280" t="n"/>
      <c r="L336" s="280" t="n"/>
      <c r="M336" s="280" t="n"/>
      <c r="N336" s="280" t="n"/>
      <c r="O336" s="280" t="n"/>
      <c r="P336" s="280" t="n"/>
      <c r="Q336" s="280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6" t="n">
        <v>45516</v>
      </c>
      <c r="C337" s="279" t="n">
        <v>156</v>
      </c>
      <c r="D337" s="281" t="inlineStr">
        <is>
          <t>Pelican Long Case 1770</t>
        </is>
      </c>
      <c r="E337" s="281" t="inlineStr">
        <is>
          <t>-</t>
        </is>
      </c>
      <c r="F337" s="287" t="n">
        <v>15166600</v>
      </c>
      <c r="G337" s="283" t="inlineStr">
        <is>
          <t>IDR</t>
        </is>
      </c>
      <c r="H337" s="288" t="n">
        <v>1</v>
      </c>
      <c r="I337" s="289" t="n"/>
      <c r="J337" s="289" t="n"/>
      <c r="K337" s="290" t="n"/>
      <c r="L337" s="281" t="n"/>
      <c r="M337" s="281" t="n"/>
      <c r="N337" s="291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1" t="inlineStr">
        <is>
          <t>Expense#26</t>
        </is>
      </c>
      <c r="C338" s="302" t="inlineStr">
        <is>
          <t>:</t>
        </is>
      </c>
      <c r="D338" s="303" t="inlineStr">
        <is>
          <t>ALFA-MPLT-BHS_ RBG 3B PT. TIS under Barikin sakti _DS</t>
        </is>
      </c>
      <c r="E338" s="304" t="n"/>
      <c r="F338" s="305" t="n"/>
      <c r="G338" s="302" t="n"/>
      <c r="H338" s="302" t="n"/>
      <c r="I338" s="306" t="n"/>
      <c r="J338" s="307" t="n"/>
      <c r="K338" s="308" t="n"/>
      <c r="L338" s="308" t="n"/>
      <c r="M338" s="306" t="n"/>
      <c r="N338" s="308" t="n"/>
      <c r="O338" s="308" t="n"/>
      <c r="P338" s="308" t="n"/>
      <c r="Q338" s="308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09" t="n"/>
      <c r="C339" s="279" t="n"/>
      <c r="D339" s="310" t="inlineStr">
        <is>
          <t>Accommodation</t>
        </is>
      </c>
      <c r="E339" s="281" t="n"/>
      <c r="F339" s="312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6" t="n">
        <v>45509</v>
      </c>
      <c r="C340" s="279" t="n">
        <v>157</v>
      </c>
      <c r="D340" s="281" t="inlineStr">
        <is>
          <t>Hotel 6 Aug - 7 Aug 2024 (2 rooms)</t>
        </is>
      </c>
      <c r="E340" s="281" t="inlineStr">
        <is>
          <t>-</t>
        </is>
      </c>
      <c r="F340" s="287" t="n">
        <v>795600</v>
      </c>
      <c r="G340" s="283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09" t="n"/>
      <c r="C341" s="279" t="n"/>
      <c r="D341" s="310" t="inlineStr">
        <is>
          <t>Allowance</t>
        </is>
      </c>
      <c r="E341" s="281" t="n"/>
      <c r="F341" s="312" t="n"/>
      <c r="G341" s="279" t="n"/>
      <c r="H341" s="279" t="n"/>
      <c r="I341" s="285" t="n"/>
      <c r="J341" s="285" t="n"/>
      <c r="K341" s="285" t="n"/>
      <c r="L341" s="285" t="n"/>
      <c r="M341" s="285" t="n"/>
      <c r="N341" s="285" t="n"/>
      <c r="O341" s="285" t="n"/>
      <c r="P341" s="285" t="n"/>
      <c r="Q341" s="28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6" t="n">
        <v>45511</v>
      </c>
      <c r="C342" s="279" t="n">
        <v>158</v>
      </c>
      <c r="D342" s="281" t="inlineStr">
        <is>
          <t>Tunjangan LapanganRBG-3B PT. TIS (3-7 Aug 2024)</t>
        </is>
      </c>
      <c r="E342" s="281" t="inlineStr">
        <is>
          <t>-</t>
        </is>
      </c>
      <c r="F342" s="287" t="n">
        <v>500</v>
      </c>
      <c r="G342" s="283" t="inlineStr">
        <is>
          <t>IDR</t>
        </is>
      </c>
      <c r="H342" s="288" t="n">
        <v>15900</v>
      </c>
      <c r="I342" s="289" t="n"/>
      <c r="J342" s="289" t="n"/>
      <c r="K342" s="290" t="n"/>
      <c r="L342" s="291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0" t="n"/>
      <c r="C343" s="325" t="n"/>
      <c r="D343" s="326" t="inlineStr">
        <is>
          <t>Biaya Operasi Lain-lain</t>
        </is>
      </c>
      <c r="E343" s="330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6" t="n">
        <v>45507</v>
      </c>
      <c r="C344" s="279" t="n">
        <v>159</v>
      </c>
      <c r="D344" s="281" t="inlineStr">
        <is>
          <t>Jakarta - Semarang</t>
        </is>
      </c>
      <c r="E344" s="281" t="inlineStr">
        <is>
          <t>-</t>
        </is>
      </c>
      <c r="F344" s="287" t="n">
        <v>673500</v>
      </c>
      <c r="G344" s="283" t="inlineStr">
        <is>
          <t>IDR</t>
        </is>
      </c>
      <c r="H344" s="288" t="n">
        <v>1</v>
      </c>
      <c r="I344" s="289" t="n"/>
      <c r="J344" s="289" t="n"/>
      <c r="K344" s="290" t="n"/>
      <c r="L344" s="291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78" t="n"/>
      <c r="C345" s="279" t="n"/>
      <c r="D345" s="310" t="inlineStr">
        <is>
          <t>Laundry</t>
        </is>
      </c>
      <c r="E345" s="281" t="n"/>
      <c r="F345" s="282" t="n"/>
      <c r="G345" s="279" t="n"/>
      <c r="H345" s="279" t="n"/>
      <c r="I345" s="280" t="n"/>
      <c r="J345" s="280" t="n"/>
      <c r="K345" s="280" t="n"/>
      <c r="L345" s="280" t="n"/>
      <c r="M345" s="285" t="n"/>
      <c r="N345" s="280" t="n"/>
      <c r="O345" s="280" t="n"/>
      <c r="P345" s="285" t="n"/>
      <c r="Q345" s="280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6" t="n">
        <v>45511</v>
      </c>
      <c r="C346" s="279" t="n">
        <v>160</v>
      </c>
      <c r="D346" s="281" t="inlineStr">
        <is>
          <t>Laundry (3 - 7 Aug 2024)</t>
        </is>
      </c>
      <c r="E346" s="281" t="inlineStr">
        <is>
          <t>-</t>
        </is>
      </c>
      <c r="F346" s="287" t="n">
        <v>250000</v>
      </c>
      <c r="G346" s="283" t="inlineStr">
        <is>
          <t>IDR</t>
        </is>
      </c>
      <c r="H346" s="288" t="n">
        <v>1</v>
      </c>
      <c r="I346" s="289" t="n"/>
      <c r="J346" s="289" t="n"/>
      <c r="K346" s="290" t="n"/>
      <c r="L346" s="291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78" t="n"/>
      <c r="C347" s="279" t="n"/>
      <c r="D347" s="310" t="inlineStr">
        <is>
          <t>Meal</t>
        </is>
      </c>
      <c r="E347" s="281" t="n"/>
      <c r="F347" s="282" t="n"/>
      <c r="G347" s="279" t="n"/>
      <c r="H347" s="279" t="n"/>
      <c r="I347" s="280" t="n"/>
      <c r="J347" s="280" t="n"/>
      <c r="K347" s="280" t="n"/>
      <c r="L347" s="280" t="n"/>
      <c r="M347" s="284" t="n"/>
      <c r="N347" s="280" t="n"/>
      <c r="O347" s="280" t="n"/>
      <c r="P347" s="285" t="n"/>
      <c r="Q347" s="280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6" t="n">
        <v>45511</v>
      </c>
      <c r="C348" s="279" t="n">
        <v>161</v>
      </c>
      <c r="D348" s="281" t="inlineStr">
        <is>
          <t>Uang Makan (3 - 7 Aug 2024)</t>
        </is>
      </c>
      <c r="E348" s="281" t="inlineStr">
        <is>
          <t>-</t>
        </is>
      </c>
      <c r="F348" s="287" t="n">
        <v>750000</v>
      </c>
      <c r="G348" s="283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0" t="n"/>
      <c r="C349" s="325" t="n"/>
      <c r="D349" s="326" t="inlineStr">
        <is>
          <t>Transportation</t>
        </is>
      </c>
      <c r="E349" s="327" t="n"/>
      <c r="F349" s="281" t="n"/>
      <c r="G349" s="279" t="n"/>
      <c r="H349" s="279" t="n"/>
      <c r="I349" s="284" t="n"/>
      <c r="J349" s="280" t="n"/>
      <c r="K349" s="280" t="n"/>
      <c r="L349" s="280" t="n"/>
      <c r="M349" s="284" t="n"/>
      <c r="N349" s="280" t="n"/>
      <c r="O349" s="280" t="n"/>
      <c r="P349" s="280" t="n"/>
      <c r="Q349" s="280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6" t="n">
        <v>45511</v>
      </c>
      <c r="C350" s="279" t="n">
        <v>162</v>
      </c>
      <c r="D350" s="281" t="inlineStr">
        <is>
          <t>Gocar Hotel to Tawang</t>
        </is>
      </c>
      <c r="E350" s="281" t="inlineStr">
        <is>
          <t>-</t>
        </is>
      </c>
      <c r="F350" s="287" t="n">
        <v>45000</v>
      </c>
      <c r="G350" s="283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1" t="inlineStr">
        <is>
          <t>Expense#27</t>
        </is>
      </c>
      <c r="C351" s="302" t="inlineStr">
        <is>
          <t>:</t>
        </is>
      </c>
      <c r="D351" s="303" t="inlineStr">
        <is>
          <t>Non tripo 1st -- MCU + Pembelian barang kelengkapan pump AC</t>
        </is>
      </c>
      <c r="E351" s="323" t="n"/>
      <c r="F351" s="328" t="n"/>
      <c r="G351" s="302" t="n"/>
      <c r="H351" s="302" t="n"/>
      <c r="I351" s="306" t="n"/>
      <c r="J351" s="308" t="n"/>
      <c r="K351" s="308" t="n"/>
      <c r="L351" s="308" t="n"/>
      <c r="M351" s="306" t="n"/>
      <c r="N351" s="308" t="n"/>
      <c r="O351" s="308" t="n"/>
      <c r="P351" s="308" t="n"/>
      <c r="Q351" s="308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09" t="n"/>
      <c r="C352" s="279" t="n"/>
      <c r="D352" s="310" t="inlineStr">
        <is>
          <t>Elektronik &amp; Gadget</t>
        </is>
      </c>
      <c r="E352" s="281" t="n"/>
      <c r="F352" s="282" t="n"/>
      <c r="G352" s="279" t="n"/>
      <c r="H352" s="279" t="n"/>
      <c r="I352" s="284" t="n"/>
      <c r="J352" s="280" t="n"/>
      <c r="K352" s="280" t="n"/>
      <c r="L352" s="280" t="n"/>
      <c r="M352" s="284" t="n"/>
      <c r="N352" s="280" t="n"/>
      <c r="O352" s="280" t="n"/>
      <c r="P352" s="280" t="n"/>
      <c r="Q352" s="280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6" t="n">
        <v>45499</v>
      </c>
      <c r="C353" s="279" t="n">
        <v>163</v>
      </c>
      <c r="D353" s="281" t="inlineStr">
        <is>
          <t>buy Adapter</t>
        </is>
      </c>
      <c r="E353" s="281" t="inlineStr">
        <is>
          <t>-</t>
        </is>
      </c>
      <c r="F353" s="287" t="n">
        <v>20000</v>
      </c>
      <c r="G353" s="283" t="inlineStr">
        <is>
          <t>IDR</t>
        </is>
      </c>
      <c r="H353" s="288" t="n">
        <v>1</v>
      </c>
      <c r="I353" s="289" t="n"/>
      <c r="J353" s="289" t="n"/>
      <c r="K353" s="290" t="n"/>
      <c r="L353" s="281" t="n"/>
      <c r="M353" s="281" t="n"/>
      <c r="N353" s="291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32" t="n"/>
      <c r="C354" s="279" t="n"/>
      <c r="D354" s="310" t="inlineStr">
        <is>
          <t>Hand Tools</t>
        </is>
      </c>
      <c r="E354" s="313" t="n"/>
      <c r="F354" s="282" t="n"/>
      <c r="G354" s="279" t="n"/>
      <c r="H354" s="279" t="n"/>
      <c r="I354" s="284" t="n"/>
      <c r="J354" s="280" t="n"/>
      <c r="K354" s="280" t="n"/>
      <c r="L354" s="280" t="n"/>
      <c r="M354" s="280" t="n"/>
      <c r="N354" s="280" t="n"/>
      <c r="O354" s="280" t="n"/>
      <c r="P354" s="280" t="n"/>
      <c r="Q354" s="280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6" t="n">
        <v>45501</v>
      </c>
      <c r="C355" s="279" t="n">
        <v>164</v>
      </c>
      <c r="D355" s="281" t="inlineStr">
        <is>
          <t>Buy Case for tools box dan hydraulic pump</t>
        </is>
      </c>
      <c r="E355" s="281" t="inlineStr">
        <is>
          <t>-</t>
        </is>
      </c>
      <c r="F355" s="287" t="n">
        <v>2636800</v>
      </c>
      <c r="G355" s="283" t="inlineStr">
        <is>
          <t>IDR</t>
        </is>
      </c>
      <c r="H355" s="288" t="n">
        <v>1</v>
      </c>
      <c r="I355" s="289" t="n"/>
      <c r="J355" s="289" t="n"/>
      <c r="K355" s="290" t="n"/>
      <c r="L355" s="281" t="n"/>
      <c r="M355" s="281" t="n"/>
      <c r="N355" s="291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09" t="n"/>
      <c r="C356" s="279" t="n"/>
      <c r="D356" s="310" t="inlineStr">
        <is>
          <t>Meal</t>
        </is>
      </c>
      <c r="E356" s="313" t="n"/>
      <c r="F356" s="282" t="n"/>
      <c r="G356" s="279" t="n"/>
      <c r="H356" s="279" t="n"/>
      <c r="I356" s="284" t="n"/>
      <c r="J356" s="280" t="n"/>
      <c r="K356" s="280" t="n"/>
      <c r="L356" s="280" t="n"/>
      <c r="M356" s="280" t="n"/>
      <c r="N356" s="280" t="n"/>
      <c r="O356" s="280" t="n"/>
      <c r="P356" s="280" t="n"/>
      <c r="Q356" s="280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6" t="n">
        <v>45484</v>
      </c>
      <c r="C357" s="279" t="n">
        <v>165</v>
      </c>
      <c r="D357" s="281" t="inlineStr">
        <is>
          <t>Meal lunch when visit to Lemigas (Sample Botol)</t>
        </is>
      </c>
      <c r="E357" s="281" t="inlineStr">
        <is>
          <t>-</t>
        </is>
      </c>
      <c r="F357" s="287" t="n">
        <v>81000</v>
      </c>
      <c r="G357" s="283" t="inlineStr">
        <is>
          <t>IDR</t>
        </is>
      </c>
      <c r="H357" s="288" t="n">
        <v>1</v>
      </c>
      <c r="I357" s="289" t="n"/>
      <c r="J357" s="289" t="n"/>
      <c r="K357" s="290" t="n"/>
      <c r="L357" s="291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09" t="n"/>
      <c r="C358" s="279" t="n"/>
      <c r="D358" s="310" t="inlineStr">
        <is>
          <t>Medical</t>
        </is>
      </c>
      <c r="E358" s="313" t="n"/>
      <c r="F358" s="282" t="n"/>
      <c r="G358" s="279" t="n"/>
      <c r="H358" s="279" t="n"/>
      <c r="I358" s="284" t="n"/>
      <c r="J358" s="280" t="n"/>
      <c r="K358" s="280" t="n"/>
      <c r="L358" s="280" t="n"/>
      <c r="M358" s="280" t="n"/>
      <c r="N358" s="284" t="n"/>
      <c r="O358" s="280" t="n"/>
      <c r="P358" s="280" t="n"/>
      <c r="Q358" s="280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6" t="n">
        <v>45484</v>
      </c>
      <c r="C359" s="279" t="n">
        <v>166</v>
      </c>
      <c r="D359" s="281" t="inlineStr">
        <is>
          <t>Fisioterapi 3rd</t>
        </is>
      </c>
      <c r="E359" s="281" t="inlineStr">
        <is>
          <t>-</t>
        </is>
      </c>
      <c r="F359" s="287" t="n">
        <v>285000</v>
      </c>
      <c r="G359" s="283" t="inlineStr">
        <is>
          <t>IDR</t>
        </is>
      </c>
      <c r="H359" s="288" t="n">
        <v>1</v>
      </c>
      <c r="I359" s="289" t="n"/>
      <c r="J359" s="289" t="n"/>
      <c r="K359" s="290" t="n"/>
      <c r="L359" s="281" t="n"/>
      <c r="M359" s="281" t="n"/>
      <c r="N359" s="281" t="n"/>
      <c r="O359" s="281" t="n"/>
      <c r="P359" s="291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09" t="n"/>
      <c r="C360" s="279" t="n"/>
      <c r="D360" s="310" t="inlineStr">
        <is>
          <t>Sparepart</t>
        </is>
      </c>
      <c r="E360" s="339" t="n"/>
      <c r="F360" s="282" t="n"/>
      <c r="G360" s="279" t="n"/>
      <c r="H360" s="279" t="n"/>
      <c r="I360" s="284" t="n"/>
      <c r="J360" s="280" t="n"/>
      <c r="K360" s="280" t="n"/>
      <c r="L360" s="280" t="n"/>
      <c r="M360" s="280" t="n"/>
      <c r="N360" s="284" t="n"/>
      <c r="O360" s="280" t="n"/>
      <c r="P360" s="280" t="n"/>
      <c r="Q360" s="280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6" t="n">
        <v>45500</v>
      </c>
      <c r="C361" s="279" t="n">
        <v>167</v>
      </c>
      <c r="D361" s="281" t="inlineStr">
        <is>
          <t>Buy Connection 1/4"</t>
        </is>
      </c>
      <c r="E361" s="281" t="inlineStr">
        <is>
          <t>-</t>
        </is>
      </c>
      <c r="F361" s="287" t="n">
        <v>1760000</v>
      </c>
      <c r="G361" s="283" t="inlineStr">
        <is>
          <t>IDR</t>
        </is>
      </c>
      <c r="H361" s="288" t="n">
        <v>1</v>
      </c>
      <c r="I361" s="289" t="n"/>
      <c r="J361" s="289" t="n"/>
      <c r="K361" s="290" t="n"/>
      <c r="L361" s="281" t="n"/>
      <c r="M361" s="281" t="n"/>
      <c r="N361" s="291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09" t="n"/>
      <c r="C362" s="279" t="n"/>
      <c r="D362" s="310" t="inlineStr">
        <is>
          <t>Transportation</t>
        </is>
      </c>
      <c r="E362" s="311" t="n"/>
      <c r="F362" s="282" t="n"/>
      <c r="G362" s="279" t="n"/>
      <c r="H362" s="279" t="n"/>
      <c r="I362" s="285" t="n"/>
      <c r="J362" s="280" t="n"/>
      <c r="K362" s="280" t="n"/>
      <c r="L362" s="280" t="n"/>
      <c r="M362" s="280" t="n"/>
      <c r="N362" s="280" t="n"/>
      <c r="O362" s="280" t="n"/>
      <c r="P362" s="280" t="n"/>
      <c r="Q362" s="280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6" t="n">
        <v>45501</v>
      </c>
      <c r="C363" s="279" t="n">
        <v>168</v>
      </c>
      <c r="D363" s="281" t="inlineStr">
        <is>
          <t>Fuel trip ke Glodok buy Hydralic pump assesories</t>
        </is>
      </c>
      <c r="E363" s="281" t="inlineStr">
        <is>
          <t>-</t>
        </is>
      </c>
      <c r="F363" s="287" t="n">
        <v>217350</v>
      </c>
      <c r="G363" s="283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1" t="inlineStr">
        <is>
          <t>Expense#28</t>
        </is>
      </c>
      <c r="C364" s="302" t="inlineStr">
        <is>
          <t>:</t>
        </is>
      </c>
      <c r="D364" s="303" t="inlineStr">
        <is>
          <t>ALFA-MPLT-Sampler project TIS Energy Blora_well RBG-3B by Barekin Sakti- AC</t>
        </is>
      </c>
      <c r="E364" s="317" t="n"/>
      <c r="F364" s="328" t="n"/>
      <c r="G364" s="302" t="n"/>
      <c r="H364" s="302" t="n"/>
      <c r="I364" s="340" t="n"/>
      <c r="J364" s="308" t="n"/>
      <c r="K364" s="308" t="n"/>
      <c r="L364" s="308" t="n"/>
      <c r="M364" s="308" t="n"/>
      <c r="N364" s="308" t="n"/>
      <c r="O364" s="308" t="n"/>
      <c r="P364" s="308" t="n"/>
      <c r="Q364" s="308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09" t="n"/>
      <c r="C365" s="279" t="n"/>
      <c r="D365" s="310" t="inlineStr">
        <is>
          <t>Accommodation</t>
        </is>
      </c>
      <c r="E365" s="313" t="n"/>
      <c r="F365" s="282" t="n"/>
      <c r="G365" s="279" t="n"/>
      <c r="H365" s="279" t="n"/>
      <c r="I365" s="337" t="n"/>
      <c r="J365" s="280" t="n"/>
      <c r="K365" s="280" t="n"/>
      <c r="L365" s="280" t="n"/>
      <c r="M365" s="280" t="n"/>
      <c r="N365" s="280" t="n"/>
      <c r="O365" s="280" t="n"/>
      <c r="P365" s="280" t="n"/>
      <c r="Q365" s="280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6" t="n">
        <v>45507</v>
      </c>
      <c r="C366" s="279" t="n">
        <v>169</v>
      </c>
      <c r="D366" s="281" t="inlineStr">
        <is>
          <t>Hotel for 6 days ( 29 Jul - 3 aug 24)</t>
        </is>
      </c>
      <c r="E366" s="281" t="inlineStr">
        <is>
          <t>-</t>
        </is>
      </c>
      <c r="F366" s="287" t="n">
        <v>2700000</v>
      </c>
      <c r="G366" s="283" t="inlineStr">
        <is>
          <t>IDR</t>
        </is>
      </c>
      <c r="H366" s="288" t="n">
        <v>1</v>
      </c>
      <c r="I366" s="289" t="n"/>
      <c r="J366" s="289" t="n"/>
      <c r="K366" s="290" t="n"/>
      <c r="L366" s="291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09" t="n"/>
      <c r="C367" s="279" t="n"/>
      <c r="D367" s="310" t="inlineStr">
        <is>
          <t>Allowance</t>
        </is>
      </c>
      <c r="E367" s="313" t="n"/>
      <c r="F367" s="282" t="n"/>
      <c r="G367" s="279" t="n"/>
      <c r="H367" s="279" t="n"/>
      <c r="I367" s="285" t="n"/>
      <c r="J367" s="280" t="n"/>
      <c r="K367" s="280" t="n"/>
      <c r="L367" s="280" t="n"/>
      <c r="M367" s="280" t="n"/>
      <c r="N367" s="280" t="n"/>
      <c r="O367" s="280" t="n"/>
      <c r="P367" s="280" t="n"/>
      <c r="Q367" s="280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6" t="n">
        <v>45511</v>
      </c>
      <c r="C368" s="279" t="n">
        <v>170</v>
      </c>
      <c r="D368" s="281" t="inlineStr">
        <is>
          <t>Tunjangan lapangan for 10 days (29Jul - 07Aug24) Anevril</t>
        </is>
      </c>
      <c r="E368" s="281" t="inlineStr">
        <is>
          <t>-</t>
        </is>
      </c>
      <c r="F368" s="287" t="n">
        <v>16100000</v>
      </c>
      <c r="G368" s="283" t="inlineStr">
        <is>
          <t>USD</t>
        </is>
      </c>
      <c r="H368" s="288" t="n">
        <v>16100</v>
      </c>
      <c r="I368" s="289" t="n"/>
      <c r="J368" s="289" t="n"/>
      <c r="K368" s="290" t="n"/>
      <c r="L368" s="291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09" t="n"/>
      <c r="C369" s="279" t="n"/>
      <c r="D369" s="310" t="inlineStr">
        <is>
          <t>Biaya Operasi Lain-lain</t>
        </is>
      </c>
      <c r="E369" s="336" t="n"/>
      <c r="F369" s="282" t="n"/>
      <c r="G369" s="279" t="n"/>
      <c r="H369" s="279" t="n"/>
      <c r="I369" s="285" t="n"/>
      <c r="J369" s="280" t="n"/>
      <c r="K369" s="280" t="n"/>
      <c r="L369" s="280" t="n"/>
      <c r="M369" s="280" t="n"/>
      <c r="N369" s="280" t="n"/>
      <c r="O369" s="280" t="n"/>
      <c r="P369" s="280" t="n"/>
      <c r="Q369" s="280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6" t="n">
        <v>45507</v>
      </c>
      <c r="C370" s="279" t="n">
        <v>171</v>
      </c>
      <c r="D370" s="281" t="inlineStr">
        <is>
          <t>w/ TIS Petroleum Personnel</t>
        </is>
      </c>
      <c r="E370" s="281" t="inlineStr">
        <is>
          <t>-</t>
        </is>
      </c>
      <c r="F370" s="287" t="n">
        <v>401000</v>
      </c>
      <c r="G370" s="283" t="inlineStr">
        <is>
          <t>IDR</t>
        </is>
      </c>
      <c r="H370" s="288" t="n">
        <v>1</v>
      </c>
      <c r="I370" s="289" t="n"/>
      <c r="J370" s="289" t="n"/>
      <c r="K370" s="290" t="n"/>
      <c r="L370" s="291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09" t="n"/>
      <c r="C371" s="279" t="n"/>
      <c r="D371" s="310" t="inlineStr">
        <is>
          <t>Laundry</t>
        </is>
      </c>
      <c r="E371" s="336" t="n"/>
      <c r="F371" s="282" t="n"/>
      <c r="G371" s="279" t="n"/>
      <c r="H371" s="279" t="n"/>
      <c r="I371" s="280" t="n"/>
      <c r="J371" s="280" t="n"/>
      <c r="K371" s="280" t="n"/>
      <c r="L371" s="280" t="n"/>
      <c r="M371" s="280" t="n"/>
      <c r="N371" s="285" t="n"/>
      <c r="O371" s="280" t="n"/>
      <c r="P371" s="280" t="n"/>
      <c r="Q371" s="280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6" t="n">
        <v>45511</v>
      </c>
      <c r="C372" s="279" t="n">
        <v>172</v>
      </c>
      <c r="D372" s="281" t="inlineStr">
        <is>
          <t>Laundry dor 10 days @Rp.50.000.</t>
        </is>
      </c>
      <c r="E372" s="281" t="inlineStr">
        <is>
          <t>-</t>
        </is>
      </c>
      <c r="F372" s="287" t="n">
        <v>500000</v>
      </c>
      <c r="G372" s="283" t="inlineStr">
        <is>
          <t>IDR</t>
        </is>
      </c>
      <c r="H372" s="288" t="n">
        <v>1</v>
      </c>
      <c r="I372" s="289" t="n"/>
      <c r="J372" s="289" t="n"/>
      <c r="K372" s="290" t="n"/>
      <c r="L372" s="291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09" t="n"/>
      <c r="C373" s="279" t="n"/>
      <c r="D373" s="310" t="inlineStr">
        <is>
          <t>Meal</t>
        </is>
      </c>
      <c r="E373" s="336" t="n"/>
      <c r="F373" s="282" t="n"/>
      <c r="G373" s="279" t="n"/>
      <c r="H373" s="279" t="n"/>
      <c r="I373" s="280" t="n"/>
      <c r="J373" s="280" t="n"/>
      <c r="K373" s="280" t="n"/>
      <c r="L373" s="280" t="n"/>
      <c r="M373" s="284" t="n"/>
      <c r="N373" s="285" t="n"/>
      <c r="O373" s="280" t="n"/>
      <c r="P373" s="280" t="n"/>
      <c r="Q373" s="280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6" t="n">
        <v>45511</v>
      </c>
      <c r="C374" s="279" t="n">
        <v>173</v>
      </c>
      <c r="D374" s="281" t="inlineStr">
        <is>
          <t>Meal utk 10 hari (29 Jul -7Aug-24) @Rp. 150.000</t>
        </is>
      </c>
      <c r="E374" s="281" t="inlineStr">
        <is>
          <t>-</t>
        </is>
      </c>
      <c r="F374" s="287" t="n">
        <v>1500000</v>
      </c>
      <c r="G374" s="283" t="inlineStr">
        <is>
          <t>IDR</t>
        </is>
      </c>
      <c r="H374" s="288" t="n">
        <v>1</v>
      </c>
      <c r="I374" s="289" t="n"/>
      <c r="J374" s="289" t="n"/>
      <c r="K374" s="290" t="n"/>
      <c r="L374" s="291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09" t="n"/>
      <c r="C375" s="279" t="n"/>
      <c r="D375" s="310" t="inlineStr">
        <is>
          <t>Medical</t>
        </is>
      </c>
      <c r="E375" s="339" t="n"/>
      <c r="F375" s="282" t="n"/>
      <c r="G375" s="279" t="n"/>
      <c r="H375" s="279" t="n"/>
      <c r="I375" s="280" t="n"/>
      <c r="J375" s="280" t="n"/>
      <c r="K375" s="280" t="n"/>
      <c r="L375" s="280" t="n"/>
      <c r="M375" s="284" t="n"/>
      <c r="N375" s="280" t="n"/>
      <c r="O375" s="280" t="n"/>
      <c r="P375" s="280" t="n"/>
      <c r="Q375" s="280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6" t="n">
        <v>45502</v>
      </c>
      <c r="C376" s="279" t="n">
        <v>174</v>
      </c>
      <c r="D376" s="281" t="inlineStr">
        <is>
          <t>buy Zirolic</t>
        </is>
      </c>
      <c r="E376" s="281" t="inlineStr">
        <is>
          <t>-</t>
        </is>
      </c>
      <c r="F376" s="287" t="n">
        <v>34200</v>
      </c>
      <c r="G376" s="283" t="inlineStr">
        <is>
          <t>IDR</t>
        </is>
      </c>
      <c r="H376" s="288" t="n">
        <v>1</v>
      </c>
      <c r="I376" s="289" t="n"/>
      <c r="J376" s="289" t="n"/>
      <c r="K376" s="290" t="n"/>
      <c r="L376" s="281" t="n"/>
      <c r="M376" s="281" t="n"/>
      <c r="N376" s="281" t="n"/>
      <c r="O376" s="281" t="n"/>
      <c r="P376" s="291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09" t="n"/>
      <c r="C377" s="279" t="n"/>
      <c r="D377" s="310" t="inlineStr">
        <is>
          <t>Sparepart</t>
        </is>
      </c>
      <c r="E377" s="313" t="n"/>
      <c r="F377" s="282" t="n"/>
      <c r="G377" s="279" t="n"/>
      <c r="H377" s="279" t="n"/>
      <c r="I377" s="285" t="n"/>
      <c r="J377" s="280" t="n"/>
      <c r="K377" s="280" t="n"/>
      <c r="L377" s="280" t="n"/>
      <c r="M377" s="284" t="n"/>
      <c r="N377" s="280" t="n"/>
      <c r="O377" s="280" t="n"/>
      <c r="P377" s="280" t="n"/>
      <c r="Q377" s="280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6" t="n">
        <v>45510</v>
      </c>
      <c r="C378" s="279" t="n">
        <v>175</v>
      </c>
      <c r="D378" s="281" t="inlineStr">
        <is>
          <t>Buy Paint nippon</t>
        </is>
      </c>
      <c r="E378" s="281" t="inlineStr">
        <is>
          <t>-</t>
        </is>
      </c>
      <c r="F378" s="287" t="n">
        <v>60000</v>
      </c>
      <c r="G378" s="283" t="inlineStr">
        <is>
          <t>IDR</t>
        </is>
      </c>
      <c r="H378" s="288" t="n">
        <v>1</v>
      </c>
      <c r="I378" s="289" t="n"/>
      <c r="J378" s="289" t="n"/>
      <c r="K378" s="290" t="n"/>
      <c r="L378" s="281" t="n"/>
      <c r="M378" s="281" t="n"/>
      <c r="N378" s="291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09" t="n"/>
      <c r="C379" s="279" t="n"/>
      <c r="D379" s="310" t="inlineStr">
        <is>
          <t>Transportation</t>
        </is>
      </c>
      <c r="E379" s="313" t="n"/>
      <c r="F379" s="282" t="n"/>
      <c r="G379" s="279" t="n"/>
      <c r="H379" s="279" t="n"/>
      <c r="I379" s="285" t="n"/>
      <c r="J379" s="280" t="n"/>
      <c r="K379" s="280" t="n"/>
      <c r="L379" s="280" t="n"/>
      <c r="M379" s="285" t="n"/>
      <c r="N379" s="280" t="n"/>
      <c r="O379" s="280" t="n"/>
      <c r="P379" s="280" t="n"/>
      <c r="Q379" s="280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6" t="n">
        <v>45511</v>
      </c>
      <c r="C380" s="279" t="n">
        <v>176</v>
      </c>
      <c r="D380" s="281" t="inlineStr">
        <is>
          <t>Toll (Gubug - Jakarta)</t>
        </is>
      </c>
      <c r="E380" s="281" t="inlineStr">
        <is>
          <t>-</t>
        </is>
      </c>
      <c r="F380" s="287" t="n">
        <v>496000</v>
      </c>
      <c r="G380" s="283" t="inlineStr">
        <is>
          <t>IDR</t>
        </is>
      </c>
      <c r="H380" s="288" t="n">
        <v>1</v>
      </c>
      <c r="I380" s="289" t="n"/>
      <c r="J380" s="289" t="n"/>
      <c r="K380" s="290" t="n"/>
      <c r="L380" s="291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1" t="inlineStr">
        <is>
          <t>Expense#29</t>
        </is>
      </c>
      <c r="C381" s="341" t="inlineStr">
        <is>
          <t>:</t>
        </is>
      </c>
      <c r="D381" s="303" t="inlineStr">
        <is>
          <t>ALFA-MPLT-BHS_ RBG 3B PT. TIS under Barikin sakti _TMA</t>
        </is>
      </c>
      <c r="E381" s="335" t="n"/>
      <c r="F381" s="342" t="n"/>
      <c r="G381" s="341" t="n"/>
      <c r="H381" s="341" t="n"/>
      <c r="I381" s="343" t="n"/>
      <c r="J381" s="344" t="n"/>
      <c r="K381" s="344" t="n"/>
      <c r="L381" s="344" t="n"/>
      <c r="M381" s="343" t="n"/>
      <c r="N381" s="344" t="n"/>
      <c r="O381" s="344" t="n"/>
      <c r="P381" s="344" t="n"/>
      <c r="Q381" s="344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09" t="n"/>
      <c r="C382" s="279" t="n"/>
      <c r="D382" s="310" t="inlineStr">
        <is>
          <t>Allowance</t>
        </is>
      </c>
      <c r="E382" s="313" t="n"/>
      <c r="F382" s="282" t="n"/>
      <c r="G382" s="279" t="n"/>
      <c r="H382" s="279" t="n"/>
      <c r="I382" s="285" t="n"/>
      <c r="J382" s="280" t="n"/>
      <c r="K382" s="280" t="n"/>
      <c r="L382" s="280" t="n"/>
      <c r="M382" s="284" t="n"/>
      <c r="N382" s="280" t="n"/>
      <c r="O382" s="280" t="n"/>
      <c r="P382" s="280" t="n"/>
      <c r="Q382" s="280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6" t="n">
        <v>45502</v>
      </c>
      <c r="C383" s="279" t="n">
        <v>177</v>
      </c>
      <c r="D383" s="281" t="inlineStr">
        <is>
          <t>Tunjangan Lapangan for 10 days</t>
        </is>
      </c>
      <c r="E383" s="281" t="inlineStr">
        <is>
          <t>-</t>
        </is>
      </c>
      <c r="F383" s="287" t="n">
        <v>15513000</v>
      </c>
      <c r="G383" s="283" t="inlineStr">
        <is>
          <t>USD</t>
        </is>
      </c>
      <c r="H383" s="288" t="n">
        <v>15513</v>
      </c>
      <c r="I383" s="289" t="n"/>
      <c r="J383" s="289" t="n"/>
      <c r="K383" s="290" t="n"/>
      <c r="L383" s="291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09" t="n"/>
      <c r="C384" s="279" t="n"/>
      <c r="D384" s="310" t="inlineStr">
        <is>
          <t>Biaya Operasi Lain-lain</t>
        </is>
      </c>
      <c r="E384" s="311" t="n"/>
      <c r="F384" s="312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6" t="n">
        <v>45502</v>
      </c>
      <c r="C385" s="279" t="n">
        <v>178</v>
      </c>
      <c r="D385" s="281" t="inlineStr">
        <is>
          <t>Electrical Bill</t>
        </is>
      </c>
      <c r="E385" s="281" t="inlineStr">
        <is>
          <t>-</t>
        </is>
      </c>
      <c r="F385" s="287" t="n">
        <v>159682</v>
      </c>
      <c r="G385" s="283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09" t="n"/>
      <c r="C386" s="279" t="n"/>
      <c r="D386" s="310" t="inlineStr">
        <is>
          <t>Laundry</t>
        </is>
      </c>
      <c r="E386" s="311" t="n"/>
      <c r="F386" s="312" t="n"/>
      <c r="G386" s="279" t="n"/>
      <c r="H386" s="279" t="n"/>
      <c r="I386" s="280" t="n"/>
      <c r="J386" s="280" t="n"/>
      <c r="K386" s="280" t="n"/>
      <c r="L386" s="280" t="n"/>
      <c r="M386" s="280" t="n"/>
      <c r="N386" s="280" t="n"/>
      <c r="O386" s="280" t="n"/>
      <c r="P386" s="280" t="n"/>
      <c r="Q386" s="280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6" t="n">
        <v>45502</v>
      </c>
      <c r="C387" s="279" t="n">
        <v>179</v>
      </c>
      <c r="D387" s="281" t="inlineStr">
        <is>
          <t>Laundry 10 days 1 Persons @ 50K IDR/day</t>
        </is>
      </c>
      <c r="E387" s="281" t="inlineStr">
        <is>
          <t>-</t>
        </is>
      </c>
      <c r="F387" s="287" t="n">
        <v>500000</v>
      </c>
      <c r="G387" s="283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09" t="n"/>
      <c r="C388" s="279" t="n"/>
      <c r="D388" s="310" t="inlineStr">
        <is>
          <t>Meal</t>
        </is>
      </c>
      <c r="E388" s="311" t="n"/>
      <c r="F388" s="312" t="n"/>
      <c r="G388" s="279" t="n"/>
      <c r="H388" s="279" t="n"/>
      <c r="I388" s="280" t="n"/>
      <c r="J388" s="280" t="n"/>
      <c r="K388" s="280" t="n"/>
      <c r="L388" s="280" t="n"/>
      <c r="M388" s="280" t="n"/>
      <c r="N388" s="280" t="n"/>
      <c r="O388" s="280" t="n"/>
      <c r="P388" s="280" t="n"/>
      <c r="Q388" s="280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6" t="n">
        <v>45502</v>
      </c>
      <c r="C389" s="279" t="n">
        <v>180</v>
      </c>
      <c r="D389" s="281" t="inlineStr">
        <is>
          <t>Meals 10 days 1 Persons @ 150K IDR/day</t>
        </is>
      </c>
      <c r="E389" s="281" t="inlineStr">
        <is>
          <t>-</t>
        </is>
      </c>
      <c r="F389" s="287" t="n">
        <v>1500000</v>
      </c>
      <c r="G389" s="283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09" t="n"/>
      <c r="C390" s="279" t="n"/>
      <c r="D390" s="310" t="inlineStr">
        <is>
          <t>Sparepart</t>
        </is>
      </c>
      <c r="E390" s="311" t="n"/>
      <c r="F390" s="312" t="n"/>
      <c r="G390" s="279" t="n"/>
      <c r="H390" s="279" t="n"/>
      <c r="I390" s="280" t="n"/>
      <c r="J390" s="280" t="n"/>
      <c r="K390" s="280" t="n"/>
      <c r="L390" s="280" t="n"/>
      <c r="M390" s="280" t="n"/>
      <c r="N390" s="280" t="n"/>
      <c r="O390" s="280" t="n"/>
      <c r="P390" s="280" t="n"/>
      <c r="Q390" s="280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6" t="n">
        <v>45499</v>
      </c>
      <c r="C391" s="279" t="n">
        <v>181</v>
      </c>
      <c r="D391" s="281" t="inlineStr">
        <is>
          <t>TOP 1 High Temp Grease</t>
        </is>
      </c>
      <c r="E391" s="281" t="inlineStr">
        <is>
          <t>-</t>
        </is>
      </c>
      <c r="F391" s="287" t="n">
        <v>144900</v>
      </c>
      <c r="G391" s="283" t="inlineStr">
        <is>
          <t>IDR</t>
        </is>
      </c>
      <c r="H391" s="288" t="n">
        <v>1</v>
      </c>
      <c r="I391" s="289" t="n"/>
      <c r="J391" s="289" t="n"/>
      <c r="K391" s="290" t="n"/>
      <c r="L391" s="281" t="n"/>
      <c r="M391" s="281" t="n"/>
      <c r="N391" s="291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0" t="n"/>
      <c r="C392" s="325" t="n"/>
      <c r="D392" s="326" t="inlineStr">
        <is>
          <t>Transportation</t>
        </is>
      </c>
      <c r="E392" s="327" t="n"/>
      <c r="F392" s="281" t="n"/>
      <c r="G392" s="279" t="n"/>
      <c r="H392" s="279" t="n"/>
      <c r="I392" s="280" t="n"/>
      <c r="J392" s="280" t="n"/>
      <c r="K392" s="280" t="n"/>
      <c r="L392" s="280" t="n"/>
      <c r="M392" s="284" t="n"/>
      <c r="N392" s="280" t="n"/>
      <c r="O392" s="280" t="n"/>
      <c r="P392" s="280" t="n"/>
      <c r="Q392" s="280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6" t="n">
        <v>45517</v>
      </c>
      <c r="C393" s="279" t="n">
        <v>182</v>
      </c>
      <c r="D393" s="281" t="inlineStr">
        <is>
          <t>Lalamove Barikin to Base</t>
        </is>
      </c>
      <c r="E393" s="281" t="inlineStr">
        <is>
          <t>-</t>
        </is>
      </c>
      <c r="F393" s="287" t="n">
        <v>161885</v>
      </c>
      <c r="G393" s="283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1" t="inlineStr">
        <is>
          <t>Expense#30</t>
        </is>
      </c>
      <c r="C394" s="302" t="inlineStr">
        <is>
          <t>:</t>
        </is>
      </c>
      <c r="D394" s="303" t="inlineStr">
        <is>
          <t>ALFA JOB - PMB 009 (cancel job) - IBR</t>
        </is>
      </c>
      <c r="E394" s="323" t="n"/>
      <c r="F394" s="305" t="n"/>
      <c r="G394" s="302" t="n"/>
      <c r="H394" s="302" t="n"/>
      <c r="I394" s="306" t="n"/>
      <c r="J394" s="308" t="n"/>
      <c r="K394" s="308" t="n"/>
      <c r="L394" s="308" t="n"/>
      <c r="M394" s="306" t="n"/>
      <c r="N394" s="306" t="n"/>
      <c r="O394" s="308" t="n"/>
      <c r="P394" s="308" t="n"/>
      <c r="Q394" s="308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09" t="n"/>
      <c r="C395" s="279" t="n"/>
      <c r="D395" s="310" t="inlineStr">
        <is>
          <t>Allowance</t>
        </is>
      </c>
      <c r="E395" s="318" t="n"/>
      <c r="F395" s="312" t="n"/>
      <c r="G395" s="279" t="n"/>
      <c r="H395" s="279" t="n"/>
      <c r="I395" s="280" t="n"/>
      <c r="J395" s="280" t="n"/>
      <c r="K395" s="280" t="n"/>
      <c r="L395" s="280" t="n"/>
      <c r="M395" s="285" t="n"/>
      <c r="N395" s="280" t="n"/>
      <c r="O395" s="280" t="n"/>
      <c r="P395" s="280" t="n"/>
      <c r="Q395" s="280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6" t="n">
        <v>45548</v>
      </c>
      <c r="C396" s="279" t="n">
        <v>183</v>
      </c>
      <c r="D396" s="281" t="inlineStr">
        <is>
          <t>Tunjangan Lapangan PBM - 009 (6 - 11 September 2024)</t>
        </is>
      </c>
      <c r="E396" s="281" t="inlineStr">
        <is>
          <t>-</t>
        </is>
      </c>
      <c r="F396" s="287" t="n">
        <v>2317500</v>
      </c>
      <c r="G396" s="283" t="inlineStr">
        <is>
          <t>$</t>
        </is>
      </c>
      <c r="H396" s="288" t="n">
        <v>15450</v>
      </c>
      <c r="I396" s="289" t="n"/>
      <c r="J396" s="289" t="n"/>
      <c r="K396" s="290" t="n"/>
      <c r="L396" s="291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32" t="n"/>
      <c r="C397" s="279" t="n"/>
      <c r="D397" s="310" t="inlineStr">
        <is>
          <t>Laundry</t>
        </is>
      </c>
      <c r="E397" s="313" t="n"/>
      <c r="F397" s="312" t="n"/>
      <c r="G397" s="279" t="n"/>
      <c r="H397" s="279" t="n"/>
      <c r="I397" s="284" t="n"/>
      <c r="J397" s="280" t="n"/>
      <c r="K397" s="280" t="n"/>
      <c r="L397" s="280" t="n"/>
      <c r="M397" s="285" t="n"/>
      <c r="N397" s="280" t="n"/>
      <c r="O397" s="280" t="n"/>
      <c r="P397" s="280" t="n"/>
      <c r="Q397" s="280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6" t="n">
        <v>45548</v>
      </c>
      <c r="C398" s="279" t="n">
        <v>184</v>
      </c>
      <c r="D398" s="281" t="inlineStr">
        <is>
          <t>Laundry (6 - 11 September 2024) 6 days</t>
        </is>
      </c>
      <c r="E398" s="281" t="inlineStr">
        <is>
          <t>-</t>
        </is>
      </c>
      <c r="F398" s="287" t="n">
        <v>300000</v>
      </c>
      <c r="G398" s="283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09" t="n"/>
      <c r="C399" s="279" t="n"/>
      <c r="D399" s="310" t="inlineStr">
        <is>
          <t>Meal</t>
        </is>
      </c>
      <c r="E399" s="311" t="n"/>
      <c r="F399" s="312" t="n"/>
      <c r="G399" s="279" t="n"/>
      <c r="H399" s="279" t="n"/>
      <c r="I399" s="280" t="n"/>
      <c r="J399" s="280" t="n"/>
      <c r="K399" s="280" t="n"/>
      <c r="L399" s="280" t="n"/>
      <c r="M399" s="280" t="n"/>
      <c r="N399" s="280" t="n"/>
      <c r="O399" s="280" t="n"/>
      <c r="P399" s="280" t="n"/>
      <c r="Q399" s="280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6" t="n">
        <v>45548</v>
      </c>
      <c r="C400" s="279" t="n">
        <v>185</v>
      </c>
      <c r="D400" s="281" t="inlineStr">
        <is>
          <t>Uang makan (6 - 11 September 2024) 6 days</t>
        </is>
      </c>
      <c r="E400" s="281" t="inlineStr">
        <is>
          <t>-</t>
        </is>
      </c>
      <c r="F400" s="287" t="n">
        <v>900000</v>
      </c>
      <c r="G400" s="283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1" t="inlineStr">
        <is>
          <t>Expense#31</t>
        </is>
      </c>
      <c r="C401" s="302" t="inlineStr">
        <is>
          <t>:</t>
        </is>
      </c>
      <c r="D401" s="303" t="inlineStr">
        <is>
          <t>ALFA PMB-009 (Cancel)_ TMA</t>
        </is>
      </c>
      <c r="E401" s="304" t="n"/>
      <c r="F401" s="305" t="n"/>
      <c r="G401" s="302" t="n"/>
      <c r="H401" s="302" t="n"/>
      <c r="I401" s="307" t="n"/>
      <c r="J401" s="307" t="n"/>
      <c r="K401" s="308" t="n"/>
      <c r="L401" s="306" t="n"/>
      <c r="M401" s="308" t="n"/>
      <c r="N401" s="308" t="n"/>
      <c r="O401" s="308" t="n"/>
      <c r="P401" s="308" t="n"/>
      <c r="Q401" s="308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09" t="n"/>
      <c r="C402" s="279" t="n"/>
      <c r="D402" s="310" t="inlineStr">
        <is>
          <t>Accommodation</t>
        </is>
      </c>
      <c r="E402" s="311" t="n"/>
      <c r="F402" s="312" t="n"/>
      <c r="G402" s="279" t="n"/>
      <c r="H402" s="279" t="n"/>
      <c r="I402" s="280" t="n"/>
      <c r="J402" s="280" t="n"/>
      <c r="K402" s="280" t="n"/>
      <c r="L402" s="280" t="n"/>
      <c r="M402" s="280" t="n"/>
      <c r="N402" s="280" t="n"/>
      <c r="O402" s="280" t="n"/>
      <c r="P402" s="280" t="n"/>
      <c r="Q402" s="280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6" t="n">
        <v>45541</v>
      </c>
      <c r="C403" s="279" t="n">
        <v>186</v>
      </c>
      <c r="D403" s="281" t="inlineStr">
        <is>
          <t>Hotel 6 Sept - 11 Sept (5 days)</t>
        </is>
      </c>
      <c r="E403" s="281" t="inlineStr">
        <is>
          <t>-</t>
        </is>
      </c>
      <c r="F403" s="287" t="n">
        <v>1800000</v>
      </c>
      <c r="G403" s="283" t="inlineStr">
        <is>
          <t>IDR</t>
        </is>
      </c>
      <c r="H403" s="288" t="n">
        <v>1</v>
      </c>
      <c r="I403" s="289" t="n"/>
      <c r="J403" s="289" t="n"/>
      <c r="K403" s="290" t="n"/>
      <c r="L403" s="291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09" t="n"/>
      <c r="C404" s="279" t="n"/>
      <c r="D404" s="310" t="inlineStr">
        <is>
          <t>Allowance</t>
        </is>
      </c>
      <c r="E404" s="311" t="n"/>
      <c r="F404" s="312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6" t="n">
        <v>45541</v>
      </c>
      <c r="C405" s="279" t="n">
        <v>187</v>
      </c>
      <c r="D405" s="281" t="inlineStr">
        <is>
          <t>Field Allowance</t>
        </is>
      </c>
      <c r="E405" s="281" t="inlineStr">
        <is>
          <t>-</t>
        </is>
      </c>
      <c r="F405" s="287" t="n">
        <v>9262800</v>
      </c>
      <c r="G405" s="283" t="inlineStr">
        <is>
          <t>USD</t>
        </is>
      </c>
      <c r="H405" s="288" t="n">
        <v>15438</v>
      </c>
      <c r="I405" s="289" t="n"/>
      <c r="J405" s="289" t="n"/>
      <c r="K405" s="290" t="n"/>
      <c r="L405" s="291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09" t="n"/>
      <c r="C406" s="279" t="n"/>
      <c r="D406" s="310" t="inlineStr">
        <is>
          <t>Biaya Operasi Lain-lain</t>
        </is>
      </c>
      <c r="E406" s="311" t="n"/>
      <c r="F406" s="312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6" t="n">
        <v>45541</v>
      </c>
      <c r="C407" s="279" t="n">
        <v>188</v>
      </c>
      <c r="D407" s="281" t="inlineStr">
        <is>
          <t>Rent Car 6 Days</t>
        </is>
      </c>
      <c r="E407" s="281" t="inlineStr">
        <is>
          <t>-</t>
        </is>
      </c>
      <c r="F407" s="287" t="n">
        <v>3000000</v>
      </c>
      <c r="G407" s="283" t="inlineStr">
        <is>
          <t>IDR</t>
        </is>
      </c>
      <c r="H407" s="288" t="n">
        <v>1</v>
      </c>
      <c r="I407" s="289" t="n"/>
      <c r="J407" s="289" t="n"/>
      <c r="K407" s="290" t="n"/>
      <c r="L407" s="291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0" t="n"/>
      <c r="C408" s="325" t="n"/>
      <c r="D408" s="326" t="inlineStr">
        <is>
          <t>Laundry</t>
        </is>
      </c>
      <c r="E408" s="327" t="n"/>
      <c r="F408" s="281" t="n"/>
      <c r="G408" s="279" t="n"/>
      <c r="H408" s="279" t="n"/>
      <c r="I408" s="280" t="n"/>
      <c r="J408" s="280" t="n"/>
      <c r="K408" s="280" t="n"/>
      <c r="L408" s="280" t="n"/>
      <c r="M408" s="284" t="n"/>
      <c r="N408" s="280" t="n"/>
      <c r="O408" s="280" t="n"/>
      <c r="P408" s="280" t="n"/>
      <c r="Q408" s="280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6" t="n">
        <v>45541</v>
      </c>
      <c r="C409" s="279" t="n">
        <v>189</v>
      </c>
      <c r="D409" s="281" t="inlineStr">
        <is>
          <t>Laundry 6 days 1 Persons @ 50K IDR/day</t>
        </is>
      </c>
      <c r="E409" s="281" t="inlineStr">
        <is>
          <t>-</t>
        </is>
      </c>
      <c r="F409" s="287" t="n">
        <v>300000</v>
      </c>
      <c r="G409" s="283" t="inlineStr">
        <is>
          <t>IDR</t>
        </is>
      </c>
      <c r="H409" s="288" t="n">
        <v>1</v>
      </c>
      <c r="I409" s="289" t="n"/>
      <c r="J409" s="289" t="n"/>
      <c r="K409" s="290" t="n"/>
      <c r="L409" s="291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78" t="n"/>
      <c r="C410" s="279" t="n"/>
      <c r="D410" s="310" t="inlineStr">
        <is>
          <t>Meal</t>
        </is>
      </c>
      <c r="E410" s="281" t="n"/>
      <c r="F410" s="282" t="n"/>
      <c r="G410" s="279" t="n"/>
      <c r="H410" s="279" t="n"/>
      <c r="I410" s="280" t="n"/>
      <c r="J410" s="280" t="n"/>
      <c r="K410" s="280" t="n"/>
      <c r="L410" s="280" t="n"/>
      <c r="M410" s="284" t="n"/>
      <c r="N410" s="280" t="n"/>
      <c r="O410" s="280" t="n"/>
      <c r="P410" s="285" t="n"/>
      <c r="Q410" s="280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6" t="n">
        <v>45541</v>
      </c>
      <c r="C411" s="279" t="n">
        <v>190</v>
      </c>
      <c r="D411" s="281" t="inlineStr">
        <is>
          <t>Meals</t>
        </is>
      </c>
      <c r="E411" s="281" t="inlineStr">
        <is>
          <t>-</t>
        </is>
      </c>
      <c r="F411" s="287" t="n">
        <v>900000</v>
      </c>
      <c r="G411" s="283" t="inlineStr">
        <is>
          <t>IDR</t>
        </is>
      </c>
      <c r="H411" s="288" t="n">
        <v>1</v>
      </c>
      <c r="I411" s="289" t="n"/>
      <c r="J411" s="289" t="n"/>
      <c r="K411" s="290" t="n"/>
      <c r="L411" s="291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78" t="n"/>
      <c r="C412" s="279" t="n"/>
      <c r="D412" s="310" t="inlineStr">
        <is>
          <t>Transportation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6" t="n">
        <v>45543</v>
      </c>
      <c r="C413" s="279" t="n">
        <v>191</v>
      </c>
      <c r="D413" s="281" t="inlineStr">
        <is>
          <t>Airplane Ticket PLM-CGK</t>
        </is>
      </c>
      <c r="E413" s="281" t="inlineStr">
        <is>
          <t>-</t>
        </is>
      </c>
      <c r="F413" s="287" t="n">
        <v>836100</v>
      </c>
      <c r="G413" s="283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5" t="inlineStr">
        <is>
          <t>Expense#32</t>
        </is>
      </c>
      <c r="C414" s="302" t="inlineStr">
        <is>
          <t>:</t>
        </is>
      </c>
      <c r="D414" s="303" t="inlineStr">
        <is>
          <t>ALFA PMB-009 (Cancel)_ TMA</t>
        </is>
      </c>
      <c r="E414" s="323" t="n"/>
      <c r="F414" s="328" t="n"/>
      <c r="G414" s="302" t="n"/>
      <c r="H414" s="302" t="n"/>
      <c r="I414" s="308" t="n"/>
      <c r="J414" s="308" t="n"/>
      <c r="K414" s="308" t="n"/>
      <c r="L414" s="308" t="n"/>
      <c r="M414" s="306" t="n"/>
      <c r="N414" s="308" t="n"/>
      <c r="O414" s="308" t="n"/>
      <c r="P414" s="307" t="n"/>
      <c r="Q414" s="308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78" t="n"/>
      <c r="C415" s="279" t="n"/>
      <c r="D415" s="310" t="inlineStr">
        <is>
          <t>Allowance</t>
        </is>
      </c>
      <c r="E415" s="281" t="n"/>
      <c r="F415" s="282" t="n"/>
      <c r="G415" s="279" t="n"/>
      <c r="H415" s="279" t="n"/>
      <c r="I415" s="280" t="n"/>
      <c r="J415" s="280" t="n"/>
      <c r="K415" s="280" t="n"/>
      <c r="L415" s="280" t="n"/>
      <c r="M415" s="285" t="n"/>
      <c r="N415" s="280" t="n"/>
      <c r="O415" s="280" t="n"/>
      <c r="P415" s="285" t="n"/>
      <c r="Q415" s="280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6" t="n">
        <v>45561</v>
      </c>
      <c r="C416" s="279" t="n">
        <v>192</v>
      </c>
      <c r="D416" s="281" t="inlineStr">
        <is>
          <t>Field Bonus SKW#26 (22 - 26 Sept 2024). 1US$=15.100</t>
        </is>
      </c>
      <c r="E416" s="281" t="inlineStr">
        <is>
          <t>-</t>
        </is>
      </c>
      <c r="F416" s="287" t="n">
        <v>500</v>
      </c>
      <c r="G416" s="283" t="inlineStr">
        <is>
          <t>IDR</t>
        </is>
      </c>
      <c r="H416" s="288" t="n">
        <v>15100</v>
      </c>
      <c r="I416" s="289" t="n"/>
      <c r="J416" s="289" t="n"/>
      <c r="K416" s="290" t="n"/>
      <c r="L416" s="291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09" t="n"/>
      <c r="C417" s="279" t="n"/>
      <c r="D417" s="310" t="inlineStr">
        <is>
          <t>Laundry</t>
        </is>
      </c>
      <c r="E417" s="318" t="n"/>
      <c r="F417" s="282" t="n"/>
      <c r="G417" s="279" t="n"/>
      <c r="H417" s="279" t="n"/>
      <c r="I417" s="280" t="n"/>
      <c r="J417" s="280" t="n"/>
      <c r="K417" s="280" t="n"/>
      <c r="L417" s="280" t="n"/>
      <c r="M417" s="280" t="n"/>
      <c r="N417" s="280" t="n"/>
      <c r="O417" s="280" t="n"/>
      <c r="P417" s="280" t="n"/>
      <c r="Q417" s="280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6" t="n">
        <v>45561</v>
      </c>
      <c r="C418" s="279" t="n">
        <v>193</v>
      </c>
      <c r="D418" s="281" t="inlineStr">
        <is>
          <t>Laundry (22 - 26 Sept 2024)</t>
        </is>
      </c>
      <c r="E418" s="281" t="inlineStr">
        <is>
          <t>-</t>
        </is>
      </c>
      <c r="F418" s="287" t="n">
        <v>250000</v>
      </c>
      <c r="G418" s="283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09" t="n"/>
      <c r="C419" s="279" t="n"/>
      <c r="D419" s="310" t="inlineStr">
        <is>
          <t>Meal</t>
        </is>
      </c>
      <c r="E419" s="311" t="n"/>
      <c r="F419" s="282" t="n"/>
      <c r="G419" s="279" t="n"/>
      <c r="H419" s="279" t="n"/>
      <c r="I419" s="280" t="n"/>
      <c r="J419" s="280" t="n"/>
      <c r="K419" s="280" t="n"/>
      <c r="L419" s="280" t="n"/>
      <c r="M419" s="280" t="n"/>
      <c r="N419" s="280" t="n"/>
      <c r="O419" s="280" t="n"/>
      <c r="P419" s="280" t="n"/>
      <c r="Q419" s="280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6" t="n">
        <v>45561</v>
      </c>
      <c r="C420" s="279" t="n">
        <v>194</v>
      </c>
      <c r="D420" s="281" t="inlineStr">
        <is>
          <t>Uang Makan (22 - 26 Sept 2024)</t>
        </is>
      </c>
      <c r="E420" s="281" t="inlineStr">
        <is>
          <t>-</t>
        </is>
      </c>
      <c r="F420" s="287" t="n">
        <v>750000</v>
      </c>
      <c r="G420" s="283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78" t="n"/>
      <c r="C421" s="279" t="n"/>
      <c r="D421" s="310" t="inlineStr">
        <is>
          <t>Transportation</t>
        </is>
      </c>
      <c r="E421" s="313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6" t="n">
        <v>45561</v>
      </c>
      <c r="C422" s="279" t="n">
        <v>195</v>
      </c>
      <c r="D422" s="281" t="inlineStr">
        <is>
          <t>Taxi+Tol Gambir - Serpong</t>
        </is>
      </c>
      <c r="E422" s="281" t="inlineStr">
        <is>
          <t>-</t>
        </is>
      </c>
      <c r="F422" s="287" t="n">
        <v>240000</v>
      </c>
      <c r="G422" s="283" t="inlineStr">
        <is>
          <t>IDR</t>
        </is>
      </c>
      <c r="H422" s="288" t="n">
        <v>1</v>
      </c>
      <c r="I422" s="289" t="n"/>
      <c r="J422" s="289" t="n"/>
      <c r="K422" s="290" t="n"/>
      <c r="L422" s="291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5" t="inlineStr">
        <is>
          <t>Expense#33</t>
        </is>
      </c>
      <c r="C423" s="302" t="inlineStr">
        <is>
          <t>:</t>
        </is>
      </c>
      <c r="D423" s="303" t="inlineStr">
        <is>
          <t>ALFA Job JRK-095 (Jirak) - IBR</t>
        </is>
      </c>
      <c r="E423" s="304" t="n"/>
      <c r="F423" s="328" t="n"/>
      <c r="G423" s="302" t="n"/>
      <c r="H423" s="302" t="n"/>
      <c r="I423" s="306" t="n"/>
      <c r="J423" s="308" t="n"/>
      <c r="K423" s="308" t="n"/>
      <c r="L423" s="308" t="n"/>
      <c r="M423" s="307" t="n"/>
      <c r="N423" s="308" t="n"/>
      <c r="O423" s="308" t="n"/>
      <c r="P423" s="308" t="n"/>
      <c r="Q423" s="308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78" t="n"/>
      <c r="C424" s="279" t="n"/>
      <c r="D424" s="310" t="inlineStr">
        <is>
          <t>Accommodation</t>
        </is>
      </c>
      <c r="E424" s="313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6" t="n">
        <v>45563</v>
      </c>
      <c r="C425" s="279" t="n">
        <v>196</v>
      </c>
      <c r="D425" s="281" t="inlineStr">
        <is>
          <t>Hotel 21 Sept - 27 Sept 2024 (6 days)</t>
        </is>
      </c>
      <c r="E425" s="281" t="inlineStr">
        <is>
          <t>-</t>
        </is>
      </c>
      <c r="F425" s="287" t="n">
        <v>1680000</v>
      </c>
      <c r="G425" s="283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78" t="n"/>
      <c r="C426" s="279" t="n"/>
      <c r="D426" s="310" t="inlineStr">
        <is>
          <t>Allowance</t>
        </is>
      </c>
      <c r="E426" s="313" t="n"/>
      <c r="F426" s="282" t="n"/>
      <c r="G426" s="279" t="n"/>
      <c r="H426" s="279" t="n"/>
      <c r="I426" s="280" t="n"/>
      <c r="J426" s="280" t="n"/>
      <c r="K426" s="280" t="n"/>
      <c r="L426" s="280" t="n"/>
      <c r="M426" s="284" t="n"/>
      <c r="N426" s="285" t="n"/>
      <c r="O426" s="280" t="n"/>
      <c r="P426" s="280" t="n"/>
      <c r="Q426" s="280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6" t="n">
        <v>45563</v>
      </c>
      <c r="C427" s="279" t="n">
        <v>197</v>
      </c>
      <c r="D427" s="281" t="inlineStr">
        <is>
          <t>Field Allowance 20 Sept - 27 Sept 2024</t>
        </is>
      </c>
      <c r="E427" s="281" t="inlineStr">
        <is>
          <t>-</t>
        </is>
      </c>
      <c r="F427" s="287" t="n">
        <v>2668750</v>
      </c>
      <c r="G427" s="283" t="inlineStr">
        <is>
          <t>USD</t>
        </is>
      </c>
      <c r="H427" s="288" t="n">
        <v>15250</v>
      </c>
      <c r="I427" s="289" t="n"/>
      <c r="J427" s="289" t="n"/>
      <c r="K427" s="290" t="n"/>
      <c r="L427" s="291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78" t="n"/>
      <c r="C428" s="279" t="n"/>
      <c r="D428" s="310" t="inlineStr">
        <is>
          <t>Laundry</t>
        </is>
      </c>
      <c r="E428" s="313" t="n"/>
      <c r="F428" s="282" t="n"/>
      <c r="G428" s="279" t="n"/>
      <c r="H428" s="279" t="n"/>
      <c r="I428" s="280" t="n"/>
      <c r="J428" s="280" t="n"/>
      <c r="K428" s="280" t="n"/>
      <c r="L428" s="280" t="n"/>
      <c r="M428" s="284" t="n"/>
      <c r="N428" s="285" t="n"/>
      <c r="O428" s="280" t="n"/>
      <c r="P428" s="280" t="n"/>
      <c r="Q428" s="280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6" t="n">
        <v>45563</v>
      </c>
      <c r="C429" s="279" t="n">
        <v>198</v>
      </c>
      <c r="D429" s="281" t="inlineStr">
        <is>
          <t>Laundry 20 Sept - 27 Sept 2024 (7days) @ Rp. 50000</t>
        </is>
      </c>
      <c r="E429" s="281" t="inlineStr">
        <is>
          <t>-</t>
        </is>
      </c>
      <c r="F429" s="287" t="n">
        <v>350000</v>
      </c>
      <c r="G429" s="283" t="inlineStr">
        <is>
          <t>IDR</t>
        </is>
      </c>
      <c r="H429" s="288" t="n">
        <v>1</v>
      </c>
      <c r="I429" s="289" t="n"/>
      <c r="J429" s="289" t="n"/>
      <c r="K429" s="290" t="n"/>
      <c r="L429" s="291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78" t="n"/>
      <c r="C430" s="279" t="n"/>
      <c r="D430" s="310" t="inlineStr">
        <is>
          <t>Maintenance</t>
        </is>
      </c>
      <c r="E430" s="313" t="n"/>
      <c r="F430" s="282" t="n"/>
      <c r="G430" s="279" t="n"/>
      <c r="H430" s="279" t="n"/>
      <c r="I430" s="280" t="n"/>
      <c r="J430" s="280" t="n"/>
      <c r="K430" s="280" t="n"/>
      <c r="L430" s="280" t="n"/>
      <c r="M430" s="280" t="n"/>
      <c r="N430" s="285" t="n"/>
      <c r="O430" s="280" t="n"/>
      <c r="P430" s="280" t="n"/>
      <c r="Q430" s="280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6" t="n">
        <v>45563</v>
      </c>
      <c r="C431" s="279" t="n">
        <v>199</v>
      </c>
      <c r="D431" s="281" t="inlineStr">
        <is>
          <t>Car Wash</t>
        </is>
      </c>
      <c r="E431" s="281" t="inlineStr">
        <is>
          <t>-</t>
        </is>
      </c>
      <c r="F431" s="287" t="n">
        <v>40000</v>
      </c>
      <c r="G431" s="283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78" t="n"/>
      <c r="C432" s="279" t="n"/>
      <c r="D432" s="310" t="inlineStr">
        <is>
          <t>Meal</t>
        </is>
      </c>
      <c r="E432" s="313" t="n"/>
      <c r="F432" s="282" t="n"/>
      <c r="G432" s="279" t="n"/>
      <c r="H432" s="279" t="n"/>
      <c r="I432" s="280" t="n"/>
      <c r="J432" s="280" t="n"/>
      <c r="K432" s="280" t="n"/>
      <c r="L432" s="280" t="n"/>
      <c r="M432" s="280" t="n"/>
      <c r="N432" s="285" t="n"/>
      <c r="O432" s="280" t="n"/>
      <c r="P432" s="280" t="n"/>
      <c r="Q432" s="280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6" t="n">
        <v>45563</v>
      </c>
      <c r="C433" s="279" t="n">
        <v>200</v>
      </c>
      <c r="D433" s="281" t="inlineStr">
        <is>
          <t>Meals 20 Sept - 27 Sept 2024 7 days</t>
        </is>
      </c>
      <c r="E433" s="281" t="inlineStr">
        <is>
          <t>-</t>
        </is>
      </c>
      <c r="F433" s="287" t="n">
        <v>1050000</v>
      </c>
      <c r="G433" s="283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09" t="n"/>
      <c r="C434" s="279" t="n"/>
      <c r="D434" s="310" t="inlineStr">
        <is>
          <t>Transportation</t>
        </is>
      </c>
      <c r="E434" s="311" t="n"/>
      <c r="F434" s="282" t="n"/>
      <c r="G434" s="279" t="n"/>
      <c r="H434" s="279" t="n"/>
      <c r="I434" s="280" t="n"/>
      <c r="J434" s="280" t="n"/>
      <c r="K434" s="280" t="n"/>
      <c r="L434" s="280" t="n"/>
      <c r="M434" s="280" t="n"/>
      <c r="N434" s="280" t="n"/>
      <c r="O434" s="280" t="n"/>
      <c r="P434" s="280" t="n"/>
      <c r="Q434" s="280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6" t="n">
        <v>45563</v>
      </c>
      <c r="C435" s="279" t="n">
        <v>201</v>
      </c>
      <c r="D435" s="281" t="inlineStr">
        <is>
          <t>Toll (Prabumulih-PLM)</t>
        </is>
      </c>
      <c r="E435" s="281" t="inlineStr">
        <is>
          <t>-</t>
        </is>
      </c>
      <c r="F435" s="287" t="n">
        <v>117000</v>
      </c>
      <c r="G435" s="283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5" t="inlineStr">
        <is>
          <t>Expense#34</t>
        </is>
      </c>
      <c r="C436" s="302" t="inlineStr">
        <is>
          <t>:</t>
        </is>
      </c>
      <c r="D436" s="303" t="inlineStr">
        <is>
          <t>ALFA_JRK-095 well (PEPZ4-PEndopo field) SI jakarta _ AC</t>
        </is>
      </c>
      <c r="E436" s="304" t="n"/>
      <c r="F436" s="328" t="n"/>
      <c r="G436" s="302" t="n"/>
      <c r="H436" s="302" t="n"/>
      <c r="I436" s="307" t="n"/>
      <c r="J436" s="308" t="n"/>
      <c r="K436" s="308" t="n"/>
      <c r="L436" s="308" t="n"/>
      <c r="M436" s="308" t="n"/>
      <c r="N436" s="308" t="n"/>
      <c r="O436" s="308" t="n"/>
      <c r="P436" s="308" t="n"/>
      <c r="Q436" s="308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78" t="n"/>
      <c r="C437" s="279" t="n"/>
      <c r="D437" s="310" t="inlineStr">
        <is>
          <t>Allowance</t>
        </is>
      </c>
      <c r="E437" s="313" t="n"/>
      <c r="F437" s="282" t="n"/>
      <c r="G437" s="279" t="n"/>
      <c r="H437" s="279" t="n"/>
      <c r="I437" s="285" t="n"/>
      <c r="J437" s="280" t="n"/>
      <c r="K437" s="280" t="n"/>
      <c r="L437" s="280" t="n"/>
      <c r="M437" s="280" t="n"/>
      <c r="N437" s="280" t="n"/>
      <c r="O437" s="280" t="n"/>
      <c r="P437" s="280" t="n"/>
      <c r="Q437" s="280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6" t="n">
        <v>45565</v>
      </c>
      <c r="C438" s="279" t="n">
        <v>202</v>
      </c>
      <c r="D438" s="281" t="inlineStr">
        <is>
          <t>Tunjangan lapaangan for 8 days- (job at JRK-095)</t>
        </is>
      </c>
      <c r="E438" s="281" t="inlineStr">
        <is>
          <t>-</t>
        </is>
      </c>
      <c r="F438" s="287" t="n">
        <v>12160000</v>
      </c>
      <c r="G438" s="283" t="inlineStr">
        <is>
          <t>USD</t>
        </is>
      </c>
      <c r="H438" s="288" t="n">
        <v>15200</v>
      </c>
      <c r="I438" s="289" t="n"/>
      <c r="J438" s="289" t="n"/>
      <c r="K438" s="290" t="n"/>
      <c r="L438" s="291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78" t="n"/>
      <c r="C439" s="279" t="n"/>
      <c r="D439" s="310" t="inlineStr">
        <is>
          <t>Laundry</t>
        </is>
      </c>
      <c r="E439" s="345" t="n"/>
      <c r="F439" s="282" t="n"/>
      <c r="G439" s="279" t="n"/>
      <c r="H439" s="279" t="n"/>
      <c r="I439" s="280" t="n"/>
      <c r="J439" s="280" t="n"/>
      <c r="K439" s="280" t="n"/>
      <c r="L439" s="280" t="n"/>
      <c r="M439" s="280" t="n"/>
      <c r="N439" s="280" t="n"/>
      <c r="O439" s="280" t="n"/>
      <c r="P439" s="280" t="n"/>
      <c r="Q439" s="280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6" t="n">
        <v>45564</v>
      </c>
      <c r="C440" s="279" t="n">
        <v>203</v>
      </c>
      <c r="D440" s="281" t="inlineStr">
        <is>
          <t>Laundry 8 days @ 50K IDR/day</t>
        </is>
      </c>
      <c r="E440" s="281" t="inlineStr">
        <is>
          <t>-</t>
        </is>
      </c>
      <c r="F440" s="287" t="n">
        <v>400000</v>
      </c>
      <c r="G440" s="283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09" t="n"/>
      <c r="C441" s="279" t="n"/>
      <c r="D441" s="310" t="inlineStr">
        <is>
          <t>Meal</t>
        </is>
      </c>
      <c r="E441" s="313" t="n"/>
      <c r="F441" s="282" t="n"/>
      <c r="G441" s="279" t="n"/>
      <c r="H441" s="279" t="n"/>
      <c r="I441" s="284" t="n"/>
      <c r="J441" s="280" t="n"/>
      <c r="K441" s="280" t="n"/>
      <c r="L441" s="280" t="n"/>
      <c r="M441" s="284" t="n"/>
      <c r="N441" s="280" t="n"/>
      <c r="O441" s="280" t="n"/>
      <c r="P441" s="280" t="n"/>
      <c r="Q441" s="280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6" t="n">
        <v>45564</v>
      </c>
      <c r="C442" s="279" t="n">
        <v>204</v>
      </c>
      <c r="D442" s="281" t="inlineStr">
        <is>
          <t>Meals 8 days @ 150K IDR/day</t>
        </is>
      </c>
      <c r="E442" s="281" t="inlineStr">
        <is>
          <t>-</t>
        </is>
      </c>
      <c r="F442" s="287" t="n">
        <v>900000</v>
      </c>
      <c r="G442" s="283" t="inlineStr">
        <is>
          <t>IDR</t>
        </is>
      </c>
      <c r="H442" s="288" t="n">
        <v>1</v>
      </c>
      <c r="I442" s="289" t="n"/>
      <c r="J442" s="289" t="n"/>
      <c r="K442" s="290" t="n"/>
      <c r="L442" s="291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09" t="n"/>
      <c r="C443" s="279" t="n"/>
      <c r="D443" s="310" t="inlineStr">
        <is>
          <t>Transportation</t>
        </is>
      </c>
      <c r="E443" s="311" t="n"/>
      <c r="F443" s="282" t="n"/>
      <c r="G443" s="279" t="n"/>
      <c r="H443" s="279" t="n"/>
      <c r="I443" s="280" t="n"/>
      <c r="J443" s="280" t="n"/>
      <c r="K443" s="280" t="n"/>
      <c r="L443" s="280" t="n"/>
      <c r="M443" s="284" t="n"/>
      <c r="N443" s="284" t="n"/>
      <c r="O443" s="280" t="n"/>
      <c r="P443" s="280" t="n"/>
      <c r="Q443" s="280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6" t="n">
        <v>45564</v>
      </c>
      <c r="C444" s="279" t="n">
        <v>205</v>
      </c>
      <c r="D444" s="281" t="inlineStr">
        <is>
          <t>Sewa mobil 8 hari (21/09/24 - 29/09/24)</t>
        </is>
      </c>
      <c r="E444" s="281" t="inlineStr">
        <is>
          <t>-</t>
        </is>
      </c>
      <c r="F444" s="287" t="n">
        <v>4000000</v>
      </c>
      <c r="G444" s="283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1" t="inlineStr">
        <is>
          <t>Expense#35</t>
        </is>
      </c>
      <c r="C445" s="302" t="inlineStr">
        <is>
          <t>:</t>
        </is>
      </c>
      <c r="D445" s="303" t="inlineStr">
        <is>
          <t>Trip to Cirebon Meeting MTD job X-ray field with PEP Zona 7 Region2_AC</t>
        </is>
      </c>
      <c r="E445" s="304" t="n"/>
      <c r="F445" s="328" t="n"/>
      <c r="G445" s="302" t="n"/>
      <c r="H445" s="302" t="n"/>
      <c r="I445" s="307" t="n"/>
      <c r="J445" s="308" t="n"/>
      <c r="K445" s="308" t="n"/>
      <c r="L445" s="308" t="n"/>
      <c r="M445" s="306" t="n"/>
      <c r="N445" s="308" t="n"/>
      <c r="O445" s="308" t="n"/>
      <c r="P445" s="308" t="n"/>
      <c r="Q445" s="308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09" t="n"/>
      <c r="C446" s="279" t="n"/>
      <c r="D446" s="310" t="inlineStr">
        <is>
          <t>Accommodation</t>
        </is>
      </c>
      <c r="E446" s="311" t="n"/>
      <c r="F446" s="282" t="n"/>
      <c r="G446" s="279" t="n"/>
      <c r="H446" s="279" t="n"/>
      <c r="I446" s="280" t="n"/>
      <c r="J446" s="280" t="n"/>
      <c r="K446" s="280" t="n"/>
      <c r="L446" s="280" t="n"/>
      <c r="M446" s="285" t="n"/>
      <c r="N446" s="280" t="n"/>
      <c r="O446" s="280" t="n"/>
      <c r="P446" s="280" t="n"/>
      <c r="Q446" s="280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6" t="n">
        <v>45552</v>
      </c>
      <c r="C447" s="279" t="n">
        <v>206</v>
      </c>
      <c r="D447" s="281" t="inlineStr">
        <is>
          <t>Hotel</t>
        </is>
      </c>
      <c r="E447" s="281" t="inlineStr">
        <is>
          <t>-</t>
        </is>
      </c>
      <c r="F447" s="287" t="n">
        <v>700000</v>
      </c>
      <c r="G447" s="283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09" t="n"/>
      <c r="C448" s="279" t="n"/>
      <c r="D448" s="310" t="inlineStr">
        <is>
          <t>Laundry</t>
        </is>
      </c>
      <c r="E448" s="313" t="n"/>
      <c r="F448" s="282" t="n"/>
      <c r="G448" s="279" t="n"/>
      <c r="H448" s="279" t="n"/>
      <c r="I448" s="285" t="n"/>
      <c r="J448" s="280" t="n"/>
      <c r="K448" s="280" t="n"/>
      <c r="L448" s="280" t="n"/>
      <c r="M448" s="280" t="n"/>
      <c r="N448" s="280" t="n"/>
      <c r="O448" s="280" t="n"/>
      <c r="P448" s="280" t="n"/>
      <c r="Q448" s="280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6" t="n">
        <v>45553</v>
      </c>
      <c r="C449" s="279" t="n">
        <v>207</v>
      </c>
      <c r="D449" s="281" t="inlineStr">
        <is>
          <t>Loundry 2 days @Rp. 50.000</t>
        </is>
      </c>
      <c r="E449" s="281" t="inlineStr">
        <is>
          <t>-</t>
        </is>
      </c>
      <c r="F449" s="287" t="n">
        <v>100000</v>
      </c>
      <c r="G449" s="283" t="inlineStr">
        <is>
          <t>IDR</t>
        </is>
      </c>
      <c r="H449" s="288" t="n">
        <v>1</v>
      </c>
      <c r="I449" s="289" t="n"/>
      <c r="J449" s="289" t="n"/>
      <c r="K449" s="290" t="n"/>
      <c r="L449" s="291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09" t="n"/>
      <c r="C450" s="279" t="n"/>
      <c r="D450" s="310" t="inlineStr">
        <is>
          <t>Meal</t>
        </is>
      </c>
      <c r="E450" s="313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6" t="n">
        <v>45553</v>
      </c>
      <c r="C451" s="279" t="n">
        <v>208</v>
      </c>
      <c r="D451" s="281" t="inlineStr">
        <is>
          <t>Uang makan utk 3 hari (17-18 Sept-24) @150.000</t>
        </is>
      </c>
      <c r="E451" s="281" t="inlineStr">
        <is>
          <t>-</t>
        </is>
      </c>
      <c r="F451" s="287" t="n">
        <v>300000</v>
      </c>
      <c r="G451" s="283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09" t="n"/>
      <c r="C452" s="279" t="n"/>
      <c r="D452" s="310" t="inlineStr">
        <is>
          <t>Transportation</t>
        </is>
      </c>
      <c r="E452" s="313" t="n"/>
      <c r="F452" s="282" t="n"/>
      <c r="G452" s="279" t="n"/>
      <c r="H452" s="279" t="n"/>
      <c r="I452" s="285" t="n"/>
      <c r="J452" s="280" t="n"/>
      <c r="K452" s="280" t="n"/>
      <c r="L452" s="280" t="n"/>
      <c r="M452" s="280" t="n"/>
      <c r="N452" s="280" t="n"/>
      <c r="O452" s="280" t="n"/>
      <c r="P452" s="280" t="n"/>
      <c r="Q452" s="280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6" t="n">
        <v>45553</v>
      </c>
      <c r="C453" s="279" t="n">
        <v>209</v>
      </c>
      <c r="D453" s="281" t="inlineStr">
        <is>
          <t>Fuel</t>
        </is>
      </c>
      <c r="E453" s="281" t="inlineStr">
        <is>
          <t>-</t>
        </is>
      </c>
      <c r="F453" s="287" t="n">
        <v>222650</v>
      </c>
      <c r="G453" s="283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1" t="inlineStr">
        <is>
          <t>Expense#36</t>
        </is>
      </c>
      <c r="C454" s="302" t="inlineStr">
        <is>
          <t>:</t>
        </is>
      </c>
      <c r="D454" s="303" t="inlineStr">
        <is>
          <t>Non project (follow up MCU concul &amp; inspection tool)_AC_ 2 nd</t>
        </is>
      </c>
      <c r="E454" s="304" t="n"/>
      <c r="F454" s="328" t="n"/>
      <c r="G454" s="302" t="n"/>
      <c r="H454" s="302" t="n"/>
      <c r="I454" s="307" t="n"/>
      <c r="J454" s="308" t="n"/>
      <c r="K454" s="308" t="n"/>
      <c r="L454" s="308" t="n"/>
      <c r="M454" s="308" t="n"/>
      <c r="N454" s="308" t="n"/>
      <c r="O454" s="308" t="n"/>
      <c r="P454" s="308" t="n"/>
      <c r="Q454" s="308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09" t="n"/>
      <c r="C455" s="279" t="n"/>
      <c r="D455" s="310" t="inlineStr">
        <is>
          <t>Biaya Operasi Lain-lain</t>
        </is>
      </c>
      <c r="E455" s="313" t="n"/>
      <c r="F455" s="282" t="n"/>
      <c r="G455" s="279" t="n"/>
      <c r="H455" s="279" t="n"/>
      <c r="I455" s="280" t="n"/>
      <c r="J455" s="280" t="n"/>
      <c r="K455" s="280" t="n"/>
      <c r="L455" s="280" t="n"/>
      <c r="M455" s="280" t="n"/>
      <c r="N455" s="285" t="n"/>
      <c r="O455" s="280" t="n"/>
      <c r="P455" s="280" t="n"/>
      <c r="Q455" s="280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6" t="n">
        <v>45530</v>
      </c>
      <c r="C456" s="279" t="n">
        <v>210</v>
      </c>
      <c r="D456" s="281" t="inlineStr">
        <is>
          <t>printing di snappy</t>
        </is>
      </c>
      <c r="E456" s="281" t="inlineStr">
        <is>
          <t>-</t>
        </is>
      </c>
      <c r="F456" s="287" t="n">
        <v>31000</v>
      </c>
      <c r="G456" s="283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09" t="n"/>
      <c r="C457" s="279" t="n"/>
      <c r="D457" s="310" t="inlineStr">
        <is>
          <t>Medical</t>
        </is>
      </c>
      <c r="E457" s="313" t="n"/>
      <c r="F457" s="282" t="n"/>
      <c r="G457" s="279" t="n"/>
      <c r="H457" s="279" t="n"/>
      <c r="I457" s="280" t="n"/>
      <c r="J457" s="280" t="n"/>
      <c r="K457" s="280" t="n"/>
      <c r="L457" s="280" t="n"/>
      <c r="M457" s="284" t="n"/>
      <c r="N457" s="285" t="n"/>
      <c r="O457" s="280" t="n"/>
      <c r="P457" s="280" t="n"/>
      <c r="Q457" s="280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6" t="n">
        <v>45566</v>
      </c>
      <c r="C458" s="279" t="n">
        <v>211</v>
      </c>
      <c r="D458" s="281" t="inlineStr">
        <is>
          <t>Biaya Konsul ke 2, Dokter Jantung</t>
        </is>
      </c>
      <c r="E458" s="281" t="inlineStr">
        <is>
          <t>-</t>
        </is>
      </c>
      <c r="F458" s="287" t="n">
        <v>1370000</v>
      </c>
      <c r="G458" s="283" t="inlineStr">
        <is>
          <t>IDR</t>
        </is>
      </c>
      <c r="H458" s="288" t="n">
        <v>1</v>
      </c>
      <c r="I458" s="289" t="n"/>
      <c r="J458" s="289" t="n"/>
      <c r="K458" s="290" t="n"/>
      <c r="L458" s="281" t="n"/>
      <c r="M458" s="281" t="n"/>
      <c r="N458" s="281" t="n"/>
      <c r="O458" s="281" t="n"/>
      <c r="P458" s="291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09" t="n"/>
      <c r="C459" s="279" t="n"/>
      <c r="D459" s="310" t="inlineStr">
        <is>
          <t>Transportation</t>
        </is>
      </c>
      <c r="E459" s="311" t="n"/>
      <c r="F459" s="282" t="n"/>
      <c r="G459" s="279" t="n"/>
      <c r="H459" s="279" t="n"/>
      <c r="I459" s="280" t="n"/>
      <c r="J459" s="280" t="n"/>
      <c r="K459" s="280" t="n"/>
      <c r="L459" s="280" t="n"/>
      <c r="M459" s="284" t="n"/>
      <c r="N459" s="280" t="n"/>
      <c r="O459" s="280" t="n"/>
      <c r="P459" s="280" t="n"/>
      <c r="Q459" s="280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6" t="n">
        <v>45537</v>
      </c>
      <c r="C460" s="279" t="n">
        <v>212</v>
      </c>
      <c r="D460" s="281" t="inlineStr">
        <is>
          <t>Pengiriman dokumen ke Rachmansyah-Sijak</t>
        </is>
      </c>
      <c r="E460" s="281" t="inlineStr">
        <is>
          <t>-</t>
        </is>
      </c>
      <c r="F460" s="287" t="n">
        <v>18000</v>
      </c>
      <c r="G460" s="283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1" t="inlineStr">
        <is>
          <t>Expense#37</t>
        </is>
      </c>
      <c r="C461" s="302" t="inlineStr">
        <is>
          <t>:</t>
        </is>
      </c>
      <c r="D461" s="303" t="inlineStr">
        <is>
          <t>MTD SKW-26_sukowati_TMA</t>
        </is>
      </c>
      <c r="E461" s="304" t="n"/>
      <c r="F461" s="328" t="n"/>
      <c r="G461" s="302" t="n"/>
      <c r="H461" s="302" t="n"/>
      <c r="I461" s="307" t="n"/>
      <c r="J461" s="308" t="n"/>
      <c r="K461" s="308" t="n"/>
      <c r="L461" s="308" t="n"/>
      <c r="M461" s="306" t="n"/>
      <c r="N461" s="308" t="n"/>
      <c r="O461" s="308" t="n"/>
      <c r="P461" s="308" t="n"/>
      <c r="Q461" s="308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09" t="n"/>
      <c r="C462" s="279" t="n"/>
      <c r="D462" s="310" t="inlineStr">
        <is>
          <t>Accommodation</t>
        </is>
      </c>
      <c r="E462" s="313" t="n"/>
      <c r="F462" s="282" t="n"/>
      <c r="G462" s="279" t="n"/>
      <c r="H462" s="279" t="n"/>
      <c r="I462" s="285" t="n"/>
      <c r="J462" s="280" t="n"/>
      <c r="K462" s="280" t="n"/>
      <c r="L462" s="280" t="n"/>
      <c r="M462" s="285" t="n"/>
      <c r="N462" s="280" t="n"/>
      <c r="O462" s="280" t="n"/>
      <c r="P462" s="280" t="n"/>
      <c r="Q462" s="280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6" t="n">
        <v>45558</v>
      </c>
      <c r="C463" s="279" t="n">
        <v>213</v>
      </c>
      <c r="D463" s="281" t="inlineStr">
        <is>
          <t>Hotel 23 Sept - 26 Sept (3 days)</t>
        </is>
      </c>
      <c r="E463" s="281" t="inlineStr">
        <is>
          <t>-</t>
        </is>
      </c>
      <c r="F463" s="287" t="n">
        <v>1584184</v>
      </c>
      <c r="G463" s="283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09" t="n"/>
      <c r="C464" s="279" t="n"/>
      <c r="D464" s="310" t="inlineStr">
        <is>
          <t>Allowance</t>
        </is>
      </c>
      <c r="E464" s="313" t="n"/>
      <c r="F464" s="282" t="n"/>
      <c r="G464" s="279" t="n"/>
      <c r="H464" s="279" t="n"/>
      <c r="I464" s="285" t="n"/>
      <c r="J464" s="280" t="n"/>
      <c r="K464" s="280" t="n"/>
      <c r="L464" s="280" t="n"/>
      <c r="M464" s="285" t="n"/>
      <c r="N464" s="280" t="n"/>
      <c r="O464" s="280" t="n"/>
      <c r="P464" s="280" t="n"/>
      <c r="Q464" s="280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6" t="n">
        <v>45558</v>
      </c>
      <c r="C465" s="279" t="n">
        <v>214</v>
      </c>
      <c r="D465" s="281" t="inlineStr">
        <is>
          <t>Field Allowance</t>
        </is>
      </c>
      <c r="E465" s="281" t="inlineStr">
        <is>
          <t>-</t>
        </is>
      </c>
      <c r="F465" s="287" t="n">
        <v>7615500</v>
      </c>
      <c r="G465" s="283" t="inlineStr">
        <is>
          <t>USD</t>
        </is>
      </c>
      <c r="H465" s="288" t="n">
        <v>15231</v>
      </c>
      <c r="I465" s="289" t="n"/>
      <c r="J465" s="289" t="n"/>
      <c r="K465" s="290" t="n"/>
      <c r="L465" s="291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09" t="n"/>
      <c r="C466" s="279" t="n"/>
      <c r="D466" s="310" t="inlineStr">
        <is>
          <t>Laundry</t>
        </is>
      </c>
      <c r="E466" s="313" t="n"/>
      <c r="F466" s="282" t="n"/>
      <c r="G466" s="279" t="n"/>
      <c r="H466" s="279" t="n"/>
      <c r="I466" s="285" t="n"/>
      <c r="J466" s="280" t="n"/>
      <c r="K466" s="280" t="n"/>
      <c r="L466" s="280" t="n"/>
      <c r="M466" s="280" t="n"/>
      <c r="N466" s="280" t="n"/>
      <c r="O466" s="280" t="n"/>
      <c r="P466" s="280" t="n"/>
      <c r="Q466" s="280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6" t="n">
        <v>45558</v>
      </c>
      <c r="C467" s="279" t="n">
        <v>215</v>
      </c>
      <c r="D467" s="281" t="inlineStr">
        <is>
          <t>Laundry 6 days 1 Persons @ 50K IDR/day</t>
        </is>
      </c>
      <c r="E467" s="281" t="inlineStr">
        <is>
          <t>-</t>
        </is>
      </c>
      <c r="F467" s="287" t="n">
        <v>250000</v>
      </c>
      <c r="G467" s="283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09" t="n"/>
      <c r="C468" s="279" t="n"/>
      <c r="D468" s="310" t="inlineStr">
        <is>
          <t>Meal</t>
        </is>
      </c>
      <c r="E468" s="313" t="n"/>
      <c r="F468" s="282" t="n"/>
      <c r="G468" s="279" t="n"/>
      <c r="H468" s="279" t="n"/>
      <c r="I468" s="285" t="n"/>
      <c r="J468" s="280" t="n"/>
      <c r="K468" s="280" t="n"/>
      <c r="L468" s="280" t="n"/>
      <c r="M468" s="280" t="n"/>
      <c r="N468" s="280" t="n"/>
      <c r="O468" s="280" t="n"/>
      <c r="P468" s="280" t="n"/>
      <c r="Q468" s="280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6" t="n">
        <v>45558</v>
      </c>
      <c r="C469" s="279" t="n">
        <v>216</v>
      </c>
      <c r="D469" s="281" t="inlineStr">
        <is>
          <t>Meals</t>
        </is>
      </c>
      <c r="E469" s="281" t="inlineStr">
        <is>
          <t>-</t>
        </is>
      </c>
      <c r="F469" s="287" t="n">
        <v>750000</v>
      </c>
      <c r="G469" s="283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09" t="n"/>
      <c r="C470" s="279" t="n"/>
      <c r="D470" s="310" t="inlineStr">
        <is>
          <t>Transportation</t>
        </is>
      </c>
      <c r="E470" s="311" t="n"/>
      <c r="F470" s="312" t="n"/>
      <c r="G470" s="279" t="n"/>
      <c r="H470" s="279" t="n"/>
      <c r="I470" s="280" t="n"/>
      <c r="J470" s="280" t="n"/>
      <c r="K470" s="280" t="n"/>
      <c r="L470" s="280" t="n"/>
      <c r="M470" s="280" t="n"/>
      <c r="N470" s="280" t="n"/>
      <c r="O470" s="280" t="n"/>
      <c r="P470" s="280" t="n"/>
      <c r="Q470" s="280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6" t="n">
        <v>45558</v>
      </c>
      <c r="C471" s="279" t="n">
        <v>217</v>
      </c>
      <c r="D471" s="281" t="inlineStr">
        <is>
          <t>Lalamove Kalog-Gowell</t>
        </is>
      </c>
      <c r="E471" s="281" t="inlineStr">
        <is>
          <t>-</t>
        </is>
      </c>
      <c r="F471" s="287" t="n">
        <v>73584</v>
      </c>
      <c r="G471" s="283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1" t="inlineStr">
        <is>
          <t>Expense#38</t>
        </is>
      </c>
      <c r="C472" s="302" t="inlineStr">
        <is>
          <t>:</t>
        </is>
      </c>
      <c r="D472" s="303" t="inlineStr">
        <is>
          <t>MTD_STM_HDP 01 s/d 03 well (BHI project ndr Gowell) Sumbawa</t>
        </is>
      </c>
      <c r="E472" s="304" t="n"/>
      <c r="F472" s="305" t="n"/>
      <c r="G472" s="302" t="n"/>
      <c r="H472" s="302" t="n"/>
      <c r="I472" s="307" t="n"/>
      <c r="J472" s="308" t="n"/>
      <c r="K472" s="308" t="n"/>
      <c r="L472" s="308" t="n"/>
      <c r="M472" s="308" t="n"/>
      <c r="N472" s="308" t="n"/>
      <c r="O472" s="308" t="n"/>
      <c r="P472" s="308" t="n"/>
      <c r="Q472" s="308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09" t="n"/>
      <c r="C473" s="279" t="n"/>
      <c r="D473" s="310" t="inlineStr">
        <is>
          <t>Allowance</t>
        </is>
      </c>
      <c r="E473" s="311" t="n"/>
      <c r="F473" s="312" t="n"/>
      <c r="G473" s="279" t="n"/>
      <c r="H473" s="279" t="n"/>
      <c r="I473" s="280" t="n"/>
      <c r="J473" s="280" t="n"/>
      <c r="K473" s="280" t="n"/>
      <c r="L473" s="280" t="n"/>
      <c r="M473" s="284" t="n"/>
      <c r="N473" s="280" t="n"/>
      <c r="O473" s="280" t="n"/>
      <c r="P473" s="280" t="n"/>
      <c r="Q473" s="280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6" t="n">
        <v>45585</v>
      </c>
      <c r="C474" s="279" t="n">
        <v>218</v>
      </c>
      <c r="D474" s="281" t="inlineStr">
        <is>
          <t>Field Allowance for 18 days</t>
        </is>
      </c>
      <c r="E474" s="281" t="inlineStr">
        <is>
          <t>-</t>
        </is>
      </c>
      <c r="F474" s="287" t="n">
        <v>28528200</v>
      </c>
      <c r="G474" s="283" t="inlineStr">
        <is>
          <t>USD</t>
        </is>
      </c>
      <c r="H474" s="288" t="n">
        <v>15849</v>
      </c>
      <c r="I474" s="289" t="n"/>
      <c r="J474" s="289" t="n"/>
      <c r="K474" s="290" t="n"/>
      <c r="L474" s="291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09" t="n"/>
      <c r="C475" s="279" t="n"/>
      <c r="D475" s="310" t="inlineStr">
        <is>
          <t>Laundry</t>
        </is>
      </c>
      <c r="E475" s="313" t="n"/>
      <c r="F475" s="312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6" t="n">
        <v>45585</v>
      </c>
      <c r="C476" s="279" t="n">
        <v>219</v>
      </c>
      <c r="D476" s="281" t="inlineStr">
        <is>
          <t>Laundry 18 days @ 50K IDR/day</t>
        </is>
      </c>
      <c r="E476" s="281" t="inlineStr">
        <is>
          <t>-</t>
        </is>
      </c>
      <c r="F476" s="287" t="n">
        <v>900000</v>
      </c>
      <c r="G476" s="283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09" t="n"/>
      <c r="C477" s="279" t="n"/>
      <c r="D477" s="310" t="inlineStr">
        <is>
          <t>Meal</t>
        </is>
      </c>
      <c r="E477" s="311" t="n"/>
      <c r="F477" s="312" t="n"/>
      <c r="G477" s="279" t="n"/>
      <c r="H477" s="279" t="n"/>
      <c r="I477" s="280" t="n"/>
      <c r="J477" s="280" t="n"/>
      <c r="K477" s="280" t="n"/>
      <c r="L477" s="280" t="n"/>
      <c r="M477" s="284" t="n"/>
      <c r="N477" s="280" t="n"/>
      <c r="O477" s="280" t="n"/>
      <c r="P477" s="280" t="n"/>
      <c r="Q477" s="280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6" t="n">
        <v>45585</v>
      </c>
      <c r="C478" s="279" t="n">
        <v>220</v>
      </c>
      <c r="D478" s="281" t="inlineStr">
        <is>
          <t>Meal 18 days @ 150K IDR/day</t>
        </is>
      </c>
      <c r="E478" s="281" t="inlineStr">
        <is>
          <t>-</t>
        </is>
      </c>
      <c r="F478" s="287" t="n">
        <v>2700000</v>
      </c>
      <c r="G478" s="283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09" t="n"/>
      <c r="C479" s="333" t="n"/>
      <c r="D479" s="310" t="inlineStr">
        <is>
          <t>Transportation</t>
        </is>
      </c>
      <c r="E479" s="311" t="n"/>
      <c r="F479" s="312" t="n"/>
      <c r="G479" s="279" t="n"/>
      <c r="H479" s="279" t="n"/>
      <c r="I479" s="280" t="n"/>
      <c r="J479" s="280" t="n"/>
      <c r="K479" s="280" t="n"/>
      <c r="L479" s="280" t="n"/>
      <c r="M479" s="284" t="n"/>
      <c r="N479" s="280" t="n"/>
      <c r="O479" s="280" t="n"/>
      <c r="P479" s="280" t="n"/>
      <c r="Q479" s="280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6" t="n">
        <v>45585</v>
      </c>
      <c r="C480" s="279" t="n">
        <v>221</v>
      </c>
      <c r="D480" s="281" t="inlineStr">
        <is>
          <t>Taxi Anevril CGK Airport - Home</t>
        </is>
      </c>
      <c r="E480" s="281" t="inlineStr">
        <is>
          <t>-</t>
        </is>
      </c>
      <c r="F480" s="287" t="n">
        <v>250000</v>
      </c>
      <c r="G480" s="283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1" t="inlineStr">
        <is>
          <t>Expense#39</t>
        </is>
      </c>
      <c r="C481" s="338" t="inlineStr">
        <is>
          <t>:</t>
        </is>
      </c>
      <c r="D481" s="303" t="inlineStr">
        <is>
          <t>Training Basic Sea Survival_IBR</t>
        </is>
      </c>
      <c r="E481" s="317" t="n"/>
      <c r="F481" s="305" t="n"/>
      <c r="G481" s="302" t="n"/>
      <c r="H481" s="302" t="n"/>
      <c r="I481" s="308" t="n"/>
      <c r="J481" s="308" t="n"/>
      <c r="K481" s="308" t="n"/>
      <c r="L481" s="308" t="n"/>
      <c r="M481" s="308" t="n"/>
      <c r="N481" s="308" t="n"/>
      <c r="O481" s="308" t="n"/>
      <c r="P481" s="308" t="n"/>
      <c r="Q481" s="308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09" t="n"/>
      <c r="C482" s="279" t="n"/>
      <c r="D482" s="310" t="inlineStr">
        <is>
          <t>Training</t>
        </is>
      </c>
      <c r="E482" s="313" t="n"/>
      <c r="F482" s="312" t="n"/>
      <c r="G482" s="279" t="n"/>
      <c r="H482" s="279" t="n"/>
      <c r="I482" s="285" t="n"/>
      <c r="J482" s="280" t="n"/>
      <c r="K482" s="280" t="n"/>
      <c r="L482" s="280" t="n"/>
      <c r="M482" s="280" t="n"/>
      <c r="N482" s="284" t="n"/>
      <c r="O482" s="280" t="n"/>
      <c r="P482" s="280" t="n"/>
      <c r="Q482" s="280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6" t="n">
        <v>45622</v>
      </c>
      <c r="C483" s="279" t="n">
        <v>222</v>
      </c>
      <c r="D483" s="281" t="inlineStr">
        <is>
          <t>Basic Sea Survival</t>
        </is>
      </c>
      <c r="E483" s="281" t="inlineStr">
        <is>
          <t>-</t>
        </is>
      </c>
      <c r="F483" s="287" t="n">
        <v>2700000</v>
      </c>
      <c r="G483" s="283" t="inlineStr">
        <is>
          <t>IDR</t>
        </is>
      </c>
      <c r="H483" s="288" t="n">
        <v>1</v>
      </c>
      <c r="I483" s="289" t="n"/>
      <c r="J483" s="289" t="n"/>
      <c r="K483" s="290" t="n"/>
      <c r="L483" s="291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09" t="n"/>
      <c r="C484" s="279" t="n"/>
      <c r="D484" s="310" t="inlineStr">
        <is>
          <t>Transportation</t>
        </is>
      </c>
      <c r="E484" s="313" t="n"/>
      <c r="F484" s="312" t="n"/>
      <c r="G484" s="279" t="n"/>
      <c r="H484" s="314" t="n"/>
      <c r="I484" s="285" t="n"/>
      <c r="J484" s="280" t="n"/>
      <c r="K484" s="280" t="n"/>
      <c r="L484" s="280" t="n"/>
      <c r="M484" s="284" t="n"/>
      <c r="N484" s="280" t="n"/>
      <c r="O484" s="280" t="n"/>
      <c r="P484" s="280" t="n"/>
      <c r="Q484" s="280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6" t="n">
        <v>45622</v>
      </c>
      <c r="C485" s="279" t="n">
        <v>223</v>
      </c>
      <c r="D485" s="281" t="inlineStr">
        <is>
          <t>KRL ( Duku Atas - Sudimara )</t>
        </is>
      </c>
      <c r="E485" s="281" t="inlineStr">
        <is>
          <t>-</t>
        </is>
      </c>
      <c r="F485" s="287" t="n">
        <v>3000</v>
      </c>
      <c r="G485" s="283" t="inlineStr">
        <is>
          <t>IDR</t>
        </is>
      </c>
      <c r="H485" s="288" t="n">
        <v>1</v>
      </c>
      <c r="I485" s="289" t="n"/>
      <c r="J485" s="289" t="n"/>
      <c r="K485" s="290" t="n"/>
      <c r="L485" s="291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1" t="inlineStr">
        <is>
          <t>Expense#40</t>
        </is>
      </c>
      <c r="C486" s="302" t="inlineStr">
        <is>
          <t>:</t>
        </is>
      </c>
      <c r="D486" s="303" t="inlineStr">
        <is>
          <t>Non trip 1st - project _ Pety cash 1st - YY</t>
        </is>
      </c>
      <c r="E486" s="346" t="n"/>
      <c r="F486" s="328" t="n"/>
      <c r="G486" s="302" t="n"/>
      <c r="H486" s="302" t="n"/>
      <c r="I486" s="347" t="n"/>
      <c r="J486" s="347" t="n"/>
      <c r="K486" s="347" t="n"/>
      <c r="L486" s="347" t="n"/>
      <c r="M486" s="347" t="n"/>
      <c r="N486" s="347" t="n"/>
      <c r="O486" s="347" t="n"/>
      <c r="P486" s="347" t="n"/>
      <c r="Q486" s="34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09" t="n"/>
      <c r="C487" s="279" t="n"/>
      <c r="D487" s="310" t="inlineStr">
        <is>
          <t>ATK &amp; Dokumentasi</t>
        </is>
      </c>
      <c r="E487" s="313" t="n"/>
      <c r="F487" s="282" t="n"/>
      <c r="G487" s="279" t="n"/>
      <c r="H487" s="279" t="n"/>
      <c r="I487" s="285" t="n"/>
      <c r="J487" s="280" t="n"/>
      <c r="K487" s="280" t="n"/>
      <c r="L487" s="280" t="n"/>
      <c r="M487" s="280" t="n"/>
      <c r="N487" s="284" t="n"/>
      <c r="O487" s="280" t="n"/>
      <c r="P487" s="280" t="n"/>
      <c r="Q487" s="280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6" t="n">
        <v>45617</v>
      </c>
      <c r="C488" s="279" t="n">
        <v>224</v>
      </c>
      <c r="D488" s="281" t="inlineStr">
        <is>
          <t>Materai 10 pcs</t>
        </is>
      </c>
      <c r="E488" s="281" t="inlineStr">
        <is>
          <t>-</t>
        </is>
      </c>
      <c r="F488" s="287" t="n">
        <v>103000</v>
      </c>
      <c r="G488" s="283" t="inlineStr">
        <is>
          <t>IDR</t>
        </is>
      </c>
      <c r="H488" s="288" t="n">
        <v>1</v>
      </c>
      <c r="I488" s="289" t="n"/>
      <c r="J488" s="289" t="n"/>
      <c r="K488" s="290" t="n"/>
      <c r="L488" s="281" t="n"/>
      <c r="M488" s="291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09" t="n"/>
      <c r="C489" s="279" t="n"/>
      <c r="D489" s="310" t="inlineStr">
        <is>
          <t>Transportation</t>
        </is>
      </c>
      <c r="E489" s="331" t="n"/>
      <c r="F489" s="282" t="n"/>
      <c r="G489" s="279" t="n"/>
      <c r="H489" s="279" t="n"/>
      <c r="I489" s="280" t="n"/>
      <c r="J489" s="280" t="n"/>
      <c r="K489" s="280" t="n"/>
      <c r="L489" s="280" t="n"/>
      <c r="M489" s="280" t="n"/>
      <c r="N489" s="284" t="n"/>
      <c r="O489" s="280" t="n"/>
      <c r="P489" s="280" t="n"/>
      <c r="Q489" s="280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6" t="n">
        <v>45636</v>
      </c>
      <c r="C490" s="279" t="n">
        <v>225</v>
      </c>
      <c r="D490" s="281" t="inlineStr">
        <is>
          <t>Tol &amp; parking fee</t>
        </is>
      </c>
      <c r="E490" s="281" t="inlineStr">
        <is>
          <t>-</t>
        </is>
      </c>
      <c r="F490" s="287" t="n">
        <v>48500</v>
      </c>
      <c r="G490" s="283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19" t="inlineStr">
        <is>
          <t>Expense#41</t>
        </is>
      </c>
      <c r="C491" s="320" t="inlineStr">
        <is>
          <t>:</t>
        </is>
      </c>
      <c r="D491" s="321" t="inlineStr">
        <is>
          <t>Starlink Kit_DS</t>
        </is>
      </c>
      <c r="E491" s="322" t="n"/>
      <c r="F491" s="323" t="n"/>
      <c r="G491" s="302" t="n"/>
      <c r="H491" s="302" t="n"/>
      <c r="I491" s="340" t="n"/>
      <c r="J491" s="308" t="n"/>
      <c r="K491" s="308" t="n"/>
      <c r="L491" s="308" t="n"/>
      <c r="M491" s="308" t="n"/>
      <c r="N491" s="308" t="n"/>
      <c r="O491" s="308" t="n"/>
      <c r="P491" s="308" t="n"/>
      <c r="Q491" s="308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9" t="n"/>
      <c r="C492" s="279" t="n"/>
      <c r="D492" s="310" t="inlineStr">
        <is>
          <t>Elektronik &amp; Gadget</t>
        </is>
      </c>
      <c r="E492" s="339" t="n"/>
      <c r="F492" s="312" t="n"/>
      <c r="G492" s="279" t="n"/>
      <c r="H492" s="279" t="n"/>
      <c r="I492" s="284" t="n"/>
      <c r="J492" s="280" t="n"/>
      <c r="K492" s="280" t="n"/>
      <c r="L492" s="280" t="n"/>
      <c r="M492" s="280" t="n"/>
      <c r="N492" s="280" t="n"/>
      <c r="O492" s="280" t="n"/>
      <c r="P492" s="280" t="n"/>
      <c r="Q492" s="280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6" t="n">
        <v>45607</v>
      </c>
      <c r="C493" s="279" t="n">
        <v>226</v>
      </c>
      <c r="D493" s="281" t="inlineStr">
        <is>
          <t>Starlink Kit</t>
        </is>
      </c>
      <c r="E493" s="281" t="inlineStr">
        <is>
          <t>-</t>
        </is>
      </c>
      <c r="F493" s="287" t="n">
        <v>5583200</v>
      </c>
      <c r="G493" s="283" t="inlineStr">
        <is>
          <t>IDR</t>
        </is>
      </c>
      <c r="H493" s="288" t="n">
        <v>1</v>
      </c>
      <c r="I493" s="289" t="n"/>
      <c r="J493" s="289" t="n"/>
      <c r="K493" s="290" t="n"/>
      <c r="L493" s="281" t="n"/>
      <c r="M493" s="281" t="n"/>
      <c r="N493" s="291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1" t="inlineStr">
        <is>
          <t>Expense#42</t>
        </is>
      </c>
      <c r="C494" s="302" t="inlineStr">
        <is>
          <t>:</t>
        </is>
      </c>
      <c r="D494" s="303" t="inlineStr">
        <is>
          <t>Pelican Case 1650 TMA</t>
        </is>
      </c>
      <c r="E494" s="304" t="n"/>
      <c r="F494" s="305" t="n"/>
      <c r="G494" s="302" t="n"/>
      <c r="H494" s="302" t="n"/>
      <c r="I494" s="307" t="n"/>
      <c r="J494" s="308" t="n"/>
      <c r="K494" s="308" t="n"/>
      <c r="L494" s="308" t="n"/>
      <c r="M494" s="308" t="n"/>
      <c r="N494" s="308" t="n"/>
      <c r="O494" s="308" t="n"/>
      <c r="P494" s="308" t="n"/>
      <c r="Q494" s="308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9" t="n"/>
      <c r="C495" s="279" t="n"/>
      <c r="D495" s="310" t="inlineStr">
        <is>
          <t>Sparepart</t>
        </is>
      </c>
      <c r="E495" s="339" t="n"/>
      <c r="F495" s="312" t="n"/>
      <c r="G495" s="279" t="n"/>
      <c r="H495" s="279" t="n"/>
      <c r="I495" s="280" t="n"/>
      <c r="J495" s="280" t="n"/>
      <c r="K495" s="280" t="n"/>
      <c r="L495" s="280" t="n"/>
      <c r="M495" s="280" t="n"/>
      <c r="N495" s="280" t="n"/>
      <c r="O495" s="280" t="n"/>
      <c r="P495" s="280" t="n"/>
      <c r="Q495" s="280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6" t="n">
        <v>45640</v>
      </c>
      <c r="C496" s="279" t="n">
        <v>227</v>
      </c>
      <c r="D496" s="281" t="inlineStr">
        <is>
          <t>Pelican Case 1650</t>
        </is>
      </c>
      <c r="E496" s="281" t="inlineStr">
        <is>
          <t>-</t>
        </is>
      </c>
      <c r="F496" s="287" t="n">
        <v>8156000</v>
      </c>
      <c r="G496" s="283" t="inlineStr">
        <is>
          <t>IDR</t>
        </is>
      </c>
      <c r="H496" s="288" t="n">
        <v>1</v>
      </c>
      <c r="I496" s="289" t="n"/>
      <c r="J496" s="289" t="n"/>
      <c r="K496" s="290" t="n"/>
      <c r="L496" s="281" t="n"/>
      <c r="M496" s="281" t="n"/>
      <c r="N496" s="291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1" t="inlineStr">
        <is>
          <t>Expense#43</t>
        </is>
      </c>
      <c r="C497" s="302" t="inlineStr">
        <is>
          <t>:</t>
        </is>
      </c>
      <c r="D497" s="303" t="inlineStr">
        <is>
          <t>Non trip 3rd (follow up MCU concul &amp; visit KPP and Graha Elnusa)_AC</t>
        </is>
      </c>
      <c r="E497" s="304" t="n"/>
      <c r="F497" s="305" t="n"/>
      <c r="G497" s="302" t="n"/>
      <c r="H497" s="302" t="n"/>
      <c r="I497" s="306" t="n"/>
      <c r="J497" s="308" t="n"/>
      <c r="K497" s="308" t="n"/>
      <c r="L497" s="308" t="n"/>
      <c r="M497" s="308" t="n"/>
      <c r="N497" s="308" t="n"/>
      <c r="O497" s="308" t="n"/>
      <c r="P497" s="308" t="n"/>
      <c r="Q497" s="308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9" t="n"/>
      <c r="C498" s="279" t="n"/>
      <c r="D498" s="310" t="inlineStr">
        <is>
          <t>Medical</t>
        </is>
      </c>
      <c r="E498" s="313" t="n"/>
      <c r="F498" s="312" t="n"/>
      <c r="G498" s="279" t="n"/>
      <c r="H498" s="279" t="n"/>
      <c r="I498" s="284" t="n"/>
      <c r="J498" s="280" t="n"/>
      <c r="K498" s="280" t="n"/>
      <c r="L498" s="280" t="n"/>
      <c r="M498" s="280" t="n"/>
      <c r="N498" s="280" t="n"/>
      <c r="O498" s="280" t="n"/>
      <c r="P498" s="280" t="n"/>
      <c r="Q498" s="280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6" t="n">
        <v>45637</v>
      </c>
      <c r="C499" s="279" t="n">
        <v>228</v>
      </c>
      <c r="D499" s="281" t="inlineStr">
        <is>
          <t>Medicine after konsul jantung 3rd</t>
        </is>
      </c>
      <c r="E499" s="281" t="inlineStr">
        <is>
          <t>-</t>
        </is>
      </c>
      <c r="F499" s="287" t="n">
        <v>417600</v>
      </c>
      <c r="G499" s="283" t="inlineStr">
        <is>
          <t>IDR</t>
        </is>
      </c>
      <c r="H499" s="288" t="n">
        <v>1</v>
      </c>
      <c r="I499" s="289" t="n"/>
      <c r="J499" s="289" t="n"/>
      <c r="K499" s="290" t="n"/>
      <c r="L499" s="281" t="n"/>
      <c r="M499" s="281" t="n"/>
      <c r="N499" s="281" t="n"/>
      <c r="O499" s="281" t="n"/>
      <c r="P499" s="291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09" t="n"/>
      <c r="C500" s="279" t="n"/>
      <c r="D500" s="310" t="inlineStr">
        <is>
          <t>Transportation</t>
        </is>
      </c>
      <c r="E500" s="281" t="n"/>
      <c r="F500" s="312" t="n"/>
      <c r="G500" s="279" t="n"/>
      <c r="H500" s="279" t="n"/>
      <c r="I500" s="284" t="n"/>
      <c r="J500" s="280" t="n"/>
      <c r="K500" s="280" t="n"/>
      <c r="L500" s="280" t="n"/>
      <c r="M500" s="280" t="n"/>
      <c r="N500" s="280" t="n"/>
      <c r="O500" s="280" t="n"/>
      <c r="P500" s="280" t="n"/>
      <c r="Q500" s="280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6" t="n">
        <v>45636</v>
      </c>
      <c r="C501" s="279" t="n">
        <v>229</v>
      </c>
      <c r="D501" s="281" t="inlineStr">
        <is>
          <t>Parkir Graha Elnusa (antar dokemen invoice)</t>
        </is>
      </c>
      <c r="E501" s="281" t="inlineStr">
        <is>
          <t>-</t>
        </is>
      </c>
      <c r="F501" s="287" t="n">
        <v>17000</v>
      </c>
      <c r="G501" s="283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1" t="inlineStr">
        <is>
          <t>Expense#44</t>
        </is>
      </c>
      <c r="C502" s="302" t="inlineStr">
        <is>
          <t>:</t>
        </is>
      </c>
      <c r="D502" s="303" t="inlineStr">
        <is>
          <t>Meeting presentasi With Elnusa - Bandung &amp;Pembelian Sparepart dari Pei-Genesis.</t>
        </is>
      </c>
      <c r="E502" s="304" t="n"/>
      <c r="F502" s="305" t="n"/>
      <c r="G502" s="302" t="n"/>
      <c r="H502" s="302" t="n"/>
      <c r="I502" s="306" t="n"/>
      <c r="J502" s="308" t="n"/>
      <c r="K502" s="308" t="n"/>
      <c r="L502" s="308" t="n"/>
      <c r="M502" s="308" t="n"/>
      <c r="N502" s="308" t="n"/>
      <c r="O502" s="308" t="n"/>
      <c r="P502" s="308" t="n"/>
      <c r="Q502" s="308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9" t="n"/>
      <c r="C503" s="333" t="n"/>
      <c r="D503" s="310" t="inlineStr">
        <is>
          <t>Biaya Operasi Lain-lain</t>
        </is>
      </c>
      <c r="E503" s="339" t="n"/>
      <c r="F503" s="312" t="n"/>
      <c r="G503" s="279" t="n"/>
      <c r="H503" s="279" t="n"/>
      <c r="I503" s="280" t="n"/>
      <c r="J503" s="280" t="n"/>
      <c r="K503" s="280" t="n"/>
      <c r="L503" s="280" t="n"/>
      <c r="M503" s="280" t="n"/>
      <c r="N503" s="280" t="n"/>
      <c r="O503" s="280" t="n"/>
      <c r="P503" s="280" t="n"/>
      <c r="Q503" s="280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6" t="n">
        <v>45647</v>
      </c>
      <c r="C504" s="279" t="n">
        <v>230</v>
      </c>
      <c r="D504" s="281" t="inlineStr">
        <is>
          <t>Traveling Bandung - Jakarta</t>
        </is>
      </c>
      <c r="E504" s="281" t="inlineStr">
        <is>
          <t>-</t>
        </is>
      </c>
      <c r="F504" s="287" t="n">
        <v>160000</v>
      </c>
      <c r="G504" s="283" t="inlineStr">
        <is>
          <t>IDR</t>
        </is>
      </c>
      <c r="H504" s="288" t="n">
        <v>1</v>
      </c>
      <c r="I504" s="289" t="n"/>
      <c r="J504" s="289" t="n"/>
      <c r="K504" s="290" t="n"/>
      <c r="L504" s="291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09" t="n"/>
      <c r="C505" s="279" t="n"/>
      <c r="D505" s="310" t="inlineStr">
        <is>
          <t>IT Services</t>
        </is>
      </c>
      <c r="E505" s="313" t="n"/>
      <c r="F505" s="312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6" t="n">
        <v>45650</v>
      </c>
      <c r="C506" s="279" t="n">
        <v>231</v>
      </c>
      <c r="D506" s="281" t="inlineStr">
        <is>
          <t>payment for hotel Grand Dafam and</t>
        </is>
      </c>
      <c r="E506" s="281" t="inlineStr">
        <is>
          <t>-</t>
        </is>
      </c>
      <c r="F506" s="287" t="n">
        <v>4913283</v>
      </c>
      <c r="G506" s="283" t="inlineStr">
        <is>
          <t>IDR</t>
        </is>
      </c>
      <c r="H506" s="288" t="n">
        <v>1</v>
      </c>
      <c r="I506" s="289" t="n"/>
      <c r="J506" s="289" t="n"/>
      <c r="K506" s="290" t="n"/>
      <c r="L506" s="281" t="n"/>
      <c r="M506" s="291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09" t="n"/>
      <c r="C507" s="279" t="n"/>
      <c r="D507" s="310" t="inlineStr">
        <is>
          <t>Meal</t>
        </is>
      </c>
      <c r="E507" s="318" t="n"/>
      <c r="F507" s="282" t="n"/>
      <c r="G507" s="281" t="n"/>
      <c r="H507" s="348" t="n"/>
      <c r="I507" s="284" t="n"/>
      <c r="J507" s="280" t="n"/>
      <c r="K507" s="280" t="n"/>
      <c r="L507" s="280" t="n"/>
      <c r="M507" s="280" t="n"/>
      <c r="N507" s="280" t="n"/>
      <c r="O507" s="280" t="n"/>
      <c r="P507" s="280" t="n"/>
      <c r="Q507" s="280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6" t="n">
        <v>45647</v>
      </c>
      <c r="C508" s="279" t="n">
        <v>232</v>
      </c>
      <c r="D508" s="281" t="inlineStr">
        <is>
          <t>Meal</t>
        </is>
      </c>
      <c r="E508" s="281" t="inlineStr">
        <is>
          <t>-</t>
        </is>
      </c>
      <c r="F508" s="287" t="n">
        <v>299900</v>
      </c>
      <c r="G508" s="283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32" t="n"/>
      <c r="C509" s="279" t="n"/>
      <c r="D509" s="310" t="inlineStr">
        <is>
          <t>Transportation</t>
        </is>
      </c>
      <c r="E509" s="313" t="n"/>
      <c r="F509" s="282" t="n"/>
      <c r="G509" s="281" t="n"/>
      <c r="H509" s="348" t="n"/>
      <c r="I509" s="284" t="n"/>
      <c r="J509" s="280" t="n"/>
      <c r="K509" s="280" t="n"/>
      <c r="L509" s="280" t="n"/>
      <c r="M509" s="280" t="n"/>
      <c r="N509" s="280" t="n"/>
      <c r="O509" s="280" t="n"/>
      <c r="P509" s="280" t="n"/>
      <c r="Q509" s="280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6" t="n">
        <v>45647</v>
      </c>
      <c r="C510" s="279" t="n">
        <v>233</v>
      </c>
      <c r="D510" s="281" t="inlineStr">
        <is>
          <t>Taksi around the Bandung city for 2 days</t>
        </is>
      </c>
      <c r="E510" s="281" t="inlineStr">
        <is>
          <t>-</t>
        </is>
      </c>
      <c r="F510" s="287" t="n">
        <v>200000</v>
      </c>
      <c r="G510" s="283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1" t="inlineStr">
        <is>
          <t>Expense#45</t>
        </is>
      </c>
      <c r="C511" s="302" t="inlineStr">
        <is>
          <t>:</t>
        </is>
      </c>
      <c r="D511" s="303" t="inlineStr">
        <is>
          <t>General Operation_Year 2024 - AM</t>
        </is>
      </c>
      <c r="E511" s="317" t="n"/>
      <c r="F511" s="328" t="n"/>
      <c r="G511" s="323" t="n"/>
      <c r="H511" s="349" t="n"/>
      <c r="I511" s="307" t="n"/>
      <c r="J511" s="308" t="n"/>
      <c r="K511" s="308" t="n"/>
      <c r="L511" s="308" t="n"/>
      <c r="M511" s="308" t="n"/>
      <c r="N511" s="308" t="n"/>
      <c r="O511" s="308" t="n"/>
      <c r="P511" s="308" t="n"/>
      <c r="Q511" s="308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9" t="n"/>
      <c r="C512" s="279" t="n"/>
      <c r="D512" s="310" t="inlineStr">
        <is>
          <t>Accommodation</t>
        </is>
      </c>
      <c r="E512" s="313" t="n"/>
      <c r="F512" s="282" t="n"/>
      <c r="G512" s="281" t="n"/>
      <c r="H512" s="348" t="n"/>
      <c r="I512" s="337" t="n"/>
      <c r="J512" s="280" t="n"/>
      <c r="K512" s="280" t="n"/>
      <c r="L512" s="280" t="n"/>
      <c r="M512" s="280" t="n"/>
      <c r="N512" s="280" t="n"/>
      <c r="O512" s="280" t="n"/>
      <c r="P512" s="280" t="n"/>
      <c r="Q512" s="280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6" t="n">
        <v>45647</v>
      </c>
      <c r="C513" s="279" t="n">
        <v>234</v>
      </c>
      <c r="D513" s="281" t="inlineStr">
        <is>
          <t>Hotel 1 night 20 - 21 Dec 2024</t>
        </is>
      </c>
      <c r="E513" s="281" t="inlineStr">
        <is>
          <t>-</t>
        </is>
      </c>
      <c r="F513" s="287" t="n">
        <v>784000</v>
      </c>
      <c r="G513" s="283" t="inlineStr">
        <is>
          <t>IDR</t>
        </is>
      </c>
      <c r="H513" s="288" t="n">
        <v>1</v>
      </c>
      <c r="I513" s="289" t="n"/>
      <c r="J513" s="289" t="n"/>
      <c r="K513" s="290" t="n"/>
      <c r="L513" s="291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09" t="n"/>
      <c r="C514" s="279" t="n"/>
      <c r="D514" s="310" t="inlineStr">
        <is>
          <t>Allowance</t>
        </is>
      </c>
      <c r="E514" s="313" t="n"/>
      <c r="F514" s="282" t="n"/>
      <c r="G514" s="281" t="n"/>
      <c r="H514" s="348" t="n"/>
      <c r="I514" s="337" t="n"/>
      <c r="J514" s="280" t="n"/>
      <c r="K514" s="280" t="n"/>
      <c r="L514" s="280" t="n"/>
      <c r="M514" s="280" t="n"/>
      <c r="N514" s="280" t="n"/>
      <c r="O514" s="280" t="n"/>
      <c r="P514" s="280" t="n"/>
      <c r="Q514" s="280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6" t="n">
        <v>45405</v>
      </c>
      <c r="C515" s="279" t="n">
        <v>235</v>
      </c>
      <c r="D515" s="281" t="inlineStr">
        <is>
          <t>Tunjangan Lapangan @ 1.5 juta/day x 2 days</t>
        </is>
      </c>
      <c r="E515" s="281" t="inlineStr">
        <is>
          <t>-</t>
        </is>
      </c>
      <c r="F515" s="287" t="n">
        <v>3000000</v>
      </c>
      <c r="G515" s="283" t="inlineStr">
        <is>
          <t>IDR</t>
        </is>
      </c>
      <c r="H515" s="288" t="n">
        <v>1</v>
      </c>
      <c r="I515" s="289" t="n"/>
      <c r="J515" s="289" t="n"/>
      <c r="K515" s="290" t="n"/>
      <c r="L515" s="291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09" t="n"/>
      <c r="C516" s="279" t="n"/>
      <c r="D516" s="310" t="inlineStr">
        <is>
          <t>Biaya Operasi Lain-lain</t>
        </is>
      </c>
      <c r="E516" s="336" t="n"/>
      <c r="F516" s="282" t="n"/>
      <c r="G516" s="281" t="n"/>
      <c r="H516" s="348" t="n"/>
      <c r="I516" s="337" t="n"/>
      <c r="J516" s="280" t="n"/>
      <c r="K516" s="280" t="n"/>
      <c r="L516" s="280" t="n"/>
      <c r="M516" s="280" t="n"/>
      <c r="N516" s="280" t="n"/>
      <c r="O516" s="280" t="n"/>
      <c r="P516" s="280" t="n"/>
      <c r="Q516" s="280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6" t="n">
        <v>45335</v>
      </c>
      <c r="C517" s="279" t="n">
        <v>236</v>
      </c>
      <c r="D517" s="281" t="inlineStr">
        <is>
          <t>Shipment Benchmark DTR to Malaysia</t>
        </is>
      </c>
      <c r="E517" s="281" t="inlineStr">
        <is>
          <t>-</t>
        </is>
      </c>
      <c r="F517" s="287" t="n">
        <v>13201183.322</v>
      </c>
      <c r="G517" s="283" t="inlineStr">
        <is>
          <t>MYR</t>
        </is>
      </c>
      <c r="H517" s="288" t="n">
        <v>3636.89</v>
      </c>
      <c r="I517" s="289" t="n"/>
      <c r="J517" s="289" t="n"/>
      <c r="K517" s="290" t="n"/>
      <c r="L517" s="291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09" t="n"/>
      <c r="C518" s="279" t="n"/>
      <c r="D518" s="310" t="inlineStr">
        <is>
          <t>IT Services</t>
        </is>
      </c>
      <c r="E518" s="311" t="n"/>
      <c r="F518" s="312" t="n"/>
      <c r="G518" s="279" t="n"/>
      <c r="H518" s="279" t="n"/>
      <c r="I518" s="284" t="n"/>
      <c r="J518" s="280" t="n"/>
      <c r="K518" s="280" t="n"/>
      <c r="L518" s="280" t="n"/>
      <c r="M518" s="280" t="n"/>
      <c r="N518" s="280" t="n"/>
      <c r="O518" s="280" t="n"/>
      <c r="P518" s="280" t="n"/>
      <c r="Q518" s="280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6" t="n">
        <v>45428</v>
      </c>
      <c r="C519" s="279" t="n">
        <v>237</v>
      </c>
      <c r="D519" s="281" t="inlineStr">
        <is>
          <t>Google Workspace PT. EWI</t>
        </is>
      </c>
      <c r="E519" s="281" t="inlineStr">
        <is>
          <t>-</t>
        </is>
      </c>
      <c r="F519" s="287" t="n">
        <v>306982</v>
      </c>
      <c r="G519" s="283" t="inlineStr">
        <is>
          <t>IDR</t>
        </is>
      </c>
      <c r="H519" s="288" t="n">
        <v>1</v>
      </c>
      <c r="I519" s="289" t="n"/>
      <c r="J519" s="289" t="n"/>
      <c r="K519" s="290" t="n"/>
      <c r="L519" s="281" t="n"/>
      <c r="M519" s="291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09" t="n"/>
      <c r="C520" s="279" t="n"/>
      <c r="D520" s="310" t="inlineStr">
        <is>
          <t>Meal</t>
        </is>
      </c>
      <c r="E520" s="313" t="n"/>
      <c r="F520" s="312" t="n"/>
      <c r="G520" s="279" t="n"/>
      <c r="H520" s="279" t="n"/>
      <c r="I520" s="285" t="n"/>
      <c r="J520" s="280" t="n"/>
      <c r="K520" s="280" t="n"/>
      <c r="L520" s="280" t="n"/>
      <c r="M520" s="280" t="n"/>
      <c r="N520" s="280" t="n"/>
      <c r="O520" s="280" t="n"/>
      <c r="P520" s="280" t="n"/>
      <c r="Q520" s="280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6" t="n">
        <v>45647</v>
      </c>
      <c r="C521" s="279" t="n">
        <v>238</v>
      </c>
      <c r="D521" s="281" t="inlineStr">
        <is>
          <t>Meals 2 days @ 150,000/day</t>
        </is>
      </c>
      <c r="E521" s="281" t="inlineStr">
        <is>
          <t>-</t>
        </is>
      </c>
      <c r="F521" s="287" t="n">
        <v>300000</v>
      </c>
      <c r="G521" s="283" t="inlineStr">
        <is>
          <t>IDR</t>
        </is>
      </c>
      <c r="H521" s="288" t="n">
        <v>1</v>
      </c>
      <c r="I521" s="289" t="n"/>
      <c r="J521" s="289" t="n"/>
      <c r="K521" s="290" t="n"/>
      <c r="L521" s="291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09" t="n"/>
      <c r="C522" s="279" t="n"/>
      <c r="D522" s="310" t="inlineStr">
        <is>
          <t>Transportation</t>
        </is>
      </c>
      <c r="E522" s="313" t="n"/>
      <c r="F522" s="312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6" t="n">
        <v>45647</v>
      </c>
      <c r="C523" s="279" t="n">
        <v>239</v>
      </c>
      <c r="D523" s="281" t="inlineStr">
        <is>
          <t>Taxi from KCIC Stationa Halim to Home</t>
        </is>
      </c>
      <c r="E523" s="281" t="inlineStr">
        <is>
          <t>-</t>
        </is>
      </c>
      <c r="F523" s="287" t="n">
        <v>100000</v>
      </c>
      <c r="G523" s="283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1" t="inlineStr">
        <is>
          <t>Expense#46</t>
        </is>
      </c>
      <c r="C524" s="302" t="inlineStr">
        <is>
          <t>:</t>
        </is>
      </c>
      <c r="D524" s="303" t="inlineStr">
        <is>
          <t>Non trip - Training BSS - AC</t>
        </is>
      </c>
      <c r="E524" s="304" t="n"/>
      <c r="F524" s="305" t="n"/>
      <c r="G524" s="302" t="n"/>
      <c r="H524" s="302" t="n"/>
      <c r="I524" s="306" t="n"/>
      <c r="J524" s="308" t="n"/>
      <c r="K524" s="308" t="n"/>
      <c r="L524" s="308" t="n"/>
      <c r="M524" s="308" t="n"/>
      <c r="N524" s="306" t="n"/>
      <c r="O524" s="308" t="n"/>
      <c r="P524" s="308" t="n"/>
      <c r="Q524" s="308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9" t="n"/>
      <c r="C525" s="279" t="n"/>
      <c r="D525" s="310" t="inlineStr">
        <is>
          <t>Training</t>
        </is>
      </c>
      <c r="E525" s="313" t="n"/>
      <c r="F525" s="312" t="n"/>
      <c r="G525" s="279" t="n"/>
      <c r="H525" s="279" t="n"/>
      <c r="I525" s="284" t="n"/>
      <c r="J525" s="280" t="n"/>
      <c r="K525" s="280" t="n"/>
      <c r="L525" s="280" t="n"/>
      <c r="M525" s="280" t="n"/>
      <c r="N525" s="284" t="n"/>
      <c r="O525" s="280" t="n"/>
      <c r="P525" s="280" t="n"/>
      <c r="Q525" s="280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6" t="n">
        <v>45636</v>
      </c>
      <c r="C526" s="279" t="n">
        <v>240</v>
      </c>
      <c r="D526" s="281" t="inlineStr">
        <is>
          <t>Traning Basic Sea Survival (BSS)</t>
        </is>
      </c>
      <c r="E526" s="281" t="inlineStr">
        <is>
          <t>-</t>
        </is>
      </c>
      <c r="F526" s="287" t="n">
        <v>2700000</v>
      </c>
      <c r="G526" s="283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1" t="inlineStr">
        <is>
          <t>Expense#47</t>
        </is>
      </c>
      <c r="C527" s="302" t="inlineStr">
        <is>
          <t>:</t>
        </is>
      </c>
      <c r="D527" s="303" t="inlineStr">
        <is>
          <t>Trip Rakan : BSTTraining at HSSE Training Center PT Pertamina EP Zone 7 Cirebon</t>
        </is>
      </c>
      <c r="E527" s="304" t="n"/>
      <c r="F527" s="305" t="n"/>
      <c r="G527" s="302" t="n"/>
      <c r="H527" s="302" t="n"/>
      <c r="I527" s="306" t="n"/>
      <c r="J527" s="308" t="n"/>
      <c r="K527" s="308" t="n"/>
      <c r="L527" s="308" t="n"/>
      <c r="M527" s="308" t="n"/>
      <c r="N527" s="308" t="n"/>
      <c r="O527" s="308" t="n"/>
      <c r="P527" s="308" t="n"/>
      <c r="Q527" s="308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9" t="n"/>
      <c r="C528" s="279" t="n"/>
      <c r="D528" s="310" t="inlineStr">
        <is>
          <t>Accommodation</t>
        </is>
      </c>
      <c r="E528" s="313" t="n"/>
      <c r="F528" s="312" t="n"/>
      <c r="G528" s="279" t="n"/>
      <c r="H528" s="279" t="n"/>
      <c r="I528" s="284" t="n"/>
      <c r="J528" s="280" t="n"/>
      <c r="K528" s="280" t="n"/>
      <c r="L528" s="280" t="n"/>
      <c r="M528" s="280" t="n"/>
      <c r="N528" s="280" t="n"/>
      <c r="O528" s="280" t="n"/>
      <c r="P528" s="280" t="n"/>
      <c r="Q528" s="280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6" t="n">
        <v>45655</v>
      </c>
      <c r="C529" s="279" t="n">
        <v>241</v>
      </c>
      <c r="D529" s="281" t="inlineStr">
        <is>
          <t>Accomodation Hotel (Pia Hotel 29 - 30 des, 1 Night)</t>
        </is>
      </c>
      <c r="E529" s="281" t="inlineStr">
        <is>
          <t>-</t>
        </is>
      </c>
      <c r="F529" s="287" t="n">
        <v>224000</v>
      </c>
      <c r="G529" s="283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09" t="n"/>
      <c r="C530" s="279" t="n"/>
      <c r="D530" s="310" t="inlineStr">
        <is>
          <t>Allowance</t>
        </is>
      </c>
      <c r="E530" s="311" t="n"/>
      <c r="F530" s="312" t="n"/>
      <c r="G530" s="279" t="n"/>
      <c r="H530" s="279" t="n"/>
      <c r="I530" s="285" t="n"/>
      <c r="J530" s="280" t="n"/>
      <c r="K530" s="280" t="n"/>
      <c r="L530" s="280" t="n"/>
      <c r="M530" s="280" t="n"/>
      <c r="N530" s="280" t="n"/>
      <c r="O530" s="280" t="n"/>
      <c r="P530" s="280" t="n"/>
      <c r="Q530" s="280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6" t="n">
        <v>45656</v>
      </c>
      <c r="C531" s="279" t="n">
        <v>242</v>
      </c>
      <c r="D531" s="281" t="inlineStr">
        <is>
          <t>Meal Allowance 2 Days (29 - 30 December 2024)@ 150 rb</t>
        </is>
      </c>
      <c r="E531" s="281" t="inlineStr">
        <is>
          <t>-</t>
        </is>
      </c>
      <c r="F531" s="287" t="n">
        <v>300000</v>
      </c>
      <c r="G531" s="283" t="inlineStr">
        <is>
          <t>IDR</t>
        </is>
      </c>
      <c r="H531" s="288" t="n">
        <v>1</v>
      </c>
      <c r="I531" s="289" t="n"/>
      <c r="J531" s="289" t="n"/>
      <c r="K531" s="290" t="n"/>
      <c r="L531" s="291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09" t="n"/>
      <c r="C532" s="279" t="n"/>
      <c r="D532" s="310" t="inlineStr">
        <is>
          <t>Transportation</t>
        </is>
      </c>
      <c r="E532" s="281" t="n"/>
      <c r="F532" s="312" t="n"/>
      <c r="G532" s="279" t="n"/>
      <c r="H532" s="279" t="n"/>
      <c r="I532" s="285" t="n"/>
      <c r="J532" s="280" t="n"/>
      <c r="K532" s="280" t="n"/>
      <c r="L532" s="280" t="n"/>
      <c r="M532" s="280" t="n"/>
      <c r="N532" s="280" t="n"/>
      <c r="O532" s="280" t="n"/>
      <c r="P532" s="280" t="n"/>
      <c r="Q532" s="280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6" t="n">
        <v>45656</v>
      </c>
      <c r="C533" s="279" t="n">
        <v>243</v>
      </c>
      <c r="D533" s="281" t="inlineStr">
        <is>
          <t>Gojek (Gambir Station to Cirendeu)</t>
        </is>
      </c>
      <c r="E533" s="281" t="inlineStr">
        <is>
          <t>-</t>
        </is>
      </c>
      <c r="F533" s="287" t="n">
        <v>66000</v>
      </c>
      <c r="G533" s="283" t="inlineStr">
        <is>
          <t>IDR</t>
        </is>
      </c>
      <c r="H533" s="288" t="n">
        <v>1</v>
      </c>
      <c r="I533" s="289" t="n"/>
      <c r="J533" s="289" t="n"/>
      <c r="K533" s="290" t="n"/>
      <c r="L533" s="291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50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1" t="n">
        <v>356135126</v>
      </c>
      <c r="J534" s="351" t="n">
        <v>991500000</v>
      </c>
      <c r="K534" s="351" t="n">
        <v>367745000</v>
      </c>
      <c r="L534" s="351" t="n">
        <v>1165223146.932</v>
      </c>
      <c r="M534" s="352" t="n">
        <v>8769780</v>
      </c>
      <c r="N534" s="351" t="n">
        <v>200517570</v>
      </c>
      <c r="O534" s="351" t="n">
        <v>4995000</v>
      </c>
      <c r="P534" s="351" t="n">
        <v>38548717.5</v>
      </c>
      <c r="Q534" s="351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3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4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45" customHeight="1">
      <c r="A4" s="355" t="n"/>
      <c r="B4" s="360" t="inlineStr">
        <is>
          <t>LABA RUGI | TAHUN 2024</t>
        </is>
      </c>
      <c r="F4" s="358" t="n"/>
      <c r="G4" s="361" t="inlineStr">
        <is>
          <t>NERACA |TAHUN YANG BERAKHIR, 31 DESEMBER 2024</t>
        </is>
      </c>
      <c r="H4" s="361" t="n"/>
      <c r="I4" s="361" t="n"/>
      <c r="J4" s="361" t="n"/>
    </row>
    <row r="5" ht="6" customHeight="1">
      <c r="A5" s="355" t="n"/>
      <c r="B5" s="355" t="n"/>
      <c r="C5" s="355" t="n"/>
      <c r="D5" s="355" t="n"/>
      <c r="E5" s="356" t="n"/>
      <c r="F5" s="358" t="n"/>
      <c r="G5" s="358" t="n"/>
      <c r="H5" s="362" t="n"/>
      <c r="I5" s="362" t="n"/>
      <c r="J5" s="362" t="n"/>
    </row>
    <row r="6" ht="15.4" customHeight="1">
      <c r="A6" s="355" t="n"/>
      <c r="B6" s="363" t="n"/>
      <c r="C6" s="364" t="n"/>
      <c r="D6" s="365" t="inlineStr">
        <is>
          <t>PT. Exspan Wireline Indonesia</t>
        </is>
      </c>
      <c r="E6" s="221" t="n"/>
      <c r="F6" s="358" t="n"/>
      <c r="G6" s="366" t="n"/>
      <c r="H6" s="367" t="n"/>
      <c r="I6" s="365" t="inlineStr">
        <is>
          <t>PT. Exspan Wireline Indonesia</t>
        </is>
      </c>
      <c r="J6" s="221" t="n"/>
    </row>
    <row r="7" ht="15.4" customHeight="1">
      <c r="A7" s="355" t="n"/>
      <c r="B7" s="368" t="n"/>
      <c r="C7" s="369" t="n"/>
      <c r="D7" s="370" t="inlineStr">
        <is>
          <t>(Rp)</t>
        </is>
      </c>
      <c r="E7" s="226" t="n"/>
      <c r="F7" s="358" t="n"/>
      <c r="G7" s="371" t="n"/>
      <c r="H7" s="372" t="n"/>
      <c r="I7" s="370" t="inlineStr">
        <is>
          <t>(Rp)</t>
        </is>
      </c>
      <c r="J7" s="226" t="n"/>
    </row>
    <row r="8" ht="15" customHeight="1">
      <c r="A8" s="373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77" t="n"/>
    </row>
    <row r="9" ht="15" customHeight="1">
      <c r="A9" s="373" t="n"/>
      <c r="B9" s="381" t="n"/>
      <c r="C9" s="382" t="inlineStr">
        <is>
          <t>PENDAPATAN LANGSUNG</t>
        </is>
      </c>
      <c r="D9" s="383" t="inlineStr">
        <is>
          <t>Rp</t>
        </is>
      </c>
      <c r="E9" s="384">
        <f>SUM('Revenue-Cost_2024'!L8:L20)</f>
        <v/>
      </c>
      <c r="F9" s="358" t="n"/>
      <c r="G9" s="385" t="inlineStr">
        <is>
          <t>AKTIVA LANCAR</t>
        </is>
      </c>
      <c r="H9" s="386" t="n"/>
      <c r="I9" s="387" t="n"/>
      <c r="J9" s="384" t="n"/>
    </row>
    <row r="10" ht="15" customHeight="1">
      <c r="A10" s="373" t="n"/>
      <c r="B10" s="381" t="n"/>
      <c r="C10" s="382" t="inlineStr">
        <is>
          <t>PENDAPATAN LAIN LAIN</t>
        </is>
      </c>
      <c r="D10" s="383" t="inlineStr">
        <is>
          <t>Rp</t>
        </is>
      </c>
      <c r="E10" s="384">
        <f>SUM('Revenue-Cost_2024'!L21:L21)</f>
        <v/>
      </c>
      <c r="F10" s="358" t="n"/>
      <c r="G10" s="385" t="n"/>
      <c r="H10" s="386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 ht="15" customHeight="1">
      <c r="A11" s="373" t="n"/>
      <c r="B11" s="381" t="n"/>
      <c r="C11" s="382" t="n"/>
      <c r="D11" s="383" t="n"/>
      <c r="E11" s="384" t="n"/>
      <c r="F11" s="358" t="n"/>
      <c r="G11" s="385" t="n"/>
      <c r="H11" s="386" t="inlineStr">
        <is>
          <t>KAS DAN SETARA KAS TAHUN LAPORAN</t>
        </is>
      </c>
      <c r="I11" s="383" t="inlineStr">
        <is>
          <t>Rp</t>
        </is>
      </c>
      <c r="J11" s="384">
        <f>E42-'Business Summary'!E13</f>
        <v/>
      </c>
    </row>
    <row r="12" ht="15" customHeight="1">
      <c r="A12" s="373" t="n"/>
      <c r="B12" s="388" t="inlineStr">
        <is>
          <t>TOTAL PENDAPATAN</t>
        </is>
      </c>
      <c r="C12" s="389" t="n"/>
      <c r="D12" s="390" t="inlineStr">
        <is>
          <t>Rp</t>
        </is>
      </c>
      <c r="E12" s="391">
        <f>SUM(E9:E11)</f>
        <v/>
      </c>
      <c r="F12" s="358" t="n"/>
      <c r="G12" s="392" t="n"/>
      <c r="H12" s="393" t="inlineStr">
        <is>
          <t>PIUTANG USAHA</t>
        </is>
      </c>
      <c r="I12" s="390" t="inlineStr">
        <is>
          <t>Rp</t>
        </is>
      </c>
      <c r="J12" s="391" t="n">
        <v>0</v>
      </c>
    </row>
    <row r="13" ht="15" customHeight="1">
      <c r="A13" s="373" t="n"/>
      <c r="B13" s="381" t="n"/>
      <c r="C13" s="382" t="n"/>
      <c r="D13" s="383" t="n"/>
      <c r="E13" s="384" t="n"/>
      <c r="F13" s="358" t="n"/>
      <c r="G13" s="385" t="n"/>
      <c r="H13" s="386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 ht="15" customHeight="1">
      <c r="A14" s="373" t="n"/>
      <c r="B14" s="374" t="inlineStr">
        <is>
          <t>BEBAN LANGSUNG</t>
        </is>
      </c>
      <c r="C14" s="375" t="n"/>
      <c r="D14" s="376" t="n"/>
      <c r="E14" s="377" t="n"/>
      <c r="F14" s="358" t="n"/>
      <c r="G14" s="378" t="n"/>
      <c r="H14" s="379" t="inlineStr">
        <is>
          <t>BIAYA BAYAR DI MUKA</t>
        </is>
      </c>
      <c r="I14" s="376" t="inlineStr">
        <is>
          <t>Rp</t>
        </is>
      </c>
      <c r="J14" s="377" t="n">
        <v>0</v>
      </c>
    </row>
    <row r="15" ht="15" customHeight="1">
      <c r="A15" s="373" t="n"/>
      <c r="B15" s="381" t="n"/>
      <c r="C15" s="382" t="inlineStr">
        <is>
          <t>BIAYA SEWA PERALATAN</t>
        </is>
      </c>
      <c r="D15" s="383" t="inlineStr">
        <is>
          <t>Rp</t>
        </is>
      </c>
      <c r="E15" s="384">
        <f>'Revenue-Cost_2024'!I534</f>
        <v/>
      </c>
      <c r="F15" s="358" t="n"/>
      <c r="G15" s="394" t="n"/>
      <c r="H15" s="386" t="inlineStr">
        <is>
          <t>PIUTANG LAIN LAIN</t>
        </is>
      </c>
      <c r="I15" s="383" t="inlineStr">
        <is>
          <t>Rp</t>
        </is>
      </c>
      <c r="J15" s="384" t="n">
        <v>0</v>
      </c>
    </row>
    <row r="16" ht="15" customHeight="1">
      <c r="A16" s="373" t="n"/>
      <c r="B16" s="381" t="n"/>
      <c r="C16" s="382" t="inlineStr">
        <is>
          <t>BIAYA RESEARCH (R&amp;D)</t>
        </is>
      </c>
      <c r="D16" s="383" t="inlineStr">
        <is>
          <t>Rp</t>
        </is>
      </c>
      <c r="E16" s="384">
        <f>'Revenue-Cost_2024'!J534</f>
        <v/>
      </c>
      <c r="F16" s="358" t="n"/>
      <c r="G16" s="385" t="n"/>
      <c r="H16" s="386" t="inlineStr">
        <is>
          <t>TOTAL AKTIVA LANCAR</t>
        </is>
      </c>
      <c r="I16" s="383" t="inlineStr">
        <is>
          <t>Rp</t>
        </is>
      </c>
      <c r="J16" s="384">
        <f>SUM(J10:J15)</f>
        <v/>
      </c>
    </row>
    <row r="17" ht="15" customHeight="1">
      <c r="A17" s="373" t="n"/>
      <c r="B17" s="381" t="n"/>
      <c r="C17" s="382" t="inlineStr">
        <is>
          <t>BIAYA INTERPRETASI LOG DATA</t>
        </is>
      </c>
      <c r="D17" s="383" t="inlineStr">
        <is>
          <t>Rp</t>
        </is>
      </c>
      <c r="E17" s="384">
        <f>'Revenue-Cost_2024'!K534</f>
        <v/>
      </c>
      <c r="F17" s="358" t="n"/>
      <c r="G17" s="385" t="n"/>
      <c r="H17" s="386" t="n"/>
      <c r="I17" s="387" t="n"/>
      <c r="J17" s="384" t="n"/>
    </row>
    <row r="18" ht="15" customHeight="1">
      <c r="A18" s="373" t="n"/>
      <c r="B18" s="381" t="n"/>
      <c r="C18" s="382" t="inlineStr">
        <is>
          <t>BIAYA OPERASI</t>
        </is>
      </c>
      <c r="D18" s="383" t="inlineStr">
        <is>
          <t>Rp</t>
        </is>
      </c>
      <c r="E18" s="384">
        <f>'Revenue-Cost_2024'!L534</f>
        <v/>
      </c>
      <c r="F18" s="358" t="n"/>
      <c r="G18" s="385" t="inlineStr">
        <is>
          <t>ACTIVA TETAP</t>
        </is>
      </c>
      <c r="H18" s="386" t="n"/>
      <c r="I18" s="387" t="n"/>
      <c r="J18" s="384" t="n"/>
    </row>
    <row r="19" ht="15" customHeight="1">
      <c r="A19" s="373" t="n"/>
      <c r="B19" s="388" t="inlineStr">
        <is>
          <t>TOTAL BIAYA LANGSUNG</t>
        </is>
      </c>
      <c r="C19" s="389" t="n"/>
      <c r="D19" s="390" t="inlineStr">
        <is>
          <t>Rp</t>
        </is>
      </c>
      <c r="E19" s="391">
        <f>SUM(E15:E18)</f>
        <v/>
      </c>
      <c r="F19" s="358" t="n"/>
      <c r="G19" s="392" t="n"/>
      <c r="H19" s="393" t="n"/>
      <c r="I19" s="395" t="n"/>
      <c r="J19" s="391" t="n"/>
    </row>
    <row r="20" ht="15" customHeight="1">
      <c r="A20" s="373" t="n"/>
      <c r="B20" s="381" t="n"/>
      <c r="C20" s="382" t="n"/>
      <c r="D20" s="383" t="n"/>
      <c r="E20" s="384" t="n"/>
      <c r="F20" s="358" t="n"/>
      <c r="G20" s="385" t="n"/>
      <c r="H20" s="386" t="inlineStr">
        <is>
          <t>INVENTARIS KANTOR</t>
        </is>
      </c>
      <c r="I20" s="383" t="inlineStr">
        <is>
          <t>Rp</t>
        </is>
      </c>
      <c r="J20" s="384" t="n">
        <v>0</v>
      </c>
    </row>
    <row r="21" ht="15" customHeight="1">
      <c r="A21" s="373" t="n"/>
      <c r="B21" s="374" t="inlineStr">
        <is>
          <t>BEBAN TIDAK LANGSUNG</t>
        </is>
      </c>
      <c r="C21" s="375" t="n"/>
      <c r="D21" s="376" t="n"/>
      <c r="E21" s="377" t="n"/>
      <c r="F21" s="358" t="n"/>
      <c r="G21" s="378" t="n"/>
      <c r="H21" s="379" t="n"/>
      <c r="I21" s="380" t="n"/>
      <c r="J21" s="377" t="n"/>
    </row>
    <row r="22" ht="15" customHeight="1">
      <c r="A22" s="373" t="n"/>
      <c r="B22" s="381" t="n"/>
      <c r="C22" s="382" t="n"/>
      <c r="D22" s="383" t="inlineStr">
        <is>
          <t>Rp</t>
        </is>
      </c>
      <c r="E22" s="384" t="n">
        <v>0</v>
      </c>
      <c r="F22" s="358" t="n"/>
      <c r="G22" s="385" t="n"/>
      <c r="H22" s="386" t="inlineStr">
        <is>
          <t>TOTAL AKTIVA TETAP</t>
        </is>
      </c>
      <c r="I22" s="383" t="inlineStr">
        <is>
          <t>Rp</t>
        </is>
      </c>
      <c r="J22" s="384">
        <f>J20</f>
        <v/>
      </c>
    </row>
    <row r="23" ht="15" customHeight="1">
      <c r="A23" s="373" t="n"/>
      <c r="B23" s="388" t="inlineStr">
        <is>
          <t>TOTAL BIAYA TIDAK LANGSUNG</t>
        </is>
      </c>
      <c r="C23" s="389" t="n"/>
      <c r="D23" s="390" t="inlineStr">
        <is>
          <t>Rp</t>
        </is>
      </c>
      <c r="E23" s="391">
        <f>SUM(E22:E22)</f>
        <v/>
      </c>
      <c r="F23" s="358" t="n"/>
      <c r="G23" s="392" t="n"/>
      <c r="H23" s="393" t="n"/>
      <c r="I23" s="395" t="n"/>
      <c r="J23" s="391" t="n"/>
    </row>
    <row r="24" ht="15" customHeight="1">
      <c r="A24" s="373" t="n"/>
      <c r="B24" s="381" t="n"/>
      <c r="C24" s="382" t="n"/>
      <c r="D24" s="383" t="n"/>
      <c r="E24" s="384" t="n"/>
      <c r="F24" s="358" t="n"/>
      <c r="G24" s="385" t="inlineStr">
        <is>
          <t>ACTIVA LAIN LAIN</t>
        </is>
      </c>
      <c r="H24" s="386" t="n"/>
      <c r="I24" s="387" t="n"/>
      <c r="J24" s="384" t="n">
        <v>0</v>
      </c>
    </row>
    <row r="25" ht="15" customHeight="1">
      <c r="A25" s="373" t="n"/>
      <c r="B25" s="374" t="inlineStr">
        <is>
          <t>BIAYA ADMINISTRASI DAN UMUM</t>
        </is>
      </c>
      <c r="C25" s="375" t="n"/>
      <c r="D25" s="376" t="n"/>
      <c r="E25" s="377" t="n"/>
      <c r="F25" s="358" t="n"/>
      <c r="G25" s="378" t="n"/>
      <c r="H25" s="379" t="n"/>
      <c r="I25" s="380" t="n"/>
      <c r="J25" s="377" t="n">
        <v>0</v>
      </c>
    </row>
    <row r="26" ht="15" customHeight="1">
      <c r="A26" s="373" t="n"/>
      <c r="B26" s="381" t="n"/>
      <c r="C26" s="382" t="inlineStr">
        <is>
          <t>ADMINISTRASI</t>
        </is>
      </c>
      <c r="D26" s="383" t="inlineStr">
        <is>
          <t>Rp</t>
        </is>
      </c>
      <c r="E26" s="384">
        <f>'Revenue-Cost_2024'!M534</f>
        <v/>
      </c>
      <c r="F26" s="358" t="n"/>
      <c r="G26" s="385" t="n"/>
      <c r="H26" s="386" t="inlineStr">
        <is>
          <t>TOTAL AKTIVA LAIN LAIN</t>
        </is>
      </c>
      <c r="I26" s="383" t="inlineStr">
        <is>
          <t>Rp</t>
        </is>
      </c>
      <c r="J26" s="384">
        <f>SUM(J25:J25)</f>
        <v/>
      </c>
    </row>
    <row r="27" ht="15" customHeight="1">
      <c r="A27" s="373" t="n"/>
      <c r="B27" s="381" t="n"/>
      <c r="C27" s="382" t="inlineStr">
        <is>
          <t>PEMBELIAN BARANG</t>
        </is>
      </c>
      <c r="D27" s="383" t="inlineStr">
        <is>
          <t>Rp</t>
        </is>
      </c>
      <c r="E27" s="384">
        <f>'Revenue-Cost_2024'!N534</f>
        <v/>
      </c>
      <c r="F27" s="358" t="n"/>
      <c r="G27" s="385" t="n"/>
      <c r="H27" s="386" t="n"/>
      <c r="I27" s="387" t="n"/>
      <c r="J27" s="384" t="n"/>
    </row>
    <row r="28" ht="15" customHeight="1">
      <c r="A28" s="373" t="n"/>
      <c r="B28" s="381" t="n"/>
      <c r="C28" s="382" t="inlineStr">
        <is>
          <t>SEWA KANTOR</t>
        </is>
      </c>
      <c r="D28" s="383" t="inlineStr">
        <is>
          <t>Rp</t>
        </is>
      </c>
      <c r="E28" s="384">
        <f>'Revenue-Cost_2024'!O534</f>
        <v/>
      </c>
      <c r="F28" s="358" t="n"/>
      <c r="G28" s="396" t="inlineStr">
        <is>
          <t>TOTAL AKTIVA</t>
        </is>
      </c>
      <c r="H28" s="382" t="n"/>
      <c r="I28" s="383" t="inlineStr">
        <is>
          <t>Rp</t>
        </is>
      </c>
      <c r="J28" s="384">
        <f>J26+J22+J16</f>
        <v/>
      </c>
    </row>
    <row r="29" ht="15" customHeight="1">
      <c r="A29" s="373" t="n"/>
      <c r="B29" s="381" t="n"/>
      <c r="C29" s="382" t="inlineStr">
        <is>
          <t>KESEHATAN</t>
        </is>
      </c>
      <c r="D29" s="383" t="inlineStr">
        <is>
          <t>Rp</t>
        </is>
      </c>
      <c r="E29" s="384">
        <f>'Revenue-Cost_2024'!P534</f>
        <v/>
      </c>
      <c r="F29" s="358" t="n"/>
      <c r="G29" s="385" t="n"/>
      <c r="H29" s="386" t="n"/>
      <c r="I29" s="387" t="n"/>
      <c r="J29" s="384" t="n"/>
    </row>
    <row r="30" ht="15" customHeight="1">
      <c r="A30" s="373" t="n"/>
      <c r="B30" s="381" t="n"/>
      <c r="C30" s="382" t="inlineStr">
        <is>
          <t>BISNIS DEV</t>
        </is>
      </c>
      <c r="D30" s="383" t="inlineStr">
        <is>
          <t>Rp</t>
        </is>
      </c>
      <c r="E30" s="384">
        <f>'Revenue-Cost_2024'!Q534</f>
        <v/>
      </c>
      <c r="F30" s="358" t="n"/>
      <c r="G30" s="385" t="inlineStr">
        <is>
          <t>HUTANG DAN MODAL</t>
        </is>
      </c>
      <c r="H30" s="386" t="n"/>
      <c r="I30" s="387" t="n"/>
      <c r="J30" s="384" t="n"/>
    </row>
    <row r="31" ht="15" customHeight="1">
      <c r="A31" s="373" t="n"/>
      <c r="B31" s="388" t="inlineStr">
        <is>
          <t>TOTAL BIAYA ADMINISTRASI DAN UMUM</t>
        </is>
      </c>
      <c r="C31" s="389" t="n"/>
      <c r="D31" s="390" t="inlineStr">
        <is>
          <t>Rp</t>
        </is>
      </c>
      <c r="E31" s="391">
        <f>SUM(E26:E30)</f>
        <v/>
      </c>
      <c r="F31" s="358" t="n"/>
      <c r="G31" s="392" t="n"/>
      <c r="H31" s="393" t="n"/>
      <c r="I31" s="395" t="n"/>
      <c r="J31" s="391" t="n"/>
    </row>
    <row r="32" ht="15" customHeight="1">
      <c r="A32" s="373" t="n"/>
      <c r="B32" s="381" t="n"/>
      <c r="C32" s="382" t="n"/>
      <c r="D32" s="383" t="n"/>
      <c r="E32" s="384" t="n"/>
      <c r="F32" s="358" t="n"/>
      <c r="G32" s="385" t="inlineStr">
        <is>
          <t>HUTANG LANCAR</t>
        </is>
      </c>
      <c r="H32" s="386" t="n"/>
      <c r="I32" s="387" t="n"/>
      <c r="J32" s="384" t="n"/>
    </row>
    <row r="33" ht="15" customHeight="1">
      <c r="A33" s="373" t="n"/>
      <c r="B33" s="388" t="inlineStr">
        <is>
          <t>TOTAL BIAYA</t>
        </is>
      </c>
      <c r="C33" s="389" t="n"/>
      <c r="D33" s="390" t="inlineStr">
        <is>
          <t>Rp</t>
        </is>
      </c>
      <c r="E33" s="391">
        <f>E19+E23+E31</f>
        <v/>
      </c>
      <c r="F33" s="358" t="n"/>
      <c r="G33" s="392" t="n"/>
      <c r="H33" s="393" t="inlineStr">
        <is>
          <t>HUTANG USAHA</t>
        </is>
      </c>
      <c r="I33" s="390" t="inlineStr">
        <is>
          <t>Rp</t>
        </is>
      </c>
      <c r="J33" s="391" t="n">
        <v>0</v>
      </c>
    </row>
    <row r="34" ht="15" customHeight="1">
      <c r="A34" s="373" t="n"/>
      <c r="B34" s="381" t="n"/>
      <c r="C34" s="382" t="n"/>
      <c r="D34" s="383" t="n"/>
      <c r="E34" s="384" t="n"/>
      <c r="F34" s="358" t="n"/>
      <c r="G34" s="385" t="n"/>
      <c r="H34" s="382" t="inlineStr">
        <is>
          <t>HUTANG GAJI</t>
        </is>
      </c>
      <c r="I34" s="383" t="inlineStr">
        <is>
          <t>Rp</t>
        </is>
      </c>
      <c r="J34" s="384" t="n">
        <v>0</v>
      </c>
    </row>
    <row r="35" ht="15" customHeight="1">
      <c r="A35" s="373" t="n"/>
      <c r="B35" s="374" t="inlineStr">
        <is>
          <t>PENDAPATAN/BEBAN LAIN LAIN</t>
        </is>
      </c>
      <c r="C35" s="375" t="n"/>
      <c r="D35" s="376" t="n"/>
      <c r="E35" s="377" t="n"/>
      <c r="F35" s="358" t="n"/>
      <c r="G35" s="378" t="n"/>
      <c r="H35" s="379" t="inlineStr">
        <is>
          <t>HUTANG PEMEGANG SAHAM</t>
        </is>
      </c>
      <c r="I35" s="376" t="inlineStr">
        <is>
          <t>Rp</t>
        </is>
      </c>
      <c r="J35" s="377" t="n">
        <v>0</v>
      </c>
    </row>
    <row r="36" ht="15" customHeight="1">
      <c r="A36" s="373" t="n"/>
      <c r="B36" s="381" t="n"/>
      <c r="C36" s="382" t="inlineStr">
        <is>
          <t>PENDAPATAN LAIN LAIN</t>
        </is>
      </c>
      <c r="D36" s="383" t="inlineStr">
        <is>
          <t>Rp</t>
        </is>
      </c>
      <c r="E36" s="384" t="n">
        <v>0</v>
      </c>
      <c r="F36" s="358" t="n"/>
      <c r="G36" s="385" t="n"/>
      <c r="H36" s="386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 ht="15" customHeight="1">
      <c r="A37" s="373" t="n"/>
      <c r="B37" s="381" t="n"/>
      <c r="C37" s="382" t="n"/>
      <c r="D37" s="383" t="n"/>
      <c r="E37" s="384" t="n"/>
      <c r="F37" s="358" t="n"/>
      <c r="G37" s="381" t="n"/>
      <c r="H37" s="382" t="n"/>
      <c r="I37" s="383" t="n"/>
      <c r="J37" s="384" t="n"/>
    </row>
    <row r="38" ht="15" customHeight="1">
      <c r="A38" s="373" t="n"/>
      <c r="B38" s="388" t="inlineStr">
        <is>
          <t>LABA RUGI SEBELUM PAJAK</t>
        </is>
      </c>
      <c r="C38" s="389" t="n"/>
      <c r="D38" s="390" t="inlineStr">
        <is>
          <t>Rp</t>
        </is>
      </c>
      <c r="E38" s="391">
        <f>E12-E33</f>
        <v/>
      </c>
      <c r="F38" s="358" t="n"/>
      <c r="G38" s="392" t="n"/>
      <c r="H38" s="393" t="inlineStr">
        <is>
          <t>TOTAL HUTANG LANCAR</t>
        </is>
      </c>
      <c r="I38" s="395" t="n"/>
      <c r="J38" s="391">
        <f>SUM(J33:J36)</f>
        <v/>
      </c>
    </row>
    <row r="39" ht="15" customHeight="1">
      <c r="A39" s="373" t="n"/>
      <c r="B39" s="381" t="n"/>
      <c r="C39" s="382" t="n"/>
      <c r="D39" s="383" t="n"/>
      <c r="E39" s="384" t="n"/>
      <c r="F39" s="358" t="n"/>
      <c r="G39" s="385" t="n"/>
      <c r="H39" s="386" t="n"/>
      <c r="I39" s="387" t="n"/>
      <c r="J39" s="384" t="n"/>
    </row>
    <row r="40" ht="15" customHeight="1">
      <c r="A40" s="373" t="n"/>
      <c r="B40" s="388" t="inlineStr">
        <is>
          <t>CORPORATE TAX (PPh 29)</t>
        </is>
      </c>
      <c r="C40" s="389" t="n"/>
      <c r="D40" s="390" t="inlineStr">
        <is>
          <t>Rp</t>
        </is>
      </c>
      <c r="E40" s="391" t="n">
        <v>0</v>
      </c>
      <c r="F40" s="358" t="n"/>
      <c r="G40" s="392" t="inlineStr">
        <is>
          <t>MODAL</t>
        </is>
      </c>
      <c r="H40" s="393" t="n"/>
      <c r="I40" s="395" t="n"/>
      <c r="J40" s="391" t="n"/>
    </row>
    <row r="41" ht="15" customHeight="1">
      <c r="A41" s="373" t="n"/>
      <c r="B41" s="381" t="n"/>
      <c r="C41" s="382" t="n"/>
      <c r="D41" s="383" t="n"/>
      <c r="E41" s="384" t="n"/>
      <c r="F41" s="358" t="n"/>
      <c r="G41" s="385" t="n"/>
      <c r="H41" s="386" t="inlineStr">
        <is>
          <t>MODAL SAHAM</t>
        </is>
      </c>
      <c r="I41" s="383" t="inlineStr">
        <is>
          <t>Rp</t>
        </is>
      </c>
      <c r="J41" s="384" t="n">
        <v>0</v>
      </c>
    </row>
    <row r="42" ht="15" customHeight="1">
      <c r="A42" s="373" t="n"/>
      <c r="B42" s="397" t="inlineStr">
        <is>
          <t>LABA / RUGI BERSIH</t>
        </is>
      </c>
      <c r="C42" s="398" t="n"/>
      <c r="D42" s="399" t="inlineStr">
        <is>
          <t>Rp</t>
        </is>
      </c>
      <c r="E42" s="400">
        <f>E38-E40</f>
        <v/>
      </c>
      <c r="F42" s="358" t="n"/>
      <c r="G42" s="401" t="n"/>
      <c r="H42" s="402" t="inlineStr">
        <is>
          <t>LABA DI TAHAN</t>
        </is>
      </c>
      <c r="I42" s="399" t="inlineStr">
        <is>
          <t>Rp</t>
        </is>
      </c>
      <c r="J42" s="400" t="n">
        <v>0</v>
      </c>
    </row>
    <row r="43" ht="15" customHeight="1">
      <c r="A43" s="373" t="n"/>
      <c r="B43" s="373" t="n"/>
      <c r="C43" s="373" t="n"/>
      <c r="D43" s="373" t="n"/>
      <c r="E43" s="373" t="n"/>
      <c r="F43" s="358" t="n"/>
      <c r="G43" s="385" t="n"/>
      <c r="H43" s="386" t="inlineStr">
        <is>
          <t>TOTAL LABA (RUGI) DITAHAN</t>
        </is>
      </c>
      <c r="I43" s="383" t="inlineStr">
        <is>
          <t>Rp</t>
        </is>
      </c>
      <c r="J43" s="384">
        <f>J28-J38-J41-J42</f>
        <v/>
      </c>
    </row>
    <row r="44" ht="15" customHeight="1">
      <c r="A44" s="373" t="n"/>
      <c r="B44" s="373" t="n"/>
      <c r="C44" s="373" t="n"/>
      <c r="D44" s="373" t="n"/>
      <c r="E44" s="373" t="n"/>
      <c r="F44" s="358" t="n"/>
      <c r="G44" s="385" t="n"/>
      <c r="H44" s="386" t="inlineStr">
        <is>
          <t>TOTAL MODAL</t>
        </is>
      </c>
      <c r="I44" s="383" t="inlineStr">
        <is>
          <t>Rp</t>
        </is>
      </c>
      <c r="J44" s="384">
        <f>SUM(J41:J43)</f>
        <v/>
      </c>
    </row>
    <row r="45" ht="15" customHeight="1">
      <c r="A45" s="373" t="n"/>
      <c r="B45" s="373" t="n"/>
      <c r="C45" s="373" t="n"/>
      <c r="D45" s="373" t="n"/>
      <c r="E45" s="373" t="n"/>
      <c r="F45" s="358" t="n"/>
      <c r="G45" s="385" t="n"/>
      <c r="H45" s="386" t="n"/>
      <c r="I45" s="387" t="n"/>
      <c r="J45" s="384" t="n"/>
    </row>
    <row r="46" ht="15" customHeight="1">
      <c r="A46" s="373" t="n"/>
      <c r="B46" s="373" t="n"/>
      <c r="C46" s="373" t="n"/>
      <c r="D46" s="373" t="n"/>
      <c r="E46" s="373" t="n"/>
      <c r="F46" s="358" t="n"/>
      <c r="G46" s="385" t="inlineStr">
        <is>
          <t>TOTAL HUTANG DAN MODAL</t>
        </is>
      </c>
      <c r="H46" s="386" t="n"/>
      <c r="I46" s="383" t="inlineStr">
        <is>
          <t>Rp</t>
        </is>
      </c>
      <c r="J46" s="384">
        <f>J44+J38</f>
        <v/>
      </c>
    </row>
    <row r="47" ht="15" customHeight="1">
      <c r="A47" s="373" t="n"/>
      <c r="B47" s="373" t="n"/>
      <c r="C47" s="373" t="n"/>
      <c r="D47" s="373" t="n"/>
      <c r="E47" s="373" t="n"/>
      <c r="F47" s="358" t="n"/>
      <c r="G47" s="381" t="n"/>
      <c r="H47" s="382" t="n"/>
      <c r="I47" s="383" t="n"/>
      <c r="J47" s="384" t="n"/>
    </row>
    <row r="48" ht="15" customHeight="1">
      <c r="A48" s="373" t="n"/>
      <c r="B48" s="373" t="n"/>
      <c r="C48" s="373" t="n"/>
      <c r="D48" s="373" t="n"/>
      <c r="E48" s="373" t="n"/>
      <c r="F48" s="373" t="n"/>
      <c r="G48" s="381" t="n"/>
      <c r="H48" s="382" t="n"/>
      <c r="I48" s="383" t="n"/>
      <c r="J48" s="384" t="n"/>
    </row>
    <row r="49" ht="15" customHeight="1">
      <c r="A49" s="373" t="n"/>
      <c r="B49" s="373" t="n"/>
      <c r="C49" s="373" t="n"/>
      <c r="D49" s="373" t="n"/>
      <c r="E49" s="373" t="n"/>
      <c r="F49" s="373" t="n"/>
      <c r="G49" s="381" t="n"/>
      <c r="H49" s="382" t="n"/>
      <c r="I49" s="383" t="n"/>
      <c r="J49" s="384" t="n"/>
    </row>
    <row r="50" ht="15" customHeight="1">
      <c r="A50" s="373" t="n"/>
      <c r="B50" s="373" t="n"/>
      <c r="C50" s="373" t="n"/>
      <c r="D50" s="373" t="n"/>
      <c r="E50" s="373" t="n"/>
      <c r="F50" s="373" t="n"/>
      <c r="G50" s="381" t="n"/>
      <c r="H50" s="382" t="n"/>
      <c r="I50" s="383" t="n"/>
      <c r="J50" s="384" t="n"/>
    </row>
    <row r="51" ht="14.25" customHeight="1">
      <c r="A51" s="373" t="n"/>
      <c r="B51" s="373" t="n"/>
      <c r="C51" s="373" t="n"/>
      <c r="D51" s="373" t="n"/>
      <c r="E51" s="373" t="n"/>
      <c r="F51" s="373" t="n"/>
      <c r="G51" s="373" t="n"/>
      <c r="H51" s="373" t="n"/>
    </row>
    <row r="52" ht="14.25" customHeight="1">
      <c r="A52" s="373" t="n"/>
      <c r="B52" s="403" t="inlineStr">
        <is>
          <t>Nama Lengkap</t>
        </is>
      </c>
      <c r="F52" s="373" t="n"/>
      <c r="G52" s="403" t="inlineStr">
        <is>
          <t>Nama Lengkap</t>
        </is>
      </c>
    </row>
    <row r="53">
      <c r="A53" s="373" t="n"/>
      <c r="B53" s="404" t="inlineStr">
        <is>
          <t>Direktur</t>
        </is>
      </c>
      <c r="F53" s="373" t="n"/>
      <c r="G53" s="404" t="inlineStr">
        <is>
          <t>Direktur</t>
        </is>
      </c>
    </row>
    <row r="54">
      <c r="A54" s="373" t="n"/>
      <c r="B54" s="373" t="n"/>
      <c r="C54" s="373" t="n"/>
      <c r="D54" s="373" t="n"/>
      <c r="E54" s="373" t="n"/>
      <c r="F54" s="373" t="n"/>
      <c r="G54" s="373" t="n"/>
      <c r="H54" s="373" t="n"/>
    </row>
    <row r="55">
      <c r="A55" s="373" t="n"/>
      <c r="B55" s="373" t="n"/>
      <c r="C55" s="373" t="n"/>
      <c r="D55" s="373" t="n"/>
      <c r="E55" s="373" t="n"/>
      <c r="F55" s="373" t="n"/>
      <c r="G55" s="373" t="n"/>
      <c r="H55" s="373" t="n"/>
    </row>
    <row r="56">
      <c r="A56" s="373" t="n"/>
      <c r="B56" s="373" t="n"/>
      <c r="C56" s="373" t="n"/>
      <c r="D56" s="373" t="n"/>
      <c r="E56" s="373" t="n"/>
      <c r="F56" s="373" t="n"/>
      <c r="G56" s="373" t="n"/>
      <c r="H56" s="373" t="n"/>
    </row>
    <row r="57">
      <c r="A57" s="373" t="n"/>
      <c r="B57" s="373" t="n"/>
      <c r="C57" s="373" t="n"/>
      <c r="D57" s="373" t="n"/>
      <c r="E57" s="373" t="n"/>
      <c r="F57" s="373" t="n"/>
      <c r="G57" s="373" t="n"/>
      <c r="H57" s="373" t="n"/>
    </row>
    <row r="58">
      <c r="A58" s="373" t="n"/>
      <c r="B58" s="373" t="n"/>
      <c r="C58" s="373" t="n"/>
      <c r="D58" s="373" t="n"/>
      <c r="E58" s="373" t="n"/>
      <c r="F58" s="373" t="n"/>
      <c r="G58" s="373" t="n"/>
      <c r="H58" s="373" t="n"/>
    </row>
    <row r="59">
      <c r="A59" s="373" t="n"/>
      <c r="B59" s="373" t="n"/>
      <c r="C59" s="373" t="n"/>
      <c r="D59" s="373" t="n"/>
      <c r="E59" s="373" t="n"/>
      <c r="F59" s="373" t="n"/>
      <c r="G59" s="373" t="n"/>
      <c r="H59" s="373" t="n"/>
    </row>
    <row r="60">
      <c r="A60" s="373" t="n"/>
      <c r="B60" s="373" t="n"/>
      <c r="C60" s="373" t="n"/>
      <c r="D60" s="373" t="n"/>
      <c r="E60" s="373" t="n"/>
      <c r="F60" s="373" t="n"/>
      <c r="G60" s="373" t="n"/>
      <c r="H60" s="373" t="n"/>
    </row>
    <row r="61">
      <c r="A61" s="373" t="n"/>
      <c r="B61" s="373" t="n"/>
      <c r="C61" s="373" t="n"/>
      <c r="D61" s="373" t="n"/>
      <c r="E61" s="373" t="n"/>
      <c r="F61" s="373" t="n"/>
      <c r="G61" s="373" t="n"/>
      <c r="H61" s="373" t="n"/>
    </row>
    <row r="62">
      <c r="A62" s="373" t="n"/>
      <c r="B62" s="373" t="n"/>
      <c r="C62" s="373" t="n"/>
      <c r="D62" s="373" t="n"/>
      <c r="E62" s="373" t="n"/>
      <c r="F62" s="373" t="n"/>
      <c r="G62" s="373" t="n"/>
      <c r="H62" s="373" t="n"/>
    </row>
    <row r="63">
      <c r="A63" s="373" t="n"/>
      <c r="B63" s="373" t="n"/>
      <c r="C63" s="373" t="n"/>
      <c r="D63" s="373" t="n"/>
      <c r="E63" s="373" t="n"/>
      <c r="F63" s="373" t="n"/>
      <c r="G63" s="373" t="n"/>
      <c r="H63" s="373" t="n"/>
    </row>
    <row r="64">
      <c r="A64" s="373" t="n"/>
      <c r="B64" s="373" t="n"/>
      <c r="C64" s="373" t="n"/>
      <c r="D64" s="373" t="n"/>
      <c r="E64" s="373" t="n"/>
      <c r="F64" s="373" t="n"/>
      <c r="G64" s="373" t="n"/>
      <c r="H64" s="373" t="n"/>
    </row>
    <row r="65">
      <c r="A65" s="373" t="n"/>
      <c r="B65" s="373" t="n"/>
      <c r="C65" s="373" t="n"/>
      <c r="D65" s="373" t="n"/>
      <c r="E65" s="373" t="n"/>
      <c r="F65" s="373" t="n"/>
      <c r="G65" s="373" t="n"/>
      <c r="H65" s="373" t="n"/>
    </row>
    <row r="66">
      <c r="A66" s="373" t="n"/>
      <c r="B66" s="373" t="n"/>
      <c r="C66" s="373" t="n"/>
      <c r="D66" s="373" t="n"/>
      <c r="E66" s="373" t="n"/>
      <c r="F66" s="373" t="n"/>
      <c r="G66" s="373" t="n"/>
      <c r="H66" s="373" t="n"/>
    </row>
    <row r="67">
      <c r="A67" s="373" t="n"/>
      <c r="B67" s="373" t="n"/>
      <c r="C67" s="373" t="n"/>
      <c r="D67" s="373" t="n"/>
      <c r="E67" s="373" t="n"/>
      <c r="F67" s="373" t="n"/>
      <c r="G67" s="373" t="n"/>
      <c r="H67" s="373" t="n"/>
    </row>
    <row r="68">
      <c r="A68" s="373" t="n"/>
      <c r="B68" s="373" t="n"/>
      <c r="C68" s="373" t="n"/>
      <c r="D68" s="373" t="n"/>
      <c r="E68" s="373" t="n"/>
      <c r="F68" s="373" t="n"/>
      <c r="G68" s="373" t="n"/>
      <c r="H68" s="373" t="n"/>
    </row>
    <row r="69">
      <c r="A69" s="373" t="n"/>
      <c r="B69" s="373" t="n"/>
      <c r="C69" s="373" t="n"/>
      <c r="D69" s="373" t="n"/>
      <c r="E69" s="373" t="n"/>
      <c r="F69" s="373" t="n"/>
      <c r="G69" s="373" t="n"/>
      <c r="H69" s="373" t="n"/>
    </row>
    <row r="70">
      <c r="A70" s="373" t="n"/>
      <c r="B70" s="373" t="n"/>
      <c r="C70" s="373" t="n"/>
      <c r="D70" s="373" t="n"/>
      <c r="E70" s="373" t="n"/>
      <c r="F70" s="373" t="n"/>
      <c r="G70" s="373" t="n"/>
      <c r="H70" s="373" t="n"/>
    </row>
    <row r="71">
      <c r="A71" s="373" t="n"/>
      <c r="B71" s="373" t="n"/>
      <c r="C71" s="373" t="n"/>
      <c r="D71" s="373" t="n"/>
      <c r="E71" s="373" t="n"/>
      <c r="F71" s="373" t="n"/>
      <c r="G71" s="373" t="n"/>
      <c r="H71" s="373" t="n"/>
    </row>
    <row r="72">
      <c r="A72" s="373" t="n"/>
      <c r="B72" s="373" t="n"/>
      <c r="C72" s="373" t="n"/>
      <c r="D72" s="373" t="n"/>
      <c r="E72" s="373" t="n"/>
      <c r="F72" s="373" t="n"/>
      <c r="G72" s="373" t="n"/>
      <c r="H72" s="373" t="n"/>
    </row>
    <row r="73">
      <c r="A73" s="373" t="n"/>
      <c r="B73" s="373" t="n"/>
      <c r="C73" s="373" t="n"/>
      <c r="D73" s="373" t="n"/>
      <c r="E73" s="373" t="n"/>
      <c r="F73" s="373" t="n"/>
      <c r="G73" s="373" t="n"/>
      <c r="H73" s="373" t="n"/>
    </row>
    <row r="74">
      <c r="A74" s="373" t="n"/>
      <c r="B74" s="373" t="n"/>
      <c r="C74" s="373" t="n"/>
      <c r="D74" s="373" t="n"/>
      <c r="E74" s="373" t="n"/>
      <c r="F74" s="373" t="n"/>
      <c r="G74" s="373" t="n"/>
      <c r="H74" s="373" t="n"/>
    </row>
    <row r="75">
      <c r="A75" s="373" t="n"/>
      <c r="B75" s="373" t="n"/>
      <c r="C75" s="373" t="n"/>
      <c r="D75" s="373" t="n"/>
      <c r="E75" s="373" t="n"/>
      <c r="F75" s="373" t="n"/>
      <c r="G75" s="373" t="n"/>
      <c r="H75" s="373" t="n"/>
    </row>
    <row r="76">
      <c r="A76" s="373" t="n"/>
      <c r="B76" s="373" t="n"/>
      <c r="C76" s="373" t="n"/>
      <c r="D76" s="373" t="n"/>
      <c r="E76" s="373" t="n"/>
      <c r="F76" s="373" t="n"/>
      <c r="G76" s="373" t="n"/>
      <c r="H76" s="373" t="n"/>
    </row>
    <row r="77">
      <c r="A77" s="373" t="n"/>
      <c r="B77" s="373" t="n"/>
      <c r="C77" s="373" t="n"/>
      <c r="D77" s="373" t="n"/>
      <c r="E77" s="373" t="n"/>
      <c r="F77" s="373" t="n"/>
      <c r="G77" s="373" t="n"/>
      <c r="H77" s="373" t="n"/>
    </row>
    <row r="78">
      <c r="A78" s="373" t="n"/>
      <c r="B78" s="373" t="n"/>
      <c r="C78" s="373" t="n"/>
      <c r="D78" s="373" t="n"/>
      <c r="E78" s="373" t="n"/>
      <c r="F78" s="373" t="n"/>
      <c r="G78" s="373" t="n"/>
      <c r="H78" s="373" t="n"/>
    </row>
    <row r="79">
      <c r="A79" s="373" t="n"/>
      <c r="B79" s="373" t="n"/>
      <c r="C79" s="373" t="n"/>
      <c r="D79" s="373" t="n"/>
      <c r="E79" s="373" t="n"/>
      <c r="F79" s="373" t="n"/>
      <c r="G79" s="373" t="n"/>
      <c r="H79" s="373" t="n"/>
    </row>
    <row r="80">
      <c r="A80" s="373" t="n"/>
      <c r="B80" s="373" t="n"/>
      <c r="C80" s="373" t="n"/>
      <c r="D80" s="373" t="n"/>
      <c r="E80" s="373" t="n"/>
      <c r="F80" s="373" t="n"/>
      <c r="G80" s="373" t="n"/>
      <c r="H80" s="373" t="n"/>
    </row>
    <row r="81">
      <c r="A81" s="373" t="n"/>
      <c r="B81" s="373" t="n"/>
      <c r="C81" s="373" t="n"/>
      <c r="D81" s="373" t="n"/>
      <c r="E81" s="373" t="n"/>
      <c r="F81" s="373" t="n"/>
      <c r="G81" s="373" t="n"/>
      <c r="H81" s="373" t="n"/>
    </row>
    <row r="82">
      <c r="A82" s="373" t="n"/>
      <c r="B82" s="373" t="n"/>
      <c r="C82" s="373" t="n"/>
      <c r="D82" s="373" t="n"/>
      <c r="E82" s="373" t="n"/>
      <c r="F82" s="373" t="n"/>
      <c r="G82" s="373" t="n"/>
      <c r="H82" s="373" t="n"/>
    </row>
    <row r="83">
      <c r="A83" s="373" t="n"/>
      <c r="B83" s="373" t="n"/>
      <c r="C83" s="373" t="n"/>
      <c r="D83" s="373" t="n"/>
      <c r="E83" s="373" t="n"/>
      <c r="F83" s="373" t="n"/>
      <c r="G83" s="373" t="n"/>
      <c r="H83" s="373" t="n"/>
    </row>
    <row r="84">
      <c r="A84" s="373" t="n"/>
      <c r="B84" s="373" t="n"/>
      <c r="C84" s="373" t="n"/>
      <c r="D84" s="373" t="n"/>
      <c r="E84" s="373" t="n"/>
      <c r="F84" s="373" t="n"/>
      <c r="G84" s="373" t="n"/>
      <c r="H84" s="373" t="n"/>
    </row>
    <row r="85">
      <c r="A85" s="373" t="n"/>
      <c r="B85" s="373" t="n"/>
      <c r="C85" s="373" t="n"/>
      <c r="D85" s="373" t="n"/>
      <c r="E85" s="373" t="n"/>
      <c r="F85" s="373" t="n"/>
      <c r="G85" s="373" t="n"/>
      <c r="H85" s="373" t="n"/>
    </row>
    <row r="86">
      <c r="A86" s="373" t="n"/>
      <c r="B86" s="373" t="n"/>
      <c r="C86" s="373" t="n"/>
      <c r="D86" s="373" t="n"/>
      <c r="E86" s="373" t="n"/>
      <c r="F86" s="373" t="n"/>
      <c r="G86" s="373" t="n"/>
      <c r="H86" s="373" t="n"/>
    </row>
    <row r="87">
      <c r="A87" s="373" t="n"/>
      <c r="B87" s="373" t="n"/>
      <c r="C87" s="373" t="n"/>
      <c r="D87" s="373" t="n"/>
      <c r="E87" s="373" t="n"/>
      <c r="F87" s="373" t="n"/>
      <c r="G87" s="373" t="n"/>
      <c r="H87" s="373" t="n"/>
    </row>
    <row r="88">
      <c r="A88" s="373" t="n"/>
      <c r="B88" s="373" t="n"/>
      <c r="C88" s="373" t="n"/>
      <c r="D88" s="373" t="n"/>
      <c r="E88" s="373" t="n"/>
      <c r="F88" s="373" t="n"/>
      <c r="G88" s="373" t="n"/>
      <c r="H88" s="373" t="n"/>
    </row>
    <row r="89">
      <c r="A89" s="373" t="n"/>
      <c r="B89" s="373" t="n"/>
      <c r="C89" s="373" t="n"/>
      <c r="D89" s="373" t="n"/>
      <c r="E89" s="373" t="n"/>
      <c r="F89" s="373" t="n"/>
      <c r="G89" s="373" t="n"/>
      <c r="H89" s="373" t="n"/>
    </row>
    <row r="90">
      <c r="A90" s="373" t="n"/>
      <c r="B90" s="373" t="n"/>
      <c r="C90" s="373" t="n"/>
      <c r="D90" s="373" t="n"/>
      <c r="E90" s="373" t="n"/>
      <c r="F90" s="373" t="n"/>
      <c r="G90" s="373" t="n"/>
      <c r="H90" s="373" t="n"/>
    </row>
    <row r="91">
      <c r="A91" s="373" t="n"/>
      <c r="B91" s="373" t="n"/>
      <c r="C91" s="373" t="n"/>
      <c r="D91" s="373" t="n"/>
      <c r="E91" s="373" t="n"/>
      <c r="F91" s="373" t="n"/>
      <c r="G91" s="373" t="n"/>
      <c r="H91" s="373" t="n"/>
    </row>
    <row r="92">
      <c r="A92" s="373" t="n"/>
      <c r="B92" s="373" t="n"/>
      <c r="C92" s="373" t="n"/>
      <c r="D92" s="373" t="n"/>
      <c r="E92" s="373" t="n"/>
      <c r="F92" s="373" t="n"/>
      <c r="G92" s="373" t="n"/>
      <c r="H92" s="373" t="n"/>
    </row>
    <row r="93">
      <c r="A93" s="373" t="n"/>
      <c r="B93" s="373" t="n"/>
      <c r="C93" s="373" t="n"/>
      <c r="D93" s="373" t="n"/>
      <c r="E93" s="373" t="n"/>
      <c r="F93" s="373" t="n"/>
      <c r="G93" s="373" t="n"/>
      <c r="H93" s="373" t="n"/>
    </row>
    <row r="94">
      <c r="A94" s="373" t="n"/>
      <c r="B94" s="373" t="n"/>
      <c r="C94" s="373" t="n"/>
      <c r="D94" s="373" t="n"/>
      <c r="E94" s="373" t="n"/>
      <c r="F94" s="373" t="n"/>
      <c r="G94" s="373" t="n"/>
      <c r="H94" s="373" t="n"/>
    </row>
    <row r="95">
      <c r="A95" s="373" t="n"/>
      <c r="B95" s="373" t="n"/>
      <c r="C95" s="373" t="n"/>
      <c r="D95" s="373" t="n"/>
      <c r="E95" s="373" t="n"/>
      <c r="F95" s="373" t="n"/>
      <c r="G95" s="373" t="n"/>
      <c r="H95" s="373" t="n"/>
    </row>
    <row r="96" ht="64.5" customHeight="1">
      <c r="A96" s="373" t="n"/>
      <c r="B96" s="373" t="n"/>
      <c r="C96" s="373" t="n"/>
      <c r="D96" s="373" t="n"/>
      <c r="E96" s="373" t="n"/>
      <c r="F96" s="373" t="n"/>
      <c r="G96" s="373" t="n"/>
      <c r="H96" s="373" t="n"/>
    </row>
    <row r="97">
      <c r="A97" s="373" t="n"/>
      <c r="B97" s="373" t="n"/>
      <c r="C97" s="373" t="n"/>
      <c r="D97" s="373" t="n"/>
      <c r="E97" s="373" t="n"/>
      <c r="F97" s="373" t="n"/>
      <c r="G97" s="373" t="n"/>
      <c r="H97" s="373" t="n"/>
    </row>
    <row r="98">
      <c r="A98" s="373" t="n"/>
      <c r="B98" s="373" t="n"/>
      <c r="C98" s="373" t="n"/>
      <c r="D98" s="373" t="n"/>
      <c r="E98" s="373" t="n"/>
      <c r="F98" s="373" t="n"/>
      <c r="G98" s="373" t="n"/>
      <c r="H98" s="373" t="n"/>
    </row>
    <row r="99">
      <c r="A99" s="373" t="n"/>
      <c r="B99" s="373" t="n"/>
      <c r="C99" s="373" t="n"/>
      <c r="D99" s="373" t="n"/>
      <c r="E99" s="373" t="n"/>
      <c r="F99" s="373" t="n"/>
      <c r="G99" s="373" t="n"/>
      <c r="H99" s="373" t="n"/>
    </row>
    <row r="100">
      <c r="A100" s="373" t="n"/>
      <c r="B100" s="373" t="n"/>
      <c r="C100" s="373" t="n"/>
      <c r="D100" s="373" t="n"/>
      <c r="E100" s="373" t="n"/>
      <c r="F100" s="373" t="n"/>
      <c r="G100" s="373" t="n"/>
      <c r="H100" s="373" t="n"/>
    </row>
    <row r="101">
      <c r="A101" s="373" t="n"/>
      <c r="B101" s="373" t="n"/>
      <c r="C101" s="373" t="n"/>
      <c r="D101" s="373" t="n"/>
      <c r="E101" s="373" t="n"/>
      <c r="F101" s="373" t="n"/>
      <c r="G101" s="373" t="n"/>
      <c r="H101" s="373" t="n"/>
    </row>
    <row r="102">
      <c r="A102" s="373" t="n"/>
      <c r="B102" s="373" t="n"/>
      <c r="C102" s="373" t="n"/>
      <c r="D102" s="373" t="n"/>
      <c r="E102" s="373" t="n"/>
      <c r="F102" s="373" t="n"/>
      <c r="G102" s="373" t="n"/>
      <c r="H102" s="373" t="n"/>
    </row>
    <row r="103">
      <c r="A103" s="373" t="n"/>
      <c r="B103" s="373" t="n"/>
      <c r="C103" s="373" t="n"/>
      <c r="D103" s="373" t="n"/>
      <c r="E103" s="373" t="n"/>
      <c r="F103" s="373" t="n"/>
      <c r="G103" s="373" t="n"/>
      <c r="H103" s="373" t="n"/>
    </row>
    <row r="104">
      <c r="A104" s="373" t="n"/>
      <c r="B104" s="373" t="n"/>
      <c r="C104" s="373" t="n"/>
      <c r="D104" s="373" t="n"/>
      <c r="E104" s="373" t="n"/>
      <c r="F104" s="373" t="n"/>
      <c r="G104" s="373" t="n"/>
      <c r="H104" s="373" t="n"/>
    </row>
    <row r="105">
      <c r="A105" s="373" t="n"/>
      <c r="B105" s="373" t="n"/>
      <c r="C105" s="373" t="n"/>
      <c r="D105" s="373" t="n"/>
      <c r="E105" s="373" t="n"/>
      <c r="F105" s="373" t="n"/>
      <c r="G105" s="373" t="n"/>
      <c r="H105" s="373" t="n"/>
    </row>
    <row r="106">
      <c r="A106" s="373" t="n"/>
      <c r="B106" s="373" t="n"/>
      <c r="C106" s="373" t="n"/>
      <c r="D106" s="373" t="n"/>
      <c r="E106" s="373" t="n"/>
      <c r="F106" s="373" t="n"/>
      <c r="G106" s="373" t="n"/>
      <c r="H106" s="373" t="n"/>
    </row>
    <row r="107">
      <c r="A107" s="373" t="n"/>
      <c r="B107" s="373" t="n"/>
      <c r="C107" s="373" t="n"/>
      <c r="D107" s="373" t="n"/>
      <c r="E107" s="373" t="n"/>
      <c r="F107" s="373" t="n"/>
      <c r="G107" s="373" t="n"/>
      <c r="H107" s="373" t="n"/>
    </row>
    <row r="108">
      <c r="A108" s="373" t="n"/>
      <c r="B108" s="373" t="n"/>
      <c r="C108" s="373" t="n"/>
      <c r="D108" s="373" t="n"/>
      <c r="E108" s="373" t="n"/>
      <c r="F108" s="373" t="n"/>
      <c r="G108" s="373" t="n"/>
      <c r="H108" s="373" t="n"/>
    </row>
    <row r="109">
      <c r="A109" s="373" t="n"/>
      <c r="B109" s="373" t="n"/>
      <c r="C109" s="373" t="n"/>
      <c r="D109" s="373" t="n"/>
      <c r="E109" s="373" t="n"/>
      <c r="F109" s="373" t="n"/>
      <c r="G109" s="373" t="n"/>
      <c r="H109" s="373" t="n"/>
    </row>
    <row r="110">
      <c r="A110" s="373" t="n"/>
      <c r="B110" s="373" t="n"/>
      <c r="C110" s="373" t="n"/>
      <c r="D110" s="373" t="n"/>
      <c r="E110" s="373" t="n"/>
      <c r="F110" s="373" t="n"/>
      <c r="G110" s="373" t="n"/>
      <c r="H110" s="373" t="n"/>
    </row>
    <row r="111">
      <c r="A111" s="373" t="n"/>
      <c r="B111" s="373" t="n"/>
      <c r="C111" s="373" t="n"/>
      <c r="D111" s="373" t="n"/>
      <c r="E111" s="373" t="n"/>
      <c r="F111" s="373" t="n"/>
      <c r="G111" s="373" t="n"/>
      <c r="H111" s="373" t="n"/>
    </row>
    <row r="112">
      <c r="A112" s="373" t="n"/>
      <c r="B112" s="373" t="n"/>
      <c r="C112" s="373" t="n"/>
      <c r="D112" s="373" t="n"/>
      <c r="E112" s="373" t="n"/>
      <c r="F112" s="373" t="n"/>
      <c r="G112" s="373" t="n"/>
      <c r="H112" s="373" t="n"/>
    </row>
    <row r="113">
      <c r="A113" s="373" t="n"/>
      <c r="B113" s="373" t="n"/>
      <c r="C113" s="373" t="n"/>
      <c r="D113" s="373" t="n"/>
      <c r="E113" s="373" t="n"/>
      <c r="F113" s="373" t="n"/>
      <c r="G113" s="373" t="n"/>
      <c r="H113" s="373" t="n"/>
    </row>
    <row r="114">
      <c r="A114" s="373" t="n"/>
      <c r="B114" s="373" t="n"/>
      <c r="C114" s="373" t="n"/>
      <c r="D114" s="373" t="n"/>
      <c r="E114" s="373" t="n"/>
      <c r="F114" s="373" t="n"/>
      <c r="G114" s="373" t="n"/>
      <c r="H114" s="373" t="n"/>
    </row>
    <row r="115">
      <c r="A115" s="373" t="n"/>
      <c r="B115" s="373" t="n"/>
      <c r="C115" s="373" t="n"/>
      <c r="D115" s="373" t="n"/>
      <c r="E115" s="373" t="n"/>
      <c r="F115" s="373" t="n"/>
      <c r="G115" s="373" t="n"/>
      <c r="H115" s="373" t="n"/>
    </row>
    <row r="116">
      <c r="A116" s="373" t="n"/>
      <c r="B116" s="373" t="n"/>
      <c r="C116" s="373" t="n"/>
      <c r="D116" s="373" t="n"/>
      <c r="E116" s="373" t="n"/>
      <c r="F116" s="373" t="n"/>
      <c r="G116" s="373" t="n"/>
      <c r="H116" s="373" t="n"/>
    </row>
    <row r="117">
      <c r="A117" s="373" t="n"/>
      <c r="B117" s="373" t="n"/>
      <c r="C117" s="373" t="n"/>
      <c r="D117" s="373" t="n"/>
      <c r="E117" s="373" t="n"/>
      <c r="F117" s="373" t="n"/>
      <c r="G117" s="373" t="n"/>
      <c r="H117" s="373" t="n"/>
    </row>
    <row r="118">
      <c r="A118" s="373" t="n"/>
      <c r="B118" s="373" t="n"/>
      <c r="C118" s="373" t="n"/>
      <c r="D118" s="373" t="n"/>
      <c r="E118" s="373" t="n"/>
      <c r="F118" s="373" t="n"/>
      <c r="G118" s="373" t="n"/>
      <c r="H118" s="373" t="n"/>
    </row>
    <row r="119">
      <c r="A119" s="373" t="n"/>
      <c r="B119" s="373" t="n"/>
      <c r="C119" s="373" t="n"/>
      <c r="D119" s="373" t="n"/>
      <c r="E119" s="373" t="n"/>
      <c r="F119" s="373" t="n"/>
      <c r="G119" s="373" t="n"/>
      <c r="H119" s="373" t="n"/>
    </row>
    <row r="120">
      <c r="A120" s="373" t="n"/>
      <c r="B120" s="373" t="n"/>
      <c r="C120" s="373" t="n"/>
      <c r="D120" s="373" t="n"/>
      <c r="E120" s="373" t="n"/>
      <c r="F120" s="373" t="n"/>
      <c r="G120" s="373" t="n"/>
      <c r="H120" s="373" t="n"/>
    </row>
    <row r="121">
      <c r="A121" s="373" t="n"/>
      <c r="B121" s="373" t="n"/>
      <c r="C121" s="373" t="n"/>
      <c r="D121" s="373" t="n"/>
      <c r="E121" s="373" t="n"/>
      <c r="F121" s="373" t="n"/>
      <c r="G121" s="373" t="n"/>
      <c r="H121" s="373" t="n"/>
    </row>
    <row r="122">
      <c r="A122" s="373" t="n"/>
      <c r="B122" s="373" t="n"/>
      <c r="C122" s="373" t="n"/>
      <c r="D122" s="373" t="n"/>
      <c r="E122" s="373" t="n"/>
      <c r="F122" s="373" t="n"/>
      <c r="G122" s="373" t="n"/>
      <c r="H122" s="373" t="n"/>
    </row>
    <row r="123">
      <c r="A123" s="373" t="n"/>
      <c r="B123" s="373" t="n"/>
      <c r="C123" s="373" t="n"/>
      <c r="D123" s="373" t="n"/>
      <c r="E123" s="373" t="n"/>
      <c r="F123" s="373" t="n"/>
      <c r="G123" s="373" t="n"/>
      <c r="H123" s="373" t="n"/>
    </row>
    <row r="124">
      <c r="A124" s="373" t="n"/>
      <c r="B124" s="373" t="n"/>
      <c r="C124" s="373" t="n"/>
      <c r="D124" s="373" t="n"/>
      <c r="E124" s="373" t="n"/>
      <c r="F124" s="373" t="n"/>
      <c r="G124" s="373" t="n"/>
      <c r="H124" s="373" t="n"/>
    </row>
    <row r="125">
      <c r="A125" s="373" t="n"/>
      <c r="B125" s="373" t="n"/>
      <c r="C125" s="373" t="n"/>
      <c r="D125" s="373" t="n"/>
      <c r="E125" s="373" t="n"/>
      <c r="F125" s="373" t="n"/>
      <c r="G125" s="373" t="n"/>
      <c r="H125" s="373" t="n"/>
    </row>
    <row r="126">
      <c r="A126" s="373" t="n"/>
      <c r="B126" s="373" t="n"/>
      <c r="C126" s="373" t="n"/>
      <c r="D126" s="373" t="n"/>
      <c r="E126" s="373" t="n"/>
      <c r="F126" s="373" t="n"/>
      <c r="G126" s="373" t="n"/>
      <c r="H126" s="373" t="n"/>
    </row>
    <row r="127">
      <c r="A127" s="373" t="n"/>
      <c r="B127" s="373" t="n"/>
      <c r="C127" s="373" t="n"/>
      <c r="D127" s="373" t="n"/>
      <c r="E127" s="373" t="n"/>
      <c r="F127" s="373" t="n"/>
      <c r="G127" s="373" t="n"/>
      <c r="H127" s="373" t="n"/>
    </row>
    <row r="128">
      <c r="A128" s="373" t="n"/>
      <c r="B128" s="373" t="n"/>
      <c r="C128" s="373" t="n"/>
      <c r="D128" s="373" t="n"/>
      <c r="E128" s="373" t="n"/>
      <c r="F128" s="373" t="n"/>
      <c r="G128" s="373" t="n"/>
      <c r="H128" s="373" t="n"/>
    </row>
    <row r="129">
      <c r="A129" s="373" t="n"/>
      <c r="B129" s="373" t="n"/>
      <c r="C129" s="373" t="n"/>
      <c r="D129" s="373" t="n"/>
      <c r="E129" s="373" t="n"/>
      <c r="F129" s="373" t="n"/>
      <c r="G129" s="373" t="n"/>
      <c r="H129" s="373" t="n"/>
    </row>
    <row r="130">
      <c r="A130" s="373" t="n"/>
      <c r="B130" s="373" t="n"/>
      <c r="C130" s="373" t="n"/>
      <c r="D130" s="373" t="n"/>
      <c r="E130" s="373" t="n"/>
      <c r="F130" s="373" t="n"/>
      <c r="G130" s="373" t="n"/>
      <c r="H130" s="373" t="n"/>
    </row>
    <row r="131">
      <c r="A131" s="373" t="n"/>
      <c r="B131" s="373" t="n"/>
      <c r="C131" s="373" t="n"/>
      <c r="D131" s="373" t="n"/>
      <c r="E131" s="373" t="n"/>
      <c r="F131" s="373" t="n"/>
      <c r="G131" s="373" t="n"/>
      <c r="H131" s="373" t="n"/>
    </row>
    <row r="132">
      <c r="A132" s="373" t="n"/>
      <c r="B132" s="373" t="n"/>
      <c r="C132" s="373" t="n"/>
      <c r="D132" s="373" t="n"/>
      <c r="E132" s="373" t="n"/>
      <c r="F132" s="373" t="n"/>
      <c r="G132" s="373" t="n"/>
      <c r="H132" s="373" t="n"/>
    </row>
    <row r="133">
      <c r="A133" s="373" t="n"/>
      <c r="B133" s="373" t="n"/>
      <c r="C133" s="373" t="n"/>
      <c r="D133" s="373" t="n"/>
      <c r="E133" s="373" t="n"/>
      <c r="F133" s="373" t="n"/>
      <c r="G133" s="373" t="n"/>
      <c r="H133" s="373" t="n"/>
    </row>
    <row r="134">
      <c r="A134" s="373" t="n"/>
      <c r="B134" s="373" t="n"/>
      <c r="C134" s="373" t="n"/>
      <c r="D134" s="373" t="n"/>
      <c r="E134" s="373" t="n"/>
      <c r="F134" s="373" t="n"/>
      <c r="G134" s="373" t="n"/>
      <c r="H134" s="373" t="n"/>
    </row>
    <row r="135">
      <c r="A135" s="373" t="n"/>
      <c r="B135" s="373" t="n"/>
      <c r="C135" s="373" t="n"/>
      <c r="D135" s="373" t="n"/>
      <c r="E135" s="373" t="n"/>
      <c r="F135" s="373" t="n"/>
      <c r="G135" s="373" t="n"/>
      <c r="H135" s="373" t="n"/>
    </row>
    <row r="136">
      <c r="A136" s="373" t="n"/>
      <c r="B136" s="373" t="n"/>
      <c r="C136" s="373" t="n"/>
      <c r="D136" s="373" t="n"/>
      <c r="E136" s="373" t="n"/>
      <c r="F136" s="373" t="n"/>
      <c r="G136" s="373" t="n"/>
      <c r="H136" s="373" t="n"/>
    </row>
    <row r="137">
      <c r="A137" s="373" t="n"/>
      <c r="B137" s="373" t="n"/>
      <c r="C137" s="373" t="n"/>
      <c r="D137" s="373" t="n"/>
      <c r="E137" s="373" t="n"/>
      <c r="F137" s="373" t="n"/>
      <c r="G137" s="373" t="n"/>
      <c r="H137" s="373" t="n"/>
    </row>
    <row r="138">
      <c r="A138" s="373" t="n"/>
      <c r="B138" s="373" t="n"/>
      <c r="C138" s="373" t="n"/>
      <c r="D138" s="373" t="n"/>
      <c r="E138" s="373" t="n"/>
      <c r="F138" s="373" t="n"/>
      <c r="G138" s="373" t="n"/>
      <c r="H138" s="373" t="n"/>
    </row>
    <row r="139">
      <c r="A139" s="373" t="n"/>
      <c r="B139" s="373" t="n"/>
      <c r="C139" s="373" t="n"/>
      <c r="D139" s="373" t="n"/>
      <c r="E139" s="373" t="n"/>
      <c r="F139" s="373" t="n"/>
      <c r="G139" s="373" t="n"/>
      <c r="H139" s="373" t="n"/>
    </row>
    <row r="140">
      <c r="A140" s="373" t="n"/>
      <c r="B140" s="373" t="n"/>
      <c r="C140" s="373" t="n"/>
      <c r="D140" s="373" t="n"/>
      <c r="E140" s="373" t="n"/>
      <c r="F140" s="373" t="n"/>
      <c r="G140" s="373" t="n"/>
      <c r="H140" s="373" t="n"/>
    </row>
    <row r="141">
      <c r="A141" s="373" t="n"/>
      <c r="B141" s="373" t="n"/>
      <c r="C141" s="373" t="n"/>
      <c r="D141" s="373" t="n"/>
      <c r="E141" s="373" t="n"/>
      <c r="F141" s="373" t="n"/>
      <c r="G141" s="373" t="n"/>
      <c r="H141" s="373" t="n"/>
    </row>
    <row r="142">
      <c r="A142" s="373" t="n"/>
      <c r="B142" s="373" t="n"/>
      <c r="C142" s="373" t="n"/>
      <c r="D142" s="373" t="n"/>
      <c r="E142" s="373" t="n"/>
      <c r="F142" s="373" t="n"/>
      <c r="G142" s="373" t="n"/>
      <c r="H142" s="373" t="n"/>
    </row>
    <row r="143">
      <c r="A143" s="373" t="n"/>
      <c r="B143" s="373" t="n"/>
      <c r="C143" s="373" t="n"/>
      <c r="D143" s="373" t="n"/>
      <c r="E143" s="373" t="n"/>
      <c r="F143" s="373" t="n"/>
      <c r="G143" s="373" t="n"/>
      <c r="H143" s="373" t="n"/>
    </row>
    <row r="144">
      <c r="A144" s="373" t="n"/>
      <c r="B144" s="373" t="n"/>
      <c r="C144" s="373" t="n"/>
      <c r="D144" s="373" t="n"/>
      <c r="E144" s="373" t="n"/>
      <c r="F144" s="373" t="n"/>
      <c r="G144" s="373" t="n"/>
      <c r="H144" s="373" t="n"/>
    </row>
    <row r="145">
      <c r="A145" s="373" t="n"/>
      <c r="B145" s="373" t="n"/>
      <c r="C145" s="373" t="n"/>
      <c r="D145" s="373" t="n"/>
      <c r="E145" s="373" t="n"/>
      <c r="F145" s="373" t="n"/>
      <c r="G145" s="373" t="n"/>
      <c r="H145" s="373" t="n"/>
    </row>
    <row r="146">
      <c r="A146" s="373" t="n"/>
      <c r="B146" s="373" t="n"/>
      <c r="C146" s="373" t="n"/>
      <c r="D146" s="373" t="n"/>
      <c r="E146" s="373" t="n"/>
      <c r="F146" s="373" t="n"/>
      <c r="G146" s="373" t="n"/>
      <c r="H146" s="373" t="n"/>
    </row>
    <row r="147">
      <c r="A147" s="373" t="n"/>
      <c r="B147" s="373" t="n"/>
      <c r="C147" s="373" t="n"/>
      <c r="D147" s="373" t="n"/>
      <c r="E147" s="373" t="n"/>
      <c r="F147" s="373" t="n"/>
      <c r="G147" s="373" t="n"/>
      <c r="H147" s="373" t="n"/>
    </row>
    <row r="148">
      <c r="A148" s="373" t="n"/>
      <c r="B148" s="373" t="n"/>
      <c r="C148" s="373" t="n"/>
      <c r="D148" s="373" t="n"/>
      <c r="E148" s="373" t="n"/>
      <c r="F148" s="373" t="n"/>
      <c r="G148" s="373" t="n"/>
      <c r="H148" s="373" t="n"/>
    </row>
    <row r="149">
      <c r="A149" s="373" t="n"/>
      <c r="B149" s="373" t="n"/>
      <c r="C149" s="373" t="n"/>
      <c r="D149" s="373" t="n"/>
      <c r="E149" s="373" t="n"/>
      <c r="F149" s="373" t="n"/>
      <c r="G149" s="373" t="n"/>
      <c r="H149" s="373" t="n"/>
    </row>
    <row r="150">
      <c r="A150" s="373" t="n"/>
      <c r="B150" s="373" t="n"/>
      <c r="C150" s="373" t="n"/>
      <c r="D150" s="373" t="n"/>
      <c r="E150" s="373" t="n"/>
      <c r="F150" s="373" t="n"/>
      <c r="G150" s="373" t="n"/>
      <c r="H150" s="373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5" t="n"/>
      <c r="B1" s="355" t="n"/>
      <c r="C1" s="355" t="n"/>
      <c r="D1" s="355" t="n"/>
      <c r="E1" s="356" t="n"/>
    </row>
    <row r="2" ht="37.25" customHeight="1">
      <c r="A2" s="355" t="n"/>
      <c r="B2" s="355" t="n"/>
      <c r="C2" s="355" t="n"/>
      <c r="D2" s="355" t="n"/>
      <c r="E2" s="356" t="n"/>
    </row>
    <row r="3" ht="33.6" customHeight="1">
      <c r="A3" s="355" t="n"/>
      <c r="B3" s="357" t="inlineStr">
        <is>
          <t>PT. EXSPAN WIRELINE INDONESIA</t>
        </is>
      </c>
      <c r="F3" s="358" t="n"/>
    </row>
    <row r="4" ht="20.45" customHeight="1">
      <c r="A4" s="355" t="n"/>
      <c r="B4" s="360" t="inlineStr">
        <is>
          <t>BUSINESS SUMMARY | TAHUN 2024</t>
        </is>
      </c>
      <c r="F4" s="358" t="n"/>
    </row>
    <row r="5" ht="6" customHeight="1">
      <c r="A5" s="355" t="n"/>
      <c r="B5" s="355" t="n"/>
      <c r="C5" s="355" t="n"/>
      <c r="D5" s="355" t="n"/>
      <c r="E5" s="356" t="n"/>
      <c r="F5" s="358" t="n"/>
    </row>
    <row r="6" ht="20" customHeight="1">
      <c r="A6" s="355" t="n"/>
      <c r="B6" s="405" t="inlineStr">
        <is>
          <t>#</t>
        </is>
      </c>
      <c r="C6" s="405" t="inlineStr">
        <is>
          <t>Items</t>
        </is>
      </c>
      <c r="D6" s="406" t="inlineStr">
        <is>
          <t>Amount</t>
        </is>
      </c>
      <c r="E6" s="227" t="n"/>
      <c r="F6" s="358" t="n"/>
    </row>
    <row r="7" ht="20" customHeight="1">
      <c r="A7" s="355" t="n"/>
      <c r="B7" s="407" t="n">
        <v>1</v>
      </c>
      <c r="C7" s="408" t="inlineStr">
        <is>
          <t>Revenue</t>
        </is>
      </c>
      <c r="D7" s="409" t="inlineStr">
        <is>
          <t>Rp</t>
        </is>
      </c>
      <c r="E7" s="410">
        <f>SUM('Revenue-Cost_2024'!L8:L21)</f>
        <v/>
      </c>
      <c r="F7" s="358" t="n"/>
    </row>
    <row r="8" ht="20" customHeight="1">
      <c r="A8" s="355" t="n"/>
      <c r="B8" s="407" t="n">
        <v>2</v>
      </c>
      <c r="C8" s="408" t="inlineStr">
        <is>
          <t>Revenue Diterima (Setelah Pajak)</t>
        </is>
      </c>
      <c r="D8" s="409" t="inlineStr">
        <is>
          <t>Rp</t>
        </is>
      </c>
      <c r="E8" s="410">
        <f>E7-SUM('Revenue-Cost_2024'!N8:N21)</f>
        <v/>
      </c>
      <c r="F8" s="358" t="n"/>
    </row>
    <row r="9" ht="20" customHeight="1">
      <c r="A9" s="355" t="n"/>
      <c r="B9" s="407" t="n">
        <v>3</v>
      </c>
      <c r="C9" s="408" t="inlineStr">
        <is>
          <t>Biaya</t>
        </is>
      </c>
      <c r="D9" s="409" t="inlineStr">
        <is>
          <t>Rp</t>
        </is>
      </c>
      <c r="E9" s="410">
        <f>SUM('Revenue-Cost_2024'!I534:Q534)</f>
        <v/>
      </c>
      <c r="F9" s="358" t="n"/>
    </row>
    <row r="10" ht="20" customHeight="1">
      <c r="A10" s="355" t="n"/>
      <c r="B10" s="407" t="n">
        <v>4</v>
      </c>
      <c r="C10" s="408" t="inlineStr">
        <is>
          <t>Profit SebelumTax</t>
        </is>
      </c>
      <c r="D10" s="409" t="inlineStr">
        <is>
          <t>Rp</t>
        </is>
      </c>
      <c r="E10" s="410">
        <f>E7-E9</f>
        <v/>
      </c>
      <c r="F10" s="358" t="n"/>
    </row>
    <row r="11" ht="20" customHeight="1">
      <c r="A11" s="355" t="n"/>
      <c r="B11" s="407" t="n">
        <v>5</v>
      </c>
      <c r="C11" s="408" t="inlineStr">
        <is>
          <t>PPh Badan (22%*50%)</t>
        </is>
      </c>
      <c r="D11" s="409" t="inlineStr">
        <is>
          <t>Rp</t>
        </is>
      </c>
      <c r="E11" s="410">
        <f>E10*22%*50%</f>
        <v/>
      </c>
      <c r="F11" s="358" t="n"/>
    </row>
    <row r="12" ht="20" customHeight="1">
      <c r="A12" s="355" t="n"/>
      <c r="B12" s="407" t="n">
        <v>6</v>
      </c>
      <c r="C12" s="408" t="inlineStr">
        <is>
          <t>PPh 23 Dipotong oleh client</t>
        </is>
      </c>
      <c r="D12" s="409" t="inlineStr">
        <is>
          <t>Rp</t>
        </is>
      </c>
      <c r="E12" s="410">
        <f>SUM('Revenue-Cost_2024'!N8:N21)</f>
        <v/>
      </c>
      <c r="F12" s="358" t="n"/>
    </row>
    <row r="13" ht="20" customHeight="1">
      <c r="A13" s="355" t="n"/>
      <c r="B13" s="407" t="n">
        <v>7</v>
      </c>
      <c r="C13" s="408" t="inlineStr">
        <is>
          <t>Kekurangan Bayar PPh Badan</t>
        </is>
      </c>
      <c r="D13" s="409" t="inlineStr">
        <is>
          <t>Rp</t>
        </is>
      </c>
      <c r="E13" s="411">
        <f>E11-E12</f>
        <v/>
      </c>
      <c r="F13" s="358" t="n"/>
    </row>
    <row r="14" ht="20" customHeight="1">
      <c r="A14" s="355" t="n"/>
      <c r="B14" s="407" t="n">
        <v>8</v>
      </c>
      <c r="C14" s="408" t="inlineStr">
        <is>
          <t>Profit After Tax</t>
        </is>
      </c>
      <c r="D14" s="409" t="inlineStr">
        <is>
          <t>Rp</t>
        </is>
      </c>
      <c r="E14" s="410">
        <f>E10-E13</f>
        <v/>
      </c>
      <c r="F14" s="358" t="n"/>
    </row>
    <row r="15" ht="20" customHeight="1">
      <c r="A15" s="355" t="n"/>
      <c r="B15" s="407" t="n">
        <v>9</v>
      </c>
      <c r="C15" s="408" t="inlineStr">
        <is>
          <t>Deviden Dibagi</t>
        </is>
      </c>
      <c r="D15" s="409" t="inlineStr">
        <is>
          <t>Rp</t>
        </is>
      </c>
      <c r="E15" s="410">
        <f>E14-E16</f>
        <v/>
      </c>
      <c r="F15" s="358" t="n"/>
    </row>
    <row r="16" ht="20" customHeight="1">
      <c r="A16" s="355" t="n"/>
      <c r="B16" s="407" t="n">
        <v>10</v>
      </c>
      <c r="C16" s="408" t="inlineStr">
        <is>
          <t>Profit Ditahan</t>
        </is>
      </c>
      <c r="D16" s="409" t="inlineStr">
        <is>
          <t>Rp</t>
        </is>
      </c>
      <c r="E16" s="410" t="n">
        <v>33763737</v>
      </c>
      <c r="F16" s="358" t="n"/>
    </row>
    <row r="17" ht="13.9" customHeight="1">
      <c r="A17" s="355" t="n"/>
      <c r="B17" s="355" t="n"/>
      <c r="C17" s="355" t="n"/>
      <c r="D17" s="355" t="n"/>
      <c r="E17" s="356" t="n"/>
      <c r="F17" s="358" t="n"/>
    </row>
    <row r="18" ht="17.65" customHeight="1">
      <c r="A18" s="355" t="n"/>
      <c r="B18" s="412" t="inlineStr">
        <is>
          <t>DEVIDEN</t>
        </is>
      </c>
      <c r="F18" s="358" t="n"/>
    </row>
    <row r="19" ht="20" customHeight="1">
      <c r="A19" s="355" t="n"/>
      <c r="B19" s="413" t="inlineStr">
        <is>
          <t>#</t>
        </is>
      </c>
      <c r="C19" s="413" t="inlineStr">
        <is>
          <t>Nama Lengkap</t>
        </is>
      </c>
      <c r="D19" s="414" t="inlineStr">
        <is>
          <t>Rp</t>
        </is>
      </c>
      <c r="E19" s="415" t="inlineStr">
        <is>
          <t>Amount</t>
        </is>
      </c>
      <c r="F19" s="358" t="n"/>
      <c r="G19" s="416" t="inlineStr"/>
    </row>
    <row r="20" ht="20" customHeight="1">
      <c r="A20" s="355" t="n"/>
      <c r="B20" s="417" t="n">
        <v>1</v>
      </c>
      <c r="C20" s="418" t="inlineStr">
        <is>
          <t>Anevril Chairulsyah</t>
        </is>
      </c>
      <c r="D20" s="419" t="inlineStr">
        <is>
          <t>Rp</t>
        </is>
      </c>
      <c r="E20" s="420">
        <f>IF(C20="","",ROUND($E$15/COUNTA($C$20:$C$21), 0))</f>
        <v/>
      </c>
      <c r="F20" s="421" t="n"/>
      <c r="G20" s="422" t="inlineStr">
        <is>
          <t>Pajak 10%</t>
        </is>
      </c>
    </row>
    <row r="21" ht="20" customHeight="1">
      <c r="A21" s="423" t="n"/>
      <c r="B21" s="424" t="n">
        <v>2</v>
      </c>
      <c r="C21" s="425" t="inlineStr">
        <is>
          <t>Alan Muhadjir</t>
        </is>
      </c>
      <c r="D21" s="426" t="inlineStr">
        <is>
          <t>Rp</t>
        </is>
      </c>
      <c r="E21" s="427">
        <f>IF(C21="","",ROUND($E$15/COUNTA($C$20:$C$21), 0))</f>
        <v/>
      </c>
      <c r="F21" s="421" t="n"/>
      <c r="G21" s="428" t="inlineStr">
        <is>
          <t>Pajak 10%</t>
        </is>
      </c>
    </row>
    <row r="22" ht="14.25" customHeight="1">
      <c r="A22" s="423" t="n"/>
      <c r="B22" s="428" t="n"/>
      <c r="C22" s="428" t="n"/>
      <c r="D22" s="428" t="n"/>
      <c r="E22" s="428" t="n"/>
      <c r="F22" s="421" t="n"/>
      <c r="G22" s="428" t="n"/>
    </row>
    <row r="23">
      <c r="B23" s="428" t="n"/>
      <c r="C23" s="428" t="n"/>
      <c r="D23" s="428" t="n"/>
      <c r="E23" s="428" t="n"/>
      <c r="F23" s="428" t="n"/>
      <c r="G23" s="428" t="n"/>
    </row>
    <row r="24">
      <c r="B24" s="428" t="n"/>
      <c r="C24" s="428" t="n"/>
      <c r="D24" s="428" t="n"/>
      <c r="E24" s="428" t="n"/>
      <c r="F24" s="428" t="n"/>
      <c r="G24" s="428" t="n"/>
    </row>
    <row r="25">
      <c r="B25" s="428" t="n"/>
      <c r="C25" s="428" t="n"/>
      <c r="D25" s="428" t="n"/>
      <c r="E25" s="428" t="n"/>
      <c r="F25" s="428" t="n"/>
      <c r="G25" s="428" t="n"/>
    </row>
    <row r="26">
      <c r="B26" s="428" t="n"/>
      <c r="C26" s="428" t="n"/>
      <c r="D26" s="428" t="n"/>
      <c r="E26" s="428" t="n"/>
      <c r="F26" s="428" t="n"/>
      <c r="G26" s="428" t="n"/>
    </row>
    <row r="27">
      <c r="B27" s="428" t="n"/>
      <c r="C27" s="428" t="n"/>
      <c r="D27" s="428" t="n"/>
      <c r="E27" s="428" t="n"/>
      <c r="F27" s="428" t="n"/>
      <c r="G27" s="428" t="n"/>
    </row>
    <row r="28">
      <c r="B28" s="428" t="n"/>
      <c r="C28" s="428" t="n"/>
      <c r="D28" s="428" t="n"/>
      <c r="E28" s="428" t="n"/>
      <c r="F28" s="428" t="n"/>
      <c r="G28" s="428" t="n"/>
    </row>
    <row r="29">
      <c r="B29" s="428" t="n"/>
      <c r="C29" s="428" t="n"/>
      <c r="D29" s="428" t="n"/>
      <c r="E29" s="428" t="n"/>
      <c r="F29" s="428" t="n"/>
      <c r="G29" s="428" t="n"/>
    </row>
    <row r="30">
      <c r="B30" s="428" t="n"/>
      <c r="C30" s="428" t="n"/>
      <c r="D30" s="428" t="n"/>
      <c r="E30" s="428" t="n"/>
      <c r="F30" s="428" t="n"/>
      <c r="G30" s="428" t="n"/>
    </row>
    <row r="31">
      <c r="B31" s="428" t="n"/>
      <c r="C31" s="428" t="n"/>
      <c r="D31" s="428" t="n"/>
      <c r="E31" s="428" t="n"/>
      <c r="F31" s="428" t="n"/>
      <c r="G31" s="428" t="n"/>
    </row>
    <row r="32">
      <c r="B32" s="428" t="n"/>
      <c r="C32" s="428" t="n"/>
      <c r="D32" s="428" t="n"/>
      <c r="E32" s="428" t="n"/>
      <c r="F32" s="428" t="n"/>
      <c r="G32" s="428" t="n"/>
    </row>
    <row r="33">
      <c r="B33" s="428" t="n"/>
      <c r="C33" s="428" t="n"/>
      <c r="D33" s="428" t="n"/>
      <c r="E33" s="428" t="n"/>
      <c r="F33" s="428" t="n"/>
      <c r="G33" s="428" t="n"/>
    </row>
    <row r="34">
      <c r="B34" s="428" t="n"/>
      <c r="C34" s="428" t="n"/>
      <c r="D34" s="428" t="n"/>
      <c r="E34" s="428" t="n"/>
      <c r="F34" s="428" t="n"/>
      <c r="G34" s="428" t="n"/>
    </row>
    <row r="35">
      <c r="B35" s="428" t="n"/>
      <c r="C35" s="428" t="n"/>
      <c r="D35" s="428" t="n"/>
      <c r="E35" s="428" t="n"/>
      <c r="F35" s="428" t="n"/>
      <c r="G35" s="428" t="n"/>
    </row>
    <row r="36">
      <c r="B36" s="428" t="n"/>
      <c r="C36" s="428" t="n"/>
      <c r="D36" s="428" t="n"/>
      <c r="E36" s="428" t="n"/>
      <c r="F36" s="428" t="n"/>
      <c r="G36" s="428" t="n"/>
    </row>
    <row r="37">
      <c r="B37" s="428" t="n"/>
      <c r="C37" s="428" t="n"/>
      <c r="D37" s="428" t="n"/>
      <c r="E37" s="428" t="n"/>
      <c r="F37" s="428" t="n"/>
      <c r="G37" s="428" t="n"/>
    </row>
    <row r="38">
      <c r="B38" s="428" t="n"/>
      <c r="C38" s="428" t="n"/>
      <c r="D38" s="428" t="n"/>
      <c r="E38" s="428" t="n"/>
      <c r="F38" s="428" t="n"/>
      <c r="G38" s="428" t="n"/>
    </row>
    <row r="39">
      <c r="B39" s="428" t="n"/>
      <c r="C39" s="428" t="n"/>
      <c r="D39" s="428" t="n"/>
      <c r="E39" s="428" t="n"/>
      <c r="F39" s="428" t="n"/>
      <c r="G39" s="428" t="n"/>
    </row>
    <row r="40">
      <c r="B40" s="428" t="n"/>
      <c r="C40" s="428" t="n"/>
      <c r="D40" s="428" t="n"/>
      <c r="E40" s="428" t="n"/>
      <c r="F40" s="428" t="n"/>
      <c r="G40" s="428" t="n"/>
    </row>
    <row r="41">
      <c r="B41" s="428" t="n"/>
      <c r="C41" s="428" t="n"/>
      <c r="D41" s="428" t="n"/>
      <c r="E41" s="428" t="n"/>
      <c r="F41" s="428" t="n"/>
      <c r="G41" s="428" t="n"/>
    </row>
    <row r="42">
      <c r="B42" s="428" t="n"/>
      <c r="C42" s="428" t="n"/>
      <c r="D42" s="428" t="n"/>
      <c r="E42" s="428" t="n"/>
      <c r="F42" s="428" t="n"/>
      <c r="G42" s="428" t="n"/>
    </row>
    <row r="43">
      <c r="B43" s="428" t="n"/>
      <c r="C43" s="428" t="n"/>
      <c r="D43" s="428" t="n"/>
      <c r="E43" s="428" t="n"/>
      <c r="F43" s="428" t="n"/>
      <c r="G43" s="428" t="n"/>
    </row>
    <row r="44">
      <c r="B44" s="428" t="n"/>
      <c r="C44" s="428" t="n"/>
      <c r="D44" s="428" t="n"/>
      <c r="E44" s="428" t="n"/>
      <c r="F44" s="428" t="n"/>
      <c r="G44" s="428" t="n"/>
    </row>
    <row r="45">
      <c r="B45" s="428" t="n"/>
      <c r="C45" s="428" t="n"/>
      <c r="D45" s="428" t="n"/>
      <c r="E45" s="428" t="n"/>
      <c r="F45" s="428" t="n"/>
      <c r="G45" s="428" t="n"/>
    </row>
    <row r="46">
      <c r="B46" s="428" t="n"/>
      <c r="C46" s="428" t="n"/>
      <c r="D46" s="428" t="n"/>
      <c r="E46" s="428" t="n"/>
      <c r="F46" s="428" t="n"/>
      <c r="G46" s="428" t="n"/>
    </row>
    <row r="47">
      <c r="B47" s="428" t="n"/>
      <c r="C47" s="428" t="n"/>
      <c r="D47" s="428" t="n"/>
      <c r="E47" s="428" t="n"/>
      <c r="F47" s="428" t="n"/>
      <c r="G47" s="428" t="n"/>
    </row>
    <row r="48">
      <c r="B48" s="428" t="n"/>
      <c r="C48" s="428" t="n"/>
      <c r="D48" s="428" t="n"/>
      <c r="E48" s="428" t="n"/>
      <c r="F48" s="428" t="n"/>
      <c r="G48" s="428" t="n"/>
    </row>
    <row r="49">
      <c r="B49" s="428" t="n"/>
      <c r="C49" s="428" t="n"/>
      <c r="D49" s="428" t="n"/>
      <c r="E49" s="428" t="n"/>
      <c r="F49" s="428" t="n"/>
      <c r="G49" s="428" t="n"/>
    </row>
    <row r="50">
      <c r="B50" s="428" t="n"/>
      <c r="C50" s="428" t="n"/>
      <c r="D50" s="428" t="n"/>
      <c r="E50" s="428" t="n"/>
      <c r="F50" s="428" t="n"/>
      <c r="G50" s="428" t="n"/>
    </row>
    <row r="51">
      <c r="B51" s="428" t="n"/>
      <c r="C51" s="428" t="n"/>
      <c r="D51" s="428" t="n"/>
      <c r="E51" s="428" t="n"/>
      <c r="F51" s="428" t="n"/>
      <c r="G51" s="428" t="n"/>
    </row>
    <row r="52">
      <c r="B52" s="428" t="n"/>
      <c r="C52" s="428" t="n"/>
      <c r="D52" s="428" t="n"/>
      <c r="E52" s="428" t="n"/>
      <c r="F52" s="428" t="n"/>
      <c r="G52" s="428" t="n"/>
    </row>
    <row r="53">
      <c r="B53" s="428" t="n"/>
      <c r="C53" s="428" t="n"/>
      <c r="D53" s="428" t="n"/>
      <c r="E53" s="428" t="n"/>
      <c r="F53" s="428" t="n"/>
      <c r="G53" s="428" t="n"/>
    </row>
    <row r="54">
      <c r="B54" s="428" t="n"/>
      <c r="C54" s="428" t="n"/>
      <c r="D54" s="428" t="n"/>
      <c r="E54" s="428" t="n"/>
      <c r="F54" s="428" t="n"/>
      <c r="G54" s="428" t="n"/>
    </row>
    <row r="55">
      <c r="B55" s="428" t="n"/>
      <c r="C55" s="428" t="n"/>
      <c r="D55" s="428" t="n"/>
      <c r="E55" s="428" t="n"/>
      <c r="F55" s="428" t="n"/>
      <c r="G55" s="428" t="n"/>
    </row>
    <row r="56">
      <c r="B56" s="428" t="n"/>
      <c r="C56" s="428" t="n"/>
      <c r="D56" s="428" t="n"/>
      <c r="E56" s="428" t="n"/>
      <c r="F56" s="428" t="n"/>
      <c r="G56" s="428" t="n"/>
    </row>
    <row r="57">
      <c r="B57" s="428" t="n"/>
      <c r="C57" s="428" t="n"/>
      <c r="D57" s="428" t="n"/>
      <c r="E57" s="428" t="n"/>
      <c r="F57" s="428" t="n"/>
      <c r="G57" s="428" t="n"/>
    </row>
    <row r="58">
      <c r="B58" s="428" t="n"/>
      <c r="C58" s="428" t="n"/>
      <c r="D58" s="428" t="n"/>
      <c r="E58" s="428" t="n"/>
      <c r="F58" s="428" t="n"/>
      <c r="G58" s="428" t="n"/>
    </row>
    <row r="59">
      <c r="B59" s="428" t="n"/>
      <c r="C59" s="428" t="n"/>
      <c r="D59" s="428" t="n"/>
      <c r="E59" s="428" t="n"/>
      <c r="F59" s="428" t="n"/>
      <c r="G59" s="428" t="n"/>
    </row>
    <row r="60">
      <c r="B60" s="428" t="n"/>
      <c r="C60" s="428" t="n"/>
      <c r="D60" s="428" t="n"/>
      <c r="E60" s="428" t="n"/>
      <c r="F60" s="428" t="n"/>
      <c r="G60" s="428" t="n"/>
    </row>
    <row r="61">
      <c r="B61" s="428" t="n"/>
      <c r="C61" s="428" t="n"/>
      <c r="D61" s="428" t="n"/>
      <c r="E61" s="428" t="n"/>
      <c r="F61" s="428" t="n"/>
      <c r="G61" s="428" t="n"/>
    </row>
    <row r="62">
      <c r="B62" s="428" t="n"/>
      <c r="C62" s="428" t="n"/>
      <c r="D62" s="428" t="n"/>
      <c r="E62" s="428" t="n"/>
      <c r="F62" s="428" t="n"/>
      <c r="G62" s="428" t="n"/>
    </row>
    <row r="63" ht="64.5" customHeight="1">
      <c r="B63" s="428" t="n"/>
      <c r="C63" s="428" t="n"/>
      <c r="D63" s="428" t="n"/>
      <c r="E63" s="428" t="n"/>
      <c r="F63" s="428" t="n"/>
      <c r="G63" s="428" t="n"/>
    </row>
    <row r="64">
      <c r="B64" s="428" t="n"/>
      <c r="C64" s="428" t="n"/>
      <c r="D64" s="428" t="n"/>
      <c r="E64" s="428" t="n"/>
      <c r="F64" s="428" t="n"/>
      <c r="G64" s="428" t="n"/>
    </row>
    <row r="65">
      <c r="B65" s="428" t="n"/>
      <c r="C65" s="428" t="n"/>
      <c r="D65" s="428" t="n"/>
      <c r="E65" s="428" t="n"/>
      <c r="F65" s="428" t="n"/>
      <c r="G65" s="428" t="n"/>
    </row>
    <row r="66">
      <c r="B66" s="428" t="n"/>
      <c r="C66" s="428" t="n"/>
      <c r="D66" s="428" t="n"/>
      <c r="E66" s="428" t="n"/>
      <c r="F66" s="428" t="n"/>
      <c r="G66" s="428" t="n"/>
    </row>
    <row r="67">
      <c r="B67" s="428" t="n"/>
      <c r="C67" s="428" t="n"/>
      <c r="D67" s="428" t="n"/>
      <c r="E67" s="428" t="n"/>
      <c r="F67" s="428" t="n"/>
      <c r="G67" s="428" t="n"/>
    </row>
    <row r="68">
      <c r="B68" s="428" t="n"/>
      <c r="C68" s="428" t="n"/>
      <c r="D68" s="428" t="n"/>
      <c r="E68" s="428" t="n"/>
      <c r="F68" s="428" t="n"/>
      <c r="G68" s="428" t="n"/>
    </row>
    <row r="69">
      <c r="B69" s="428" t="n"/>
      <c r="C69" s="428" t="n"/>
      <c r="D69" s="428" t="n"/>
      <c r="E69" s="428" t="n"/>
      <c r="F69" s="428" t="n"/>
      <c r="G69" s="428" t="n"/>
    </row>
    <row r="70">
      <c r="B70" s="428" t="n"/>
      <c r="C70" s="428" t="n"/>
      <c r="D70" s="428" t="n"/>
      <c r="E70" s="428" t="n"/>
      <c r="F70" s="428" t="n"/>
      <c r="G70" s="428" t="n"/>
    </row>
    <row r="71">
      <c r="B71" s="428" t="n"/>
      <c r="C71" s="428" t="n"/>
      <c r="D71" s="428" t="n"/>
      <c r="E71" s="428" t="n"/>
      <c r="F71" s="428" t="n"/>
      <c r="G71" s="428" t="n"/>
    </row>
    <row r="72">
      <c r="B72" s="428" t="n"/>
      <c r="C72" s="428" t="n"/>
      <c r="D72" s="428" t="n"/>
      <c r="E72" s="428" t="n"/>
      <c r="F72" s="428" t="n"/>
      <c r="G72" s="428" t="n"/>
    </row>
    <row r="73">
      <c r="B73" s="428" t="n"/>
      <c r="C73" s="428" t="n"/>
      <c r="D73" s="428" t="n"/>
      <c r="E73" s="428" t="n"/>
      <c r="F73" s="428" t="n"/>
      <c r="G73" s="428" t="n"/>
    </row>
    <row r="74">
      <c r="B74" s="428" t="n"/>
      <c r="C74" s="428" t="n"/>
      <c r="D74" s="428" t="n"/>
      <c r="E74" s="428" t="n"/>
      <c r="F74" s="428" t="n"/>
      <c r="G74" s="428" t="n"/>
    </row>
    <row r="75">
      <c r="B75" s="428" t="n"/>
      <c r="C75" s="428" t="n"/>
      <c r="D75" s="428" t="n"/>
      <c r="E75" s="428" t="n"/>
      <c r="F75" s="428" t="n"/>
      <c r="G75" s="428" t="n"/>
    </row>
    <row r="76">
      <c r="B76" s="428" t="n"/>
      <c r="C76" s="428" t="n"/>
      <c r="D76" s="428" t="n"/>
      <c r="E76" s="428" t="n"/>
      <c r="F76" s="428" t="n"/>
      <c r="G76" s="428" t="n"/>
    </row>
    <row r="77">
      <c r="B77" s="428" t="n"/>
      <c r="C77" s="428" t="n"/>
      <c r="D77" s="428" t="n"/>
      <c r="E77" s="428" t="n"/>
      <c r="F77" s="428" t="n"/>
      <c r="G77" s="428" t="n"/>
    </row>
    <row r="78">
      <c r="B78" s="428" t="n"/>
      <c r="C78" s="428" t="n"/>
      <c r="D78" s="428" t="n"/>
      <c r="E78" s="428" t="n"/>
      <c r="F78" s="428" t="n"/>
      <c r="G78" s="428" t="n"/>
    </row>
    <row r="79">
      <c r="B79" s="428" t="n"/>
      <c r="C79" s="428" t="n"/>
      <c r="D79" s="428" t="n"/>
      <c r="E79" s="428" t="n"/>
      <c r="F79" s="428" t="n"/>
      <c r="G79" s="428" t="n"/>
    </row>
    <row r="80">
      <c r="B80" s="428" t="n"/>
      <c r="C80" s="428" t="n"/>
      <c r="D80" s="428" t="n"/>
      <c r="E80" s="428" t="n"/>
      <c r="F80" s="428" t="n"/>
      <c r="G80" s="428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2026-04-25T22:38:09Z</dcterms:modified>
  <cp:lastModifiedBy>Diofavian - Student</cp:lastModifiedBy>
</cp:coreProperties>
</file>