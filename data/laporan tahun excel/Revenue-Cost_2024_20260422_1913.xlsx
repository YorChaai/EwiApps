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1" fillId="0" borderId="25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3" fontId="41" fillId="0" borderId="26" applyAlignment="1" pivotButton="0" quotePrefix="0" xfId="0">
      <alignment horizontal="right" vertical="center"/>
    </xf>
    <xf numFmtId="2" fontId="41" fillId="0" borderId="25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4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4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3" fontId="41" fillId="0" borderId="29" applyAlignment="1" pivotButton="0" quotePrefix="0" xfId="0">
      <alignment horizontal="right" vertical="center"/>
    </xf>
    <xf numFmtId="2" fontId="41" fillId="0" borderId="28" applyAlignment="1" pivotButton="0" quotePrefix="0" xfId="0">
      <alignment horizontal="left" vertical="center"/>
    </xf>
    <xf numFmtId="2" fontId="41" fillId="0" borderId="29" applyAlignment="1" pivotButton="0" quotePrefix="0" xfId="0">
      <alignment horizontal="left" vertical="center"/>
    </xf>
    <xf numFmtId="173" fontId="40" fillId="0" borderId="22" applyAlignment="1" pivotButton="0" quotePrefix="0" xfId="0">
      <alignment horizontal="left" vertical="center"/>
    </xf>
    <xf numFmtId="2" fontId="41" fillId="0" borderId="30" applyAlignment="1" pivotButton="0" quotePrefix="0" xfId="0">
      <alignment horizontal="left" vertical="center"/>
    </xf>
    <xf numFmtId="41" fontId="40" fillId="0" borderId="22" applyAlignment="1" pivotButton="0" quotePrefix="0" xfId="0">
      <alignment horizontal="left" vertical="center"/>
    </xf>
    <xf numFmtId="0" fontId="41" fillId="0" borderId="31" applyAlignment="1" pivotButton="0" quotePrefix="0" xfId="0">
      <alignment horizontal="left" vertical="center"/>
    </xf>
    <xf numFmtId="0" fontId="41" fillId="0" borderId="32" applyAlignment="1" pivotButton="0" quotePrefix="0" xfId="0">
      <alignment horizontal="left" vertical="center"/>
    </xf>
    <xf numFmtId="0" fontId="41" fillId="0" borderId="33" applyAlignment="1" pivotButton="0" quotePrefix="0" xfId="0">
      <alignment horizontal="left" vertical="center"/>
    </xf>
    <xf numFmtId="3" fontId="41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4" applyAlignment="1" pivotButton="0" quotePrefix="0" xfId="0">
      <alignment horizontal="center" vertical="center"/>
    </xf>
    <xf numFmtId="165" fontId="42" fillId="6" borderId="35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4" applyAlignment="1" pivotButton="0" quotePrefix="0" xfId="0">
      <alignment horizontal="right" vertical="center"/>
    </xf>
    <xf numFmtId="3" fontId="43" fillId="6" borderId="35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4" applyAlignment="1" pivotButton="0" quotePrefix="0" xfId="0">
      <alignment horizontal="right" vertical="center"/>
    </xf>
    <xf numFmtId="3" fontId="43" fillId="0" borderId="3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70" t="n"/>
      <c r="E8" s="371" t="n"/>
      <c r="F8" s="352" t="n"/>
      <c r="G8" s="372" t="inlineStr">
        <is>
          <t>AKTIVA</t>
        </is>
      </c>
      <c r="H8" s="373" t="n"/>
      <c r="I8" s="374" t="n"/>
      <c r="J8" s="371" t="n"/>
    </row>
    <row r="9" ht="15" customHeight="1">
      <c r="A9" s="367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2" t="n"/>
      <c r="G9" s="379" t="inlineStr">
        <is>
          <t>AKTIVA LANCAR</t>
        </is>
      </c>
      <c r="H9" s="380" t="n"/>
      <c r="I9" s="381" t="n"/>
      <c r="J9" s="378" t="n"/>
    </row>
    <row r="10" ht="15" customHeight="1">
      <c r="A10" s="367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2" t="n"/>
      <c r="G10" s="379" t="n"/>
      <c r="H10" s="380" t="inlineStr">
        <is>
          <t>KAS DAN SETARA KAS TAHUN SEBELUMNYA</t>
        </is>
      </c>
      <c r="I10" s="377" t="inlineStr">
        <is>
          <t>Rp</t>
        </is>
      </c>
      <c r="J10" s="378" t="n">
        <v>0</v>
      </c>
    </row>
    <row r="11" ht="15" customHeight="1">
      <c r="A11" s="367" t="n"/>
      <c r="B11" s="375" t="n"/>
      <c r="C11" s="376" t="n"/>
      <c r="D11" s="377" t="n"/>
      <c r="E11" s="378" t="n"/>
      <c r="F11" s="352" t="n"/>
      <c r="G11" s="379" t="n"/>
      <c r="H11" s="380" t="inlineStr">
        <is>
          <t>KAS DAN SETARA KAS TAHUN LAPORAN</t>
        </is>
      </c>
      <c r="I11" s="377" t="inlineStr">
        <is>
          <t>Rp</t>
        </is>
      </c>
      <c r="J11" s="378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3" t="n"/>
      <c r="D12" s="384" t="inlineStr">
        <is>
          <t>Rp</t>
        </is>
      </c>
      <c r="E12" s="385">
        <f>SUM(E9:E11)</f>
        <v/>
      </c>
      <c r="F12" s="352" t="n"/>
      <c r="G12" s="386" t="n"/>
      <c r="H12" s="387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7" t="n"/>
      <c r="B13" s="375" t="n"/>
      <c r="C13" s="376" t="n"/>
      <c r="D13" s="377" t="n"/>
      <c r="E13" s="378" t="n"/>
      <c r="F13" s="352" t="n"/>
      <c r="G13" s="379" t="n"/>
      <c r="H13" s="380" t="inlineStr">
        <is>
          <t>PAJAK BAYAR DI MUKA (pph23)</t>
        </is>
      </c>
      <c r="I13" s="377" t="inlineStr">
        <is>
          <t>Rp</t>
        </is>
      </c>
      <c r="J13" s="378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70" t="n"/>
      <c r="E14" s="371" t="n"/>
      <c r="F14" s="352" t="n"/>
      <c r="G14" s="372" t="n"/>
      <c r="H14" s="373" t="inlineStr">
        <is>
          <t>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7" t="inlineStr">
        <is>
          <t>Rp</t>
        </is>
      </c>
      <c r="E15" s="378">
        <f>'Revenue-Cost_2024'!I639</f>
        <v/>
      </c>
      <c r="F15" s="352" t="n"/>
      <c r="G15" s="388" t="n"/>
      <c r="H15" s="380" t="inlineStr">
        <is>
          <t>PIUTANG LAIN LAIN</t>
        </is>
      </c>
      <c r="I15" s="377" t="inlineStr">
        <is>
          <t>Rp</t>
        </is>
      </c>
      <c r="J15" s="378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7" t="inlineStr">
        <is>
          <t>Rp</t>
        </is>
      </c>
      <c r="E16" s="378">
        <f>'Revenue-Cost_2024'!J639</f>
        <v/>
      </c>
      <c r="F16" s="352" t="n"/>
      <c r="G16" s="379" t="n"/>
      <c r="H16" s="380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7" t="inlineStr">
        <is>
          <t>Rp</t>
        </is>
      </c>
      <c r="E17" s="378">
        <f>'Revenue-Cost_2024'!K639</f>
        <v/>
      </c>
      <c r="F17" s="352" t="n"/>
      <c r="G17" s="379" t="n"/>
      <c r="H17" s="380" t="n"/>
      <c r="I17" s="381" t="n"/>
      <c r="J17" s="378" t="n"/>
    </row>
    <row r="18" ht="15" customHeight="1">
      <c r="A18" s="367" t="n"/>
      <c r="B18" s="375" t="n"/>
      <c r="C18" s="376" t="inlineStr">
        <is>
          <t>BIAYA OPERASI</t>
        </is>
      </c>
      <c r="D18" s="377" t="inlineStr">
        <is>
          <t>Rp</t>
        </is>
      </c>
      <c r="E18" s="378">
        <f>'Revenue-Cost_2024'!L639</f>
        <v/>
      </c>
      <c r="F18" s="352" t="n"/>
      <c r="G18" s="379" t="inlineStr">
        <is>
          <t>ACTIVA TETAP</t>
        </is>
      </c>
      <c r="H18" s="380" t="n"/>
      <c r="I18" s="381" t="n"/>
      <c r="J18" s="378" t="n"/>
    </row>
    <row r="19" ht="15" customHeight="1">
      <c r="A19" s="367" t="n"/>
      <c r="B19" s="382" t="inlineStr">
        <is>
          <t>TOTAL BIAYA LANGSUNG</t>
        </is>
      </c>
      <c r="C19" s="383" t="n"/>
      <c r="D19" s="384" t="inlineStr">
        <is>
          <t>Rp</t>
        </is>
      </c>
      <c r="E19" s="385">
        <f>SUM(E15:E18)</f>
        <v/>
      </c>
      <c r="F19" s="352" t="n"/>
      <c r="G19" s="386" t="n"/>
      <c r="H19" s="387" t="n"/>
      <c r="I19" s="389" t="n"/>
      <c r="J19" s="385" t="n"/>
    </row>
    <row r="20" ht="15" customHeight="1">
      <c r="A20" s="367" t="n"/>
      <c r="B20" s="375" t="n"/>
      <c r="C20" s="376" t="n"/>
      <c r="D20" s="377" t="n"/>
      <c r="E20" s="378" t="n"/>
      <c r="F20" s="352" t="n"/>
      <c r="G20" s="379" t="n"/>
      <c r="H20" s="380" t="inlineStr">
        <is>
          <t>INVENTARIS KANTOR</t>
        </is>
      </c>
      <c r="I20" s="377" t="inlineStr">
        <is>
          <t>Rp</t>
        </is>
      </c>
      <c r="J20" s="378" t="n">
        <v>0</v>
      </c>
    </row>
    <row r="21" ht="15" customHeight="1">
      <c r="A21" s="367" t="n"/>
      <c r="B21" s="368" t="inlineStr">
        <is>
          <t>BEBAN TIDAK LANGSUNG</t>
        </is>
      </c>
      <c r="C21" s="369" t="n"/>
      <c r="D21" s="370" t="n"/>
      <c r="E21" s="371" t="n"/>
      <c r="F21" s="352" t="n"/>
      <c r="G21" s="372" t="n"/>
      <c r="H21" s="373" t="n"/>
      <c r="I21" s="374" t="n"/>
      <c r="J21" s="371" t="n"/>
    </row>
    <row r="22" ht="15" customHeight="1">
      <c r="A22" s="367" t="n"/>
      <c r="B22" s="375" t="n"/>
      <c r="C22" s="376" t="n"/>
      <c r="D22" s="377" t="inlineStr">
        <is>
          <t>Rp</t>
        </is>
      </c>
      <c r="E22" s="378" t="n">
        <v>0</v>
      </c>
      <c r="F22" s="352" t="n"/>
      <c r="G22" s="379" t="n"/>
      <c r="H22" s="380" t="inlineStr">
        <is>
          <t>TOTAL AKTIVA TETAP</t>
        </is>
      </c>
      <c r="I22" s="377" t="inlineStr">
        <is>
          <t>Rp</t>
        </is>
      </c>
      <c r="J22" s="378">
        <f>J20</f>
        <v/>
      </c>
    </row>
    <row r="23" ht="15" customHeight="1">
      <c r="A23" s="367" t="n"/>
      <c r="B23" s="382" t="inlineStr">
        <is>
          <t>TOTAL BIAYA TIDAK LANGSUNG</t>
        </is>
      </c>
      <c r="C23" s="383" t="n"/>
      <c r="D23" s="384" t="inlineStr">
        <is>
          <t>Rp</t>
        </is>
      </c>
      <c r="E23" s="385">
        <f>SUM(E22:E22)</f>
        <v/>
      </c>
      <c r="F23" s="352" t="n"/>
      <c r="G23" s="386" t="n"/>
      <c r="H23" s="387" t="n"/>
      <c r="I23" s="389" t="n"/>
      <c r="J23" s="385" t="n"/>
    </row>
    <row r="24" ht="15" customHeight="1">
      <c r="A24" s="367" t="n"/>
      <c r="B24" s="375" t="n"/>
      <c r="C24" s="376" t="n"/>
      <c r="D24" s="377" t="n"/>
      <c r="E24" s="378" t="n"/>
      <c r="F24" s="352" t="n"/>
      <c r="G24" s="379" t="inlineStr">
        <is>
          <t>ACTIVA LAIN LAIN</t>
        </is>
      </c>
      <c r="H24" s="380" t="n"/>
      <c r="I24" s="381" t="n"/>
      <c r="J24" s="378" t="n">
        <v>0</v>
      </c>
    </row>
    <row r="25" ht="15" customHeight="1">
      <c r="A25" s="367" t="n"/>
      <c r="B25" s="368" t="inlineStr">
        <is>
          <t>BIAYA ADMINISTRASI DAN UMUM</t>
        </is>
      </c>
      <c r="C25" s="369" t="n"/>
      <c r="D25" s="370" t="n"/>
      <c r="E25" s="371" t="n"/>
      <c r="F25" s="352" t="n"/>
      <c r="G25" s="372" t="n"/>
      <c r="H25" s="373" t="n"/>
      <c r="I25" s="374" t="n"/>
      <c r="J25" s="371" t="n">
        <v>0</v>
      </c>
    </row>
    <row r="26" ht="15" customHeight="1">
      <c r="A26" s="367" t="n"/>
      <c r="B26" s="375" t="n"/>
      <c r="C26" s="376" t="inlineStr">
        <is>
          <t>DIOFAVIAN</t>
        </is>
      </c>
      <c r="D26" s="377" t="inlineStr">
        <is>
          <t>Rp</t>
        </is>
      </c>
      <c r="E26" s="378">
        <f>'Revenue-Cost_2024'!M639</f>
        <v/>
      </c>
      <c r="F26" s="352" t="n"/>
      <c r="G26" s="379" t="n"/>
      <c r="H26" s="380" t="inlineStr">
        <is>
          <t>TOTAL AKTIVA LAIN LAIN</t>
        </is>
      </c>
      <c r="I26" s="377" t="inlineStr">
        <is>
          <t>Rp</t>
        </is>
      </c>
      <c r="J26" s="378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7" t="inlineStr">
        <is>
          <t>Rp</t>
        </is>
      </c>
      <c r="E27" s="378">
        <f>'Revenue-Cost_2024'!N639</f>
        <v/>
      </c>
      <c r="F27" s="352" t="n"/>
      <c r="G27" s="379" t="n"/>
      <c r="H27" s="380" t="n"/>
      <c r="I27" s="381" t="n"/>
      <c r="J27" s="378" t="n"/>
    </row>
    <row r="28" ht="15" customHeight="1">
      <c r="A28" s="367" t="n"/>
      <c r="B28" s="375" t="n"/>
      <c r="C28" s="376" t="inlineStr">
        <is>
          <t>PEMBELIAN BARANG</t>
        </is>
      </c>
      <c r="D28" s="377" t="inlineStr">
        <is>
          <t>Rp</t>
        </is>
      </c>
      <c r="E28" s="378">
        <f>'Revenue-Cost_2024'!O639</f>
        <v/>
      </c>
      <c r="F28" s="352" t="n"/>
      <c r="G28" s="390" t="inlineStr">
        <is>
          <t>TOTAL AKTIVA</t>
        </is>
      </c>
      <c r="H28" s="376" t="n"/>
      <c r="I28" s="377" t="inlineStr">
        <is>
          <t>Rp</t>
        </is>
      </c>
      <c r="J28" s="378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7" t="inlineStr">
        <is>
          <t>Rp</t>
        </is>
      </c>
      <c r="E29" s="378">
        <f>'Revenue-Cost_2024'!P639</f>
        <v/>
      </c>
      <c r="F29" s="352" t="n"/>
      <c r="G29" s="379" t="n"/>
      <c r="H29" s="380" t="n"/>
      <c r="I29" s="381" t="n"/>
      <c r="J29" s="378" t="n"/>
    </row>
    <row r="30" ht="15" customHeight="1">
      <c r="A30" s="367" t="n"/>
      <c r="B30" s="375" t="n"/>
      <c r="C30" s="376" t="inlineStr">
        <is>
          <t>KESEHATAN</t>
        </is>
      </c>
      <c r="D30" s="377" t="inlineStr">
        <is>
          <t>Rp</t>
        </is>
      </c>
      <c r="E30" s="378">
        <f>'Revenue-Cost_2024'!Q639</f>
        <v/>
      </c>
      <c r="F30" s="352" t="n"/>
      <c r="G30" s="379" t="inlineStr">
        <is>
          <t>HUTANG DAN MODAL</t>
        </is>
      </c>
      <c r="H30" s="380" t="n"/>
      <c r="I30" s="381" t="n"/>
      <c r="J30" s="378" t="n"/>
    </row>
    <row r="31" ht="15" customHeight="1">
      <c r="A31" s="367" t="n"/>
      <c r="B31" s="375" t="n"/>
      <c r="C31" s="376" t="inlineStr">
        <is>
          <t>BISNIS DEV</t>
        </is>
      </c>
      <c r="D31" s="377" t="inlineStr">
        <is>
          <t>Rp</t>
        </is>
      </c>
      <c r="E31" s="378">
        <f>'Revenue-Cost_2024'!R639</f>
        <v/>
      </c>
      <c r="F31" s="352" t="n"/>
      <c r="G31" s="379" t="n"/>
      <c r="H31" s="380" t="n"/>
      <c r="I31" s="381" t="n"/>
      <c r="J31" s="378" t="n"/>
    </row>
    <row r="32" ht="15" customHeight="1">
      <c r="A32" s="367" t="n"/>
      <c r="B32" s="375" t="n"/>
      <c r="C32" s="376" t="inlineStr">
        <is>
          <t>ASDASD</t>
        </is>
      </c>
      <c r="D32" s="377" t="inlineStr">
        <is>
          <t>Rp</t>
        </is>
      </c>
      <c r="E32" s="378">
        <f>'Revenue-Cost_2024'!S639</f>
        <v/>
      </c>
      <c r="F32" s="352" t="n"/>
      <c r="G32" s="379" t="inlineStr">
        <is>
          <t>HUTANG LANCAR</t>
        </is>
      </c>
      <c r="H32" s="380" t="n"/>
      <c r="I32" s="381" t="n"/>
      <c r="J32" s="378" t="n"/>
    </row>
    <row r="33" ht="15" customHeight="1">
      <c r="A33" s="367" t="n"/>
      <c r="B33" s="375" t="n"/>
      <c r="C33" s="376" t="inlineStr">
        <is>
          <t>MAKANAN JEPANG</t>
        </is>
      </c>
      <c r="D33" s="377" t="inlineStr">
        <is>
          <t>Rp</t>
        </is>
      </c>
      <c r="E33" s="378">
        <f>'Revenue-Cost_2024'!T639</f>
        <v/>
      </c>
      <c r="F33" s="352" t="n"/>
      <c r="G33" s="379" t="n"/>
      <c r="H33" s="380" t="inlineStr">
        <is>
          <t>HUTANG USAHA</t>
        </is>
      </c>
      <c r="I33" s="377" t="inlineStr">
        <is>
          <t>Rp</t>
        </is>
      </c>
      <c r="J33" s="378" t="n">
        <v>0</v>
      </c>
    </row>
    <row r="34" ht="15" customHeight="1">
      <c r="A34" s="367" t="n"/>
      <c r="B34" s="375" t="n"/>
      <c r="C34" s="376" t="inlineStr">
        <is>
          <t>AAAAA</t>
        </is>
      </c>
      <c r="D34" s="377" t="inlineStr">
        <is>
          <t>Rp</t>
        </is>
      </c>
      <c r="E34" s="378">
        <f>'Revenue-Cost_2024'!U639</f>
        <v/>
      </c>
      <c r="F34" s="352" t="n"/>
      <c r="G34" s="379" t="n"/>
      <c r="H34" s="376" t="inlineStr">
        <is>
          <t>HUTANG GAJI</t>
        </is>
      </c>
      <c r="I34" s="377" t="inlineStr">
        <is>
          <t>Rp</t>
        </is>
      </c>
      <c r="J34" s="378" t="n">
        <v>0</v>
      </c>
    </row>
    <row r="35" ht="15" customHeight="1">
      <c r="A35" s="367" t="n"/>
      <c r="B35" s="375" t="n"/>
      <c r="C35" s="376" t="inlineStr">
        <is>
          <t>BBBBB</t>
        </is>
      </c>
      <c r="D35" s="377" t="inlineStr">
        <is>
          <t>Rp</t>
        </is>
      </c>
      <c r="E35" s="378">
        <f>'Revenue-Cost_2024'!V639</f>
        <v/>
      </c>
      <c r="F35" s="352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7" t="inlineStr">
        <is>
          <t>Rp</t>
        </is>
      </c>
      <c r="E36" s="378">
        <f>'Revenue-Cost_2024'!W639</f>
        <v/>
      </c>
      <c r="F36" s="352" t="n"/>
      <c r="G36" s="379" t="n"/>
      <c r="H36" s="380" t="inlineStr">
        <is>
          <t>BIAYA YANG MASIH HARUS DI BAYAR</t>
        </is>
      </c>
      <c r="I36" s="377" t="inlineStr">
        <is>
          <t>Rp</t>
        </is>
      </c>
      <c r="J36" s="378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7" t="inlineStr">
        <is>
          <t>Rp</t>
        </is>
      </c>
      <c r="E37" s="378">
        <f>'Revenue-Cost_2024'!X639</f>
        <v/>
      </c>
      <c r="F37" s="352" t="n"/>
      <c r="G37" s="375" t="n"/>
      <c r="H37" s="376" t="n"/>
      <c r="I37" s="377" t="n"/>
      <c r="J37" s="378" t="n"/>
    </row>
    <row r="38" ht="15" customHeight="1">
      <c r="A38" s="367" t="n"/>
      <c r="B38" s="375" t="n"/>
      <c r="C38" s="376" t="inlineStr">
        <is>
          <t>12312</t>
        </is>
      </c>
      <c r="D38" s="377" t="inlineStr">
        <is>
          <t>Rp</t>
        </is>
      </c>
      <c r="E38" s="378">
        <f>'Revenue-Cost_2024'!Y639</f>
        <v/>
      </c>
      <c r="F38" s="352" t="n"/>
      <c r="G38" s="379" t="n"/>
      <c r="H38" s="380" t="inlineStr">
        <is>
          <t>TOTAL HUTANG LANCAR</t>
        </is>
      </c>
      <c r="I38" s="381" t="n"/>
      <c r="J38" s="37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3" t="n"/>
      <c r="D39" s="384" t="inlineStr">
        <is>
          <t>Rp</t>
        </is>
      </c>
      <c r="E39" s="385">
        <f>SUM(E26:E38)</f>
        <v/>
      </c>
      <c r="F39" s="352" t="n"/>
      <c r="G39" s="386" t="n"/>
      <c r="H39" s="387" t="n"/>
      <c r="I39" s="389" t="n"/>
      <c r="J39" s="385" t="n"/>
    </row>
    <row r="40" ht="15" customHeight="1">
      <c r="A40" s="367" t="n"/>
      <c r="B40" s="375" t="n"/>
      <c r="C40" s="376" t="n"/>
      <c r="D40" s="377" t="n"/>
      <c r="E40" s="378" t="n"/>
      <c r="F40" s="352" t="n"/>
      <c r="G40" s="379" t="inlineStr">
        <is>
          <t>MODAL</t>
        </is>
      </c>
      <c r="H40" s="380" t="n"/>
      <c r="I40" s="381" t="n"/>
      <c r="J40" s="378" t="n"/>
    </row>
    <row r="41" ht="15" customHeight="1">
      <c r="A41" s="367" t="n"/>
      <c r="B41" s="382" t="inlineStr">
        <is>
          <t>TOTAL BIAYA</t>
        </is>
      </c>
      <c r="C41" s="383" t="n"/>
      <c r="D41" s="384" t="inlineStr">
        <is>
          <t>Rp</t>
        </is>
      </c>
      <c r="E41" s="385">
        <f>E19+E23+E39</f>
        <v/>
      </c>
      <c r="F41" s="352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7" t="n"/>
      <c r="B42" s="375" t="n"/>
      <c r="C42" s="376" t="n"/>
      <c r="D42" s="377" t="n"/>
      <c r="E42" s="378" t="n"/>
      <c r="F42" s="352" t="n"/>
      <c r="G42" s="379" t="n"/>
      <c r="H42" s="380" t="inlineStr">
        <is>
          <t>LABA DI TAHAN</t>
        </is>
      </c>
      <c r="I42" s="377" t="inlineStr">
        <is>
          <t>Rp</t>
        </is>
      </c>
      <c r="J42" s="378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70" t="n"/>
      <c r="E43" s="371" t="n"/>
      <c r="F43" s="352" t="n"/>
      <c r="G43" s="372" t="n"/>
      <c r="H43" s="373" t="inlineStr">
        <is>
          <t>TOTAL LABA (RUGI) DITAHAN</t>
        </is>
      </c>
      <c r="I43" s="370" t="inlineStr">
        <is>
          <t>Rp</t>
        </is>
      </c>
      <c r="J43" s="371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7" t="inlineStr">
        <is>
          <t>Rp</t>
        </is>
      </c>
      <c r="E44" s="378" t="n">
        <v>0</v>
      </c>
      <c r="F44" s="352" t="n"/>
      <c r="G44" s="379" t="n"/>
      <c r="H44" s="380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5" customHeight="1">
      <c r="A45" s="367" t="n"/>
      <c r="B45" s="375" t="n"/>
      <c r="C45" s="376" t="n"/>
      <c r="D45" s="377" t="n"/>
      <c r="E45" s="378" t="n"/>
      <c r="F45" s="352" t="n"/>
      <c r="G45" s="379" t="n"/>
      <c r="H45" s="380" t="n"/>
      <c r="I45" s="381" t="n"/>
      <c r="J45" s="378" t="n"/>
    </row>
    <row r="46" ht="15" customHeight="1">
      <c r="A46" s="367" t="n"/>
      <c r="B46" s="382" t="inlineStr">
        <is>
          <t>LABA RUGI SEBELUM PAJAK</t>
        </is>
      </c>
      <c r="C46" s="383" t="n"/>
      <c r="D46" s="384" t="inlineStr">
        <is>
          <t>Rp</t>
        </is>
      </c>
      <c r="E46" s="385">
        <f>E12-E41</f>
        <v/>
      </c>
      <c r="F46" s="352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67" t="n"/>
      <c r="B47" s="375" t="n"/>
      <c r="C47" s="376" t="n"/>
      <c r="D47" s="377" t="n"/>
      <c r="E47" s="378" t="n"/>
      <c r="F47" s="352" t="n"/>
      <c r="G47" s="375" t="n"/>
      <c r="H47" s="376" t="n"/>
      <c r="I47" s="377" t="n"/>
      <c r="J47" s="378" t="n"/>
    </row>
    <row r="48" ht="15" customHeight="1">
      <c r="A48" s="367" t="n"/>
      <c r="B48" s="382" t="inlineStr">
        <is>
          <t>CORPORATE TAX (PPh 29)</t>
        </is>
      </c>
      <c r="C48" s="383" t="n"/>
      <c r="D48" s="384" t="inlineStr">
        <is>
          <t>Rp</t>
        </is>
      </c>
      <c r="E48" s="385" t="n">
        <v>0</v>
      </c>
      <c r="F48" s="367" t="n"/>
      <c r="G48" s="382" t="n"/>
      <c r="H48" s="383" t="n"/>
      <c r="I48" s="384" t="n"/>
      <c r="J48" s="385" t="n"/>
    </row>
    <row r="49" ht="15" customHeight="1">
      <c r="A49" s="367" t="n"/>
      <c r="B49" s="375" t="n"/>
      <c r="C49" s="376" t="n"/>
      <c r="D49" s="377" t="n"/>
      <c r="E49" s="378" t="n"/>
      <c r="F49" s="367" t="n"/>
      <c r="G49" s="375" t="n"/>
      <c r="H49" s="376" t="n"/>
      <c r="I49" s="377" t="n"/>
      <c r="J49" s="378" t="n"/>
    </row>
    <row r="50" ht="15" customHeight="1">
      <c r="A50" s="367" t="n"/>
      <c r="B50" s="391" t="inlineStr">
        <is>
          <t>LABA / RUGI BERSIH</t>
        </is>
      </c>
      <c r="C50" s="392" t="n"/>
      <c r="D50" s="393" t="inlineStr">
        <is>
          <t>Rp</t>
        </is>
      </c>
      <c r="E50" s="394">
        <f>E46-E48</f>
        <v/>
      </c>
      <c r="F50" s="367" t="n"/>
      <c r="G50" s="391" t="n"/>
      <c r="H50" s="392" t="n"/>
      <c r="I50" s="393" t="n"/>
      <c r="J50" s="394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395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396" t="inlineStr">
        <is>
          <t>Direktur</t>
        </is>
      </c>
      <c r="D54" s="367" t="n"/>
      <c r="E54" s="367" t="n"/>
      <c r="F54" s="367" t="n"/>
      <c r="G54" s="367" t="n"/>
      <c r="H54" s="396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2" t="n"/>
    </row>
    <row r="7" ht="20" customHeight="1">
      <c r="A7" s="349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52" t="n"/>
    </row>
    <row r="8" ht="20" customHeight="1">
      <c r="A8" s="349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52" t="n"/>
    </row>
    <row r="9" ht="20" customHeight="1">
      <c r="A9" s="349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SUM('Revenue-Cost_2024'!I639:Y639)</f>
        <v/>
      </c>
      <c r="F9" s="352" t="n"/>
    </row>
    <row r="10" ht="20" customHeight="1">
      <c r="A10" s="349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2" t="n"/>
    </row>
    <row r="11" ht="20" customHeight="1">
      <c r="A11" s="349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2" t="n"/>
    </row>
    <row r="12" ht="20" customHeight="1">
      <c r="A12" s="349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52" t="n"/>
    </row>
    <row r="13" ht="20" customHeight="1">
      <c r="A13" s="349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2" t="n"/>
    </row>
    <row r="14" ht="20" customHeight="1">
      <c r="A14" s="349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2" t="n"/>
    </row>
    <row r="15" ht="20" customHeight="1">
      <c r="A15" s="349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2" t="n"/>
    </row>
    <row r="16" ht="20" customHeight="1">
      <c r="A16" s="349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04" t="inlineStr">
        <is>
          <t>DEVIDEN</t>
        </is>
      </c>
      <c r="F18" s="352" t="n"/>
    </row>
    <row r="19" ht="20" customHeight="1">
      <c r="A19" s="349" t="n"/>
      <c r="B19" s="405" t="inlineStr">
        <is>
          <t>#</t>
        </is>
      </c>
      <c r="C19" s="405" t="inlineStr">
        <is>
          <t>Nama Lengkap</t>
        </is>
      </c>
      <c r="D19" s="406" t="inlineStr"/>
      <c r="E19" s="407" t="inlineStr">
        <is>
          <t>Amount</t>
        </is>
      </c>
      <c r="F19" s="352" t="inlineStr"/>
      <c r="G19" s="408" t="inlineStr">
        <is>
          <t>Pajak</t>
        </is>
      </c>
    </row>
    <row r="20" ht="18" customHeight="1">
      <c r="A20" s="349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352" t="n"/>
      <c r="G20" s="413" t="inlineStr">
        <is>
          <t>Pajak 10%</t>
        </is>
      </c>
    </row>
    <row r="21" ht="20" customHeight="1">
      <c r="A21" s="414" t="n"/>
      <c r="B21" s="415" t="n">
        <v>2</v>
      </c>
      <c r="C21" s="416" t="inlineStr">
        <is>
          <t>Alan Muhadjir</t>
        </is>
      </c>
      <c r="D21" s="417" t="inlineStr">
        <is>
          <t>Rp</t>
        </is>
      </c>
      <c r="E21" s="418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14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2026-04-22T12:13:42Z</dcterms:modified>
  <cp:lastModifiedBy>Diofavian - Student</cp:lastModifiedBy>
</cp:coreProperties>
</file>