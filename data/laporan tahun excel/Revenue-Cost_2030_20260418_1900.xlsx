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0" fontId="1" fillId="0" borderId="0" pivotButton="0" quotePrefix="0" xfId="0"/>
    <xf numFmtId="0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165" fontId="1" fillId="0" borderId="0" pivotButton="0" quotePrefix="0" xfId="0"/>
    <xf numFmtId="3" fontId="1" fillId="0" borderId="0" pivotButton="0" quotePrefix="0" xfId="0"/>
    <xf numFmtId="3" fontId="10" fillId="0" borderId="4" applyAlignment="1" pivotButton="0" quotePrefix="0" xfId="0">
      <alignment horizont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3" fontId="10" fillId="11" borderId="15" applyAlignment="1" pivotButton="0" quotePrefix="0" xfId="0">
      <alignment vertical="top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/>
    </xf>
    <xf numFmtId="0" fontId="0" fillId="10" borderId="15" pivotButton="0" quotePrefix="0" xfId="0"/>
    <xf numFmtId="165" fontId="10" fillId="10" borderId="15" pivotButton="0" quotePrefix="0" xfId="0"/>
    <xf numFmtId="0" fontId="10" fillId="10" borderId="15" pivotButton="0" quotePrefix="0" xfId="0"/>
    <xf numFmtId="165" fontId="10" fillId="10" borderId="15" pivotButton="0" quotePrefix="0" xfId="1"/>
    <xf numFmtId="15" fontId="26" fillId="12" borderId="15" pivotButton="0" quotePrefix="0" xfId="0"/>
    <xf numFmtId="0" fontId="10" fillId="12" borderId="15" applyAlignment="1" pivotButton="0" quotePrefix="0" xfId="0">
      <alignment horizontal="center"/>
    </xf>
    <xf numFmtId="0" fontId="26" fillId="12" borderId="15" applyAlignment="1" pivotButton="0" quotePrefix="0" xfId="0">
      <alignment vertical="center"/>
    </xf>
    <xf numFmtId="0" fontId="0" fillId="12" borderId="15" pivotButton="0" quotePrefix="0" xfId="0"/>
    <xf numFmtId="165" fontId="10" fillId="12" borderId="15" pivotButton="0" quotePrefix="0" xfId="0"/>
    <xf numFmtId="0" fontId="10" fillId="12" borderId="15" pivotButton="0" quotePrefix="0" xfId="0"/>
    <xf numFmtId="165" fontId="10" fillId="12" borderId="15" pivotButton="0" quotePrefix="0" xfId="1"/>
    <xf numFmtId="15" fontId="10" fillId="12" borderId="15" pivotButton="0" quotePrefix="0" xfId="0"/>
    <xf numFmtId="0" fontId="26" fillId="11" borderId="15" applyAlignment="1" pivotButton="0" quotePrefix="0" xfId="0">
      <alignment vertical="center"/>
    </xf>
    <xf numFmtId="0" fontId="0" fillId="11" borderId="15" pivotButton="0" quotePrefix="0" xfId="0"/>
    <xf numFmtId="0" fontId="6" fillId="11" borderId="15" applyAlignment="1" pivotButton="0" quotePrefix="0" xfId="0">
      <alignment horizontal="center" vertical="center"/>
    </xf>
    <xf numFmtId="0" fontId="6" fillId="11" borderId="15" applyAlignment="1" pivotButton="0" quotePrefix="0" xfId="0">
      <alignment horizontal="center" vertical="center" wrapText="1"/>
    </xf>
    <xf numFmtId="0" fontId="8" fillId="11" borderId="15" applyAlignment="1" pivotButton="0" quotePrefix="0" xfId="0">
      <alignment horizontal="center" vertical="center" textRotation="90"/>
    </xf>
    <xf numFmtId="0" fontId="8" fillId="11" borderId="15" applyAlignment="1" pivotButton="0" quotePrefix="0" xfId="0">
      <alignment horizontal="center" vertical="center" textRotation="90" wrapText="1"/>
    </xf>
    <xf numFmtId="0" fontId="14" fillId="11" borderId="15" applyAlignment="1" pivotButton="0" quotePrefix="0" xfId="0">
      <alignment horizontal="center" vertical="center" wrapText="1"/>
    </xf>
    <xf numFmtId="172" fontId="0" fillId="0" borderId="5" pivotButton="0" quotePrefix="0" xfId="0"/>
    <xf numFmtId="0" fontId="0" fillId="0" borderId="5" applyAlignment="1" pivotButton="0" quotePrefix="0" xfId="0">
      <alignment horizontal="center" vertical="center"/>
    </xf>
    <xf numFmtId="15" fontId="26" fillId="0" borderId="15" applyAlignment="1" pivotButton="0" quotePrefix="0" xfId="0">
      <alignment horizontal="right" vertical="center"/>
    </xf>
    <xf numFmtId="0" fontId="10" fillId="0" borderId="15" pivotButton="0" quotePrefix="0" xfId="0"/>
    <xf numFmtId="15" fontId="10" fillId="6" borderId="15" pivotButton="0" quotePrefix="0" xfId="0"/>
    <xf numFmtId="165" fontId="10" fillId="0" borderId="15" pivotButton="0" quotePrefix="0" xfId="1"/>
    <xf numFmtId="0" fontId="0" fillId="0" borderId="15" pivotButton="0" quotePrefix="0" xfId="0"/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3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3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3" borderId="2" pivotButton="0" quotePrefix="0" xfId="0"/>
    <xf numFmtId="0" fontId="32" fillId="13" borderId="11" pivotButton="0" quotePrefix="0" xfId="0"/>
    <xf numFmtId="0" fontId="32" fillId="6" borderId="6" pivotButton="0" quotePrefix="0" xfId="0"/>
    <xf numFmtId="0" fontId="32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2" fillId="13" borderId="6" pivotButton="0" quotePrefix="0" xfId="0"/>
    <xf numFmtId="0" fontId="32" fillId="13" borderId="16" pivotButton="0" quotePrefix="0" xfId="0"/>
    <xf numFmtId="173" fontId="33" fillId="6" borderId="2" pivotButton="0" quotePrefix="0" xfId="0"/>
    <xf numFmtId="0" fontId="34" fillId="6" borderId="0" pivotButton="0" quotePrefix="0" xfId="0"/>
    <xf numFmtId="0" fontId="34" fillId="6" borderId="2" pivotButton="0" quotePrefix="0" xfId="0"/>
    <xf numFmtId="173" fontId="34" fillId="6" borderId="3" pivotButton="0" quotePrefix="0" xfId="0"/>
    <xf numFmtId="2" fontId="33" fillId="13" borderId="12" applyAlignment="1" pivotButton="0" quotePrefix="0" xfId="0">
      <alignment horizontal="left"/>
    </xf>
    <xf numFmtId="2" fontId="33" fillId="13" borderId="0" pivotButton="0" quotePrefix="0" xfId="0"/>
    <xf numFmtId="2" fontId="33" fillId="13" borderId="2" pivotButton="0" quotePrefix="0" xfId="0"/>
    <xf numFmtId="3" fontId="33" fillId="13" borderId="3" applyAlignment="1" pivotButton="0" quotePrefix="0" xfId="0">
      <alignment horizontal="right"/>
    </xf>
    <xf numFmtId="0" fontId="34" fillId="6" borderId="12" pivotButton="0" quotePrefix="0" xfId="0"/>
    <xf numFmtId="37" fontId="34" fillId="6" borderId="14" pivotButton="0" quotePrefix="0" xfId="0"/>
    <xf numFmtId="2" fontId="35" fillId="13" borderId="12" pivotButton="0" quotePrefix="0" xfId="0"/>
    <xf numFmtId="2" fontId="35" fillId="13" borderId="0" pivotButton="0" quotePrefix="0" xfId="0"/>
    <xf numFmtId="3" fontId="35" fillId="13" borderId="14" applyAlignment="1" pivotButton="0" quotePrefix="0" xfId="0">
      <alignment horizontal="right"/>
    </xf>
    <xf numFmtId="2" fontId="34" fillId="13" borderId="12" pivotButton="0" quotePrefix="0" xfId="0"/>
    <xf numFmtId="2" fontId="34" fillId="13" borderId="0" applyAlignment="1" pivotButton="0" quotePrefix="0" xfId="0">
      <alignment horizontal="left"/>
    </xf>
    <xf numFmtId="3" fontId="34" fillId="13" borderId="14" applyAlignment="1" pivotButton="0" quotePrefix="0" xfId="0">
      <alignment horizontal="right"/>
    </xf>
    <xf numFmtId="0" fontId="34" fillId="6" borderId="6" pivotButton="0" quotePrefix="0" xfId="0"/>
    <xf numFmtId="37" fontId="34" fillId="6" borderId="7" pivotButton="0" quotePrefix="0" xfId="0"/>
    <xf numFmtId="173" fontId="33" fillId="6" borderId="10" pivotButton="0" quotePrefix="0" xfId="0"/>
    <xf numFmtId="0" fontId="34" fillId="6" borderId="9" pivotButton="0" quotePrefix="0" xfId="0"/>
    <xf numFmtId="0" fontId="34" fillId="6" borderId="10" pivotButton="0" quotePrefix="0" xfId="0"/>
    <xf numFmtId="37" fontId="33" fillId="6" borderId="8" pivotButton="0" quotePrefix="0" xfId="0"/>
    <xf numFmtId="37" fontId="34" fillId="6" borderId="3" pivotButton="0" quotePrefix="0" xfId="0"/>
    <xf numFmtId="173" fontId="33" fillId="6" borderId="12" pivotButton="0" quotePrefix="0" xfId="0"/>
    <xf numFmtId="37" fontId="34" fillId="0" borderId="14" pivotButton="0" quotePrefix="0" xfId="0"/>
    <xf numFmtId="173" fontId="34" fillId="6" borderId="12" pivotButton="0" quotePrefix="0" xfId="0"/>
    <xf numFmtId="174" fontId="33" fillId="13" borderId="12" applyAlignment="1" pivotButton="0" quotePrefix="0" xfId="0">
      <alignment horizontal="left"/>
    </xf>
    <xf numFmtId="2" fontId="34" fillId="13" borderId="10" pivotButton="0" quotePrefix="0" xfId="0"/>
    <xf numFmtId="2" fontId="33" fillId="13" borderId="9" applyAlignment="1" pivotButton="0" quotePrefix="0" xfId="0">
      <alignment horizontal="left"/>
    </xf>
    <xf numFmtId="3" fontId="33" fillId="13" borderId="8" applyAlignment="1" pivotButton="0" quotePrefix="0" xfId="0">
      <alignment horizontal="right"/>
    </xf>
    <xf numFmtId="2" fontId="34" fillId="13" borderId="2" applyAlignment="1" pivotButton="0" quotePrefix="0" xfId="0">
      <alignment horizontal="left"/>
    </xf>
    <xf numFmtId="3" fontId="34" fillId="13" borderId="3" applyAlignment="1" pivotButton="0" quotePrefix="0" xfId="0">
      <alignment horizontal="right"/>
    </xf>
    <xf numFmtId="2" fontId="33" fillId="13" borderId="0" applyAlignment="1" pivotButton="0" quotePrefix="0" xfId="0">
      <alignment horizontal="left"/>
    </xf>
    <xf numFmtId="37" fontId="34" fillId="0" borderId="7" pivotButton="0" quotePrefix="0" xfId="0"/>
    <xf numFmtId="37" fontId="33" fillId="0" borderId="8" pivotButton="0" quotePrefix="0" xfId="0"/>
    <xf numFmtId="2" fontId="33" fillId="13" borderId="6" applyAlignment="1" pivotButton="0" quotePrefix="0" xfId="0">
      <alignment horizontal="left"/>
    </xf>
    <xf numFmtId="3" fontId="33" fillId="13" borderId="7" applyAlignment="1" pivotButton="0" quotePrefix="0" xfId="0">
      <alignment horizontal="right"/>
    </xf>
    <xf numFmtId="37" fontId="34" fillId="0" borderId="3" pivotButton="0" quotePrefix="0" xfId="0"/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2" fontId="34" fillId="13" borderId="10" applyAlignment="1" pivotButton="0" quotePrefix="0" xfId="0">
      <alignment horizontal="left"/>
    </xf>
    <xf numFmtId="3" fontId="34" fillId="13" borderId="8" applyAlignment="1" pivotButton="0" quotePrefix="0" xfId="0">
      <alignment horizontal="right"/>
    </xf>
    <xf numFmtId="3" fontId="33" fillId="6" borderId="8" applyAlignment="1" pivotButton="0" quotePrefix="0" xfId="0">
      <alignment horizontal="right"/>
    </xf>
    <xf numFmtId="2" fontId="34" fillId="13" borderId="2" pivotButton="0" quotePrefix="0" xfId="0"/>
    <xf numFmtId="2" fontId="34" fillId="13" borderId="11" pivotButton="0" quotePrefix="0" xfId="0"/>
    <xf numFmtId="2" fontId="33" fillId="13" borderId="12" pivotButton="0" quotePrefix="0" xfId="0"/>
    <xf numFmtId="3" fontId="33" fillId="13" borderId="14" applyAlignment="1" pivotButton="0" quotePrefix="0" xfId="0">
      <alignment horizontal="right"/>
    </xf>
    <xf numFmtId="0" fontId="34" fillId="13" borderId="0" pivotButton="0" quotePrefix="0" xfId="0"/>
    <xf numFmtId="37" fontId="34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34" fillId="6" borderId="11" pivotButton="0" quotePrefix="0" xfId="0"/>
    <xf numFmtId="37" fontId="33" fillId="6" borderId="3" pivotButton="0" quotePrefix="0" xfId="0"/>
    <xf numFmtId="2" fontId="33" fillId="13" borderId="10" applyAlignment="1" pivotButton="0" quotePrefix="0" xfId="0">
      <alignment horizontal="left"/>
    </xf>
    <xf numFmtId="37" fontId="33" fillId="6" borderId="14" pivotButton="0" quotePrefix="0" xfId="0"/>
    <xf numFmtId="2" fontId="33" fillId="13" borderId="2" applyAlignment="1" pivotButton="0" quotePrefix="0" xfId="0">
      <alignment horizontal="left"/>
    </xf>
    <xf numFmtId="37" fontId="33" fillId="6" borderId="7" pivotButton="0" quotePrefix="0" xfId="0"/>
    <xf numFmtId="173" fontId="34" fillId="6" borderId="2" pivotButton="0" quotePrefix="0" xfId="0"/>
    <xf numFmtId="173" fontId="33" fillId="6" borderId="17" applyAlignment="1" pivotButton="0" quotePrefix="0" xfId="0">
      <alignment horizontal="left"/>
    </xf>
    <xf numFmtId="0" fontId="0" fillId="0" borderId="18" pivotButton="0" quotePrefix="0" xfId="0"/>
    <xf numFmtId="0" fontId="34" fillId="6" borderId="19" pivotButton="0" quotePrefix="0" xfId="0"/>
    <xf numFmtId="37" fontId="33" fillId="6" borderId="18" pivotButton="0" quotePrefix="0" xfId="0"/>
    <xf numFmtId="2" fontId="33" fillId="13" borderId="19" pivotButton="0" quotePrefix="0" xfId="0"/>
    <xf numFmtId="2" fontId="33" fillId="13" borderId="20" pivotButton="0" quotePrefix="0" xfId="0"/>
    <xf numFmtId="3" fontId="33" fillId="13" borderId="18" applyAlignment="1" pivotButton="0" quotePrefix="0" xfId="0">
      <alignment horizontal="right"/>
    </xf>
    <xf numFmtId="2" fontId="34" fillId="13" borderId="0" pivotButton="0" quotePrefix="0" xfId="0"/>
    <xf numFmtId="0" fontId="36" fillId="6" borderId="0" applyAlignment="1" pivotButton="0" quotePrefix="0" xfId="0">
      <alignment horizontal="center"/>
    </xf>
    <xf numFmtId="0" fontId="32" fillId="6" borderId="0" applyAlignment="1" pivotButton="0" quotePrefix="0" xfId="0">
      <alignment horizontal="center"/>
    </xf>
    <xf numFmtId="174" fontId="1" fillId="6" borderId="0" pivotButton="0" quotePrefix="0" xfId="0"/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4" applyAlignment="1" pivotButton="0" quotePrefix="0" xfId="0">
      <alignment horizontal="center"/>
    </xf>
    <xf numFmtId="0" fontId="37" fillId="6" borderId="4" pivotButton="0" quotePrefix="0" xfId="0"/>
    <xf numFmtId="0" fontId="37" fillId="6" borderId="10" pivotButton="0" quotePrefix="0" xfId="0"/>
    <xf numFmtId="165" fontId="37" fillId="6" borderId="8" pivotButton="0" quotePrefix="0" xfId="0"/>
    <xf numFmtId="165" fontId="37" fillId="7" borderId="8" pivotButton="0" quotePrefix="0" xfId="0"/>
    <xf numFmtId="0" fontId="39" fillId="6" borderId="0" pivotButton="0" quotePrefix="0" xfId="0"/>
    <xf numFmtId="0" fontId="39" fillId="6" borderId="15" applyAlignment="1" pivotButton="0" quotePrefix="0" xfId="0">
      <alignment horizontal="center" vertical="center"/>
    </xf>
    <xf numFmtId="0" fontId="39" fillId="6" borderId="21" applyAlignment="1" pivotButton="0" quotePrefix="0" xfId="0">
      <alignment horizontal="center" vertical="center"/>
    </xf>
    <xf numFmtId="165" fontId="39" fillId="6" borderId="22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165" fontId="37" fillId="6" borderId="4" pivotButton="0" quotePrefix="0" xfId="0"/>
    <xf numFmtId="0" fontId="1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n"/>
      <c r="C8" s="15" t="n"/>
      <c r="D8" s="249" t="inlineStr">
        <is>
          <t>Belum ada data revenue dan pajak</t>
        </is>
      </c>
      <c r="E8" s="227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250" t="n"/>
    </row>
    <row r="9" ht="15.5" customHeight="1">
      <c r="B9" s="251" t="inlineStr">
        <is>
          <t>REVENUE (IDR)</t>
        </is>
      </c>
      <c r="C9" s="230" t="n"/>
      <c r="D9" s="230" t="n"/>
      <c r="E9" s="227" t="n"/>
      <c r="F9" s="252">
        <f>SUM(F8:F8)</f>
        <v/>
      </c>
      <c r="G9" s="15" t="n"/>
      <c r="H9" s="15" t="n"/>
      <c r="I9" s="253" t="n"/>
      <c r="J9" s="254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inlineStr"/>
    </row>
    <row r="10">
      <c r="B10" s="250" t="n"/>
      <c r="C10" s="250" t="n"/>
      <c r="D10" s="250" t="n"/>
      <c r="E10" s="250" t="n"/>
      <c r="F10" s="250" t="n"/>
      <c r="G10" s="250" t="n"/>
      <c r="H10" s="250" t="n"/>
      <c r="I10" s="250" t="n"/>
      <c r="J10" s="250" t="n"/>
      <c r="K10" s="250" t="n"/>
      <c r="L10" s="250" t="n"/>
      <c r="M10" s="250" t="n"/>
      <c r="N10" s="250" t="n"/>
      <c r="O10" s="250" t="n"/>
      <c r="P10" s="250" t="n"/>
      <c r="Q10" s="250" t="n"/>
    </row>
    <row r="11" ht="25" customHeight="1">
      <c r="B11" s="8" t="inlineStr">
        <is>
          <t>PAJAK PENGELUARAN</t>
        </is>
      </c>
      <c r="C11" s="250" t="n"/>
      <c r="D11" s="250" t="n"/>
      <c r="E11" s="250" t="n"/>
      <c r="F11" s="258" t="n"/>
      <c r="G11" s="250" t="n"/>
      <c r="H11" s="250" t="n"/>
      <c r="I11" s="259" t="n"/>
      <c r="J11" s="250" t="n"/>
      <c r="K11" s="250" t="n"/>
      <c r="L11" s="8" t="n"/>
      <c r="M11" s="250" t="n"/>
      <c r="N11" s="250" t="n"/>
      <c r="O11" s="250" t="n"/>
      <c r="P11" s="250" t="n"/>
      <c r="Q11" s="250" t="n"/>
    </row>
    <row r="12" ht="31" customHeight="1">
      <c r="B12" s="219" t="inlineStr">
        <is>
          <t>Date</t>
        </is>
      </c>
      <c r="C12" s="219" t="inlineStr">
        <is>
          <t>#</t>
        </is>
      </c>
      <c r="D12" s="220" t="inlineStr">
        <is>
          <t>Detail/Description</t>
        </is>
      </c>
      <c r="F12" s="177" t="inlineStr">
        <is>
          <t>Transaction Value</t>
        </is>
      </c>
      <c r="G12" s="54" t="inlineStr">
        <is>
          <t>Currency</t>
        </is>
      </c>
      <c r="H12" s="55" t="inlineStr">
        <is>
          <t>Currency
Exchange</t>
        </is>
      </c>
      <c r="I12" s="171" t="inlineStr">
        <is>
          <t>PPN</t>
        </is>
      </c>
      <c r="J12" s="227" t="n"/>
      <c r="K12" s="171" t="inlineStr">
        <is>
          <t>PPh (pasal 21)</t>
        </is>
      </c>
      <c r="L12" s="227" t="n"/>
      <c r="M12" s="171" t="inlineStr">
        <is>
          <t>PPh (pasal 23)</t>
        </is>
      </c>
      <c r="N12" s="227" t="n"/>
      <c r="O12" s="171" t="inlineStr">
        <is>
          <t>PPh (pasal 26)</t>
        </is>
      </c>
      <c r="P12" s="227" t="n"/>
      <c r="Q12" s="38" t="n"/>
    </row>
    <row r="13" ht="24" customHeight="1">
      <c r="B13" s="18" t="n"/>
      <c r="C13" s="15" t="n"/>
      <c r="D13" s="170" t="n"/>
      <c r="E13" s="227" t="n"/>
      <c r="F13" s="11" t="n"/>
      <c r="G13" s="15" t="n"/>
      <c r="H13" s="15" t="n"/>
      <c r="I13" s="39" t="inlineStr">
        <is>
          <t>Transaction</t>
        </is>
      </c>
      <c r="J13" s="39" t="inlineStr">
        <is>
          <t>PPN</t>
        </is>
      </c>
      <c r="K13" s="39" t="inlineStr">
        <is>
          <t>Transaction</t>
        </is>
      </c>
      <c r="L13" s="39" t="inlineStr">
        <is>
          <t>PPh - 21</t>
        </is>
      </c>
      <c r="M13" s="39" t="inlineStr">
        <is>
          <t>Transaction</t>
        </is>
      </c>
      <c r="N13" s="39" t="inlineStr">
        <is>
          <t>PPh - 23</t>
        </is>
      </c>
      <c r="O13" s="39" t="inlineStr">
        <is>
          <t>Transaction</t>
        </is>
      </c>
      <c r="P13" s="39" t="inlineStr">
        <is>
          <t>PPh - 26</t>
        </is>
      </c>
      <c r="Q13" s="40" t="n"/>
    </row>
    <row r="14" ht="15.5" customHeight="1">
      <c r="B14" s="14" t="n"/>
      <c r="C14" s="15" t="n"/>
      <c r="D14" s="249" t="inlineStr">
        <is>
          <t>Belum ada data pajak</t>
        </is>
      </c>
      <c r="E14" s="227" t="n"/>
      <c r="F14" s="19" t="n"/>
      <c r="G14" s="15" t="inlineStr">
        <is>
          <t>IDR</t>
        </is>
      </c>
      <c r="H14" s="260" t="n">
        <v>1</v>
      </c>
      <c r="I14" s="18" t="n"/>
      <c r="J14" s="21" t="n"/>
      <c r="K14" s="41" t="n"/>
      <c r="L14" s="21" t="n"/>
      <c r="M14" s="41" t="n"/>
      <c r="N14" s="21" t="n"/>
      <c r="O14" s="41" t="n"/>
      <c r="P14" s="21" t="n"/>
      <c r="Q14" s="42" t="n"/>
    </row>
    <row r="15" hidden="1" ht="15.5" customHeight="1">
      <c r="B15" s="251" t="inlineStr">
        <is>
          <t>PENERIMAAN NEGARA (TAX) (IDR)</t>
        </is>
      </c>
      <c r="C15" s="261" t="n"/>
      <c r="D15" s="261" t="n"/>
      <c r="E15" s="261" t="n"/>
      <c r="F15" s="261" t="n"/>
      <c r="G15" s="261" t="n"/>
      <c r="H15" s="262" t="n"/>
      <c r="I15" s="263" t="inlineStr">
        <is>
          <t>PPN</t>
        </is>
      </c>
      <c r="J15" s="264">
        <f>SUM(J14:J14)</f>
        <v/>
      </c>
      <c r="K15" s="265" t="inlineStr">
        <is>
          <t>PPh</t>
        </is>
      </c>
      <c r="L15" s="266">
        <f>SUM(L14:L14)</f>
        <v/>
      </c>
      <c r="M15" s="265" t="inlineStr">
        <is>
          <t>PPh</t>
        </is>
      </c>
      <c r="N15" s="266">
        <f>SUM(N14:N14)</f>
        <v/>
      </c>
      <c r="O15" s="265" t="inlineStr">
        <is>
          <t>PPh</t>
        </is>
      </c>
      <c r="P15" s="266">
        <f>SUM(P14:P14)</f>
        <v/>
      </c>
      <c r="Q15" s="267" t="inlineStr">
        <is>
          <t>-</t>
        </is>
      </c>
    </row>
    <row r="16">
      <c r="B16" s="250" t="n"/>
      <c r="C16" s="46" t="n"/>
      <c r="D16" s="46" t="n"/>
      <c r="E16" s="46" t="n"/>
      <c r="F16" s="47" t="n"/>
      <c r="G16" s="6" t="n"/>
      <c r="H16" s="6" t="n"/>
      <c r="I16" s="48" t="n"/>
      <c r="J16" s="48" t="n"/>
      <c r="K16" s="48" t="n"/>
      <c r="L16" s="250" t="n"/>
      <c r="M16" s="250" t="n"/>
      <c r="N16" s="250" t="n"/>
      <c r="O16" s="250" t="n"/>
      <c r="P16" s="250" t="n"/>
      <c r="Q16" s="250" t="n"/>
    </row>
    <row r="17" ht="25" customHeight="1">
      <c r="B17" s="8" t="inlineStr">
        <is>
          <t>PENGELUARAN</t>
        </is>
      </c>
      <c r="C17" s="250" t="n"/>
      <c r="D17" s="250" t="n"/>
      <c r="E17" s="250" t="n"/>
      <c r="F17" s="250" t="n"/>
      <c r="G17" s="250" t="n"/>
      <c r="H17" s="250" t="n"/>
      <c r="I17" s="250" t="n"/>
      <c r="J17" s="250" t="n"/>
      <c r="K17" s="250" t="n"/>
      <c r="L17" s="250" t="n"/>
      <c r="M17" s="250" t="n"/>
      <c r="N17" s="250" t="n"/>
      <c r="O17" s="250" t="n"/>
      <c r="P17" s="250" t="n"/>
      <c r="Q17" s="250" t="n"/>
    </row>
    <row r="18" ht="60" customHeight="1">
      <c r="B18" s="268" t="inlineStr">
        <is>
          <t>Date</t>
        </is>
      </c>
      <c r="C18" s="269" t="inlineStr">
        <is>
          <t>#</t>
        </is>
      </c>
      <c r="D18" s="269" t="inlineStr">
        <is>
          <t>Activity</t>
        </is>
      </c>
      <c r="E18" s="270" t="inlineStr">
        <is>
          <t>Source</t>
        </is>
      </c>
      <c r="F18" s="271" t="inlineStr">
        <is>
          <t>Jumlah</t>
        </is>
      </c>
      <c r="G18" s="270" t="inlineStr">
        <is>
          <t>Currency</t>
        </is>
      </c>
      <c r="H18" s="270" t="inlineStr">
        <is>
          <t>urrency Exchange</t>
        </is>
      </c>
      <c r="I18" s="272" t="inlineStr">
        <is>
          <t>Biaya Research (R&amp;D)</t>
        </is>
      </c>
      <c r="J18" s="273" t="inlineStr">
        <is>
          <t>Biaya Operasi</t>
        </is>
      </c>
      <c r="K18" s="274" t="inlineStr">
        <is>
          <t>diofavian</t>
        </is>
      </c>
      <c r="L18" s="274" t="inlineStr">
        <is>
          <t>Biaya Sewa Peralatan</t>
        </is>
      </c>
      <c r="M18" s="275" t="inlineStr">
        <is>
          <t>Biaya Interpretasi Log Data</t>
        </is>
      </c>
      <c r="N18" s="275" t="inlineStr">
        <is>
          <t>Administrasi</t>
        </is>
      </c>
      <c r="O18" s="275" t="inlineStr">
        <is>
          <t>Pembelian Barang</t>
        </is>
      </c>
      <c r="P18" s="275" t="inlineStr">
        <is>
          <t>Sewa Kantor</t>
        </is>
      </c>
      <c r="Q18" s="275" t="inlineStr">
        <is>
          <t>Kesehatan</t>
        </is>
      </c>
      <c r="R18" s="274" t="inlineStr">
        <is>
          <t>Bisnis Dev</t>
        </is>
      </c>
      <c r="S18" s="274" t="inlineStr">
        <is>
          <t>asdasd</t>
        </is>
      </c>
      <c r="T18" s="274" t="inlineStr">
        <is>
          <t>makanan jepang</t>
        </is>
      </c>
      <c r="U18" s="274" t="inlineStr">
        <is>
          <t>aaaaa</t>
        </is>
      </c>
      <c r="V18" s="274" t="inlineStr">
        <is>
          <t>bbbbb</t>
        </is>
      </c>
      <c r="W18" s="274" t="inlineStr">
        <is>
          <t>asdsad</t>
        </is>
      </c>
      <c r="X18" s="274" t="inlineStr">
        <is>
          <t>dfgdfgdfgd</t>
        </is>
      </c>
      <c r="Y18" s="274" t="inlineStr">
        <is>
          <t>12312</t>
        </is>
      </c>
    </row>
    <row r="19" ht="15.5" customHeight="1">
      <c r="B19" s="276" t="n"/>
      <c r="C19" s="277" t="n"/>
      <c r="D19" s="278" t="inlineStr">
        <is>
          <t>Allowance</t>
        </is>
      </c>
      <c r="E19" s="279" t="n"/>
      <c r="F19" s="280" t="n"/>
      <c r="G19" s="281" t="n"/>
      <c r="H19" s="281" t="n"/>
      <c r="I19" s="282" t="n"/>
      <c r="J19" s="282" t="n"/>
      <c r="K19" s="283" t="n"/>
      <c r="L19" s="278" t="n"/>
      <c r="M19" s="278" t="n"/>
      <c r="N19" s="278" t="n"/>
      <c r="O19" s="278" t="n"/>
      <c r="P19" s="278" t="n"/>
      <c r="Q19" s="278" t="n"/>
      <c r="R19" s="284" t="n"/>
      <c r="S19" s="284" t="n"/>
      <c r="T19" s="284" t="n"/>
      <c r="U19" s="284" t="n"/>
      <c r="V19" s="284" t="n"/>
      <c r="W19" s="284" t="n"/>
      <c r="X19" s="284" t="n"/>
      <c r="Y19" s="284" t="n"/>
    </row>
    <row r="20" ht="15.5" customHeight="1">
      <c r="B20" s="285" t="inlineStr">
        <is>
          <t>31-Dec-30</t>
        </is>
      </c>
      <c r="C20" s="277" t="n">
        <v>1</v>
      </c>
      <c r="D20" s="279" t="inlineStr">
        <is>
          <t>87987000</t>
        </is>
      </c>
      <c r="E20" s="279" t="inlineStr">
        <is>
          <t>BNI</t>
        </is>
      </c>
      <c r="F20" s="286" t="n">
        <v>98098000</v>
      </c>
      <c r="G20" s="281" t="inlineStr">
        <is>
          <t>IDR</t>
        </is>
      </c>
      <c r="H20" s="287" t="n">
        <v>1</v>
      </c>
      <c r="I20" s="288" t="n">
        <v>98098000</v>
      </c>
      <c r="J20" s="289" t="n"/>
      <c r="K20" s="290" t="n"/>
      <c r="L20" s="279" t="n"/>
      <c r="M20" s="279" t="n"/>
      <c r="N20" s="279" t="n"/>
      <c r="O20" s="279" t="n"/>
      <c r="P20" s="279" t="n"/>
      <c r="Q20" s="279" t="n"/>
      <c r="R20" s="284" t="n"/>
      <c r="S20" s="284" t="n"/>
      <c r="T20" s="284" t="n"/>
      <c r="U20" s="284" t="n"/>
      <c r="V20" s="284" t="n"/>
      <c r="W20" s="284" t="n"/>
      <c r="X20" s="284" t="n"/>
      <c r="Y20" s="284" t="n"/>
    </row>
    <row r="21" ht="15.5" customHeight="1">
      <c r="B21" s="291" t="n"/>
      <c r="C21" s="292" t="n"/>
      <c r="D21" s="293" t="inlineStr">
        <is>
          <t>OPERATION COST AND OFFICE - Expenses Report</t>
        </is>
      </c>
      <c r="E21" s="294" t="n"/>
      <c r="F21" s="295" t="n"/>
      <c r="G21" s="292" t="n"/>
      <c r="H21" s="292" t="n"/>
      <c r="I21" s="296" t="n"/>
      <c r="J21" s="297" t="n"/>
      <c r="K21" s="291" t="n"/>
      <c r="L21" s="297" t="n"/>
      <c r="M21" s="291" t="n"/>
      <c r="N21" s="297" t="n"/>
      <c r="O21" s="291" t="n"/>
      <c r="P21" s="297" t="n"/>
      <c r="Q21" s="297" t="n"/>
      <c r="R21" s="294" t="n"/>
      <c r="S21" s="294" t="n"/>
      <c r="T21" s="294" t="n"/>
      <c r="U21" s="294" t="n"/>
      <c r="V21" s="294" t="n"/>
      <c r="W21" s="294" t="n"/>
      <c r="X21" s="294" t="n"/>
      <c r="Y21" s="294" t="n"/>
    </row>
    <row r="22" ht="15.5" customHeight="1">
      <c r="B22" s="298" t="inlineStr">
        <is>
          <t>Expense#1</t>
        </is>
      </c>
      <c r="C22" s="299" t="inlineStr">
        <is>
          <t>:</t>
        </is>
      </c>
      <c r="D22" s="300" t="inlineStr">
        <is>
          <t>Gudang</t>
        </is>
      </c>
      <c r="E22" s="301" t="n"/>
      <c r="F22" s="302" t="n"/>
      <c r="G22" s="299" t="n"/>
      <c r="H22" s="299" t="n"/>
      <c r="I22" s="303" t="n"/>
      <c r="J22" s="304" t="n"/>
      <c r="K22" s="305" t="n"/>
      <c r="L22" s="304" t="n"/>
      <c r="M22" s="305" t="n"/>
      <c r="N22" s="304" t="n"/>
      <c r="O22" s="305" t="n"/>
      <c r="P22" s="304" t="n"/>
      <c r="Q22" s="304" t="n"/>
      <c r="R22" s="301" t="n"/>
      <c r="S22" s="301" t="n"/>
      <c r="T22" s="301" t="n"/>
      <c r="U22" s="301" t="n"/>
      <c r="V22" s="301" t="n"/>
      <c r="W22" s="301" t="n"/>
      <c r="X22" s="301" t="n"/>
      <c r="Y22" s="301" t="n"/>
    </row>
    <row r="23" ht="15.5" customHeight="1">
      <c r="B23" s="276" t="n"/>
      <c r="C23" s="277" t="n"/>
      <c r="D23" s="306" t="inlineStr">
        <is>
          <t>123123</t>
        </is>
      </c>
      <c r="E23" s="307" t="n"/>
      <c r="F23" s="290" t="n"/>
      <c r="G23" s="277" t="n"/>
      <c r="H23" s="277" t="n"/>
      <c r="I23" s="279" t="n"/>
      <c r="J23" s="280" t="n"/>
      <c r="K23" s="276" t="n"/>
      <c r="L23" s="280" t="n"/>
      <c r="M23" s="276" t="n"/>
      <c r="N23" s="280" t="n"/>
      <c r="O23" s="276" t="n"/>
      <c r="P23" s="280" t="n"/>
      <c r="Q23" s="280" t="n"/>
      <c r="R23" s="307" t="n"/>
      <c r="S23" s="307" t="n"/>
      <c r="T23" s="307" t="n"/>
      <c r="U23" s="307" t="n"/>
      <c r="V23" s="307" t="n"/>
      <c r="W23" s="307" t="n"/>
      <c r="X23" s="307" t="n"/>
      <c r="Y23" s="307" t="n"/>
    </row>
    <row r="24" ht="15.5" customHeight="1">
      <c r="B24" s="285" t="inlineStr">
        <is>
          <t>31-Dec-30</t>
        </is>
      </c>
      <c r="C24" s="277" t="n">
        <v>1</v>
      </c>
      <c r="D24" s="279" t="inlineStr">
        <is>
          <t>123123</t>
        </is>
      </c>
      <c r="E24" s="279" t="inlineStr">
        <is>
          <t>BCA</t>
        </is>
      </c>
      <c r="F24" s="286" t="n">
        <v>123123</v>
      </c>
      <c r="G24" s="281" t="inlineStr">
        <is>
          <t>IDR</t>
        </is>
      </c>
      <c r="H24" s="287" t="n">
        <v>1</v>
      </c>
      <c r="I24" s="288" t="n">
        <v>123123</v>
      </c>
      <c r="J24" s="289" t="n"/>
      <c r="K24" s="290" t="n"/>
      <c r="L24" s="279" t="n"/>
      <c r="M24" s="279" t="n"/>
      <c r="N24" s="279" t="n"/>
      <c r="O24" s="279" t="n"/>
      <c r="P24" s="279" t="n"/>
      <c r="Q24" s="279" t="n"/>
      <c r="R24" s="284" t="n"/>
      <c r="S24" s="284" t="n"/>
      <c r="T24" s="284" t="n"/>
      <c r="U24" s="284" t="n"/>
      <c r="V24" s="284" t="n"/>
      <c r="W24" s="284" t="n"/>
      <c r="X24" s="284" t="n"/>
      <c r="Y24" s="284" t="n"/>
    </row>
    <row r="25" ht="31" customHeight="1">
      <c r="B25" s="308" t="n"/>
      <c r="C25" s="308" t="n"/>
      <c r="D25" s="306" t="inlineStr">
        <is>
          <t>Meal</t>
        </is>
      </c>
      <c r="E25" s="221" t="n"/>
      <c r="F25" s="309" t="n"/>
      <c r="G25" s="310" t="n"/>
      <c r="H25" s="311" t="n"/>
      <c r="I25" s="312" t="n"/>
      <c r="J25" s="227" t="n"/>
      <c r="K25" s="312" t="n"/>
      <c r="L25" s="227" t="n"/>
      <c r="M25" s="312" t="n"/>
      <c r="N25" s="227" t="n"/>
      <c r="O25" s="312" t="n"/>
      <c r="P25" s="227" t="n"/>
      <c r="Q25" s="312" t="n"/>
      <c r="R25" s="307" t="n"/>
      <c r="S25" s="307" t="n"/>
      <c r="T25" s="307" t="n"/>
      <c r="U25" s="307" t="n"/>
      <c r="V25" s="307" t="n"/>
      <c r="W25" s="307" t="n"/>
      <c r="X25" s="307" t="n"/>
      <c r="Y25" s="307" t="n"/>
    </row>
    <row r="26" ht="15.5" customHeight="1">
      <c r="B26" s="313" t="n"/>
      <c r="C26" s="224" t="n"/>
      <c r="D26" s="225" t="n"/>
      <c r="E26" s="226" t="n"/>
      <c r="F26" s="286" t="n">
        <v>123123</v>
      </c>
      <c r="G26" s="314" t="n"/>
      <c r="H26" s="314" t="n"/>
      <c r="I26" s="288" t="n">
        <v>123123</v>
      </c>
      <c r="J26" s="289" t="n"/>
      <c r="K26" s="290" t="n"/>
      <c r="L26" s="279" t="n"/>
      <c r="M26" s="279" t="n"/>
      <c r="N26" s="279" t="n"/>
      <c r="O26" s="279" t="n"/>
      <c r="P26" s="279" t="n"/>
      <c r="Q26" s="279" t="n"/>
      <c r="R26" s="284" t="n"/>
      <c r="S26" s="284" t="n"/>
      <c r="T26" s="284" t="n"/>
      <c r="U26" s="284" t="n"/>
      <c r="V26" s="284" t="n"/>
      <c r="W26" s="284" t="n"/>
      <c r="X26" s="284" t="n"/>
      <c r="Y26" s="284" t="n"/>
    </row>
    <row r="27" ht="15.5" customHeight="1">
      <c r="B27" s="276" t="n"/>
      <c r="C27" s="277" t="n"/>
      <c r="D27" s="306" t="inlineStr">
        <is>
          <t>nabil</t>
        </is>
      </c>
      <c r="E27" s="227" t="n"/>
      <c r="F27" s="290" t="n"/>
      <c r="G27" s="277" t="n"/>
      <c r="H27" s="277" t="n"/>
      <c r="I27" s="279" t="n"/>
      <c r="J27" s="280" t="n"/>
      <c r="K27" s="276" t="n"/>
      <c r="L27" s="280" t="n"/>
      <c r="M27" s="276" t="n"/>
      <c r="N27" s="280" t="n"/>
      <c r="O27" s="276" t="n"/>
      <c r="P27" s="280" t="n"/>
      <c r="Q27" s="280" t="n"/>
      <c r="R27" s="307" t="n"/>
      <c r="S27" s="307" t="n"/>
      <c r="T27" s="307" t="n"/>
      <c r="U27" s="307" t="n"/>
      <c r="V27" s="307" t="n"/>
      <c r="W27" s="307" t="n"/>
      <c r="X27" s="307" t="n"/>
      <c r="Y27" s="307" t="n"/>
    </row>
    <row r="28" ht="15.5" customHeight="1">
      <c r="B28" s="285" t="inlineStr">
        <is>
          <t>31-Dec-30</t>
        </is>
      </c>
      <c r="C28" s="277" t="n">
        <v>3</v>
      </c>
      <c r="D28" s="279" t="inlineStr">
        <is>
          <t>reza</t>
        </is>
      </c>
      <c r="E28" s="227" t="n"/>
      <c r="F28" s="286" t="n">
        <v>30000</v>
      </c>
      <c r="G28" s="281" t="inlineStr">
        <is>
          <t>IDR</t>
        </is>
      </c>
      <c r="H28" s="287" t="n">
        <v>1</v>
      </c>
      <c r="I28" s="288" t="n">
        <v>30000</v>
      </c>
      <c r="J28" s="289" t="n"/>
      <c r="K28" s="290" t="n"/>
      <c r="L28" s="279" t="n"/>
      <c r="M28" s="279" t="n"/>
      <c r="N28" s="279" t="n"/>
      <c r="O28" s="279" t="n"/>
      <c r="P28" s="279" t="n"/>
      <c r="Q28" s="279" t="n"/>
      <c r="R28" s="284" t="n"/>
      <c r="S28" s="284" t="n"/>
      <c r="T28" s="284" t="n"/>
      <c r="U28" s="284" t="n"/>
      <c r="V28" s="284" t="n"/>
      <c r="W28" s="284" t="n"/>
      <c r="X28" s="284" t="n"/>
      <c r="Y28" s="284" t="n"/>
    </row>
    <row r="29" ht="15.5" customHeight="1">
      <c r="B29" s="298" t="inlineStr">
        <is>
          <t>Expense#2</t>
        </is>
      </c>
      <c r="C29" s="299" t="inlineStr">
        <is>
          <t>:</t>
        </is>
      </c>
      <c r="D29" s="300" t="inlineStr">
        <is>
          <t>sasdas</t>
        </is>
      </c>
      <c r="E29" s="301" t="n"/>
      <c r="F29" s="302" t="n"/>
      <c r="G29" s="299" t="n"/>
      <c r="H29" s="299" t="n"/>
      <c r="I29" s="303" t="n"/>
      <c r="J29" s="304" t="n"/>
      <c r="K29" s="305" t="n"/>
      <c r="L29" s="304" t="n"/>
      <c r="M29" s="305" t="n"/>
      <c r="N29" s="304" t="n"/>
      <c r="O29" s="305" t="n"/>
      <c r="P29" s="304" t="n"/>
      <c r="Q29" s="304" t="n"/>
      <c r="R29" s="301" t="n"/>
      <c r="S29" s="301" t="n"/>
      <c r="T29" s="301" t="n"/>
      <c r="U29" s="301" t="n"/>
      <c r="V29" s="301" t="n"/>
      <c r="W29" s="301" t="n"/>
      <c r="X29" s="301" t="n"/>
      <c r="Y29" s="301" t="n"/>
    </row>
    <row r="30" ht="15.5" customHeight="1">
      <c r="B30" s="276" t="n"/>
      <c r="C30" s="277" t="n"/>
      <c r="D30" s="306" t="inlineStr">
        <is>
          <t>123123</t>
        </is>
      </c>
      <c r="E30" s="227" t="n"/>
      <c r="F30" s="290" t="n"/>
      <c r="G30" s="277" t="n"/>
      <c r="H30" s="277" t="n"/>
      <c r="I30" s="279" t="n"/>
      <c r="J30" s="280" t="n"/>
      <c r="K30" s="276" t="n"/>
      <c r="L30" s="280" t="n"/>
      <c r="M30" s="276" t="n"/>
      <c r="N30" s="280" t="n"/>
      <c r="O30" s="276" t="n"/>
      <c r="P30" s="280" t="n"/>
      <c r="Q30" s="280" t="n"/>
      <c r="R30" s="307" t="n"/>
      <c r="S30" s="307" t="n"/>
      <c r="T30" s="307" t="n"/>
      <c r="U30" s="307" t="n"/>
      <c r="V30" s="307" t="n"/>
      <c r="W30" s="307" t="n"/>
      <c r="X30" s="307" t="n"/>
      <c r="Y30" s="307" t="n"/>
    </row>
    <row r="31" ht="15.5" customHeight="1">
      <c r="B31" s="285" t="inlineStr">
        <is>
          <t>31-Dec-30</t>
        </is>
      </c>
      <c r="C31" s="277" t="n">
        <v>1</v>
      </c>
      <c r="D31" s="279" t="inlineStr">
        <is>
          <t>123123</t>
        </is>
      </c>
      <c r="E31" s="227" t="n"/>
      <c r="F31" s="286" t="n">
        <v>101</v>
      </c>
      <c r="G31" s="281" t="inlineStr">
        <is>
          <t>USD</t>
        </is>
      </c>
      <c r="H31" s="287" t="n">
        <v>101</v>
      </c>
      <c r="I31" s="288" t="n">
        <v>101</v>
      </c>
      <c r="J31" s="289" t="n"/>
      <c r="K31" s="290" t="n"/>
      <c r="L31" s="279" t="n"/>
      <c r="M31" s="279" t="n"/>
      <c r="N31" s="279" t="n"/>
      <c r="O31" s="279" t="n"/>
      <c r="P31" s="279" t="n"/>
      <c r="Q31" s="279" t="n"/>
      <c r="R31" s="284" t="n"/>
      <c r="S31" s="284" t="n"/>
      <c r="T31" s="284" t="n"/>
      <c r="U31" s="284" t="n"/>
      <c r="V31" s="284" t="n"/>
      <c r="W31" s="284" t="n"/>
      <c r="X31" s="284" t="n"/>
      <c r="Y31" s="284" t="n"/>
    </row>
    <row r="32" ht="15.5" customHeight="1">
      <c r="B32" s="276" t="n"/>
      <c r="C32" s="277" t="n"/>
      <c r="D32" s="306" t="inlineStr">
        <is>
          <t>Allowance</t>
        </is>
      </c>
      <c r="E32" s="227" t="n"/>
      <c r="F32" s="290" t="n"/>
      <c r="G32" s="277" t="n"/>
      <c r="H32" s="277" t="n"/>
      <c r="I32" s="279" t="n"/>
      <c r="J32" s="280" t="n"/>
      <c r="K32" s="276" t="n"/>
      <c r="L32" s="280" t="n"/>
      <c r="M32" s="276" t="n"/>
      <c r="N32" s="280" t="n"/>
      <c r="O32" s="276" t="n"/>
      <c r="P32" s="280" t="n"/>
      <c r="Q32" s="280" t="n"/>
      <c r="R32" s="307" t="n"/>
      <c r="S32" s="307" t="n"/>
      <c r="T32" s="307" t="n"/>
      <c r="U32" s="307" t="n"/>
      <c r="V32" s="307" t="n"/>
      <c r="W32" s="307" t="n"/>
      <c r="X32" s="307" t="n"/>
      <c r="Y32" s="307" t="n"/>
    </row>
    <row r="33" ht="15.5" customHeight="1">
      <c r="B33" s="285" t="inlineStr">
        <is>
          <t>31-Dec-30</t>
        </is>
      </c>
      <c r="C33" s="277" t="n">
        <v>2</v>
      </c>
      <c r="D33" s="279" t="inlineStr">
        <is>
          <t>234234</t>
        </is>
      </c>
      <c r="E33" s="227" t="n"/>
      <c r="F33" s="286" t="n">
        <v>234324324</v>
      </c>
      <c r="G33" s="281" t="inlineStr">
        <is>
          <t>IDR</t>
        </is>
      </c>
      <c r="H33" s="287" t="n">
        <v>1</v>
      </c>
      <c r="I33" s="288" t="n">
        <v>234324324</v>
      </c>
      <c r="J33" s="289" t="n"/>
      <c r="K33" s="290" t="n"/>
      <c r="L33" s="279" t="n"/>
      <c r="M33" s="279" t="n"/>
      <c r="N33" s="279" t="n"/>
      <c r="O33" s="279" t="n"/>
      <c r="P33" s="279" t="n"/>
      <c r="Q33" s="279" t="n"/>
      <c r="R33" s="284" t="n"/>
      <c r="S33" s="284" t="n"/>
      <c r="T33" s="284" t="n"/>
      <c r="U33" s="284" t="n"/>
      <c r="V33" s="284" t="n"/>
      <c r="W33" s="284" t="n"/>
      <c r="X33" s="284" t="n"/>
      <c r="Y33" s="284" t="n"/>
    </row>
    <row r="34" ht="15.5" customHeight="1">
      <c r="B34" s="276" t="n"/>
      <c r="C34" s="277" t="n"/>
      <c r="D34" s="306" t="inlineStr">
        <is>
          <t>Rental Tool</t>
        </is>
      </c>
      <c r="E34" s="227" t="n"/>
      <c r="F34" s="290" t="n"/>
      <c r="G34" s="277" t="n"/>
      <c r="H34" s="277" t="n"/>
      <c r="I34" s="279" t="n"/>
      <c r="J34" s="280" t="n"/>
      <c r="K34" s="276" t="n"/>
      <c r="L34" s="280" t="n"/>
      <c r="M34" s="276" t="n"/>
      <c r="N34" s="280" t="n"/>
      <c r="O34" s="276" t="n"/>
      <c r="P34" s="280" t="n"/>
      <c r="Q34" s="280" t="n"/>
      <c r="R34" s="307" t="n"/>
      <c r="S34" s="307" t="n"/>
      <c r="T34" s="307" t="n"/>
      <c r="U34" s="307" t="n"/>
      <c r="V34" s="307" t="n"/>
      <c r="W34" s="307" t="n"/>
      <c r="X34" s="307" t="n"/>
      <c r="Y34" s="307" t="n"/>
    </row>
    <row r="35" ht="15.5" customHeight="1">
      <c r="B35" s="285" t="inlineStr">
        <is>
          <t>31-Dec-30</t>
        </is>
      </c>
      <c r="C35" s="277" t="n">
        <v>3</v>
      </c>
      <c r="D35" s="279" t="inlineStr">
        <is>
          <t>234</t>
        </is>
      </c>
      <c r="E35" s="227" t="n"/>
      <c r="F35" s="286" t="n">
        <v>57776</v>
      </c>
      <c r="G35" s="281" t="inlineStr">
        <is>
          <t>USD</t>
        </is>
      </c>
      <c r="H35" s="287" t="n">
        <v>14444</v>
      </c>
      <c r="I35" s="288" t="n">
        <v>57776</v>
      </c>
      <c r="J35" s="289" t="n"/>
      <c r="K35" s="290" t="n"/>
      <c r="L35" s="279" t="n"/>
      <c r="M35" s="279" t="n"/>
      <c r="N35" s="279" t="n"/>
      <c r="O35" s="279" t="n"/>
      <c r="P35" s="279" t="n"/>
      <c r="Q35" s="279" t="n"/>
      <c r="R35" s="284" t="n"/>
      <c r="S35" s="284" t="n"/>
      <c r="T35" s="284" t="n"/>
      <c r="U35" s="284" t="n"/>
      <c r="V35" s="284" t="n"/>
      <c r="W35" s="284" t="n"/>
      <c r="X35" s="284" t="n"/>
      <c r="Y35" s="284" t="n"/>
    </row>
    <row r="36" ht="15.5" customHeight="1">
      <c r="B36" s="315" t="inlineStr">
        <is>
          <t>TOTAL</t>
        </is>
      </c>
      <c r="C36" s="230" t="n"/>
      <c r="D36" s="230" t="n"/>
      <c r="E36" s="230" t="n"/>
      <c r="F36" s="230" t="n"/>
      <c r="G36" s="230" t="n"/>
      <c r="H36" s="227" t="n"/>
      <c r="I36" s="316" t="n">
        <v>0</v>
      </c>
      <c r="J36" s="316" t="n">
        <v>332545447</v>
      </c>
      <c r="K36" s="317" t="n">
        <v>30000</v>
      </c>
      <c r="L36" s="318" t="n">
        <v>57776</v>
      </c>
      <c r="M36" s="317" t="n">
        <v>0</v>
      </c>
      <c r="N36" s="318" t="n">
        <v>0</v>
      </c>
      <c r="O36" s="317" t="n">
        <v>0</v>
      </c>
      <c r="P36" s="318" t="n">
        <v>0</v>
      </c>
      <c r="Q36" s="318" t="n">
        <v>0</v>
      </c>
      <c r="R36" s="319" t="n">
        <v>0</v>
      </c>
      <c r="S36" s="319" t="n">
        <v>0</v>
      </c>
      <c r="T36" s="319" t="n">
        <v>0</v>
      </c>
      <c r="U36" s="319" t="n">
        <v>0</v>
      </c>
      <c r="V36" s="319" t="n">
        <v>0</v>
      </c>
      <c r="W36" s="319" t="n">
        <v>0</v>
      </c>
      <c r="X36" s="319" t="n">
        <v>0</v>
      </c>
      <c r="Y36" s="319" t="n">
        <v>123224</v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 hidden="1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idden="1" ht="25" customHeight="1">
      <c r="B39" s="8" t="inlineStr">
        <is>
          <t>PENGELUARAN</t>
        </is>
      </c>
    </row>
    <row r="40" hidden="1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54" t="inlineStr">
        <is>
          <t>Currency</t>
        </is>
      </c>
      <c r="H40" s="55" t="inlineStr">
        <is>
          <t>urrency Exchange</t>
        </is>
      </c>
      <c r="I40" s="231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idden="1" ht="15.5" customHeight="1">
      <c r="B41" s="14" t="n">
        <v>45302</v>
      </c>
      <c r="C41" s="15" t="n">
        <v>1</v>
      </c>
      <c r="D41" s="18" t="inlineStr">
        <is>
          <t>ALFA Service PDP-075 Pertamina Zona#4 - Rental Tool</t>
        </is>
      </c>
      <c r="E41" s="18" t="inlineStr">
        <is>
          <t>BCA</t>
        </is>
      </c>
      <c r="F41" s="25" t="n">
        <v>29640916</v>
      </c>
      <c r="G41" s="60" t="inlineStr">
        <is>
          <t>IDR</t>
        </is>
      </c>
      <c r="H41" s="60" t="n">
        <v>1</v>
      </c>
      <c r="I41" s="61" t="n"/>
      <c r="J41" s="61" t="n"/>
      <c r="K41" s="62">
        <f>$F41*$H41</f>
        <v/>
      </c>
      <c r="L41" s="44" t="n"/>
      <c r="M41" s="44" t="n"/>
      <c r="N41" s="44" t="n"/>
      <c r="O41" s="44" t="n"/>
      <c r="P41" s="44" t="n"/>
      <c r="Q41" s="44" t="n"/>
    </row>
    <row r="42" hidden="1" ht="15.5" customHeight="1">
      <c r="B42" s="14" t="n">
        <v>45302</v>
      </c>
      <c r="C42" s="15" t="n">
        <v>2</v>
      </c>
      <c r="D42" s="18" t="inlineStr">
        <is>
          <t>ALFA Service PDS-01ST Pertamina Zona#4 - Rental Tool</t>
        </is>
      </c>
      <c r="E42" s="18" t="inlineStr">
        <is>
          <t>BCA</t>
        </is>
      </c>
      <c r="F42" s="25" t="n">
        <v>29640916</v>
      </c>
      <c r="G42" s="60" t="inlineStr">
        <is>
          <t>IDR</t>
        </is>
      </c>
      <c r="H42" s="60" t="n">
        <v>1</v>
      </c>
      <c r="I42" s="61" t="n"/>
      <c r="J42" s="61" t="n"/>
      <c r="K42" s="62">
        <f>$F42*$H42</f>
        <v/>
      </c>
      <c r="L42" s="44" t="n"/>
      <c r="M42" s="44" t="n"/>
      <c r="N42" s="44" t="n"/>
      <c r="O42" s="44" t="n"/>
      <c r="P42" s="44" t="n"/>
      <c r="Q42" s="44" t="n"/>
    </row>
    <row r="43" hidden="1" ht="15.5" customHeight="1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232" t="n"/>
      <c r="L44" s="44" t="n"/>
      <c r="M44" s="44" t="n"/>
      <c r="N44" s="44" t="n"/>
      <c r="O44" s="44" t="n"/>
      <c r="P44" s="44" t="n"/>
      <c r="Q44" s="44" t="n"/>
    </row>
    <row r="45" hidden="1" ht="15.5" customHeight="1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233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233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234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210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>
      <c r="B49" s="67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210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235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234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212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234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212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236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236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236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236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236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232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236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236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236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236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236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236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236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236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237">
        <f>F70</f>
        <v/>
      </c>
      <c r="O70" s="44" t="n"/>
      <c r="P70" s="44" t="n"/>
      <c r="Q70" s="44" t="n"/>
    </row>
    <row r="71" hidden="1" ht="15.5" customHeight="1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236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237">
        <f>F71</f>
        <v/>
      </c>
      <c r="M71" s="44" t="n"/>
      <c r="N71" s="44" t="n"/>
      <c r="O71" s="44" t="n"/>
      <c r="P71" s="44" t="n"/>
      <c r="Q71" s="44" t="n"/>
    </row>
    <row r="72" hidden="1" ht="15.5" customHeight="1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236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236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237">
        <f>F76</f>
        <v/>
      </c>
      <c r="O76" s="44" t="n"/>
      <c r="P76" s="44" t="n"/>
      <c r="Q76" s="44" t="n"/>
    </row>
    <row r="77" hidden="1" ht="15.5" customHeight="1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232" t="n"/>
      <c r="L77" s="44" t="n"/>
      <c r="M77" s="44" t="n"/>
      <c r="N77" s="44" t="n"/>
      <c r="O77" s="44" t="n"/>
      <c r="P77" s="44" t="n"/>
      <c r="Q77" s="44" t="n"/>
    </row>
    <row r="78" hidden="1" ht="15.5" customHeight="1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232" t="n"/>
      <c r="L78" s="44" t="n"/>
      <c r="M78" s="44" t="n"/>
      <c r="N78" s="44" t="n"/>
      <c r="O78" s="44" t="n"/>
      <c r="P78" s="44" t="n"/>
      <c r="Q78" s="44" t="n"/>
    </row>
    <row r="79" hidden="1" ht="15.5" customHeight="1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213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23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23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2">
    <mergeCell ref="B9:E9"/>
    <mergeCell ref="K25:L25"/>
    <mergeCell ref="D34:E34"/>
    <mergeCell ref="H6:H7"/>
    <mergeCell ref="B1:J1"/>
    <mergeCell ref="P6:P7"/>
    <mergeCell ref="J6:J7"/>
    <mergeCell ref="B15:H15"/>
    <mergeCell ref="D36:E36"/>
    <mergeCell ref="D31:E31"/>
    <mergeCell ref="B36:H36"/>
    <mergeCell ref="D25:E26"/>
    <mergeCell ref="I25:J25"/>
    <mergeCell ref="D27:E27"/>
    <mergeCell ref="C25:C26"/>
    <mergeCell ref="D13:E13"/>
    <mergeCell ref="G6:G7"/>
    <mergeCell ref="D32:E32"/>
    <mergeCell ref="B6:B7"/>
    <mergeCell ref="M25:N25"/>
    <mergeCell ref="I12:J12"/>
    <mergeCell ref="O25:P25"/>
    <mergeCell ref="K12:L12"/>
    <mergeCell ref="M12:N12"/>
    <mergeCell ref="D6:E7"/>
    <mergeCell ref="D28:E28"/>
    <mergeCell ref="G25:G26"/>
    <mergeCell ref="O12:P12"/>
    <mergeCell ref="D8:E8"/>
    <mergeCell ref="D30:E30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20" t="n"/>
      <c r="B1" s="320" t="n"/>
      <c r="C1" s="320" t="n"/>
      <c r="D1" s="320" t="n"/>
      <c r="E1" s="321" t="n"/>
    </row>
    <row r="2" ht="37.25" customHeight="1">
      <c r="A2" s="320" t="n"/>
      <c r="B2" s="320" t="n"/>
      <c r="C2" s="320" t="n"/>
      <c r="D2" s="320" t="n"/>
      <c r="E2" s="321" t="n"/>
    </row>
    <row r="3" ht="33.65" customHeight="1">
      <c r="A3" s="320" t="n"/>
      <c r="B3" s="322" t="inlineStr">
        <is>
          <t>PT. EXSPAN WIRELINE INDONESIA</t>
        </is>
      </c>
      <c r="F3" s="323" t="n"/>
      <c r="G3" s="324" t="inlineStr">
        <is>
          <t>PT. EXSPAN WIRELINE INDONESIA</t>
        </is>
      </c>
      <c r="H3" s="324" t="n"/>
      <c r="I3" s="324" t="n"/>
      <c r="J3" s="324" t="n"/>
    </row>
    <row r="4" ht="20.5" customHeight="1">
      <c r="A4" s="320" t="n"/>
      <c r="B4" s="325" t="inlineStr">
        <is>
          <t>LABA RUGI | TAHUN 2024</t>
        </is>
      </c>
      <c r="F4" s="323" t="n"/>
      <c r="G4" s="326" t="inlineStr">
        <is>
          <t>NERACA |TAHUN YANG BERAKHIR, 31 DESEMBER 2024</t>
        </is>
      </c>
      <c r="H4" s="326" t="n"/>
      <c r="I4" s="326" t="n"/>
      <c r="J4" s="326" t="n"/>
    </row>
    <row r="5" ht="6" customHeight="1">
      <c r="A5" s="320" t="n"/>
      <c r="B5" s="320" t="n"/>
      <c r="C5" s="320" t="n"/>
      <c r="D5" s="320" t="n"/>
      <c r="E5" s="321" t="n"/>
      <c r="F5" s="323" t="n"/>
      <c r="G5" s="323" t="n"/>
      <c r="H5" s="327" t="n"/>
      <c r="I5" s="327" t="n"/>
      <c r="J5" s="327" t="n"/>
    </row>
    <row r="6" ht="15.5" customHeight="1">
      <c r="A6" s="320" t="n"/>
      <c r="B6" s="328" t="n"/>
      <c r="C6" s="329" t="n"/>
      <c r="D6" s="330" t="inlineStr">
        <is>
          <t>PT. Exspan Wireline Indonesia</t>
        </is>
      </c>
      <c r="E6" s="221" t="n"/>
      <c r="F6" s="323" t="n"/>
      <c r="G6" s="331" t="n"/>
      <c r="H6" s="332" t="n"/>
      <c r="I6" s="330" t="inlineStr">
        <is>
          <t>PT. Exspan Wireline Indonesia</t>
        </is>
      </c>
      <c r="J6" s="221" t="n"/>
    </row>
    <row r="7" ht="15.5" customHeight="1">
      <c r="A7" s="320" t="n"/>
      <c r="B7" s="333" t="n"/>
      <c r="C7" s="334" t="n"/>
      <c r="D7" s="335" t="inlineStr">
        <is>
          <t>(Rp)</t>
        </is>
      </c>
      <c r="E7" s="226" t="n"/>
      <c r="F7" s="323" t="n"/>
      <c r="G7" s="336" t="n"/>
      <c r="H7" s="337" t="n"/>
      <c r="I7" s="335" t="inlineStr">
        <is>
          <t>(Rp)</t>
        </is>
      </c>
      <c r="J7" s="226" t="n"/>
    </row>
    <row r="8">
      <c r="A8" s="320" t="n"/>
      <c r="B8" s="338" t="inlineStr">
        <is>
          <t>PENDAPATAN</t>
        </is>
      </c>
      <c r="C8" s="339" t="n"/>
      <c r="D8" s="340" t="n"/>
      <c r="E8" s="341" t="n"/>
      <c r="F8" s="323" t="n"/>
      <c r="G8" s="342" t="inlineStr">
        <is>
          <t>AKTIVA</t>
        </is>
      </c>
      <c r="H8" s="343" t="n"/>
      <c r="I8" s="344" t="n"/>
      <c r="J8" s="345" t="n"/>
    </row>
    <row r="9">
      <c r="A9" s="320" t="n"/>
      <c r="B9" s="346" t="n"/>
      <c r="C9" s="339" t="inlineStr">
        <is>
          <t>PENDAPATAN LANGSUNG</t>
        </is>
      </c>
      <c r="D9" s="346" t="inlineStr">
        <is>
          <t>Rp</t>
        </is>
      </c>
      <c r="E9" s="347" t="n">
        <v>0</v>
      </c>
      <c r="F9" s="323" t="n"/>
      <c r="G9" s="348" t="inlineStr">
        <is>
          <t>AKTIVA LANCAR</t>
        </is>
      </c>
      <c r="H9" s="349" t="n"/>
      <c r="I9" s="348" t="n"/>
      <c r="J9" s="350" t="n"/>
    </row>
    <row r="10">
      <c r="A10" s="320" t="n"/>
      <c r="B10" s="346" t="n"/>
      <c r="C10" s="339" t="inlineStr">
        <is>
          <t>PENDAPATAN LAIN LAIN</t>
        </is>
      </c>
      <c r="D10" s="346" t="inlineStr">
        <is>
          <t>Rp</t>
        </is>
      </c>
      <c r="E10" s="347" t="n">
        <v>0</v>
      </c>
      <c r="F10" s="323" t="n"/>
      <c r="G10" s="351" t="n"/>
      <c r="H10" s="352" t="inlineStr">
        <is>
          <t>KAS DAN SETARA KAS TAHUN SEBELUMNYA</t>
        </is>
      </c>
      <c r="I10" s="346" t="inlineStr">
        <is>
          <t>Rp</t>
        </is>
      </c>
      <c r="J10" s="353" t="n">
        <v>0</v>
      </c>
    </row>
    <row r="11">
      <c r="A11" s="320" t="n"/>
      <c r="B11" s="346" t="n"/>
      <c r="C11" s="339" t="n"/>
      <c r="D11" s="354" t="n"/>
      <c r="E11" s="355" t="n"/>
      <c r="F11" s="323" t="n"/>
      <c r="G11" s="351" t="n"/>
      <c r="H11" s="352" t="inlineStr">
        <is>
          <t>KAS DAN SETARA KAS TAHUN LAPORAN</t>
        </is>
      </c>
      <c r="I11" s="346" t="inlineStr">
        <is>
          <t>Rp</t>
        </is>
      </c>
      <c r="J11" s="353">
        <f>E46-'Business Summary'!E13</f>
        <v/>
      </c>
    </row>
    <row r="12">
      <c r="A12" s="320" t="n"/>
      <c r="B12" s="356" t="inlineStr">
        <is>
          <t>TOTALPENDAPATAN</t>
        </is>
      </c>
      <c r="C12" s="357" t="n"/>
      <c r="D12" s="358" t="inlineStr">
        <is>
          <t>Rp</t>
        </is>
      </c>
      <c r="E12" s="359">
        <f>SUM(E9:E11)</f>
        <v/>
      </c>
      <c r="F12" s="323" t="n"/>
      <c r="G12" s="351" t="n"/>
      <c r="H12" s="352" t="inlineStr">
        <is>
          <t>PIUTANG USAHA</t>
        </is>
      </c>
      <c r="I12" s="346" t="inlineStr">
        <is>
          <t>Rp</t>
        </is>
      </c>
      <c r="J12" s="353" t="n">
        <v>0</v>
      </c>
    </row>
    <row r="13">
      <c r="A13" s="320" t="n"/>
      <c r="B13" s="346" t="n"/>
      <c r="C13" s="339" t="n"/>
      <c r="D13" s="340" t="n"/>
      <c r="E13" s="360" t="n"/>
      <c r="F13" s="323" t="n"/>
      <c r="G13" s="351" t="n"/>
      <c r="H13" s="352" t="inlineStr">
        <is>
          <t>PAJAK BAYAR DI MUKA (pph23)</t>
        </is>
      </c>
      <c r="I13" s="346" t="inlineStr">
        <is>
          <t>Rp</t>
        </is>
      </c>
      <c r="J13" s="353" t="n">
        <v>0</v>
      </c>
    </row>
    <row r="14">
      <c r="A14" s="320" t="n"/>
      <c r="B14" s="361" t="inlineStr">
        <is>
          <t>BEBAN LANGSUNG</t>
        </is>
      </c>
      <c r="C14" s="339" t="n"/>
      <c r="D14" s="346" t="n"/>
      <c r="E14" s="362" t="n"/>
      <c r="F14" s="323" t="n"/>
      <c r="G14" s="351" t="n"/>
      <c r="H14" s="352" t="inlineStr">
        <is>
          <t>BIAYA BAYAR DI MUKA</t>
        </is>
      </c>
      <c r="I14" s="346" t="inlineStr">
        <is>
          <t>Rp</t>
        </is>
      </c>
      <c r="J14" s="353" t="n">
        <v>0</v>
      </c>
    </row>
    <row r="15">
      <c r="A15" s="320" t="n"/>
      <c r="B15" s="363" t="n"/>
      <c r="C15" s="339" t="inlineStr">
        <is>
          <t xml:space="preserve">Biaya Operasi </t>
        </is>
      </c>
      <c r="D15" s="346" t="inlineStr">
        <is>
          <t>Rp</t>
        </is>
      </c>
      <c r="E15" s="362">
        <f>'Revenue-Cost_2030'!I36</f>
        <v/>
      </c>
      <c r="F15" s="323" t="n"/>
      <c r="G15" s="364" t="n"/>
      <c r="H15" s="352" t="inlineStr">
        <is>
          <t>PIUTANG LAIN LAIN</t>
        </is>
      </c>
      <c r="I15" s="346" t="inlineStr">
        <is>
          <t>Rp</t>
        </is>
      </c>
      <c r="J15" s="353" t="n">
        <v>0</v>
      </c>
    </row>
    <row r="16">
      <c r="A16" s="320" t="n"/>
      <c r="B16" s="363" t="n"/>
      <c r="C16" s="339" t="inlineStr">
        <is>
          <t>Biaya research (R &amp; D)</t>
        </is>
      </c>
      <c r="D16" s="346" t="inlineStr">
        <is>
          <t>Rp</t>
        </is>
      </c>
      <c r="E16" s="362">
        <f>'Revenue-Cost_2030'!J36</f>
        <v/>
      </c>
      <c r="F16" s="323" t="n"/>
      <c r="G16" s="365" t="n"/>
      <c r="H16" s="366" t="inlineStr">
        <is>
          <t>TOTAL AKTIVA LANCAR</t>
        </is>
      </c>
      <c r="I16" s="358" t="inlineStr">
        <is>
          <t>Rp</t>
        </is>
      </c>
      <c r="J16" s="367">
        <f>SUM(J10:J15)</f>
        <v/>
      </c>
    </row>
    <row r="17">
      <c r="A17" s="320" t="n"/>
      <c r="B17" s="363" t="n"/>
      <c r="C17" s="339" t="inlineStr">
        <is>
          <t>BIAYA SEWA PERALATAN</t>
        </is>
      </c>
      <c r="D17" s="346" t="inlineStr">
        <is>
          <t>Rp</t>
        </is>
      </c>
      <c r="E17" s="362">
        <f>'Revenue-Cost_2030'!K36</f>
        <v/>
      </c>
      <c r="F17" s="323" t="n"/>
      <c r="G17" s="351" t="n"/>
      <c r="H17" s="352" t="n"/>
      <c r="I17" s="368" t="n"/>
      <c r="J17" s="369" t="n"/>
    </row>
    <row r="18">
      <c r="A18" s="320" t="n"/>
      <c r="B18" s="363" t="n"/>
      <c r="C18" s="339" t="inlineStr">
        <is>
          <t>BIAYA Data Processing</t>
        </is>
      </c>
      <c r="D18" s="346" t="inlineStr">
        <is>
          <t>Rp</t>
        </is>
      </c>
      <c r="E18" s="362">
        <f>'Revenue-Cost_2030'!L36</f>
        <v/>
      </c>
      <c r="F18" s="323" t="n"/>
      <c r="G18" s="348" t="inlineStr">
        <is>
          <t>ACTIVA TETAP</t>
        </is>
      </c>
      <c r="H18" s="370" t="n"/>
      <c r="I18" s="342" t="n"/>
      <c r="J18" s="353" t="n"/>
    </row>
    <row r="19">
      <c r="A19" s="320" t="n"/>
      <c r="B19" s="363" t="n"/>
      <c r="C19" s="339" t="n"/>
      <c r="D19" s="346" t="n"/>
      <c r="E19" s="362" t="n"/>
      <c r="F19" s="323" t="n"/>
      <c r="G19" s="348" t="n"/>
      <c r="H19" s="370" t="n"/>
      <c r="I19" s="342" t="n"/>
      <c r="J19" s="353" t="n"/>
    </row>
    <row r="20">
      <c r="A20" s="320" t="n"/>
      <c r="B20" s="363" t="n"/>
      <c r="C20" s="339" t="n"/>
      <c r="D20" s="354" t="n"/>
      <c r="E20" s="371" t="n"/>
      <c r="F20" s="323" t="n"/>
      <c r="G20" s="351" t="n"/>
      <c r="H20" s="352" t="inlineStr">
        <is>
          <t>INVENTARIS KANTOR</t>
        </is>
      </c>
      <c r="I20" s="346" t="inlineStr">
        <is>
          <t>Rp</t>
        </is>
      </c>
      <c r="J20" s="353" t="n">
        <v>0</v>
      </c>
    </row>
    <row r="21">
      <c r="A21" s="320" t="n"/>
      <c r="B21" s="356" t="inlineStr">
        <is>
          <t>TOTAL BIAYA LANGSUNG</t>
        </is>
      </c>
      <c r="C21" s="357" t="n"/>
      <c r="D21" s="358" t="inlineStr">
        <is>
          <t>Rp</t>
        </is>
      </c>
      <c r="E21" s="372">
        <f>SUM(E15:E20)</f>
        <v/>
      </c>
      <c r="F21" s="323" t="n"/>
      <c r="G21" s="351" t="n"/>
      <c r="H21" s="370" t="n"/>
      <c r="I21" s="373" t="n"/>
      <c r="J21" s="374" t="n"/>
    </row>
    <row r="22">
      <c r="A22" s="320" t="n"/>
      <c r="B22" s="346" t="n"/>
      <c r="C22" s="339" t="n"/>
      <c r="D22" s="340" t="n"/>
      <c r="E22" s="375" t="n"/>
      <c r="F22" s="323" t="n"/>
      <c r="G22" s="365" t="n"/>
      <c r="H22" s="366" t="inlineStr">
        <is>
          <t>TOTAL AKTIVA TETAP</t>
        </is>
      </c>
      <c r="I22" s="358" t="inlineStr">
        <is>
          <t>Rp</t>
        </is>
      </c>
      <c r="J22" s="367">
        <f>J20</f>
        <v/>
      </c>
    </row>
    <row r="23">
      <c r="A23" s="320" t="n"/>
      <c r="B23" s="361" t="inlineStr">
        <is>
          <t>BEBAN TIDAK LANGSUNG</t>
        </is>
      </c>
      <c r="C23" s="339" t="n"/>
      <c r="D23" s="346" t="n"/>
      <c r="E23" s="362">
        <f>'Revenue-Cost_2030'!Q36</f>
        <v/>
      </c>
      <c r="F23" s="323" t="n"/>
      <c r="G23" s="351" t="n"/>
      <c r="H23" s="352" t="n"/>
      <c r="I23" s="368" t="n"/>
      <c r="J23" s="345" t="n"/>
    </row>
    <row r="24">
      <c r="A24" s="320" t="n"/>
      <c r="B24" s="346" t="n"/>
      <c r="C24" s="339" t="n"/>
      <c r="D24" s="346" t="n"/>
      <c r="E24" s="362" t="n"/>
      <c r="F24" s="323" t="n"/>
      <c r="G24" s="348" t="inlineStr">
        <is>
          <t>ACTIVA LAIN LAIN</t>
        </is>
      </c>
      <c r="H24" s="370" t="n"/>
      <c r="I24" s="342" t="n"/>
      <c r="J24" s="353" t="n">
        <v>0</v>
      </c>
    </row>
    <row r="25">
      <c r="A25" s="320" t="n"/>
      <c r="B25" s="346" t="n"/>
      <c r="C25" s="339" t="n"/>
      <c r="D25" s="346" t="inlineStr">
        <is>
          <t>Rp</t>
        </is>
      </c>
      <c r="E25" s="362" t="n"/>
      <c r="F25" s="323" t="n"/>
      <c r="G25" s="351" t="n"/>
      <c r="H25" s="352" t="n"/>
      <c r="I25" s="376" t="n"/>
      <c r="J25" s="377" t="n">
        <v>0</v>
      </c>
    </row>
    <row r="26">
      <c r="A26" s="320" t="n"/>
      <c r="B26" s="346" t="n"/>
      <c r="C26" s="339" t="n"/>
      <c r="D26" s="354" t="n"/>
      <c r="E26" s="371" t="n"/>
      <c r="F26" s="323" t="n"/>
      <c r="G26" s="365" t="n"/>
      <c r="H26" s="366" t="inlineStr">
        <is>
          <t>TOTAL AKTIVA LAIN LAIN</t>
        </is>
      </c>
      <c r="I26" s="358" t="inlineStr">
        <is>
          <t>Rp</t>
        </is>
      </c>
      <c r="J26" s="367">
        <f>SUM(J25:J25)</f>
        <v/>
      </c>
    </row>
    <row r="27">
      <c r="A27" s="320" t="n"/>
      <c r="B27" s="356" t="inlineStr">
        <is>
          <t>TOTAL BIAYA TIDAK LANGSUNG</t>
        </is>
      </c>
      <c r="C27" s="357" t="n"/>
      <c r="D27" s="358" t="inlineStr">
        <is>
          <t>Rp</t>
        </is>
      </c>
      <c r="E27" s="372">
        <f>SUM(E22:E26)</f>
        <v/>
      </c>
      <c r="F27" s="323" t="n"/>
      <c r="G27" s="351" t="n"/>
      <c r="H27" s="352" t="n"/>
      <c r="I27" s="378" t="n"/>
      <c r="J27" s="379" t="n"/>
    </row>
    <row r="28">
      <c r="A28" s="320" t="n"/>
      <c r="B28" s="346" t="n"/>
      <c r="C28" s="339" t="n"/>
      <c r="D28" s="340" t="n"/>
      <c r="E28" s="375" t="n"/>
      <c r="F28" s="323" t="n"/>
      <c r="G28" s="356" t="inlineStr">
        <is>
          <t>TOTAL AKTIVA</t>
        </is>
      </c>
      <c r="H28" s="357" t="n"/>
      <c r="I28" s="358" t="inlineStr">
        <is>
          <t>Rp</t>
        </is>
      </c>
      <c r="J28" s="380">
        <f>J26+J22+J16</f>
        <v/>
      </c>
    </row>
    <row r="29">
      <c r="A29" s="320" t="n"/>
      <c r="B29" s="361" t="inlineStr">
        <is>
          <t>BIAYA ADMINISTRASI DAN UMUM</t>
        </is>
      </c>
      <c r="C29" s="339" t="n"/>
      <c r="D29" s="346" t="n"/>
      <c r="E29" s="362" t="n"/>
      <c r="F29" s="323" t="n"/>
      <c r="G29" s="381" t="n"/>
      <c r="H29" s="382" t="n"/>
      <c r="I29" s="381" t="n"/>
      <c r="J29" s="369" t="n"/>
    </row>
    <row r="30">
      <c r="A30" s="320" t="n"/>
      <c r="B30" s="363" t="n"/>
      <c r="C30" s="339" t="inlineStr">
        <is>
          <t>BIAYA ADMINISTRASI</t>
        </is>
      </c>
      <c r="D30" s="346" t="inlineStr">
        <is>
          <t>Rp</t>
        </is>
      </c>
      <c r="E30" s="362">
        <f>'Revenue-Cost_2030'!M36</f>
        <v/>
      </c>
      <c r="F30" s="323" t="n"/>
      <c r="G30" s="383" t="inlineStr">
        <is>
          <t>HUTANG DAN MODAL</t>
        </is>
      </c>
      <c r="H30" s="343" t="n"/>
      <c r="I30" s="383" t="n"/>
      <c r="J30" s="384" t="n"/>
    </row>
    <row r="31">
      <c r="A31" s="320" t="n"/>
      <c r="B31" s="363" t="n"/>
      <c r="C31" s="339" t="inlineStr">
        <is>
          <t>BIAYA PEMBELIAN Barang</t>
        </is>
      </c>
      <c r="D31" s="346" t="inlineStr">
        <is>
          <t>Rp</t>
        </is>
      </c>
      <c r="E31" s="362">
        <f>'Revenue-Cost_2030'!N36</f>
        <v/>
      </c>
      <c r="F31" s="323" t="n"/>
      <c r="G31" s="383" t="n"/>
      <c r="H31" s="343" t="n"/>
      <c r="I31" s="383" t="n"/>
      <c r="J31" s="384" t="n"/>
    </row>
    <row r="32">
      <c r="A32" s="320" t="n"/>
      <c r="B32" s="363" t="n"/>
      <c r="C32" s="339" t="inlineStr">
        <is>
          <t>BIAYA SEWA KANTOR</t>
        </is>
      </c>
      <c r="D32" s="346" t="inlineStr">
        <is>
          <t>Rp</t>
        </is>
      </c>
      <c r="E32" s="362">
        <f>'Revenue-Cost_2030'!O36</f>
        <v/>
      </c>
      <c r="F32" s="323" t="n"/>
      <c r="G32" s="348" t="inlineStr">
        <is>
          <t>HUTANG LANCAR</t>
        </is>
      </c>
      <c r="H32" s="349" t="n"/>
      <c r="I32" s="348" t="n"/>
      <c r="J32" s="350" t="n"/>
    </row>
    <row r="33">
      <c r="A33" s="320" t="n"/>
      <c r="B33" s="363" t="n"/>
      <c r="C33" s="339" t="inlineStr">
        <is>
          <t>BIAYA KESEHATAN</t>
        </is>
      </c>
      <c r="D33" s="346" t="inlineStr">
        <is>
          <t>Rp</t>
        </is>
      </c>
      <c r="E33" s="362">
        <f>'Revenue-Cost_2030'!P36</f>
        <v/>
      </c>
      <c r="F33" s="323" t="n"/>
      <c r="G33" s="351" t="n"/>
      <c r="H33" s="352" t="inlineStr">
        <is>
          <t>HUTANG USAHA</t>
        </is>
      </c>
      <c r="I33" s="346" t="inlineStr">
        <is>
          <t>Rp</t>
        </is>
      </c>
      <c r="J33" s="353" t="n">
        <v>0</v>
      </c>
    </row>
    <row r="34">
      <c r="A34" s="320" t="n"/>
      <c r="B34" s="363" t="n"/>
      <c r="C34" s="339" t="n"/>
      <c r="D34" s="354" t="n"/>
      <c r="E34" s="371" t="n"/>
      <c r="F34" s="323" t="n"/>
      <c r="G34" s="351" t="n"/>
      <c r="H34" s="385" t="inlineStr">
        <is>
          <t>HUTANG GAJI</t>
        </is>
      </c>
      <c r="I34" s="346" t="inlineStr">
        <is>
          <t>Rp</t>
        </is>
      </c>
      <c r="J34" s="353" t="n">
        <v>0</v>
      </c>
    </row>
    <row r="35">
      <c r="A35" s="320" t="n"/>
      <c r="B35" s="356" t="inlineStr">
        <is>
          <t>TOTAL BIAYA ADMINISTRASI DAN UMUM</t>
        </is>
      </c>
      <c r="C35" s="357" t="n"/>
      <c r="D35" s="358" t="inlineStr">
        <is>
          <t>Rp</t>
        </is>
      </c>
      <c r="E35" s="359">
        <f>SUM(E30:E34)</f>
        <v/>
      </c>
      <c r="F35" s="323" t="n"/>
      <c r="G35" s="351" t="n"/>
      <c r="H35" s="352" t="inlineStr">
        <is>
          <t>HUTANG PEMEGANG SAHAM</t>
        </is>
      </c>
      <c r="I35" s="346" t="inlineStr">
        <is>
          <t>Rp</t>
        </is>
      </c>
      <c r="J35" s="353" t="n">
        <v>0</v>
      </c>
    </row>
    <row r="36">
      <c r="A36" s="320" t="n"/>
      <c r="B36" s="363" t="n"/>
      <c r="C36" s="339" t="n"/>
      <c r="D36" s="358" t="n"/>
      <c r="E36" s="386" t="n"/>
      <c r="F36" s="323" t="n"/>
      <c r="G36" s="351" t="n"/>
      <c r="H36" s="352" t="inlineStr">
        <is>
          <t>BIAYA YANG MASIH HARUS DI BAYAR</t>
        </is>
      </c>
      <c r="I36" s="346" t="inlineStr">
        <is>
          <t>Rp</t>
        </is>
      </c>
      <c r="J36" s="353" t="n">
        <v>0</v>
      </c>
    </row>
    <row r="37">
      <c r="A37" s="320" t="n"/>
      <c r="B37" s="356" t="inlineStr">
        <is>
          <t>TOTAL BIAYA</t>
        </is>
      </c>
      <c r="C37" s="357" t="n"/>
      <c r="D37" s="358" t="inlineStr">
        <is>
          <t>Rp</t>
        </is>
      </c>
      <c r="E37" s="359">
        <f>E35+E21+E27</f>
        <v/>
      </c>
      <c r="F37" s="323" t="n"/>
      <c r="G37" s="387" t="n"/>
      <c r="H37" s="388" t="n"/>
      <c r="I37" s="387" t="n"/>
      <c r="J37" s="389" t="n"/>
    </row>
    <row r="38">
      <c r="A38" s="320" t="n"/>
      <c r="B38" s="338" t="n"/>
      <c r="C38" s="390" t="n"/>
      <c r="D38" s="340" t="n"/>
      <c r="E38" s="391" t="n"/>
      <c r="F38" s="323" t="n"/>
      <c r="G38" s="365" t="n"/>
      <c r="H38" s="366" t="inlineStr">
        <is>
          <t>TOTAL HUTANG LANCAR</t>
        </is>
      </c>
      <c r="I38" s="392" t="n"/>
      <c r="J38" s="367">
        <f>SUM(J33:J36)</f>
        <v/>
      </c>
    </row>
    <row r="39">
      <c r="A39" s="320" t="n"/>
      <c r="B39" s="361" t="inlineStr">
        <is>
          <t xml:space="preserve">PENDAPATAN/BEBAN LAIN LAIN </t>
        </is>
      </c>
      <c r="C39" s="339" t="n"/>
      <c r="D39" s="346" t="inlineStr">
        <is>
          <t>Rp</t>
        </is>
      </c>
      <c r="E39" s="393" t="n"/>
      <c r="F39" s="323" t="n"/>
      <c r="G39" s="351" t="n"/>
      <c r="H39" s="370" t="n"/>
      <c r="I39" s="394" t="n"/>
      <c r="J39" s="345" t="n"/>
    </row>
    <row r="40">
      <c r="A40" s="320" t="n"/>
      <c r="B40" s="361" t="n"/>
      <c r="C40" s="339" t="inlineStr">
        <is>
          <t>PENDAPATAN LAINNYA</t>
        </is>
      </c>
      <c r="D40" s="346" t="inlineStr">
        <is>
          <t>Rp</t>
        </is>
      </c>
      <c r="E40" s="347" t="n">
        <v>0</v>
      </c>
      <c r="F40" s="323" t="n"/>
      <c r="G40" s="348" t="inlineStr">
        <is>
          <t>MODAL</t>
        </is>
      </c>
      <c r="H40" s="349" t="n"/>
      <c r="I40" s="348" t="n"/>
      <c r="J40" s="350" t="n"/>
    </row>
    <row r="41">
      <c r="A41" s="320" t="n"/>
      <c r="B41" s="361" t="n"/>
      <c r="C41" s="339" t="n"/>
      <c r="D41" s="354" t="n"/>
      <c r="E41" s="395" t="n"/>
      <c r="F41" s="323" t="n"/>
      <c r="G41" s="351" t="n"/>
      <c r="H41" s="352" t="inlineStr">
        <is>
          <t>MODAL SAHAM</t>
        </is>
      </c>
      <c r="I41" s="346" t="inlineStr">
        <is>
          <t>Rp</t>
        </is>
      </c>
      <c r="J41" s="353" t="n">
        <v>0</v>
      </c>
    </row>
    <row r="42">
      <c r="A42" s="320" t="n"/>
      <c r="B42" s="356" t="inlineStr">
        <is>
          <t>LABA RUGI SEBELUM PAJAK</t>
        </is>
      </c>
      <c r="C42" s="357" t="n"/>
      <c r="D42" s="358" t="inlineStr">
        <is>
          <t>Rp</t>
        </is>
      </c>
      <c r="E42" s="359">
        <f>E12-E37</f>
        <v/>
      </c>
      <c r="F42" s="323" t="n"/>
      <c r="G42" s="351" t="n"/>
      <c r="H42" s="352" t="inlineStr">
        <is>
          <t>LABA DI TAHAN</t>
        </is>
      </c>
      <c r="I42" s="346" t="inlineStr">
        <is>
          <t>Rp</t>
        </is>
      </c>
      <c r="J42" s="353" t="n">
        <v>0</v>
      </c>
    </row>
    <row r="43">
      <c r="A43" s="320" t="n"/>
      <c r="B43" s="396" t="n"/>
      <c r="C43" s="390" t="n"/>
      <c r="D43" s="340" t="n"/>
      <c r="E43" s="360" t="n"/>
      <c r="F43" s="323" t="n"/>
      <c r="G43" s="348" t="n"/>
      <c r="H43" s="352" t="inlineStr">
        <is>
          <t>TOTAL LABA (RUGI) DITAHAN</t>
        </is>
      </c>
      <c r="I43" s="354" t="inlineStr">
        <is>
          <t>Rp</t>
        </is>
      </c>
      <c r="J43" s="377">
        <f>J28-J38-J41-J42</f>
        <v/>
      </c>
    </row>
    <row r="44">
      <c r="A44" s="320" t="n"/>
      <c r="B44" s="361" t="inlineStr">
        <is>
          <t>CORPORATE TAX (PPh 29)</t>
        </is>
      </c>
      <c r="D44" s="346" t="inlineStr">
        <is>
          <t>Rp</t>
        </is>
      </c>
      <c r="E44" s="347" t="n">
        <v>0</v>
      </c>
      <c r="F44" s="323" t="n"/>
      <c r="G44" s="365" t="n"/>
      <c r="H44" s="366" t="inlineStr">
        <is>
          <t>TOTAL MODAL</t>
        </is>
      </c>
      <c r="I44" s="358" t="inlineStr">
        <is>
          <t>Rp</t>
        </is>
      </c>
      <c r="J44" s="367">
        <f>SUM(J41:J43)</f>
        <v/>
      </c>
    </row>
    <row r="45">
      <c r="A45" s="320" t="n"/>
      <c r="B45" s="361" t="n"/>
      <c r="C45" s="339" t="n"/>
      <c r="D45" s="354" t="n"/>
      <c r="E45" s="395" t="n"/>
      <c r="F45" s="323" t="n"/>
      <c r="G45" s="351" t="n"/>
      <c r="H45" s="352" t="n"/>
      <c r="I45" s="378" t="n"/>
      <c r="J45" s="379" t="n"/>
    </row>
    <row r="46" ht="15" customHeight="1">
      <c r="A46" s="320" t="n"/>
      <c r="B46" s="397" t="inlineStr">
        <is>
          <t>LABA / RUGI BERSIH</t>
        </is>
      </c>
      <c r="C46" s="398" t="n"/>
      <c r="D46" s="399" t="n"/>
      <c r="E46" s="400">
        <f>E42-E44</f>
        <v/>
      </c>
      <c r="F46" s="323" t="n"/>
      <c r="G46" s="401" t="inlineStr">
        <is>
          <t>TOTAL HUTANG DAN MODAL</t>
        </is>
      </c>
      <c r="H46" s="402" t="n"/>
      <c r="I46" s="399" t="inlineStr">
        <is>
          <t>Rp</t>
        </is>
      </c>
      <c r="J46" s="403">
        <f>J44+J38</f>
        <v/>
      </c>
    </row>
    <row r="47" ht="4.5" customHeight="1">
      <c r="A47" s="320" t="n"/>
      <c r="F47" s="323" t="n"/>
    </row>
    <row r="48" ht="50.65" customHeight="1">
      <c r="A48" s="320" t="n"/>
      <c r="F48" s="323" t="n"/>
      <c r="G48" s="404" t="n"/>
    </row>
    <row r="49" ht="16.75" customHeight="1">
      <c r="A49" s="320" t="n"/>
      <c r="B49" s="405" t="n"/>
      <c r="F49" s="323" t="n"/>
      <c r="G49" s="405" t="n"/>
    </row>
    <row r="50" ht="15.65" customHeight="1">
      <c r="A50" s="339" t="n"/>
      <c r="B50" s="406" t="inlineStr">
        <is>
          <t>Direktur</t>
        </is>
      </c>
      <c r="F50" s="323" t="n"/>
      <c r="G50" s="406" t="inlineStr">
        <is>
          <t>Direktur</t>
        </is>
      </c>
    </row>
    <row r="51">
      <c r="A51" s="339" t="n"/>
      <c r="F51" s="323" t="n"/>
    </row>
    <row r="52">
      <c r="A52" s="339" t="n"/>
      <c r="F52" s="323" t="n"/>
      <c r="J52" s="407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20" t="n"/>
      <c r="B1" s="320" t="n"/>
      <c r="C1" s="320" t="n"/>
      <c r="D1" s="320" t="n"/>
      <c r="E1" s="321" t="n"/>
    </row>
    <row r="2" ht="37.25" customHeight="1">
      <c r="A2" s="320" t="n"/>
      <c r="B2" s="320" t="n"/>
      <c r="C2" s="320" t="n"/>
      <c r="D2" s="320" t="n"/>
      <c r="E2" s="321" t="n"/>
    </row>
    <row r="3" ht="33.65" customHeight="1">
      <c r="A3" s="320" t="n"/>
      <c r="B3" s="322" t="inlineStr">
        <is>
          <t>PT. EXSPAN WIRELINE INDONESIA</t>
        </is>
      </c>
      <c r="F3" s="323" t="n"/>
    </row>
    <row r="4" ht="20.5" customHeight="1">
      <c r="A4" s="320" t="n"/>
      <c r="B4" s="325" t="inlineStr">
        <is>
          <t>BUSINESS SUMMARY | TAHUN 2030</t>
        </is>
      </c>
      <c r="F4" s="323" t="n"/>
    </row>
    <row r="5" ht="6" customHeight="1">
      <c r="A5" s="320" t="n"/>
      <c r="B5" s="320" t="n"/>
      <c r="C5" s="320" t="n"/>
      <c r="D5" s="320" t="n"/>
      <c r="E5" s="321" t="n"/>
      <c r="F5" s="323" t="n"/>
    </row>
    <row r="6" ht="20" customHeight="1">
      <c r="A6" s="320" t="n"/>
      <c r="B6" s="408" t="inlineStr">
        <is>
          <t>#</t>
        </is>
      </c>
      <c r="C6" s="408" t="inlineStr">
        <is>
          <t>Items</t>
        </is>
      </c>
      <c r="D6" s="409" t="inlineStr">
        <is>
          <t>Amount</t>
        </is>
      </c>
      <c r="E6" s="227" t="n"/>
      <c r="F6" s="323" t="n"/>
    </row>
    <row r="7" ht="20" customHeight="1">
      <c r="A7" s="320" t="n"/>
      <c r="B7" s="410" t="n">
        <v>1</v>
      </c>
      <c r="C7" s="411" t="inlineStr">
        <is>
          <t>Revenue</t>
        </is>
      </c>
      <c r="D7" s="412" t="inlineStr">
        <is>
          <t>Rp</t>
        </is>
      </c>
      <c r="E7" s="413">
        <f>SUM('Revenue-Cost_2030'!L8:L8)</f>
        <v/>
      </c>
      <c r="F7" s="323" t="n"/>
    </row>
    <row r="8" ht="20" customHeight="1">
      <c r="A8" s="320" t="n"/>
      <c r="B8" s="410" t="n">
        <v>2</v>
      </c>
      <c r="C8" s="411" t="inlineStr">
        <is>
          <t>Revenue Diterima (Setelah Pajak)</t>
        </is>
      </c>
      <c r="D8" s="412" t="inlineStr">
        <is>
          <t>Rp</t>
        </is>
      </c>
      <c r="E8" s="413">
        <f>E7-SUM('Revenue-Cost_2030'!N8:N8)</f>
        <v/>
      </c>
      <c r="F8" s="323" t="n"/>
    </row>
    <row r="9" ht="20" customHeight="1">
      <c r="A9" s="320" t="n"/>
      <c r="B9" s="410" t="n">
        <v>3</v>
      </c>
      <c r="C9" s="411" t="inlineStr">
        <is>
          <t>Biaya</t>
        </is>
      </c>
      <c r="D9" s="412" t="inlineStr">
        <is>
          <t>Rp</t>
        </is>
      </c>
      <c r="E9" s="413">
        <f>SUM('Revenue-Cost_2030'!I36:Q36)</f>
        <v/>
      </c>
      <c r="F9" s="323" t="n"/>
    </row>
    <row r="10" ht="20" customHeight="1">
      <c r="A10" s="320" t="n"/>
      <c r="B10" s="410" t="n">
        <v>4</v>
      </c>
      <c r="C10" s="411" t="inlineStr">
        <is>
          <t>Profit SebelumTax</t>
        </is>
      </c>
      <c r="D10" s="412" t="inlineStr">
        <is>
          <t>Rp</t>
        </is>
      </c>
      <c r="E10" s="413">
        <f>E7-E9</f>
        <v/>
      </c>
      <c r="F10" s="323" t="n"/>
    </row>
    <row r="11" ht="20" customHeight="1">
      <c r="A11" s="320" t="n"/>
      <c r="B11" s="410" t="n">
        <v>5</v>
      </c>
      <c r="C11" s="411" t="inlineStr">
        <is>
          <t>PPh Badan (22%*50%)</t>
        </is>
      </c>
      <c r="D11" s="412" t="inlineStr">
        <is>
          <t>Rp</t>
        </is>
      </c>
      <c r="E11" s="413">
        <f>E10*22%*50%</f>
        <v/>
      </c>
      <c r="F11" s="323" t="n"/>
    </row>
    <row r="12" ht="20" customHeight="1">
      <c r="A12" s="320" t="n"/>
      <c r="B12" s="410" t="n">
        <v>6</v>
      </c>
      <c r="C12" s="411" t="inlineStr">
        <is>
          <t>PPh 23 Dipotong oleh client</t>
        </is>
      </c>
      <c r="D12" s="412" t="inlineStr">
        <is>
          <t>Rp</t>
        </is>
      </c>
      <c r="E12" s="413">
        <f>SUM('Revenue-Cost_2030'!N8:N8)</f>
        <v/>
      </c>
      <c r="F12" s="323" t="n"/>
    </row>
    <row r="13" ht="20" customHeight="1">
      <c r="A13" s="320" t="n"/>
      <c r="B13" s="410" t="n">
        <v>7</v>
      </c>
      <c r="C13" s="411" t="inlineStr">
        <is>
          <t>Kekurangan Bayar PPh Badan</t>
        </is>
      </c>
      <c r="D13" s="412" t="inlineStr">
        <is>
          <t>Rp</t>
        </is>
      </c>
      <c r="E13" s="414">
        <f>E11-E12</f>
        <v/>
      </c>
      <c r="F13" s="323" t="n"/>
    </row>
    <row r="14" ht="20" customHeight="1">
      <c r="A14" s="320" t="n"/>
      <c r="B14" s="410" t="n">
        <v>8</v>
      </c>
      <c r="C14" s="411" t="inlineStr">
        <is>
          <t>Profit After Tax</t>
        </is>
      </c>
      <c r="D14" s="412" t="inlineStr">
        <is>
          <t>Rp</t>
        </is>
      </c>
      <c r="E14" s="413">
        <f>E10-E13</f>
        <v/>
      </c>
      <c r="F14" s="323" t="n"/>
    </row>
    <row r="15" ht="20" customHeight="1">
      <c r="A15" s="320" t="n"/>
      <c r="B15" s="410" t="n">
        <v>9</v>
      </c>
      <c r="C15" s="411" t="inlineStr">
        <is>
          <t>Deviden Dibagi</t>
        </is>
      </c>
      <c r="D15" s="412" t="inlineStr">
        <is>
          <t>Rp</t>
        </is>
      </c>
      <c r="E15" s="413">
        <f>E14-E16</f>
        <v/>
      </c>
      <c r="F15" s="323" t="n"/>
    </row>
    <row r="16" ht="20" customHeight="1">
      <c r="A16" s="320" t="n"/>
      <c r="B16" s="410" t="n">
        <v>10</v>
      </c>
      <c r="C16" s="411" t="inlineStr">
        <is>
          <t>Profit Ditahan</t>
        </is>
      </c>
      <c r="D16" s="412" t="inlineStr">
        <is>
          <t>Rp</t>
        </is>
      </c>
      <c r="E16" s="413" t="n">
        <v>0</v>
      </c>
      <c r="F16" s="323" t="n"/>
    </row>
    <row r="17">
      <c r="A17" s="320" t="n"/>
      <c r="B17" s="320" t="n"/>
      <c r="C17" s="320" t="n"/>
      <c r="D17" s="320" t="n"/>
      <c r="E17" s="321" t="n"/>
      <c r="F17" s="323" t="n"/>
    </row>
    <row r="18" ht="18" customHeight="1">
      <c r="A18" s="320" t="n"/>
      <c r="B18" s="415" t="inlineStr">
        <is>
          <t>DEVIDEN</t>
        </is>
      </c>
      <c r="F18" s="323" t="n"/>
    </row>
    <row r="19" ht="20" customHeight="1">
      <c r="A19" s="320" t="n"/>
      <c r="B19" s="416" t="inlineStr">
        <is>
          <t>#</t>
        </is>
      </c>
      <c r="C19" s="416" t="inlineStr">
        <is>
          <t>Nama Lengkap</t>
        </is>
      </c>
      <c r="D19" s="417" t="inlineStr"/>
      <c r="E19" s="418" t="inlineStr">
        <is>
          <t>Amount</t>
        </is>
      </c>
      <c r="F19" s="323" t="inlineStr"/>
      <c r="G19" s="419" t="inlineStr">
        <is>
          <t>Pajak</t>
        </is>
      </c>
    </row>
    <row r="20" ht="19" customHeight="1">
      <c r="A20" s="320" t="n"/>
      <c r="B20" s="420" t="n"/>
      <c r="C20" s="421" t="n"/>
      <c r="D20" s="411" t="n"/>
      <c r="E20" s="422" t="n"/>
      <c r="F20" s="323" t="n"/>
      <c r="G20" s="423" t="n"/>
    </row>
    <row r="21" ht="48.75" customHeight="1">
      <c r="A21" s="339" t="n"/>
      <c r="F21" s="323" t="n"/>
    </row>
    <row r="22">
      <c r="A22" s="339" t="n"/>
      <c r="F22" s="32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2026-04-18T12:00:54Z</dcterms:modified>
  <cp:lastModifiedBy>Diofavian - Student</cp:lastModifiedBy>
</cp:coreProperties>
</file>