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9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10" fillId="0" borderId="4" pivotButton="0" quotePrefix="0" xfId="1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Allowance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45388</v>
      </c>
      <c r="C42" s="311" t="n">
        <v>1</v>
      </c>
      <c r="D42" s="313" t="inlineStr">
        <is>
          <t>THR 2024_Yufitri</t>
        </is>
      </c>
      <c r="E42" s="313" t="inlineStr">
        <is>
          <t>BCA</t>
        </is>
      </c>
      <c r="F42" s="319" t="n">
        <v>3000000</v>
      </c>
      <c r="G42" s="315" t="inlineStr">
        <is>
          <t>IDR</t>
        </is>
      </c>
      <c r="H42" s="320" t="n">
        <v>1</v>
      </c>
      <c r="I42" s="321" t="n">
        <v>3000000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Biaya Bank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45657</v>
      </c>
      <c r="C44" s="311" t="n">
        <v>2</v>
      </c>
      <c r="D44" s="322" t="inlineStr">
        <is>
          <t>Total Biaya Transaksi Bank selama 1 tahun</t>
        </is>
      </c>
      <c r="E44" s="322" t="inlineStr">
        <is>
          <t>-</t>
        </is>
      </c>
      <c r="F44" s="319" t="n">
        <v>1998587</v>
      </c>
      <c r="G44" s="323" t="inlineStr">
        <is>
          <t>IDR</t>
        </is>
      </c>
      <c r="H44" s="320" t="n">
        <v>1</v>
      </c>
      <c r="I44" s="317" t="n"/>
      <c r="J44" s="318" t="n"/>
      <c r="K44" s="324" t="n"/>
      <c r="L44" s="318" t="n"/>
      <c r="M44" s="325" t="n">
        <v>1998587</v>
      </c>
      <c r="N44" s="318" t="n"/>
      <c r="O44" s="318" t="n"/>
      <c r="P44" s="318" t="n"/>
      <c r="Q44" s="318" t="n"/>
    </row>
    <row r="45" ht="15.5" customHeight="1" s="297">
      <c r="B45" s="310" t="n"/>
      <c r="C45" s="311" t="n"/>
      <c r="D45" s="326" t="inlineStr">
        <is>
          <t>Biaya Interpretasi Log Data</t>
        </is>
      </c>
      <c r="E45" s="322" t="n"/>
      <c r="F45" s="327" t="n"/>
      <c r="G45" s="315" t="n"/>
      <c r="H45" s="315" t="n"/>
      <c r="I45" s="316" t="n"/>
      <c r="J45" s="316" t="n"/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45413</v>
      </c>
      <c r="C46" s="311" t="n">
        <v>3</v>
      </c>
      <c r="D46" s="322" t="inlineStr">
        <is>
          <t>Data proccesing MTD 4 well, project Tomori-Alan</t>
        </is>
      </c>
      <c r="E46" s="322" t="inlineStr">
        <is>
          <t>BCA</t>
        </is>
      </c>
      <c r="F46" s="319" t="n">
        <v>122625000</v>
      </c>
      <c r="G46" s="315" t="inlineStr">
        <is>
          <t>IDR</t>
        </is>
      </c>
      <c r="H46" s="320" t="n">
        <v>1</v>
      </c>
      <c r="I46" s="316" t="n"/>
      <c r="J46" s="316" t="n"/>
      <c r="K46" s="318" t="n"/>
      <c r="L46" s="325" t="n">
        <v>122625000</v>
      </c>
      <c r="M46" s="318" t="n"/>
      <c r="N46" s="318" t="n"/>
      <c r="O46" s="318" t="n"/>
      <c r="P46" s="318" t="n"/>
      <c r="Q46" s="318" t="n"/>
    </row>
    <row r="47" ht="15.5" customHeight="1" s="297">
      <c r="A47" s="66" t="n"/>
      <c r="B47" s="310" t="n">
        <v>45525</v>
      </c>
      <c r="C47" s="311" t="n">
        <v>4</v>
      </c>
      <c r="D47" s="322" t="inlineStr">
        <is>
          <t>Data proccesing TGB-33 DAN TIS (RBG-3b)-Alan</t>
        </is>
      </c>
      <c r="E47" s="322" t="inlineStr">
        <is>
          <t>BCA</t>
        </is>
      </c>
      <c r="F47" s="328" t="n">
        <v>101120000</v>
      </c>
      <c r="G47" s="315" t="inlineStr">
        <is>
          <t>IDR</t>
        </is>
      </c>
      <c r="H47" s="320" t="n">
        <v>1</v>
      </c>
      <c r="I47" s="316" t="n"/>
      <c r="J47" s="317" t="n"/>
      <c r="K47" s="318" t="n"/>
      <c r="L47" s="325" t="n">
        <v>101120000</v>
      </c>
      <c r="M47" s="318" t="n"/>
      <c r="N47" s="318" t="n"/>
      <c r="O47" s="318" t="n"/>
      <c r="P47" s="318" t="n"/>
      <c r="Q47" s="318" t="n"/>
    </row>
    <row r="48" ht="15.5" customHeight="1" s="297">
      <c r="B48" s="310" t="n"/>
      <c r="C48" s="311" t="n"/>
      <c r="D48" s="326" t="inlineStr">
        <is>
          <t>Biaya Operasi</t>
        </is>
      </c>
      <c r="E48" s="322" t="n"/>
      <c r="F48" s="329" t="n"/>
      <c r="G48" s="315" t="n"/>
      <c r="H48" s="315" t="n"/>
      <c r="I48" s="316" t="n"/>
      <c r="J48" s="316" t="n"/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45446</v>
      </c>
      <c r="C49" s="311" t="n">
        <v>5</v>
      </c>
      <c r="D49" s="322" t="inlineStr">
        <is>
          <t>PT Laka Indonesia |  Wastafel for WIKA Anantara Ubud Bali</t>
        </is>
      </c>
      <c r="E49" s="322" t="inlineStr">
        <is>
          <t>BCA</t>
        </is>
      </c>
      <c r="F49" s="331" t="n">
        <v>300000000</v>
      </c>
      <c r="G49" s="315" t="inlineStr">
        <is>
          <t>IDR</t>
        </is>
      </c>
      <c r="H49" s="320" t="n">
        <v>1</v>
      </c>
      <c r="I49" s="321" t="n">
        <v>300000000</v>
      </c>
      <c r="J49" s="316" t="n"/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>
        <v>45480</v>
      </c>
      <c r="C50" s="311" t="n">
        <v>6</v>
      </c>
      <c r="D50" s="322" t="inlineStr">
        <is>
          <t>PT Laka Indonesia |  Wastafel for WIKA Anantara Ubud Bali</t>
        </is>
      </c>
      <c r="E50" s="322" t="inlineStr">
        <is>
          <t>BCA</t>
        </is>
      </c>
      <c r="F50" s="332" t="n">
        <v>25000000</v>
      </c>
      <c r="G50" s="315" t="inlineStr">
        <is>
          <t>IDR</t>
        </is>
      </c>
      <c r="H50" s="320" t="n">
        <v>1</v>
      </c>
      <c r="I50" s="321" t="n">
        <v>25000000</v>
      </c>
      <c r="J50" s="316" t="n"/>
      <c r="K50" s="318" t="n"/>
      <c r="L50" s="333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45492</v>
      </c>
      <c r="C51" s="311" t="n">
        <v>7</v>
      </c>
      <c r="D51" s="322" t="inlineStr">
        <is>
          <t>PT Laka Indonesia |  Wastafel for WIKA Anantara Ubud Bali</t>
        </is>
      </c>
      <c r="E51" s="322" t="inlineStr">
        <is>
          <t>BCA</t>
        </is>
      </c>
      <c r="F51" s="328" t="n">
        <v>25000000</v>
      </c>
      <c r="G51" s="315" t="inlineStr">
        <is>
          <t>IDR</t>
        </is>
      </c>
      <c r="H51" s="320" t="n">
        <v>1</v>
      </c>
      <c r="I51" s="321" t="n">
        <v>25000000</v>
      </c>
      <c r="J51" s="316" t="n"/>
      <c r="K51" s="318" t="n"/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/>
      <c r="C52" s="311" t="n"/>
      <c r="D52" s="326" t="inlineStr">
        <is>
          <t>Biaya Research (R&amp;D)</t>
        </is>
      </c>
      <c r="E52" s="322" t="n"/>
      <c r="F52" s="334" t="n"/>
      <c r="G52" s="315" t="n"/>
      <c r="H52" s="315" t="n"/>
      <c r="I52" s="316" t="n"/>
      <c r="J52" s="317" t="n"/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45364</v>
      </c>
      <c r="C53" s="311" t="n">
        <v>8</v>
      </c>
      <c r="D53" s="322" t="inlineStr">
        <is>
          <t>Ralika Jaya Utama | Permbuatan alat Downhole Wireless Telemetry</t>
        </is>
      </c>
      <c r="E53" s="322" t="inlineStr">
        <is>
          <t>BCA</t>
        </is>
      </c>
      <c r="F53" s="328" t="n">
        <v>100000000</v>
      </c>
      <c r="G53" s="315" t="inlineStr">
        <is>
          <t>IDR</t>
        </is>
      </c>
      <c r="H53" s="320" t="n">
        <v>1</v>
      </c>
      <c r="I53" s="317" t="n"/>
      <c r="J53" s="321" t="n">
        <v>100000000</v>
      </c>
      <c r="K53" s="318" t="n"/>
      <c r="L53" s="318" t="n"/>
      <c r="M53" s="318" t="n"/>
      <c r="N53" s="318" t="n"/>
      <c r="O53" s="318" t="n"/>
      <c r="P53" s="318" t="n"/>
      <c r="Q53" s="318" t="n"/>
    </row>
    <row r="54" ht="15.5" customFormat="1" customHeight="1" s="66">
      <c r="B54" s="310" t="n">
        <v>45418</v>
      </c>
      <c r="C54" s="311" t="n">
        <v>9</v>
      </c>
      <c r="D54" s="313" t="inlineStr">
        <is>
          <t>Ralika Jaya Utama | Permbuatan alat Downhole Wireless Telemetry</t>
        </is>
      </c>
      <c r="E54" s="313" t="inlineStr">
        <is>
          <t>BRI</t>
        </is>
      </c>
      <c r="F54" s="328" t="n">
        <v>100000000</v>
      </c>
      <c r="G54" s="315" t="inlineStr">
        <is>
          <t>IDR</t>
        </is>
      </c>
      <c r="H54" s="320" t="n">
        <v>1</v>
      </c>
      <c r="I54" s="316" t="n"/>
      <c r="J54" s="321" t="n">
        <v>100000000</v>
      </c>
      <c r="K54" s="317" t="n"/>
      <c r="L54" s="333" t="n"/>
      <c r="M54" s="318" t="n"/>
      <c r="N54" s="318" t="n"/>
      <c r="O54" s="318" t="n"/>
      <c r="P54" s="318" t="n"/>
      <c r="Q54" s="318" t="n"/>
    </row>
    <row r="55" ht="15.5" customFormat="1" customHeight="1" s="66">
      <c r="B55" s="310" t="n">
        <v>45502</v>
      </c>
      <c r="C55" s="311" t="n">
        <v>10</v>
      </c>
      <c r="D55" s="322" t="inlineStr">
        <is>
          <t>Ralika Jaya Utama | Permbuatan alat injeksi listrik (EAS)</t>
        </is>
      </c>
      <c r="E55" s="322" t="inlineStr">
        <is>
          <t>BRI</t>
        </is>
      </c>
      <c r="F55" s="335" t="n">
        <v>100000000</v>
      </c>
      <c r="G55" s="315" t="inlineStr">
        <is>
          <t>IDR</t>
        </is>
      </c>
      <c r="H55" s="320" t="n">
        <v>1</v>
      </c>
      <c r="I55" s="317" t="n"/>
      <c r="J55" s="321" t="n">
        <v>100000000</v>
      </c>
      <c r="K55" s="318" t="n"/>
      <c r="L55" s="318" t="n"/>
      <c r="M55" s="318" t="n"/>
      <c r="N55" s="318" t="n"/>
      <c r="O55" s="318" t="n"/>
      <c r="P55" s="318" t="n"/>
      <c r="Q55" s="318" t="n"/>
    </row>
    <row r="56" ht="15.5" customFormat="1" customHeight="1" s="66">
      <c r="B56" s="310" t="n">
        <v>45548</v>
      </c>
      <c r="C56" s="311" t="n">
        <v>11</v>
      </c>
      <c r="D56" s="322" t="inlineStr">
        <is>
          <t>Ralika Jaya Utama | Permbuatan alat EMR</t>
        </is>
      </c>
      <c r="E56" s="322" t="inlineStr">
        <is>
          <t>BRI</t>
        </is>
      </c>
      <c r="F56" s="335" t="n">
        <v>150000000</v>
      </c>
      <c r="G56" s="315" t="inlineStr">
        <is>
          <t>IDR</t>
        </is>
      </c>
      <c r="H56" s="320" t="n">
        <v>1</v>
      </c>
      <c r="I56" s="316" t="n"/>
      <c r="J56" s="321" t="n">
        <v>150000000</v>
      </c>
      <c r="K56" s="318" t="n"/>
      <c r="L56" s="318" t="n"/>
      <c r="M56" s="318" t="n"/>
      <c r="N56" s="318" t="n"/>
      <c r="O56" s="318" t="n"/>
      <c r="P56" s="318" t="n"/>
      <c r="Q56" s="333" t="n"/>
    </row>
    <row r="57" ht="15.5" customFormat="1" customHeight="1" s="66">
      <c r="B57" s="310" t="n">
        <v>45631</v>
      </c>
      <c r="C57" s="311" t="n">
        <v>12</v>
      </c>
      <c r="D57" s="313" t="inlineStr">
        <is>
          <t>Ralika Jaya Utama | Permbuatan alat injeksi listrik (EAS)</t>
        </is>
      </c>
      <c r="E57" s="313" t="inlineStr">
        <is>
          <t>BRI</t>
        </is>
      </c>
      <c r="F57" s="335" t="n">
        <v>400000000</v>
      </c>
      <c r="G57" s="315" t="inlineStr">
        <is>
          <t>IDR</t>
        </is>
      </c>
      <c r="H57" s="320" t="n">
        <v>1</v>
      </c>
      <c r="I57" s="316" t="n"/>
      <c r="J57" s="321" t="n">
        <v>400000000</v>
      </c>
      <c r="K57" s="317" t="n"/>
      <c r="L57" s="318" t="n"/>
      <c r="M57" s="318" t="n"/>
      <c r="N57" s="318" t="n"/>
      <c r="O57" s="318" t="n"/>
      <c r="P57" s="318" t="n"/>
      <c r="Q57" s="318" t="n"/>
    </row>
    <row r="58" ht="15.5" customFormat="1" customHeight="1" s="66">
      <c r="B58" s="310" t="n"/>
      <c r="C58" s="311" t="n"/>
      <c r="D58" s="326" t="inlineStr">
        <is>
          <t>Bisnis Dev</t>
        </is>
      </c>
      <c r="E58" s="322" t="n"/>
      <c r="F58" s="336" t="n"/>
      <c r="G58" s="315" t="n"/>
      <c r="H58" s="315" t="n"/>
      <c r="I58" s="316" t="n"/>
      <c r="J58" s="316" t="n"/>
      <c r="K58" s="318" t="n"/>
      <c r="L58" s="318" t="n"/>
      <c r="M58" s="318" t="n"/>
      <c r="N58" s="318" t="n"/>
      <c r="O58" s="318" t="n"/>
      <c r="P58" s="318" t="n"/>
      <c r="Q58" s="318" t="n"/>
    </row>
    <row r="59" ht="15.5" customFormat="1" customHeight="1" s="66">
      <c r="B59" s="310" t="n">
        <v>45483</v>
      </c>
      <c r="C59" s="311" t="n">
        <v>13</v>
      </c>
      <c r="D59" s="322" t="inlineStr">
        <is>
          <t>Pembelian Lisence Sonoechometer to PT Weebz Mandiri</t>
        </is>
      </c>
      <c r="E59" s="322" t="inlineStr">
        <is>
          <t>BCA</t>
        </is>
      </c>
      <c r="F59" s="335" t="n">
        <v>16650000</v>
      </c>
      <c r="G59" s="315" t="inlineStr">
        <is>
          <t>IDR</t>
        </is>
      </c>
      <c r="H59" s="320" t="n">
        <v>1</v>
      </c>
      <c r="I59" s="316" t="n"/>
      <c r="J59" s="316" t="n"/>
      <c r="K59" s="318" t="n"/>
      <c r="L59" s="318" t="n"/>
      <c r="M59" s="318" t="n"/>
      <c r="N59" s="333" t="n"/>
      <c r="O59" s="318" t="n"/>
      <c r="P59" s="318" t="n"/>
      <c r="Q59" s="325" t="n">
        <v>16650000</v>
      </c>
    </row>
    <row r="60" ht="15.5" customFormat="1" customHeight="1" s="66">
      <c r="B60" s="310" t="n">
        <v>45539</v>
      </c>
      <c r="C60" s="311" t="n">
        <v>14</v>
      </c>
      <c r="D60" s="322" t="inlineStr">
        <is>
          <t>MUTRI | Penambahan modal biaya kerja</t>
        </is>
      </c>
      <c r="E60" s="322" t="inlineStr">
        <is>
          <t>BRI</t>
        </is>
      </c>
      <c r="F60" s="335" t="n">
        <v>100000000</v>
      </c>
      <c r="G60" s="315" t="inlineStr">
        <is>
          <t>IDR</t>
        </is>
      </c>
      <c r="H60" s="320" t="n">
        <v>1</v>
      </c>
      <c r="I60" s="316" t="n"/>
      <c r="J60" s="316" t="n"/>
      <c r="K60" s="318" t="n"/>
      <c r="L60" s="318" t="n"/>
      <c r="M60" s="318" t="n"/>
      <c r="N60" s="333" t="n"/>
      <c r="O60" s="318" t="n"/>
      <c r="P60" s="318" t="n"/>
      <c r="Q60" s="325" t="n">
        <v>100000000</v>
      </c>
    </row>
    <row r="61" ht="15.5" customFormat="1" customHeight="1" s="66">
      <c r="B61" s="310" t="n">
        <v>45625</v>
      </c>
      <c r="C61" s="311" t="n">
        <v>15</v>
      </c>
      <c r="D61" s="337" t="inlineStr">
        <is>
          <t>MUTRI | Penambahan modal biaya kerja 3rd</t>
        </is>
      </c>
      <c r="E61" s="322" t="inlineStr">
        <is>
          <t>BRI</t>
        </is>
      </c>
      <c r="F61" s="335" t="n">
        <v>75000000</v>
      </c>
      <c r="G61" s="323" t="inlineStr">
        <is>
          <t>IDR</t>
        </is>
      </c>
      <c r="H61" s="320" t="n">
        <v>1</v>
      </c>
      <c r="I61" s="316" t="n"/>
      <c r="J61" s="317" t="n"/>
      <c r="K61" s="324" t="n"/>
      <c r="L61" s="318" t="n"/>
      <c r="M61" s="318" t="n"/>
      <c r="N61" s="318" t="n"/>
      <c r="O61" s="318" t="n"/>
      <c r="P61" s="318" t="n"/>
      <c r="Q61" s="325" t="n">
        <v>75000000</v>
      </c>
    </row>
    <row r="62" ht="15.5" customFormat="1" customHeight="1" s="66">
      <c r="B62" s="310" t="n"/>
      <c r="C62" s="311" t="n"/>
      <c r="D62" s="326" t="inlineStr">
        <is>
          <t>Data Processing</t>
        </is>
      </c>
      <c r="E62" s="322" t="n"/>
      <c r="F62" s="336" t="n"/>
      <c r="G62" s="315" t="n"/>
      <c r="H62" s="315" t="n"/>
      <c r="I62" s="317" t="n"/>
      <c r="J62" s="316" t="n"/>
      <c r="K62" s="318" t="n"/>
      <c r="L62" s="318" t="n"/>
      <c r="M62" s="318" t="n"/>
      <c r="N62" s="318" t="n"/>
      <c r="O62" s="318" t="n"/>
      <c r="P62" s="318" t="n"/>
      <c r="Q62" s="318" t="n"/>
    </row>
    <row r="63" ht="15.5" customFormat="1" customHeight="1" s="66">
      <c r="B63" s="310" t="n">
        <v>45589</v>
      </c>
      <c r="C63" s="311" t="n">
        <v>16</v>
      </c>
      <c r="D63" s="322" t="inlineStr">
        <is>
          <t>Data Processing 8 Well Alan Project SIJAK</t>
        </is>
      </c>
      <c r="E63" s="322" t="inlineStr">
        <is>
          <t>BRI</t>
        </is>
      </c>
      <c r="F63" s="335" t="n">
        <v>144000000</v>
      </c>
      <c r="G63" s="315" t="inlineStr">
        <is>
          <t>IDR</t>
        </is>
      </c>
      <c r="H63" s="320" t="n">
        <v>1</v>
      </c>
      <c r="I63" s="316" t="n"/>
      <c r="J63" s="316" t="n"/>
      <c r="K63" s="318" t="n"/>
      <c r="L63" s="325" t="n">
        <v>144000000</v>
      </c>
      <c r="M63" s="318" t="n"/>
      <c r="N63" s="318" t="n"/>
      <c r="O63" s="318" t="n"/>
      <c r="P63" s="318" t="n"/>
      <c r="Q63" s="317" t="n"/>
    </row>
    <row r="64" ht="15.5" customFormat="1" customHeight="1" s="66">
      <c r="B64" s="310" t="n"/>
      <c r="C64" s="311" t="n"/>
      <c r="D64" s="326" t="inlineStr">
        <is>
          <t>Gaji</t>
        </is>
      </c>
      <c r="E64" s="322" t="n"/>
      <c r="F64" s="336" t="n"/>
      <c r="G64" s="315" t="n"/>
      <c r="H64" s="315" t="n"/>
      <c r="I64" s="317" t="n"/>
      <c r="J64" s="316" t="n"/>
      <c r="K64" s="318" t="n"/>
      <c r="L64" s="318" t="n"/>
      <c r="M64" s="318" t="n"/>
      <c r="N64" s="318" t="n"/>
      <c r="O64" s="318" t="n"/>
      <c r="P64" s="318" t="n"/>
      <c r="Q64" s="318" t="n"/>
    </row>
    <row r="65" ht="15.5" customFormat="1" customHeight="1" s="66">
      <c r="B65" s="310" t="n">
        <v>45323</v>
      </c>
      <c r="C65" s="311" t="n">
        <v>17</v>
      </c>
      <c r="D65" s="337" t="inlineStr">
        <is>
          <t>Gaji Januari 2024 _Yufitri</t>
        </is>
      </c>
      <c r="E65" s="322" t="inlineStr">
        <is>
          <t>BCA</t>
        </is>
      </c>
      <c r="F65" s="335" t="n">
        <v>2500000</v>
      </c>
      <c r="G65" s="315" t="inlineStr">
        <is>
          <t>IDR</t>
        </is>
      </c>
      <c r="H65" s="320" t="n">
        <v>1</v>
      </c>
      <c r="I65" s="321" t="n">
        <v>2500000</v>
      </c>
      <c r="J65" s="316" t="n"/>
      <c r="K65" s="318" t="n"/>
      <c r="L65" s="318" t="n"/>
      <c r="M65" s="318" t="n"/>
      <c r="N65" s="318" t="n"/>
      <c r="O65" s="318" t="n"/>
      <c r="P65" s="318" t="n"/>
      <c r="Q65" s="333" t="n"/>
    </row>
    <row r="66" ht="15.5" customFormat="1" customHeight="1" s="66">
      <c r="B66" s="310" t="n">
        <v>45356</v>
      </c>
      <c r="C66" s="311" t="n">
        <v>18</v>
      </c>
      <c r="D66" s="322" t="inlineStr">
        <is>
          <t>Gaji Februari 2024 + raple gaji Januari 2024_Yufitri</t>
        </is>
      </c>
      <c r="E66" s="322" t="inlineStr">
        <is>
          <t>BCA</t>
        </is>
      </c>
      <c r="F66" s="335" t="n">
        <v>3500000</v>
      </c>
      <c r="G66" s="315" t="inlineStr">
        <is>
          <t>IDR</t>
        </is>
      </c>
      <c r="H66" s="320" t="n">
        <v>1</v>
      </c>
      <c r="I66" s="321" t="n">
        <v>3500000</v>
      </c>
      <c r="J66" s="316" t="n"/>
      <c r="K66" s="318" t="n"/>
      <c r="L66" s="318" t="n"/>
      <c r="M66" s="318" t="n"/>
      <c r="N66" s="333" t="n"/>
      <c r="O66" s="318" t="n"/>
      <c r="P66" s="318" t="n"/>
      <c r="Q66" s="318" t="n"/>
    </row>
    <row r="67" ht="15.5" customHeight="1" s="297">
      <c r="B67" s="310" t="n">
        <v>45379</v>
      </c>
      <c r="C67" s="311" t="n">
        <v>19</v>
      </c>
      <c r="D67" s="322" t="inlineStr">
        <is>
          <t>Gaji Maret 2024_Yufitri</t>
        </is>
      </c>
      <c r="E67" s="322" t="inlineStr">
        <is>
          <t>BCA</t>
        </is>
      </c>
      <c r="F67" s="335" t="n">
        <v>3000000</v>
      </c>
      <c r="G67" s="315" t="inlineStr">
        <is>
          <t>IDR</t>
        </is>
      </c>
      <c r="H67" s="320" t="n">
        <v>1</v>
      </c>
      <c r="I67" s="321" t="n">
        <v>3000000</v>
      </c>
      <c r="J67" s="316" t="n"/>
      <c r="K67" s="318" t="n"/>
      <c r="L67" s="318" t="n"/>
      <c r="M67" s="318" t="n"/>
      <c r="N67" s="333" t="n"/>
      <c r="O67" s="318" t="n"/>
      <c r="P67" s="318" t="n"/>
      <c r="Q67" s="318" t="n"/>
    </row>
    <row r="68" ht="15.5" customHeight="1" s="297">
      <c r="A68" s="66" t="n"/>
      <c r="B68" s="310" t="n">
        <v>45416</v>
      </c>
      <c r="C68" s="311" t="n">
        <v>20</v>
      </c>
      <c r="D68" s="322" t="inlineStr">
        <is>
          <t>Gaji April_Yufitri</t>
        </is>
      </c>
      <c r="E68" s="322" t="inlineStr">
        <is>
          <t>BCA</t>
        </is>
      </c>
      <c r="F68" s="335" t="n">
        <v>3000000</v>
      </c>
      <c r="G68" s="315" t="inlineStr">
        <is>
          <t>IDR</t>
        </is>
      </c>
      <c r="H68" s="320" t="n">
        <v>1</v>
      </c>
      <c r="I68" s="321" t="n">
        <v>3000000</v>
      </c>
      <c r="J68" s="317" t="n"/>
      <c r="K68" s="318" t="n"/>
      <c r="L68" s="318" t="n"/>
      <c r="M68" s="318" t="n"/>
      <c r="N68" s="318" t="n"/>
      <c r="O68" s="318" t="n"/>
      <c r="P68" s="318" t="n"/>
      <c r="Q68" s="318" t="n"/>
    </row>
    <row r="69" ht="15.5" customHeight="1" s="297">
      <c r="A69" s="66" t="n"/>
      <c r="B69" s="310" t="n">
        <v>45446</v>
      </c>
      <c r="C69" s="311" t="n">
        <v>21</v>
      </c>
      <c r="D69" s="322" t="inlineStr">
        <is>
          <t>Gaji Mei_Yufitri</t>
        </is>
      </c>
      <c r="E69" s="322" t="inlineStr">
        <is>
          <t>BCA</t>
        </is>
      </c>
      <c r="F69" s="335" t="n">
        <v>3000000</v>
      </c>
      <c r="G69" s="315" t="inlineStr">
        <is>
          <t>IDR</t>
        </is>
      </c>
      <c r="H69" s="320" t="n">
        <v>1</v>
      </c>
      <c r="I69" s="321" t="n">
        <v>3000000</v>
      </c>
      <c r="J69" s="316" t="n"/>
      <c r="K69" s="318" t="n"/>
      <c r="L69" s="318" t="n"/>
      <c r="M69" s="318" t="n"/>
      <c r="N69" s="318" t="n"/>
      <c r="O69" s="317" t="n"/>
      <c r="P69" s="318" t="n"/>
      <c r="Q69" s="317" t="n"/>
    </row>
    <row r="70" ht="15.5" customHeight="1" s="297">
      <c r="B70" s="310" t="n">
        <v>45473</v>
      </c>
      <c r="C70" s="311" t="n">
        <v>22</v>
      </c>
      <c r="D70" s="322" t="inlineStr">
        <is>
          <t>Gaji Juni 2024_Yufitri</t>
        </is>
      </c>
      <c r="E70" s="322" t="inlineStr">
        <is>
          <t>BCA</t>
        </is>
      </c>
      <c r="F70" s="335" t="n">
        <v>3000000</v>
      </c>
      <c r="G70" s="315" t="inlineStr">
        <is>
          <t>IDR</t>
        </is>
      </c>
      <c r="H70" s="320" t="n">
        <v>1</v>
      </c>
      <c r="I70" s="321" t="n">
        <v>3000000</v>
      </c>
      <c r="J70" s="316" t="n"/>
      <c r="K70" s="318" t="n"/>
      <c r="L70" s="318" t="n"/>
      <c r="M70" s="318" t="n"/>
      <c r="N70" s="338" t="n"/>
      <c r="O70" s="318" t="n"/>
      <c r="P70" s="318" t="n"/>
      <c r="Q70" s="318" t="n"/>
    </row>
    <row r="71" ht="15.5" customHeight="1" s="297">
      <c r="B71" s="310" t="n">
        <v>45501</v>
      </c>
      <c r="C71" s="311" t="n">
        <v>23</v>
      </c>
      <c r="D71" s="322" t="inlineStr">
        <is>
          <t>Gaji Juli 2024_Yufitri</t>
        </is>
      </c>
      <c r="E71" s="322" t="inlineStr">
        <is>
          <t>BCA</t>
        </is>
      </c>
      <c r="F71" s="335" t="n">
        <v>3000000</v>
      </c>
      <c r="G71" s="315" t="inlineStr">
        <is>
          <t>IDR</t>
        </is>
      </c>
      <c r="H71" s="320" t="n">
        <v>1</v>
      </c>
      <c r="I71" s="321" t="n">
        <v>3000000</v>
      </c>
      <c r="J71" s="316" t="n"/>
      <c r="K71" s="318" t="n"/>
      <c r="L71" s="338" t="n"/>
      <c r="M71" s="318" t="n"/>
      <c r="N71" s="318" t="n"/>
      <c r="O71" s="318" t="n"/>
      <c r="P71" s="318" t="n"/>
      <c r="Q71" s="318" t="n"/>
    </row>
    <row r="72" ht="15.5" customHeight="1" s="297">
      <c r="B72" s="310" t="n">
        <v>45535</v>
      </c>
      <c r="C72" s="311" t="n">
        <v>24</v>
      </c>
      <c r="D72" s="322" t="inlineStr">
        <is>
          <t>Gaji Agustus 2024_Yufitri</t>
        </is>
      </c>
      <c r="E72" s="322" t="inlineStr">
        <is>
          <t>BCA</t>
        </is>
      </c>
      <c r="F72" s="335" t="n">
        <v>3000000</v>
      </c>
      <c r="G72" s="315" t="inlineStr">
        <is>
          <t>IDR</t>
        </is>
      </c>
      <c r="H72" s="320" t="n">
        <v>1</v>
      </c>
      <c r="I72" s="321" t="n">
        <v>3000000</v>
      </c>
      <c r="J72" s="316" t="n"/>
      <c r="K72" s="318" t="n"/>
      <c r="L72" s="318" t="n"/>
      <c r="M72" s="318" t="n"/>
      <c r="N72" s="318" t="n"/>
      <c r="O72" s="318" t="n"/>
      <c r="P72" s="318" t="n"/>
      <c r="Q72" s="318" t="n"/>
    </row>
    <row r="73" ht="15.5" customHeight="1" s="297">
      <c r="B73" s="310" t="n">
        <v>45568</v>
      </c>
      <c r="C73" s="311" t="n">
        <v>25</v>
      </c>
      <c r="D73" s="313" t="inlineStr">
        <is>
          <t>Gaji fitri bulan september 2024</t>
        </is>
      </c>
      <c r="E73" s="313" t="inlineStr">
        <is>
          <t>BRI</t>
        </is>
      </c>
      <c r="F73" s="335" t="n">
        <v>3000000</v>
      </c>
      <c r="G73" s="315" t="inlineStr">
        <is>
          <t>IDR</t>
        </is>
      </c>
      <c r="H73" s="320" t="n">
        <v>1</v>
      </c>
      <c r="I73" s="321" t="n">
        <v>3000000</v>
      </c>
      <c r="J73" s="316" t="n"/>
      <c r="K73" s="317" t="n"/>
      <c r="L73" s="318" t="n"/>
      <c r="M73" s="318" t="n"/>
      <c r="N73" s="318" t="n"/>
      <c r="O73" s="318" t="n"/>
      <c r="P73" s="318" t="n"/>
      <c r="Q73" s="318" t="n"/>
    </row>
    <row r="74" ht="15.5" customHeight="1" s="297">
      <c r="A74" s="66" t="n"/>
      <c r="B74" s="310" t="n">
        <v>45568</v>
      </c>
      <c r="C74" s="311" t="n">
        <v>26</v>
      </c>
      <c r="D74" s="322" t="inlineStr">
        <is>
          <t>Gaji fitri bulan October 2024</t>
        </is>
      </c>
      <c r="E74" s="322" t="inlineStr">
        <is>
          <t>BRI</t>
        </is>
      </c>
      <c r="F74" s="335" t="n">
        <v>3000000</v>
      </c>
      <c r="G74" s="315" t="inlineStr">
        <is>
          <t>IDR</t>
        </is>
      </c>
      <c r="H74" s="320" t="n">
        <v>1</v>
      </c>
      <c r="I74" s="321" t="n">
        <v>3000000</v>
      </c>
      <c r="J74" s="316" t="n"/>
      <c r="K74" s="318" t="n"/>
      <c r="L74" s="318" t="n"/>
      <c r="M74" s="318" t="n"/>
      <c r="N74" s="318" t="n"/>
      <c r="O74" s="318" t="n"/>
      <c r="P74" s="318" t="n"/>
      <c r="Q74" s="317" t="n"/>
    </row>
    <row r="75" ht="15.5" customHeight="1" s="297">
      <c r="A75" s="66" t="n"/>
      <c r="B75" s="310" t="n">
        <v>45625</v>
      </c>
      <c r="C75" s="311" t="n">
        <v>27</v>
      </c>
      <c r="D75" s="322" t="inlineStr">
        <is>
          <t>Gaji fitri bulan November 2024</t>
        </is>
      </c>
      <c r="E75" s="322" t="inlineStr">
        <is>
          <t>BRI</t>
        </is>
      </c>
      <c r="F75" s="335" t="n">
        <v>3000000</v>
      </c>
      <c r="G75" s="315" t="inlineStr">
        <is>
          <t>IDR</t>
        </is>
      </c>
      <c r="H75" s="320" t="n">
        <v>1</v>
      </c>
      <c r="I75" s="321" t="n">
        <v>3000000</v>
      </c>
      <c r="J75" s="317" t="n"/>
      <c r="K75" s="318" t="n"/>
      <c r="L75" s="318" t="n"/>
      <c r="M75" s="318" t="n"/>
      <c r="N75" s="318" t="n"/>
      <c r="O75" s="318" t="n"/>
      <c r="P75" s="318" t="n"/>
      <c r="Q75" s="318" t="n"/>
    </row>
    <row r="76" ht="15.5" customHeight="1" s="297">
      <c r="B76" s="310" t="n">
        <v>45651</v>
      </c>
      <c r="C76" s="311" t="n">
        <v>28</v>
      </c>
      <c r="D76" s="322" t="inlineStr">
        <is>
          <t>Gaji Desember 2024 + Bomnus akhir tahun - 4 bulan_Yufitri</t>
        </is>
      </c>
      <c r="E76" s="322" t="inlineStr">
        <is>
          <t>BCA</t>
        </is>
      </c>
      <c r="F76" s="335" t="n">
        <v>15000000</v>
      </c>
      <c r="G76" s="315" t="inlineStr">
        <is>
          <t>IDR</t>
        </is>
      </c>
      <c r="H76" s="320" t="n">
        <v>1</v>
      </c>
      <c r="I76" s="321" t="n">
        <v>15000000</v>
      </c>
      <c r="J76" s="316" t="n"/>
      <c r="K76" s="318" t="n"/>
      <c r="L76" s="318" t="n"/>
      <c r="M76" s="318" t="n"/>
      <c r="N76" s="338" t="n"/>
      <c r="O76" s="318" t="n"/>
      <c r="P76" s="318" t="n"/>
      <c r="Q76" s="318" t="n"/>
    </row>
    <row r="77" ht="15.5" customHeight="1" s="297">
      <c r="B77" s="310" t="n"/>
      <c r="C77" s="311" t="n"/>
      <c r="D77" s="326" t="inlineStr">
        <is>
          <t>Maintenance</t>
        </is>
      </c>
      <c r="E77" s="322" t="n"/>
      <c r="F77" s="339" t="n"/>
      <c r="G77" s="323" t="n"/>
      <c r="H77" s="315" t="n"/>
      <c r="I77" s="316" t="n"/>
      <c r="J77" s="318" t="n"/>
      <c r="K77" s="324" t="n"/>
      <c r="L77" s="318" t="n"/>
      <c r="M77" s="318" t="n"/>
      <c r="N77" s="318" t="n"/>
      <c r="O77" s="318" t="n"/>
      <c r="P77" s="318" t="n"/>
      <c r="Q77" s="318" t="n"/>
    </row>
    <row r="78" ht="15.5" customHeight="1" s="297">
      <c r="B78" s="310" t="n">
        <v>45478</v>
      </c>
      <c r="C78" s="311" t="n">
        <v>29</v>
      </c>
      <c r="D78" s="322" t="inlineStr">
        <is>
          <t>Repair ESOR panel &amp; Fabricate dummy test load, Payment#2</t>
        </is>
      </c>
      <c r="E78" s="322" t="inlineStr">
        <is>
          <t>BRI</t>
        </is>
      </c>
      <c r="F78" s="335" t="n">
        <v>25000000</v>
      </c>
      <c r="G78" s="323" t="inlineStr">
        <is>
          <t>IDR</t>
        </is>
      </c>
      <c r="H78" s="320" t="n">
        <v>1</v>
      </c>
      <c r="I78" s="321" t="n">
        <v>25000000</v>
      </c>
      <c r="J78" s="318" t="n"/>
      <c r="K78" s="324" t="n"/>
      <c r="L78" s="318" t="n"/>
      <c r="M78" s="318" t="n"/>
      <c r="N78" s="318" t="n"/>
      <c r="O78" s="318" t="n"/>
      <c r="P78" s="318" t="n"/>
      <c r="Q78" s="318" t="n"/>
    </row>
    <row r="79" ht="15.5" customHeight="1" s="297">
      <c r="B79" s="310" t="n">
        <v>45493</v>
      </c>
      <c r="C79" s="311" t="n">
        <v>30</v>
      </c>
      <c r="D79" s="313" t="inlineStr">
        <is>
          <t>Repair ESOR panel &amp; Fabricate dummy test load, Payment#1</t>
        </is>
      </c>
      <c r="E79" s="313" t="inlineStr">
        <is>
          <t>BCA</t>
        </is>
      </c>
      <c r="F79" s="340" t="n">
        <v>20000000</v>
      </c>
      <c r="G79" s="315" t="inlineStr">
        <is>
          <t>IDR</t>
        </is>
      </c>
      <c r="H79" s="320" t="n">
        <v>1</v>
      </c>
      <c r="I79" s="321" t="n">
        <v>20000000</v>
      </c>
      <c r="J79" s="316" t="n"/>
      <c r="K79" s="317" t="n"/>
      <c r="L79" s="318" t="n"/>
      <c r="M79" s="318" t="n"/>
      <c r="N79" s="318" t="n"/>
      <c r="O79" s="318" t="n"/>
      <c r="P79" s="318" t="n"/>
      <c r="Q79" s="333" t="n"/>
    </row>
    <row r="80" ht="15.5" customHeight="1" s="297">
      <c r="B80" s="310" t="n"/>
      <c r="C80" s="311" t="n"/>
      <c r="D80" s="312" t="inlineStr">
        <is>
          <t>Operation</t>
        </is>
      </c>
      <c r="E80" s="313" t="n"/>
      <c r="F80" s="339" t="n"/>
      <c r="G80" s="315" t="n"/>
      <c r="H80" s="315" t="n"/>
      <c r="I80" s="316" t="n"/>
      <c r="J80" s="316" t="n"/>
      <c r="K80" s="317" t="n"/>
      <c r="L80" s="318" t="n"/>
      <c r="M80" s="318" t="n"/>
      <c r="N80" s="318" t="n"/>
      <c r="O80" s="318" t="n"/>
      <c r="P80" s="318" t="n"/>
      <c r="Q80" s="318" t="n"/>
    </row>
    <row r="81" ht="15.5" customHeight="1" s="297">
      <c r="B81" s="310" t="n">
        <v>45501</v>
      </c>
      <c r="C81" s="311" t="n">
        <v>31</v>
      </c>
      <c r="D81" s="313" t="inlineStr">
        <is>
          <t>Handphone Operational untuk Secretary (Yufitri)</t>
        </is>
      </c>
      <c r="E81" s="313" t="inlineStr">
        <is>
          <t>BCA</t>
        </is>
      </c>
      <c r="F81" s="335" t="n">
        <v>2600000</v>
      </c>
      <c r="G81" s="315" t="inlineStr">
        <is>
          <t>IDR</t>
        </is>
      </c>
      <c r="H81" s="320" t="n">
        <v>1</v>
      </c>
      <c r="I81" s="316" t="n"/>
      <c r="J81" s="316" t="n"/>
      <c r="K81" s="317" t="n"/>
      <c r="L81" s="318" t="n"/>
      <c r="M81" s="318" t="n"/>
      <c r="N81" s="325" t="n">
        <v>2600000</v>
      </c>
      <c r="O81" s="318" t="n"/>
      <c r="P81" s="318" t="n"/>
      <c r="Q81" s="333" t="n"/>
    </row>
    <row r="82" ht="15.5" customHeight="1" s="297">
      <c r="B82" s="310" t="n"/>
      <c r="C82" s="311" t="n"/>
      <c r="D82" s="312" t="inlineStr">
        <is>
          <t>Pembelian Barang</t>
        </is>
      </c>
      <c r="E82" s="313" t="n"/>
      <c r="F82" s="339" t="n"/>
      <c r="G82" s="315" t="n"/>
      <c r="H82" s="315" t="n"/>
      <c r="I82" s="316" t="n"/>
      <c r="J82" s="316" t="n"/>
      <c r="K82" s="317" t="n"/>
      <c r="L82" s="333" t="n"/>
      <c r="M82" s="318" t="n"/>
      <c r="N82" s="318" t="n"/>
      <c r="O82" s="318" t="n"/>
      <c r="P82" s="318" t="n"/>
      <c r="Q82" s="318" t="n"/>
    </row>
    <row r="83" ht="15.5" customHeight="1" s="297">
      <c r="B83" s="310" t="n">
        <v>45476</v>
      </c>
      <c r="C83" s="311" t="n">
        <v>32</v>
      </c>
      <c r="D83" s="313" t="inlineStr">
        <is>
          <t>Kekurangan (PPN ) ke PT Garindo sarana Baru (Downhole Sampling)</t>
        </is>
      </c>
      <c r="E83" s="313" t="inlineStr">
        <is>
          <t>BCA</t>
        </is>
      </c>
      <c r="F83" s="340" t="n">
        <v>3582000</v>
      </c>
      <c r="G83" s="315" t="inlineStr">
        <is>
          <t>IDR</t>
        </is>
      </c>
      <c r="H83" s="320" t="n">
        <v>1</v>
      </c>
      <c r="I83" s="316" t="n"/>
      <c r="J83" s="316" t="n"/>
      <c r="K83" s="317" t="n"/>
      <c r="L83" s="318" t="n"/>
      <c r="M83" s="318" t="n"/>
      <c r="N83" s="325" t="n">
        <v>3582000</v>
      </c>
      <c r="O83" s="318" t="n"/>
      <c r="P83" s="318" t="n"/>
      <c r="Q83" s="318" t="n"/>
    </row>
    <row r="84" ht="15.5" customHeight="1" s="297">
      <c r="A84" s="66" t="n"/>
      <c r="B84" s="310" t="n"/>
      <c r="C84" s="311" t="n"/>
      <c r="D84" s="326" t="inlineStr">
        <is>
          <t>Pembuatan Alat</t>
        </is>
      </c>
      <c r="E84" s="322" t="n"/>
      <c r="F84" s="339" t="n"/>
      <c r="G84" s="315" t="n"/>
      <c r="H84" s="315" t="n"/>
      <c r="I84" s="317" t="n"/>
      <c r="J84" s="316" t="n"/>
      <c r="K84" s="318" t="n"/>
      <c r="L84" s="318" t="n"/>
      <c r="M84" s="318" t="n"/>
      <c r="N84" s="318" t="n"/>
      <c r="O84" s="318" t="n"/>
      <c r="P84" s="318" t="n"/>
      <c r="Q84" s="318" t="n"/>
    </row>
    <row r="85" ht="15.5" customHeight="1" s="297">
      <c r="B85" s="310" t="n">
        <v>45653</v>
      </c>
      <c r="C85" s="311" t="n">
        <v>33</v>
      </c>
      <c r="D85" s="322" t="inlineStr">
        <is>
          <t>KUPA | Pembelian Mesin Retort Horizontal 500 Lt Automatic Control</t>
        </is>
      </c>
      <c r="E85" s="322" t="inlineStr">
        <is>
          <t>BCA</t>
        </is>
      </c>
      <c r="F85" s="335" t="n">
        <v>141500000</v>
      </c>
      <c r="G85" s="323" t="inlineStr">
        <is>
          <t>IDR</t>
        </is>
      </c>
      <c r="H85" s="320" t="n">
        <v>1</v>
      </c>
      <c r="I85" s="316" t="n"/>
      <c r="J85" s="325" t="n">
        <v>141500000</v>
      </c>
      <c r="K85" s="324" t="n"/>
      <c r="L85" s="317" t="n"/>
      <c r="M85" s="318" t="n"/>
      <c r="N85" s="318" t="n"/>
      <c r="O85" s="318" t="n"/>
      <c r="P85" s="318" t="n"/>
      <c r="Q85" s="318" t="n"/>
    </row>
    <row r="86" ht="15.5" customHeight="1" s="297">
      <c r="B86" s="310" t="n"/>
      <c r="C86" s="311" t="n"/>
      <c r="D86" s="326" t="inlineStr">
        <is>
          <t>Project Operation</t>
        </is>
      </c>
      <c r="E86" s="322" t="n"/>
      <c r="F86" s="339" t="n"/>
      <c r="G86" s="323" t="n"/>
      <c r="H86" s="315" t="n"/>
      <c r="I86" s="317" t="n"/>
      <c r="J86" s="318" t="n"/>
      <c r="K86" s="324" t="n"/>
      <c r="L86" s="318" t="n"/>
      <c r="M86" s="318" t="n"/>
      <c r="N86" s="318" t="n"/>
      <c r="O86" s="318" t="n"/>
      <c r="P86" s="318" t="n"/>
      <c r="Q86" s="318" t="n"/>
    </row>
    <row r="87" ht="15.5" customHeight="1" s="297">
      <c r="A87" s="66" t="n"/>
      <c r="B87" s="310" t="n">
        <v>45422</v>
      </c>
      <c r="C87" s="311" t="n">
        <v>34</v>
      </c>
      <c r="D87" s="322" t="inlineStr">
        <is>
          <t>Aro Energy | Moving slickline dari Duri (Toni Supriadi) ke Sungai lilin</t>
        </is>
      </c>
      <c r="E87" s="322" t="inlineStr">
        <is>
          <t>BCA</t>
        </is>
      </c>
      <c r="F87" s="335" t="n">
        <v>18000000</v>
      </c>
      <c r="G87" s="315" t="inlineStr">
        <is>
          <t>IDR</t>
        </is>
      </c>
      <c r="H87" s="320" t="n">
        <v>1</v>
      </c>
      <c r="I87" s="321" t="n">
        <v>18000000</v>
      </c>
      <c r="J87" s="316" t="n"/>
      <c r="K87" s="318" t="n"/>
      <c r="L87" s="318" t="n"/>
      <c r="M87" s="318" t="n"/>
      <c r="N87" s="318" t="n"/>
      <c r="O87" s="318" t="n"/>
      <c r="P87" s="318" t="n"/>
      <c r="Q87" s="317" t="n"/>
    </row>
    <row r="88" ht="15.5" customHeight="1" s="297">
      <c r="B88" s="310" t="n">
        <v>45581</v>
      </c>
      <c r="C88" s="311" t="n">
        <v>35</v>
      </c>
      <c r="D88" s="322" t="inlineStr">
        <is>
          <t>PT Laka Indonesia | Project Lampu Taman Istana Negara Jakarta</t>
        </is>
      </c>
      <c r="E88" s="322" t="inlineStr">
        <is>
          <t>BRI</t>
        </is>
      </c>
      <c r="F88" s="335" t="n">
        <v>100000000</v>
      </c>
      <c r="G88" s="315" t="inlineStr">
        <is>
          <t>IDR</t>
        </is>
      </c>
      <c r="H88" s="320" t="n">
        <v>1</v>
      </c>
      <c r="I88" s="321" t="n">
        <v>100000000</v>
      </c>
      <c r="J88" s="318" t="n"/>
      <c r="K88" s="324" t="n"/>
      <c r="L88" s="318" t="n"/>
      <c r="M88" s="318" t="n"/>
      <c r="N88" s="318" t="n"/>
      <c r="O88" s="318" t="n"/>
      <c r="P88" s="318" t="n"/>
      <c r="Q88" s="318" t="n"/>
    </row>
    <row r="89" ht="15.5" customHeight="1" s="297">
      <c r="B89" s="310" t="n"/>
      <c r="C89" s="311" t="n"/>
      <c r="D89" s="326" t="inlineStr">
        <is>
          <t>Rental Tool</t>
        </is>
      </c>
      <c r="E89" s="322" t="n"/>
      <c r="F89" s="339" t="n"/>
      <c r="G89" s="315" t="n"/>
      <c r="H89" s="315" t="n"/>
      <c r="I89" s="316" t="n"/>
      <c r="J89" s="318" t="n"/>
      <c r="K89" s="324" t="n"/>
      <c r="L89" s="318" t="n"/>
      <c r="M89" s="318" t="n"/>
      <c r="N89" s="317" t="n"/>
      <c r="O89" s="318" t="n"/>
      <c r="P89" s="318" t="n"/>
      <c r="Q89" s="318" t="n"/>
    </row>
    <row r="90" ht="15.5" customHeight="1" s="297">
      <c r="A90" s="66" t="n"/>
      <c r="B90" s="310" t="n">
        <v>45302</v>
      </c>
      <c r="C90" s="311" t="n">
        <v>36</v>
      </c>
      <c r="D90" s="322" t="inlineStr">
        <is>
          <t>ALFA Service PDP-075 Pertamina Zona#4 - Rental Tool</t>
        </is>
      </c>
      <c r="E90" s="322" t="inlineStr">
        <is>
          <t>BCA</t>
        </is>
      </c>
      <c r="F90" s="335" t="n">
        <v>29640916</v>
      </c>
      <c r="G90" s="315" t="inlineStr">
        <is>
          <t>IDR</t>
        </is>
      </c>
      <c r="H90" s="320" t="n">
        <v>1</v>
      </c>
      <c r="I90" s="316" t="n"/>
      <c r="J90" s="317" t="n"/>
      <c r="K90" s="325" t="n">
        <v>29640916</v>
      </c>
      <c r="L90" s="318" t="n"/>
      <c r="M90" s="318" t="n"/>
      <c r="N90" s="318" t="n"/>
      <c r="O90" s="318" t="n"/>
      <c r="P90" s="318" t="n"/>
      <c r="Q90" s="318" t="n"/>
    </row>
    <row r="91" ht="15.5" customHeight="1" s="297">
      <c r="B91" s="310" t="n">
        <v>45302</v>
      </c>
      <c r="C91" s="311" t="n">
        <v>37</v>
      </c>
      <c r="D91" s="322" t="inlineStr">
        <is>
          <t>ALFA Service PDS-01ST Pertamina Zona#4 - Rental Tool</t>
        </is>
      </c>
      <c r="E91" s="322" t="inlineStr">
        <is>
          <t>BCA</t>
        </is>
      </c>
      <c r="F91" s="335" t="n">
        <v>29640916</v>
      </c>
      <c r="G91" s="315" t="inlineStr">
        <is>
          <t>IDR</t>
        </is>
      </c>
      <c r="H91" s="320" t="n">
        <v>1</v>
      </c>
      <c r="I91" s="316" t="n"/>
      <c r="J91" s="316" t="n"/>
      <c r="K91" s="325" t="n">
        <v>29640916</v>
      </c>
      <c r="L91" s="318" t="n"/>
      <c r="M91" s="318" t="n"/>
      <c r="N91" s="318" t="n"/>
      <c r="O91" s="338" t="n"/>
      <c r="P91" s="318" t="n"/>
      <c r="Q91" s="318" t="n"/>
    </row>
    <row r="92" ht="15.5" customHeight="1" s="297">
      <c r="B92" s="310" t="n">
        <v>45302</v>
      </c>
      <c r="C92" s="311" t="n">
        <v>38</v>
      </c>
      <c r="D92" s="322" t="inlineStr">
        <is>
          <t>ALFA Service JRK-254 Pertamina Zona#4 - Rental Tool</t>
        </is>
      </c>
      <c r="E92" s="322" t="inlineStr">
        <is>
          <t>BCA</t>
        </is>
      </c>
      <c r="F92" s="335" t="n">
        <v>29640916</v>
      </c>
      <c r="G92" s="315" t="inlineStr">
        <is>
          <t>IDR</t>
        </is>
      </c>
      <c r="H92" s="320" t="n">
        <v>1</v>
      </c>
      <c r="I92" s="317" t="n"/>
      <c r="J92" s="316" t="n"/>
      <c r="K92" s="325" t="n">
        <v>29640916</v>
      </c>
      <c r="L92" s="318" t="n"/>
      <c r="M92" s="318" t="n"/>
      <c r="N92" s="318" t="n"/>
      <c r="O92" s="318" t="n"/>
      <c r="P92" s="318" t="n"/>
      <c r="Q92" s="318" t="n"/>
    </row>
    <row r="93" ht="15.5" customHeight="1" s="297">
      <c r="B93" s="310" t="n">
        <v>45446</v>
      </c>
      <c r="C93" s="311" t="n">
        <v>39</v>
      </c>
      <c r="D93" s="322" t="inlineStr">
        <is>
          <t>ALFA Service TLJ-58 Pertamina Zona#4 - Rental Tool</t>
        </is>
      </c>
      <c r="E93" s="322" t="inlineStr">
        <is>
          <t>BCA</t>
        </is>
      </c>
      <c r="F93" s="335" t="n">
        <v>29640916</v>
      </c>
      <c r="G93" s="315" t="inlineStr">
        <is>
          <t>IDR</t>
        </is>
      </c>
      <c r="H93" s="320" t="n">
        <v>1</v>
      </c>
      <c r="I93" s="316" t="n"/>
      <c r="J93" s="316" t="n"/>
      <c r="K93" s="325" t="n">
        <v>29640916</v>
      </c>
      <c r="L93" s="318" t="n"/>
      <c r="M93" s="318" t="n"/>
      <c r="N93" s="318" t="n"/>
      <c r="O93" s="318" t="n"/>
      <c r="P93" s="318" t="n"/>
      <c r="Q93" s="318" t="n"/>
    </row>
    <row r="94" ht="15.5" customHeight="1" s="297">
      <c r="A94" s="66" t="n"/>
      <c r="B94" s="310" t="n">
        <v>45447</v>
      </c>
      <c r="C94" s="311" t="n">
        <v>40</v>
      </c>
      <c r="D94" s="322" t="inlineStr">
        <is>
          <t>ALFA Service JRK-193 Pertamina Zona#4 - Rental Tool</t>
        </is>
      </c>
      <c r="E94" s="322" t="inlineStr">
        <is>
          <t>BCA</t>
        </is>
      </c>
      <c r="F94" s="335" t="n">
        <v>29640916</v>
      </c>
      <c r="G94" s="315" t="inlineStr">
        <is>
          <t>IDR</t>
        </is>
      </c>
      <c r="H94" s="320" t="n">
        <v>1</v>
      </c>
      <c r="I94" s="316" t="n"/>
      <c r="J94" s="317" t="n"/>
      <c r="K94" s="325" t="n">
        <v>29640916</v>
      </c>
      <c r="L94" s="318" t="n"/>
      <c r="M94" s="318" t="n"/>
      <c r="N94" s="318" t="n"/>
      <c r="O94" s="318" t="n"/>
      <c r="P94" s="318" t="n"/>
      <c r="Q94" s="318" t="n"/>
    </row>
    <row r="95" ht="15.5" customHeight="1" s="297">
      <c r="B95" s="310" t="n">
        <v>45537</v>
      </c>
      <c r="C95" s="311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2" t="n">
        <v>29640916</v>
      </c>
      <c r="G95" s="343" t="inlineStr">
        <is>
          <t>IDR</t>
        </is>
      </c>
      <c r="H95" s="344" t="n">
        <v>1</v>
      </c>
      <c r="I95" s="345" t="n"/>
      <c r="J95" s="345" t="n"/>
      <c r="K95" s="346" t="n">
        <v>29640916</v>
      </c>
      <c r="L95" s="345" t="n"/>
      <c r="M95" s="318" t="n"/>
      <c r="N95" s="318" t="n"/>
      <c r="O95" s="318" t="n"/>
      <c r="P95" s="318" t="n"/>
      <c r="Q95" s="318" t="n"/>
    </row>
    <row r="96" ht="15.5" customHeight="1" s="297">
      <c r="B96" s="310" t="n">
        <v>45569</v>
      </c>
      <c r="C96" s="323" t="n">
        <v>42</v>
      </c>
      <c r="D96" s="322" t="inlineStr">
        <is>
          <t>PLT Service TGB-033 Pertamina Cirebon - Rental Tool</t>
        </is>
      </c>
      <c r="E96" s="322" t="inlineStr">
        <is>
          <t>BCA</t>
        </is>
      </c>
      <c r="F96" s="335" t="n">
        <v>16165271</v>
      </c>
      <c r="G96" s="315" t="inlineStr">
        <is>
          <t>IDR</t>
        </is>
      </c>
      <c r="H96" s="320" t="n">
        <v>1</v>
      </c>
      <c r="I96" s="316" t="n"/>
      <c r="J96" s="318" t="n"/>
      <c r="K96" s="321" t="n">
        <v>16165271</v>
      </c>
      <c r="L96" s="318" t="n"/>
      <c r="M96" s="317" t="n"/>
      <c r="N96" s="318" t="n"/>
      <c r="O96" s="318" t="n"/>
      <c r="P96" s="318" t="n"/>
      <c r="Q96" s="318" t="n"/>
    </row>
    <row r="97" ht="15.5" customHeight="1" s="297">
      <c r="B97" s="347" t="n">
        <v>45569</v>
      </c>
      <c r="C97" s="318" t="n">
        <v>43</v>
      </c>
      <c r="D97" s="318" t="inlineStr">
        <is>
          <t>ALFA Service TGB-033 Pertamina Cirebon - Rental Tool</t>
        </is>
      </c>
      <c r="E97" s="318" t="inlineStr">
        <is>
          <t>BCA</t>
        </is>
      </c>
      <c r="F97" s="340" t="n">
        <v>25967616</v>
      </c>
      <c r="G97" s="323" t="inlineStr">
        <is>
          <t>IDR</t>
        </is>
      </c>
      <c r="H97" s="348" t="n">
        <v>1</v>
      </c>
      <c r="I97" s="317" t="n"/>
      <c r="J97" s="317" t="n"/>
      <c r="K97" s="325" t="n">
        <v>25967616</v>
      </c>
      <c r="L97" s="317" t="n"/>
      <c r="M97" s="317" t="n"/>
      <c r="N97" s="317" t="n"/>
      <c r="O97" s="317" t="n"/>
      <c r="P97" s="317" t="n"/>
      <c r="Q97" s="317" t="n"/>
    </row>
    <row r="98" ht="15.5" customHeight="1" s="297">
      <c r="A98" s="349" t="n"/>
      <c r="B98" s="310" t="n">
        <v>45569</v>
      </c>
      <c r="C98" s="323" t="n">
        <v>44</v>
      </c>
      <c r="D98" s="322" t="inlineStr">
        <is>
          <t>MFC Service TGB-033 Pertamina Cirebon - Rental Tool</t>
        </is>
      </c>
      <c r="E98" s="322" t="inlineStr">
        <is>
          <t>BCA</t>
        </is>
      </c>
      <c r="F98" s="335" t="n">
        <v>32101247</v>
      </c>
      <c r="G98" s="315" t="inlineStr">
        <is>
          <t>IDR</t>
        </is>
      </c>
      <c r="H98" s="320" t="n">
        <v>1</v>
      </c>
      <c r="I98" s="316" t="n"/>
      <c r="J98" s="318" t="n"/>
      <c r="K98" s="321" t="n">
        <v>32101247</v>
      </c>
      <c r="L98" s="318" t="n"/>
      <c r="M98" s="317" t="n"/>
      <c r="N98" s="318" t="n"/>
      <c r="O98" s="318" t="n"/>
      <c r="P98" s="318" t="n"/>
      <c r="Q98" s="318" t="n"/>
    </row>
    <row r="99" ht="15.5" customHeight="1" s="297">
      <c r="A99" s="349" t="n"/>
      <c r="B99" s="310" t="n">
        <v>45572</v>
      </c>
      <c r="C99" s="323" t="n">
        <v>45</v>
      </c>
      <c r="D99" s="322" t="inlineStr">
        <is>
          <t>ALFA Service JRK-095 Pertamina Zona#4 - Rental Tool</t>
        </is>
      </c>
      <c r="E99" s="322" t="inlineStr">
        <is>
          <t>BCA</t>
        </is>
      </c>
      <c r="F99" s="335" t="n">
        <v>29640916</v>
      </c>
      <c r="G99" s="315" t="inlineStr">
        <is>
          <t>IDR</t>
        </is>
      </c>
      <c r="H99" s="320" t="n">
        <v>1</v>
      </c>
      <c r="I99" s="316" t="n"/>
      <c r="J99" s="318" t="n"/>
      <c r="K99" s="321" t="n">
        <v>29640916</v>
      </c>
      <c r="L99" s="318" t="n"/>
      <c r="M99" s="317" t="n"/>
      <c r="N99" s="318" t="n"/>
      <c r="O99" s="318" t="n"/>
      <c r="P99" s="318" t="n"/>
      <c r="Q99" s="318" t="n"/>
    </row>
    <row r="100" ht="15.5" customHeight="1" s="297">
      <c r="A100" s="349" t="n"/>
      <c r="B100" s="310" t="n">
        <v>45576</v>
      </c>
      <c r="C100" s="323" t="n">
        <v>46</v>
      </c>
      <c r="D100" s="322" t="inlineStr">
        <is>
          <t>MPLT/GR-CCL/ALFA TIS - Rental Tool</t>
        </is>
      </c>
      <c r="E100" s="322" t="inlineStr">
        <is>
          <t>BCA</t>
        </is>
      </c>
      <c r="F100" s="335" t="n">
        <v>74291457</v>
      </c>
      <c r="G100" s="315" t="inlineStr">
        <is>
          <t>IDR</t>
        </is>
      </c>
      <c r="H100" s="320" t="n">
        <v>1</v>
      </c>
      <c r="I100" s="316" t="n"/>
      <c r="J100" s="318" t="n"/>
      <c r="K100" s="321" t="n">
        <v>74291457</v>
      </c>
      <c r="L100" s="318" t="n"/>
      <c r="M100" s="317" t="n"/>
      <c r="N100" s="318" t="n"/>
      <c r="O100" s="318" t="n"/>
      <c r="P100" s="318" t="n"/>
      <c r="Q100" s="318" t="n"/>
    </row>
    <row r="101" ht="15.5" customHeight="1" s="297">
      <c r="A101" s="349" t="n"/>
      <c r="B101" s="310" t="n"/>
      <c r="C101" s="323" t="n"/>
      <c r="D101" s="326" t="inlineStr">
        <is>
          <t>Sales</t>
        </is>
      </c>
      <c r="E101" s="322" t="n"/>
      <c r="F101" s="336" t="n"/>
      <c r="G101" s="315" t="n"/>
      <c r="H101" s="315" t="n"/>
      <c r="I101" s="316" t="n"/>
      <c r="J101" s="318" t="n"/>
      <c r="K101" s="316" t="n"/>
      <c r="L101" s="318" t="n"/>
      <c r="M101" s="317" t="n"/>
      <c r="N101" s="318" t="n"/>
      <c r="O101" s="318" t="n"/>
      <c r="P101" s="318" t="n"/>
      <c r="Q101" s="318" t="n"/>
    </row>
    <row r="102" ht="15.5" customHeight="1" s="297">
      <c r="A102" s="349" t="n"/>
      <c r="B102" s="310" t="n">
        <v>45304</v>
      </c>
      <c r="C102" s="323" t="n">
        <v>47</v>
      </c>
      <c r="D102" s="322" t="inlineStr">
        <is>
          <t>Sales cost 4 Well Integrity Pertamina Z.4</t>
        </is>
      </c>
      <c r="E102" s="322" t="inlineStr">
        <is>
          <t>BRI</t>
        </is>
      </c>
      <c r="F102" s="335" t="n">
        <v>77672400</v>
      </c>
      <c r="G102" s="315" t="inlineStr">
        <is>
          <t>IDR</t>
        </is>
      </c>
      <c r="H102" s="320" t="n">
        <v>1</v>
      </c>
      <c r="I102" s="321" t="n">
        <v>77672400</v>
      </c>
      <c r="J102" s="318" t="n"/>
      <c r="K102" s="316" t="n"/>
      <c r="L102" s="318" t="n"/>
      <c r="M102" s="317" t="n"/>
      <c r="N102" s="318" t="n"/>
      <c r="O102" s="318" t="n"/>
      <c r="P102" s="318" t="n"/>
      <c r="Q102" s="318" t="n"/>
    </row>
    <row r="103" ht="15.5" customHeight="1" s="297">
      <c r="A103" s="349" t="n"/>
      <c r="B103" s="310" t="n">
        <v>45601</v>
      </c>
      <c r="C103" s="323" t="n">
        <v>48</v>
      </c>
      <c r="D103" s="322" t="inlineStr">
        <is>
          <t>Sales fee 2 Well Integrity Pertamina Z.4</t>
        </is>
      </c>
      <c r="E103" s="322" t="inlineStr">
        <is>
          <t>BRI</t>
        </is>
      </c>
      <c r="F103" s="335" t="n">
        <v>38838700</v>
      </c>
      <c r="G103" s="315" t="inlineStr">
        <is>
          <t>IDR</t>
        </is>
      </c>
      <c r="H103" s="320" t="n">
        <v>1</v>
      </c>
      <c r="I103" s="321" t="n">
        <v>38838700</v>
      </c>
      <c r="J103" s="318" t="n"/>
      <c r="K103" s="316" t="n"/>
      <c r="L103" s="318" t="n"/>
      <c r="M103" s="317" t="n"/>
      <c r="N103" s="318" t="n"/>
      <c r="O103" s="318" t="n"/>
      <c r="P103" s="318" t="n"/>
      <c r="Q103" s="318" t="n"/>
    </row>
    <row r="104" ht="15.5" customHeight="1" s="297">
      <c r="A104" s="349" t="n"/>
      <c r="B104" s="310" t="n"/>
      <c r="C104" s="323" t="n"/>
      <c r="D104" s="326" t="inlineStr">
        <is>
          <t>Sewa Ruangan</t>
        </is>
      </c>
      <c r="E104" s="322" t="n"/>
      <c r="F104" s="336" t="n"/>
      <c r="G104" s="315" t="n"/>
      <c r="H104" s="315" t="n"/>
      <c r="I104" s="316" t="n"/>
      <c r="J104" s="318" t="n"/>
      <c r="K104" s="316" t="n"/>
      <c r="L104" s="318" t="n"/>
      <c r="M104" s="317" t="n"/>
      <c r="N104" s="318" t="n"/>
      <c r="O104" s="318" t="n"/>
      <c r="P104" s="318" t="n"/>
      <c r="Q104" s="318" t="n"/>
    </row>
    <row r="105" ht="15.5" customHeight="1" s="297">
      <c r="A105" s="349" t="n"/>
      <c r="B105" s="310" t="n">
        <v>45519</v>
      </c>
      <c r="C105" s="323" t="n">
        <v>49</v>
      </c>
      <c r="D105" s="322" t="inlineStr">
        <is>
          <t>MUTRI | Sewa ruangan kantor BBC 2 bulan</t>
        </is>
      </c>
      <c r="E105" s="322" t="inlineStr">
        <is>
          <t>BCA</t>
        </is>
      </c>
      <c r="F105" s="335" t="n">
        <v>11270000</v>
      </c>
      <c r="G105" s="315" t="inlineStr">
        <is>
          <t>IDR</t>
        </is>
      </c>
      <c r="H105" s="320" t="n">
        <v>1</v>
      </c>
      <c r="I105" s="316" t="n"/>
      <c r="J105" s="318" t="n"/>
      <c r="K105" s="316" t="n"/>
      <c r="L105" s="318" t="n"/>
      <c r="M105" s="317" t="n"/>
      <c r="N105" s="318" t="n"/>
      <c r="O105" s="318" t="n"/>
      <c r="P105" s="318" t="n"/>
      <c r="Q105" s="325" t="n">
        <v>11270000</v>
      </c>
    </row>
    <row r="106" ht="15.5" customHeight="1" s="297">
      <c r="A106" s="349" t="n"/>
      <c r="B106" s="310" t="n">
        <v>45632</v>
      </c>
      <c r="C106" s="323" t="n">
        <v>50</v>
      </c>
      <c r="D106" s="322" t="inlineStr">
        <is>
          <t>Sewa Virtual Office 1th, 1jan25 - 31des25_BBC_ Ganesha Dwipaya B</t>
        </is>
      </c>
      <c r="E106" s="322" t="inlineStr">
        <is>
          <t>BCA</t>
        </is>
      </c>
      <c r="F106" s="335" t="n">
        <v>4995000</v>
      </c>
      <c r="G106" s="315" t="inlineStr">
        <is>
          <t>IDR</t>
        </is>
      </c>
      <c r="H106" s="320" t="n">
        <v>1</v>
      </c>
      <c r="I106" s="316" t="n"/>
      <c r="J106" s="318" t="n"/>
      <c r="K106" s="316" t="n"/>
      <c r="L106" s="318" t="n"/>
      <c r="M106" s="317" t="n"/>
      <c r="N106" s="318" t="n"/>
      <c r="O106" s="325" t="n">
        <v>4995000</v>
      </c>
      <c r="P106" s="318" t="n"/>
      <c r="Q106" s="318" t="n"/>
    </row>
    <row r="107" ht="15.5" customHeight="1" s="297">
      <c r="A107" s="349" t="n"/>
      <c r="B107" s="310" t="n"/>
      <c r="C107" s="323" t="n"/>
      <c r="D107" s="326" t="inlineStr">
        <is>
          <t>Sparepart</t>
        </is>
      </c>
      <c r="E107" s="322" t="n"/>
      <c r="F107" s="336" t="n"/>
      <c r="G107" s="315" t="n"/>
      <c r="H107" s="315" t="n"/>
      <c r="I107" s="316" t="n"/>
      <c r="J107" s="318" t="n"/>
      <c r="K107" s="316" t="n"/>
      <c r="L107" s="318" t="n"/>
      <c r="M107" s="317" t="n"/>
      <c r="N107" s="318" t="n"/>
      <c r="O107" s="318" t="n"/>
      <c r="P107" s="318" t="n"/>
      <c r="Q107" s="318" t="n"/>
    </row>
    <row r="108" ht="15.5" customHeight="1" s="297">
      <c r="A108" s="349" t="n"/>
      <c r="B108" s="310" t="n">
        <v>45473</v>
      </c>
      <c r="C108" s="323" t="n">
        <v>51</v>
      </c>
      <c r="D108" s="322" t="inlineStr">
        <is>
          <t>Downhole Sampling tool #1-1 GARINDO SARANA BARU</t>
        </is>
      </c>
      <c r="E108" s="322" t="inlineStr">
        <is>
          <t>BCA</t>
        </is>
      </c>
      <c r="F108" s="335" t="n">
        <v>39800000</v>
      </c>
      <c r="G108" s="315" t="inlineStr">
        <is>
          <t>IDR</t>
        </is>
      </c>
      <c r="H108" s="320" t="n">
        <v>1</v>
      </c>
      <c r="I108" s="316" t="n"/>
      <c r="J108" s="318" t="n"/>
      <c r="K108" s="316" t="n"/>
      <c r="L108" s="318" t="n"/>
      <c r="M108" s="317" t="n"/>
      <c r="N108" s="325" t="n">
        <v>39800000</v>
      </c>
      <c r="O108" s="318" t="n"/>
      <c r="P108" s="318" t="n"/>
      <c r="Q108" s="318" t="n"/>
    </row>
    <row r="109" ht="15.5" customHeight="1" s="297">
      <c r="A109" s="349" t="n"/>
      <c r="B109" s="310" t="n">
        <v>45519</v>
      </c>
      <c r="C109" s="323" t="n">
        <v>52</v>
      </c>
      <c r="D109" s="322" t="inlineStr">
        <is>
          <t>Downhole Sampling tool #1-2 GARINDO SARANA BARU</t>
        </is>
      </c>
      <c r="E109" s="322" t="inlineStr">
        <is>
          <t>BCA</t>
        </is>
      </c>
      <c r="F109" s="335" t="n">
        <v>53835000</v>
      </c>
      <c r="G109" s="315" t="inlineStr">
        <is>
          <t>IDR</t>
        </is>
      </c>
      <c r="H109" s="320" t="n">
        <v>1</v>
      </c>
      <c r="I109" s="316" t="n"/>
      <c r="J109" s="318" t="n"/>
      <c r="K109" s="316" t="n"/>
      <c r="L109" s="318" t="n"/>
      <c r="M109" s="317" t="n"/>
      <c r="N109" s="325" t="n">
        <v>53835000</v>
      </c>
      <c r="O109" s="318" t="n"/>
      <c r="P109" s="318" t="n"/>
      <c r="Q109" s="318" t="n"/>
    </row>
    <row r="110" ht="15.5" customHeight="1" s="297">
      <c r="A110" s="349" t="n"/>
      <c r="B110" s="310" t="n">
        <v>45556</v>
      </c>
      <c r="C110" s="323" t="n">
        <v>53</v>
      </c>
      <c r="D110" s="322" t="inlineStr">
        <is>
          <t>Downhole Sampling tool #2 GARINDO SARANA BARU</t>
        </is>
      </c>
      <c r="E110" s="322" t="inlineStr">
        <is>
          <t>BCA</t>
        </is>
      </c>
      <c r="F110" s="335" t="n">
        <v>34299000</v>
      </c>
      <c r="G110" s="315" t="inlineStr">
        <is>
          <t>IDR</t>
        </is>
      </c>
      <c r="H110" s="320" t="n">
        <v>1</v>
      </c>
      <c r="I110" s="316" t="n"/>
      <c r="J110" s="318" t="n"/>
      <c r="K110" s="316" t="n"/>
      <c r="L110" s="318" t="n"/>
      <c r="M110" s="317" t="n"/>
      <c r="N110" s="325" t="n">
        <v>34299000</v>
      </c>
      <c r="O110" s="318" t="n"/>
      <c r="P110" s="318" t="n"/>
      <c r="Q110" s="318" t="n"/>
    </row>
    <row r="111" ht="15.5" customHeight="1" s="297">
      <c r="A111" s="349" t="n"/>
      <c r="B111" s="310" t="n">
        <v>45630</v>
      </c>
      <c r="C111" s="323" t="n">
        <v>54</v>
      </c>
      <c r="D111" s="322" t="inlineStr">
        <is>
          <t>Payment ke UPS Biaya Import pembelian sparepart dari Pei-Genesis</t>
        </is>
      </c>
      <c r="E111" s="322" t="inlineStr">
        <is>
          <t>BRI</t>
        </is>
      </c>
      <c r="F111" s="335" t="n">
        <v>777246</v>
      </c>
      <c r="G111" s="315" t="inlineStr">
        <is>
          <t>IDR</t>
        </is>
      </c>
      <c r="H111" s="320" t="n">
        <v>1</v>
      </c>
      <c r="I111" s="316" t="n"/>
      <c r="J111" s="318" t="n"/>
      <c r="K111" s="316" t="n"/>
      <c r="L111" s="318" t="n"/>
      <c r="M111" s="317" t="n"/>
      <c r="N111" s="325" t="n">
        <v>777246</v>
      </c>
      <c r="O111" s="318" t="n"/>
      <c r="P111" s="318" t="n"/>
      <c r="Q111" s="318" t="n"/>
    </row>
    <row r="112" ht="15.5" customHeight="1" s="297">
      <c r="A112" s="349" t="n"/>
      <c r="B112" s="310" t="n"/>
      <c r="C112" s="323" t="n"/>
      <c r="D112" s="326" t="inlineStr">
        <is>
          <t>Team Building</t>
        </is>
      </c>
      <c r="E112" s="322" t="n"/>
      <c r="F112" s="336" t="n"/>
      <c r="G112" s="315" t="n"/>
      <c r="H112" s="315" t="n"/>
      <c r="I112" s="316" t="n"/>
      <c r="J112" s="318" t="n"/>
      <c r="K112" s="316" t="n"/>
      <c r="L112" s="318" t="n"/>
      <c r="M112" s="317" t="n"/>
      <c r="N112" s="318" t="n"/>
      <c r="O112" s="318" t="n"/>
      <c r="P112" s="318" t="n"/>
      <c r="Q112" s="318" t="n"/>
    </row>
    <row r="113" ht="15.5" customHeight="1" s="297">
      <c r="A113" s="349" t="n"/>
      <c r="B113" s="310" t="n">
        <v>45644</v>
      </c>
      <c r="C113" s="323" t="n">
        <v>55</v>
      </c>
      <c r="D113" s="322" t="inlineStr">
        <is>
          <t>Team building EWI dengan team Well Intervention PEP Reg. 2</t>
        </is>
      </c>
      <c r="E113" s="322" t="inlineStr">
        <is>
          <t>BCA</t>
        </is>
      </c>
      <c r="F113" s="335" t="n">
        <v>39201350</v>
      </c>
      <c r="G113" s="315" t="inlineStr">
        <is>
          <t>IDR</t>
        </is>
      </c>
      <c r="H113" s="320" t="n">
        <v>1</v>
      </c>
      <c r="I113" s="321" t="n">
        <v>39201350</v>
      </c>
      <c r="J113" s="318" t="n"/>
      <c r="K113" s="316" t="n"/>
      <c r="L113" s="318" t="n"/>
      <c r="M113" s="317" t="n"/>
      <c r="N113" s="318" t="n"/>
      <c r="O113" s="318" t="n"/>
      <c r="P113" s="318" t="n"/>
      <c r="Q113" s="318" t="n"/>
    </row>
    <row r="114" ht="15.5" customHeight="1" s="297">
      <c r="A114" s="349" t="n"/>
      <c r="B114" s="14" t="n"/>
      <c r="C114" s="64" t="n"/>
      <c r="D114" s="350" t="inlineStr">
        <is>
          <t>OPERATION COST AND OFFICE - Expenses Report</t>
        </is>
      </c>
      <c r="E114" s="63" t="n"/>
      <c r="F114" s="351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2" t="inlineStr">
        <is>
          <t>Expense#1</t>
        </is>
      </c>
      <c r="C115" s="85" t="inlineStr">
        <is>
          <t>:</t>
        </is>
      </c>
      <c r="D115" s="353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4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4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55" t="n">
        <v>1608000</v>
      </c>
      <c r="G118" s="91" t="inlineStr">
        <is>
          <t>IDR</t>
        </is>
      </c>
      <c r="H118" s="356" t="n">
        <v>1</v>
      </c>
      <c r="I118" s="357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55" t="n">
        <v>1119500</v>
      </c>
      <c r="G119" s="91" t="inlineStr">
        <is>
          <t>IDR</t>
        </is>
      </c>
      <c r="H119" s="356" t="n">
        <v>1</v>
      </c>
      <c r="I119" s="357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4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55" t="n">
        <v>250000</v>
      </c>
      <c r="G121" s="91" t="inlineStr">
        <is>
          <t>IDR</t>
        </is>
      </c>
      <c r="H121" s="356" t="n">
        <v>1</v>
      </c>
      <c r="I121" s="357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55" t="n">
        <v>900000</v>
      </c>
      <c r="G122" s="91" t="inlineStr">
        <is>
          <t>IDR</t>
        </is>
      </c>
      <c r="H122" s="356" t="n">
        <v>1</v>
      </c>
      <c r="I122" s="357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55" t="n">
        <v>18000000</v>
      </c>
      <c r="G123" s="91" t="inlineStr">
        <is>
          <t>IDR</t>
        </is>
      </c>
      <c r="H123" s="356" t="n">
        <v>1</v>
      </c>
      <c r="I123" s="357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55" t="n">
        <v>250000</v>
      </c>
      <c r="G124" s="91" t="inlineStr">
        <is>
          <t>IDR</t>
        </is>
      </c>
      <c r="H124" s="356" t="n">
        <v>1</v>
      </c>
      <c r="I124" s="357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58" t="n">
        <v>1498484</v>
      </c>
      <c r="G125" s="91" t="inlineStr">
        <is>
          <t>IDR</t>
        </is>
      </c>
      <c r="H125" s="356" t="n">
        <v>1</v>
      </c>
      <c r="I125" s="357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58" t="n">
        <v>378000</v>
      </c>
      <c r="G126" s="91" t="inlineStr">
        <is>
          <t>IDR</t>
        </is>
      </c>
      <c r="H126" s="356" t="n">
        <v>1</v>
      </c>
      <c r="I126" s="357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59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55" t="n">
        <v>200000</v>
      </c>
      <c r="G128" s="91" t="inlineStr">
        <is>
          <t>IDR</t>
        </is>
      </c>
      <c r="H128" s="356" t="n">
        <v>1</v>
      </c>
      <c r="I128" s="357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55" t="n">
        <v>3300000</v>
      </c>
      <c r="G129" s="91" t="inlineStr">
        <is>
          <t>IDR</t>
        </is>
      </c>
      <c r="H129" s="356" t="n">
        <v>1</v>
      </c>
      <c r="I129" s="357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55" t="n">
        <v>1350000</v>
      </c>
      <c r="G130" s="91" t="inlineStr">
        <is>
          <t>IDR</t>
        </is>
      </c>
      <c r="H130" s="356" t="n">
        <v>1</v>
      </c>
      <c r="I130" s="357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59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55" t="n">
        <v>1966300</v>
      </c>
      <c r="G132" s="91" t="inlineStr">
        <is>
          <t>IDR</t>
        </is>
      </c>
      <c r="H132" s="356" t="n">
        <v>1</v>
      </c>
      <c r="I132" s="357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55" t="n">
        <v>4050000</v>
      </c>
      <c r="G133" s="91" t="inlineStr">
        <is>
          <t>IDR</t>
        </is>
      </c>
      <c r="H133" s="356" t="n">
        <v>1</v>
      </c>
      <c r="I133" s="357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55" t="n">
        <v>42589800</v>
      </c>
      <c r="G134" s="91" t="inlineStr">
        <is>
          <t>USD</t>
        </is>
      </c>
      <c r="H134" s="356" t="n">
        <v>15774</v>
      </c>
      <c r="I134" s="357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55" t="n">
        <v>58500</v>
      </c>
      <c r="G135" s="91" t="inlineStr">
        <is>
          <t>IDR</t>
        </is>
      </c>
      <c r="H135" s="356" t="n">
        <v>1</v>
      </c>
      <c r="I135" s="61" t="n"/>
      <c r="J135" s="62" t="n"/>
      <c r="K135" s="44" t="n"/>
      <c r="L135" s="44" t="n"/>
      <c r="M135" s="44" t="n"/>
      <c r="N135" s="357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55" t="n">
        <v>82100</v>
      </c>
      <c r="G136" s="91" t="inlineStr">
        <is>
          <t>IDR</t>
        </is>
      </c>
      <c r="H136" s="356" t="n">
        <v>1</v>
      </c>
      <c r="I136" s="62" t="n"/>
      <c r="J136" s="62" t="n"/>
      <c r="K136" s="44" t="n"/>
      <c r="L136" s="44" t="n"/>
      <c r="M136" s="44" t="n"/>
      <c r="N136" s="357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55" t="n">
        <v>14000</v>
      </c>
      <c r="G137" s="91" t="inlineStr">
        <is>
          <t>IDR</t>
        </is>
      </c>
      <c r="H137" s="356" t="n">
        <v>1</v>
      </c>
      <c r="I137" s="44" t="n"/>
      <c r="J137" s="62" t="n"/>
      <c r="K137" s="44" t="n"/>
      <c r="L137" s="44" t="n"/>
      <c r="M137" s="61" t="n"/>
      <c r="N137" s="357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59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56" t="n">
        <v>1</v>
      </c>
      <c r="I139" s="62" t="n"/>
      <c r="J139" s="62" t="n"/>
      <c r="K139" s="44" t="n"/>
      <c r="L139" s="44" t="n"/>
      <c r="M139" s="44" t="n"/>
      <c r="N139" s="360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59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55" t="n">
        <v>19000</v>
      </c>
      <c r="G141" s="91" t="inlineStr">
        <is>
          <t>IDR</t>
        </is>
      </c>
      <c r="H141" s="356" t="n">
        <v>1</v>
      </c>
      <c r="I141" s="61" t="n"/>
      <c r="J141" s="62" t="n"/>
      <c r="K141" s="44" t="n"/>
      <c r="L141" s="44" t="n"/>
      <c r="M141" s="62" t="n"/>
      <c r="N141" s="360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59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55" t="n">
        <v>87000</v>
      </c>
      <c r="G143" s="91" t="inlineStr">
        <is>
          <t>IDR</t>
        </is>
      </c>
      <c r="H143" s="356" t="n">
        <v>1</v>
      </c>
      <c r="I143" s="62" t="n"/>
      <c r="J143" s="62" t="n"/>
      <c r="K143" s="44" t="n"/>
      <c r="L143" s="44" t="n"/>
      <c r="M143" s="44" t="n"/>
      <c r="N143" s="360" t="n">
        <v>87000</v>
      </c>
      <c r="O143" s="44" t="n"/>
      <c r="P143" s="44" t="n"/>
      <c r="Q143" s="44" t="n"/>
    </row>
    <row r="144" ht="15.5" customHeight="1" s="297">
      <c r="B144" s="352" t="inlineStr">
        <is>
          <t>Expense#2</t>
        </is>
      </c>
      <c r="C144" s="85" t="inlineStr">
        <is>
          <t>:</t>
        </is>
      </c>
      <c r="D144" s="353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4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55" t="n">
        <v>1000106</v>
      </c>
      <c r="G146" s="91" t="inlineStr">
        <is>
          <t>IDR</t>
        </is>
      </c>
      <c r="H146" s="356" t="n">
        <v>1</v>
      </c>
      <c r="I146" s="357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4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55" t="n">
        <v>250000</v>
      </c>
      <c r="G148" s="91" t="inlineStr">
        <is>
          <t>IDR</t>
        </is>
      </c>
      <c r="H148" s="356" t="n">
        <v>1</v>
      </c>
      <c r="I148" s="357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55" t="n">
        <v>250000</v>
      </c>
      <c r="G149" s="91" t="inlineStr">
        <is>
          <t>IDR</t>
        </is>
      </c>
      <c r="H149" s="356" t="n">
        <v>1</v>
      </c>
      <c r="I149" s="357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58" t="n">
        <v>200000</v>
      </c>
      <c r="G150" s="91" t="inlineStr">
        <is>
          <t>IDR</t>
        </is>
      </c>
      <c r="H150" s="356" t="n">
        <v>1</v>
      </c>
      <c r="I150" s="357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58" t="n">
        <v>105000</v>
      </c>
      <c r="G151" s="91" t="inlineStr">
        <is>
          <t>IDR</t>
        </is>
      </c>
      <c r="H151" s="356" t="n">
        <v>1</v>
      </c>
      <c r="I151" s="357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59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55" t="n">
        <v>1500000</v>
      </c>
      <c r="G153" s="91" t="inlineStr">
        <is>
          <t>IDR</t>
        </is>
      </c>
      <c r="H153" s="356" t="n">
        <v>1</v>
      </c>
      <c r="I153" s="357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59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55" t="n">
        <v>4500000</v>
      </c>
      <c r="G155" s="91" t="inlineStr">
        <is>
          <t>IDR</t>
        </is>
      </c>
      <c r="H155" s="356" t="n">
        <v>1</v>
      </c>
      <c r="I155" s="357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55" t="n">
        <v>11705250</v>
      </c>
      <c r="G156" s="91" t="inlineStr">
        <is>
          <t>USD</t>
        </is>
      </c>
      <c r="H156" s="356" t="n">
        <v>15607</v>
      </c>
      <c r="I156" s="360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55" t="n">
        <v>499940</v>
      </c>
      <c r="G157" s="91" t="inlineStr">
        <is>
          <t>IDR</t>
        </is>
      </c>
      <c r="H157" s="356" t="n">
        <v>1</v>
      </c>
      <c r="I157" s="62" t="n"/>
      <c r="J157" s="62" t="n"/>
      <c r="K157" s="62" t="n"/>
      <c r="L157" s="62" t="n"/>
      <c r="M157" s="62" t="n"/>
      <c r="N157" s="360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59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55" t="n">
        <v>70000</v>
      </c>
      <c r="G159" s="91" t="inlineStr">
        <is>
          <t>IDR</t>
        </is>
      </c>
      <c r="H159" s="356" t="n">
        <v>1</v>
      </c>
      <c r="I159" s="61" t="n"/>
      <c r="J159" s="62" t="n"/>
      <c r="K159" s="44" t="n"/>
      <c r="L159" s="44" t="n"/>
      <c r="M159" s="44" t="n"/>
      <c r="N159" s="360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59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55" t="n">
        <v>540000</v>
      </c>
      <c r="G161" s="91" t="inlineStr">
        <is>
          <t>IDR</t>
        </is>
      </c>
      <c r="H161" s="356" t="n">
        <v>1</v>
      </c>
      <c r="I161" s="62" t="n"/>
      <c r="J161" s="62" t="n"/>
      <c r="K161" s="44" t="n"/>
      <c r="L161" s="44" t="n"/>
      <c r="M161" s="61" t="n"/>
      <c r="N161" s="360" t="n">
        <v>540000</v>
      </c>
      <c r="O161" s="44" t="n"/>
      <c r="P161" s="44" t="n"/>
      <c r="Q161" s="44" t="n"/>
    </row>
    <row r="162" ht="15.5" customHeight="1" s="297">
      <c r="B162" s="352" t="inlineStr">
        <is>
          <t>Expense#3</t>
        </is>
      </c>
      <c r="C162" s="85" t="inlineStr">
        <is>
          <t>:</t>
        </is>
      </c>
      <c r="D162" s="353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4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55" t="n">
        <v>250000</v>
      </c>
      <c r="G164" s="91" t="inlineStr">
        <is>
          <t>IDR</t>
        </is>
      </c>
      <c r="H164" s="356" t="n">
        <v>1</v>
      </c>
      <c r="I164" s="357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55" t="n">
        <v>250000</v>
      </c>
      <c r="G165" s="91" t="inlineStr">
        <is>
          <t>IDR</t>
        </is>
      </c>
      <c r="H165" s="356" t="n">
        <v>1</v>
      </c>
      <c r="I165" s="357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59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55" t="n">
        <v>300000</v>
      </c>
      <c r="G167" s="91" t="inlineStr">
        <is>
          <t>IDR</t>
        </is>
      </c>
      <c r="H167" s="356" t="n">
        <v>1</v>
      </c>
      <c r="I167" s="360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59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55" t="n">
        <v>900000</v>
      </c>
      <c r="G169" s="91" t="inlineStr">
        <is>
          <t>IDR</t>
        </is>
      </c>
      <c r="H169" s="356" t="n">
        <v>1</v>
      </c>
      <c r="I169" s="360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59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55" t="n">
        <v>9501000</v>
      </c>
      <c r="G171" s="91" t="inlineStr">
        <is>
          <t>USD</t>
        </is>
      </c>
      <c r="H171" s="356" t="n">
        <v>15835</v>
      </c>
      <c r="I171" s="360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2" t="inlineStr">
        <is>
          <t>Expense#4</t>
        </is>
      </c>
      <c r="C172" s="85" t="inlineStr">
        <is>
          <t>:</t>
        </is>
      </c>
      <c r="D172" s="353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58" t="n">
        <v>69009</v>
      </c>
      <c r="G173" s="15" t="inlineStr">
        <is>
          <t>IDR</t>
        </is>
      </c>
      <c r="H173" s="361" t="n">
        <v>1</v>
      </c>
      <c r="I173" s="62" t="n"/>
      <c r="J173" s="62" t="n"/>
      <c r="K173" s="44" t="n"/>
      <c r="L173" s="44" t="n"/>
      <c r="M173" s="61" t="n"/>
      <c r="N173" s="360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58" t="n">
        <v>145800</v>
      </c>
      <c r="G174" s="15" t="inlineStr">
        <is>
          <t>IDR</t>
        </is>
      </c>
      <c r="H174" s="361" t="n">
        <v>1</v>
      </c>
      <c r="I174" s="62" t="n"/>
      <c r="J174" s="62" t="n"/>
      <c r="K174" s="44" t="n"/>
      <c r="L174" s="44" t="n"/>
      <c r="M174" s="61" t="n"/>
      <c r="N174" s="360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58" t="n">
        <v>20891</v>
      </c>
      <c r="G175" s="15" t="inlineStr">
        <is>
          <t>IDR</t>
        </is>
      </c>
      <c r="H175" s="361" t="n">
        <v>1</v>
      </c>
      <c r="I175" s="62" t="n"/>
      <c r="J175" s="62" t="n"/>
      <c r="K175" s="44" t="n"/>
      <c r="L175" s="44" t="n"/>
      <c r="M175" s="61" t="n"/>
      <c r="N175" s="360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58" t="n">
        <v>3325760</v>
      </c>
      <c r="G176" s="15" t="inlineStr">
        <is>
          <t>IDR</t>
        </is>
      </c>
      <c r="H176" s="361" t="n">
        <v>1</v>
      </c>
      <c r="I176" s="62" t="n"/>
      <c r="J176" s="62" t="n"/>
      <c r="K176" s="44" t="n"/>
      <c r="L176" s="44" t="n"/>
      <c r="M176" s="61" t="n"/>
      <c r="N176" s="360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58" t="n">
        <v>4332000</v>
      </c>
      <c r="G177" s="15" t="inlineStr">
        <is>
          <t>IDR</t>
        </is>
      </c>
      <c r="H177" s="361" t="n">
        <v>1</v>
      </c>
      <c r="I177" s="62" t="n"/>
      <c r="J177" s="62" t="n"/>
      <c r="K177" s="44" t="n"/>
      <c r="L177" s="44" t="n"/>
      <c r="M177" s="44" t="n"/>
      <c r="N177" s="360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58" t="n">
        <v>455600</v>
      </c>
      <c r="G178" s="15" t="inlineStr">
        <is>
          <t>IDR</t>
        </is>
      </c>
      <c r="H178" s="361" t="n">
        <v>1</v>
      </c>
      <c r="I178" s="62" t="n"/>
      <c r="J178" s="62" t="n"/>
      <c r="K178" s="44" t="n"/>
      <c r="L178" s="44" t="n"/>
      <c r="M178" s="61" t="n"/>
      <c r="N178" s="360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58" t="n">
        <v>168732</v>
      </c>
      <c r="G179" s="15" t="inlineStr">
        <is>
          <t>IDR</t>
        </is>
      </c>
      <c r="H179" s="361" t="n">
        <v>1</v>
      </c>
      <c r="I179" s="62" t="n"/>
      <c r="J179" s="62" t="n"/>
      <c r="K179" s="62" t="n"/>
      <c r="L179" s="62" t="n"/>
      <c r="M179" s="62" t="n"/>
      <c r="N179" s="360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58" t="n">
        <v>168732</v>
      </c>
      <c r="G180" s="15" t="inlineStr">
        <is>
          <t>IDR</t>
        </is>
      </c>
      <c r="H180" s="361" t="n">
        <v>1</v>
      </c>
      <c r="I180" s="62" t="n"/>
      <c r="J180" s="62" t="n"/>
      <c r="K180" s="44" t="n"/>
      <c r="L180" s="44" t="n"/>
      <c r="M180" s="44" t="n"/>
      <c r="N180" s="360" t="n">
        <v>168732</v>
      </c>
      <c r="O180" s="44" t="n"/>
      <c r="P180" s="44" t="n"/>
      <c r="Q180" s="44" t="n"/>
    </row>
    <row r="181" ht="15.5" customHeight="1" s="297">
      <c r="B181" s="352" t="inlineStr">
        <is>
          <t>Expense#5</t>
        </is>
      </c>
      <c r="C181" s="85" t="inlineStr">
        <is>
          <t>:</t>
        </is>
      </c>
      <c r="D181" s="353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2" t="n">
        <v>5407000</v>
      </c>
      <c r="G182" s="91" t="inlineStr">
        <is>
          <t>IDR</t>
        </is>
      </c>
      <c r="H182" s="356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0" t="n">
        <v>5407000</v>
      </c>
      <c r="Q182" s="44" t="n"/>
    </row>
    <row r="183" ht="15.5" customHeight="1" s="297">
      <c r="B183" s="352" t="inlineStr">
        <is>
          <t>Expense#6</t>
        </is>
      </c>
      <c r="C183" s="85" t="inlineStr">
        <is>
          <t>:</t>
        </is>
      </c>
      <c r="D183" s="353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4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55" t="n">
        <v>250000</v>
      </c>
      <c r="G185" s="91" t="inlineStr">
        <is>
          <t>IDR</t>
        </is>
      </c>
      <c r="H185" s="356" t="n">
        <v>1</v>
      </c>
      <c r="I185" s="357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55" t="n">
        <v>250000</v>
      </c>
      <c r="G186" s="91" t="inlineStr">
        <is>
          <t>IDR</t>
        </is>
      </c>
      <c r="H186" s="356" t="n">
        <v>1</v>
      </c>
      <c r="I186" s="357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59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55" t="n">
        <v>250000</v>
      </c>
      <c r="G188" s="91" t="inlineStr">
        <is>
          <t>IDR</t>
        </is>
      </c>
      <c r="H188" s="356" t="n">
        <v>1</v>
      </c>
      <c r="I188" s="360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59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55" t="n">
        <v>750000</v>
      </c>
      <c r="G190" s="91" t="inlineStr">
        <is>
          <t>IDR</t>
        </is>
      </c>
      <c r="H190" s="356" t="n">
        <v>1</v>
      </c>
      <c r="I190" s="360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59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55" t="n">
        <v>38121</v>
      </c>
      <c r="G192" s="91" t="inlineStr">
        <is>
          <t>IDR</t>
        </is>
      </c>
      <c r="H192" s="356" t="n">
        <v>1</v>
      </c>
      <c r="I192" s="357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55" t="n">
        <v>105879</v>
      </c>
      <c r="G193" s="91" t="inlineStr">
        <is>
          <t>IDR</t>
        </is>
      </c>
      <c r="H193" s="356" t="n">
        <v>1</v>
      </c>
      <c r="I193" s="357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55" t="n">
        <v>39654</v>
      </c>
      <c r="G194" s="91" t="inlineStr">
        <is>
          <t>IDR</t>
        </is>
      </c>
      <c r="H194" s="356" t="n">
        <v>1</v>
      </c>
      <c r="I194" s="357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55" t="n">
        <v>39654</v>
      </c>
      <c r="G195" s="91" t="inlineStr">
        <is>
          <t>IDR</t>
        </is>
      </c>
      <c r="H195" s="356" t="n">
        <v>1</v>
      </c>
      <c r="I195" s="357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55" t="n">
        <v>18000</v>
      </c>
      <c r="G196" s="91" t="inlineStr">
        <is>
          <t>IDR</t>
        </is>
      </c>
      <c r="H196" s="356" t="n">
        <v>1</v>
      </c>
      <c r="I196" s="357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55" t="n">
        <v>167297</v>
      </c>
      <c r="G197" s="91" t="inlineStr">
        <is>
          <t>IDR</t>
        </is>
      </c>
      <c r="H197" s="356" t="n">
        <v>1</v>
      </c>
      <c r="I197" s="357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59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55" t="n">
        <v>160000</v>
      </c>
      <c r="G199" s="91" t="inlineStr">
        <is>
          <t>IDR</t>
        </is>
      </c>
      <c r="H199" s="356" t="n">
        <v>1</v>
      </c>
      <c r="I199" s="357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59" t="n"/>
      <c r="E200" s="97" t="n"/>
      <c r="F200" s="93" t="n"/>
      <c r="G200" s="91" t="n"/>
      <c r="H200" s="91" t="n"/>
      <c r="I200" s="363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59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2" t="inlineStr">
        <is>
          <t>Expense#7</t>
        </is>
      </c>
      <c r="C202" s="85" t="inlineStr">
        <is>
          <t>:</t>
        </is>
      </c>
      <c r="D202" s="353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4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55" t="n">
        <v>284308</v>
      </c>
      <c r="G204" s="91" t="inlineStr">
        <is>
          <t>IDR</t>
        </is>
      </c>
      <c r="H204" s="356" t="n">
        <v>1</v>
      </c>
      <c r="I204" s="357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55" t="n">
        <v>298000</v>
      </c>
      <c r="G205" s="91" t="inlineStr">
        <is>
          <t>IDR</t>
        </is>
      </c>
      <c r="H205" s="356" t="n">
        <v>1</v>
      </c>
      <c r="I205" s="357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59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55" t="n">
        <v>1357481</v>
      </c>
      <c r="G207" s="91" t="inlineStr">
        <is>
          <t>IDR</t>
        </is>
      </c>
      <c r="H207" s="356" t="n">
        <v>1</v>
      </c>
      <c r="I207" s="357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55" t="n">
        <v>100000</v>
      </c>
      <c r="G208" s="91" t="inlineStr">
        <is>
          <t>IDR</t>
        </is>
      </c>
      <c r="H208" s="356" t="n">
        <v>1</v>
      </c>
      <c r="I208" s="357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59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55" t="n">
        <v>300000</v>
      </c>
      <c r="G210" s="91" t="inlineStr">
        <is>
          <t>IDR</t>
        </is>
      </c>
      <c r="H210" s="356" t="n">
        <v>1</v>
      </c>
      <c r="I210" s="357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59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55" t="n">
        <v>3251400</v>
      </c>
      <c r="G212" s="91" t="inlineStr">
        <is>
          <t>USD</t>
        </is>
      </c>
      <c r="H212" s="356" t="n">
        <v>16257</v>
      </c>
      <c r="I212" s="360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2" t="inlineStr">
        <is>
          <t>Expense#8</t>
        </is>
      </c>
      <c r="C213" s="85" t="inlineStr">
        <is>
          <t>:</t>
        </is>
      </c>
      <c r="D213" s="353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4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65" t="n">
        <v>1387800</v>
      </c>
      <c r="G215" s="15" t="inlineStr">
        <is>
          <t>IDR</t>
        </is>
      </c>
      <c r="H215" s="361" t="n">
        <v>1</v>
      </c>
      <c r="I215" s="357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4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65" t="n">
        <v>234140</v>
      </c>
      <c r="G217" s="15" t="inlineStr">
        <is>
          <t>IDR</t>
        </is>
      </c>
      <c r="H217" s="361" t="n">
        <v>1</v>
      </c>
      <c r="I217" s="357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65" t="n">
        <v>232000</v>
      </c>
      <c r="G218" s="15" t="inlineStr">
        <is>
          <t>IDR</t>
        </is>
      </c>
      <c r="H218" s="361" t="n">
        <v>1</v>
      </c>
      <c r="I218" s="357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65" t="n">
        <v>600000</v>
      </c>
      <c r="G219" s="15" t="inlineStr">
        <is>
          <t>IDR</t>
        </is>
      </c>
      <c r="H219" s="361" t="n">
        <v>1</v>
      </c>
      <c r="I219" s="357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65" t="n">
        <v>27000</v>
      </c>
      <c r="G220" s="15" t="inlineStr">
        <is>
          <t>IDR</t>
        </is>
      </c>
      <c r="H220" s="361" t="n">
        <v>1</v>
      </c>
      <c r="I220" s="357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65" t="n">
        <v>276900</v>
      </c>
      <c r="G221" s="15" t="inlineStr">
        <is>
          <t>IDR</t>
        </is>
      </c>
      <c r="H221" s="361" t="n">
        <v>1</v>
      </c>
      <c r="I221" s="357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0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65" t="n">
        <v>360000</v>
      </c>
      <c r="G223" s="15" t="inlineStr">
        <is>
          <t>IDR</t>
        </is>
      </c>
      <c r="H223" s="361" t="n">
        <v>1</v>
      </c>
      <c r="I223" s="366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0" t="inlineStr">
        <is>
          <t>Meal</t>
        </is>
      </c>
      <c r="E224" s="108" t="n"/>
      <c r="F224" s="21" t="n"/>
      <c r="G224" s="15" t="n"/>
      <c r="H224" s="15" t="n"/>
      <c r="I224" s="367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65" t="n">
        <v>103400</v>
      </c>
      <c r="G225" s="15" t="inlineStr">
        <is>
          <t>IDR</t>
        </is>
      </c>
      <c r="H225" s="361" t="n">
        <v>1</v>
      </c>
      <c r="I225" s="360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2" t="inlineStr">
        <is>
          <t>Expense#9</t>
        </is>
      </c>
      <c r="C226" s="85" t="inlineStr">
        <is>
          <t>:</t>
        </is>
      </c>
      <c r="D226" s="353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4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65" t="n">
        <v>255500</v>
      </c>
      <c r="G228" s="15" t="inlineStr">
        <is>
          <t>IDR</t>
        </is>
      </c>
      <c r="H228" s="361" t="n">
        <v>1</v>
      </c>
      <c r="I228" s="357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65" t="n">
        <v>150000</v>
      </c>
      <c r="G229" s="15" t="inlineStr">
        <is>
          <t>IDR</t>
        </is>
      </c>
      <c r="H229" s="361" t="n">
        <v>1</v>
      </c>
      <c r="I229" s="357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0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65" t="n">
        <v>150000</v>
      </c>
      <c r="G231" s="15" t="inlineStr">
        <is>
          <t>IDR</t>
        </is>
      </c>
      <c r="H231" s="361" t="n">
        <v>1</v>
      </c>
      <c r="I231" s="360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0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65" t="n">
        <v>450000</v>
      </c>
      <c r="G233" s="15" t="inlineStr">
        <is>
          <t>IDR</t>
        </is>
      </c>
      <c r="H233" s="361" t="n">
        <v>1</v>
      </c>
      <c r="I233" s="360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0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65" t="n">
        <v>4815300</v>
      </c>
      <c r="G235" s="15" t="inlineStr">
        <is>
          <t>USD</t>
        </is>
      </c>
      <c r="H235" s="361" t="n">
        <v>16051</v>
      </c>
      <c r="I235" s="360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65" t="n">
        <v>128000</v>
      </c>
      <c r="G236" s="15" t="inlineStr">
        <is>
          <t>IDR</t>
        </is>
      </c>
      <c r="H236" s="361" t="n">
        <v>1</v>
      </c>
      <c r="I236" s="360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2" t="inlineStr">
        <is>
          <t>Expense#10</t>
        </is>
      </c>
      <c r="C237" s="85" t="inlineStr">
        <is>
          <t>:</t>
        </is>
      </c>
      <c r="D237" s="353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59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2" t="n">
        <v>3292802</v>
      </c>
      <c r="G239" s="98" t="inlineStr">
        <is>
          <t>IDR</t>
        </is>
      </c>
      <c r="H239" s="356" t="n">
        <v>1</v>
      </c>
      <c r="I239" s="357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2" t="n">
        <v>350000</v>
      </c>
      <c r="G240" s="98" t="inlineStr">
        <is>
          <t>IDR</t>
        </is>
      </c>
      <c r="H240" s="356" t="n">
        <v>1</v>
      </c>
      <c r="I240" s="357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59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2" t="n">
        <v>75000</v>
      </c>
      <c r="G242" s="98" t="inlineStr">
        <is>
          <t>IDR</t>
        </is>
      </c>
      <c r="H242" s="356" t="n">
        <v>1</v>
      </c>
      <c r="I242" s="360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2" t="n">
        <v>657000</v>
      </c>
      <c r="G243" s="98" t="inlineStr">
        <is>
          <t>IDR</t>
        </is>
      </c>
      <c r="H243" s="356" t="n">
        <v>1</v>
      </c>
      <c r="I243" s="357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59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56" t="n">
        <v>1</v>
      </c>
      <c r="I245" s="357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59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7 days (25$/Day)</t>
        </is>
      </c>
      <c r="E247" s="95" t="n"/>
      <c r="F247" s="362" t="n">
        <v>1203813.75</v>
      </c>
      <c r="G247" s="98" t="inlineStr">
        <is>
          <t>USD</t>
        </is>
      </c>
      <c r="H247" s="356" t="n">
        <v>16050.85</v>
      </c>
      <c r="I247" s="357" t="n">
        <v>1203813.75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59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4 days 29 April-2 May 2024 (100$/Day</t>
        </is>
      </c>
      <c r="E249" s="95" t="n"/>
      <c r="F249" s="362" t="n">
        <v>6420340</v>
      </c>
      <c r="G249" s="98" t="inlineStr">
        <is>
          <t>USD</t>
        </is>
      </c>
      <c r="H249" s="356" t="n">
        <v>16050.85</v>
      </c>
      <c r="I249" s="357" t="n">
        <v>6420340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2" t="n">
        <v>349000</v>
      </c>
      <c r="G250" s="98" t="inlineStr">
        <is>
          <t>IDR</t>
        </is>
      </c>
      <c r="H250" s="356" t="n">
        <v>1</v>
      </c>
      <c r="I250" s="61" t="n"/>
      <c r="J250" s="62" t="n"/>
      <c r="K250" s="44" t="n"/>
      <c r="L250" s="44" t="n"/>
      <c r="M250" s="44" t="n"/>
      <c r="N250" s="360" t="n">
        <v>349000</v>
      </c>
      <c r="O250" s="44" t="n"/>
      <c r="P250" s="44" t="n"/>
      <c r="Q250" s="44" t="n"/>
    </row>
    <row r="251" ht="15.5" customHeight="1" s="297">
      <c r="B251" s="352" t="inlineStr">
        <is>
          <t>Expense#11</t>
        </is>
      </c>
      <c r="C251" s="85" t="inlineStr">
        <is>
          <t>:</t>
        </is>
      </c>
      <c r="D251" s="353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59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2" t="n">
        <v>1950000</v>
      </c>
      <c r="G253" s="98" t="inlineStr">
        <is>
          <t>IDR</t>
        </is>
      </c>
      <c r="H253" s="368" t="n">
        <v>1</v>
      </c>
      <c r="I253" s="357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2" t="n">
        <v>200000</v>
      </c>
      <c r="G254" s="98" t="inlineStr">
        <is>
          <t>IDR</t>
        </is>
      </c>
      <c r="H254" s="368" t="n">
        <v>1</v>
      </c>
      <c r="I254" s="357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59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2" t="n">
        <v>101800</v>
      </c>
      <c r="G256" s="98" t="inlineStr">
        <is>
          <t>IDR</t>
        </is>
      </c>
      <c r="H256" s="368" t="n">
        <v>1</v>
      </c>
      <c r="I256" s="357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59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68" t="n">
        <v>1</v>
      </c>
      <c r="I258" s="357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59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2" t="n">
        <v>600000</v>
      </c>
      <c r="G260" s="98" t="inlineStr">
        <is>
          <t>IDR</t>
        </is>
      </c>
      <c r="H260" s="368" t="n">
        <v>1</v>
      </c>
      <c r="I260" s="357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59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2" t="n">
        <v>78500</v>
      </c>
      <c r="G262" s="98" t="inlineStr">
        <is>
          <t>IDR</t>
        </is>
      </c>
      <c r="H262" s="368" t="n">
        <v>1</v>
      </c>
      <c r="I262" s="357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59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2" t="n">
        <v>1605085</v>
      </c>
      <c r="G264" s="98" t="inlineStr">
        <is>
          <t>USD</t>
        </is>
      </c>
      <c r="H264" s="368" t="n">
        <v>16050.85</v>
      </c>
      <c r="I264" s="357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2" t="inlineStr">
        <is>
          <t>Expense#12</t>
        </is>
      </c>
      <c r="C265" s="85" t="inlineStr">
        <is>
          <t>:</t>
        </is>
      </c>
      <c r="D265" s="353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2" t="n">
        <v>9693878</v>
      </c>
      <c r="G266" s="91" t="inlineStr">
        <is>
          <t>IDR</t>
        </is>
      </c>
      <c r="H266" s="356" t="n">
        <v>1</v>
      </c>
      <c r="I266" s="357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2" t="inlineStr">
        <is>
          <t>Expense#13</t>
        </is>
      </c>
      <c r="C267" s="85" t="inlineStr">
        <is>
          <t>:</t>
        </is>
      </c>
      <c r="D267" s="353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65" t="n">
        <v>5322000</v>
      </c>
      <c r="G268" s="15" t="inlineStr">
        <is>
          <t>IDR</t>
        </is>
      </c>
      <c r="H268" s="361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0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65" t="n">
        <v>2402000</v>
      </c>
      <c r="G269" s="15" t="inlineStr">
        <is>
          <t>IDR</t>
        </is>
      </c>
      <c r="H269" s="361" t="n">
        <v>1</v>
      </c>
      <c r="I269" s="62" t="n"/>
      <c r="J269" s="62" t="n"/>
      <c r="K269" s="44" t="n"/>
      <c r="L269" s="44" t="n"/>
      <c r="M269" s="44" t="n"/>
      <c r="N269" s="360" t="n">
        <v>2402000</v>
      </c>
      <c r="O269" s="44" t="n"/>
      <c r="P269" s="44" t="n"/>
      <c r="Q269" s="44" t="n"/>
    </row>
    <row r="270" ht="15.5" customHeight="1" s="297">
      <c r="B270" s="352" t="inlineStr">
        <is>
          <t>Expense#14</t>
        </is>
      </c>
      <c r="C270" s="85" t="inlineStr">
        <is>
          <t>:</t>
        </is>
      </c>
      <c r="D270" s="353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65" t="n">
        <v>5407000</v>
      </c>
      <c r="G271" s="15" t="inlineStr">
        <is>
          <t>IDR</t>
        </is>
      </c>
      <c r="H271" s="361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0" t="n">
        <v>5407000</v>
      </c>
      <c r="Q271" s="44" t="n"/>
    </row>
    <row r="272" ht="15.5" customHeight="1" s="297">
      <c r="B272" s="352" t="inlineStr">
        <is>
          <t>Expense#15</t>
        </is>
      </c>
      <c r="C272" s="85" t="inlineStr">
        <is>
          <t>:</t>
        </is>
      </c>
      <c r="D272" s="353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65" t="n">
        <v>773238</v>
      </c>
      <c r="G273" s="15" t="inlineStr">
        <is>
          <t>IDR</t>
        </is>
      </c>
      <c r="H273" s="361" t="n">
        <v>1</v>
      </c>
      <c r="I273" s="357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65" t="n">
        <v>296853</v>
      </c>
      <c r="G274" s="15" t="inlineStr">
        <is>
          <t>IDR</t>
        </is>
      </c>
      <c r="H274" s="361" t="n">
        <v>1</v>
      </c>
      <c r="I274" s="357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65" t="n">
        <v>250000</v>
      </c>
      <c r="G275" s="15" t="inlineStr">
        <is>
          <t>IDR</t>
        </is>
      </c>
      <c r="H275" s="361" t="n">
        <v>1</v>
      </c>
      <c r="I275" s="357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0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65" t="n">
        <v>900000</v>
      </c>
      <c r="G277" s="15" t="inlineStr">
        <is>
          <t>IDR</t>
        </is>
      </c>
      <c r="H277" s="361" t="n">
        <v>1</v>
      </c>
      <c r="I277" s="357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0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0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69" t="n">
        <v>2430000</v>
      </c>
      <c r="G280" s="60" t="inlineStr">
        <is>
          <t>$</t>
        </is>
      </c>
      <c r="H280" s="370" t="n">
        <v>16200</v>
      </c>
      <c r="I280" s="360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2" t="inlineStr">
        <is>
          <t>Expense#16</t>
        </is>
      </c>
      <c r="C281" s="85" t="inlineStr">
        <is>
          <t>:</t>
        </is>
      </c>
      <c r="D281" s="353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4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65" t="n">
        <v>232520</v>
      </c>
      <c r="G283" s="15" t="inlineStr">
        <is>
          <t>IDR</t>
        </is>
      </c>
      <c r="H283" s="361" t="n">
        <v>1</v>
      </c>
      <c r="I283" s="357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65" t="n">
        <v>312000</v>
      </c>
      <c r="G284" s="15" t="inlineStr">
        <is>
          <t>IDR</t>
        </is>
      </c>
      <c r="H284" s="361" t="n">
        <v>1</v>
      </c>
      <c r="I284" s="357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65" t="n">
        <v>900000</v>
      </c>
      <c r="G285" s="15" t="inlineStr">
        <is>
          <t>IDR</t>
        </is>
      </c>
      <c r="H285" s="361" t="n">
        <v>1</v>
      </c>
      <c r="I285" s="357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0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65" t="n">
        <v>300000</v>
      </c>
      <c r="G287" s="15" t="inlineStr">
        <is>
          <t>IDR</t>
        </is>
      </c>
      <c r="H287" s="361" t="n">
        <v>1</v>
      </c>
      <c r="I287" s="357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0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65" t="n">
        <v>150</v>
      </c>
      <c r="G289" s="15" t="inlineStr">
        <is>
          <t>IDR</t>
        </is>
      </c>
      <c r="H289" s="361" t="n">
        <v>16200</v>
      </c>
      <c r="I289" s="357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65" t="n">
        <v>268000</v>
      </c>
      <c r="G290" s="15" t="inlineStr">
        <is>
          <t>IDR</t>
        </is>
      </c>
      <c r="H290" s="361" t="n">
        <v>1</v>
      </c>
      <c r="I290" s="116" t="n"/>
      <c r="J290" s="62" t="n"/>
      <c r="K290" s="44" t="n"/>
      <c r="L290" s="44" t="n"/>
      <c r="M290" s="44" t="n"/>
      <c r="N290" s="357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0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65" t="n">
        <v>80000</v>
      </c>
      <c r="G292" s="15" t="inlineStr">
        <is>
          <t>IDR</t>
        </is>
      </c>
      <c r="H292" s="361" t="n">
        <v>1</v>
      </c>
      <c r="I292" s="62" t="n"/>
      <c r="J292" s="62" t="n"/>
      <c r="K292" s="44" t="n"/>
      <c r="L292" s="44" t="n"/>
      <c r="M292" s="61" t="n"/>
      <c r="N292" s="360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0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65" t="n">
        <v>21900</v>
      </c>
      <c r="G294" s="15" t="inlineStr">
        <is>
          <t>IDR</t>
        </is>
      </c>
      <c r="H294" s="361" t="n">
        <v>1</v>
      </c>
      <c r="I294" s="62" t="n"/>
      <c r="J294" s="62" t="n"/>
      <c r="K294" s="44" t="n"/>
      <c r="L294" s="44" t="n"/>
      <c r="M294" s="116" t="n"/>
      <c r="N294" s="360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0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2" t="inlineStr">
        <is>
          <t>Expense#17</t>
        </is>
      </c>
      <c r="C297" s="85" t="inlineStr">
        <is>
          <t>:</t>
        </is>
      </c>
      <c r="D297" s="353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59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55" t="n">
        <v>1650000</v>
      </c>
      <c r="G299" s="91" t="inlineStr">
        <is>
          <t>IDR</t>
        </is>
      </c>
      <c r="H299" s="356" t="n">
        <v>1</v>
      </c>
      <c r="I299" s="360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55" t="n">
        <v>300000</v>
      </c>
      <c r="G300" s="91" t="inlineStr">
        <is>
          <t>IDR</t>
        </is>
      </c>
      <c r="H300" s="356" t="n">
        <v>1</v>
      </c>
      <c r="I300" s="360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59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55" t="n">
        <v>1418800</v>
      </c>
      <c r="G302" s="91" t="inlineStr">
        <is>
          <t>IDR</t>
        </is>
      </c>
      <c r="H302" s="356" t="n">
        <v>1</v>
      </c>
      <c r="I302" s="357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55" t="n">
        <v>166000</v>
      </c>
      <c r="G303" s="91" t="inlineStr">
        <is>
          <t>IDR</t>
        </is>
      </c>
      <c r="H303" s="356" t="n">
        <v>1</v>
      </c>
      <c r="I303" s="357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55" t="n">
        <v>60000</v>
      </c>
      <c r="G304" s="91" t="inlineStr">
        <is>
          <t>IDR</t>
        </is>
      </c>
      <c r="H304" s="356" t="n">
        <v>1</v>
      </c>
      <c r="I304" s="357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55" t="n">
        <v>2900000</v>
      </c>
      <c r="G305" s="91" t="inlineStr">
        <is>
          <t>IDR</t>
        </is>
      </c>
      <c r="H305" s="356" t="n">
        <v>1</v>
      </c>
      <c r="I305" s="357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55" t="n">
        <v>400000</v>
      </c>
      <c r="G306" s="91" t="inlineStr">
        <is>
          <t>IDR</t>
        </is>
      </c>
      <c r="H306" s="356" t="n">
        <v>1</v>
      </c>
      <c r="I306" s="357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55" t="n">
        <v>300000</v>
      </c>
      <c r="G307" s="91" t="inlineStr">
        <is>
          <t>IDR</t>
        </is>
      </c>
      <c r="H307" s="356" t="n">
        <v>1</v>
      </c>
      <c r="I307" s="357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55" t="n">
        <v>1326410</v>
      </c>
      <c r="G308" s="91" t="inlineStr">
        <is>
          <t>IDR</t>
        </is>
      </c>
      <c r="H308" s="356" t="n">
        <v>1</v>
      </c>
      <c r="I308" s="357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59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56" t="n">
        <v>1</v>
      </c>
      <c r="I310" s="360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59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55" t="n">
        <v>900000</v>
      </c>
      <c r="G312" s="91" t="inlineStr">
        <is>
          <t>IDR</t>
        </is>
      </c>
      <c r="H312" s="356" t="n">
        <v>1</v>
      </c>
      <c r="I312" s="360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59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55" t="n">
        <v>9717600</v>
      </c>
      <c r="G314" s="91" t="inlineStr">
        <is>
          <t>USD</t>
        </is>
      </c>
      <c r="H314" s="356" t="n">
        <v>16196</v>
      </c>
      <c r="I314" s="360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2" t="inlineStr">
        <is>
          <t>Expense#18</t>
        </is>
      </c>
      <c r="C315" s="85" t="inlineStr">
        <is>
          <t>:</t>
        </is>
      </c>
      <c r="D315" s="353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4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65" t="n">
        <v>9693878</v>
      </c>
      <c r="G317" s="15" t="inlineStr">
        <is>
          <t>IDR</t>
        </is>
      </c>
      <c r="H317" s="361" t="n">
        <v>1</v>
      </c>
      <c r="I317" s="357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4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65" t="n">
        <v>233000</v>
      </c>
      <c r="G319" s="15" t="inlineStr">
        <is>
          <t>IDR</t>
        </is>
      </c>
      <c r="H319" s="361" t="n">
        <v>1</v>
      </c>
      <c r="I319" s="357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65" t="n">
        <v>73000</v>
      </c>
      <c r="G320" s="15" t="inlineStr">
        <is>
          <t>IDR</t>
        </is>
      </c>
      <c r="H320" s="361" t="n">
        <v>1</v>
      </c>
      <c r="I320" s="357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65" t="n">
        <v>59000</v>
      </c>
      <c r="G321" s="15" t="inlineStr">
        <is>
          <t>IDR</t>
        </is>
      </c>
      <c r="H321" s="361" t="n">
        <v>1</v>
      </c>
      <c r="I321" s="357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2" t="inlineStr">
        <is>
          <t>Expense#19</t>
        </is>
      </c>
      <c r="C322" s="85" t="inlineStr">
        <is>
          <t>:</t>
        </is>
      </c>
      <c r="D322" s="353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59" t="inlineStr">
        <is>
          <t>Accommodation</t>
        </is>
      </c>
      <c r="E323" s="97" t="n"/>
      <c r="F323" s="103" t="n"/>
      <c r="G323" s="91" t="n"/>
      <c r="H323" s="91" t="n"/>
      <c r="I323" s="363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2" t="n">
        <v>720000</v>
      </c>
      <c r="G324" s="91" t="inlineStr">
        <is>
          <t>IDR</t>
        </is>
      </c>
      <c r="H324" s="356" t="n">
        <v>1</v>
      </c>
      <c r="I324" s="360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2" t="n">
        <v>200000</v>
      </c>
      <c r="G325" s="91" t="inlineStr">
        <is>
          <t>IDR</t>
        </is>
      </c>
      <c r="H325" s="356" t="n">
        <v>1</v>
      </c>
      <c r="I325" s="357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59" t="inlineStr">
        <is>
          <t>Transportation</t>
        </is>
      </c>
      <c r="E326" s="97" t="n"/>
      <c r="F326" s="103" t="n"/>
      <c r="G326" s="91" t="n"/>
      <c r="H326" s="91" t="n"/>
      <c r="I326" s="363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2" t="n">
        <v>995500</v>
      </c>
      <c r="G327" s="91" t="inlineStr">
        <is>
          <t>IDR</t>
        </is>
      </c>
      <c r="H327" s="356" t="n">
        <v>1</v>
      </c>
      <c r="I327" s="357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2" t="n">
        <v>273500</v>
      </c>
      <c r="G328" s="91" t="inlineStr">
        <is>
          <t>IDR</t>
        </is>
      </c>
      <c r="H328" s="356" t="n">
        <v>1</v>
      </c>
      <c r="I328" s="357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2" t="n">
        <v>224000</v>
      </c>
      <c r="G329" s="91" t="inlineStr">
        <is>
          <t>IDR</t>
        </is>
      </c>
      <c r="H329" s="356" t="n">
        <v>1</v>
      </c>
      <c r="I329" s="357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2" t="n">
        <v>2000000</v>
      </c>
      <c r="G330" s="91" t="inlineStr">
        <is>
          <t>IDR</t>
        </is>
      </c>
      <c r="H330" s="356" t="n">
        <v>1</v>
      </c>
      <c r="I330" s="357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2" t="n">
        <v>330000</v>
      </c>
      <c r="G331" s="91" t="inlineStr">
        <is>
          <t>IDR</t>
        </is>
      </c>
      <c r="H331" s="356" t="n">
        <v>1</v>
      </c>
      <c r="I331" s="357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2" t="n">
        <v>270000</v>
      </c>
      <c r="G332" s="91" t="inlineStr">
        <is>
          <t>IDR</t>
        </is>
      </c>
      <c r="H332" s="356" t="n">
        <v>1</v>
      </c>
      <c r="I332" s="357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2" t="n">
        <v>1004000</v>
      </c>
      <c r="G333" s="91" t="inlineStr">
        <is>
          <t>IDR</t>
        </is>
      </c>
      <c r="H333" s="356" t="n">
        <v>1</v>
      </c>
      <c r="I333" s="357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59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56" t="n">
        <v>1</v>
      </c>
      <c r="I335" s="360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59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2" t="n">
        <v>6551200</v>
      </c>
      <c r="G337" s="91" t="inlineStr">
        <is>
          <t>USD</t>
        </is>
      </c>
      <c r="H337" s="356" t="n">
        <v>16378</v>
      </c>
      <c r="I337" s="360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59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2" t="n">
        <v>2371000</v>
      </c>
      <c r="G339" s="91" t="inlineStr">
        <is>
          <t>IDR</t>
        </is>
      </c>
      <c r="H339" s="356" t="n">
        <v>1</v>
      </c>
      <c r="I339" s="62" t="n"/>
      <c r="J339" s="62" t="n"/>
      <c r="K339" s="44" t="n"/>
      <c r="L339" s="44" t="n"/>
      <c r="M339" s="61" t="n"/>
      <c r="N339" s="360" t="n">
        <v>2371000</v>
      </c>
      <c r="O339" s="44" t="n"/>
      <c r="P339" s="44" t="n"/>
      <c r="Q339" s="44" t="n"/>
    </row>
    <row r="340" ht="15.5" customHeight="1" s="297">
      <c r="B340" s="352" t="inlineStr">
        <is>
          <t>Expense#20</t>
        </is>
      </c>
      <c r="C340" s="85" t="inlineStr">
        <is>
          <t>:</t>
        </is>
      </c>
      <c r="D340" s="353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59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2" t="n">
        <v>594804</v>
      </c>
      <c r="G342" s="91" t="inlineStr">
        <is>
          <t>IDR</t>
        </is>
      </c>
      <c r="H342" s="356" t="n">
        <v>1</v>
      </c>
      <c r="I342" s="357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59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2" t="n">
        <v>381960</v>
      </c>
      <c r="G344" s="91" t="inlineStr">
        <is>
          <t>IDR</t>
        </is>
      </c>
      <c r="H344" s="356" t="n">
        <v>1</v>
      </c>
      <c r="I344" s="62" t="n"/>
      <c r="J344" s="62" t="n"/>
      <c r="K344" s="44" t="n"/>
      <c r="L344" s="44" t="n"/>
      <c r="M344" s="61" t="n"/>
      <c r="N344" s="357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2" t="n">
        <v>3595000</v>
      </c>
      <c r="G345" s="91" t="inlineStr">
        <is>
          <t>IDR</t>
        </is>
      </c>
      <c r="H345" s="356" t="n">
        <v>1</v>
      </c>
      <c r="I345" s="62" t="n"/>
      <c r="J345" s="62" t="n"/>
      <c r="K345" s="44" t="n"/>
      <c r="L345" s="44" t="n"/>
      <c r="M345" s="61" t="n"/>
      <c r="N345" s="357" t="n">
        <v>3595000</v>
      </c>
      <c r="O345" s="44" t="n"/>
      <c r="P345" s="44" t="n"/>
      <c r="Q345" s="44" t="n"/>
    </row>
    <row r="346" ht="15.5" customHeight="1" s="297">
      <c r="B346" s="352" t="inlineStr">
        <is>
          <t>Expense#21</t>
        </is>
      </c>
      <c r="C346" s="85" t="inlineStr">
        <is>
          <t>:</t>
        </is>
      </c>
      <c r="D346" s="353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59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55" t="n">
        <v>344305</v>
      </c>
      <c r="G348" s="91" t="inlineStr">
        <is>
          <t>IDR</t>
        </is>
      </c>
      <c r="H348" s="356" t="n">
        <v>1</v>
      </c>
      <c r="I348" s="360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55" t="n">
        <v>34620</v>
      </c>
      <c r="G349" s="91" t="inlineStr">
        <is>
          <t>MYR</t>
        </is>
      </c>
      <c r="H349" s="356" t="n">
        <v>3462</v>
      </c>
      <c r="I349" s="357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59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55" t="n">
        <v>4912100</v>
      </c>
      <c r="G351" s="91" t="inlineStr">
        <is>
          <t>IDR</t>
        </is>
      </c>
      <c r="H351" s="356" t="n">
        <v>1</v>
      </c>
      <c r="I351" s="357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55" t="n">
        <v>250000</v>
      </c>
      <c r="G352" s="91" t="inlineStr">
        <is>
          <t>IDR</t>
        </is>
      </c>
      <c r="H352" s="356" t="n">
        <v>1</v>
      </c>
      <c r="I352" s="357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55" t="n">
        <v>249264</v>
      </c>
      <c r="G353" s="91" t="inlineStr">
        <is>
          <t>MYR</t>
        </is>
      </c>
      <c r="H353" s="356" t="n">
        <v>3462</v>
      </c>
      <c r="I353" s="357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55" t="n">
        <v>27696</v>
      </c>
      <c r="G354" s="91" t="inlineStr">
        <is>
          <t>MYR</t>
        </is>
      </c>
      <c r="H354" s="356" t="n">
        <v>3462</v>
      </c>
      <c r="I354" s="357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55" t="n">
        <v>283987.86</v>
      </c>
      <c r="G355" s="91" t="inlineStr">
        <is>
          <t>MYR</t>
        </is>
      </c>
      <c r="H355" s="356" t="n">
        <v>3462</v>
      </c>
      <c r="I355" s="357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55" t="n">
        <v>259120</v>
      </c>
      <c r="G356" s="91" t="inlineStr">
        <is>
          <t>IDR</t>
        </is>
      </c>
      <c r="H356" s="356" t="n">
        <v>1</v>
      </c>
      <c r="I356" s="357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59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58" t="n">
        <v>9778400</v>
      </c>
      <c r="G358" s="91" t="inlineStr">
        <is>
          <t>IDR</t>
        </is>
      </c>
      <c r="H358" s="356" t="n">
        <v>1</v>
      </c>
      <c r="I358" s="62" t="n"/>
      <c r="J358" s="62" t="n"/>
      <c r="K358" s="62" t="n"/>
      <c r="L358" s="62" t="n"/>
      <c r="M358" s="62" t="n"/>
      <c r="N358" s="360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55" t="n">
        <v>163100</v>
      </c>
      <c r="G359" s="91" t="inlineStr">
        <is>
          <t>IDR</t>
        </is>
      </c>
      <c r="H359" s="356" t="n">
        <v>1</v>
      </c>
      <c r="I359" s="62" t="n"/>
      <c r="J359" s="44" t="n"/>
      <c r="K359" s="44" t="n"/>
      <c r="L359" s="44" t="n"/>
      <c r="M359" s="44" t="n"/>
      <c r="N359" s="360" t="n">
        <v>163100</v>
      </c>
      <c r="O359" s="44" t="n"/>
      <c r="P359" s="44" t="n"/>
      <c r="Q359" s="44" t="n"/>
    </row>
    <row r="360" ht="15.5" customHeight="1" s="297">
      <c r="B360" s="352" t="inlineStr">
        <is>
          <t>Expense#22</t>
        </is>
      </c>
      <c r="C360" s="85" t="inlineStr">
        <is>
          <t>:</t>
        </is>
      </c>
      <c r="D360" s="353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4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65" t="n">
        <v>206000</v>
      </c>
      <c r="G362" s="15" t="inlineStr">
        <is>
          <t>IDR</t>
        </is>
      </c>
      <c r="H362" s="361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0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65" t="n">
        <v>1474000</v>
      </c>
      <c r="G363" s="15" t="inlineStr">
        <is>
          <t>IDR</t>
        </is>
      </c>
      <c r="H363" s="361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0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65" t="n">
        <v>206000</v>
      </c>
      <c r="G364" s="15" t="inlineStr">
        <is>
          <t>IDR</t>
        </is>
      </c>
      <c r="H364" s="361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0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65" t="n">
        <v>109000</v>
      </c>
      <c r="G365" s="15" t="inlineStr">
        <is>
          <t>IDR</t>
        </is>
      </c>
      <c r="H365" s="361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0" t="n">
        <v>109000</v>
      </c>
      <c r="Q365" s="44" t="n"/>
    </row>
    <row r="366" ht="15.5" customHeight="1" s="297">
      <c r="B366" s="352" t="inlineStr">
        <is>
          <t>Expense#23</t>
        </is>
      </c>
      <c r="C366" s="85" t="inlineStr">
        <is>
          <t>:</t>
        </is>
      </c>
      <c r="D366" s="353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4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65" t="n">
        <v>985367</v>
      </c>
      <c r="G368" s="15" t="inlineStr">
        <is>
          <t>IDR</t>
        </is>
      </c>
      <c r="H368" s="361" t="n">
        <v>1</v>
      </c>
      <c r="I368" s="357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65" t="n">
        <v>1175717</v>
      </c>
      <c r="G369" s="15" t="inlineStr">
        <is>
          <t>IDR</t>
        </is>
      </c>
      <c r="H369" s="361" t="n">
        <v>1</v>
      </c>
      <c r="I369" s="357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4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65" t="n">
        <v>225520</v>
      </c>
      <c r="G371" s="15" t="inlineStr">
        <is>
          <t>IDR</t>
        </is>
      </c>
      <c r="H371" s="361" t="n">
        <v>1</v>
      </c>
      <c r="I371" s="357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65" t="n">
        <v>292060</v>
      </c>
      <c r="G372" s="15" t="inlineStr">
        <is>
          <t>IDR</t>
        </is>
      </c>
      <c r="H372" s="361" t="n">
        <v>1</v>
      </c>
      <c r="I372" s="357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65" t="n">
        <v>190430</v>
      </c>
      <c r="G373" s="15" t="inlineStr">
        <is>
          <t>IDR</t>
        </is>
      </c>
      <c r="H373" s="361" t="n">
        <v>1</v>
      </c>
      <c r="I373" s="357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65" t="n">
        <v>262000</v>
      </c>
      <c r="G374" s="15" t="inlineStr">
        <is>
          <t>IDR</t>
        </is>
      </c>
      <c r="H374" s="361" t="n">
        <v>1</v>
      </c>
      <c r="I374" s="357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65" t="n">
        <v>235000</v>
      </c>
      <c r="G375" s="15" t="inlineStr">
        <is>
          <t>IDR</t>
        </is>
      </c>
      <c r="H375" s="361" t="n">
        <v>1</v>
      </c>
      <c r="I375" s="357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65" t="n">
        <v>3500000</v>
      </c>
      <c r="G376" s="15" t="inlineStr">
        <is>
          <t>IDR</t>
        </is>
      </c>
      <c r="H376" s="361" t="n">
        <v>1</v>
      </c>
      <c r="I376" s="357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0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65" t="n">
        <v>400000</v>
      </c>
      <c r="G378" s="15" t="inlineStr">
        <is>
          <t>IDR</t>
        </is>
      </c>
      <c r="H378" s="361" t="n">
        <v>1</v>
      </c>
      <c r="I378" s="357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0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65" t="n">
        <v>2160000</v>
      </c>
      <c r="G380" s="15" t="inlineStr">
        <is>
          <t>IDR</t>
        </is>
      </c>
      <c r="H380" s="361" t="n">
        <v>1</v>
      </c>
      <c r="I380" s="360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0" t="inlineStr">
        <is>
          <t>Allowance</t>
        </is>
      </c>
      <c r="E381" s="108" t="n"/>
      <c r="F381" s="21" t="n"/>
      <c r="G381" s="15" t="n"/>
      <c r="H381" s="15" t="n"/>
      <c r="I381" s="363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65" t="n">
        <v>1050000</v>
      </c>
      <c r="G382" s="15" t="inlineStr">
        <is>
          <t>IDR</t>
        </is>
      </c>
      <c r="H382" s="361" t="n">
        <v>1</v>
      </c>
      <c r="I382" s="360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0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65" t="n">
        <v>350000</v>
      </c>
      <c r="G384" s="15" t="inlineStr">
        <is>
          <t>IDR</t>
        </is>
      </c>
      <c r="H384" s="361" t="n">
        <v>1</v>
      </c>
      <c r="I384" s="360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0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65" t="n">
        <v>700</v>
      </c>
      <c r="G386" s="15" t="inlineStr">
        <is>
          <t>IDR</t>
        </is>
      </c>
      <c r="H386" s="361" t="n">
        <v>16200</v>
      </c>
      <c r="I386" s="360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1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65" t="n">
        <v>70000</v>
      </c>
      <c r="G388" s="15" t="inlineStr">
        <is>
          <t>IDR</t>
        </is>
      </c>
      <c r="H388" s="361" t="n">
        <v>1</v>
      </c>
      <c r="I388" s="44" t="n"/>
      <c r="J388" s="44" t="n"/>
      <c r="K388" s="44" t="n"/>
      <c r="L388" s="44" t="n"/>
      <c r="M388" s="44" t="n"/>
      <c r="N388" s="360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65" t="n">
        <v>195000</v>
      </c>
      <c r="G389" s="15" t="inlineStr">
        <is>
          <t>IDR</t>
        </is>
      </c>
      <c r="H389" s="361" t="n">
        <v>1</v>
      </c>
      <c r="I389" s="44" t="n"/>
      <c r="J389" s="44" t="n"/>
      <c r="K389" s="44" t="n"/>
      <c r="L389" s="44" t="n"/>
      <c r="M389" s="44" t="n"/>
      <c r="N389" s="360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65" t="n">
        <v>38900</v>
      </c>
      <c r="G390" s="15" t="inlineStr">
        <is>
          <t>IDR</t>
        </is>
      </c>
      <c r="H390" s="361" t="n">
        <v>1</v>
      </c>
      <c r="I390" s="44" t="n"/>
      <c r="J390" s="44" t="n"/>
      <c r="K390" s="44" t="n"/>
      <c r="L390" s="44" t="n"/>
      <c r="M390" s="61" t="n"/>
      <c r="N390" s="360" t="n">
        <v>38900</v>
      </c>
      <c r="O390" s="44" t="n"/>
      <c r="P390" s="44" t="n"/>
      <c r="Q390" s="44" t="n"/>
    </row>
    <row r="391" ht="15.5" customHeight="1" s="297">
      <c r="B391" s="352" t="inlineStr">
        <is>
          <t>Expense#24</t>
        </is>
      </c>
      <c r="C391" s="85" t="inlineStr">
        <is>
          <t>:</t>
        </is>
      </c>
      <c r="D391" s="353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0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65" t="n">
        <v>600000</v>
      </c>
      <c r="G393" s="15" t="inlineStr">
        <is>
          <t>IDR</t>
        </is>
      </c>
      <c r="H393" s="361" t="n">
        <v>1</v>
      </c>
      <c r="I393" s="360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65" t="n">
        <v>200000</v>
      </c>
      <c r="G394" s="15" t="inlineStr">
        <is>
          <t>IDR</t>
        </is>
      </c>
      <c r="H394" s="361" t="n">
        <v>1</v>
      </c>
      <c r="I394" s="360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65" t="n">
        <v>1050000</v>
      </c>
      <c r="G395" s="15" t="inlineStr">
        <is>
          <t>IDR</t>
        </is>
      </c>
      <c r="H395" s="361" t="n">
        <v>1</v>
      </c>
      <c r="I395" s="360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65" t="n">
        <v>350000</v>
      </c>
      <c r="G396" s="15" t="inlineStr">
        <is>
          <t>IDR</t>
        </is>
      </c>
      <c r="H396" s="361" t="n">
        <v>1</v>
      </c>
      <c r="I396" s="360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0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69" t="n">
        <v>1630000</v>
      </c>
      <c r="G398" s="60" t="inlineStr">
        <is>
          <t>$</t>
        </is>
      </c>
      <c r="H398" s="370" t="n">
        <v>16300</v>
      </c>
      <c r="I398" s="372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65" t="n">
        <v>2852500</v>
      </c>
      <c r="G399" s="15" t="inlineStr">
        <is>
          <t>$</t>
        </is>
      </c>
      <c r="H399" s="361" t="n">
        <v>16300</v>
      </c>
      <c r="I399" s="360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3" t="inlineStr">
        <is>
          <t>Expense#25</t>
        </is>
      </c>
      <c r="C400" s="73" t="inlineStr">
        <is>
          <t>:</t>
        </is>
      </c>
      <c r="D400" s="352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59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55" t="n">
        <v>500000</v>
      </c>
      <c r="G402" s="91" t="inlineStr">
        <is>
          <t>IDR</t>
        </is>
      </c>
      <c r="H402" s="356" t="n">
        <v>1</v>
      </c>
      <c r="I402" s="360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59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55" t="n">
        <v>1500000</v>
      </c>
      <c r="G404" s="91" t="inlineStr">
        <is>
          <t>IDR</t>
        </is>
      </c>
      <c r="H404" s="356" t="n">
        <v>1</v>
      </c>
      <c r="I404" s="360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59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55" t="n">
        <v>16100000</v>
      </c>
      <c r="G406" s="91" t="inlineStr">
        <is>
          <t>USD</t>
        </is>
      </c>
      <c r="H406" s="356" t="n">
        <v>16100</v>
      </c>
      <c r="I406" s="360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59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55" t="n">
        <v>15166600</v>
      </c>
      <c r="G408" s="91" t="inlineStr">
        <is>
          <t>IDR</t>
        </is>
      </c>
      <c r="H408" s="356" t="n">
        <v>1</v>
      </c>
      <c r="I408" s="62" t="n"/>
      <c r="J408" s="44" t="n"/>
      <c r="K408" s="44" t="n"/>
      <c r="L408" s="44" t="n"/>
      <c r="M408" s="44" t="n"/>
      <c r="N408" s="360" t="n">
        <v>15166600</v>
      </c>
      <c r="O408" s="44" t="n"/>
      <c r="P408" s="44" t="n"/>
      <c r="Q408" s="44" t="n"/>
    </row>
    <row r="409" ht="15.5" customHeight="1" s="297">
      <c r="B409" s="352" t="inlineStr">
        <is>
          <t>Expense#26</t>
        </is>
      </c>
      <c r="C409" s="85" t="inlineStr">
        <is>
          <t>:</t>
        </is>
      </c>
      <c r="D409" s="353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4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58" t="n">
        <v>673500</v>
      </c>
      <c r="G411" s="15" t="inlineStr">
        <is>
          <t>IDR</t>
        </is>
      </c>
      <c r="H411" s="361" t="n">
        <v>1</v>
      </c>
      <c r="I411" s="357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4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58" t="n">
        <v>154000</v>
      </c>
      <c r="G413" s="15" t="inlineStr">
        <is>
          <t>IDR</t>
        </is>
      </c>
      <c r="H413" s="361" t="n">
        <v>1</v>
      </c>
      <c r="I413" s="357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58" t="n">
        <v>129000</v>
      </c>
      <c r="G414" s="15" t="inlineStr">
        <is>
          <t>IDR</t>
        </is>
      </c>
      <c r="H414" s="361" t="n">
        <v>1</v>
      </c>
      <c r="I414" s="357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58" t="n">
        <v>45000</v>
      </c>
      <c r="G415" s="15" t="inlineStr">
        <is>
          <t>IDR</t>
        </is>
      </c>
      <c r="H415" s="361" t="n">
        <v>1</v>
      </c>
      <c r="I415" s="357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0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58" t="n">
        <v>1591200</v>
      </c>
      <c r="G417" s="15" t="inlineStr">
        <is>
          <t>IDR</t>
        </is>
      </c>
      <c r="H417" s="361" t="n">
        <v>1</v>
      </c>
      <c r="I417" s="360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58" t="n">
        <v>795600</v>
      </c>
      <c r="G418" s="15" t="inlineStr">
        <is>
          <t>IDR</t>
        </is>
      </c>
      <c r="H418" s="361" t="n">
        <v>1</v>
      </c>
      <c r="I418" s="360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0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58" t="n">
        <v>750000</v>
      </c>
      <c r="G420" s="15" t="inlineStr">
        <is>
          <t>IDR</t>
        </is>
      </c>
      <c r="H420" s="361" t="n">
        <v>1</v>
      </c>
      <c r="I420" s="360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0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58" t="n">
        <v>250000</v>
      </c>
      <c r="G422" s="15" t="inlineStr">
        <is>
          <t>IDR</t>
        </is>
      </c>
      <c r="H422" s="361" t="n">
        <v>1</v>
      </c>
      <c r="I422" s="360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0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58" t="n">
        <v>500</v>
      </c>
      <c r="G424" s="15" t="inlineStr">
        <is>
          <t>IDR</t>
        </is>
      </c>
      <c r="H424" s="361" t="n">
        <v>15900</v>
      </c>
      <c r="I424" s="360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2" t="inlineStr">
        <is>
          <t>Expense#27</t>
        </is>
      </c>
      <c r="C425" s="85" t="inlineStr">
        <is>
          <t>:</t>
        </is>
      </c>
      <c r="D425" s="353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4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65" t="n">
        <v>164100</v>
      </c>
      <c r="G427" s="15" t="inlineStr">
        <is>
          <t>IDR</t>
        </is>
      </c>
      <c r="H427" s="361" t="n">
        <v>1</v>
      </c>
      <c r="I427" s="360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65" t="n">
        <v>291000</v>
      </c>
      <c r="G428" s="15" t="inlineStr">
        <is>
          <t>IDR</t>
        </is>
      </c>
      <c r="H428" s="361" t="n">
        <v>1</v>
      </c>
      <c r="I428" s="360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65" t="n">
        <v>177350</v>
      </c>
      <c r="G429" s="15" t="inlineStr">
        <is>
          <t>IDR</t>
        </is>
      </c>
      <c r="H429" s="361" t="n">
        <v>1</v>
      </c>
      <c r="I429" s="360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65" t="n">
        <v>319700</v>
      </c>
      <c r="G430" s="15" t="inlineStr">
        <is>
          <t>IDR</t>
        </is>
      </c>
      <c r="H430" s="361" t="n">
        <v>1</v>
      </c>
      <c r="I430" s="360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65" t="n">
        <v>217350</v>
      </c>
      <c r="G431" s="15" t="inlineStr">
        <is>
          <t>IDR</t>
        </is>
      </c>
      <c r="H431" s="361" t="n">
        <v>1</v>
      </c>
      <c r="I431" s="360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65" t="n">
        <v>144100</v>
      </c>
      <c r="G432" s="15" t="inlineStr">
        <is>
          <t>IDR</t>
        </is>
      </c>
      <c r="H432" s="361" t="n">
        <v>1</v>
      </c>
      <c r="I432" s="360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65" t="n">
        <v>157000</v>
      </c>
      <c r="G433" s="15" t="inlineStr">
        <is>
          <t>IDR</t>
        </is>
      </c>
      <c r="H433" s="361" t="n">
        <v>1</v>
      </c>
      <c r="I433" s="360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4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65" t="n">
        <v>81000</v>
      </c>
      <c r="G435" s="15" t="inlineStr">
        <is>
          <t>IDR</t>
        </is>
      </c>
      <c r="H435" s="361" t="n">
        <v>1</v>
      </c>
      <c r="I435" s="357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0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65" t="n">
        <v>5630000</v>
      </c>
      <c r="G437" s="15" t="inlineStr">
        <is>
          <t>IDR</t>
        </is>
      </c>
      <c r="H437" s="361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0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65" t="n">
        <v>460000</v>
      </c>
      <c r="G438" s="15" t="inlineStr">
        <is>
          <t>IDR</t>
        </is>
      </c>
      <c r="H438" s="361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0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65" t="n">
        <v>2108000</v>
      </c>
      <c r="G439" s="15" t="inlineStr">
        <is>
          <t>IDR</t>
        </is>
      </c>
      <c r="H439" s="361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0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65" t="n">
        <v>149850</v>
      </c>
      <c r="G440" s="15" t="inlineStr">
        <is>
          <t>IDR</t>
        </is>
      </c>
      <c r="H440" s="361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0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65" t="n">
        <v>285000</v>
      </c>
      <c r="G441" s="15" t="inlineStr">
        <is>
          <t>IDR</t>
        </is>
      </c>
      <c r="H441" s="361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0" t="n">
        <v>285000</v>
      </c>
      <c r="Q441" s="44" t="n"/>
    </row>
    <row r="442" ht="15.5" customHeight="1" s="297">
      <c r="B442" s="14" t="n"/>
      <c r="C442" s="15" t="n"/>
      <c r="D442" s="350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65" t="n">
        <v>285000</v>
      </c>
      <c r="G443" s="15" t="inlineStr">
        <is>
          <t>IDR</t>
        </is>
      </c>
      <c r="H443" s="361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0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65" t="n">
        <v>285000</v>
      </c>
      <c r="G444" s="15" t="inlineStr">
        <is>
          <t>IDR</t>
        </is>
      </c>
      <c r="H444" s="361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0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65" t="n">
        <v>75000</v>
      </c>
      <c r="G445" s="15" t="inlineStr">
        <is>
          <t>IDR</t>
        </is>
      </c>
      <c r="H445" s="361" t="n">
        <v>1</v>
      </c>
      <c r="I445" s="44" t="n"/>
      <c r="J445" s="44" t="n"/>
      <c r="K445" s="44" t="n"/>
      <c r="L445" s="44" t="n"/>
      <c r="M445" s="61" t="n"/>
      <c r="N445" s="360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65" t="n">
        <v>133000</v>
      </c>
      <c r="G446" s="15" t="inlineStr">
        <is>
          <t>IDR</t>
        </is>
      </c>
      <c r="H446" s="361" t="n">
        <v>1</v>
      </c>
      <c r="I446" s="68" t="n"/>
      <c r="J446" s="68" t="n"/>
      <c r="K446" s="68" t="n"/>
      <c r="L446" s="68" t="n"/>
      <c r="M446" s="68" t="n"/>
      <c r="N446" s="360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65" t="n">
        <v>700000</v>
      </c>
      <c r="G447" s="15" t="inlineStr">
        <is>
          <t>IDR</t>
        </is>
      </c>
      <c r="H447" s="361" t="n">
        <v>1</v>
      </c>
      <c r="I447" s="44" t="n"/>
      <c r="J447" s="44" t="n"/>
      <c r="K447" s="44" t="n"/>
      <c r="L447" s="44" t="n"/>
      <c r="M447" s="44" t="n"/>
      <c r="N447" s="360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65" t="n">
        <v>20000</v>
      </c>
      <c r="G448" s="15" t="inlineStr">
        <is>
          <t>IDR</t>
        </is>
      </c>
      <c r="H448" s="361" t="n">
        <v>1</v>
      </c>
      <c r="I448" s="44" t="n"/>
      <c r="J448" s="44" t="n"/>
      <c r="K448" s="44" t="n"/>
      <c r="L448" s="44" t="n"/>
      <c r="M448" s="44" t="n"/>
      <c r="N448" s="360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65" t="n">
        <v>155000</v>
      </c>
      <c r="G449" s="15" t="inlineStr">
        <is>
          <t>IDR</t>
        </is>
      </c>
      <c r="H449" s="361" t="n">
        <v>1</v>
      </c>
      <c r="I449" s="44" t="n"/>
      <c r="J449" s="44" t="n"/>
      <c r="K449" s="44" t="n"/>
      <c r="L449" s="44" t="n"/>
      <c r="M449" s="44" t="n"/>
      <c r="N449" s="360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65" t="n">
        <v>660000</v>
      </c>
      <c r="G450" s="15" t="inlineStr">
        <is>
          <t>IDR</t>
        </is>
      </c>
      <c r="H450" s="361" t="n">
        <v>1</v>
      </c>
      <c r="I450" s="44" t="n"/>
      <c r="J450" s="44" t="n"/>
      <c r="K450" s="44" t="n"/>
      <c r="L450" s="44" t="n"/>
      <c r="M450" s="44" t="n"/>
      <c r="N450" s="360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0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65" t="n">
        <v>1760000</v>
      </c>
      <c r="G452" s="15" t="inlineStr">
        <is>
          <t>IDR</t>
        </is>
      </c>
      <c r="H452" s="361" t="n">
        <v>1</v>
      </c>
      <c r="I452" s="62" t="n"/>
      <c r="J452" s="44" t="n"/>
      <c r="K452" s="44" t="n"/>
      <c r="L452" s="44" t="n"/>
      <c r="M452" s="44" t="n"/>
      <c r="N452" s="360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65" t="n">
        <v>2636800</v>
      </c>
      <c r="G453" s="15" t="inlineStr">
        <is>
          <t>IDR</t>
        </is>
      </c>
      <c r="H453" s="361" t="n">
        <v>1</v>
      </c>
      <c r="I453" s="62" t="n"/>
      <c r="J453" s="44" t="n"/>
      <c r="K453" s="44" t="n"/>
      <c r="L453" s="44" t="n"/>
      <c r="M453" s="44" t="n"/>
      <c r="N453" s="360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2" t="inlineStr">
        <is>
          <t>Expense#28</t>
        </is>
      </c>
      <c r="C455" s="85" t="inlineStr">
        <is>
          <t>:</t>
        </is>
      </c>
      <c r="D455" s="353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4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65" t="n">
        <v>11000000</v>
      </c>
      <c r="G457" s="15" t="inlineStr">
        <is>
          <t>IDR</t>
        </is>
      </c>
      <c r="H457" s="361" t="n">
        <v>1</v>
      </c>
      <c r="I457" s="357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65" t="n">
        <v>483000</v>
      </c>
      <c r="G458" s="15" t="inlineStr">
        <is>
          <t>IDR</t>
        </is>
      </c>
      <c r="H458" s="361" t="n">
        <v>1</v>
      </c>
      <c r="I458" s="357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65" t="n">
        <v>496000</v>
      </c>
      <c r="G459" s="15" t="inlineStr">
        <is>
          <t>IDR</t>
        </is>
      </c>
      <c r="H459" s="361" t="n">
        <v>1</v>
      </c>
      <c r="I459" s="357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0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65" t="n">
        <v>500000</v>
      </c>
      <c r="G461" s="15" t="inlineStr">
        <is>
          <t>IDR</t>
        </is>
      </c>
      <c r="H461" s="361" t="n">
        <v>1</v>
      </c>
      <c r="I461" s="360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65" t="n">
        <v>2700000</v>
      </c>
      <c r="G462" s="15" t="inlineStr">
        <is>
          <t>IDR</t>
        </is>
      </c>
      <c r="H462" s="361" t="n">
        <v>1</v>
      </c>
      <c r="I462" s="360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0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65" t="n">
        <v>199900</v>
      </c>
      <c r="G464" s="15" t="inlineStr">
        <is>
          <t>IDR</t>
        </is>
      </c>
      <c r="H464" s="361" t="n">
        <v>1</v>
      </c>
      <c r="I464" s="360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65" t="n">
        <v>69000</v>
      </c>
      <c r="G465" s="15" t="inlineStr">
        <is>
          <t>IDR</t>
        </is>
      </c>
      <c r="H465" s="361" t="n">
        <v>1</v>
      </c>
      <c r="I465" s="360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65" t="n">
        <v>98000</v>
      </c>
      <c r="G466" s="15" t="inlineStr">
        <is>
          <t>IDR</t>
        </is>
      </c>
      <c r="H466" s="361" t="n">
        <v>1</v>
      </c>
      <c r="I466" s="360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65" t="n">
        <v>109800</v>
      </c>
      <c r="G467" s="15" t="inlineStr">
        <is>
          <t>IDR</t>
        </is>
      </c>
      <c r="H467" s="361" t="n">
        <v>1</v>
      </c>
      <c r="I467" s="360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65" t="n">
        <v>96600</v>
      </c>
      <c r="G468" s="15" t="inlineStr">
        <is>
          <t>IDR</t>
        </is>
      </c>
      <c r="H468" s="361" t="n">
        <v>1</v>
      </c>
      <c r="I468" s="360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65" t="n">
        <v>56600</v>
      </c>
      <c r="G469" s="15" t="inlineStr">
        <is>
          <t>IDR</t>
        </is>
      </c>
      <c r="H469" s="361" t="n">
        <v>1</v>
      </c>
      <c r="I469" s="360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65" t="n">
        <v>118100</v>
      </c>
      <c r="G470" s="15" t="inlineStr">
        <is>
          <t>IDR</t>
        </is>
      </c>
      <c r="H470" s="361" t="n">
        <v>1</v>
      </c>
      <c r="I470" s="360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65" t="n">
        <v>275000</v>
      </c>
      <c r="G471" s="15" t="inlineStr">
        <is>
          <t>IDR</t>
        </is>
      </c>
      <c r="H471" s="361" t="n">
        <v>1</v>
      </c>
      <c r="I471" s="360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65" t="n">
        <v>157000</v>
      </c>
      <c r="G472" s="15" t="inlineStr">
        <is>
          <t>IDR</t>
        </is>
      </c>
      <c r="H472" s="361" t="n">
        <v>1</v>
      </c>
      <c r="I472" s="360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65" t="n">
        <v>80000</v>
      </c>
      <c r="G473" s="15" t="inlineStr">
        <is>
          <t>IDR</t>
        </is>
      </c>
      <c r="H473" s="361" t="n">
        <v>1</v>
      </c>
      <c r="I473" s="360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65" t="n">
        <v>270350</v>
      </c>
      <c r="G474" s="15" t="inlineStr">
        <is>
          <t>IDR</t>
        </is>
      </c>
      <c r="H474" s="361" t="n">
        <v>1</v>
      </c>
      <c r="I474" s="360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65" t="n">
        <v>401000</v>
      </c>
      <c r="G475" s="15" t="inlineStr">
        <is>
          <t>IDR</t>
        </is>
      </c>
      <c r="H475" s="361" t="n">
        <v>1</v>
      </c>
      <c r="I475" s="360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0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65" t="n">
        <v>1500000</v>
      </c>
      <c r="G477" s="15" t="inlineStr">
        <is>
          <t>IDR</t>
        </is>
      </c>
      <c r="H477" s="361" t="n">
        <v>1</v>
      </c>
      <c r="I477" s="360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65" t="n">
        <v>16100000</v>
      </c>
      <c r="G478" s="15" t="inlineStr">
        <is>
          <t>USD</t>
        </is>
      </c>
      <c r="H478" s="361" t="n">
        <v>16100</v>
      </c>
      <c r="I478" s="360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65" t="n">
        <v>34200</v>
      </c>
      <c r="G479" s="15" t="inlineStr">
        <is>
          <t>IDR</t>
        </is>
      </c>
      <c r="H479" s="361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0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65" t="n">
        <v>65000</v>
      </c>
      <c r="G480" s="15" t="inlineStr">
        <is>
          <t>IDR</t>
        </is>
      </c>
      <c r="H480" s="361" t="n">
        <v>1</v>
      </c>
      <c r="I480" s="62" t="n"/>
      <c r="J480" s="44" t="n"/>
      <c r="K480" s="44" t="n"/>
      <c r="L480" s="44" t="n"/>
      <c r="M480" s="61" t="n"/>
      <c r="N480" s="360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65" t="n">
        <v>72500</v>
      </c>
      <c r="G481" s="15" t="inlineStr">
        <is>
          <t>IDR</t>
        </is>
      </c>
      <c r="H481" s="361" t="n">
        <v>1</v>
      </c>
      <c r="I481" s="62" t="n"/>
      <c r="J481" s="44" t="n"/>
      <c r="K481" s="44" t="n"/>
      <c r="L481" s="44" t="n"/>
      <c r="M481" s="62" t="n"/>
      <c r="N481" s="360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0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65" t="n">
        <v>400000</v>
      </c>
      <c r="G483" s="15" t="inlineStr">
        <is>
          <t>IDR</t>
        </is>
      </c>
      <c r="H483" s="361" t="n">
        <v>1</v>
      </c>
      <c r="I483" s="62" t="n"/>
      <c r="J483" s="44" t="n"/>
      <c r="K483" s="44" t="n"/>
      <c r="L483" s="44" t="n"/>
      <c r="M483" s="44" t="n"/>
      <c r="N483" s="360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0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65" t="n">
        <v>60000</v>
      </c>
      <c r="G485" s="15" t="inlineStr">
        <is>
          <t>IDR</t>
        </is>
      </c>
      <c r="H485" s="361" t="n">
        <v>1</v>
      </c>
      <c r="I485" s="62" t="n"/>
      <c r="J485" s="44" t="n"/>
      <c r="K485" s="44" t="n"/>
      <c r="L485" s="44" t="n"/>
      <c r="M485" s="44" t="n"/>
      <c r="N485" s="360" t="n">
        <v>60000</v>
      </c>
      <c r="O485" s="44" t="n"/>
      <c r="P485" s="44" t="n"/>
      <c r="Q485" s="44" t="n"/>
    </row>
    <row r="486" ht="15.5" customFormat="1" customHeight="1" s="126">
      <c r="B486" s="352" t="inlineStr">
        <is>
          <t>Expense#29</t>
        </is>
      </c>
      <c r="C486" s="85" t="inlineStr">
        <is>
          <t>:</t>
        </is>
      </c>
      <c r="D486" s="353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59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55" t="n">
        <v>159682</v>
      </c>
      <c r="G488" s="91" t="inlineStr">
        <is>
          <t>IDR</t>
        </is>
      </c>
      <c r="H488" s="356" t="n">
        <v>1</v>
      </c>
      <c r="I488" s="360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55" t="n">
        <v>500000</v>
      </c>
      <c r="G489" s="91" t="inlineStr">
        <is>
          <t>IDR</t>
        </is>
      </c>
      <c r="H489" s="356" t="n">
        <v>1</v>
      </c>
      <c r="I489" s="360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59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55" t="n">
        <v>276500</v>
      </c>
      <c r="G491" s="91" t="inlineStr">
        <is>
          <t>IDR</t>
        </is>
      </c>
      <c r="H491" s="356" t="n">
        <v>1</v>
      </c>
      <c r="I491" s="357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55" t="n">
        <v>63568</v>
      </c>
      <c r="G492" s="91" t="inlineStr">
        <is>
          <t>IDR</t>
        </is>
      </c>
      <c r="H492" s="356" t="n">
        <v>1</v>
      </c>
      <c r="I492" s="357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55" t="n">
        <v>161885</v>
      </c>
      <c r="G493" s="91" t="inlineStr">
        <is>
          <t>IDR</t>
        </is>
      </c>
      <c r="H493" s="356" t="n">
        <v>1</v>
      </c>
      <c r="I493" s="357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59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55" t="n">
        <v>263200</v>
      </c>
      <c r="G495" s="91" t="inlineStr">
        <is>
          <t>IDR</t>
        </is>
      </c>
      <c r="H495" s="356" t="n">
        <v>1</v>
      </c>
      <c r="I495" s="360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59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56" t="n">
        <v>1</v>
      </c>
      <c r="I497" s="360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59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55" t="n">
        <v>15513000</v>
      </c>
      <c r="G499" s="91" t="inlineStr">
        <is>
          <t>USD</t>
        </is>
      </c>
      <c r="H499" s="356" t="n">
        <v>15513</v>
      </c>
      <c r="I499" s="360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59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55" t="n">
        <v>144900</v>
      </c>
      <c r="G501" s="91" t="inlineStr">
        <is>
          <t>IDR</t>
        </is>
      </c>
      <c r="H501" s="356" t="n">
        <v>1</v>
      </c>
      <c r="I501" s="62" t="n"/>
      <c r="J501" s="44" t="n"/>
      <c r="K501" s="44" t="n"/>
      <c r="L501" s="44" t="n"/>
      <c r="M501" s="61" t="n"/>
      <c r="N501" s="360" t="n">
        <v>144900</v>
      </c>
      <c r="O501" s="44" t="n"/>
      <c r="P501" s="44" t="n"/>
      <c r="Q501" s="44" t="n"/>
    </row>
    <row r="502" ht="15.5" customHeight="1" s="297">
      <c r="B502" s="352" t="inlineStr">
        <is>
          <t>Expense#30</t>
        </is>
      </c>
      <c r="C502" s="85" t="inlineStr">
        <is>
          <t>:</t>
        </is>
      </c>
      <c r="D502" s="353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0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65" t="n">
        <v>900000</v>
      </c>
      <c r="G504" s="15" t="inlineStr">
        <is>
          <t>IDR</t>
        </is>
      </c>
      <c r="H504" s="361" t="n">
        <v>1</v>
      </c>
      <c r="I504" s="360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65" t="n">
        <v>300000</v>
      </c>
      <c r="G505" s="15" t="inlineStr">
        <is>
          <t>IDR</t>
        </is>
      </c>
      <c r="H505" s="361" t="n">
        <v>1</v>
      </c>
      <c r="I505" s="360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0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65" t="n">
        <v>2317500</v>
      </c>
      <c r="G507" s="15" t="inlineStr">
        <is>
          <t>$</t>
        </is>
      </c>
      <c r="H507" s="361" t="n">
        <v>15450</v>
      </c>
      <c r="I507" s="360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2" t="inlineStr">
        <is>
          <t>Expense#31</t>
        </is>
      </c>
      <c r="C508" s="85" t="inlineStr">
        <is>
          <t>:</t>
        </is>
      </c>
      <c r="D508" s="353" t="inlineStr">
        <is>
          <t>ALFA PMB-009 (Cancel)_ TMA</t>
        </is>
      </c>
      <c r="E508" s="86" t="n"/>
      <c r="F508" s="87" t="n"/>
      <c r="G508" s="73" t="n"/>
      <c r="H508" s="73" t="n"/>
      <c r="I508" s="374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59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55" t="n">
        <v>1800000</v>
      </c>
      <c r="G510" s="91" t="inlineStr">
        <is>
          <t>IDR</t>
        </is>
      </c>
      <c r="H510" s="356" t="n">
        <v>1</v>
      </c>
      <c r="I510" s="360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55" t="n">
        <v>300000</v>
      </c>
      <c r="G511" s="91" t="inlineStr">
        <is>
          <t>IDR</t>
        </is>
      </c>
      <c r="H511" s="356" t="n">
        <v>1</v>
      </c>
      <c r="I511" s="360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59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55" t="n">
        <v>904682</v>
      </c>
      <c r="G513" s="91" t="inlineStr">
        <is>
          <t>IDR</t>
        </is>
      </c>
      <c r="H513" s="356" t="n">
        <v>1</v>
      </c>
      <c r="I513" s="357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55" t="n">
        <v>256500</v>
      </c>
      <c r="G514" s="91" t="inlineStr">
        <is>
          <t>IDR</t>
        </is>
      </c>
      <c r="H514" s="356" t="n">
        <v>1</v>
      </c>
      <c r="I514" s="357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55" t="n">
        <v>224000</v>
      </c>
      <c r="G515" s="91" t="inlineStr">
        <is>
          <t>IDR</t>
        </is>
      </c>
      <c r="H515" s="356" t="n">
        <v>1</v>
      </c>
      <c r="I515" s="357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55" t="n">
        <v>3000000</v>
      </c>
      <c r="G516" s="91" t="inlineStr">
        <is>
          <t>IDR</t>
        </is>
      </c>
      <c r="H516" s="356" t="n">
        <v>1</v>
      </c>
      <c r="I516" s="357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55" t="n">
        <v>400000</v>
      </c>
      <c r="G517" s="91" t="inlineStr">
        <is>
          <t>IDR</t>
        </is>
      </c>
      <c r="H517" s="356" t="n">
        <v>1</v>
      </c>
      <c r="I517" s="357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55" t="n">
        <v>310660</v>
      </c>
      <c r="G518" s="91" t="inlineStr">
        <is>
          <t>IDR</t>
        </is>
      </c>
      <c r="H518" s="356" t="n">
        <v>1</v>
      </c>
      <c r="I518" s="357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55" t="n">
        <v>836100</v>
      </c>
      <c r="G519" s="91" t="inlineStr">
        <is>
          <t>IDR</t>
        </is>
      </c>
      <c r="H519" s="356" t="n">
        <v>1</v>
      </c>
      <c r="I519" s="357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59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55" t="n">
        <v>9262800</v>
      </c>
      <c r="G521" s="91" t="inlineStr">
        <is>
          <t>USD</t>
        </is>
      </c>
      <c r="H521" s="356" t="n">
        <v>15438</v>
      </c>
      <c r="I521" s="360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55" t="n">
        <v>900000</v>
      </c>
      <c r="G522" s="91" t="inlineStr">
        <is>
          <t>IDR</t>
        </is>
      </c>
      <c r="H522" s="356" t="n">
        <v>1</v>
      </c>
      <c r="I522" s="360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2" t="inlineStr">
        <is>
          <t>Expense#32</t>
        </is>
      </c>
      <c r="C523" s="85" t="inlineStr">
        <is>
          <t>:</t>
        </is>
      </c>
      <c r="D523" s="353" t="inlineStr">
        <is>
          <t>ALFA PMB-009 (Cancel)_ TMA</t>
        </is>
      </c>
      <c r="E523" s="86" t="n"/>
      <c r="F523" s="87" t="n"/>
      <c r="G523" s="73" t="n"/>
      <c r="H523" s="73" t="n"/>
      <c r="I523" s="374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5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65" t="n">
        <v>241280</v>
      </c>
      <c r="G525" s="18" t="inlineStr">
        <is>
          <t>IDR</t>
        </is>
      </c>
      <c r="H525" s="376" t="n">
        <v>1</v>
      </c>
      <c r="I525" s="357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65" t="n">
        <v>250000</v>
      </c>
      <c r="G526" s="18" t="inlineStr">
        <is>
          <t>IDR</t>
        </is>
      </c>
      <c r="H526" s="376" t="n">
        <v>1</v>
      </c>
      <c r="I526" s="357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65" t="n">
        <v>240000</v>
      </c>
      <c r="G527" s="18" t="inlineStr">
        <is>
          <t>IDR</t>
        </is>
      </c>
      <c r="H527" s="376" t="n">
        <v>1</v>
      </c>
      <c r="I527" s="357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77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65" t="n">
        <v>750000</v>
      </c>
      <c r="G529" s="18" t="inlineStr">
        <is>
          <t>IDR</t>
        </is>
      </c>
      <c r="H529" s="376" t="n">
        <v>1</v>
      </c>
      <c r="I529" s="360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77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65" t="n">
        <v>250000</v>
      </c>
      <c r="G531" s="18" t="inlineStr">
        <is>
          <t>IDR</t>
        </is>
      </c>
      <c r="H531" s="376" t="n">
        <v>1</v>
      </c>
      <c r="I531" s="360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0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65" t="n">
        <v>500</v>
      </c>
      <c r="G533" s="18" t="inlineStr">
        <is>
          <t>IDR</t>
        </is>
      </c>
      <c r="H533" s="376" t="n">
        <v>15100</v>
      </c>
      <c r="I533" s="360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2" t="inlineStr">
        <is>
          <t>Expense#33</t>
        </is>
      </c>
      <c r="C534" s="85" t="inlineStr">
        <is>
          <t>:</t>
        </is>
      </c>
      <c r="D534" s="353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59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55" t="n">
        <v>1680000</v>
      </c>
      <c r="G536" s="91" t="inlineStr">
        <is>
          <t>IDR</t>
        </is>
      </c>
      <c r="H536" s="356" t="n">
        <v>1</v>
      </c>
      <c r="I536" s="357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55" t="n">
        <v>350000</v>
      </c>
      <c r="G537" s="91" t="inlineStr">
        <is>
          <t>IDR</t>
        </is>
      </c>
      <c r="H537" s="356" t="n">
        <v>1</v>
      </c>
      <c r="I537" s="360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59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55" t="n">
        <v>200000</v>
      </c>
      <c r="G539" s="91" t="inlineStr">
        <is>
          <t>IDR</t>
        </is>
      </c>
      <c r="H539" s="356" t="n">
        <v>1</v>
      </c>
      <c r="I539" s="357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55" t="n">
        <v>215000</v>
      </c>
      <c r="G540" s="91" t="inlineStr">
        <is>
          <t>IDR</t>
        </is>
      </c>
      <c r="H540" s="356" t="n">
        <v>1</v>
      </c>
      <c r="I540" s="357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55" t="n">
        <v>197000</v>
      </c>
      <c r="G541" s="91" t="inlineStr">
        <is>
          <t>IDR</t>
        </is>
      </c>
      <c r="H541" s="356" t="n">
        <v>1</v>
      </c>
      <c r="I541" s="357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55" t="n">
        <v>200000</v>
      </c>
      <c r="G542" s="91" t="inlineStr">
        <is>
          <t>IDR</t>
        </is>
      </c>
      <c r="H542" s="356" t="n">
        <v>1</v>
      </c>
      <c r="I542" s="357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55" t="n">
        <v>220000</v>
      </c>
      <c r="G543" s="91" t="inlineStr">
        <is>
          <t>IDR</t>
        </is>
      </c>
      <c r="H543" s="356" t="n">
        <v>1</v>
      </c>
      <c r="I543" s="357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55" t="n">
        <v>112000</v>
      </c>
      <c r="G544" s="91" t="inlineStr">
        <is>
          <t>IDR</t>
        </is>
      </c>
      <c r="H544" s="356" t="n">
        <v>1</v>
      </c>
      <c r="I544" s="357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55" t="n">
        <v>117000</v>
      </c>
      <c r="G545" s="91" t="inlineStr">
        <is>
          <t>IDR</t>
        </is>
      </c>
      <c r="H545" s="356" t="n">
        <v>1</v>
      </c>
      <c r="I545" s="357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55" t="n">
        <v>40000</v>
      </c>
      <c r="G546" s="91" t="inlineStr">
        <is>
          <t>IDR</t>
        </is>
      </c>
      <c r="H546" s="356" t="n">
        <v>1</v>
      </c>
      <c r="I546" s="357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59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55" t="n">
        <v>65000</v>
      </c>
      <c r="G548" s="91" t="inlineStr">
        <is>
          <t>IDR</t>
        </is>
      </c>
      <c r="H548" s="356" t="n">
        <v>1</v>
      </c>
      <c r="I548" s="360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55" t="n">
        <v>150000</v>
      </c>
      <c r="G549" s="91" t="inlineStr">
        <is>
          <t>IDR</t>
        </is>
      </c>
      <c r="H549" s="356" t="n">
        <v>1</v>
      </c>
      <c r="I549" s="360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55" t="n">
        <v>120000</v>
      </c>
      <c r="G550" s="91" t="inlineStr">
        <is>
          <t>IDR</t>
        </is>
      </c>
      <c r="H550" s="356" t="n">
        <v>1</v>
      </c>
      <c r="I550" s="360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55" t="n">
        <v>172000</v>
      </c>
      <c r="G551" s="91" t="inlineStr">
        <is>
          <t>IDR</t>
        </is>
      </c>
      <c r="H551" s="356" t="n">
        <v>1</v>
      </c>
      <c r="I551" s="360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55" t="n">
        <v>300000</v>
      </c>
      <c r="G552" s="91" t="inlineStr">
        <is>
          <t>IDR</t>
        </is>
      </c>
      <c r="H552" s="356" t="n">
        <v>1</v>
      </c>
      <c r="I552" s="360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55" t="n">
        <v>65000</v>
      </c>
      <c r="G553" s="91" t="inlineStr">
        <is>
          <t>IDR</t>
        </is>
      </c>
      <c r="H553" s="356" t="n">
        <v>1</v>
      </c>
      <c r="I553" s="360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55" t="n">
        <v>200000</v>
      </c>
      <c r="G554" s="91" t="inlineStr">
        <is>
          <t>IDR</t>
        </is>
      </c>
      <c r="H554" s="356" t="n">
        <v>1</v>
      </c>
      <c r="I554" s="360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55" t="n">
        <v>240000</v>
      </c>
      <c r="G555" s="91" t="inlineStr">
        <is>
          <t>IDR</t>
        </is>
      </c>
      <c r="H555" s="356" t="n">
        <v>1</v>
      </c>
      <c r="I555" s="360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55" t="n">
        <v>230000</v>
      </c>
      <c r="G556" s="91" t="inlineStr">
        <is>
          <t>IDR</t>
        </is>
      </c>
      <c r="H556" s="356" t="n">
        <v>1</v>
      </c>
      <c r="I556" s="360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55" t="n">
        <v>110000</v>
      </c>
      <c r="G557" s="91" t="inlineStr">
        <is>
          <t>IDR</t>
        </is>
      </c>
      <c r="H557" s="356" t="n">
        <v>1</v>
      </c>
      <c r="I557" s="360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55" t="n">
        <v>47000</v>
      </c>
      <c r="G558" s="91" t="inlineStr">
        <is>
          <t>IDR</t>
        </is>
      </c>
      <c r="H558" s="356" t="n">
        <v>1</v>
      </c>
      <c r="I558" s="360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59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55" t="n">
        <v>2668750</v>
      </c>
      <c r="G560" s="91" t="inlineStr">
        <is>
          <t>USD</t>
        </is>
      </c>
      <c r="H560" s="356" t="n">
        <v>15250</v>
      </c>
      <c r="I560" s="360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55" t="n">
        <v>1050000</v>
      </c>
      <c r="G561" s="91" t="inlineStr">
        <is>
          <t>IDR</t>
        </is>
      </c>
      <c r="H561" s="356" t="n">
        <v>1</v>
      </c>
      <c r="I561" s="360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2" t="inlineStr">
        <is>
          <t>Expense#34</t>
        </is>
      </c>
      <c r="C562" s="85" t="inlineStr">
        <is>
          <t>:</t>
        </is>
      </c>
      <c r="D562" s="353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4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65" t="n">
        <v>796800</v>
      </c>
      <c r="G564" s="15" t="inlineStr">
        <is>
          <t>IDR</t>
        </is>
      </c>
      <c r="H564" s="361" t="n">
        <v>1</v>
      </c>
      <c r="I564" s="357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65" t="n">
        <v>804500</v>
      </c>
      <c r="G565" s="15" t="inlineStr">
        <is>
          <t>IDR</t>
        </is>
      </c>
      <c r="H565" s="361" t="n">
        <v>1</v>
      </c>
      <c r="I565" s="357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4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65" t="n">
        <v>250000</v>
      </c>
      <c r="G567" s="15" t="inlineStr">
        <is>
          <t>IDR</t>
        </is>
      </c>
      <c r="H567" s="361" t="n">
        <v>1</v>
      </c>
      <c r="I567" s="357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65" t="n">
        <v>250000</v>
      </c>
      <c r="G568" s="15" t="inlineStr">
        <is>
          <t>IDR</t>
        </is>
      </c>
      <c r="H568" s="361" t="n">
        <v>1</v>
      </c>
      <c r="I568" s="357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65" t="n">
        <v>4000000</v>
      </c>
      <c r="G569" s="15" t="inlineStr">
        <is>
          <t>IDR</t>
        </is>
      </c>
      <c r="H569" s="361" t="n">
        <v>1</v>
      </c>
      <c r="I569" s="357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0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0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65" t="n">
        <v>400000</v>
      </c>
      <c r="G572" s="15" t="inlineStr">
        <is>
          <t>IDR</t>
        </is>
      </c>
      <c r="H572" s="361" t="n">
        <v>1</v>
      </c>
      <c r="I572" s="357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0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65" t="n">
        <v>900000</v>
      </c>
      <c r="G574" s="15" t="inlineStr">
        <is>
          <t>IDR</t>
        </is>
      </c>
      <c r="H574" s="361" t="n">
        <v>1</v>
      </c>
      <c r="I574" s="360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0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65" t="n">
        <v>12160000</v>
      </c>
      <c r="G576" s="15" t="inlineStr">
        <is>
          <t>USD</t>
        </is>
      </c>
      <c r="H576" s="361" t="n">
        <v>15200</v>
      </c>
      <c r="I576" s="360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2" t="inlineStr">
        <is>
          <t>Expense#35</t>
        </is>
      </c>
      <c r="C577" s="85" t="inlineStr">
        <is>
          <t>:</t>
        </is>
      </c>
      <c r="D577" s="353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0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65" t="n">
        <v>274000</v>
      </c>
      <c r="G579" s="18" t="inlineStr">
        <is>
          <t>IDR</t>
        </is>
      </c>
      <c r="H579" s="378" t="n">
        <v>1</v>
      </c>
      <c r="I579" s="357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65" t="n">
        <v>144500</v>
      </c>
      <c r="G580" s="18" t="inlineStr">
        <is>
          <t>IDR</t>
        </is>
      </c>
      <c r="H580" s="378" t="n">
        <v>1</v>
      </c>
      <c r="I580" s="357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65" t="n">
        <v>160000</v>
      </c>
      <c r="G581" s="18" t="inlineStr">
        <is>
          <t>IDR</t>
        </is>
      </c>
      <c r="H581" s="378" t="n">
        <v>1</v>
      </c>
      <c r="I581" s="357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65" t="n">
        <v>232500</v>
      </c>
      <c r="G582" s="18" t="inlineStr">
        <is>
          <t>IDR</t>
        </is>
      </c>
      <c r="H582" s="378" t="n">
        <v>1</v>
      </c>
      <c r="I582" s="357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65" t="n">
        <v>256800</v>
      </c>
      <c r="G583" s="18" t="inlineStr">
        <is>
          <t>IDR</t>
        </is>
      </c>
      <c r="H583" s="378" t="n">
        <v>1</v>
      </c>
      <c r="I583" s="357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65" t="n">
        <v>64500</v>
      </c>
      <c r="G584" s="18" t="inlineStr">
        <is>
          <t>IDR</t>
        </is>
      </c>
      <c r="H584" s="378" t="n">
        <v>1</v>
      </c>
      <c r="I584" s="357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65" t="n">
        <v>64500</v>
      </c>
      <c r="G585" s="18" t="inlineStr">
        <is>
          <t>IDR</t>
        </is>
      </c>
      <c r="H585" s="378" t="n">
        <v>1</v>
      </c>
      <c r="I585" s="357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65" t="n">
        <v>112500</v>
      </c>
      <c r="G586" s="18" t="inlineStr">
        <is>
          <t>IDR</t>
        </is>
      </c>
      <c r="H586" s="378" t="n">
        <v>1</v>
      </c>
      <c r="I586" s="357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65" t="n">
        <v>50500</v>
      </c>
      <c r="G587" s="18" t="inlineStr">
        <is>
          <t>IDR</t>
        </is>
      </c>
      <c r="H587" s="378" t="n">
        <v>1</v>
      </c>
      <c r="I587" s="357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65" t="n">
        <v>59000</v>
      </c>
      <c r="G588" s="18" t="inlineStr">
        <is>
          <t>IDR</t>
        </is>
      </c>
      <c r="H588" s="378" t="n">
        <v>1</v>
      </c>
      <c r="I588" s="357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79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65" t="n">
        <v>245000</v>
      </c>
      <c r="G590" s="18" t="inlineStr">
        <is>
          <t>IDR</t>
        </is>
      </c>
      <c r="H590" s="378" t="n">
        <v>1</v>
      </c>
      <c r="I590" s="357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0" t="n">
        <v>180000</v>
      </c>
      <c r="G591" s="18" t="inlineStr">
        <is>
          <t>IDR</t>
        </is>
      </c>
      <c r="H591" s="378" t="n">
        <v>1</v>
      </c>
      <c r="I591" s="357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0" t="n">
        <v>166000</v>
      </c>
      <c r="G592" s="18" t="inlineStr">
        <is>
          <t>IDR</t>
        </is>
      </c>
      <c r="H592" s="378" t="n">
        <v>1</v>
      </c>
      <c r="I592" s="357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0" t="n">
        <v>222650</v>
      </c>
      <c r="G593" s="18" t="inlineStr">
        <is>
          <t>IDR</t>
        </is>
      </c>
      <c r="H593" s="378" t="n">
        <v>1</v>
      </c>
      <c r="I593" s="357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77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65" t="n">
        <v>700000</v>
      </c>
      <c r="G595" s="18" t="inlineStr">
        <is>
          <t>IDR</t>
        </is>
      </c>
      <c r="H595" s="378" t="n">
        <v>1</v>
      </c>
      <c r="I595" s="360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0" t="n">
        <v>100000</v>
      </c>
      <c r="G596" s="18" t="inlineStr">
        <is>
          <t>IDR</t>
        </is>
      </c>
      <c r="H596" s="378" t="n">
        <v>1</v>
      </c>
      <c r="I596" s="360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77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65" t="n">
        <v>171000</v>
      </c>
      <c r="G598" s="18" t="inlineStr">
        <is>
          <t>IDR</t>
        </is>
      </c>
      <c r="H598" s="378" t="n">
        <v>1</v>
      </c>
      <c r="I598" s="360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65" t="n">
        <v>300000</v>
      </c>
      <c r="G599" s="18" t="inlineStr">
        <is>
          <t>IDR</t>
        </is>
      </c>
      <c r="H599" s="378" t="n">
        <v>1</v>
      </c>
      <c r="I599" s="360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2" t="inlineStr">
        <is>
          <t>Expense#36</t>
        </is>
      </c>
      <c r="C600" s="85" t="inlineStr">
        <is>
          <t>:</t>
        </is>
      </c>
      <c r="D600" s="353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4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65" t="n">
        <v>10000</v>
      </c>
      <c r="G602" s="15" t="inlineStr">
        <is>
          <t>IDR</t>
        </is>
      </c>
      <c r="H602" s="361" t="n">
        <v>1</v>
      </c>
      <c r="I602" s="360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65" t="n">
        <v>18000</v>
      </c>
      <c r="G603" s="15" t="inlineStr">
        <is>
          <t>IDR</t>
        </is>
      </c>
      <c r="H603" s="361" t="n">
        <v>1</v>
      </c>
      <c r="I603" s="360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65" t="n">
        <v>18000</v>
      </c>
      <c r="G604" s="15" t="inlineStr">
        <is>
          <t>IDR</t>
        </is>
      </c>
      <c r="H604" s="361" t="n">
        <v>1</v>
      </c>
      <c r="I604" s="360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65" t="n">
        <v>25000</v>
      </c>
      <c r="G605" s="15" t="inlineStr">
        <is>
          <t>IDR</t>
        </is>
      </c>
      <c r="H605" s="361" t="n">
        <v>1</v>
      </c>
      <c r="I605" s="360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65" t="n">
        <v>31000</v>
      </c>
      <c r="G606" s="15" t="inlineStr">
        <is>
          <t>IDR</t>
        </is>
      </c>
      <c r="H606" s="361" t="n">
        <v>1</v>
      </c>
      <c r="I606" s="360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65" t="n">
        <v>854100</v>
      </c>
      <c r="G607" s="15" t="inlineStr">
        <is>
          <t>IDR</t>
        </is>
      </c>
      <c r="H607" s="361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0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65" t="n">
        <v>285000</v>
      </c>
      <c r="G608" s="15" t="inlineStr">
        <is>
          <t>IDR</t>
        </is>
      </c>
      <c r="H608" s="361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0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65" t="n">
        <v>285000</v>
      </c>
      <c r="G609" s="15" t="inlineStr">
        <is>
          <t>IDR</t>
        </is>
      </c>
      <c r="H609" s="361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0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65" t="n">
        <v>285000</v>
      </c>
      <c r="G610" s="15" t="inlineStr">
        <is>
          <t>IDR</t>
        </is>
      </c>
      <c r="H610" s="361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0" t="n">
        <v>285000</v>
      </c>
      <c r="Q610" s="44" t="n"/>
    </row>
    <row r="611" ht="15.5" customHeight="1" s="297">
      <c r="B611" s="102" t="n"/>
      <c r="C611" s="15" t="n"/>
      <c r="D611" s="364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65" t="n">
        <v>2906650</v>
      </c>
      <c r="G612" s="15" t="inlineStr">
        <is>
          <t>IDR</t>
        </is>
      </c>
      <c r="H612" s="361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0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65" t="n">
        <v>36000</v>
      </c>
      <c r="G613" s="15" t="inlineStr">
        <is>
          <t>IDR</t>
        </is>
      </c>
      <c r="H613" s="361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0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65" t="n">
        <v>45000</v>
      </c>
      <c r="G614" s="15" t="inlineStr">
        <is>
          <t>IDR</t>
        </is>
      </c>
      <c r="H614" s="361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0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65" t="n">
        <v>241100</v>
      </c>
      <c r="G615" s="15" t="inlineStr">
        <is>
          <t>IDR</t>
        </is>
      </c>
      <c r="H615" s="361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0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65" t="n">
        <v>1370000</v>
      </c>
      <c r="G616" s="15" t="inlineStr">
        <is>
          <t>IDR</t>
        </is>
      </c>
      <c r="H616" s="361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0" t="n">
        <v>1370000</v>
      </c>
      <c r="Q616" s="44" t="n"/>
    </row>
    <row r="617" ht="15.5" customHeight="1" s="297">
      <c r="B617" s="352" t="inlineStr">
        <is>
          <t>Expense#37</t>
        </is>
      </c>
      <c r="C617" s="85" t="inlineStr">
        <is>
          <t>:</t>
        </is>
      </c>
      <c r="D617" s="353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59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2" t="n">
        <v>1584184</v>
      </c>
      <c r="G619" s="91" t="inlineStr">
        <is>
          <t>IDR</t>
        </is>
      </c>
      <c r="H619" s="356" t="n">
        <v>1</v>
      </c>
      <c r="I619" s="360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2" t="n">
        <v>250000</v>
      </c>
      <c r="G620" s="91" t="inlineStr">
        <is>
          <t>IDR</t>
        </is>
      </c>
      <c r="H620" s="356" t="n">
        <v>1</v>
      </c>
      <c r="I620" s="360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59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2" t="n">
        <v>1213500</v>
      </c>
      <c r="G622" s="91" t="inlineStr">
        <is>
          <t>IDR</t>
        </is>
      </c>
      <c r="H622" s="356" t="n">
        <v>1</v>
      </c>
      <c r="I622" s="357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2" t="n">
        <v>132500</v>
      </c>
      <c r="G623" s="91" t="inlineStr">
        <is>
          <t>IDR</t>
        </is>
      </c>
      <c r="H623" s="356" t="n">
        <v>1</v>
      </c>
      <c r="I623" s="357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2" t="n">
        <v>280400</v>
      </c>
      <c r="G624" s="91" t="inlineStr">
        <is>
          <t>IDR</t>
        </is>
      </c>
      <c r="H624" s="356" t="n">
        <v>1</v>
      </c>
      <c r="I624" s="357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2" t="n">
        <v>326600</v>
      </c>
      <c r="G625" s="91" t="inlineStr">
        <is>
          <t>IDR</t>
        </is>
      </c>
      <c r="H625" s="356" t="n">
        <v>1</v>
      </c>
      <c r="I625" s="357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2" t="n">
        <v>1653500</v>
      </c>
      <c r="G626" s="91" t="inlineStr">
        <is>
          <t>IDR</t>
        </is>
      </c>
      <c r="H626" s="356" t="n">
        <v>1</v>
      </c>
      <c r="I626" s="357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2" t="n">
        <v>73584</v>
      </c>
      <c r="G627" s="91" t="inlineStr">
        <is>
          <t>IDR</t>
        </is>
      </c>
      <c r="H627" s="356" t="n">
        <v>1</v>
      </c>
      <c r="I627" s="357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59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2" t="n">
        <v>7615500</v>
      </c>
      <c r="G629" s="91" t="inlineStr">
        <is>
          <t>USD</t>
        </is>
      </c>
      <c r="H629" s="356" t="n">
        <v>15231</v>
      </c>
      <c r="I629" s="360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2" t="n">
        <v>750000</v>
      </c>
      <c r="G630" s="91" t="inlineStr">
        <is>
          <t>IDR</t>
        </is>
      </c>
      <c r="H630" s="356" t="n">
        <v>1</v>
      </c>
      <c r="I630" s="360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2" t="inlineStr">
        <is>
          <t>Expense#38</t>
        </is>
      </c>
      <c r="C631" s="85" t="inlineStr">
        <is>
          <t>:</t>
        </is>
      </c>
      <c r="D631" s="353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4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65" t="n">
        <v>250000</v>
      </c>
      <c r="G633" s="15" t="inlineStr">
        <is>
          <t>IDR</t>
        </is>
      </c>
      <c r="H633" s="361" t="n">
        <v>1</v>
      </c>
      <c r="I633" s="357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65" t="n">
        <v>250000</v>
      </c>
      <c r="G634" s="15" t="inlineStr">
        <is>
          <t>IDR</t>
        </is>
      </c>
      <c r="H634" s="361" t="n">
        <v>1</v>
      </c>
      <c r="I634" s="357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0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65" t="n">
        <v>900000</v>
      </c>
      <c r="G636" s="15" t="inlineStr">
        <is>
          <t>IDR</t>
        </is>
      </c>
      <c r="H636" s="361" t="n">
        <v>1</v>
      </c>
      <c r="I636" s="360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0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0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65" t="n">
        <v>1102050</v>
      </c>
      <c r="G639" s="15" t="inlineStr">
        <is>
          <t>IDR</t>
        </is>
      </c>
      <c r="H639" s="361" t="n">
        <v>1</v>
      </c>
      <c r="I639" s="360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0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Field Allowance for 18 days</t>
        </is>
      </c>
      <c r="E641" s="63" t="n"/>
      <c r="F641" s="365" t="n">
        <v>28528200</v>
      </c>
      <c r="G641" s="15" t="inlineStr">
        <is>
          <t>USD</t>
        </is>
      </c>
      <c r="H641" s="361" t="n">
        <v>15849</v>
      </c>
      <c r="I641" s="360" t="n">
        <v>28528200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0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Meal 18 days @ 150K IDR/day</t>
        </is>
      </c>
      <c r="E643" s="63" t="n"/>
      <c r="F643" s="365" t="n">
        <v>2700000</v>
      </c>
      <c r="G643" s="15" t="inlineStr">
        <is>
          <t>IDR</t>
        </is>
      </c>
      <c r="H643" s="361" t="n">
        <v>1</v>
      </c>
      <c r="I643" s="360" t="n">
        <v>2700000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2" t="inlineStr">
        <is>
          <t>Expense#39</t>
        </is>
      </c>
      <c r="C644" s="85" t="inlineStr">
        <is>
          <t>:</t>
        </is>
      </c>
      <c r="D644" s="353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59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2" t="n">
        <v>2700000</v>
      </c>
      <c r="G646" s="91" t="inlineStr">
        <is>
          <t>IDR</t>
        </is>
      </c>
      <c r="H646" s="356" t="n">
        <v>1</v>
      </c>
      <c r="I646" s="357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59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2" t="n">
        <v>15000</v>
      </c>
      <c r="G648" s="91" t="inlineStr">
        <is>
          <t>IDR</t>
        </is>
      </c>
      <c r="H648" s="356" t="n">
        <v>1</v>
      </c>
      <c r="I648" s="357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2" t="n">
        <v>15000</v>
      </c>
      <c r="G649" s="91" t="inlineStr">
        <is>
          <t>IDR</t>
        </is>
      </c>
      <c r="H649" s="356" t="n">
        <v>1</v>
      </c>
      <c r="I649" s="357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2" t="n">
        <v>15000</v>
      </c>
      <c r="G650" s="91" t="inlineStr">
        <is>
          <t>IDR</t>
        </is>
      </c>
      <c r="H650" s="356" t="n">
        <v>1</v>
      </c>
      <c r="I650" s="357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2" t="n">
        <v>14000</v>
      </c>
      <c r="G651" s="91" t="inlineStr">
        <is>
          <t>IDR</t>
        </is>
      </c>
      <c r="H651" s="356" t="n">
        <v>1</v>
      </c>
      <c r="I651" s="357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2" t="n">
        <v>3000</v>
      </c>
      <c r="G652" s="91" t="inlineStr">
        <is>
          <t>IDR</t>
        </is>
      </c>
      <c r="H652" s="356" t="n">
        <v>1</v>
      </c>
      <c r="I652" s="357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2" t="inlineStr">
        <is>
          <t>Expense#40</t>
        </is>
      </c>
      <c r="C653" s="85" t="inlineStr">
        <is>
          <t>:</t>
        </is>
      </c>
      <c r="D653" s="353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4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1" t="n">
        <v>45572</v>
      </c>
      <c r="C655" s="141" t="n">
        <v>1</v>
      </c>
      <c r="D655" s="145" t="inlineStr">
        <is>
          <t>Materai 6 pcs</t>
        </is>
      </c>
      <c r="E655" s="145" t="n"/>
      <c r="F655" s="382" t="n">
        <v>62000</v>
      </c>
      <c r="G655" s="15" t="inlineStr">
        <is>
          <t>IDR</t>
        </is>
      </c>
      <c r="H655" s="361" t="n">
        <v>1</v>
      </c>
      <c r="I655" s="44" t="n"/>
      <c r="J655" s="44" t="n"/>
      <c r="K655" s="44" t="n"/>
      <c r="L655" s="44" t="n"/>
      <c r="M655" s="357" t="n">
        <v>62000</v>
      </c>
      <c r="N655" s="44" t="n"/>
      <c r="O655" s="44" t="n"/>
      <c r="P655" s="44" t="n"/>
      <c r="Q655" s="44" t="n"/>
    </row>
    <row r="656" ht="15.5" customHeight="1" s="297">
      <c r="B656" s="381" t="n">
        <v>45579</v>
      </c>
      <c r="C656" s="141" t="n">
        <v>2</v>
      </c>
      <c r="D656" s="145" t="inlineStr">
        <is>
          <t>Materai 10 pcs</t>
        </is>
      </c>
      <c r="E656" s="145" t="n"/>
      <c r="F656" s="383" t="n">
        <v>103000</v>
      </c>
      <c r="G656" s="15" t="inlineStr">
        <is>
          <t>IDR</t>
        </is>
      </c>
      <c r="H656" s="361" t="n">
        <v>1</v>
      </c>
      <c r="I656" s="44" t="n"/>
      <c r="J656" s="44" t="n"/>
      <c r="K656" s="44" t="n"/>
      <c r="L656" s="44" t="n"/>
      <c r="M656" s="357" t="n">
        <v>103000</v>
      </c>
      <c r="N656" s="44" t="n"/>
      <c r="O656" s="44" t="n"/>
      <c r="P656" s="44" t="n"/>
      <c r="Q656" s="44" t="n"/>
    </row>
    <row r="657" ht="15.5" customHeight="1" s="297">
      <c r="B657" s="381" t="n"/>
      <c r="C657" s="141" t="n"/>
      <c r="D657" s="384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1" t="n">
        <v>45582</v>
      </c>
      <c r="C658" s="141" t="n">
        <v>3</v>
      </c>
      <c r="D658" s="145" t="inlineStr">
        <is>
          <t>Materai 5 pcs</t>
        </is>
      </c>
      <c r="E658" s="145" t="n"/>
      <c r="F658" s="385" t="n">
        <v>55000</v>
      </c>
      <c r="G658" s="15" t="inlineStr">
        <is>
          <t>IDR</t>
        </is>
      </c>
      <c r="H658" s="361" t="n">
        <v>1</v>
      </c>
      <c r="I658" s="61" t="n"/>
      <c r="J658" s="44" t="n"/>
      <c r="K658" s="44" t="n"/>
      <c r="L658" s="44" t="n"/>
      <c r="M658" s="357" t="n">
        <v>55000</v>
      </c>
      <c r="N658" s="44" t="n"/>
      <c r="O658" s="44" t="n"/>
      <c r="P658" s="44" t="n"/>
      <c r="Q658" s="44" t="n"/>
    </row>
    <row r="659" ht="15.5" customHeight="1" s="297">
      <c r="B659" s="381" t="n">
        <v>45617</v>
      </c>
      <c r="C659" s="141" t="n">
        <v>4</v>
      </c>
      <c r="D659" s="145" t="inlineStr">
        <is>
          <t>Materai 10 pcs</t>
        </is>
      </c>
      <c r="E659" s="145" t="n"/>
      <c r="F659" s="385" t="n">
        <v>103000</v>
      </c>
      <c r="G659" s="15" t="inlineStr">
        <is>
          <t>IDR</t>
        </is>
      </c>
      <c r="H659" s="361" t="n">
        <v>1</v>
      </c>
      <c r="I659" s="44" t="n"/>
      <c r="J659" s="44" t="n"/>
      <c r="K659" s="44" t="n"/>
      <c r="L659" s="44" t="n"/>
      <c r="M659" s="357" t="n">
        <v>103000</v>
      </c>
      <c r="N659" s="44" t="n"/>
      <c r="O659" s="44" t="n"/>
      <c r="P659" s="44" t="n"/>
      <c r="Q659" s="44" t="n"/>
    </row>
    <row r="660" ht="15.5" customHeight="1" s="297">
      <c r="B660" s="381" t="n">
        <v>45555</v>
      </c>
      <c r="C660" s="141" t="n">
        <v>5</v>
      </c>
      <c r="D660" s="145" t="inlineStr">
        <is>
          <t>JNE courier</t>
        </is>
      </c>
      <c r="E660" s="145" t="n"/>
      <c r="F660" s="385" t="n">
        <v>18000</v>
      </c>
      <c r="G660" s="15" t="inlineStr">
        <is>
          <t>IDR</t>
        </is>
      </c>
      <c r="H660" s="361" t="n">
        <v>1</v>
      </c>
      <c r="I660" s="357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1" t="n">
        <v>45560</v>
      </c>
      <c r="C661" s="141" t="n">
        <v>6</v>
      </c>
      <c r="D661" s="145" t="inlineStr">
        <is>
          <t>POS courier</t>
        </is>
      </c>
      <c r="E661" s="145" t="n"/>
      <c r="F661" s="385" t="n">
        <v>8000</v>
      </c>
      <c r="G661" s="15" t="inlineStr">
        <is>
          <t>IDR</t>
        </is>
      </c>
      <c r="H661" s="361" t="n">
        <v>1</v>
      </c>
      <c r="I661" s="360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1" t="n">
        <v>45574</v>
      </c>
      <c r="C662" s="141" t="n">
        <v>7</v>
      </c>
      <c r="D662" s="145" t="inlineStr">
        <is>
          <t>POS courier</t>
        </is>
      </c>
      <c r="E662" s="145" t="n"/>
      <c r="F662" s="385" t="n">
        <v>15000</v>
      </c>
      <c r="G662" s="15" t="inlineStr">
        <is>
          <t>IDR</t>
        </is>
      </c>
      <c r="H662" s="361" t="n">
        <v>1</v>
      </c>
      <c r="I662" s="357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1" t="n">
        <v>45579</v>
      </c>
      <c r="C663" s="141" t="n">
        <v>8</v>
      </c>
      <c r="D663" s="145" t="inlineStr">
        <is>
          <t>JNE courier</t>
        </is>
      </c>
      <c r="E663" s="145" t="n"/>
      <c r="F663" s="385" t="n">
        <v>10000</v>
      </c>
      <c r="G663" s="15" t="inlineStr">
        <is>
          <t>IDR</t>
        </is>
      </c>
      <c r="H663" s="361" t="n">
        <v>1</v>
      </c>
      <c r="I663" s="357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1" t="n">
        <v>45579</v>
      </c>
      <c r="C664" s="141" t="n">
        <v>9</v>
      </c>
      <c r="D664" s="145" t="inlineStr">
        <is>
          <t>GoCar to Elnusa PP</t>
        </is>
      </c>
      <c r="E664" s="145" t="n"/>
      <c r="F664" s="385" t="n">
        <v>275000</v>
      </c>
      <c r="G664" s="15" t="inlineStr">
        <is>
          <t>IDR</t>
        </is>
      </c>
      <c r="H664" s="361" t="n">
        <v>1</v>
      </c>
      <c r="I664" s="357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1" t="n">
        <v>45579</v>
      </c>
      <c r="C665" s="141" t="n">
        <v>10</v>
      </c>
      <c r="D665" s="145" t="inlineStr">
        <is>
          <t>Tol &amp; parking fee</t>
        </is>
      </c>
      <c r="E665" s="145" t="n"/>
      <c r="F665" s="385" t="n">
        <v>31500</v>
      </c>
      <c r="G665" s="15" t="inlineStr">
        <is>
          <t>IDR</t>
        </is>
      </c>
      <c r="H665" s="361" t="n">
        <v>1</v>
      </c>
      <c r="I665" s="357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1" t="n">
        <v>45582</v>
      </c>
      <c r="C666" s="141" t="n">
        <v>11</v>
      </c>
      <c r="D666" s="145" t="inlineStr">
        <is>
          <t>GoCar to Elnusa PP</t>
        </is>
      </c>
      <c r="E666" s="145" t="n"/>
      <c r="F666" s="385" t="n">
        <v>266000</v>
      </c>
      <c r="G666" s="15" t="inlineStr">
        <is>
          <t>IDR</t>
        </is>
      </c>
      <c r="H666" s="361" t="n">
        <v>1</v>
      </c>
      <c r="I666" s="360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1" t="n">
        <v>45582</v>
      </c>
      <c r="C667" s="141" t="n">
        <v>12</v>
      </c>
      <c r="D667" s="145" t="inlineStr">
        <is>
          <t>Tol &amp; parking fee</t>
        </is>
      </c>
      <c r="E667" s="145" t="n"/>
      <c r="F667" s="385" t="n">
        <v>53500</v>
      </c>
      <c r="G667" s="15" t="inlineStr">
        <is>
          <t>IDR</t>
        </is>
      </c>
      <c r="H667" s="361" t="n">
        <v>1</v>
      </c>
      <c r="I667" s="360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1" t="n">
        <v>45617</v>
      </c>
      <c r="C668" s="141" t="n">
        <v>13</v>
      </c>
      <c r="D668" s="145" t="inlineStr">
        <is>
          <t>GoCar to Elnusa PP</t>
        </is>
      </c>
      <c r="E668" s="145" t="n"/>
      <c r="F668" s="385" t="n">
        <v>269000</v>
      </c>
      <c r="G668" s="15" t="inlineStr">
        <is>
          <t>IDR</t>
        </is>
      </c>
      <c r="H668" s="361" t="n">
        <v>1</v>
      </c>
      <c r="I668" s="360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0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1" t="n">
        <v>45617</v>
      </c>
      <c r="C670" s="141" t="n">
        <v>14</v>
      </c>
      <c r="D670" s="145" t="inlineStr">
        <is>
          <t>Tol &amp; parking fee</t>
        </is>
      </c>
      <c r="E670" s="145" t="n"/>
      <c r="F670" s="385" t="n">
        <v>43450</v>
      </c>
      <c r="G670" s="15" t="inlineStr">
        <is>
          <t>IDR</t>
        </is>
      </c>
      <c r="H670" s="361" t="n">
        <v>1</v>
      </c>
      <c r="I670" s="357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1" t="n">
        <v>45636</v>
      </c>
      <c r="C671" s="141" t="n">
        <v>15</v>
      </c>
      <c r="D671" s="145" t="inlineStr">
        <is>
          <t>GoCar to Elnusa PP</t>
        </is>
      </c>
      <c r="E671" s="145" t="n"/>
      <c r="F671" s="385" t="n">
        <v>290000</v>
      </c>
      <c r="G671" s="15" t="inlineStr">
        <is>
          <t>IDR</t>
        </is>
      </c>
      <c r="H671" s="361" t="n">
        <v>1</v>
      </c>
      <c r="I671" s="357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1" t="n">
        <v>45636</v>
      </c>
      <c r="C672" s="141" t="n">
        <v>16</v>
      </c>
      <c r="D672" s="145" t="inlineStr">
        <is>
          <t>Tol &amp; parking fee</t>
        </is>
      </c>
      <c r="E672" s="145" t="n"/>
      <c r="F672" s="385" t="n">
        <v>48500</v>
      </c>
      <c r="G672" s="15" t="inlineStr">
        <is>
          <t>IDR</t>
        </is>
      </c>
      <c r="H672" s="361" t="n">
        <v>1</v>
      </c>
      <c r="I672" s="357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1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1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1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1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1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86" t="inlineStr">
        <is>
          <t>Expense#41</t>
        </is>
      </c>
      <c r="C678" s="85" t="inlineStr">
        <is>
          <t>:</t>
        </is>
      </c>
      <c r="D678" s="386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65" t="n">
        <v>5583200</v>
      </c>
      <c r="G679" s="18" t="inlineStr">
        <is>
          <t>IDR</t>
        </is>
      </c>
      <c r="H679" s="361" t="n">
        <v>1</v>
      </c>
      <c r="I679" s="120" t="n"/>
      <c r="J679" s="120" t="n"/>
      <c r="K679" s="120" t="n"/>
      <c r="L679" s="120" t="n"/>
      <c r="M679" s="120" t="n"/>
      <c r="N679" s="372" t="n">
        <v>5583200</v>
      </c>
      <c r="O679" s="120" t="n"/>
      <c r="P679" s="120" t="n"/>
      <c r="Q679" s="120" t="n"/>
    </row>
    <row r="680" ht="15.5" customHeight="1" s="297">
      <c r="B680" s="386" t="inlineStr">
        <is>
          <t>Expense#42</t>
        </is>
      </c>
      <c r="C680" s="85" t="inlineStr">
        <is>
          <t>:</t>
        </is>
      </c>
      <c r="D680" s="386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87" t="n">
        <v>1</v>
      </c>
      <c r="I681" s="120" t="n"/>
      <c r="J681" s="120" t="n"/>
      <c r="K681" s="120" t="n"/>
      <c r="L681" s="120" t="n"/>
      <c r="M681" s="120" t="n"/>
      <c r="N681" s="372" t="n">
        <v>8156000</v>
      </c>
      <c r="O681" s="120" t="n"/>
      <c r="P681" s="120" t="n"/>
      <c r="Q681" s="120" t="n"/>
    </row>
    <row r="682" ht="15.5" customHeight="1" s="297">
      <c r="B682" s="352" t="inlineStr">
        <is>
          <t>Expense#43</t>
        </is>
      </c>
      <c r="C682" s="85" t="inlineStr">
        <is>
          <t>:</t>
        </is>
      </c>
      <c r="D682" s="353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88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65" t="n">
        <v>276216</v>
      </c>
      <c r="G684" s="15" t="inlineStr">
        <is>
          <t>IDR</t>
        </is>
      </c>
      <c r="H684" s="361" t="n">
        <v>1</v>
      </c>
      <c r="I684" s="372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65" t="n">
        <v>79500</v>
      </c>
      <c r="G685" s="15" t="inlineStr">
        <is>
          <t>IDR</t>
        </is>
      </c>
      <c r="H685" s="361" t="n">
        <v>1</v>
      </c>
      <c r="I685" s="372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65" t="n">
        <v>29000</v>
      </c>
      <c r="G686" s="15" t="inlineStr">
        <is>
          <t>IDR</t>
        </is>
      </c>
      <c r="H686" s="361" t="n">
        <v>1</v>
      </c>
      <c r="I686" s="372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65" t="n">
        <v>17000</v>
      </c>
      <c r="G687" s="15" t="inlineStr">
        <is>
          <t>IDR</t>
        </is>
      </c>
      <c r="H687" s="361" t="n">
        <v>1</v>
      </c>
      <c r="I687" s="372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65" t="n">
        <v>155680</v>
      </c>
      <c r="G688" s="15" t="inlineStr">
        <is>
          <t>IDR</t>
        </is>
      </c>
      <c r="H688" s="361" t="n">
        <v>1</v>
      </c>
      <c r="I688" s="372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65" t="n">
        <v>17000</v>
      </c>
      <c r="G689" s="15" t="inlineStr">
        <is>
          <t>IDR</t>
        </is>
      </c>
      <c r="H689" s="361" t="n">
        <v>1</v>
      </c>
      <c r="I689" s="372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65" t="n">
        <v>604000</v>
      </c>
      <c r="G690" s="15" t="inlineStr">
        <is>
          <t>IDR</t>
        </is>
      </c>
      <c r="H690" s="361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2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65" t="n">
        <v>799000</v>
      </c>
      <c r="G691" s="15" t="inlineStr">
        <is>
          <t>IDR</t>
        </is>
      </c>
      <c r="H691" s="361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2" t="n">
        <v>799000</v>
      </c>
      <c r="Q691" s="120" t="n"/>
    </row>
    <row r="692" ht="15.5" customHeight="1" s="297">
      <c r="B692" s="102" t="n"/>
      <c r="C692" s="15" t="n"/>
      <c r="D692" s="364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65" t="n">
        <v>1582141</v>
      </c>
      <c r="G693" s="15" t="inlineStr">
        <is>
          <t>IDR</t>
        </is>
      </c>
      <c r="H693" s="361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2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65" t="n">
        <v>970767</v>
      </c>
      <c r="G694" s="15" t="inlineStr">
        <is>
          <t>IDR</t>
        </is>
      </c>
      <c r="H694" s="361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2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65" t="n">
        <v>157000</v>
      </c>
      <c r="G695" s="15" t="inlineStr">
        <is>
          <t>IDR</t>
        </is>
      </c>
      <c r="H695" s="361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2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65" t="n">
        <v>152000</v>
      </c>
      <c r="G696" s="15" t="inlineStr">
        <is>
          <t>IDR</t>
        </is>
      </c>
      <c r="H696" s="361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2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65" t="n">
        <v>190309.5</v>
      </c>
      <c r="G697" s="15" t="inlineStr">
        <is>
          <t>IDR</t>
        </is>
      </c>
      <c r="H697" s="361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2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65" t="n">
        <v>417600</v>
      </c>
      <c r="G698" s="15" t="inlineStr">
        <is>
          <t>IDR</t>
        </is>
      </c>
      <c r="H698" s="361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2" t="n">
        <v>417600</v>
      </c>
      <c r="Q698" s="120" t="n"/>
    </row>
    <row r="699" ht="15.5" customHeight="1" s="297">
      <c r="B699" s="352" t="inlineStr">
        <is>
          <t>Expense#44</t>
        </is>
      </c>
      <c r="C699" s="85" t="inlineStr">
        <is>
          <t>:</t>
        </is>
      </c>
      <c r="D699" s="353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4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65" t="n">
        <v>4913283</v>
      </c>
      <c r="G701" s="15" t="inlineStr">
        <is>
          <t>IDR</t>
        </is>
      </c>
      <c r="H701" s="361" t="n">
        <v>1</v>
      </c>
      <c r="I701" s="61" t="n"/>
      <c r="J701" s="120" t="n"/>
      <c r="K701" s="120" t="n"/>
      <c r="L701" s="120" t="n"/>
      <c r="M701" s="372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65" t="n">
        <v>160000</v>
      </c>
      <c r="G702" s="15" t="inlineStr">
        <is>
          <t>IDR</t>
        </is>
      </c>
      <c r="H702" s="361" t="n">
        <v>1</v>
      </c>
      <c r="I702" s="357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65" t="n">
        <v>200000</v>
      </c>
      <c r="G703" s="15" t="inlineStr">
        <is>
          <t>IDR</t>
        </is>
      </c>
      <c r="H703" s="361" t="n">
        <v>1</v>
      </c>
      <c r="I703" s="357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0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65" t="n">
        <v>160000</v>
      </c>
      <c r="G705" s="15" t="inlineStr">
        <is>
          <t>IDR</t>
        </is>
      </c>
      <c r="H705" s="361" t="n">
        <v>1</v>
      </c>
      <c r="I705" s="372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65" t="n">
        <v>195585</v>
      </c>
      <c r="G706" s="15" t="inlineStr">
        <is>
          <t>IDR</t>
        </is>
      </c>
      <c r="H706" s="361" t="n">
        <v>1</v>
      </c>
      <c r="I706" s="372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0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65" t="n">
        <v>299900</v>
      </c>
      <c r="G708" s="15" t="inlineStr">
        <is>
          <t>IDR</t>
        </is>
      </c>
      <c r="H708" s="361" t="n">
        <v>1</v>
      </c>
      <c r="I708" s="372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0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2" t="inlineStr">
        <is>
          <t>Expense#45</t>
        </is>
      </c>
      <c r="C710" s="73" t="inlineStr">
        <is>
          <t>:</t>
        </is>
      </c>
      <c r="D710" s="353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89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0" t="n">
        <v>306982</v>
      </c>
      <c r="G712" s="64" t="inlineStr">
        <is>
          <t>IDR</t>
        </is>
      </c>
      <c r="H712" s="391" t="n">
        <v>1</v>
      </c>
      <c r="I712" s="61" t="n"/>
      <c r="J712" s="120" t="n"/>
      <c r="K712" s="120" t="n"/>
      <c r="L712" s="120" t="n"/>
      <c r="M712" s="372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0" t="n">
        <v>306982</v>
      </c>
      <c r="G713" s="64" t="inlineStr">
        <is>
          <t>IDR</t>
        </is>
      </c>
      <c r="H713" s="391" t="n">
        <v>1</v>
      </c>
      <c r="I713" s="61" t="n"/>
      <c r="J713" s="120" t="n"/>
      <c r="K713" s="120" t="n"/>
      <c r="L713" s="120" t="n"/>
      <c r="M713" s="372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0" t="n">
        <v>306982</v>
      </c>
      <c r="G714" s="64" t="inlineStr">
        <is>
          <t>IDR</t>
        </is>
      </c>
      <c r="H714" s="391" t="n">
        <v>1</v>
      </c>
      <c r="I714" s="61" t="n"/>
      <c r="J714" s="120" t="n"/>
      <c r="K714" s="120" t="n"/>
      <c r="L714" s="120" t="n"/>
      <c r="M714" s="372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0" t="n">
        <v>306982</v>
      </c>
      <c r="G715" s="64" t="inlineStr">
        <is>
          <t>IDR</t>
        </is>
      </c>
      <c r="H715" s="391" t="n">
        <v>1</v>
      </c>
      <c r="I715" s="61" t="n"/>
      <c r="J715" s="120" t="n"/>
      <c r="K715" s="120" t="n"/>
      <c r="L715" s="120" t="n"/>
      <c r="M715" s="372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0" t="n">
        <v>306982</v>
      </c>
      <c r="G716" s="64" t="inlineStr">
        <is>
          <t>IDR</t>
        </is>
      </c>
      <c r="H716" s="391" t="n">
        <v>1</v>
      </c>
      <c r="I716" s="61" t="n"/>
      <c r="J716" s="120" t="n"/>
      <c r="K716" s="120" t="n"/>
      <c r="L716" s="120" t="n"/>
      <c r="M716" s="372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0" t="n">
        <v>13201183.322</v>
      </c>
      <c r="G717" s="64" t="inlineStr">
        <is>
          <t>MYR</t>
        </is>
      </c>
      <c r="H717" s="391" t="n">
        <v>3636.89</v>
      </c>
      <c r="I717" s="357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0" t="n">
        <v>200000</v>
      </c>
      <c r="G718" s="64" t="inlineStr">
        <is>
          <t>IDR</t>
        </is>
      </c>
      <c r="H718" s="391" t="n">
        <v>1</v>
      </c>
      <c r="I718" s="357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0" t="n">
        <v>1803353</v>
      </c>
      <c r="G719" s="64" t="inlineStr">
        <is>
          <t>IDR</t>
        </is>
      </c>
      <c r="H719" s="391" t="n">
        <v>1</v>
      </c>
      <c r="I719" s="372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89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0" t="n">
        <v>181844.5</v>
      </c>
      <c r="G721" s="64" t="inlineStr">
        <is>
          <t>MYR</t>
        </is>
      </c>
      <c r="H721" s="391" t="n">
        <v>3636.89</v>
      </c>
      <c r="I721" s="357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0" t="n">
        <v>1897983</v>
      </c>
      <c r="G722" s="64" t="inlineStr">
        <is>
          <t>IDR</t>
        </is>
      </c>
      <c r="H722" s="391" t="n">
        <v>1</v>
      </c>
      <c r="I722" s="372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0" t="n">
        <v>181844.5</v>
      </c>
      <c r="G723" s="64" t="inlineStr">
        <is>
          <t>MYR</t>
        </is>
      </c>
      <c r="H723" s="391" t="n">
        <v>3636.89</v>
      </c>
      <c r="I723" s="372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89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0" t="n">
        <v>200000</v>
      </c>
      <c r="G725" s="64" t="inlineStr">
        <is>
          <t>IDR</t>
        </is>
      </c>
      <c r="H725" s="391" t="n">
        <v>1</v>
      </c>
      <c r="I725" s="357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89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0" t="n">
        <v>600000</v>
      </c>
      <c r="G727" s="64" t="inlineStr">
        <is>
          <t>IDR</t>
        </is>
      </c>
      <c r="H727" s="391" t="n">
        <v>1</v>
      </c>
      <c r="I727" s="357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0" t="n">
        <v>3000000</v>
      </c>
      <c r="G728" s="64" t="inlineStr">
        <is>
          <t>IDR</t>
        </is>
      </c>
      <c r="H728" s="391" t="n">
        <v>1</v>
      </c>
      <c r="I728" s="357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0" t="n">
        <v>3000000</v>
      </c>
      <c r="G729" s="64" t="inlineStr">
        <is>
          <t>IDR</t>
        </is>
      </c>
      <c r="H729" s="391" t="n">
        <v>1</v>
      </c>
      <c r="I729" s="372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0" t="n">
        <v>300000</v>
      </c>
      <c r="G730" s="64" t="inlineStr">
        <is>
          <t>IDR</t>
        </is>
      </c>
      <c r="H730" s="391" t="n">
        <v>1</v>
      </c>
      <c r="I730" s="357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0" t="n">
        <v>3000000</v>
      </c>
      <c r="G731" s="64" t="inlineStr">
        <is>
          <t>IDR</t>
        </is>
      </c>
      <c r="H731" s="391" t="n">
        <v>1</v>
      </c>
      <c r="I731" s="372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89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0" t="n">
        <v>100000</v>
      </c>
      <c r="G733" s="64" t="inlineStr">
        <is>
          <t>IDR</t>
        </is>
      </c>
      <c r="H733" s="391" t="n">
        <v>1</v>
      </c>
      <c r="I733" s="372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0" t="n">
        <v>400000</v>
      </c>
      <c r="G734" s="64" t="inlineStr">
        <is>
          <t>IDR</t>
        </is>
      </c>
      <c r="H734" s="391" t="n">
        <v>1</v>
      </c>
      <c r="I734" s="372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0" t="n">
        <v>784000</v>
      </c>
      <c r="G735" s="64" t="inlineStr">
        <is>
          <t>IDR</t>
        </is>
      </c>
      <c r="H735" s="391" t="n">
        <v>1</v>
      </c>
      <c r="I735" s="372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0" t="n">
        <v>100000</v>
      </c>
      <c r="G736" s="64" t="inlineStr">
        <is>
          <t>IDR</t>
        </is>
      </c>
      <c r="H736" s="391" t="n">
        <v>1</v>
      </c>
      <c r="I736" s="372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0" t="n">
        <v>300000</v>
      </c>
      <c r="G737" s="64" t="inlineStr">
        <is>
          <t>IDR</t>
        </is>
      </c>
      <c r="H737" s="391" t="n">
        <v>1</v>
      </c>
      <c r="I737" s="372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2" t="inlineStr">
        <is>
          <t>Expense#46</t>
        </is>
      </c>
      <c r="C755" s="85" t="inlineStr">
        <is>
          <t>:</t>
        </is>
      </c>
      <c r="D755" s="353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65" t="n">
        <v>2700000</v>
      </c>
      <c r="G756" s="15" t="inlineStr">
        <is>
          <t>IDR</t>
        </is>
      </c>
      <c r="H756" s="361" t="n">
        <v>1</v>
      </c>
      <c r="I756" s="357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2" t="inlineStr">
        <is>
          <t>Expense#47</t>
        </is>
      </c>
      <c r="C757" s="163" t="n"/>
      <c r="D757" s="392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45656</v>
      </c>
      <c r="C758" s="60" t="n">
        <v>1</v>
      </c>
      <c r="D758" s="166" t="inlineStr">
        <is>
          <t>Meal Allowance 2 Days (29 - 30 December 2024)@ 150 rb</t>
        </is>
      </c>
      <c r="E758" s="166" t="n"/>
      <c r="F758" s="393" t="n">
        <v>300000</v>
      </c>
      <c r="G758" s="60" t="inlineStr">
        <is>
          <t>IDR</t>
        </is>
      </c>
      <c r="H758" s="370" t="n">
        <v>1</v>
      </c>
      <c r="I758" s="357" t="n">
        <v>300000</v>
      </c>
      <c r="J758" s="394" t="n"/>
      <c r="K758" s="394" t="n"/>
      <c r="L758" s="394" t="n"/>
      <c r="M758" s="394" t="n"/>
      <c r="N758" s="394" t="n"/>
      <c r="O758" s="394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Transport Train, (Jakarta to Cirebon)</t>
        </is>
      </c>
      <c r="E759" s="166" t="n"/>
      <c r="F759" s="395" t="n">
        <v>200000</v>
      </c>
      <c r="G759" s="15" t="inlineStr">
        <is>
          <t>IDR</t>
        </is>
      </c>
      <c r="H759" s="361" t="n">
        <v>1</v>
      </c>
      <c r="I759" s="357" t="n">
        <v>200000</v>
      </c>
      <c r="J759" s="396" t="n"/>
      <c r="K759" s="396" t="n"/>
      <c r="L759" s="394" t="n"/>
      <c r="M759" s="396" t="n"/>
      <c r="N759" s="396" t="n"/>
      <c r="O759" s="394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(Cirendeu to Gambir Station)</t>
        </is>
      </c>
      <c r="E760" s="166" t="n"/>
      <c r="F760" s="395" t="n">
        <v>61500</v>
      </c>
      <c r="G760" s="15" t="inlineStr">
        <is>
          <t>IDR</t>
        </is>
      </c>
      <c r="H760" s="361" t="n">
        <v>1</v>
      </c>
      <c r="I760" s="357" t="n">
        <v>61500</v>
      </c>
      <c r="J760" s="396" t="n"/>
      <c r="K760" s="396" t="n"/>
      <c r="L760" s="394" t="n"/>
      <c r="M760" s="396" t="n"/>
      <c r="N760" s="396" t="n"/>
      <c r="O760" s="394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Gojek (Cirebon Station to Hotel)</t>
        </is>
      </c>
      <c r="E761" s="166" t="n"/>
      <c r="F761" s="395" t="n">
        <v>12500</v>
      </c>
      <c r="G761" s="15" t="inlineStr">
        <is>
          <t>IDR</t>
        </is>
      </c>
      <c r="H761" s="361" t="n">
        <v>1</v>
      </c>
      <c r="I761" s="357" t="n">
        <v>12500</v>
      </c>
      <c r="J761" s="396" t="n"/>
      <c r="K761" s="396" t="n"/>
      <c r="L761" s="394" t="n"/>
      <c r="M761" s="396" t="n"/>
      <c r="N761" s="396" t="n"/>
      <c r="O761" s="394" t="n"/>
      <c r="P761" s="120" t="n"/>
      <c r="Q761" s="120" t="n"/>
    </row>
    <row r="762" s="297">
      <c r="B762" s="165" t="n">
        <v>45655</v>
      </c>
      <c r="C762" s="15" t="n">
        <v>6</v>
      </c>
      <c r="D762" s="166" t="inlineStr">
        <is>
          <t>Accomodation Hotel (Pia Hotel 29 - 30 des, 1 Night)</t>
        </is>
      </c>
      <c r="E762" s="166" t="n"/>
      <c r="F762" s="395" t="n">
        <v>224000</v>
      </c>
      <c r="G762" s="15" t="inlineStr">
        <is>
          <t>IDR</t>
        </is>
      </c>
      <c r="H762" s="361" t="n">
        <v>1</v>
      </c>
      <c r="I762" s="357" t="n">
        <v>224000</v>
      </c>
      <c r="J762" s="396" t="n"/>
      <c r="K762" s="396" t="n"/>
      <c r="L762" s="394" t="n"/>
      <c r="M762" s="396" t="n"/>
      <c r="N762" s="396" t="n"/>
      <c r="O762" s="394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Transport Train (Cirebon to Jakarta)</t>
        </is>
      </c>
      <c r="E763" s="166" t="n"/>
      <c r="F763" s="395" t="n">
        <v>140000</v>
      </c>
      <c r="G763" s="15" t="inlineStr">
        <is>
          <t>IDR</t>
        </is>
      </c>
      <c r="H763" s="361" t="n">
        <v>1</v>
      </c>
      <c r="I763" s="357" t="n">
        <v>140000</v>
      </c>
      <c r="J763" s="396" t="n"/>
      <c r="K763" s="396" t="n"/>
      <c r="L763" s="394" t="n"/>
      <c r="M763" s="396" t="n"/>
      <c r="N763" s="396" t="n"/>
      <c r="O763" s="394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(Hotel to HSSE Training Center PEP Zone 7)</t>
        </is>
      </c>
      <c r="E764" s="166" t="n"/>
      <c r="F764" s="395" t="n">
        <v>11000</v>
      </c>
      <c r="G764" s="15" t="inlineStr">
        <is>
          <t>IDR</t>
        </is>
      </c>
      <c r="H764" s="361" t="n">
        <v>1</v>
      </c>
      <c r="I764" s="357" t="n">
        <v>11000</v>
      </c>
      <c r="J764" s="396" t="n"/>
      <c r="K764" s="396" t="n"/>
      <c r="L764" s="394" t="n"/>
      <c r="M764" s="396" t="n"/>
      <c r="N764" s="396" t="n"/>
      <c r="O764" s="394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(CSB to Cirebon Train Station)</t>
        </is>
      </c>
      <c r="E765" s="166" t="n"/>
      <c r="F765" s="395" t="n">
        <v>11000</v>
      </c>
      <c r="G765" s="15" t="inlineStr">
        <is>
          <t>IDR</t>
        </is>
      </c>
      <c r="H765" s="361" t="n">
        <v>1</v>
      </c>
      <c r="I765" s="357" t="n">
        <v>11000</v>
      </c>
      <c r="J765" s="396" t="n"/>
      <c r="K765" s="396" t="n"/>
      <c r="L765" s="394" t="n"/>
      <c r="M765" s="396" t="n"/>
      <c r="N765" s="396" t="n"/>
      <c r="O765" s="394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Gojek (Gambir Station to Cirendeu)</t>
        </is>
      </c>
      <c r="E766" s="166" t="n"/>
      <c r="F766" s="395" t="n">
        <v>66000</v>
      </c>
      <c r="G766" s="15" t="inlineStr">
        <is>
          <t>IDR</t>
        </is>
      </c>
      <c r="H766" s="361" t="n">
        <v>1</v>
      </c>
      <c r="I766" s="357" t="n">
        <v>66000</v>
      </c>
      <c r="J766" s="396" t="n"/>
      <c r="K766" s="396" t="n"/>
      <c r="L766" s="396" t="n"/>
      <c r="M766" s="396" t="n"/>
      <c r="N766" s="396" t="n"/>
      <c r="O766" s="394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97" t="n"/>
      <c r="B1" s="397" t="n"/>
      <c r="C1" s="397" t="n"/>
      <c r="D1" s="397" t="n"/>
      <c r="E1" s="398" t="n"/>
    </row>
    <row r="2" ht="37.25" customHeight="1" s="297">
      <c r="A2" s="397" t="n"/>
      <c r="B2" s="397" t="n"/>
      <c r="C2" s="397" t="n"/>
      <c r="D2" s="397" t="n"/>
      <c r="E2" s="398" t="n"/>
    </row>
    <row r="3" ht="33.65" customHeight="1" s="297">
      <c r="A3" s="397" t="n"/>
      <c r="B3" s="399" t="inlineStr">
        <is>
          <t>PT. EXSPAN WIRELINE INDONESIA</t>
        </is>
      </c>
      <c r="F3" s="400" t="n"/>
      <c r="G3" s="401" t="inlineStr">
        <is>
          <t>PT. EXSPAN WIRELINE INDONESIA</t>
        </is>
      </c>
      <c r="H3" s="401" t="n"/>
      <c r="I3" s="401" t="n"/>
      <c r="J3" s="401" t="n"/>
    </row>
    <row r="4" ht="20.5" customHeight="1" s="297">
      <c r="A4" s="397" t="n"/>
      <c r="B4" s="402" t="inlineStr">
        <is>
          <t>LABA RUGI | TAHUN 2024</t>
        </is>
      </c>
      <c r="F4" s="400" t="n"/>
      <c r="G4" s="403" t="inlineStr">
        <is>
          <t>NERACA | TAHUN YANG BERAKHIR, 31 DESEMBER 2024</t>
        </is>
      </c>
      <c r="H4" s="403" t="n"/>
      <c r="I4" s="403" t="n"/>
      <c r="J4" s="403" t="n"/>
      <c r="K4" s="404" t="inlineStr">
        <is>
          <t>CATATAN KEAMANAN</t>
        </is>
      </c>
    </row>
    <row r="5" ht="6" customHeight="1" s="297">
      <c r="A5" s="397" t="n"/>
      <c r="B5" s="397" t="n"/>
      <c r="C5" s="397" t="n"/>
      <c r="D5" s="397" t="n"/>
      <c r="E5" s="398" t="n"/>
      <c r="F5" s="400" t="n"/>
      <c r="G5" s="400" t="n"/>
      <c r="H5" s="405" t="n"/>
      <c r="I5" s="405" t="n"/>
      <c r="J5" s="405" t="n"/>
      <c r="K5" t="inlineStr">
        <is>
          <t>Kolom ini aman dari overwrite sistem.</t>
        </is>
      </c>
    </row>
    <row r="6" ht="15.5" customHeight="1" s="297">
      <c r="A6" s="397" t="n"/>
      <c r="B6" s="406" t="n"/>
      <c r="C6" s="407" t="n"/>
      <c r="D6" s="408" t="inlineStr">
        <is>
          <t>PT. Exspan Wireline Indonesia</t>
        </is>
      </c>
      <c r="E6" s="289" t="n"/>
      <c r="F6" s="400" t="n"/>
      <c r="G6" s="409" t="n"/>
      <c r="H6" s="410" t="n"/>
      <c r="I6" s="408" t="inlineStr">
        <is>
          <t>PT. Exspan Wireline Indonesia</t>
        </is>
      </c>
      <c r="J6" s="289" t="n"/>
      <c r="K6" t="inlineStr">
        <is>
          <t>Diverifikasi pada: 2026-03-23 01:33</t>
        </is>
      </c>
    </row>
    <row r="7" ht="15.5" customHeight="1" s="297">
      <c r="A7" s="397" t="n"/>
      <c r="B7" s="411" t="n"/>
      <c r="C7" s="412" t="n"/>
      <c r="D7" s="413" t="inlineStr">
        <is>
          <t>(Rp)</t>
        </is>
      </c>
      <c r="E7" s="290" t="n"/>
      <c r="F7" s="400" t="n"/>
      <c r="G7" s="414" t="n"/>
      <c r="H7" s="415" t="n"/>
      <c r="I7" s="413" t="inlineStr">
        <is>
          <t>(Rp)</t>
        </is>
      </c>
      <c r="J7" s="290" t="n"/>
    </row>
    <row r="8">
      <c r="A8" s="397" t="n"/>
      <c r="B8" s="416" t="inlineStr">
        <is>
          <t>PENDAPATAN</t>
        </is>
      </c>
      <c r="C8" s="417" t="n"/>
      <c r="D8" s="418" t="n"/>
      <c r="E8" s="419" t="n"/>
      <c r="F8" s="400" t="n"/>
      <c r="G8" s="420" t="inlineStr">
        <is>
          <t>AKTIVA</t>
        </is>
      </c>
      <c r="H8" s="421" t="n"/>
      <c r="I8" s="422" t="n"/>
      <c r="J8" s="423" t="n"/>
    </row>
    <row r="9">
      <c r="A9" s="397" t="n"/>
      <c r="B9" s="424" t="n"/>
      <c r="C9" s="417" t="inlineStr">
        <is>
          <t>PENDAPATAN LANGSUNG</t>
        </is>
      </c>
      <c r="D9" s="424" t="inlineStr">
        <is>
          <t>Rp</t>
        </is>
      </c>
      <c r="E9" s="425">
        <f>SUM('Revenue-Cost_2024'!F8:F20)</f>
        <v/>
      </c>
      <c r="F9" s="400" t="n"/>
      <c r="G9" s="426" t="inlineStr">
        <is>
          <t>AKTIVA LANCAR</t>
        </is>
      </c>
      <c r="H9" s="427" t="n"/>
      <c r="I9" s="426" t="n"/>
      <c r="J9" s="428" t="n"/>
    </row>
    <row r="10">
      <c r="A10" s="397" t="n"/>
      <c r="B10" s="424" t="n"/>
      <c r="C10" s="417" t="inlineStr">
        <is>
          <t>PENDAPATAN LAIN LAIN</t>
        </is>
      </c>
      <c r="D10" s="424" t="inlineStr">
        <is>
          <t>Rp</t>
        </is>
      </c>
      <c r="E10" s="425">
        <f>SUM('Revenue-Cost_2024'!F21)</f>
        <v/>
      </c>
      <c r="F10" s="400" t="n"/>
      <c r="G10" s="429" t="n"/>
      <c r="H10" s="430" t="inlineStr">
        <is>
          <t>KAS DAN SETARA KAS TAHUN SEBELUMNYA</t>
        </is>
      </c>
      <c r="I10" s="424" t="inlineStr">
        <is>
          <t>Rp</t>
        </is>
      </c>
      <c r="J10" s="431" t="n">
        <v>0</v>
      </c>
    </row>
    <row r="11">
      <c r="A11" s="397" t="n"/>
      <c r="B11" s="424" t="n"/>
      <c r="C11" s="417" t="n"/>
      <c r="D11" s="432" t="n"/>
      <c r="E11" s="433" t="n"/>
      <c r="F11" s="400" t="n"/>
      <c r="G11" s="429" t="n"/>
      <c r="H11" s="430" t="inlineStr">
        <is>
          <t>KAS DAN SETARA KAS TAHUN LAPORAN</t>
        </is>
      </c>
      <c r="I11" s="424" t="inlineStr">
        <is>
          <t>Rp</t>
        </is>
      </c>
      <c r="J11" s="431">
        <f>E46-'Business Summary'!E13</f>
        <v/>
      </c>
    </row>
    <row r="12">
      <c r="A12" s="397" t="n"/>
      <c r="B12" s="434" t="inlineStr">
        <is>
          <t>TOTALPENDAPATAN</t>
        </is>
      </c>
      <c r="C12" s="435" t="n"/>
      <c r="D12" s="436" t="inlineStr">
        <is>
          <t>Rp</t>
        </is>
      </c>
      <c r="E12" s="437">
        <f>SUM(E9:E11)</f>
        <v/>
      </c>
      <c r="F12" s="400" t="n"/>
      <c r="G12" s="429" t="n"/>
      <c r="H12" s="430" t="inlineStr">
        <is>
          <t>PIUTANG USAHA</t>
        </is>
      </c>
      <c r="I12" s="424" t="inlineStr">
        <is>
          <t>Rp</t>
        </is>
      </c>
      <c r="J12" s="431" t="n">
        <v>0</v>
      </c>
    </row>
    <row r="13">
      <c r="A13" s="397" t="n"/>
      <c r="B13" s="424" t="n"/>
      <c r="C13" s="417" t="n"/>
      <c r="D13" s="418" t="n"/>
      <c r="E13" s="438" t="n"/>
      <c r="F13" s="400" t="n"/>
      <c r="G13" s="429" t="n"/>
      <c r="H13" s="430" t="inlineStr">
        <is>
          <t>PAJAK BAYAR DI MUKA (pph23)</t>
        </is>
      </c>
      <c r="I13" s="424" t="inlineStr">
        <is>
          <t>Rp</t>
        </is>
      </c>
      <c r="J13" s="431" t="n">
        <v>0</v>
      </c>
    </row>
    <row r="14">
      <c r="A14" s="397" t="n"/>
      <c r="B14" s="439" t="inlineStr">
        <is>
          <t>BEBAN LANGSUNG</t>
        </is>
      </c>
      <c r="C14" s="417" t="n"/>
      <c r="D14" s="424" t="n"/>
      <c r="E14" s="440" t="n"/>
      <c r="F14" s="400" t="n"/>
      <c r="G14" s="429" t="n"/>
      <c r="H14" s="430" t="inlineStr">
        <is>
          <t>BIAYA BAYAR DI MUKA</t>
        </is>
      </c>
      <c r="I14" s="424" t="inlineStr">
        <is>
          <t>Rp</t>
        </is>
      </c>
      <c r="J14" s="431" t="n">
        <v>0</v>
      </c>
    </row>
    <row r="15">
      <c r="A15" s="397" t="n"/>
      <c r="B15" s="441" t="n"/>
      <c r="C15" s="417" t="inlineStr">
        <is>
          <t xml:space="preserve">Biaya Operasi </t>
        </is>
      </c>
      <c r="D15" s="424" t="inlineStr">
        <is>
          <t>Rp</t>
        </is>
      </c>
      <c r="E15" s="440">
        <f>'Revenue-Cost_2024'!I750</f>
        <v/>
      </c>
      <c r="F15" s="400" t="n"/>
      <c r="G15" s="442" t="n"/>
      <c r="H15" s="430" t="inlineStr">
        <is>
          <t>PIUTANG LAIN LAIN</t>
        </is>
      </c>
      <c r="I15" s="424" t="inlineStr">
        <is>
          <t>Rp</t>
        </is>
      </c>
      <c r="J15" s="431" t="n">
        <v>0</v>
      </c>
    </row>
    <row r="16">
      <c r="A16" s="397" t="n"/>
      <c r="B16" s="441" t="n"/>
      <c r="C16" s="417" t="inlineStr">
        <is>
          <t>Biaya research (R &amp; D)</t>
        </is>
      </c>
      <c r="D16" s="424" t="inlineStr">
        <is>
          <t>Rp</t>
        </is>
      </c>
      <c r="E16" s="440">
        <f>'Revenue-Cost_2024'!J750</f>
        <v/>
      </c>
      <c r="F16" s="400" t="n"/>
      <c r="G16" s="443" t="n"/>
      <c r="H16" s="444" t="inlineStr">
        <is>
          <t>TOTAL AKTIVA LANCAR</t>
        </is>
      </c>
      <c r="I16" s="436" t="inlineStr">
        <is>
          <t>Rp</t>
        </is>
      </c>
      <c r="J16" s="445">
        <f>SUM(J10:J15)</f>
        <v/>
      </c>
    </row>
    <row r="17">
      <c r="A17" s="397" t="n"/>
      <c r="B17" s="441" t="n"/>
      <c r="C17" s="417" t="inlineStr">
        <is>
          <t>BIAYA SEWA PERALATAN</t>
        </is>
      </c>
      <c r="D17" s="424" t="inlineStr">
        <is>
          <t>Rp</t>
        </is>
      </c>
      <c r="E17" s="440">
        <f>'Revenue-Cost_2024'!K750</f>
        <v/>
      </c>
      <c r="F17" s="400" t="n"/>
      <c r="G17" s="429" t="n"/>
      <c r="H17" s="430" t="n"/>
      <c r="I17" s="446" t="n"/>
      <c r="J17" s="447" t="n"/>
    </row>
    <row r="18">
      <c r="A18" s="397" t="n"/>
      <c r="B18" s="441" t="n"/>
      <c r="C18" s="417" t="inlineStr">
        <is>
          <t>BIAYA Data Processing</t>
        </is>
      </c>
      <c r="D18" s="424" t="inlineStr">
        <is>
          <t>Rp</t>
        </is>
      </c>
      <c r="E18" s="440">
        <f>'Revenue-Cost_2024'!L750</f>
        <v/>
      </c>
      <c r="F18" s="400" t="n"/>
      <c r="G18" s="426" t="inlineStr">
        <is>
          <t>ACTIVA TETAP</t>
        </is>
      </c>
      <c r="H18" s="448" t="n"/>
      <c r="I18" s="420" t="n"/>
      <c r="J18" s="431" t="n"/>
    </row>
    <row r="19">
      <c r="A19" s="397" t="n"/>
      <c r="B19" s="441" t="n"/>
      <c r="C19" s="417" t="n"/>
      <c r="D19" s="424" t="n"/>
      <c r="E19" s="440" t="n"/>
      <c r="F19" s="400" t="n"/>
      <c r="G19" s="426" t="n"/>
      <c r="H19" s="448" t="n"/>
      <c r="I19" s="420" t="n"/>
      <c r="J19" s="431" t="n"/>
    </row>
    <row r="20">
      <c r="A20" s="397" t="n"/>
      <c r="B20" s="441" t="n"/>
      <c r="C20" s="417" t="n"/>
      <c r="D20" s="432" t="n"/>
      <c r="E20" s="449" t="n"/>
      <c r="F20" s="400" t="n"/>
      <c r="G20" s="429" t="n"/>
      <c r="H20" s="430" t="inlineStr">
        <is>
          <t>INVENTARIS KANTOR</t>
        </is>
      </c>
      <c r="I20" s="424" t="inlineStr">
        <is>
          <t>Rp</t>
        </is>
      </c>
      <c r="J20" s="431" t="n">
        <v>0</v>
      </c>
    </row>
    <row r="21">
      <c r="A21" s="397" t="n"/>
      <c r="B21" s="434" t="inlineStr">
        <is>
          <t>TOTAL BIAYA LANGSUNG</t>
        </is>
      </c>
      <c r="C21" s="435" t="n"/>
      <c r="D21" s="436" t="inlineStr">
        <is>
          <t>Rp</t>
        </is>
      </c>
      <c r="E21" s="450">
        <f>SUM(E15:E20)</f>
        <v/>
      </c>
      <c r="F21" s="400" t="n"/>
      <c r="G21" s="429" t="n"/>
      <c r="H21" s="448" t="n"/>
      <c r="I21" s="451" t="n"/>
      <c r="J21" s="452" t="n"/>
    </row>
    <row r="22">
      <c r="A22" s="397" t="n"/>
      <c r="B22" s="424" t="n"/>
      <c r="C22" s="417" t="n"/>
      <c r="D22" s="418" t="n"/>
      <c r="E22" s="453" t="n"/>
      <c r="F22" s="400" t="n"/>
      <c r="G22" s="443" t="n"/>
      <c r="H22" s="444" t="inlineStr">
        <is>
          <t>TOTAL AKTIVA TETAP</t>
        </is>
      </c>
      <c r="I22" s="436" t="inlineStr">
        <is>
          <t>Rp</t>
        </is>
      </c>
      <c r="J22" s="445">
        <f>J20</f>
        <v/>
      </c>
    </row>
    <row r="23">
      <c r="A23" s="397" t="n"/>
      <c r="B23" s="439" t="inlineStr">
        <is>
          <t>BEBAN TIDAK LANGSUNG</t>
        </is>
      </c>
      <c r="C23" s="417" t="n"/>
      <c r="D23" s="424" t="n"/>
      <c r="E23" s="440">
        <f>'Revenue-Cost_2024'!Q750</f>
        <v/>
      </c>
      <c r="F23" s="400" t="n"/>
      <c r="G23" s="429" t="n"/>
      <c r="H23" s="430" t="n"/>
      <c r="I23" s="446" t="n"/>
      <c r="J23" s="423" t="n"/>
    </row>
    <row r="24">
      <c r="A24" s="397" t="n"/>
      <c r="B24" s="424" t="n"/>
      <c r="C24" s="417" t="n"/>
      <c r="D24" s="424" t="n"/>
      <c r="E24" s="440" t="n"/>
      <c r="F24" s="400" t="n"/>
      <c r="G24" s="426" t="inlineStr">
        <is>
          <t>ACTIVA LAIN LAIN</t>
        </is>
      </c>
      <c r="H24" s="448" t="n"/>
      <c r="I24" s="420" t="n"/>
      <c r="J24" s="431" t="n">
        <v>0</v>
      </c>
    </row>
    <row r="25">
      <c r="A25" s="397" t="n"/>
      <c r="B25" s="424" t="n"/>
      <c r="C25" s="417" t="n"/>
      <c r="D25" s="424" t="inlineStr">
        <is>
          <t>Rp</t>
        </is>
      </c>
      <c r="E25" s="440" t="n"/>
      <c r="F25" s="400" t="n"/>
      <c r="G25" s="429" t="n"/>
      <c r="H25" s="430" t="n"/>
      <c r="I25" s="454" t="n"/>
      <c r="J25" s="455" t="n">
        <v>0</v>
      </c>
    </row>
    <row r="26">
      <c r="A26" s="397" t="n"/>
      <c r="B26" s="424" t="n"/>
      <c r="C26" s="417" t="n"/>
      <c r="D26" s="432" t="n"/>
      <c r="E26" s="449" t="n"/>
      <c r="F26" s="400" t="n"/>
      <c r="G26" s="443" t="n"/>
      <c r="H26" s="444" t="inlineStr">
        <is>
          <t>TOTAL AKTIVA LAIN LAIN</t>
        </is>
      </c>
      <c r="I26" s="436" t="inlineStr">
        <is>
          <t>Rp</t>
        </is>
      </c>
      <c r="J26" s="445">
        <f>SUM(J25:J25)</f>
        <v/>
      </c>
    </row>
    <row r="27">
      <c r="A27" s="397" t="n"/>
      <c r="B27" s="434" t="inlineStr">
        <is>
          <t>TOTAL BIAYA TIDAK LANGSUNG</t>
        </is>
      </c>
      <c r="C27" s="435" t="n"/>
      <c r="D27" s="436" t="inlineStr">
        <is>
          <t>Rp</t>
        </is>
      </c>
      <c r="E27" s="450">
        <f>SUM(E22:E26)</f>
        <v/>
      </c>
      <c r="F27" s="400" t="n"/>
      <c r="G27" s="429" t="n"/>
      <c r="H27" s="430" t="n"/>
      <c r="I27" s="456" t="n"/>
      <c r="J27" s="457" t="n"/>
    </row>
    <row r="28">
      <c r="A28" s="397" t="n"/>
      <c r="B28" s="424" t="n"/>
      <c r="C28" s="417" t="n"/>
      <c r="D28" s="418" t="n"/>
      <c r="E28" s="453" t="n"/>
      <c r="F28" s="400" t="n"/>
      <c r="G28" s="434" t="inlineStr">
        <is>
          <t>TOTAL AKTIVA</t>
        </is>
      </c>
      <c r="H28" s="435" t="n"/>
      <c r="I28" s="436" t="inlineStr">
        <is>
          <t>Rp</t>
        </is>
      </c>
      <c r="J28" s="458">
        <f>J26+J22+J16</f>
        <v/>
      </c>
    </row>
    <row r="29">
      <c r="A29" s="397" t="n"/>
      <c r="B29" s="439" t="inlineStr">
        <is>
          <t>BIAYA ADMINISTRASI DAN UMUM</t>
        </is>
      </c>
      <c r="C29" s="417" t="n"/>
      <c r="D29" s="424" t="n"/>
      <c r="E29" s="440" t="n"/>
      <c r="F29" s="400" t="n"/>
      <c r="G29" s="459" t="n"/>
      <c r="H29" s="460" t="n"/>
      <c r="I29" s="459" t="n"/>
      <c r="J29" s="447" t="n"/>
    </row>
    <row r="30">
      <c r="A30" s="397" t="n"/>
      <c r="B30" s="441" t="n"/>
      <c r="C30" s="417" t="inlineStr">
        <is>
          <t>BIAYA ADMINISTRASI</t>
        </is>
      </c>
      <c r="D30" s="424" t="inlineStr">
        <is>
          <t>Rp</t>
        </is>
      </c>
      <c r="E30" s="440">
        <f>'Revenue-Cost_2024'!M750</f>
        <v/>
      </c>
      <c r="F30" s="400" t="n"/>
      <c r="G30" s="461" t="inlineStr">
        <is>
          <t>HUTANG DAN MODAL</t>
        </is>
      </c>
      <c r="H30" s="421" t="n"/>
      <c r="I30" s="461" t="n"/>
      <c r="J30" s="462" t="n"/>
    </row>
    <row r="31">
      <c r="A31" s="397" t="n"/>
      <c r="B31" s="441" t="n"/>
      <c r="C31" s="417" t="inlineStr">
        <is>
          <t>BIAYA PEMBELIAN Barang</t>
        </is>
      </c>
      <c r="D31" s="424" t="inlineStr">
        <is>
          <t>Rp</t>
        </is>
      </c>
      <c r="E31" s="440">
        <f>'Revenue-Cost_2024'!N750</f>
        <v/>
      </c>
      <c r="F31" s="400" t="n"/>
      <c r="G31" s="461" t="n"/>
      <c r="H31" s="421" t="n"/>
      <c r="I31" s="461" t="n"/>
      <c r="J31" s="462" t="n"/>
    </row>
    <row r="32">
      <c r="A32" s="397" t="n"/>
      <c r="B32" s="441" t="n"/>
      <c r="C32" s="417" t="inlineStr">
        <is>
          <t>BIAYA SEWA KANTOR</t>
        </is>
      </c>
      <c r="D32" s="424" t="inlineStr">
        <is>
          <t>Rp</t>
        </is>
      </c>
      <c r="E32" s="440">
        <f>'Revenue-Cost_2024'!O750</f>
        <v/>
      </c>
      <c r="F32" s="400" t="n"/>
      <c r="G32" s="426" t="inlineStr">
        <is>
          <t>HUTANG LANCAR</t>
        </is>
      </c>
      <c r="H32" s="427" t="n"/>
      <c r="I32" s="426" t="n"/>
      <c r="J32" s="428" t="n"/>
    </row>
    <row r="33">
      <c r="A33" s="397" t="n"/>
      <c r="B33" s="441" t="n"/>
      <c r="C33" s="417" t="inlineStr">
        <is>
          <t>BIAYA KESEHATAN</t>
        </is>
      </c>
      <c r="D33" s="424" t="inlineStr">
        <is>
          <t>Rp</t>
        </is>
      </c>
      <c r="E33" s="440">
        <f>'Revenue-Cost_2024'!P750</f>
        <v/>
      </c>
      <c r="F33" s="400" t="n"/>
      <c r="G33" s="429" t="n"/>
      <c r="H33" s="430" t="inlineStr">
        <is>
          <t>HUTANG USAHA</t>
        </is>
      </c>
      <c r="I33" s="424" t="inlineStr">
        <is>
          <t>Rp</t>
        </is>
      </c>
      <c r="J33" s="431" t="n">
        <v>0</v>
      </c>
    </row>
    <row r="34">
      <c r="A34" s="397" t="n"/>
      <c r="B34" s="441" t="n"/>
      <c r="C34" s="417" t="n"/>
      <c r="D34" s="432" t="n"/>
      <c r="E34" s="449" t="n"/>
      <c r="F34" s="400" t="n"/>
      <c r="G34" s="429" t="n"/>
      <c r="H34" s="463" t="inlineStr">
        <is>
          <t>HUTANG GAJI</t>
        </is>
      </c>
      <c r="I34" s="424" t="inlineStr">
        <is>
          <t>Rp</t>
        </is>
      </c>
      <c r="J34" s="431" t="n">
        <v>0</v>
      </c>
    </row>
    <row r="35">
      <c r="A35" s="397" t="n"/>
      <c r="B35" s="434" t="inlineStr">
        <is>
          <t>TOTAL BIAYA ADMINISTRASI DAN UMUM</t>
        </is>
      </c>
      <c r="C35" s="435" t="n"/>
      <c r="D35" s="436" t="inlineStr">
        <is>
          <t>Rp</t>
        </is>
      </c>
      <c r="E35" s="437">
        <f>SUM(E30:E34)</f>
        <v/>
      </c>
      <c r="F35" s="400" t="n"/>
      <c r="G35" s="429" t="n"/>
      <c r="H35" s="430" t="inlineStr">
        <is>
          <t>HUTANG PEMEGANG SAHAM</t>
        </is>
      </c>
      <c r="I35" s="424" t="inlineStr">
        <is>
          <t>Rp</t>
        </is>
      </c>
      <c r="J35" s="431" t="n">
        <v>0</v>
      </c>
    </row>
    <row r="36">
      <c r="A36" s="397" t="n"/>
      <c r="B36" s="441" t="n"/>
      <c r="C36" s="417" t="n"/>
      <c r="D36" s="436" t="n"/>
      <c r="E36" s="464" t="n"/>
      <c r="F36" s="400" t="n"/>
      <c r="G36" s="429" t="n"/>
      <c r="H36" s="430" t="inlineStr">
        <is>
          <t>BIAYA YANG MASIH HARUS DI BAYAR</t>
        </is>
      </c>
      <c r="I36" s="424" t="inlineStr">
        <is>
          <t>Rp</t>
        </is>
      </c>
      <c r="J36" s="431" t="n">
        <v>0</v>
      </c>
    </row>
    <row r="37">
      <c r="A37" s="397" t="n"/>
      <c r="B37" s="434" t="inlineStr">
        <is>
          <t>TOTAL BIAYA</t>
        </is>
      </c>
      <c r="C37" s="435" t="n"/>
      <c r="D37" s="436" t="inlineStr">
        <is>
          <t>Rp</t>
        </is>
      </c>
      <c r="E37" s="437">
        <f>E35+E21+E27</f>
        <v/>
      </c>
      <c r="F37" s="400" t="n"/>
      <c r="G37" s="465" t="n"/>
      <c r="H37" s="466" t="n"/>
      <c r="I37" s="465" t="n"/>
      <c r="J37" s="467" t="n"/>
    </row>
    <row r="38">
      <c r="A38" s="397" t="n"/>
      <c r="B38" s="416" t="n"/>
      <c r="C38" s="468" t="n"/>
      <c r="D38" s="418" t="n"/>
      <c r="E38" s="469" t="n"/>
      <c r="F38" s="400" t="n"/>
      <c r="G38" s="443" t="n"/>
      <c r="H38" s="444" t="inlineStr">
        <is>
          <t>TOTAL HUTANG LANCAR</t>
        </is>
      </c>
      <c r="I38" s="470" t="n"/>
      <c r="J38" s="445">
        <f>SUM(J33:J36)</f>
        <v/>
      </c>
    </row>
    <row r="39">
      <c r="A39" s="397" t="n"/>
      <c r="B39" s="439" t="inlineStr">
        <is>
          <t xml:space="preserve">PENDAPATAN/BEBAN LAIN LAIN </t>
        </is>
      </c>
      <c r="C39" s="417" t="n"/>
      <c r="D39" s="424" t="inlineStr">
        <is>
          <t>Rp</t>
        </is>
      </c>
      <c r="E39" s="471" t="n"/>
      <c r="F39" s="400" t="n"/>
      <c r="G39" s="429" t="n"/>
      <c r="H39" s="448" t="n"/>
      <c r="I39" s="472" t="n"/>
      <c r="J39" s="423" t="n"/>
    </row>
    <row r="40">
      <c r="A40" s="397" t="n"/>
      <c r="B40" s="439" t="n"/>
      <c r="C40" s="417" t="inlineStr">
        <is>
          <t>PENDAPATAN LAINNYA</t>
        </is>
      </c>
      <c r="D40" s="424" t="inlineStr">
        <is>
          <t>Rp</t>
        </is>
      </c>
      <c r="E40" s="425" t="n">
        <v>0</v>
      </c>
      <c r="F40" s="400" t="n"/>
      <c r="G40" s="426" t="inlineStr">
        <is>
          <t>MODAL</t>
        </is>
      </c>
      <c r="H40" s="427" t="n"/>
      <c r="I40" s="426" t="n"/>
      <c r="J40" s="428" t="n"/>
    </row>
    <row r="41">
      <c r="A41" s="397" t="n"/>
      <c r="B41" s="439" t="n"/>
      <c r="C41" s="417" t="n"/>
      <c r="D41" s="432" t="n"/>
      <c r="E41" s="473" t="n"/>
      <c r="F41" s="400" t="n"/>
      <c r="G41" s="429" t="n"/>
      <c r="H41" s="430" t="inlineStr">
        <is>
          <t>MODAL SAHAM</t>
        </is>
      </c>
      <c r="I41" s="424" t="inlineStr">
        <is>
          <t>Rp</t>
        </is>
      </c>
      <c r="J41" s="431" t="n">
        <v>0</v>
      </c>
    </row>
    <row r="42">
      <c r="A42" s="397" t="n"/>
      <c r="B42" s="434" t="inlineStr">
        <is>
          <t>LABA RUGI SEBELUM PAJAK</t>
        </is>
      </c>
      <c r="C42" s="435" t="n"/>
      <c r="D42" s="436" t="inlineStr">
        <is>
          <t>Rp</t>
        </is>
      </c>
      <c r="E42" s="437">
        <f>E12-E37</f>
        <v/>
      </c>
      <c r="F42" s="400" t="n"/>
      <c r="G42" s="429" t="n"/>
      <c r="H42" s="430" t="inlineStr">
        <is>
          <t>LABA DI TAHAN</t>
        </is>
      </c>
      <c r="I42" s="424" t="inlineStr">
        <is>
          <t>Rp</t>
        </is>
      </c>
      <c r="J42" s="431" t="n">
        <v>0</v>
      </c>
    </row>
    <row r="43">
      <c r="A43" s="397" t="n"/>
      <c r="B43" s="474" t="n"/>
      <c r="C43" s="468" t="n"/>
      <c r="D43" s="418" t="n"/>
      <c r="E43" s="438" t="n"/>
      <c r="F43" s="400" t="n"/>
      <c r="G43" s="426" t="n"/>
      <c r="H43" s="430" t="inlineStr">
        <is>
          <t>TOTAL LABA (RUGI) DITAHAN</t>
        </is>
      </c>
      <c r="I43" s="432" t="inlineStr">
        <is>
          <t>Rp</t>
        </is>
      </c>
      <c r="J43" s="455">
        <f>J28-J38-J41-J42</f>
        <v/>
      </c>
    </row>
    <row r="44">
      <c r="A44" s="397" t="n"/>
      <c r="B44" s="439" t="inlineStr">
        <is>
          <t>CORPORATE TAX (PPh 29)</t>
        </is>
      </c>
      <c r="D44" s="424" t="inlineStr">
        <is>
          <t>Rp</t>
        </is>
      </c>
      <c r="E44" s="425" t="n">
        <v>0</v>
      </c>
      <c r="F44" s="400" t="n"/>
      <c r="G44" s="443" t="n"/>
      <c r="H44" s="444" t="inlineStr">
        <is>
          <t>TOTAL MODAL</t>
        </is>
      </c>
      <c r="I44" s="436" t="inlineStr">
        <is>
          <t>Rp</t>
        </is>
      </c>
      <c r="J44" s="445">
        <f>SUM(J41:J43)</f>
        <v/>
      </c>
    </row>
    <row r="45">
      <c r="A45" s="397" t="n"/>
      <c r="B45" s="439" t="n"/>
      <c r="C45" s="417" t="n"/>
      <c r="D45" s="432" t="n"/>
      <c r="E45" s="473" t="n"/>
      <c r="F45" s="400" t="n"/>
      <c r="G45" s="429" t="n"/>
      <c r="H45" s="430" t="n"/>
      <c r="I45" s="456" t="n"/>
      <c r="J45" s="457" t="n"/>
    </row>
    <row r="46" ht="15" customHeight="1" s="297">
      <c r="A46" s="397" t="n"/>
      <c r="B46" s="475" t="inlineStr">
        <is>
          <t>LABA / RUGI BERSIH</t>
        </is>
      </c>
      <c r="C46" s="303" t="n"/>
      <c r="D46" s="476" t="n"/>
      <c r="E46" s="477">
        <f>E42-E44</f>
        <v/>
      </c>
      <c r="F46" s="400" t="n"/>
      <c r="G46" s="478" t="inlineStr">
        <is>
          <t>TOTAL HUTANG DAN MODAL</t>
        </is>
      </c>
      <c r="H46" s="479" t="n"/>
      <c r="I46" s="476" t="inlineStr">
        <is>
          <t>Rp</t>
        </is>
      </c>
      <c r="J46" s="480">
        <f>J44+J38</f>
        <v/>
      </c>
    </row>
    <row r="47" ht="4.5" customHeight="1" s="297">
      <c r="A47" s="397" t="n"/>
      <c r="F47" s="400" t="n"/>
    </row>
    <row r="48" ht="50.65" customHeight="1" s="297">
      <c r="A48" s="397" t="n"/>
      <c r="F48" s="400" t="n"/>
      <c r="G48" s="481" t="n"/>
    </row>
    <row r="49" ht="16.75" customHeight="1" s="297">
      <c r="A49" s="397" t="n"/>
      <c r="B49" s="482" t="n"/>
      <c r="F49" s="400" t="n"/>
      <c r="G49" s="482" t="n"/>
    </row>
    <row r="50" ht="15.65" customHeight="1" s="297">
      <c r="A50" s="417" t="n"/>
      <c r="B50" s="483" t="inlineStr">
        <is>
          <t>Direktur</t>
        </is>
      </c>
      <c r="F50" s="400" t="n"/>
      <c r="G50" s="483" t="inlineStr">
        <is>
          <t>Direktur</t>
        </is>
      </c>
    </row>
    <row r="51">
      <c r="A51" s="417" t="n"/>
      <c r="F51" s="400" t="n"/>
    </row>
    <row r="52">
      <c r="A52" s="417" t="n"/>
      <c r="F52" s="400" t="n"/>
      <c r="J52" s="4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97" t="n"/>
      <c r="B1" s="397" t="n"/>
      <c r="C1" s="397" t="n"/>
      <c r="D1" s="397" t="n"/>
      <c r="E1" s="398" t="n"/>
    </row>
    <row r="2" ht="37.25" customHeight="1" s="297">
      <c r="A2" s="397" t="n"/>
      <c r="B2" s="397" t="n"/>
      <c r="C2" s="397" t="n"/>
      <c r="D2" s="397" t="n"/>
      <c r="E2" s="398" t="n"/>
    </row>
    <row r="3" ht="33.65" customHeight="1" s="297">
      <c r="A3" s="397" t="n"/>
      <c r="B3" s="399" t="inlineStr">
        <is>
          <t>PT. EXSPAN WIRELINE INDONESIA</t>
        </is>
      </c>
      <c r="F3" s="400" t="n"/>
    </row>
    <row r="4" ht="20.5" customHeight="1" s="297">
      <c r="A4" s="397" t="n"/>
      <c r="B4" s="402" t="inlineStr">
        <is>
          <t>BUSINESS SUMMARY | TAHUN 2024</t>
        </is>
      </c>
      <c r="F4" s="400" t="n"/>
    </row>
    <row r="5" ht="6" customHeight="1" s="297">
      <c r="A5" s="397" t="n"/>
      <c r="B5" s="397" t="n"/>
      <c r="C5" s="397" t="n"/>
      <c r="D5" s="397" t="n"/>
      <c r="E5" s="398" t="n"/>
      <c r="F5" s="400" t="n"/>
    </row>
    <row r="6" ht="19" customHeight="1" s="297">
      <c r="A6" s="397" t="n"/>
      <c r="B6" s="485" t="inlineStr">
        <is>
          <t>#</t>
        </is>
      </c>
      <c r="C6" s="485" t="inlineStr">
        <is>
          <t>Items</t>
        </is>
      </c>
      <c r="D6" s="486" t="inlineStr">
        <is>
          <t>Amount</t>
        </is>
      </c>
      <c r="E6" s="279" t="n"/>
      <c r="F6" s="400" t="n"/>
    </row>
    <row r="7" ht="19" customHeight="1" s="297">
      <c r="A7" s="397" t="n"/>
      <c r="B7" s="487" t="n">
        <v>1</v>
      </c>
      <c r="C7" s="488" t="inlineStr">
        <is>
          <t>Revenue</t>
        </is>
      </c>
      <c r="D7" s="489" t="inlineStr">
        <is>
          <t>Rp</t>
        </is>
      </c>
      <c r="E7" s="490">
        <f>'Revenue-Cost_2024'!F22</f>
        <v/>
      </c>
      <c r="F7" s="400" t="n"/>
    </row>
    <row r="8" ht="19" customHeight="1" s="297">
      <c r="A8" s="397" t="n"/>
      <c r="B8" s="487" t="n">
        <v>2</v>
      </c>
      <c r="C8" s="488" t="inlineStr">
        <is>
          <t>Revenue Diterima (Setelah Pajak)</t>
        </is>
      </c>
      <c r="D8" s="489" t="inlineStr">
        <is>
          <t>Rp</t>
        </is>
      </c>
      <c r="E8" s="490">
        <f>E7-'Revenue-Cost_2024'!N22</f>
        <v/>
      </c>
      <c r="F8" s="400" t="n"/>
    </row>
    <row r="9" ht="19" customHeight="1" s="297">
      <c r="A9" s="397" t="n"/>
      <c r="B9" s="487" t="n">
        <v>3</v>
      </c>
      <c r="C9" s="488" t="inlineStr">
        <is>
          <t>Biaya</t>
        </is>
      </c>
      <c r="D9" s="489" t="inlineStr">
        <is>
          <t>Rp</t>
        </is>
      </c>
      <c r="E9" s="490">
        <f>SUM('Revenue-Cost_2024'!I750:Q750)</f>
        <v/>
      </c>
      <c r="F9" s="400" t="n"/>
    </row>
    <row r="10" ht="19" customHeight="1" s="297">
      <c r="A10" s="397" t="n"/>
      <c r="B10" s="487" t="n">
        <v>4</v>
      </c>
      <c r="C10" s="488" t="inlineStr">
        <is>
          <t>Profit SebelumTax</t>
        </is>
      </c>
      <c r="D10" s="489" t="inlineStr">
        <is>
          <t>Rp</t>
        </is>
      </c>
      <c r="E10" s="490">
        <f>E7-E9</f>
        <v/>
      </c>
      <c r="F10" s="400" t="n"/>
    </row>
    <row r="11" ht="19" customHeight="1" s="297">
      <c r="A11" s="397" t="n"/>
      <c r="B11" s="487" t="n">
        <v>5</v>
      </c>
      <c r="C11" s="488" t="inlineStr">
        <is>
          <t>PPh Badan (22%*50%)</t>
        </is>
      </c>
      <c r="D11" s="489" t="inlineStr">
        <is>
          <t>Rp</t>
        </is>
      </c>
      <c r="E11" s="490">
        <f>E10*22%*50%</f>
        <v/>
      </c>
      <c r="F11" s="400" t="n"/>
    </row>
    <row r="12" ht="19" customHeight="1" s="297">
      <c r="A12" s="397" t="n"/>
      <c r="B12" s="487" t="n">
        <v>6</v>
      </c>
      <c r="C12" s="488" t="inlineStr">
        <is>
          <t>PPh 23 Dipotong oleh client</t>
        </is>
      </c>
      <c r="D12" s="489" t="inlineStr">
        <is>
          <t>Rp</t>
        </is>
      </c>
      <c r="E12" s="490">
        <f>'Revenue-Cost_2024'!N22</f>
        <v/>
      </c>
      <c r="F12" s="400" t="n"/>
    </row>
    <row r="13" ht="19" customHeight="1" s="297">
      <c r="A13" s="397" t="n"/>
      <c r="B13" s="487" t="n">
        <v>7</v>
      </c>
      <c r="C13" s="488" t="inlineStr">
        <is>
          <t>Kekurangan Bayar PPh Badan</t>
        </is>
      </c>
      <c r="D13" s="489" t="inlineStr">
        <is>
          <t>Rp</t>
        </is>
      </c>
      <c r="E13" s="491">
        <f>E11-E12</f>
        <v/>
      </c>
      <c r="F13" s="400" t="n"/>
    </row>
    <row r="14" ht="19" customHeight="1" s="297">
      <c r="A14" s="397" t="n"/>
      <c r="B14" s="487" t="n">
        <v>8</v>
      </c>
      <c r="C14" s="488" t="inlineStr">
        <is>
          <t>Profit After Tax</t>
        </is>
      </c>
      <c r="D14" s="489" t="inlineStr">
        <is>
          <t>Rp</t>
        </is>
      </c>
      <c r="E14" s="490">
        <f>E10-E13</f>
        <v/>
      </c>
      <c r="F14" s="400" t="n"/>
    </row>
    <row r="15" ht="19" customHeight="1" s="297">
      <c r="A15" s="397" t="n"/>
      <c r="B15" s="487" t="n">
        <v>9</v>
      </c>
      <c r="C15" s="488" t="inlineStr">
        <is>
          <t>Deviden Dibagi</t>
        </is>
      </c>
      <c r="D15" s="489" t="inlineStr">
        <is>
          <t>Rp</t>
        </is>
      </c>
      <c r="E15" s="490">
        <f>E14-E16</f>
        <v/>
      </c>
      <c r="F15" s="400" t="n"/>
    </row>
    <row r="16" ht="19" customHeight="1" s="297">
      <c r="A16" s="397" t="n"/>
      <c r="B16" s="487" t="n">
        <v>10</v>
      </c>
      <c r="C16" s="488" t="inlineStr">
        <is>
          <t>Profit Ditahan</t>
        </is>
      </c>
      <c r="D16" s="489" t="inlineStr">
        <is>
          <t>Rp</t>
        </is>
      </c>
      <c r="E16" s="490" t="n">
        <v>33763737</v>
      </c>
      <c r="F16" s="400" t="n"/>
    </row>
    <row r="17">
      <c r="A17" s="397" t="n"/>
      <c r="B17" s="397" t="n"/>
      <c r="C17" s="397" t="n"/>
      <c r="D17" s="397" t="n"/>
      <c r="E17" s="398" t="n"/>
      <c r="F17" s="400" t="n"/>
    </row>
    <row r="18" ht="18" customHeight="1" s="297">
      <c r="A18" s="397" t="n"/>
      <c r="B18" s="270" t="inlineStr">
        <is>
          <t>DEVIDEN</t>
        </is>
      </c>
      <c r="F18" s="400" t="n"/>
    </row>
    <row r="19" ht="19" customHeight="1" s="297">
      <c r="A19" s="397" t="n">
        <v>1</v>
      </c>
      <c r="B19" s="271" t="inlineStr">
        <is>
          <t>Anevril Chairulsyah</t>
        </is>
      </c>
      <c r="C19" s="272" t="n"/>
      <c r="D19" s="488" t="inlineStr">
        <is>
          <t>Rp</t>
        </is>
      </c>
      <c r="E19" s="492">
        <f>IF(B19="","",$E$15/COUNTA($B$19:$B$79))</f>
        <v/>
      </c>
      <c r="F19" s="400" t="n"/>
      <c r="G19" s="493" t="n"/>
    </row>
    <row r="20" ht="19" customHeight="1" s="297">
      <c r="A20" s="397" t="n">
        <v>2</v>
      </c>
      <c r="B20" s="271" t="inlineStr">
        <is>
          <t>Alan Muhadjir</t>
        </is>
      </c>
      <c r="C20" s="272" t="n"/>
      <c r="D20" s="488" t="inlineStr">
        <is>
          <t>Rp</t>
        </is>
      </c>
      <c r="E20" s="492">
        <f>IF(B20="","",$E$15/COUNTA($B$19:$B$79))</f>
        <v/>
      </c>
      <c r="F20" s="400" t="n"/>
      <c r="G20" s="493" t="n"/>
    </row>
    <row r="21" ht="48.75" customHeight="1" s="297">
      <c r="A21" s="417" t="n"/>
      <c r="F21" s="400" t="n"/>
    </row>
    <row r="22">
      <c r="A22" s="417" t="n"/>
      <c r="F22" s="4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2026-03-22T18:33:36Z</dcterms:modified>
  <cp:lastModifiedBy>Diofavian - Student</cp:lastModifiedBy>
</cp:coreProperties>
</file>