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6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15" fontId="10" fillId="6" borderId="20" pivotButton="0" quotePrefix="0" xfId="0"/>
    <xf numFmtId="0" fontId="10" fillId="6" borderId="20" applyAlignment="1" pivotButton="0" quotePrefix="0" xfId="0">
      <alignment horizontal="center"/>
    </xf>
    <xf numFmtId="0" fontId="16" fillId="6" borderId="20" pivotButton="0" quotePrefix="0" xfId="0"/>
    <xf numFmtId="165" fontId="10" fillId="6" borderId="20" pivotButton="0" quotePrefix="0" xfId="2"/>
    <xf numFmtId="165" fontId="8" fillId="0" borderId="20" pivotButton="0" quotePrefix="0" xfId="0"/>
    <xf numFmtId="0" fontId="8" fillId="0" borderId="20" pivotButton="0" quotePrefix="0" xfId="0"/>
    <xf numFmtId="0" fontId="0" fillId="0" borderId="20" pivotButton="0" quotePrefix="0" xfId="0"/>
    <xf numFmtId="0" fontId="17" fillId="6" borderId="20" pivotButton="0" quotePrefix="0" xfId="0"/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left" vertical="center"/>
    </xf>
    <xf numFmtId="165" fontId="8" fillId="0" borderId="20" applyAlignment="1" pivotButton="0" quotePrefix="0" xfId="0">
      <alignment vertical="top"/>
    </xf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0"/>
    <xf numFmtId="15" fontId="36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3" fontId="10" fillId="12" borderId="20" pivotButton="0" quotePrefix="0" xfId="2"/>
    <xf numFmtId="176" fontId="10" fillId="12" borderId="20" applyAlignment="1" pivotButton="0" quotePrefix="0" xfId="0">
      <alignment horizontal="center"/>
    </xf>
    <xf numFmtId="3" fontId="8" fillId="12" borderId="20" pivotButton="0" quotePrefix="0" xfId="0"/>
    <xf numFmtId="0" fontId="8" fillId="12" borderId="20" pivotButton="0" quotePrefix="0" xfId="0"/>
    <xf numFmtId="0" fontId="8" fillId="5" borderId="20" pivotButton="0" quotePrefix="0" xfId="0"/>
    <xf numFmtId="0" fontId="8" fillId="5" borderId="20" applyAlignment="1" pivotButton="0" quotePrefix="0" xfId="0">
      <alignment horizontal="center"/>
    </xf>
    <xf numFmtId="164" fontId="16" fillId="5" borderId="20" applyAlignment="1" pivotButton="0" quotePrefix="0" xfId="0">
      <alignment horizontal="left"/>
    </xf>
    <xf numFmtId="0" fontId="10" fillId="5" borderId="20" pivotButton="0" quotePrefix="0" xfId="0"/>
    <xf numFmtId="0" fontId="10" fillId="5" borderId="20" applyAlignment="1" pivotButton="0" quotePrefix="0" xfId="0">
      <alignment horizontal="center"/>
    </xf>
    <xf numFmtId="165" fontId="8" fillId="5" borderId="20" applyAlignment="1" pivotButton="0" quotePrefix="0" xfId="0">
      <alignment vertical="top"/>
    </xf>
    <xf numFmtId="165" fontId="8" fillId="5" borderId="20" pivotButton="0" quotePrefix="0" xfId="0"/>
    <xf numFmtId="0" fontId="8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top"/>
    </xf>
    <xf numFmtId="3" fontId="10" fillId="6" borderId="20" applyAlignment="1" pivotButton="0" quotePrefix="0" xfId="0">
      <alignment horizontal="center"/>
    </xf>
    <xf numFmtId="177" fontId="36" fillId="12" borderId="20" pivotButton="0" quotePrefix="0" xfId="0"/>
    <xf numFmtId="3" fontId="10" fillId="12" borderId="20" pivotButton="0" quotePrefix="0" xfId="0"/>
    <xf numFmtId="177" fontId="8" fillId="11" borderId="20" pivotButton="0" quotePrefix="0" xfId="0"/>
    <xf numFmtId="0" fontId="8" fillId="11" borderId="20" applyAlignment="1" pivotButton="0" quotePrefix="0" xfId="0">
      <alignment horizontal="center"/>
    </xf>
    <xf numFmtId="164" fontId="16" fillId="11" borderId="20" applyAlignment="1" pivotButton="0" quotePrefix="0" xfId="0">
      <alignment horizontal="left"/>
    </xf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10" fillId="0" borderId="20" applyAlignment="1" pivotButton="0" quotePrefix="0" xfId="0">
      <alignment horizontal="left" vertical="center"/>
    </xf>
    <xf numFmtId="165" fontId="10" fillId="0" borderId="20" pivotButton="0" quotePrefix="0" xfId="2"/>
    <xf numFmtId="165" fontId="10" fillId="6" borderId="20" pivotButton="0" quotePrefix="0" xfId="1"/>
    <xf numFmtId="0" fontId="17" fillId="12" borderId="20" pivotButton="0" quotePrefix="0" xfId="0"/>
    <xf numFmtId="167" fontId="8" fillId="11" borderId="20" pivotButton="0" quotePrefix="0" xfId="0"/>
    <xf numFmtId="15" fontId="36" fillId="12" borderId="20" pivotButton="0" quotePrefix="0" xfId="0"/>
    <xf numFmtId="3" fontId="10" fillId="12" borderId="20" pivotButton="0" quotePrefix="0" xfId="1"/>
    <xf numFmtId="0" fontId="10" fillId="0" borderId="20" pivotButton="0" quotePrefix="0" xfId="0"/>
    <xf numFmtId="165" fontId="10" fillId="0" borderId="20" pivotButton="0" quotePrefix="0" xfId="1"/>
    <xf numFmtId="15" fontId="10" fillId="0" borderId="20" applyAlignment="1" pivotButton="0" quotePrefix="0" xfId="0">
      <alignment horizontal="right"/>
    </xf>
    <xf numFmtId="167" fontId="8" fillId="6" borderId="20" pivotButton="0" quotePrefix="0" xfId="0"/>
    <xf numFmtId="165" fontId="10" fillId="5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76" fontId="10" fillId="12" borderId="20" pivotButton="0" quotePrefix="0" xfId="0"/>
    <xf numFmtId="3" fontId="10" fillId="6" borderId="20" pivotButton="0" quotePrefix="0" xfId="0"/>
    <xf numFmtId="15" fontId="10" fillId="0" borderId="20" pivotButton="0" quotePrefix="0" xfId="0"/>
    <xf numFmtId="164" fontId="8" fillId="5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 wrapText="1"/>
    </xf>
    <xf numFmtId="3" fontId="10" fillId="11" borderId="20" applyAlignment="1" pivotButton="0" quotePrefix="0" xfId="1">
      <alignment vertical="center"/>
    </xf>
    <xf numFmtId="15" fontId="10" fillId="11" borderId="20" applyAlignment="1" pivotButton="0" quotePrefix="0" xfId="0">
      <alignment horizontal="right"/>
    </xf>
    <xf numFmtId="0" fontId="10" fillId="0" borderId="20" applyAlignment="1" pivotButton="0" quotePrefix="0" xfId="0">
      <alignment horizontal="left"/>
    </xf>
    <xf numFmtId="165" fontId="8" fillId="6" borderId="20" pivotButton="0" quotePrefix="0" xfId="0"/>
    <xf numFmtId="0" fontId="8" fillId="0" borderId="20" applyAlignment="1" pivotButton="0" quotePrefix="0" xfId="0">
      <alignment horizontal="left" vertical="center"/>
    </xf>
    <xf numFmtId="164" fontId="8" fillId="11" borderId="20" applyAlignment="1" pivotButton="0" quotePrefix="0" xfId="0">
      <alignment horizontal="left"/>
    </xf>
    <xf numFmtId="0" fontId="10" fillId="11" borderId="20" applyAlignment="1" pivotButton="0" quotePrefix="0" xfId="0">
      <alignment horizontal="left"/>
    </xf>
    <xf numFmtId="0" fontId="10" fillId="6" borderId="20" applyAlignment="1" pivotButton="0" quotePrefix="0" xfId="0">
      <alignment horizontal="left"/>
    </xf>
    <xf numFmtId="0" fontId="17" fillId="0" borderId="20" pivotButton="0" quotePrefix="0" xfId="0"/>
    <xf numFmtId="167" fontId="8" fillId="0" borderId="20" pivotButton="0" quotePrefix="0" xfId="0"/>
    <xf numFmtId="167" fontId="8" fillId="12" borderId="20" pivotButton="0" quotePrefix="0" xfId="0"/>
    <xf numFmtId="0" fontId="17" fillId="11" borderId="20" applyAlignment="1" pivotButton="0" quotePrefix="0" xfId="0">
      <alignment horizontal="left" vertical="center"/>
    </xf>
    <xf numFmtId="0" fontId="36" fillId="11" borderId="20" applyAlignment="1" pivotButton="0" quotePrefix="0" xfId="0">
      <alignment horizontal="left" vertical="center" wrapText="1"/>
    </xf>
    <xf numFmtId="0" fontId="8" fillId="11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0" fontId="10" fillId="0" borderId="20" applyAlignment="1" pivotButton="0" quotePrefix="0" xfId="0">
      <alignment horizontal="center" vertical="center"/>
    </xf>
    <xf numFmtId="165" fontId="10" fillId="0" borderId="20" applyAlignment="1" pivotButton="0" quotePrefix="0" xfId="1">
      <alignment vertical="center"/>
    </xf>
    <xf numFmtId="165" fontId="8" fillId="0" borderId="20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15" fontId="8" fillId="5" borderId="20" pivotButton="0" quotePrefix="0" xfId="0"/>
    <xf numFmtId="0" fontId="16" fillId="5" borderId="20" pivotButton="0" quotePrefix="0" xfId="0"/>
    <xf numFmtId="165" fontId="10" fillId="5" borderId="20" pivotButton="0" quotePrefix="0" xfId="2"/>
    <xf numFmtId="3" fontId="8" fillId="12" borderId="20" applyAlignment="1" pivotButton="0" quotePrefix="0" xfId="0">
      <alignment vertical="top"/>
    </xf>
    <xf numFmtId="15" fontId="36" fillId="11" borderId="20" pivotButton="0" quotePrefix="0" xfId="0"/>
    <xf numFmtId="3" fontId="36" fillId="11" borderId="20" pivotButton="0" quotePrefix="0" xfId="0"/>
    <xf numFmtId="165" fontId="36" fillId="11" borderId="20" applyAlignment="1" pivotButton="0" quotePrefix="0" xfId="0">
      <alignment vertical="top"/>
    </xf>
    <xf numFmtId="165" fontId="36" fillId="11" borderId="20" pivotButton="0" quotePrefix="0" xfId="0"/>
    <xf numFmtId="167" fontId="8" fillId="5" borderId="4" pivotButton="0" quotePrefix="0" xfId="0"/>
    <xf numFmtId="167" fontId="8" fillId="0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1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idden="1" ht="15.5" customHeight="1" s="297">
      <c r="B116" s="366" t="n"/>
      <c r="C116" s="367" t="n"/>
      <c r="D116" s="368" t="n"/>
      <c r="E116" s="368" t="n"/>
      <c r="F116" s="369" t="n"/>
      <c r="G116" s="367" t="n"/>
      <c r="H116" s="367" t="n"/>
      <c r="I116" s="370" t="n"/>
      <c r="J116" s="370" t="n"/>
      <c r="K116" s="371" t="n"/>
      <c r="L116" s="371" t="n"/>
      <c r="M116" s="371" t="n"/>
      <c r="N116" s="371" t="n"/>
      <c r="O116" s="371" t="n"/>
      <c r="P116" s="371" t="n"/>
      <c r="Q116" s="371" t="n"/>
      <c r="R116" s="372" t="n"/>
      <c r="S116" s="372" t="n"/>
      <c r="T116" s="372" t="n"/>
      <c r="U116" s="372" t="n"/>
      <c r="V116" s="372" t="n"/>
      <c r="W116" s="372" t="n"/>
      <c r="X116" s="372" t="n"/>
    </row>
    <row r="117" hidden="1" ht="15.5" customHeight="1" s="297">
      <c r="B117" s="366" t="n"/>
      <c r="C117" s="367" t="n"/>
      <c r="D117" s="373" t="n"/>
      <c r="E117" s="373" t="n"/>
      <c r="F117" s="369" t="n"/>
      <c r="G117" s="367" t="n"/>
      <c r="H117" s="367" t="n"/>
      <c r="I117" s="371" t="n"/>
      <c r="J117" s="370" t="n"/>
      <c r="K117" s="371" t="n"/>
      <c r="L117" s="371" t="n"/>
      <c r="M117" s="371" t="n"/>
      <c r="N117" s="371" t="n"/>
      <c r="O117" s="371" t="n"/>
      <c r="P117" s="371" t="n"/>
      <c r="Q117" s="371" t="n"/>
      <c r="R117" s="372" t="n"/>
      <c r="S117" s="372" t="n"/>
      <c r="T117" s="372" t="n"/>
      <c r="U117" s="372" t="n"/>
      <c r="V117" s="372" t="n"/>
      <c r="W117" s="372" t="n"/>
      <c r="X117" s="372" t="n"/>
    </row>
    <row r="118" hidden="1" ht="15.5" customHeight="1" s="297">
      <c r="B118" s="374" t="n"/>
      <c r="C118" s="367" t="n"/>
      <c r="D118" s="375" t="n"/>
      <c r="E118" s="375" t="n"/>
      <c r="F118" s="369" t="n"/>
      <c r="G118" s="367" t="n"/>
      <c r="H118" s="367" t="n"/>
      <c r="I118" s="376" t="n"/>
      <c r="J118" s="370" t="n"/>
      <c r="K118" s="371" t="n"/>
      <c r="L118" s="371" t="n"/>
      <c r="M118" s="371" t="n"/>
      <c r="N118" s="371" t="n"/>
      <c r="O118" s="371" t="n"/>
      <c r="P118" s="371" t="n"/>
      <c r="Q118" s="371" t="n"/>
      <c r="R118" s="372" t="n"/>
      <c r="S118" s="372" t="n"/>
      <c r="T118" s="372" t="n"/>
      <c r="U118" s="372" t="n"/>
      <c r="V118" s="372" t="n"/>
      <c r="W118" s="372" t="n"/>
      <c r="X118" s="372" t="n"/>
    </row>
    <row r="119" hidden="1" ht="15.5" customHeight="1" s="297">
      <c r="B119" s="374" t="n"/>
      <c r="C119" s="367" t="n"/>
      <c r="D119" s="375" t="n"/>
      <c r="E119" s="375" t="n"/>
      <c r="F119" s="369" t="n"/>
      <c r="G119" s="367" t="n"/>
      <c r="H119" s="367" t="n"/>
      <c r="I119" s="376" t="n"/>
      <c r="J119" s="370" t="n"/>
      <c r="K119" s="371" t="n"/>
      <c r="L119" s="371" t="n"/>
      <c r="M119" s="371" t="n"/>
      <c r="N119" s="371" t="n"/>
      <c r="O119" s="371" t="n"/>
      <c r="P119" s="371" t="n"/>
      <c r="Q119" s="371" t="n"/>
      <c r="R119" s="372" t="n"/>
      <c r="S119" s="372" t="n"/>
      <c r="T119" s="372" t="n"/>
      <c r="U119" s="372" t="n"/>
      <c r="V119" s="372" t="n"/>
      <c r="W119" s="372" t="n"/>
      <c r="X119" s="372" t="n"/>
    </row>
    <row r="120" ht="15.5" customHeight="1" s="297">
      <c r="B120" s="333" t="n"/>
      <c r="C120" s="314" t="n"/>
      <c r="D120" s="315" t="inlineStr">
        <is>
          <t>Transportation</t>
        </is>
      </c>
      <c r="E120" s="377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45329</v>
      </c>
      <c r="C121" s="314" t="n">
        <v>13</v>
      </c>
      <c r="D121" s="326" t="inlineStr">
        <is>
          <t>Airplane Ticket CGK-PLM</t>
        </is>
      </c>
      <c r="E121" s="326" t="n"/>
      <c r="F121" s="334" t="n">
        <v>1608000</v>
      </c>
      <c r="G121" s="314" t="inlineStr">
        <is>
          <t>IDR</t>
        </is>
      </c>
      <c r="H121" s="345" t="n">
        <v>1</v>
      </c>
      <c r="I121" s="319" t="n"/>
      <c r="J121" s="329" t="n">
        <v>1608000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14</v>
      </c>
      <c r="D122" s="326" t="inlineStr">
        <is>
          <t>Airplane Ticket PLM-CGK</t>
        </is>
      </c>
      <c r="E122" s="326" t="n"/>
      <c r="F122" s="334" t="n">
        <v>1119500</v>
      </c>
      <c r="G122" s="314" t="inlineStr">
        <is>
          <t>IDR</t>
        </is>
      </c>
      <c r="H122" s="345" t="n">
        <v>1</v>
      </c>
      <c r="I122" s="319" t="n"/>
      <c r="J122" s="329" t="n">
        <v>1119500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15</v>
      </c>
      <c r="D123" s="326" t="inlineStr">
        <is>
          <t>Taxi Bintaro-CGK</t>
        </is>
      </c>
      <c r="E123" s="326" t="n"/>
      <c r="F123" s="334" t="n">
        <v>250000</v>
      </c>
      <c r="G123" s="314" t="inlineStr">
        <is>
          <t>IDR</t>
        </is>
      </c>
      <c r="H123" s="345" t="n">
        <v>1</v>
      </c>
      <c r="I123" s="319" t="n"/>
      <c r="J123" s="329" t="n">
        <v>250000</v>
      </c>
      <c r="K123" s="321" t="n"/>
      <c r="L123" s="321" t="n"/>
      <c r="M123" s="321" t="n"/>
      <c r="N123" s="321" t="n"/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45330</v>
      </c>
      <c r="C124" s="314" t="n">
        <v>16</v>
      </c>
      <c r="D124" s="326" t="inlineStr">
        <is>
          <t>Rental Mobil Pajero 1 Hari</t>
        </is>
      </c>
      <c r="E124" s="326" t="n"/>
      <c r="F124" s="334" t="n">
        <v>900000</v>
      </c>
      <c r="G124" s="314" t="inlineStr">
        <is>
          <t>IDR</t>
        </is>
      </c>
      <c r="H124" s="345" t="n">
        <v>1</v>
      </c>
      <c r="I124" s="319" t="n"/>
      <c r="J124" s="329" t="n">
        <v>900000</v>
      </c>
      <c r="K124" s="321" t="n"/>
      <c r="L124" s="321" t="n"/>
      <c r="M124" s="321" t="n"/>
      <c r="N124" s="321" t="n"/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45330</v>
      </c>
      <c r="C125" s="314" t="n">
        <v>17</v>
      </c>
      <c r="D125" s="326" t="inlineStr">
        <is>
          <t>Rental Mobil Pajero Sebulan</t>
        </is>
      </c>
      <c r="E125" s="326" t="n"/>
      <c r="F125" s="334" t="n">
        <v>18000000</v>
      </c>
      <c r="G125" s="314" t="inlineStr">
        <is>
          <t>IDR</t>
        </is>
      </c>
      <c r="H125" s="345" t="n">
        <v>1</v>
      </c>
      <c r="I125" s="319" t="n"/>
      <c r="J125" s="329" t="n">
        <v>18000000</v>
      </c>
      <c r="K125" s="321" t="n"/>
      <c r="L125" s="321" t="n"/>
      <c r="M125" s="321" t="n"/>
      <c r="N125" s="321" t="n"/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45355</v>
      </c>
      <c r="C126" s="314" t="n">
        <v>18</v>
      </c>
      <c r="D126" s="326" t="inlineStr">
        <is>
          <t>Taxi CGK-Bintaro</t>
        </is>
      </c>
      <c r="E126" s="326" t="n"/>
      <c r="F126" s="334" t="n">
        <v>250000</v>
      </c>
      <c r="G126" s="314" t="inlineStr">
        <is>
          <t>IDR</t>
        </is>
      </c>
      <c r="H126" s="345" t="n">
        <v>1</v>
      </c>
      <c r="I126" s="319" t="n"/>
      <c r="J126" s="329" t="n">
        <v>250000</v>
      </c>
      <c r="K126" s="321" t="n"/>
      <c r="L126" s="321" t="n"/>
      <c r="M126" s="319" t="n"/>
      <c r="N126" s="321" t="n"/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Accommodation</t>
        </is>
      </c>
      <c r="E127" s="378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45329</v>
      </c>
      <c r="C128" s="314" t="n">
        <v>1</v>
      </c>
      <c r="D128" s="326" t="inlineStr">
        <is>
          <t>Hotel 7 Feb-8 Feb 2024 (1 days)</t>
        </is>
      </c>
      <c r="E128" s="326" t="n"/>
      <c r="F128" s="334" t="n">
        <v>200000</v>
      </c>
      <c r="G128" s="314" t="inlineStr">
        <is>
          <t>IDR</t>
        </is>
      </c>
      <c r="H128" s="345" t="n">
        <v>1</v>
      </c>
      <c r="I128" s="319" t="n"/>
      <c r="J128" s="329" t="n">
        <v>200000</v>
      </c>
      <c r="K128" s="321" t="n"/>
      <c r="L128" s="321" t="n"/>
      <c r="M128" s="321" t="n"/>
      <c r="N128" s="319" t="n"/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45329</v>
      </c>
      <c r="C129" s="314" t="n">
        <v>2</v>
      </c>
      <c r="D129" s="326" t="inlineStr">
        <is>
          <t>Hotel Prabumulih 8 Feb- 7 Mar 2024 (1 Month)</t>
        </is>
      </c>
      <c r="E129" s="326" t="n"/>
      <c r="F129" s="334" t="n">
        <v>3300000</v>
      </c>
      <c r="G129" s="314" t="inlineStr">
        <is>
          <t>IDR</t>
        </is>
      </c>
      <c r="H129" s="345" t="n">
        <v>1</v>
      </c>
      <c r="I129" s="319" t="n"/>
      <c r="J129" s="329" t="n">
        <v>3300000</v>
      </c>
      <c r="K129" s="321" t="n"/>
      <c r="L129" s="321" t="n"/>
      <c r="M129" s="321" t="n"/>
      <c r="N129" s="319" t="n"/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3</v>
      </c>
      <c r="D130" s="326" t="inlineStr">
        <is>
          <t>Laundry 27 days 1 Persons @ 50K IDR/day</t>
        </is>
      </c>
      <c r="E130" s="326" t="n"/>
      <c r="F130" s="334" t="n">
        <v>1350000</v>
      </c>
      <c r="G130" s="314" t="inlineStr">
        <is>
          <t>IDR</t>
        </is>
      </c>
      <c r="H130" s="345" t="n">
        <v>1</v>
      </c>
      <c r="I130" s="319" t="n"/>
      <c r="J130" s="329" t="n">
        <v>1350000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Logistic</t>
        </is>
      </c>
      <c r="E131" s="378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45329</v>
      </c>
      <c r="C132" s="314" t="n">
        <v>5</v>
      </c>
      <c r="D132" s="316" t="inlineStr">
        <is>
          <t>Gloves</t>
        </is>
      </c>
      <c r="E132" s="316" t="n"/>
      <c r="F132" s="334" t="n">
        <v>58500</v>
      </c>
      <c r="G132" s="314" t="inlineStr">
        <is>
          <t>IDR</t>
        </is>
      </c>
      <c r="H132" s="345" t="n">
        <v>1</v>
      </c>
      <c r="I132" s="319" t="n"/>
      <c r="J132" s="320" t="n"/>
      <c r="K132" s="321" t="n"/>
      <c r="L132" s="321" t="n"/>
      <c r="M132" s="321" t="n"/>
      <c r="N132" s="325" t="n">
        <v>58500</v>
      </c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45341</v>
      </c>
      <c r="C133" s="314" t="n">
        <v>6</v>
      </c>
      <c r="D133" s="316" t="inlineStr">
        <is>
          <t>Battery A3</t>
        </is>
      </c>
      <c r="E133" s="316" t="n"/>
      <c r="F133" s="334" t="n">
        <v>82100</v>
      </c>
      <c r="G133" s="314" t="inlineStr">
        <is>
          <t>IDR</t>
        </is>
      </c>
      <c r="H133" s="345" t="n">
        <v>1</v>
      </c>
      <c r="I133" s="319" t="n"/>
      <c r="J133" s="320" t="n"/>
      <c r="K133" s="321" t="n"/>
      <c r="L133" s="321" t="n"/>
      <c r="M133" s="321" t="n"/>
      <c r="N133" s="325" t="n">
        <v>82100</v>
      </c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45341</v>
      </c>
      <c r="C134" s="314" t="n">
        <v>7</v>
      </c>
      <c r="D134" s="316" t="inlineStr">
        <is>
          <t>Steker</t>
        </is>
      </c>
      <c r="E134" s="316" t="n"/>
      <c r="F134" s="334" t="n">
        <v>14000</v>
      </c>
      <c r="G134" s="314" t="inlineStr">
        <is>
          <t>IDR</t>
        </is>
      </c>
      <c r="H134" s="345" t="n">
        <v>1</v>
      </c>
      <c r="I134" s="319" t="n"/>
      <c r="J134" s="320" t="n"/>
      <c r="K134" s="321" t="n"/>
      <c r="L134" s="321" t="n"/>
      <c r="M134" s="321" t="n"/>
      <c r="N134" s="325" t="n">
        <v>14000</v>
      </c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45344</v>
      </c>
      <c r="C135" s="314" t="n">
        <v>8</v>
      </c>
      <c r="D135" s="316" t="inlineStr">
        <is>
          <t>Gloves</t>
        </is>
      </c>
      <c r="E135" s="316" t="n"/>
      <c r="F135" s="334" t="n">
        <v>65000</v>
      </c>
      <c r="G135" s="314" t="inlineStr">
        <is>
          <t>IDR</t>
        </is>
      </c>
      <c r="H135" s="345" t="n">
        <v>1</v>
      </c>
      <c r="I135" s="319" t="n"/>
      <c r="J135" s="320" t="n"/>
      <c r="K135" s="321" t="n"/>
      <c r="L135" s="321" t="n"/>
      <c r="M135" s="321" t="n"/>
      <c r="N135" s="325" t="n">
        <v>65000</v>
      </c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45347</v>
      </c>
      <c r="C136" s="314" t="n">
        <v>9</v>
      </c>
      <c r="D136" s="316" t="inlineStr">
        <is>
          <t>White Marker</t>
        </is>
      </c>
      <c r="E136" s="316" t="n"/>
      <c r="F136" s="334" t="n">
        <v>19000</v>
      </c>
      <c r="G136" s="314" t="inlineStr">
        <is>
          <t>IDR</t>
        </is>
      </c>
      <c r="H136" s="345" t="n">
        <v>1</v>
      </c>
      <c r="I136" s="320" t="n"/>
      <c r="J136" s="320" t="n"/>
      <c r="K136" s="321" t="n"/>
      <c r="L136" s="321" t="n"/>
      <c r="M136" s="321" t="n"/>
      <c r="N136" s="325" t="n">
        <v>19000</v>
      </c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45350</v>
      </c>
      <c r="C137" s="314" t="n">
        <v>10</v>
      </c>
      <c r="D137" s="316" t="inlineStr">
        <is>
          <t>Internet Data</t>
        </is>
      </c>
      <c r="E137" s="316" t="n"/>
      <c r="F137" s="334" t="n">
        <v>87000</v>
      </c>
      <c r="G137" s="314" t="inlineStr">
        <is>
          <t>IDR</t>
        </is>
      </c>
      <c r="H137" s="345" t="n">
        <v>1</v>
      </c>
      <c r="I137" s="321" t="n"/>
      <c r="J137" s="320" t="n"/>
      <c r="K137" s="321" t="n"/>
      <c r="L137" s="321" t="n"/>
      <c r="M137" s="319" t="n"/>
      <c r="N137" s="325" t="n">
        <v>87000</v>
      </c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74" t="n"/>
      <c r="C138" s="367" t="n"/>
      <c r="D138" s="379" t="n"/>
      <c r="E138" s="379" t="n"/>
      <c r="F138" s="369" t="n"/>
      <c r="G138" s="367" t="n"/>
      <c r="H138" s="367" t="n"/>
      <c r="I138" s="370" t="n"/>
      <c r="J138" s="370" t="n"/>
      <c r="K138" s="370" t="n"/>
      <c r="L138" s="370" t="n"/>
      <c r="M138" s="370" t="n"/>
      <c r="N138" s="370" t="n"/>
      <c r="O138" s="370" t="n"/>
      <c r="P138" s="370" t="n"/>
      <c r="Q138" s="370" t="n"/>
      <c r="R138" s="372" t="n"/>
      <c r="S138" s="372" t="n"/>
      <c r="T138" s="372" t="n"/>
      <c r="U138" s="372" t="n"/>
      <c r="V138" s="372" t="n"/>
      <c r="W138" s="372" t="n"/>
      <c r="X138" s="372" t="n"/>
    </row>
    <row r="139" hidden="1" ht="15.5" customHeight="1" s="297">
      <c r="B139" s="374" t="n"/>
      <c r="C139" s="367" t="n"/>
      <c r="D139" s="375" t="n"/>
      <c r="E139" s="375" t="n"/>
      <c r="F139" s="380" t="n"/>
      <c r="G139" s="367" t="n"/>
      <c r="H139" s="367" t="n"/>
      <c r="I139" s="370" t="n"/>
      <c r="J139" s="370" t="n"/>
      <c r="K139" s="371" t="n"/>
      <c r="L139" s="371" t="n"/>
      <c r="M139" s="371" t="n"/>
      <c r="N139" s="371" t="n"/>
      <c r="O139" s="371" t="n"/>
      <c r="P139" s="371" t="n"/>
      <c r="Q139" s="371" t="n"/>
      <c r="R139" s="372" t="n"/>
      <c r="S139" s="372" t="n"/>
      <c r="T139" s="372" t="n"/>
      <c r="U139" s="372" t="n"/>
      <c r="V139" s="372" t="n"/>
      <c r="W139" s="372" t="n"/>
      <c r="X139" s="372" t="n"/>
    </row>
    <row r="140" ht="15.5" customHeight="1" s="297">
      <c r="B140" s="333" t="n"/>
      <c r="C140" s="314" t="n"/>
      <c r="D140" s="330" t="inlineStr">
        <is>
          <t>Meal</t>
        </is>
      </c>
      <c r="E140" s="378" t="n"/>
      <c r="F140" s="332" t="n"/>
      <c r="G140" s="314" t="n"/>
      <c r="H140" s="314" t="n"/>
      <c r="I140" s="320" t="n"/>
      <c r="J140" s="320" t="n"/>
      <c r="K140" s="321" t="n"/>
      <c r="L140" s="321" t="n"/>
      <c r="M140" s="320" t="n"/>
      <c r="N140" s="321" t="n"/>
      <c r="O140" s="321" t="n"/>
      <c r="P140" s="321" t="n"/>
      <c r="Q140" s="321" t="n"/>
      <c r="R140" s="322" t="n"/>
      <c r="S140" s="322" t="n"/>
      <c r="T140" s="322" t="n"/>
      <c r="U140" s="322" t="n"/>
      <c r="V140" s="322" t="n"/>
      <c r="W140" s="322" t="n"/>
      <c r="X140" s="322" t="n"/>
    </row>
    <row r="141" ht="15.5" customHeight="1" s="297">
      <c r="B141" s="333" t="n">
        <v>45355</v>
      </c>
      <c r="C141" s="314" t="n">
        <v>11</v>
      </c>
      <c r="D141" s="326" t="inlineStr">
        <is>
          <t>Meal Crew's Operational</t>
        </is>
      </c>
      <c r="E141" s="326" t="n"/>
      <c r="F141" s="334" t="n">
        <v>1966300</v>
      </c>
      <c r="G141" s="314" t="inlineStr">
        <is>
          <t>IDR</t>
        </is>
      </c>
      <c r="H141" s="345" t="n">
        <v>1</v>
      </c>
      <c r="I141" s="319" t="n"/>
      <c r="J141" s="329" t="n">
        <v>1966300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t="15.5" customHeight="1" s="297">
      <c r="B142" s="333" t="n"/>
      <c r="C142" s="314" t="n"/>
      <c r="D142" s="330" t="inlineStr">
        <is>
          <t>Allowance</t>
        </is>
      </c>
      <c r="E142" s="378" t="n"/>
      <c r="F142" s="332" t="n"/>
      <c r="G142" s="314" t="n"/>
      <c r="H142" s="314" t="n"/>
      <c r="I142" s="320" t="n"/>
      <c r="J142" s="320" t="n"/>
      <c r="K142" s="321" t="n"/>
      <c r="L142" s="321" t="n"/>
      <c r="M142" s="320" t="n"/>
      <c r="N142" s="321" t="n"/>
      <c r="O142" s="321" t="n"/>
      <c r="P142" s="321" t="n"/>
      <c r="Q142" s="321" t="n"/>
      <c r="R142" s="322" t="n"/>
      <c r="S142" s="322" t="n"/>
      <c r="T142" s="322" t="n"/>
      <c r="U142" s="322" t="n"/>
      <c r="V142" s="322" t="n"/>
      <c r="W142" s="322" t="n"/>
      <c r="X142" s="322" t="n"/>
    </row>
    <row r="143" ht="15.5" customHeight="1" s="297">
      <c r="B143" s="333" t="n">
        <v>45355</v>
      </c>
      <c r="C143" s="314" t="n">
        <v>4</v>
      </c>
      <c r="D143" s="326" t="inlineStr">
        <is>
          <t>Tunjangan Lapangan for 27 days</t>
        </is>
      </c>
      <c r="E143" s="326" t="n"/>
      <c r="F143" s="334" t="n">
        <v>42589800</v>
      </c>
      <c r="G143" s="314" t="inlineStr">
        <is>
          <t>USD</t>
        </is>
      </c>
      <c r="H143" s="345" t="n">
        <v>15774</v>
      </c>
      <c r="I143" s="320" t="n"/>
      <c r="J143" s="329" t="n">
        <v>42589800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A144" s="346" t="n"/>
      <c r="B144" s="381" t="n">
        <v>45355</v>
      </c>
      <c r="C144" s="382" t="n">
        <v>12</v>
      </c>
      <c r="D144" s="383" t="inlineStr">
        <is>
          <t>Training ALFA _TLJ-58 (PEPZ4-Prabumulih field_ Titis Maulana</t>
        </is>
      </c>
      <c r="E144" s="384" t="n"/>
      <c r="F144" s="385" t="n">
        <v>4050000</v>
      </c>
      <c r="G144" s="382" t="inlineStr">
        <is>
          <t>IDR</t>
        </is>
      </c>
      <c r="H144" s="386" t="n">
        <v>1</v>
      </c>
      <c r="I144" s="364" t="n"/>
      <c r="J144" s="387" t="n">
        <v>4050000</v>
      </c>
      <c r="K144" s="388" t="n"/>
      <c r="L144" s="388" t="n"/>
      <c r="M144" s="388" t="n"/>
      <c r="N144" s="388" t="n"/>
      <c r="O144" s="388" t="n"/>
      <c r="P144" s="388" t="n"/>
      <c r="Q144" s="388" t="n"/>
      <c r="R144" s="365" t="n"/>
      <c r="S144" s="365" t="n"/>
      <c r="T144" s="365" t="n"/>
      <c r="U144" s="365" t="n"/>
      <c r="V144" s="365" t="n"/>
      <c r="W144" s="365" t="n"/>
      <c r="X144" s="365" t="n"/>
    </row>
    <row r="145" hidden="1" ht="15.5" customHeight="1" s="297">
      <c r="A145" s="346" t="n"/>
      <c r="B145" s="333" t="n"/>
      <c r="C145" s="314" t="n"/>
      <c r="D145" s="326" t="n"/>
      <c r="E145" s="326" t="n"/>
      <c r="F145" s="334" t="n"/>
      <c r="G145" s="314" t="n"/>
      <c r="H145" s="345" t="n"/>
      <c r="I145" s="320" t="n"/>
      <c r="J145" s="329" t="n"/>
      <c r="K145" s="321" t="n"/>
      <c r="L145" s="321" t="n"/>
      <c r="M145" s="321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idden="1" ht="15.5" customHeight="1" s="297">
      <c r="A146" s="346" t="n"/>
      <c r="B146" s="333" t="n"/>
      <c r="C146" s="314" t="n"/>
      <c r="D146" s="326" t="n"/>
      <c r="E146" s="326" t="n"/>
      <c r="F146" s="334" t="n"/>
      <c r="G146" s="314" t="n"/>
      <c r="H146" s="345" t="n"/>
      <c r="I146" s="320" t="n"/>
      <c r="J146" s="329" t="n"/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idden="1" ht="15.5" customHeight="1" s="297">
      <c r="B147" s="389" t="n"/>
      <c r="C147" s="390" t="n"/>
      <c r="D147" s="391" t="n"/>
      <c r="E147" s="391" t="n"/>
      <c r="F147" s="392" t="n"/>
      <c r="G147" s="393" t="n"/>
      <c r="H147" s="393" t="n"/>
      <c r="I147" s="394" t="n"/>
      <c r="J147" s="395" t="n"/>
      <c r="K147" s="389" t="n"/>
      <c r="L147" s="389" t="n"/>
      <c r="M147" s="394" t="n"/>
      <c r="N147" s="389" t="n"/>
      <c r="O147" s="389" t="n"/>
      <c r="P147" s="389" t="n"/>
      <c r="Q147" s="389" t="n"/>
      <c r="R147" s="372" t="n"/>
      <c r="S147" s="372" t="n"/>
      <c r="T147" s="372" t="n"/>
      <c r="U147" s="372" t="n"/>
      <c r="V147" s="372" t="n"/>
      <c r="W147" s="372" t="n"/>
      <c r="X147" s="372" t="n"/>
    </row>
    <row r="148" ht="15.5" customHeight="1" s="297">
      <c r="B148" s="313" t="n"/>
      <c r="C148" s="314" t="n"/>
      <c r="D148" s="315" t="inlineStr">
        <is>
          <t>Allowance</t>
        </is>
      </c>
      <c r="E148" s="377" t="n"/>
      <c r="F148" s="332" t="n"/>
      <c r="G148" s="314" t="n"/>
      <c r="H148" s="314" t="n"/>
      <c r="I148" s="319" t="n"/>
      <c r="J148" s="320" t="n"/>
      <c r="K148" s="321" t="n"/>
      <c r="L148" s="321" t="n"/>
      <c r="M148" s="319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idden="1" ht="15.5" customHeight="1" s="297">
      <c r="B149" s="374" t="n"/>
      <c r="C149" s="367" t="n"/>
      <c r="D149" s="375" t="n"/>
      <c r="E149" s="375" t="n"/>
      <c r="F149" s="369" t="n"/>
      <c r="G149" s="367" t="n"/>
      <c r="H149" s="367" t="n"/>
      <c r="I149" s="376" t="n"/>
      <c r="J149" s="371" t="n"/>
      <c r="K149" s="371" t="n"/>
      <c r="L149" s="371" t="n"/>
      <c r="M149" s="371" t="n"/>
      <c r="N149" s="371" t="n"/>
      <c r="O149" s="371" t="n"/>
      <c r="P149" s="371" t="n"/>
      <c r="Q149" s="371" t="n"/>
      <c r="R149" s="372" t="n"/>
      <c r="S149" s="372" t="n"/>
      <c r="T149" s="372" t="n"/>
      <c r="U149" s="372" t="n"/>
      <c r="V149" s="372" t="n"/>
      <c r="W149" s="372" t="n"/>
      <c r="X149" s="372" t="n"/>
    </row>
    <row r="150" ht="15.5" customHeight="1" s="297">
      <c r="B150" s="333" t="n"/>
      <c r="C150" s="314" t="n"/>
      <c r="D150" s="315" t="inlineStr">
        <is>
          <t>Transportation</t>
        </is>
      </c>
      <c r="E150" s="377" t="n"/>
      <c r="F150" s="332" t="n"/>
      <c r="G150" s="314" t="n"/>
      <c r="H150" s="314" t="n"/>
      <c r="I150" s="319" t="n"/>
      <c r="J150" s="320" t="n"/>
      <c r="K150" s="321" t="n"/>
      <c r="L150" s="321" t="n"/>
      <c r="M150" s="319" t="n"/>
      <c r="N150" s="321" t="n"/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45357</v>
      </c>
      <c r="C151" s="314" t="n">
        <v>7</v>
      </c>
      <c r="D151" s="326" t="inlineStr">
        <is>
          <t>Airplane Ticket PLM-CGK</t>
        </is>
      </c>
      <c r="E151" s="326" t="n"/>
      <c r="F151" s="334" t="n">
        <v>1000106</v>
      </c>
      <c r="G151" s="314" t="inlineStr">
        <is>
          <t>IDR</t>
        </is>
      </c>
      <c r="H151" s="345" t="n">
        <v>1</v>
      </c>
      <c r="I151" s="319" t="n"/>
      <c r="J151" s="329" t="n">
        <v>1000106</v>
      </c>
      <c r="K151" s="321" t="n"/>
      <c r="L151" s="321" t="n"/>
      <c r="M151" s="321" t="n"/>
      <c r="N151" s="321" t="n"/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>
        <v>45329</v>
      </c>
      <c r="C152" s="314" t="n">
        <v>8</v>
      </c>
      <c r="D152" s="326" t="inlineStr">
        <is>
          <t>Taxi Pondok Cabe-CGK</t>
        </is>
      </c>
      <c r="E152" s="326" t="n"/>
      <c r="F152" s="334" t="n">
        <v>250000</v>
      </c>
      <c r="G152" s="314" t="inlineStr">
        <is>
          <t>IDR</t>
        </is>
      </c>
      <c r="H152" s="345" t="n">
        <v>1</v>
      </c>
      <c r="I152" s="319" t="n"/>
      <c r="J152" s="329" t="n">
        <v>250000</v>
      </c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9</v>
      </c>
      <c r="D153" s="326" t="inlineStr">
        <is>
          <t>Taxi CGK-Pondok Cabe</t>
        </is>
      </c>
      <c r="E153" s="326" t="n"/>
      <c r="F153" s="334" t="n">
        <v>250000</v>
      </c>
      <c r="G153" s="314" t="inlineStr">
        <is>
          <t>IDR</t>
        </is>
      </c>
      <c r="H153" s="345" t="n">
        <v>1</v>
      </c>
      <c r="I153" s="319" t="n"/>
      <c r="J153" s="329" t="n">
        <v>250000</v>
      </c>
      <c r="K153" s="321" t="n"/>
      <c r="L153" s="321" t="n"/>
      <c r="M153" s="321" t="n"/>
      <c r="N153" s="319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>
        <v>45355</v>
      </c>
      <c r="C154" s="314" t="n">
        <v>10</v>
      </c>
      <c r="D154" s="326" t="inlineStr">
        <is>
          <t>Fuel</t>
        </is>
      </c>
      <c r="E154" s="326" t="n"/>
      <c r="F154" s="334" t="n">
        <v>200000</v>
      </c>
      <c r="G154" s="314" t="inlineStr">
        <is>
          <t>IDR</t>
        </is>
      </c>
      <c r="H154" s="345" t="n">
        <v>1</v>
      </c>
      <c r="I154" s="319" t="n"/>
      <c r="J154" s="329" t="n">
        <v>200000</v>
      </c>
      <c r="K154" s="321" t="n"/>
      <c r="L154" s="321" t="n"/>
      <c r="M154" s="321" t="n"/>
      <c r="N154" s="319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/>
      <c r="C155" s="314" t="n"/>
      <c r="D155" s="330" t="inlineStr">
        <is>
          <t>Accommodation</t>
        </is>
      </c>
      <c r="E155" s="378" t="n"/>
      <c r="F155" s="332" t="n"/>
      <c r="G155" s="314" t="n"/>
      <c r="H155" s="314" t="n"/>
      <c r="I155" s="319" t="n"/>
      <c r="J155" s="320" t="n"/>
      <c r="K155" s="321" t="n"/>
      <c r="L155" s="321" t="n"/>
      <c r="M155" s="321" t="n"/>
      <c r="N155" s="319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45358</v>
      </c>
      <c r="C156" s="314" t="n">
        <v>1</v>
      </c>
      <c r="D156" s="326" t="inlineStr">
        <is>
          <t>Laundry 30 days 1 Persons @ 50K IDR/day</t>
        </is>
      </c>
      <c r="E156" s="326" t="n"/>
      <c r="F156" s="334" t="n">
        <v>1500000</v>
      </c>
      <c r="G156" s="314" t="inlineStr">
        <is>
          <t>IDR</t>
        </is>
      </c>
      <c r="H156" s="345" t="n">
        <v>1</v>
      </c>
      <c r="I156" s="319" t="n"/>
      <c r="J156" s="329" t="n">
        <v>1500000</v>
      </c>
      <c r="K156" s="321" t="n"/>
      <c r="L156" s="321" t="n"/>
      <c r="M156" s="321" t="n"/>
      <c r="N156" s="321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/>
      <c r="C157" s="314" t="n"/>
      <c r="D157" s="330" t="inlineStr">
        <is>
          <t>Logistic</t>
        </is>
      </c>
      <c r="E157" s="378" t="n"/>
      <c r="F157" s="332" t="n"/>
      <c r="G157" s="314" t="n"/>
      <c r="H157" s="314" t="n"/>
      <c r="I157" s="319" t="n"/>
      <c r="J157" s="320" t="n"/>
      <c r="K157" s="321" t="n"/>
      <c r="L157" s="321" t="n"/>
      <c r="M157" s="321" t="n"/>
      <c r="N157" s="321" t="n"/>
      <c r="O157" s="321" t="n"/>
      <c r="P157" s="321" t="n"/>
      <c r="Q157" s="321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>
        <v>45324</v>
      </c>
      <c r="C158" s="314" t="n">
        <v>3</v>
      </c>
      <c r="D158" s="316" t="inlineStr">
        <is>
          <t>Safety Shoes</t>
        </is>
      </c>
      <c r="E158" s="316" t="n"/>
      <c r="F158" s="334" t="n">
        <v>499940</v>
      </c>
      <c r="G158" s="314" t="inlineStr">
        <is>
          <t>IDR</t>
        </is>
      </c>
      <c r="H158" s="345" t="n">
        <v>1</v>
      </c>
      <c r="I158" s="319" t="n"/>
      <c r="J158" s="320" t="n"/>
      <c r="K158" s="321" t="n"/>
      <c r="L158" s="321" t="n"/>
      <c r="M158" s="321" t="n"/>
      <c r="N158" s="329" t="n">
        <v>499940</v>
      </c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45354</v>
      </c>
      <c r="C159" s="314" t="n">
        <v>4</v>
      </c>
      <c r="D159" s="316" t="inlineStr">
        <is>
          <t>Internet Data</t>
        </is>
      </c>
      <c r="E159" s="316" t="n"/>
      <c r="F159" s="334" t="n">
        <v>70000</v>
      </c>
      <c r="G159" s="314" t="inlineStr">
        <is>
          <t>IDR</t>
        </is>
      </c>
      <c r="H159" s="345" t="n">
        <v>1</v>
      </c>
      <c r="I159" s="321" t="n"/>
      <c r="J159" s="320" t="n"/>
      <c r="K159" s="321" t="n"/>
      <c r="L159" s="321" t="n"/>
      <c r="M159" s="319" t="n"/>
      <c r="N159" s="329" t="n">
        <v>70000</v>
      </c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t="15.5" customHeight="1" s="297">
      <c r="B160" s="333" t="n">
        <v>45358</v>
      </c>
      <c r="C160" s="314" t="n">
        <v>5</v>
      </c>
      <c r="D160" s="316" t="inlineStr">
        <is>
          <t>Extra Baggage</t>
        </is>
      </c>
      <c r="E160" s="316" t="n"/>
      <c r="F160" s="334" t="n">
        <v>540000</v>
      </c>
      <c r="G160" s="314" t="inlineStr">
        <is>
          <t>IDR</t>
        </is>
      </c>
      <c r="H160" s="345" t="n">
        <v>1</v>
      </c>
      <c r="I160" s="320" t="n"/>
      <c r="J160" s="320" t="n"/>
      <c r="K160" s="320" t="n"/>
      <c r="L160" s="320" t="n"/>
      <c r="M160" s="320" t="n"/>
      <c r="N160" s="329" t="n">
        <v>540000</v>
      </c>
      <c r="O160" s="320" t="n"/>
      <c r="P160" s="320" t="n"/>
      <c r="Q160" s="320" t="n"/>
      <c r="R160" s="322" t="n"/>
      <c r="S160" s="322" t="n"/>
      <c r="T160" s="322" t="n"/>
      <c r="U160" s="322" t="n"/>
      <c r="V160" s="322" t="n"/>
      <c r="W160" s="322" t="n"/>
      <c r="X160" s="322" t="n"/>
    </row>
    <row r="161" hidden="1" ht="15.5" customHeight="1" s="297">
      <c r="B161" s="374" t="n"/>
      <c r="C161" s="367" t="n"/>
      <c r="D161" s="379" t="n"/>
      <c r="E161" s="379" t="n"/>
      <c r="F161" s="369" t="n"/>
      <c r="G161" s="367" t="n"/>
      <c r="H161" s="367" t="n"/>
      <c r="I161" s="370" t="n"/>
      <c r="J161" s="370" t="n"/>
      <c r="K161" s="371" t="n"/>
      <c r="L161" s="371" t="n"/>
      <c r="M161" s="371" t="n"/>
      <c r="N161" s="371" t="n"/>
      <c r="O161" s="371" t="n"/>
      <c r="P161" s="371" t="n"/>
      <c r="Q161" s="371" t="n"/>
      <c r="R161" s="372" t="n"/>
      <c r="S161" s="372" t="n"/>
      <c r="T161" s="372" t="n"/>
      <c r="U161" s="372" t="n"/>
      <c r="V161" s="372" t="n"/>
      <c r="W161" s="372" t="n"/>
      <c r="X161" s="372" t="n"/>
    </row>
    <row r="162" ht="15.5" customHeight="1" s="297">
      <c r="A162" s="346" t="n"/>
      <c r="B162" s="381" t="n">
        <v>45358</v>
      </c>
      <c r="C162" s="382" t="n">
        <v>2</v>
      </c>
      <c r="D162" s="383" t="inlineStr">
        <is>
          <t>MPLT (SAKA-UjungPangkah field) GOWell - TGE _IC</t>
        </is>
      </c>
      <c r="E162" s="396" t="n"/>
      <c r="F162" s="385" t="n">
        <v>11705250</v>
      </c>
      <c r="G162" s="382" t="inlineStr">
        <is>
          <t>USD</t>
        </is>
      </c>
      <c r="H162" s="386" t="n">
        <v>15607</v>
      </c>
      <c r="I162" s="364" t="n"/>
      <c r="J162" s="387" t="n">
        <v>11705250</v>
      </c>
      <c r="K162" s="388" t="n"/>
      <c r="L162" s="388" t="n"/>
      <c r="M162" s="388" t="n"/>
      <c r="N162" s="388" t="n"/>
      <c r="O162" s="388" t="n"/>
      <c r="P162" s="388" t="n"/>
      <c r="Q162" s="388" t="n"/>
      <c r="R162" s="365" t="n"/>
      <c r="S162" s="365" t="n"/>
      <c r="T162" s="365" t="n"/>
      <c r="U162" s="365" t="n"/>
      <c r="V162" s="365" t="n"/>
      <c r="W162" s="365" t="n"/>
      <c r="X162" s="365" t="n"/>
    </row>
    <row r="163" hidden="1" ht="15.5" customHeight="1" s="297">
      <c r="A163" s="346" t="n"/>
      <c r="B163" s="333" t="n"/>
      <c r="C163" s="314" t="n"/>
      <c r="D163" s="378" t="n"/>
      <c r="E163" s="378" t="n"/>
      <c r="F163" s="334" t="n"/>
      <c r="G163" s="314" t="n"/>
      <c r="H163" s="345" t="n"/>
      <c r="I163" s="320" t="n"/>
      <c r="J163" s="329" t="n"/>
      <c r="K163" s="321" t="n"/>
      <c r="L163" s="321" t="n"/>
      <c r="M163" s="321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idden="1" ht="15.5" customHeight="1" s="297">
      <c r="A164" s="346" t="n"/>
      <c r="B164" s="333" t="n"/>
      <c r="C164" s="314" t="n"/>
      <c r="D164" s="378" t="n"/>
      <c r="E164" s="378" t="n"/>
      <c r="F164" s="334" t="n"/>
      <c r="G164" s="314" t="n"/>
      <c r="H164" s="345" t="n"/>
      <c r="I164" s="320" t="n"/>
      <c r="J164" s="329" t="n"/>
      <c r="K164" s="321" t="n"/>
      <c r="L164" s="321" t="n"/>
      <c r="M164" s="321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idden="1" ht="15.5" customHeight="1" s="297">
      <c r="B165" s="374" t="n"/>
      <c r="C165" s="367" t="n"/>
      <c r="D165" s="375" t="n"/>
      <c r="E165" s="375" t="n"/>
      <c r="F165" s="369" t="n"/>
      <c r="G165" s="367" t="n"/>
      <c r="H165" s="367" t="n"/>
      <c r="I165" s="376" t="n"/>
      <c r="J165" s="370" t="n"/>
      <c r="K165" s="371" t="n"/>
      <c r="L165" s="371" t="n"/>
      <c r="M165" s="371" t="n"/>
      <c r="N165" s="371" t="n"/>
      <c r="O165" s="371" t="n"/>
      <c r="P165" s="371" t="n"/>
      <c r="Q165" s="371" t="n"/>
      <c r="R165" s="372" t="n"/>
      <c r="S165" s="372" t="n"/>
      <c r="T165" s="372" t="n"/>
      <c r="U165" s="372" t="n"/>
      <c r="V165" s="372" t="n"/>
      <c r="W165" s="372" t="n"/>
      <c r="X165" s="372" t="n"/>
    </row>
    <row r="166" ht="15.5" customHeight="1" s="297">
      <c r="B166" s="333" t="n"/>
      <c r="C166" s="314" t="n"/>
      <c r="D166" s="330" t="inlineStr">
        <is>
          <t>Accommodation</t>
        </is>
      </c>
      <c r="E166" s="378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2</v>
      </c>
      <c r="D167" s="326" t="inlineStr">
        <is>
          <t>Tunjangan Lapangan untuk 6 days</t>
        </is>
      </c>
      <c r="E167" s="326" t="n"/>
      <c r="F167" s="334" t="n">
        <v>9501000</v>
      </c>
      <c r="G167" s="314" t="inlineStr">
        <is>
          <t>USD</t>
        </is>
      </c>
      <c r="H167" s="345" t="n">
        <v>15835</v>
      </c>
      <c r="I167" s="320" t="n"/>
      <c r="J167" s="329" t="n">
        <v>9501000</v>
      </c>
      <c r="K167" s="321" t="n"/>
      <c r="L167" s="321" t="n"/>
      <c r="M167" s="319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idden="1" ht="15.5" customHeight="1" s="297">
      <c r="B168" s="389" t="n"/>
      <c r="C168" s="390" t="n"/>
      <c r="D168" s="391" t="n"/>
      <c r="E168" s="391" t="n"/>
      <c r="F168" s="392" t="n"/>
      <c r="G168" s="393" t="n"/>
      <c r="H168" s="393" t="n"/>
      <c r="I168" s="395" t="n"/>
      <c r="J168" s="395" t="n"/>
      <c r="K168" s="389" t="n"/>
      <c r="L168" s="389" t="n"/>
      <c r="M168" s="394" t="n"/>
      <c r="N168" s="389" t="n"/>
      <c r="O168" s="389" t="n"/>
      <c r="P168" s="389" t="n"/>
      <c r="Q168" s="389" t="n"/>
      <c r="R168" s="372" t="n"/>
      <c r="S168" s="372" t="n"/>
      <c r="T168" s="372" t="n"/>
      <c r="U168" s="372" t="n"/>
      <c r="V168" s="372" t="n"/>
      <c r="W168" s="372" t="n"/>
      <c r="X168" s="372" t="n"/>
    </row>
    <row r="169" ht="15.5" customHeight="1" s="297">
      <c r="B169" s="333" t="n"/>
      <c r="C169" s="314" t="n"/>
      <c r="D169" s="315" t="inlineStr">
        <is>
          <t>Transportation</t>
        </is>
      </c>
      <c r="E169" s="377" t="n"/>
      <c r="F169" s="332" t="n"/>
      <c r="G169" s="314" t="n"/>
      <c r="H169" s="314" t="n"/>
      <c r="I169" s="320" t="n"/>
      <c r="J169" s="320" t="n"/>
      <c r="K169" s="321" t="n"/>
      <c r="L169" s="321" t="n"/>
      <c r="M169" s="319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>
        <v>45370</v>
      </c>
      <c r="C170" s="314" t="n">
        <v>4</v>
      </c>
      <c r="D170" s="326" t="inlineStr">
        <is>
          <t>Taxi Bintaro-CGK</t>
        </is>
      </c>
      <c r="E170" s="326" t="n"/>
      <c r="F170" s="334" t="n">
        <v>250000</v>
      </c>
      <c r="G170" s="314" t="inlineStr">
        <is>
          <t>IDR</t>
        </is>
      </c>
      <c r="H170" s="345" t="n">
        <v>1</v>
      </c>
      <c r="I170" s="319" t="n"/>
      <c r="J170" s="329" t="n">
        <v>250000</v>
      </c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19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A172" s="346" t="n"/>
      <c r="B172" s="381" t="n">
        <v>45375</v>
      </c>
      <c r="C172" s="382" t="n">
        <v>1</v>
      </c>
      <c r="D172" s="383" t="inlineStr">
        <is>
          <t>Non project (3rd) _ Ivan Chairulsyah</t>
        </is>
      </c>
      <c r="E172" s="384" t="n"/>
      <c r="F172" s="385" t="n">
        <v>300000</v>
      </c>
      <c r="G172" s="382" t="inlineStr">
        <is>
          <t>IDR</t>
        </is>
      </c>
      <c r="H172" s="386" t="n">
        <v>1</v>
      </c>
      <c r="I172" s="397" t="n"/>
      <c r="J172" s="387" t="n">
        <v>300000</v>
      </c>
      <c r="K172" s="388" t="n"/>
      <c r="L172" s="388" t="n"/>
      <c r="M172" s="388" t="n"/>
      <c r="N172" s="388" t="n"/>
      <c r="O172" s="388" t="n"/>
      <c r="P172" s="388" t="n"/>
      <c r="Q172" s="388" t="n"/>
      <c r="R172" s="365" t="n"/>
      <c r="S172" s="365" t="n"/>
      <c r="T172" s="365" t="n"/>
      <c r="U172" s="365" t="n"/>
      <c r="V172" s="365" t="n"/>
      <c r="W172" s="365" t="n"/>
      <c r="X172" s="365" t="n"/>
    </row>
    <row r="173" hidden="1" ht="15.5" customHeight="1" s="297">
      <c r="A173" s="346" t="n"/>
      <c r="B173" s="333" t="n"/>
      <c r="C173" s="314" t="n"/>
      <c r="D173" s="326" t="n"/>
      <c r="E173" s="326" t="n"/>
      <c r="F173" s="334" t="n"/>
      <c r="G173" s="314" t="n"/>
      <c r="H173" s="345" t="n"/>
      <c r="I173" s="319" t="n"/>
      <c r="J173" s="329" t="n"/>
      <c r="K173" s="321" t="n"/>
      <c r="L173" s="321" t="n"/>
      <c r="M173" s="321" t="n"/>
      <c r="N173" s="321" t="n"/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/>
      <c r="C174" s="314" t="n"/>
      <c r="D174" s="330" t="inlineStr">
        <is>
          <t>Pembelian Barang</t>
        </is>
      </c>
      <c r="E174" s="378" t="n"/>
      <c r="F174" s="332" t="n"/>
      <c r="G174" s="314" t="n"/>
      <c r="H174" s="314" t="n"/>
      <c r="I174" s="320" t="n"/>
      <c r="J174" s="320" t="n"/>
      <c r="K174" s="321" t="n"/>
      <c r="L174" s="321" t="n"/>
      <c r="M174" s="321" t="n"/>
      <c r="N174" s="321" t="n"/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idden="1" ht="15.5" customHeight="1" s="297">
      <c r="B175" s="374" t="n"/>
      <c r="C175" s="367" t="n"/>
      <c r="D175" s="375" t="n"/>
      <c r="E175" s="375" t="n"/>
      <c r="F175" s="369" t="n"/>
      <c r="G175" s="367" t="n"/>
      <c r="H175" s="367" t="n"/>
      <c r="I175" s="370" t="n"/>
      <c r="J175" s="370" t="n"/>
      <c r="K175" s="371" t="n"/>
      <c r="L175" s="371" t="n"/>
      <c r="M175" s="371" t="n"/>
      <c r="N175" s="371" t="n"/>
      <c r="O175" s="371" t="n"/>
      <c r="P175" s="371" t="n"/>
      <c r="Q175" s="371" t="n"/>
      <c r="R175" s="372" t="n"/>
      <c r="S175" s="372" t="n"/>
      <c r="T175" s="372" t="n"/>
      <c r="U175" s="372" t="n"/>
      <c r="V175" s="372" t="n"/>
      <c r="W175" s="372" t="n"/>
      <c r="X175" s="372" t="n"/>
    </row>
    <row r="176" hidden="1" ht="15.5" customHeight="1" s="297">
      <c r="B176" s="374" t="n"/>
      <c r="C176" s="367" t="n"/>
      <c r="D176" s="379" t="n"/>
      <c r="E176" s="379" t="n"/>
      <c r="F176" s="369" t="n"/>
      <c r="G176" s="367" t="n"/>
      <c r="H176" s="367" t="n"/>
      <c r="I176" s="370" t="n"/>
      <c r="J176" s="370" t="n"/>
      <c r="K176" s="371" t="n"/>
      <c r="L176" s="371" t="n"/>
      <c r="M176" s="371" t="n"/>
      <c r="N176" s="371" t="n"/>
      <c r="O176" s="371" t="n"/>
      <c r="P176" s="371" t="n"/>
      <c r="Q176" s="371" t="n"/>
      <c r="R176" s="372" t="n"/>
      <c r="S176" s="372" t="n"/>
      <c r="T176" s="372" t="n"/>
      <c r="U176" s="372" t="n"/>
      <c r="V176" s="372" t="n"/>
      <c r="W176" s="372" t="n"/>
      <c r="X176" s="372" t="n"/>
    </row>
    <row r="177" hidden="1" ht="15.5" customHeight="1" s="297">
      <c r="B177" s="374" t="n"/>
      <c r="C177" s="367" t="n"/>
      <c r="D177" s="375" t="n"/>
      <c r="E177" s="375" t="n"/>
      <c r="F177" s="369" t="n"/>
      <c r="G177" s="367" t="n"/>
      <c r="H177" s="367" t="n"/>
      <c r="I177" s="370" t="n"/>
      <c r="J177" s="370" t="n"/>
      <c r="K177" s="371" t="n"/>
      <c r="L177" s="371" t="n"/>
      <c r="M177" s="371" t="n"/>
      <c r="N177" s="371" t="n"/>
      <c r="O177" s="371" t="n"/>
      <c r="P177" s="371" t="n"/>
      <c r="Q177" s="371" t="n"/>
      <c r="R177" s="372" t="n"/>
      <c r="S177" s="372" t="n"/>
      <c r="T177" s="372" t="n"/>
      <c r="U177" s="372" t="n"/>
      <c r="V177" s="372" t="n"/>
      <c r="W177" s="372" t="n"/>
      <c r="X177" s="372" t="n"/>
    </row>
    <row r="178" hidden="1" ht="15.5" customHeight="1" s="297">
      <c r="B178" s="374" t="n"/>
      <c r="C178" s="367" t="n"/>
      <c r="D178" s="379" t="n"/>
      <c r="E178" s="379" t="n"/>
      <c r="F178" s="369" t="n"/>
      <c r="G178" s="367" t="n"/>
      <c r="H178" s="367" t="n"/>
      <c r="I178" s="371" t="n"/>
      <c r="J178" s="370" t="n"/>
      <c r="K178" s="371" t="n"/>
      <c r="L178" s="371" t="n"/>
      <c r="M178" s="376" t="n"/>
      <c r="N178" s="371" t="n"/>
      <c r="O178" s="371" t="n"/>
      <c r="P178" s="371" t="n"/>
      <c r="Q178" s="371" t="n"/>
      <c r="R178" s="372" t="n"/>
      <c r="S178" s="372" t="n"/>
      <c r="T178" s="372" t="n"/>
      <c r="U178" s="372" t="n"/>
      <c r="V178" s="372" t="n"/>
      <c r="W178" s="372" t="n"/>
      <c r="X178" s="372" t="n"/>
    </row>
    <row r="179" hidden="1" ht="15.5" customHeight="1" s="297">
      <c r="B179" s="374" t="n"/>
      <c r="C179" s="367" t="n"/>
      <c r="D179" s="375" t="n"/>
      <c r="E179" s="375" t="n"/>
      <c r="F179" s="369" t="n"/>
      <c r="G179" s="367" t="n"/>
      <c r="H179" s="398" t="n"/>
      <c r="I179" s="370" t="n"/>
      <c r="J179" s="370" t="n"/>
      <c r="K179" s="371" t="n"/>
      <c r="L179" s="371" t="n"/>
      <c r="M179" s="371" t="n"/>
      <c r="N179" s="371" t="n"/>
      <c r="O179" s="371" t="n"/>
      <c r="P179" s="371" t="n"/>
      <c r="Q179" s="371" t="n"/>
      <c r="R179" s="372" t="n"/>
      <c r="S179" s="372" t="n"/>
      <c r="T179" s="372" t="n"/>
      <c r="U179" s="372" t="n"/>
      <c r="V179" s="372" t="n"/>
      <c r="W179" s="372" t="n"/>
      <c r="X179" s="372" t="n"/>
    </row>
    <row r="180" hidden="1" ht="15.5" customHeight="1" s="297">
      <c r="B180" s="389" t="n"/>
      <c r="C180" s="390" t="n"/>
      <c r="D180" s="391" t="n"/>
      <c r="E180" s="391" t="n"/>
      <c r="F180" s="392" t="n"/>
      <c r="G180" s="393" t="n"/>
      <c r="H180" s="393" t="n"/>
      <c r="I180" s="395" t="n"/>
      <c r="J180" s="395" t="n"/>
      <c r="K180" s="389" t="n"/>
      <c r="L180" s="389" t="n"/>
      <c r="M180" s="394" t="n"/>
      <c r="N180" s="389" t="n"/>
      <c r="O180" s="389" t="n"/>
      <c r="P180" s="389" t="n"/>
      <c r="Q180" s="389" t="n"/>
      <c r="R180" s="372" t="n"/>
      <c r="S180" s="372" t="n"/>
      <c r="T180" s="372" t="n"/>
      <c r="U180" s="372" t="n"/>
      <c r="V180" s="372" t="n"/>
      <c r="W180" s="372" t="n"/>
      <c r="X180" s="372" t="n"/>
    </row>
    <row r="181" ht="15.5" customHeight="1" s="297">
      <c r="A181" s="346" t="n"/>
      <c r="B181" s="399" t="n">
        <v>45369</v>
      </c>
      <c r="C181" s="358" t="n">
        <v>1</v>
      </c>
      <c r="D181" s="359" t="inlineStr">
        <is>
          <t>MCU RS PP _Titis Maulana</t>
        </is>
      </c>
      <c r="E181" s="360" t="n"/>
      <c r="F181" s="400" t="n">
        <v>69009</v>
      </c>
      <c r="G181" s="382" t="inlineStr">
        <is>
          <t>IDR</t>
        </is>
      </c>
      <c r="H181" s="386" t="n">
        <v>1</v>
      </c>
      <c r="I181" s="364" t="n"/>
      <c r="J181" s="364" t="n"/>
      <c r="K181" s="388" t="n"/>
      <c r="L181" s="388" t="n"/>
      <c r="M181" s="397" t="n"/>
      <c r="N181" s="387" t="n">
        <v>69009</v>
      </c>
      <c r="O181" s="388" t="n"/>
      <c r="P181" s="388" t="n"/>
      <c r="Q181" s="388" t="n"/>
      <c r="R181" s="365" t="n"/>
      <c r="S181" s="365" t="n"/>
      <c r="T181" s="365" t="n"/>
      <c r="U181" s="365" t="n"/>
      <c r="V181" s="365" t="n"/>
      <c r="W181" s="365" t="n"/>
      <c r="X181" s="365" t="n"/>
    </row>
    <row r="182" hidden="1" ht="15.5" customHeight="1" s="297">
      <c r="A182" s="346" t="n"/>
      <c r="B182" s="401" t="n"/>
      <c r="C182" s="402" t="n"/>
      <c r="D182" s="403" t="n"/>
      <c r="E182" s="403" t="n"/>
      <c r="F182" s="338" t="n"/>
      <c r="G182" s="314" t="n"/>
      <c r="H182" s="345" t="n"/>
      <c r="I182" s="320" t="n"/>
      <c r="J182" s="320" t="n"/>
      <c r="K182" s="321" t="n"/>
      <c r="L182" s="321" t="n"/>
      <c r="M182" s="319" t="n"/>
      <c r="N182" s="329" t="n"/>
      <c r="O182" s="321" t="n"/>
      <c r="P182" s="321" t="n"/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A183" s="346" t="n"/>
      <c r="B183" s="399" t="n">
        <v>45384</v>
      </c>
      <c r="C183" s="358" t="n">
        <v>1</v>
      </c>
      <c r="D183" s="359" t="inlineStr">
        <is>
          <t>MPLT (SAKA-UjungPangkah field) by TGE - GOWell project_IC</t>
        </is>
      </c>
      <c r="E183" s="360" t="n"/>
      <c r="F183" s="400" t="n">
        <v>5407000</v>
      </c>
      <c r="G183" s="382" t="inlineStr">
        <is>
          <t>IDR</t>
        </is>
      </c>
      <c r="H183" s="386" t="n">
        <v>1</v>
      </c>
      <c r="I183" s="364" t="n"/>
      <c r="J183" s="364" t="n"/>
      <c r="K183" s="388" t="n"/>
      <c r="L183" s="388" t="n"/>
      <c r="M183" s="397" t="n"/>
      <c r="N183" s="387" t="n"/>
      <c r="O183" s="388" t="n"/>
      <c r="P183" s="387" t="n">
        <v>5407000</v>
      </c>
      <c r="Q183" s="388" t="n"/>
      <c r="R183" s="365" t="n"/>
      <c r="S183" s="365" t="n"/>
      <c r="T183" s="365" t="n"/>
      <c r="U183" s="365" t="n"/>
      <c r="V183" s="365" t="n"/>
      <c r="W183" s="365" t="n"/>
      <c r="X183" s="365" t="n"/>
    </row>
    <row r="184" hidden="1" ht="15.5" customHeight="1" s="297">
      <c r="A184" s="346" t="n"/>
      <c r="B184" s="401" t="n"/>
      <c r="C184" s="402" t="n"/>
      <c r="D184" s="403" t="n"/>
      <c r="E184" s="403" t="n"/>
      <c r="F184" s="338" t="n"/>
      <c r="G184" s="314" t="n"/>
      <c r="H184" s="345" t="n"/>
      <c r="I184" s="320" t="n"/>
      <c r="J184" s="320" t="n"/>
      <c r="K184" s="321" t="n"/>
      <c r="L184" s="321" t="n"/>
      <c r="M184" s="319" t="n"/>
      <c r="N184" s="329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idden="1" ht="15.5" customHeight="1" s="297">
      <c r="A185" s="346" t="n"/>
      <c r="B185" s="401" t="n"/>
      <c r="C185" s="402" t="n"/>
      <c r="D185" s="403" t="n"/>
      <c r="E185" s="403" t="n"/>
      <c r="F185" s="338" t="n"/>
      <c r="G185" s="314" t="n"/>
      <c r="H185" s="345" t="n"/>
      <c r="I185" s="320" t="n"/>
      <c r="J185" s="320" t="n"/>
      <c r="K185" s="321" t="n"/>
      <c r="L185" s="321" t="n"/>
      <c r="M185" s="319" t="n"/>
      <c r="N185" s="329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idden="1" ht="15.5" customHeight="1" s="297">
      <c r="A186" s="346" t="n"/>
      <c r="B186" s="401" t="n"/>
      <c r="C186" s="402" t="n"/>
      <c r="D186" s="403" t="n"/>
      <c r="E186" s="403" t="n"/>
      <c r="F186" s="338" t="n"/>
      <c r="G186" s="314" t="n"/>
      <c r="H186" s="345" t="n"/>
      <c r="I186" s="320" t="n"/>
      <c r="J186" s="320" t="n"/>
      <c r="K186" s="321" t="n"/>
      <c r="L186" s="321" t="n"/>
      <c r="M186" s="319" t="n"/>
      <c r="N186" s="329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idden="1" ht="15.5" customHeight="1" s="297">
      <c r="A187" s="346" t="n"/>
      <c r="B187" s="401" t="n"/>
      <c r="C187" s="402" t="n"/>
      <c r="D187" s="403" t="n"/>
      <c r="E187" s="403" t="n"/>
      <c r="F187" s="338" t="n"/>
      <c r="G187" s="314" t="n"/>
      <c r="H187" s="345" t="n"/>
      <c r="I187" s="320" t="n"/>
      <c r="J187" s="320" t="n"/>
      <c r="K187" s="321" t="n"/>
      <c r="L187" s="321" t="n"/>
      <c r="M187" s="319" t="n"/>
      <c r="N187" s="329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idden="1" ht="15.5" customHeight="1" s="297">
      <c r="A188" s="346" t="n"/>
      <c r="B188" s="401" t="n"/>
      <c r="C188" s="402" t="n"/>
      <c r="D188" s="403" t="n"/>
      <c r="E188" s="403" t="n"/>
      <c r="F188" s="338" t="n"/>
      <c r="G188" s="314" t="n"/>
      <c r="H188" s="345" t="n"/>
      <c r="I188" s="320" t="n"/>
      <c r="J188" s="320" t="n"/>
      <c r="K188" s="321" t="n"/>
      <c r="L188" s="321" t="n"/>
      <c r="M188" s="319" t="n"/>
      <c r="N188" s="329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idden="1" ht="15.5" customHeight="1" s="297">
      <c r="A189" s="346" t="n"/>
      <c r="B189" s="401" t="n"/>
      <c r="C189" s="402" t="n"/>
      <c r="D189" s="403" t="n"/>
      <c r="E189" s="403" t="n"/>
      <c r="F189" s="338" t="n"/>
      <c r="G189" s="314" t="n"/>
      <c r="H189" s="345" t="n"/>
      <c r="I189" s="320" t="n"/>
      <c r="J189" s="320" t="n"/>
      <c r="K189" s="321" t="n"/>
      <c r="L189" s="321" t="n"/>
      <c r="M189" s="319" t="n"/>
      <c r="N189" s="329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idden="1" ht="15.5" customHeight="1" s="297">
      <c r="B190" s="404" t="n"/>
      <c r="C190" s="405" t="n"/>
      <c r="D190" s="406" t="n"/>
      <c r="E190" s="406" t="n"/>
      <c r="F190" s="407" t="n"/>
      <c r="G190" s="405" t="n"/>
      <c r="H190" s="405" t="n"/>
      <c r="I190" s="370" t="n"/>
      <c r="J190" s="370" t="n"/>
      <c r="K190" s="371" t="n"/>
      <c r="L190" s="371" t="n"/>
      <c r="M190" s="376" t="n"/>
      <c r="N190" s="370" t="n"/>
      <c r="O190" s="371" t="n"/>
      <c r="P190" s="371" t="n"/>
      <c r="Q190" s="371" t="n"/>
      <c r="R190" s="372" t="n"/>
      <c r="S190" s="372" t="n"/>
      <c r="T190" s="372" t="n"/>
      <c r="U190" s="372" t="n"/>
      <c r="V190" s="372" t="n"/>
      <c r="W190" s="372" t="n"/>
      <c r="X190" s="372" t="n"/>
    </row>
    <row r="191" hidden="1" ht="15.5" customHeight="1" s="297">
      <c r="B191" s="404" t="n"/>
      <c r="C191" s="405" t="n"/>
      <c r="D191" s="406" t="n"/>
      <c r="E191" s="406" t="n"/>
      <c r="F191" s="407" t="n"/>
      <c r="G191" s="405" t="n"/>
      <c r="H191" s="405" t="n"/>
      <c r="I191" s="370" t="n"/>
      <c r="J191" s="370" t="n"/>
      <c r="K191" s="371" t="n"/>
      <c r="L191" s="371" t="n"/>
      <c r="M191" s="376" t="n"/>
      <c r="N191" s="370" t="n"/>
      <c r="O191" s="371" t="n"/>
      <c r="P191" s="371" t="n"/>
      <c r="Q191" s="371" t="n"/>
      <c r="R191" s="372" t="n"/>
      <c r="S191" s="372" t="n"/>
      <c r="T191" s="372" t="n"/>
      <c r="U191" s="372" t="n"/>
      <c r="V191" s="372" t="n"/>
      <c r="W191" s="372" t="n"/>
      <c r="X191" s="372" t="n"/>
    </row>
    <row r="192" hidden="1" ht="15.5" customHeight="1" s="297">
      <c r="B192" s="404" t="n"/>
      <c r="C192" s="405" t="n"/>
      <c r="D192" s="406" t="n"/>
      <c r="E192" s="406" t="n"/>
      <c r="F192" s="407" t="n"/>
      <c r="G192" s="405" t="n"/>
      <c r="H192" s="405" t="n"/>
      <c r="I192" s="370" t="n"/>
      <c r="J192" s="370" t="n"/>
      <c r="K192" s="371" t="n"/>
      <c r="L192" s="371" t="n"/>
      <c r="M192" s="376" t="n"/>
      <c r="N192" s="370" t="n"/>
      <c r="O192" s="371" t="n"/>
      <c r="P192" s="371" t="n"/>
      <c r="Q192" s="371" t="n"/>
      <c r="R192" s="372" t="n"/>
      <c r="S192" s="372" t="n"/>
      <c r="T192" s="372" t="n"/>
      <c r="U192" s="372" t="n"/>
      <c r="V192" s="372" t="n"/>
      <c r="W192" s="372" t="n"/>
      <c r="X192" s="372" t="n"/>
    </row>
    <row r="193" hidden="1" ht="15.5" customHeight="1" s="297">
      <c r="B193" s="404" t="n"/>
      <c r="C193" s="405" t="n"/>
      <c r="D193" s="406" t="n"/>
      <c r="E193" s="406" t="n"/>
      <c r="F193" s="407" t="n"/>
      <c r="G193" s="405" t="n"/>
      <c r="H193" s="405" t="n"/>
      <c r="I193" s="370" t="n"/>
      <c r="J193" s="370" t="n"/>
      <c r="K193" s="371" t="n"/>
      <c r="L193" s="371" t="n"/>
      <c r="M193" s="376" t="n"/>
      <c r="N193" s="370" t="n"/>
      <c r="O193" s="371" t="n"/>
      <c r="P193" s="371" t="n"/>
      <c r="Q193" s="371" t="n"/>
      <c r="R193" s="372" t="n"/>
      <c r="S193" s="372" t="n"/>
      <c r="T193" s="372" t="n"/>
      <c r="U193" s="372" t="n"/>
      <c r="V193" s="372" t="n"/>
      <c r="W193" s="372" t="n"/>
      <c r="X193" s="372" t="n"/>
    </row>
    <row r="194" hidden="1" ht="15.5" customHeight="1" s="297">
      <c r="B194" s="404" t="n"/>
      <c r="C194" s="405" t="n"/>
      <c r="D194" s="406" t="n"/>
      <c r="E194" s="406" t="n"/>
      <c r="F194" s="407" t="n"/>
      <c r="G194" s="405" t="n"/>
      <c r="H194" s="405" t="n"/>
      <c r="I194" s="370" t="n"/>
      <c r="J194" s="370" t="n"/>
      <c r="K194" s="371" t="n"/>
      <c r="L194" s="371" t="n"/>
      <c r="M194" s="371" t="n"/>
      <c r="N194" s="370" t="n"/>
      <c r="O194" s="371" t="n"/>
      <c r="P194" s="371" t="n"/>
      <c r="Q194" s="371" t="n"/>
      <c r="R194" s="372" t="n"/>
      <c r="S194" s="372" t="n"/>
      <c r="T194" s="372" t="n"/>
      <c r="U194" s="372" t="n"/>
      <c r="V194" s="372" t="n"/>
      <c r="W194" s="372" t="n"/>
      <c r="X194" s="372" t="n"/>
    </row>
    <row r="195" hidden="1" ht="15.5" customHeight="1" s="297">
      <c r="B195" s="404" t="n"/>
      <c r="C195" s="405" t="n"/>
      <c r="D195" s="406" t="n"/>
      <c r="E195" s="406" t="n"/>
      <c r="F195" s="407" t="n"/>
      <c r="G195" s="405" t="n"/>
      <c r="H195" s="405" t="n"/>
      <c r="I195" s="370" t="n"/>
      <c r="J195" s="370" t="n"/>
      <c r="K195" s="371" t="n"/>
      <c r="L195" s="371" t="n"/>
      <c r="M195" s="376" t="n"/>
      <c r="N195" s="370" t="n"/>
      <c r="O195" s="371" t="n"/>
      <c r="P195" s="371" t="n"/>
      <c r="Q195" s="371" t="n"/>
      <c r="R195" s="372" t="n"/>
      <c r="S195" s="372" t="n"/>
      <c r="T195" s="372" t="n"/>
      <c r="U195" s="372" t="n"/>
      <c r="V195" s="372" t="n"/>
      <c r="W195" s="372" t="n"/>
      <c r="X195" s="372" t="n"/>
    </row>
    <row r="196" hidden="1" ht="15.5" customHeight="1" s="297">
      <c r="B196" s="404" t="n"/>
      <c r="C196" s="405" t="n"/>
      <c r="D196" s="406" t="n"/>
      <c r="E196" s="406" t="n"/>
      <c r="F196" s="407" t="n"/>
      <c r="G196" s="405" t="n"/>
      <c r="H196" s="405" t="n"/>
      <c r="I196" s="370" t="n"/>
      <c r="J196" s="370" t="n"/>
      <c r="K196" s="370" t="n"/>
      <c r="L196" s="370" t="n"/>
      <c r="M196" s="370" t="n"/>
      <c r="N196" s="370" t="n"/>
      <c r="O196" s="370" t="n"/>
      <c r="P196" s="370" t="n"/>
      <c r="Q196" s="370" t="n"/>
      <c r="R196" s="372" t="n"/>
      <c r="S196" s="372" t="n"/>
      <c r="T196" s="372" t="n"/>
      <c r="U196" s="372" t="n"/>
      <c r="V196" s="372" t="n"/>
      <c r="W196" s="372" t="n"/>
      <c r="X196" s="372" t="n"/>
    </row>
    <row r="197" hidden="1" ht="15.5" customHeight="1" s="297">
      <c r="B197" s="404" t="n"/>
      <c r="C197" s="405" t="n"/>
      <c r="D197" s="406" t="n"/>
      <c r="E197" s="406" t="n"/>
      <c r="F197" s="407" t="n"/>
      <c r="G197" s="405" t="n"/>
      <c r="H197" s="405" t="n"/>
      <c r="I197" s="370" t="n"/>
      <c r="J197" s="370" t="n"/>
      <c r="K197" s="371" t="n"/>
      <c r="L197" s="371" t="n"/>
      <c r="M197" s="371" t="n"/>
      <c r="N197" s="370" t="n"/>
      <c r="O197" s="371" t="n"/>
      <c r="P197" s="371" t="n"/>
      <c r="Q197" s="371" t="n"/>
      <c r="R197" s="372" t="n"/>
      <c r="S197" s="372" t="n"/>
      <c r="T197" s="372" t="n"/>
      <c r="U197" s="372" t="n"/>
      <c r="V197" s="372" t="n"/>
      <c r="W197" s="372" t="n"/>
      <c r="X197" s="372" t="n"/>
    </row>
    <row r="198" hidden="1" ht="15.5" customHeight="1" s="297">
      <c r="B198" s="389" t="n"/>
      <c r="C198" s="390" t="n"/>
      <c r="D198" s="391" t="n"/>
      <c r="E198" s="391" t="n"/>
      <c r="F198" s="392" t="n"/>
      <c r="G198" s="393" t="n"/>
      <c r="H198" s="393" t="n"/>
      <c r="I198" s="395" t="n"/>
      <c r="J198" s="395" t="n"/>
      <c r="K198" s="389" t="n"/>
      <c r="L198" s="389" t="n"/>
      <c r="M198" s="389" t="n"/>
      <c r="N198" s="389" t="n"/>
      <c r="O198" s="389" t="n"/>
      <c r="P198" s="389" t="n"/>
      <c r="Q198" s="389" t="n"/>
      <c r="R198" s="372" t="n"/>
      <c r="S198" s="372" t="n"/>
      <c r="T198" s="372" t="n"/>
      <c r="U198" s="372" t="n"/>
      <c r="V198" s="372" t="n"/>
      <c r="W198" s="372" t="n"/>
      <c r="X198" s="372" t="n"/>
    </row>
    <row r="199" hidden="1" ht="15.5" customHeight="1" s="297">
      <c r="B199" s="374" t="n"/>
      <c r="C199" s="367" t="n"/>
      <c r="D199" s="375" t="n"/>
      <c r="E199" s="375" t="n"/>
      <c r="F199" s="408" t="n"/>
      <c r="G199" s="367" t="n"/>
      <c r="H199" s="367" t="n"/>
      <c r="I199" s="370" t="n"/>
      <c r="J199" s="370" t="n"/>
      <c r="K199" s="371" t="n"/>
      <c r="L199" s="371" t="n"/>
      <c r="M199" s="371" t="n"/>
      <c r="N199" s="371" t="n"/>
      <c r="O199" s="371" t="n"/>
      <c r="P199" s="370" t="n"/>
      <c r="Q199" s="371" t="n"/>
      <c r="R199" s="372" t="n"/>
      <c r="S199" s="372" t="n"/>
      <c r="T199" s="372" t="n"/>
      <c r="U199" s="372" t="n"/>
      <c r="V199" s="372" t="n"/>
      <c r="W199" s="372" t="n"/>
      <c r="X199" s="372" t="n"/>
    </row>
    <row r="200" hidden="1" ht="15.5" customHeight="1" s="297">
      <c r="B200" s="389" t="n"/>
      <c r="C200" s="390" t="n"/>
      <c r="D200" s="391" t="n"/>
      <c r="E200" s="391" t="n"/>
      <c r="F200" s="392" t="n"/>
      <c r="G200" s="393" t="n"/>
      <c r="H200" s="393" t="n"/>
      <c r="I200" s="395" t="n"/>
      <c r="J200" s="395" t="n"/>
      <c r="K200" s="389" t="n"/>
      <c r="L200" s="389" t="n"/>
      <c r="M200" s="395" t="n"/>
      <c r="N200" s="389" t="n"/>
      <c r="O200" s="389" t="n"/>
      <c r="P200" s="389" t="n"/>
      <c r="Q200" s="389" t="n"/>
      <c r="R200" s="372" t="n"/>
      <c r="S200" s="372" t="n"/>
      <c r="T200" s="372" t="n"/>
      <c r="U200" s="372" t="n"/>
      <c r="V200" s="372" t="n"/>
      <c r="W200" s="372" t="n"/>
      <c r="X200" s="372" t="n"/>
    </row>
    <row r="201" ht="15.5" customHeight="1" s="297">
      <c r="B201" s="333" t="n"/>
      <c r="C201" s="314" t="n"/>
      <c r="D201" s="315" t="inlineStr">
        <is>
          <t>Transportation</t>
        </is>
      </c>
      <c r="E201" s="377" t="n"/>
      <c r="F201" s="332" t="n"/>
      <c r="G201" s="314" t="n"/>
      <c r="H201" s="314" t="n"/>
      <c r="I201" s="320" t="n"/>
      <c r="J201" s="320" t="n"/>
      <c r="K201" s="321" t="n"/>
      <c r="L201" s="321" t="n"/>
      <c r="M201" s="320" t="n"/>
      <c r="N201" s="321" t="n"/>
      <c r="O201" s="321" t="n"/>
      <c r="P201" s="321" t="n"/>
      <c r="Q201" s="321" t="n"/>
      <c r="R201" s="322" t="n"/>
      <c r="S201" s="322" t="n"/>
      <c r="T201" s="322" t="n"/>
      <c r="U201" s="322" t="n"/>
      <c r="V201" s="322" t="n"/>
      <c r="W201" s="322" t="n"/>
      <c r="X201" s="322" t="n"/>
    </row>
    <row r="202" ht="15.5" customHeight="1" s="297">
      <c r="A202" s="346" t="n"/>
      <c r="B202" s="381" t="n">
        <v>45402</v>
      </c>
      <c r="C202" s="382" t="n">
        <v>1</v>
      </c>
      <c r="D202" s="357" t="inlineStr">
        <is>
          <t>PLT SRO_ TGB-33 (Jatibarang Field) Elnusa _ IC</t>
        </is>
      </c>
      <c r="E202" s="409" t="n"/>
      <c r="F202" s="385" t="n">
        <v>250000</v>
      </c>
      <c r="G202" s="382" t="inlineStr">
        <is>
          <t>IDR</t>
        </is>
      </c>
      <c r="H202" s="386" t="n">
        <v>1</v>
      </c>
      <c r="I202" s="364" t="n"/>
      <c r="J202" s="387" t="n">
        <v>250000</v>
      </c>
      <c r="K202" s="388" t="n"/>
      <c r="L202" s="388" t="n"/>
      <c r="M202" s="364" t="n"/>
      <c r="N202" s="388" t="n"/>
      <c r="O202" s="388" t="n"/>
      <c r="P202" s="388" t="n"/>
      <c r="Q202" s="388" t="n"/>
      <c r="R202" s="365" t="n"/>
      <c r="S202" s="365" t="n"/>
      <c r="T202" s="365" t="n"/>
      <c r="U202" s="365" t="n"/>
      <c r="V202" s="365" t="n"/>
      <c r="W202" s="365" t="n"/>
      <c r="X202" s="365" t="n"/>
    </row>
    <row r="203" hidden="1" ht="15.5" customHeight="1" s="297">
      <c r="A203" s="346" t="n"/>
      <c r="B203" s="333" t="n"/>
      <c r="C203" s="314" t="n"/>
      <c r="D203" s="377" t="n"/>
      <c r="E203" s="377" t="n"/>
      <c r="F203" s="334" t="n"/>
      <c r="G203" s="314" t="n"/>
      <c r="H203" s="345" t="n"/>
      <c r="I203" s="320" t="n"/>
      <c r="J203" s="329" t="n"/>
      <c r="K203" s="321" t="n"/>
      <c r="L203" s="321" t="n"/>
      <c r="M203" s="320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idden="1" ht="15.5" customHeight="1" s="297">
      <c r="A204" s="346" t="n"/>
      <c r="B204" s="333" t="n"/>
      <c r="C204" s="314" t="n"/>
      <c r="D204" s="377" t="n"/>
      <c r="E204" s="377" t="n"/>
      <c r="F204" s="334" t="n"/>
      <c r="G204" s="314" t="n"/>
      <c r="H204" s="345" t="n"/>
      <c r="I204" s="320" t="n"/>
      <c r="J204" s="329" t="n"/>
      <c r="K204" s="321" t="n"/>
      <c r="L204" s="321" t="n"/>
      <c r="M204" s="320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idden="1" ht="15.5" customHeight="1" s="297">
      <c r="A205" s="346" t="n"/>
      <c r="B205" s="333" t="n"/>
      <c r="C205" s="314" t="n"/>
      <c r="D205" s="377" t="n"/>
      <c r="E205" s="377" t="n"/>
      <c r="F205" s="334" t="n"/>
      <c r="G205" s="314" t="n"/>
      <c r="H205" s="345" t="n"/>
      <c r="I205" s="320" t="n"/>
      <c r="J205" s="329" t="n"/>
      <c r="K205" s="321" t="n"/>
      <c r="L205" s="321" t="n"/>
      <c r="M205" s="320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idden="1" ht="15.5" customHeight="1" s="297">
      <c r="A206" s="346" t="n"/>
      <c r="B206" s="333" t="n"/>
      <c r="C206" s="314" t="n"/>
      <c r="D206" s="377" t="n"/>
      <c r="E206" s="377" t="n"/>
      <c r="F206" s="334" t="n"/>
      <c r="G206" s="314" t="n"/>
      <c r="H206" s="345" t="n"/>
      <c r="I206" s="320" t="n"/>
      <c r="J206" s="329" t="n"/>
      <c r="K206" s="321" t="n"/>
      <c r="L206" s="321" t="n"/>
      <c r="M206" s="320" t="n"/>
      <c r="N206" s="321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idden="1" ht="15.5" customHeight="1" s="297">
      <c r="A207" s="346" t="n"/>
      <c r="B207" s="333" t="n"/>
      <c r="C207" s="314" t="n"/>
      <c r="D207" s="377" t="n"/>
      <c r="E207" s="377" t="n"/>
      <c r="F207" s="334" t="n"/>
      <c r="G207" s="314" t="n"/>
      <c r="H207" s="345" t="n"/>
      <c r="I207" s="320" t="n"/>
      <c r="J207" s="329" t="n"/>
      <c r="K207" s="321" t="n"/>
      <c r="L207" s="321" t="n"/>
      <c r="M207" s="320" t="n"/>
      <c r="N207" s="321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idden="1" ht="15.5" customHeight="1" s="297">
      <c r="A208" s="346" t="n"/>
      <c r="B208" s="333" t="n"/>
      <c r="C208" s="314" t="n"/>
      <c r="D208" s="377" t="n"/>
      <c r="E208" s="377" t="n"/>
      <c r="F208" s="334" t="n"/>
      <c r="G208" s="314" t="n"/>
      <c r="H208" s="345" t="n"/>
      <c r="I208" s="320" t="n"/>
      <c r="J208" s="329" t="n"/>
      <c r="K208" s="321" t="n"/>
      <c r="L208" s="321" t="n"/>
      <c r="M208" s="320" t="n"/>
      <c r="N208" s="321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idden="1" ht="15.5" customHeight="1" s="297">
      <c r="A209" s="346" t="n"/>
      <c r="B209" s="333" t="n"/>
      <c r="C209" s="314" t="n"/>
      <c r="D209" s="377" t="n"/>
      <c r="E209" s="377" t="n"/>
      <c r="F209" s="334" t="n"/>
      <c r="G209" s="314" t="n"/>
      <c r="H209" s="345" t="n"/>
      <c r="I209" s="320" t="n"/>
      <c r="J209" s="329" t="n"/>
      <c r="K209" s="321" t="n"/>
      <c r="L209" s="321" t="n"/>
      <c r="M209" s="320" t="n"/>
      <c r="N209" s="321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idden="1" ht="15.5" customHeight="1" s="297">
      <c r="A210" s="346" t="n"/>
      <c r="B210" s="333" t="n"/>
      <c r="C210" s="314" t="n"/>
      <c r="D210" s="377" t="n"/>
      <c r="E210" s="377" t="n"/>
      <c r="F210" s="334" t="n"/>
      <c r="G210" s="314" t="n"/>
      <c r="H210" s="345" t="n"/>
      <c r="I210" s="320" t="n"/>
      <c r="J210" s="329" t="n"/>
      <c r="K210" s="321" t="n"/>
      <c r="L210" s="321" t="n"/>
      <c r="M210" s="320" t="n"/>
      <c r="N210" s="321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idden="1" ht="15.5" customHeight="1" s="297">
      <c r="A211" s="346" t="n"/>
      <c r="B211" s="333" t="n"/>
      <c r="C211" s="314" t="n"/>
      <c r="D211" s="377" t="n"/>
      <c r="E211" s="377" t="n"/>
      <c r="F211" s="334" t="n"/>
      <c r="G211" s="314" t="n"/>
      <c r="H211" s="345" t="n"/>
      <c r="I211" s="320" t="n"/>
      <c r="J211" s="329" t="n"/>
      <c r="K211" s="321" t="n"/>
      <c r="L211" s="321" t="n"/>
      <c r="M211" s="320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idden="1" ht="15.5" customHeight="1" s="297">
      <c r="A212" s="346" t="n"/>
      <c r="B212" s="333" t="n"/>
      <c r="C212" s="314" t="n"/>
      <c r="D212" s="377" t="n"/>
      <c r="E212" s="377" t="n"/>
      <c r="F212" s="334" t="n"/>
      <c r="G212" s="314" t="n"/>
      <c r="H212" s="345" t="n"/>
      <c r="I212" s="320" t="n"/>
      <c r="J212" s="329" t="n"/>
      <c r="K212" s="321" t="n"/>
      <c r="L212" s="321" t="n"/>
      <c r="M212" s="320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A213" s="346" t="n"/>
      <c r="B213" s="381" t="n">
        <v>45410</v>
      </c>
      <c r="C213" s="382" t="n">
        <v>1</v>
      </c>
      <c r="D213" s="357" t="inlineStr">
        <is>
          <t>Training BST_ PHR-zona 4 (Dwiyanto) (Dwi_Febri dan Ilham)</t>
        </is>
      </c>
      <c r="E213" s="409" t="n"/>
      <c r="F213" s="385" t="n">
        <v>1357481</v>
      </c>
      <c r="G213" s="382" t="inlineStr">
        <is>
          <t>IDR</t>
        </is>
      </c>
      <c r="H213" s="386" t="n">
        <v>1</v>
      </c>
      <c r="I213" s="364" t="n"/>
      <c r="J213" s="387" t="n">
        <v>1357481</v>
      </c>
      <c r="K213" s="388" t="n"/>
      <c r="L213" s="388" t="n"/>
      <c r="M213" s="364" t="n"/>
      <c r="N213" s="388" t="n"/>
      <c r="O213" s="388" t="n"/>
      <c r="P213" s="388" t="n"/>
      <c r="Q213" s="388" t="n"/>
      <c r="R213" s="365" t="n"/>
      <c r="S213" s="365" t="n"/>
      <c r="T213" s="365" t="n"/>
      <c r="U213" s="365" t="n"/>
      <c r="V213" s="365" t="n"/>
      <c r="W213" s="365" t="n"/>
      <c r="X213" s="365" t="n"/>
    </row>
    <row r="214" hidden="1" ht="15.5" customHeight="1" s="297">
      <c r="A214" s="346" t="n"/>
      <c r="B214" s="333" t="n"/>
      <c r="C214" s="314" t="n"/>
      <c r="D214" s="377" t="n"/>
      <c r="E214" s="377" t="n"/>
      <c r="F214" s="334" t="n"/>
      <c r="G214" s="314" t="n"/>
      <c r="H214" s="345" t="n"/>
      <c r="I214" s="320" t="n"/>
      <c r="J214" s="329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idden="1" ht="15.5" customHeight="1" s="297">
      <c r="A215" s="346" t="n"/>
      <c r="B215" s="333" t="n"/>
      <c r="C215" s="314" t="n"/>
      <c r="D215" s="377" t="n"/>
      <c r="E215" s="377" t="n"/>
      <c r="F215" s="334" t="n"/>
      <c r="G215" s="314" t="n"/>
      <c r="H215" s="345" t="n"/>
      <c r="I215" s="320" t="n"/>
      <c r="J215" s="329" t="n"/>
      <c r="K215" s="321" t="n"/>
      <c r="L215" s="321" t="n"/>
      <c r="M215" s="320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idden="1" ht="15.5" customHeight="1" s="297">
      <c r="A216" s="346" t="n"/>
      <c r="B216" s="333" t="n"/>
      <c r="C216" s="314" t="n"/>
      <c r="D216" s="377" t="n"/>
      <c r="E216" s="377" t="n"/>
      <c r="F216" s="334" t="n"/>
      <c r="G216" s="314" t="n"/>
      <c r="H216" s="345" t="n"/>
      <c r="I216" s="320" t="n"/>
      <c r="J216" s="329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idden="1" ht="15.5" customHeight="1" s="297">
      <c r="A217" s="346" t="n"/>
      <c r="B217" s="333" t="n"/>
      <c r="C217" s="314" t="n"/>
      <c r="D217" s="377" t="n"/>
      <c r="E217" s="377" t="n"/>
      <c r="F217" s="334" t="n"/>
      <c r="G217" s="314" t="n"/>
      <c r="H217" s="345" t="n"/>
      <c r="I217" s="320" t="n"/>
      <c r="J217" s="329" t="n"/>
      <c r="K217" s="321" t="n"/>
      <c r="L217" s="321" t="n"/>
      <c r="M217" s="320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idden="1" ht="15.5" customHeight="1" s="297">
      <c r="A218" s="346" t="n"/>
      <c r="B218" s="333" t="n"/>
      <c r="C218" s="314" t="n"/>
      <c r="D218" s="377" t="n"/>
      <c r="E218" s="377" t="n"/>
      <c r="F218" s="334" t="n"/>
      <c r="G218" s="314" t="n"/>
      <c r="H218" s="345" t="n"/>
      <c r="I218" s="320" t="n"/>
      <c r="J218" s="329" t="n"/>
      <c r="K218" s="321" t="n"/>
      <c r="L218" s="321" t="n"/>
      <c r="M218" s="320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idden="1" ht="15.5" customHeight="1" s="297">
      <c r="B219" s="374" t="n"/>
      <c r="C219" s="367" t="n"/>
      <c r="D219" s="375" t="n"/>
      <c r="E219" s="375" t="n"/>
      <c r="F219" s="369" t="n"/>
      <c r="G219" s="367" t="n"/>
      <c r="H219" s="367" t="n"/>
      <c r="I219" s="376" t="n"/>
      <c r="J219" s="370" t="n"/>
      <c r="K219" s="371" t="n"/>
      <c r="L219" s="371" t="n"/>
      <c r="M219" s="370" t="n"/>
      <c r="N219" s="371" t="n"/>
      <c r="O219" s="371" t="n"/>
      <c r="P219" s="371" t="n"/>
      <c r="Q219" s="371" t="n"/>
      <c r="R219" s="372" t="n"/>
      <c r="S219" s="372" t="n"/>
      <c r="T219" s="372" t="n"/>
      <c r="U219" s="372" t="n"/>
      <c r="V219" s="372" t="n"/>
      <c r="W219" s="372" t="n"/>
      <c r="X219" s="372" t="n"/>
    </row>
    <row r="220" hidden="1" ht="15.5" customHeight="1" s="297">
      <c r="B220" s="374" t="n"/>
      <c r="C220" s="367" t="n"/>
      <c r="D220" s="375" t="n"/>
      <c r="E220" s="375" t="n"/>
      <c r="F220" s="369" t="n"/>
      <c r="G220" s="367" t="n"/>
      <c r="H220" s="367" t="n"/>
      <c r="I220" s="376" t="n"/>
      <c r="J220" s="370" t="n"/>
      <c r="K220" s="371" t="n"/>
      <c r="L220" s="371" t="n"/>
      <c r="M220" s="370" t="n"/>
      <c r="N220" s="371" t="n"/>
      <c r="O220" s="371" t="n"/>
      <c r="P220" s="371" t="n"/>
      <c r="Q220" s="371" t="n"/>
      <c r="R220" s="372" t="n"/>
      <c r="S220" s="372" t="n"/>
      <c r="T220" s="372" t="n"/>
      <c r="U220" s="372" t="n"/>
      <c r="V220" s="372" t="n"/>
      <c r="W220" s="372" t="n"/>
      <c r="X220" s="372" t="n"/>
    </row>
    <row r="221" ht="15.5" customHeight="1" s="297">
      <c r="B221" s="333" t="n"/>
      <c r="C221" s="314" t="n"/>
      <c r="D221" s="330" t="inlineStr">
        <is>
          <t>Accommodation</t>
        </is>
      </c>
      <c r="E221" s="378" t="n"/>
      <c r="F221" s="332" t="n"/>
      <c r="G221" s="314" t="n"/>
      <c r="H221" s="314" t="n"/>
      <c r="I221" s="320" t="n"/>
      <c r="J221" s="320" t="n"/>
      <c r="K221" s="321" t="n"/>
      <c r="L221" s="321" t="n"/>
      <c r="M221" s="320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>
        <v>45420</v>
      </c>
      <c r="C222" s="314" t="n">
        <v>1</v>
      </c>
      <c r="D222" s="326" t="inlineStr">
        <is>
          <t>Hotel</t>
        </is>
      </c>
      <c r="E222" s="326" t="n"/>
      <c r="F222" s="334" t="n">
        <v>360000</v>
      </c>
      <c r="G222" s="314" t="inlineStr">
        <is>
          <t>IDR</t>
        </is>
      </c>
      <c r="H222" s="345" t="n">
        <v>1</v>
      </c>
      <c r="I222" s="320" t="n"/>
      <c r="J222" s="329" t="n">
        <v>360000</v>
      </c>
      <c r="K222" s="321" t="n"/>
      <c r="L222" s="321" t="n"/>
      <c r="M222" s="320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/>
      <c r="C223" s="314" t="n"/>
      <c r="D223" s="330" t="inlineStr">
        <is>
          <t>Meal</t>
        </is>
      </c>
      <c r="E223" s="378" t="n"/>
      <c r="F223" s="332" t="n"/>
      <c r="G223" s="314" t="n"/>
      <c r="H223" s="314" t="n"/>
      <c r="I223" s="320" t="n"/>
      <c r="J223" s="320" t="n"/>
      <c r="K223" s="321" t="n"/>
      <c r="L223" s="321" t="n"/>
      <c r="M223" s="320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t="15.5" customHeight="1" s="297">
      <c r="B224" s="333" t="n">
        <v>45419</v>
      </c>
      <c r="C224" s="314" t="n">
        <v>2</v>
      </c>
      <c r="D224" s="326" t="inlineStr">
        <is>
          <t>Dinner (Dwi, Febri, Ilham)</t>
        </is>
      </c>
      <c r="E224" s="326" t="n"/>
      <c r="F224" s="334" t="n">
        <v>103400</v>
      </c>
      <c r="G224" s="314" t="inlineStr">
        <is>
          <t>IDR</t>
        </is>
      </c>
      <c r="H224" s="345" t="n">
        <v>1</v>
      </c>
      <c r="I224" s="320" t="n"/>
      <c r="J224" s="329" t="n">
        <v>103400</v>
      </c>
      <c r="K224" s="321" t="n"/>
      <c r="L224" s="321" t="n"/>
      <c r="M224" s="320" t="n"/>
      <c r="N224" s="321" t="n"/>
      <c r="O224" s="321" t="n"/>
      <c r="P224" s="321" t="n"/>
      <c r="Q224" s="321" t="n"/>
      <c r="R224" s="322" t="n"/>
      <c r="S224" s="322" t="n"/>
      <c r="T224" s="322" t="n"/>
      <c r="U224" s="322" t="n"/>
      <c r="V224" s="322" t="n"/>
      <c r="W224" s="322" t="n"/>
      <c r="X224" s="322" t="n"/>
    </row>
    <row r="225" ht="15.5" customHeight="1" s="297">
      <c r="B225" s="333" t="n"/>
      <c r="C225" s="314" t="n"/>
      <c r="D225" s="330" t="inlineStr">
        <is>
          <t>Transportation</t>
        </is>
      </c>
      <c r="E225" s="378" t="n"/>
      <c r="F225" s="332" t="n"/>
      <c r="G225" s="314" t="n"/>
      <c r="H225" s="314" t="n"/>
      <c r="I225" s="320" t="n"/>
      <c r="J225" s="320" t="n"/>
      <c r="K225" s="321" t="n"/>
      <c r="L225" s="321" t="n"/>
      <c r="M225" s="320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A226" s="346" t="n"/>
      <c r="B226" s="381" t="n">
        <v>45418</v>
      </c>
      <c r="C226" s="382" t="n">
        <v>3</v>
      </c>
      <c r="D226" s="383" t="inlineStr">
        <is>
          <t>MFC and ALFA Memory (Jatibarang Field) TGB-033_Elnusa_ AC</t>
        </is>
      </c>
      <c r="E226" s="396" t="n"/>
      <c r="F226" s="385" t="n">
        <v>1387800</v>
      </c>
      <c r="G226" s="382" t="inlineStr">
        <is>
          <t>IDR</t>
        </is>
      </c>
      <c r="H226" s="386" t="n">
        <v>1</v>
      </c>
      <c r="I226" s="364" t="n"/>
      <c r="J226" s="387" t="n">
        <v>1387800</v>
      </c>
      <c r="K226" s="388" t="n"/>
      <c r="L226" s="388" t="n"/>
      <c r="M226" s="364" t="n"/>
      <c r="N226" s="388" t="n"/>
      <c r="O226" s="388" t="n"/>
      <c r="P226" s="388" t="n"/>
      <c r="Q226" s="388" t="n"/>
      <c r="R226" s="365" t="n"/>
      <c r="S226" s="365" t="n"/>
      <c r="T226" s="365" t="n"/>
      <c r="U226" s="365" t="n"/>
      <c r="V226" s="365" t="n"/>
      <c r="W226" s="365" t="n"/>
      <c r="X226" s="365" t="n"/>
    </row>
    <row r="227" hidden="1" ht="15.5" customHeight="1" s="297">
      <c r="A227" s="346" t="n"/>
      <c r="B227" s="333" t="n"/>
      <c r="C227" s="314" t="n"/>
      <c r="D227" s="378" t="n"/>
      <c r="E227" s="378" t="n"/>
      <c r="F227" s="334" t="n"/>
      <c r="G227" s="314" t="n"/>
      <c r="H227" s="345" t="n"/>
      <c r="I227" s="320" t="n"/>
      <c r="J227" s="329" t="n"/>
      <c r="K227" s="321" t="n"/>
      <c r="L227" s="321" t="n"/>
      <c r="M227" s="320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idden="1" ht="15.5" customHeight="1" s="297">
      <c r="A228" s="346" t="n"/>
      <c r="B228" s="333" t="n"/>
      <c r="C228" s="314" t="n"/>
      <c r="D228" s="378" t="n"/>
      <c r="E228" s="378" t="n"/>
      <c r="F228" s="334" t="n"/>
      <c r="G228" s="314" t="n"/>
      <c r="H228" s="345" t="n"/>
      <c r="I228" s="320" t="n"/>
      <c r="J228" s="329" t="n"/>
      <c r="K228" s="321" t="n"/>
      <c r="L228" s="321" t="n"/>
      <c r="M228" s="320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idden="1" ht="15.5" customHeight="1" s="297">
      <c r="A229" s="346" t="n"/>
      <c r="B229" s="333" t="n"/>
      <c r="C229" s="314" t="n"/>
      <c r="D229" s="378" t="n"/>
      <c r="E229" s="378" t="n"/>
      <c r="F229" s="334" t="n"/>
      <c r="G229" s="314" t="n"/>
      <c r="H229" s="345" t="n"/>
      <c r="I229" s="320" t="n"/>
      <c r="J229" s="329" t="n"/>
      <c r="K229" s="321" t="n"/>
      <c r="L229" s="321" t="n"/>
      <c r="M229" s="320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idden="1" ht="15.5" customHeight="1" s="297">
      <c r="A230" s="346" t="n"/>
      <c r="B230" s="333" t="n"/>
      <c r="C230" s="314" t="n"/>
      <c r="D230" s="378" t="n"/>
      <c r="E230" s="378" t="n"/>
      <c r="F230" s="334" t="n"/>
      <c r="G230" s="314" t="n"/>
      <c r="H230" s="345" t="n"/>
      <c r="I230" s="320" t="n"/>
      <c r="J230" s="329" t="n"/>
      <c r="K230" s="321" t="n"/>
      <c r="L230" s="321" t="n"/>
      <c r="M230" s="320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idden="1" ht="15.5" customHeight="1" s="297">
      <c r="A231" s="346" t="n"/>
      <c r="B231" s="333" t="n"/>
      <c r="C231" s="314" t="n"/>
      <c r="D231" s="378" t="n"/>
      <c r="E231" s="378" t="n"/>
      <c r="F231" s="334" t="n"/>
      <c r="G231" s="314" t="n"/>
      <c r="H231" s="345" t="n"/>
      <c r="I231" s="320" t="n"/>
      <c r="J231" s="329" t="n"/>
      <c r="K231" s="321" t="n"/>
      <c r="L231" s="321" t="n"/>
      <c r="M231" s="320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idden="1" ht="15.5" customHeight="1" s="297">
      <c r="B232" s="374" t="n"/>
      <c r="C232" s="367" t="n"/>
      <c r="D232" s="375" t="n"/>
      <c r="E232" s="375" t="n"/>
      <c r="F232" s="369" t="n"/>
      <c r="G232" s="367" t="n"/>
      <c r="H232" s="367" t="n"/>
      <c r="I232" s="376" t="n"/>
      <c r="J232" s="370" t="n"/>
      <c r="K232" s="371" t="n"/>
      <c r="L232" s="371" t="n"/>
      <c r="M232" s="376" t="n"/>
      <c r="N232" s="371" t="n"/>
      <c r="O232" s="371" t="n"/>
      <c r="P232" s="371" t="n"/>
      <c r="Q232" s="371" t="n"/>
      <c r="R232" s="372" t="n"/>
      <c r="S232" s="372" t="n"/>
      <c r="T232" s="372" t="n"/>
      <c r="U232" s="372" t="n"/>
      <c r="V232" s="372" t="n"/>
      <c r="W232" s="372" t="n"/>
      <c r="X232" s="372" t="n"/>
    </row>
    <row r="233" hidden="1" ht="15.5" customHeight="1" s="297">
      <c r="B233" s="374" t="n"/>
      <c r="C233" s="367" t="n"/>
      <c r="D233" s="375" t="n"/>
      <c r="E233" s="375" t="n"/>
      <c r="F233" s="369" t="n"/>
      <c r="G233" s="367" t="n"/>
      <c r="H233" s="367" t="n"/>
      <c r="I233" s="376" t="n"/>
      <c r="J233" s="370" t="n"/>
      <c r="K233" s="371" t="n"/>
      <c r="L233" s="371" t="n"/>
      <c r="M233" s="376" t="n"/>
      <c r="N233" s="371" t="n"/>
      <c r="O233" s="371" t="n"/>
      <c r="P233" s="371" t="n"/>
      <c r="Q233" s="371" t="n"/>
      <c r="R233" s="372" t="n"/>
      <c r="S233" s="372" t="n"/>
      <c r="T233" s="372" t="n"/>
      <c r="U233" s="372" t="n"/>
      <c r="V233" s="372" t="n"/>
      <c r="W233" s="372" t="n"/>
      <c r="X233" s="372" t="n"/>
    </row>
    <row r="234" hidden="1" ht="15.5" customHeight="1" s="297">
      <c r="B234" s="374" t="n"/>
      <c r="C234" s="367" t="n"/>
      <c r="D234" s="375" t="n"/>
      <c r="E234" s="375" t="n"/>
      <c r="F234" s="369" t="n"/>
      <c r="G234" s="367" t="n"/>
      <c r="H234" s="367" t="n"/>
      <c r="I234" s="376" t="n"/>
      <c r="J234" s="370" t="n"/>
      <c r="K234" s="371" t="n"/>
      <c r="L234" s="371" t="n"/>
      <c r="M234" s="371" t="n"/>
      <c r="N234" s="371" t="n"/>
      <c r="O234" s="371" t="n"/>
      <c r="P234" s="371" t="n"/>
      <c r="Q234" s="371" t="n"/>
      <c r="R234" s="372" t="n"/>
      <c r="S234" s="372" t="n"/>
      <c r="T234" s="372" t="n"/>
      <c r="U234" s="372" t="n"/>
      <c r="V234" s="372" t="n"/>
      <c r="W234" s="372" t="n"/>
      <c r="X234" s="372" t="n"/>
    </row>
    <row r="235" hidden="1" ht="15.5" customHeight="1" s="297">
      <c r="B235" s="374" t="n"/>
      <c r="C235" s="367" t="n"/>
      <c r="D235" s="375" t="n"/>
      <c r="E235" s="375" t="n"/>
      <c r="F235" s="369" t="n"/>
      <c r="G235" s="367" t="n"/>
      <c r="H235" s="367" t="n"/>
      <c r="I235" s="376" t="n"/>
      <c r="J235" s="370" t="n"/>
      <c r="K235" s="371" t="n"/>
      <c r="L235" s="371" t="n"/>
      <c r="M235" s="376" t="n"/>
      <c r="N235" s="371" t="n"/>
      <c r="O235" s="371" t="n"/>
      <c r="P235" s="371" t="n"/>
      <c r="Q235" s="371" t="n"/>
      <c r="R235" s="372" t="n"/>
      <c r="S235" s="372" t="n"/>
      <c r="T235" s="372" t="n"/>
      <c r="U235" s="372" t="n"/>
      <c r="V235" s="372" t="n"/>
      <c r="W235" s="372" t="n"/>
      <c r="X235" s="372" t="n"/>
    </row>
    <row r="236" hidden="1" ht="15.5" customHeight="1" s="297">
      <c r="B236" s="374" t="n"/>
      <c r="C236" s="367" t="n"/>
      <c r="D236" s="375" t="n"/>
      <c r="E236" s="375" t="n"/>
      <c r="F236" s="369" t="n"/>
      <c r="G236" s="367" t="n"/>
      <c r="H236" s="367" t="n"/>
      <c r="I236" s="376" t="n"/>
      <c r="J236" s="370" t="n"/>
      <c r="K236" s="371" t="n"/>
      <c r="L236" s="371" t="n"/>
      <c r="M236" s="371" t="n"/>
      <c r="N236" s="371" t="n"/>
      <c r="O236" s="371" t="n"/>
      <c r="P236" s="371" t="n"/>
      <c r="Q236" s="371" t="n"/>
      <c r="R236" s="372" t="n"/>
      <c r="S236" s="372" t="n"/>
      <c r="T236" s="372" t="n"/>
      <c r="U236" s="372" t="n"/>
      <c r="V236" s="372" t="n"/>
      <c r="W236" s="372" t="n"/>
      <c r="X236" s="372" t="n"/>
    </row>
    <row r="237" ht="15.5" customHeight="1" s="297">
      <c r="A237" s="346" t="n"/>
      <c r="B237" s="381" t="n">
        <v>45403</v>
      </c>
      <c r="C237" s="382" t="n">
        <v>1</v>
      </c>
      <c r="D237" s="383" t="inlineStr">
        <is>
          <t>ALFA+PLT (TGB-033 Zona 7) Elnusa_TMA</t>
        </is>
      </c>
      <c r="E237" s="384" t="n"/>
      <c r="F237" s="385" t="n">
        <v>150000</v>
      </c>
      <c r="G237" s="382" t="inlineStr">
        <is>
          <t>IDR</t>
        </is>
      </c>
      <c r="H237" s="386" t="n">
        <v>1</v>
      </c>
      <c r="I237" s="397" t="n"/>
      <c r="J237" s="387" t="n">
        <v>150000</v>
      </c>
      <c r="K237" s="388" t="n"/>
      <c r="L237" s="388" t="n"/>
      <c r="M237" s="388" t="n"/>
      <c r="N237" s="388" t="n"/>
      <c r="O237" s="388" t="n"/>
      <c r="P237" s="388" t="n"/>
      <c r="Q237" s="388" t="n"/>
      <c r="R237" s="365" t="n"/>
      <c r="S237" s="365" t="n"/>
      <c r="T237" s="365" t="n"/>
      <c r="U237" s="365" t="n"/>
      <c r="V237" s="365" t="n"/>
      <c r="W237" s="365" t="n"/>
      <c r="X237" s="365" t="n"/>
    </row>
    <row r="238" hidden="1" ht="15.5" customHeight="1" s="297">
      <c r="A238" s="346" t="n"/>
      <c r="B238" s="333" t="n"/>
      <c r="C238" s="314" t="n"/>
      <c r="D238" s="326" t="n"/>
      <c r="E238" s="326" t="n"/>
      <c r="F238" s="334" t="n"/>
      <c r="G238" s="314" t="n"/>
      <c r="H238" s="345" t="n"/>
      <c r="I238" s="319" t="n"/>
      <c r="J238" s="329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idden="1" ht="15.5" customHeight="1" s="297">
      <c r="A239" s="346" t="n"/>
      <c r="B239" s="333" t="n"/>
      <c r="C239" s="314" t="n"/>
      <c r="D239" s="326" t="n"/>
      <c r="E239" s="326" t="n"/>
      <c r="F239" s="334" t="n"/>
      <c r="G239" s="314" t="n"/>
      <c r="H239" s="345" t="n"/>
      <c r="I239" s="319" t="n"/>
      <c r="J239" s="329" t="n"/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idden="1" ht="15.5" customHeight="1" s="297">
      <c r="A240" s="346" t="n"/>
      <c r="B240" s="333" t="n"/>
      <c r="C240" s="314" t="n"/>
      <c r="D240" s="326" t="n"/>
      <c r="E240" s="326" t="n"/>
      <c r="F240" s="334" t="n"/>
      <c r="G240" s="314" t="n"/>
      <c r="H240" s="345" t="n"/>
      <c r="I240" s="319" t="n"/>
      <c r="J240" s="329" t="n"/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idden="1" ht="15.5" customHeight="1" s="297">
      <c r="A241" s="346" t="n"/>
      <c r="B241" s="333" t="n"/>
      <c r="C241" s="314" t="n"/>
      <c r="D241" s="326" t="n"/>
      <c r="E241" s="326" t="n"/>
      <c r="F241" s="334" t="n"/>
      <c r="G241" s="314" t="n"/>
      <c r="H241" s="345" t="n"/>
      <c r="I241" s="319" t="n"/>
      <c r="J241" s="329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idden="1" ht="15.5" customHeight="1" s="297">
      <c r="A242" s="346" t="n"/>
      <c r="B242" s="333" t="n"/>
      <c r="C242" s="314" t="n"/>
      <c r="D242" s="326" t="n"/>
      <c r="E242" s="326" t="n"/>
      <c r="F242" s="334" t="n"/>
      <c r="G242" s="314" t="n"/>
      <c r="H242" s="345" t="n"/>
      <c r="I242" s="319" t="n"/>
      <c r="J242" s="329" t="n"/>
      <c r="K242" s="321" t="n"/>
      <c r="L242" s="321" t="n"/>
      <c r="M242" s="321" t="n"/>
      <c r="N242" s="321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idden="1" ht="15.5" customHeight="1" s="297">
      <c r="B243" s="374" t="n"/>
      <c r="C243" s="367" t="n"/>
      <c r="D243" s="375" t="n"/>
      <c r="E243" s="375" t="n"/>
      <c r="F243" s="369" t="n"/>
      <c r="G243" s="367" t="n"/>
      <c r="H243" s="367" t="n"/>
      <c r="I243" s="376" t="n"/>
      <c r="J243" s="370" t="n"/>
      <c r="K243" s="371" t="n"/>
      <c r="L243" s="371" t="n"/>
      <c r="M243" s="371" t="n"/>
      <c r="N243" s="376" t="n"/>
      <c r="O243" s="371" t="n"/>
      <c r="P243" s="371" t="n"/>
      <c r="Q243" s="371" t="n"/>
      <c r="R243" s="372" t="n"/>
      <c r="S243" s="372" t="n"/>
      <c r="T243" s="372" t="n"/>
      <c r="U243" s="372" t="n"/>
      <c r="V243" s="372" t="n"/>
      <c r="W243" s="372" t="n"/>
      <c r="X243" s="372" t="n"/>
    </row>
    <row r="244" ht="15.5" customHeight="1" s="297">
      <c r="B244" s="333" t="n"/>
      <c r="C244" s="314" t="n"/>
      <c r="D244" s="330" t="inlineStr">
        <is>
          <t>Meal</t>
        </is>
      </c>
      <c r="E244" s="378" t="n"/>
      <c r="F244" s="332" t="n"/>
      <c r="G244" s="314" t="n"/>
      <c r="H244" s="314" t="n"/>
      <c r="I244" s="321" t="n"/>
      <c r="J244" s="321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45407</v>
      </c>
      <c r="C245" s="314" t="n">
        <v>7</v>
      </c>
      <c r="D245" s="326" t="inlineStr">
        <is>
          <t>Crew's Operational</t>
        </is>
      </c>
      <c r="E245" s="326" t="n"/>
      <c r="F245" s="334" t="n">
        <v>657000</v>
      </c>
      <c r="G245" s="314" t="inlineStr">
        <is>
          <t>IDR</t>
        </is>
      </c>
      <c r="H245" s="345" t="n">
        <v>1</v>
      </c>
      <c r="I245" s="319" t="n"/>
      <c r="J245" s="329" t="n">
        <v>657000</v>
      </c>
      <c r="K245" s="321" t="n"/>
      <c r="L245" s="321" t="n"/>
      <c r="M245" s="321" t="n"/>
      <c r="N245" s="321" t="n"/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Allowance</t>
        </is>
      </c>
      <c r="E246" s="378" t="n"/>
      <c r="F246" s="332" t="n"/>
      <c r="G246" s="314" t="n"/>
      <c r="H246" s="314" t="n"/>
      <c r="I246" s="410" t="n"/>
      <c r="J246" s="321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45407</v>
      </c>
      <c r="C247" s="314" t="n">
        <v>3</v>
      </c>
      <c r="D247" s="326" t="inlineStr">
        <is>
          <t>Field Bonus for 7 days (25$/Day)</t>
        </is>
      </c>
      <c r="E247" s="326" t="n"/>
      <c r="F247" s="334" t="n">
        <v>1203813.75</v>
      </c>
      <c r="G247" s="314" t="inlineStr">
        <is>
          <t>USD</t>
        </is>
      </c>
      <c r="H247" s="345" t="n">
        <v>16050.85</v>
      </c>
      <c r="I247" s="329" t="n">
        <v>1203813.75</v>
      </c>
      <c r="J247" s="321" t="n"/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t="15.5" customHeight="1" s="297">
      <c r="B248" s="401" t="n">
        <v>45407</v>
      </c>
      <c r="C248" s="402" t="n">
        <v>4</v>
      </c>
      <c r="D248" s="403" t="inlineStr">
        <is>
          <t>Field Bonus for 4 days 29 April-2 May 2024 (100$/Day</t>
        </is>
      </c>
      <c r="E248" s="403" t="n"/>
      <c r="F248" s="338" t="n">
        <v>6420340</v>
      </c>
      <c r="G248" s="314" t="inlineStr">
        <is>
          <t>USD</t>
        </is>
      </c>
      <c r="H248" s="345" t="n">
        <v>16050.85</v>
      </c>
      <c r="I248" s="320" t="n"/>
      <c r="J248" s="329" t="n">
        <v>6420340</v>
      </c>
      <c r="K248" s="321" t="n"/>
      <c r="L248" s="321" t="n"/>
      <c r="M248" s="321" t="n"/>
      <c r="N248" s="321" t="n"/>
      <c r="O248" s="321" t="n"/>
      <c r="P248" s="321" t="n"/>
      <c r="Q248" s="321" t="n"/>
      <c r="R248" s="322" t="n"/>
      <c r="S248" s="322" t="n"/>
      <c r="T248" s="322" t="n"/>
      <c r="U248" s="322" t="n"/>
      <c r="V248" s="322" t="n"/>
      <c r="W248" s="322" t="n"/>
      <c r="X248" s="322" t="n"/>
    </row>
    <row r="249" ht="15.5" customHeight="1" s="297">
      <c r="B249" s="313" t="n"/>
      <c r="C249" s="314" t="n"/>
      <c r="D249" s="315" t="inlineStr">
        <is>
          <t>Logistic</t>
        </is>
      </c>
      <c r="E249" s="339" t="n"/>
      <c r="F249" s="332" t="n"/>
      <c r="G249" s="314" t="n"/>
      <c r="H249" s="314" t="n"/>
      <c r="I249" s="321" t="n"/>
      <c r="J249" s="320" t="n"/>
      <c r="K249" s="321" t="n"/>
      <c r="L249" s="321" t="n"/>
      <c r="M249" s="319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idden="1" ht="15.5" customHeight="1" s="297">
      <c r="B250" s="374" t="n"/>
      <c r="C250" s="367" t="n"/>
      <c r="D250" s="375" t="n"/>
      <c r="E250" s="375" t="n"/>
      <c r="F250" s="369" t="n"/>
      <c r="G250" s="367" t="n"/>
      <c r="H250" s="367" t="n"/>
      <c r="I250" s="376" t="n"/>
      <c r="J250" s="370" t="n"/>
      <c r="K250" s="371" t="n"/>
      <c r="L250" s="371" t="n"/>
      <c r="M250" s="376" t="n"/>
      <c r="N250" s="371" t="n"/>
      <c r="O250" s="371" t="n"/>
      <c r="P250" s="371" t="n"/>
      <c r="Q250" s="371" t="n"/>
      <c r="R250" s="372" t="n"/>
      <c r="S250" s="372" t="n"/>
      <c r="T250" s="372" t="n"/>
      <c r="U250" s="372" t="n"/>
      <c r="V250" s="372" t="n"/>
      <c r="W250" s="372" t="n"/>
      <c r="X250" s="372" t="n"/>
    </row>
    <row r="251" ht="15.5" customHeight="1" s="297">
      <c r="A251" s="346" t="n"/>
      <c r="B251" s="381" t="n">
        <v>45407</v>
      </c>
      <c r="C251" s="382" t="n">
        <v>1</v>
      </c>
      <c r="D251" s="383" t="inlineStr">
        <is>
          <t>ALFA+MFC (TGB-033 Zona 7) Elnusa_TMA</t>
        </is>
      </c>
      <c r="E251" s="384" t="n"/>
      <c r="F251" s="385" t="n">
        <v>3292802</v>
      </c>
      <c r="G251" s="382" t="inlineStr">
        <is>
          <t>IDR</t>
        </is>
      </c>
      <c r="H251" s="386" t="n">
        <v>1</v>
      </c>
      <c r="I251" s="397" t="n"/>
      <c r="J251" s="387" t="n">
        <v>3292802</v>
      </c>
      <c r="K251" s="388" t="n"/>
      <c r="L251" s="388" t="n"/>
      <c r="M251" s="397" t="n"/>
      <c r="N251" s="388" t="n"/>
      <c r="O251" s="388" t="n"/>
      <c r="P251" s="388" t="n"/>
      <c r="Q251" s="388" t="n"/>
      <c r="R251" s="365" t="n"/>
      <c r="S251" s="365" t="n"/>
      <c r="T251" s="365" t="n"/>
      <c r="U251" s="365" t="n"/>
      <c r="V251" s="365" t="n"/>
      <c r="W251" s="365" t="n"/>
      <c r="X251" s="365" t="n"/>
    </row>
    <row r="252" hidden="1" ht="15.5" customHeight="1" s="297">
      <c r="A252" s="346" t="n"/>
      <c r="B252" s="333" t="n"/>
      <c r="C252" s="314" t="n"/>
      <c r="D252" s="326" t="n"/>
      <c r="E252" s="326" t="n"/>
      <c r="F252" s="334" t="n"/>
      <c r="G252" s="314" t="n"/>
      <c r="H252" s="345" t="n"/>
      <c r="I252" s="319" t="n"/>
      <c r="J252" s="329" t="n"/>
      <c r="K252" s="321" t="n"/>
      <c r="L252" s="321" t="n"/>
      <c r="M252" s="319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idden="1" ht="15.5" customHeight="1" s="297">
      <c r="A253" s="346" t="n"/>
      <c r="B253" s="333" t="n"/>
      <c r="C253" s="314" t="n"/>
      <c r="D253" s="326" t="n"/>
      <c r="E253" s="326" t="n"/>
      <c r="F253" s="334" t="n"/>
      <c r="G253" s="314" t="n"/>
      <c r="H253" s="345" t="n"/>
      <c r="I253" s="319" t="n"/>
      <c r="J253" s="320" t="n"/>
      <c r="K253" s="321" t="n"/>
      <c r="L253" s="321" t="n"/>
      <c r="M253" s="319" t="n"/>
      <c r="N253" s="329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idden="1" ht="15.5" customHeight="1" s="297">
      <c r="A254" s="346" t="n"/>
      <c r="B254" s="333" t="n"/>
      <c r="C254" s="314" t="n"/>
      <c r="D254" s="326" t="n"/>
      <c r="E254" s="326" t="n"/>
      <c r="F254" s="334" t="n"/>
      <c r="G254" s="314" t="n"/>
      <c r="H254" s="345" t="n"/>
      <c r="I254" s="319" t="n"/>
      <c r="J254" s="329" t="n"/>
      <c r="K254" s="321" t="n"/>
      <c r="L254" s="321" t="n"/>
      <c r="M254" s="319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idden="1" ht="15.5" customHeight="1" s="297">
      <c r="A255" s="346" t="n"/>
      <c r="B255" s="333" t="n"/>
      <c r="C255" s="314" t="n"/>
      <c r="D255" s="326" t="n"/>
      <c r="E255" s="326" t="n"/>
      <c r="F255" s="334" t="n"/>
      <c r="G255" s="314" t="n"/>
      <c r="H255" s="345" t="n"/>
      <c r="I255" s="319" t="n"/>
      <c r="J255" s="329" t="n"/>
      <c r="K255" s="321" t="n"/>
      <c r="L255" s="321" t="n"/>
      <c r="M255" s="319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idden="1" ht="15.5" customHeight="1" s="297">
      <c r="B256" s="374" t="n"/>
      <c r="C256" s="367" t="n"/>
      <c r="D256" s="375" t="n"/>
      <c r="E256" s="375" t="n"/>
      <c r="F256" s="369" t="n"/>
      <c r="G256" s="367" t="n"/>
      <c r="H256" s="367" t="n"/>
      <c r="I256" s="376" t="n"/>
      <c r="J256" s="370" t="n"/>
      <c r="K256" s="371" t="n"/>
      <c r="L256" s="371" t="n"/>
      <c r="M256" s="371" t="n"/>
      <c r="N256" s="371" t="n"/>
      <c r="O256" s="371" t="n"/>
      <c r="P256" s="371" t="n"/>
      <c r="Q256" s="371" t="n"/>
      <c r="R256" s="372" t="n"/>
      <c r="S256" s="372" t="n"/>
      <c r="T256" s="372" t="n"/>
      <c r="U256" s="372" t="n"/>
      <c r="V256" s="372" t="n"/>
      <c r="W256" s="372" t="n"/>
      <c r="X256" s="372" t="n"/>
    </row>
    <row r="257" ht="15.5" customHeight="1" s="297">
      <c r="B257" s="333" t="n"/>
      <c r="C257" s="314" t="n"/>
      <c r="D257" s="330" t="inlineStr">
        <is>
          <t>Accommodation</t>
        </is>
      </c>
      <c r="E257" s="378" t="n"/>
      <c r="F257" s="332" t="n"/>
      <c r="G257" s="314" t="n"/>
      <c r="H257" s="314" t="n"/>
      <c r="I257" s="320" t="n"/>
      <c r="J257" s="320" t="n"/>
      <c r="K257" s="321" t="n"/>
      <c r="L257" s="321" t="n"/>
      <c r="M257" s="321" t="n"/>
      <c r="N257" s="319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1</v>
      </c>
      <c r="D258" s="326" t="inlineStr">
        <is>
          <t>Hotel 19 Apr-22 Apr 2024 (3 days)</t>
        </is>
      </c>
      <c r="E258" s="326" t="n"/>
      <c r="F258" s="334" t="n">
        <v>1950000</v>
      </c>
      <c r="G258" s="314" t="inlineStr">
        <is>
          <t>IDR</t>
        </is>
      </c>
      <c r="H258" s="345" t="n">
        <v>1</v>
      </c>
      <c r="I258" s="319" t="n"/>
      <c r="J258" s="329" t="n">
        <v>1950000</v>
      </c>
      <c r="K258" s="321" t="n"/>
      <c r="L258" s="321" t="n"/>
      <c r="M258" s="321" t="n"/>
      <c r="N258" s="319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>
        <v>45401</v>
      </c>
      <c r="C259" s="314" t="n">
        <v>2</v>
      </c>
      <c r="D259" s="326" t="inlineStr">
        <is>
          <t>Laundry 4 days 1 Persons @ 50K IDR/day</t>
        </is>
      </c>
      <c r="E259" s="326" t="n"/>
      <c r="F259" s="334" t="n">
        <v>200000</v>
      </c>
      <c r="G259" s="314" t="inlineStr">
        <is>
          <t>IDR</t>
        </is>
      </c>
      <c r="H259" s="345" t="n">
        <v>1</v>
      </c>
      <c r="I259" s="319" t="n"/>
      <c r="J259" s="329" t="n">
        <v>200000</v>
      </c>
      <c r="K259" s="321" t="n"/>
      <c r="L259" s="321" t="n"/>
      <c r="M259" s="321" t="n"/>
      <c r="N259" s="319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/>
      <c r="C260" s="314" t="n"/>
      <c r="D260" s="330" t="inlineStr">
        <is>
          <t>Meal</t>
        </is>
      </c>
      <c r="E260" s="378" t="n"/>
      <c r="F260" s="332" t="n"/>
      <c r="G260" s="314" t="n"/>
      <c r="H260" s="314" t="n"/>
      <c r="I260" s="319" t="n"/>
      <c r="J260" s="320" t="n"/>
      <c r="K260" s="321" t="n"/>
      <c r="L260" s="321" t="n"/>
      <c r="M260" s="321" t="n"/>
      <c r="N260" s="319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>
        <v>45401</v>
      </c>
      <c r="C261" s="314" t="n">
        <v>5</v>
      </c>
      <c r="D261" s="326" t="inlineStr">
        <is>
          <t>Crew's Operational</t>
        </is>
      </c>
      <c r="E261" s="326" t="n"/>
      <c r="F261" s="334" t="n">
        <v>481900</v>
      </c>
      <c r="G261" s="314" t="inlineStr">
        <is>
          <t>IDR</t>
        </is>
      </c>
      <c r="H261" s="345" t="n">
        <v>1</v>
      </c>
      <c r="I261" s="319" t="n"/>
      <c r="J261" s="329" t="n">
        <v>481900</v>
      </c>
      <c r="K261" s="321" t="n"/>
      <c r="L261" s="321" t="n"/>
      <c r="M261" s="321" t="n"/>
      <c r="N261" s="319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/>
      <c r="C262" s="314" t="n"/>
      <c r="D262" s="330" t="inlineStr">
        <is>
          <t>Allowance</t>
        </is>
      </c>
      <c r="E262" s="378" t="n"/>
      <c r="F262" s="332" t="n"/>
      <c r="G262" s="314" t="n"/>
      <c r="H262" s="314" t="n"/>
      <c r="I262" s="321" t="n"/>
      <c r="J262" s="320" t="n"/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t="15.5" customHeight="1" s="297">
      <c r="B263" s="333" t="n">
        <v>45401</v>
      </c>
      <c r="C263" s="314" t="n">
        <v>3</v>
      </c>
      <c r="D263" s="326" t="inlineStr">
        <is>
          <t>Field Bonus for 4 days (25$/Day)</t>
        </is>
      </c>
      <c r="E263" s="326" t="n"/>
      <c r="F263" s="334" t="n">
        <v>1605085</v>
      </c>
      <c r="G263" s="314" t="inlineStr">
        <is>
          <t>USD</t>
        </is>
      </c>
      <c r="H263" s="345" t="n">
        <v>16050.85</v>
      </c>
      <c r="I263" s="320" t="n"/>
      <c r="J263" s="329" t="n">
        <v>1605085</v>
      </c>
      <c r="K263" s="321" t="n"/>
      <c r="L263" s="321" t="n"/>
      <c r="M263" s="321" t="n"/>
      <c r="N263" s="321" t="n"/>
      <c r="O263" s="321" t="n"/>
      <c r="P263" s="321" t="n"/>
      <c r="Q263" s="321" t="n"/>
      <c r="R263" s="322" t="n"/>
      <c r="S263" s="322" t="n"/>
      <c r="T263" s="322" t="n"/>
      <c r="U263" s="322" t="n"/>
      <c r="V263" s="322" t="n"/>
      <c r="W263" s="322" t="n"/>
      <c r="X263" s="322" t="n"/>
    </row>
    <row r="264" hidden="1" ht="15.5" customHeight="1" s="297">
      <c r="B264" s="389" t="n"/>
      <c r="C264" s="390" t="n"/>
      <c r="D264" s="391" t="n"/>
      <c r="E264" s="391" t="n"/>
      <c r="F264" s="392" t="n"/>
      <c r="G264" s="393" t="n"/>
      <c r="H264" s="393" t="n"/>
      <c r="I264" s="389" t="n"/>
      <c r="J264" s="395" t="n"/>
      <c r="K264" s="389" t="n"/>
      <c r="L264" s="389" t="n"/>
      <c r="M264" s="394" t="n"/>
      <c r="N264" s="389" t="n"/>
      <c r="O264" s="389" t="n"/>
      <c r="P264" s="389" t="n"/>
      <c r="Q264" s="389" t="n"/>
      <c r="R264" s="372" t="n"/>
      <c r="S264" s="372" t="n"/>
      <c r="T264" s="372" t="n"/>
      <c r="U264" s="372" t="n"/>
      <c r="V264" s="372" t="n"/>
      <c r="W264" s="372" t="n"/>
      <c r="X264" s="372" t="n"/>
    </row>
    <row r="265" ht="15.5" customHeight="1" s="297">
      <c r="A265" s="346" t="n"/>
      <c r="B265" s="399" t="n">
        <v>45401</v>
      </c>
      <c r="C265" s="358" t="n">
        <v>4</v>
      </c>
      <c r="D265" s="359" t="inlineStr">
        <is>
          <t>BOSIET Training -_TMA</t>
        </is>
      </c>
      <c r="E265" s="360" t="n"/>
      <c r="F265" s="400" t="n">
        <v>101800</v>
      </c>
      <c r="G265" s="382" t="inlineStr">
        <is>
          <t>IDR</t>
        </is>
      </c>
      <c r="H265" s="386" t="n">
        <v>1</v>
      </c>
      <c r="I265" s="388" t="n"/>
      <c r="J265" s="387" t="n">
        <v>101800</v>
      </c>
      <c r="K265" s="388" t="n"/>
      <c r="L265" s="388" t="n"/>
      <c r="M265" s="397" t="n"/>
      <c r="N265" s="388" t="n"/>
      <c r="O265" s="388" t="n"/>
      <c r="P265" s="388" t="n"/>
      <c r="Q265" s="388" t="n"/>
      <c r="R265" s="365" t="n"/>
      <c r="S265" s="365" t="n"/>
      <c r="T265" s="365" t="n"/>
      <c r="U265" s="365" t="n"/>
      <c r="V265" s="365" t="n"/>
      <c r="W265" s="365" t="n"/>
      <c r="X265" s="365" t="n"/>
    </row>
    <row r="266" hidden="1" ht="15.5" customHeight="1" s="297">
      <c r="A266" s="346" t="n"/>
      <c r="B266" s="401" t="n"/>
      <c r="C266" s="402" t="n"/>
      <c r="D266" s="403" t="n"/>
      <c r="E266" s="403" t="n"/>
      <c r="F266" s="338" t="n"/>
      <c r="G266" s="314" t="n"/>
      <c r="H266" s="345" t="n"/>
      <c r="I266" s="321" t="n"/>
      <c r="J266" s="329" t="n"/>
      <c r="K266" s="321" t="n"/>
      <c r="L266" s="321" t="n"/>
      <c r="M266" s="319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A267" s="346" t="n"/>
      <c r="B267" s="399" t="n">
        <v>45429</v>
      </c>
      <c r="C267" s="358" t="n">
        <v>1</v>
      </c>
      <c r="D267" s="359" t="inlineStr">
        <is>
          <t>Non Trip MCU Dwiyanto</t>
        </is>
      </c>
      <c r="E267" s="360" t="n"/>
      <c r="F267" s="400" t="n">
        <v>9693878</v>
      </c>
      <c r="G267" s="382" t="inlineStr">
        <is>
          <t>IDR</t>
        </is>
      </c>
      <c r="H267" s="386" t="n">
        <v>1</v>
      </c>
      <c r="I267" s="388" t="n"/>
      <c r="J267" s="387" t="n">
        <v>9693878</v>
      </c>
      <c r="K267" s="388" t="n"/>
      <c r="L267" s="388" t="n"/>
      <c r="M267" s="397" t="n"/>
      <c r="N267" s="388" t="n"/>
      <c r="O267" s="388" t="n"/>
      <c r="P267" s="388" t="n"/>
      <c r="Q267" s="388" t="n"/>
      <c r="R267" s="365" t="n"/>
      <c r="S267" s="365" t="n"/>
      <c r="T267" s="365" t="n"/>
      <c r="U267" s="365" t="n"/>
      <c r="V267" s="365" t="n"/>
      <c r="W267" s="365" t="n"/>
      <c r="X267" s="365" t="n"/>
    </row>
    <row r="268" hidden="1" ht="15.5" customHeight="1" s="297">
      <c r="A268" s="346" t="n"/>
      <c r="B268" s="401" t="n"/>
      <c r="C268" s="402" t="n"/>
      <c r="D268" s="403" t="n"/>
      <c r="E268" s="403" t="n"/>
      <c r="F268" s="338" t="n"/>
      <c r="G268" s="314" t="n"/>
      <c r="H268" s="345" t="n"/>
      <c r="I268" s="321" t="n"/>
      <c r="J268" s="329" t="n"/>
      <c r="K268" s="321" t="n"/>
      <c r="L268" s="321" t="n"/>
      <c r="M268" s="319" t="n"/>
      <c r="N268" s="321" t="n"/>
      <c r="O268" s="321" t="n"/>
      <c r="P268" s="321" t="n"/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/>
      <c r="C269" s="314" t="n"/>
      <c r="D269" s="315" t="inlineStr">
        <is>
          <t>Kesehatan</t>
        </is>
      </c>
      <c r="E269" s="377" t="n"/>
      <c r="F269" s="317" t="n"/>
      <c r="G269" s="314" t="n"/>
      <c r="H269" s="314" t="n"/>
      <c r="I269" s="320" t="n"/>
      <c r="J269" s="320" t="n"/>
      <c r="K269" s="321" t="n"/>
      <c r="L269" s="321" t="n"/>
      <c r="M269" s="320" t="n"/>
      <c r="N269" s="321" t="n"/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A270" s="346" t="n"/>
      <c r="B270" s="411" t="n">
        <v>45432</v>
      </c>
      <c r="C270" s="382" t="n">
        <v>1</v>
      </c>
      <c r="D270" s="357" t="inlineStr">
        <is>
          <t>Non project _ MCU - Ilham BR</t>
        </is>
      </c>
      <c r="E270" s="409" t="n"/>
      <c r="F270" s="412" t="n">
        <v>5322000</v>
      </c>
      <c r="G270" s="382" t="inlineStr">
        <is>
          <t>IDR</t>
        </is>
      </c>
      <c r="H270" s="386" t="n">
        <v>1</v>
      </c>
      <c r="I270" s="364" t="n"/>
      <c r="J270" s="364" t="n"/>
      <c r="K270" s="388" t="n"/>
      <c r="L270" s="388" t="n"/>
      <c r="M270" s="364" t="n"/>
      <c r="N270" s="388" t="n"/>
      <c r="O270" s="388" t="n"/>
      <c r="P270" s="387" t="n">
        <v>5322000</v>
      </c>
      <c r="Q270" s="388" t="n"/>
      <c r="R270" s="365" t="n"/>
      <c r="S270" s="365" t="n"/>
      <c r="T270" s="365" t="n"/>
      <c r="U270" s="365" t="n"/>
      <c r="V270" s="365" t="n"/>
      <c r="W270" s="365" t="n"/>
      <c r="X270" s="365" t="n"/>
    </row>
    <row r="271" hidden="1" ht="15.5" customHeight="1" s="297">
      <c r="A271" s="346" t="n"/>
      <c r="B271" s="313" t="n"/>
      <c r="C271" s="314" t="n"/>
      <c r="D271" s="377" t="n"/>
      <c r="E271" s="377" t="n"/>
      <c r="F271" s="323" t="n"/>
      <c r="G271" s="314" t="n"/>
      <c r="H271" s="345" t="n"/>
      <c r="I271" s="320" t="n"/>
      <c r="J271" s="320" t="n"/>
      <c r="K271" s="321" t="n"/>
      <c r="L271" s="321" t="n"/>
      <c r="M271" s="320" t="n"/>
      <c r="N271" s="329" t="n"/>
      <c r="O271" s="321" t="n"/>
      <c r="P271" s="321" t="n"/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A272" s="346" t="n"/>
      <c r="B272" s="411" t="n">
        <v>45432</v>
      </c>
      <c r="C272" s="382" t="n">
        <v>1</v>
      </c>
      <c r="D272" s="357" t="inlineStr">
        <is>
          <t>ALFA Job - Jrk-193 _ OJT_ Ilham BR</t>
        </is>
      </c>
      <c r="E272" s="409" t="n"/>
      <c r="F272" s="412" t="n">
        <v>5407000</v>
      </c>
      <c r="G272" s="382" t="inlineStr">
        <is>
          <t>IDR</t>
        </is>
      </c>
      <c r="H272" s="386" t="n">
        <v>1</v>
      </c>
      <c r="I272" s="364" t="n"/>
      <c r="J272" s="364" t="n"/>
      <c r="K272" s="388" t="n"/>
      <c r="L272" s="388" t="n"/>
      <c r="M272" s="364" t="n"/>
      <c r="N272" s="387" t="n"/>
      <c r="O272" s="388" t="n"/>
      <c r="P272" s="387" t="n">
        <v>5407000</v>
      </c>
      <c r="Q272" s="388" t="n"/>
      <c r="R272" s="365" t="n"/>
      <c r="S272" s="365" t="n"/>
      <c r="T272" s="365" t="n"/>
      <c r="U272" s="365" t="n"/>
      <c r="V272" s="365" t="n"/>
      <c r="W272" s="365" t="n"/>
      <c r="X272" s="365" t="n"/>
    </row>
    <row r="273" hidden="1" ht="15.5" customHeight="1" s="297">
      <c r="B273" s="404" t="n"/>
      <c r="C273" s="405" t="n"/>
      <c r="D273" s="413" t="n"/>
      <c r="E273" s="413" t="n"/>
      <c r="F273" s="414" t="n"/>
      <c r="G273" s="405" t="n"/>
      <c r="H273" s="405" t="n"/>
      <c r="I273" s="376" t="n"/>
      <c r="J273" s="370" t="n"/>
      <c r="K273" s="371" t="n"/>
      <c r="L273" s="371" t="n"/>
      <c r="M273" s="376" t="n"/>
      <c r="N273" s="371" t="n"/>
      <c r="O273" s="371" t="n"/>
      <c r="P273" s="371" t="n"/>
      <c r="Q273" s="371" t="n"/>
      <c r="R273" s="372" t="n"/>
      <c r="S273" s="372" t="n"/>
      <c r="T273" s="372" t="n"/>
      <c r="U273" s="372" t="n"/>
      <c r="V273" s="372" t="n"/>
      <c r="W273" s="372" t="n"/>
      <c r="X273" s="372" t="n"/>
    </row>
    <row r="274" ht="15.5" customHeight="1" s="297">
      <c r="B274" s="333" t="n"/>
      <c r="C274" s="314" t="n"/>
      <c r="D274" s="315" t="inlineStr">
        <is>
          <t>Allowance</t>
        </is>
      </c>
      <c r="E274" s="377" t="n"/>
      <c r="F274" s="317" t="n"/>
      <c r="G274" s="314" t="n"/>
      <c r="H274" s="314" t="n"/>
      <c r="I274" s="320" t="n"/>
      <c r="J274" s="320" t="n"/>
      <c r="K274" s="321" t="n"/>
      <c r="L274" s="321" t="n"/>
      <c r="M274" s="320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idden="1" ht="15.5" customHeight="1" s="297">
      <c r="B275" s="415" t="n"/>
      <c r="C275" s="405" t="n"/>
      <c r="D275" s="406" t="n"/>
      <c r="E275" s="406" t="n"/>
      <c r="F275" s="414" t="n"/>
      <c r="G275" s="405" t="n"/>
      <c r="H275" s="405" t="n"/>
      <c r="I275" s="376" t="n"/>
      <c r="J275" s="370" t="n"/>
      <c r="K275" s="371" t="n"/>
      <c r="L275" s="371" t="n"/>
      <c r="M275" s="376" t="n"/>
      <c r="N275" s="371" t="n"/>
      <c r="O275" s="371" t="n"/>
      <c r="P275" s="371" t="n"/>
      <c r="Q275" s="371" t="n"/>
      <c r="R275" s="372" t="n"/>
      <c r="S275" s="372" t="n"/>
      <c r="T275" s="372" t="n"/>
      <c r="U275" s="372" t="n"/>
      <c r="V275" s="372" t="n"/>
      <c r="W275" s="372" t="n"/>
      <c r="X275" s="372" t="n"/>
    </row>
    <row r="276" hidden="1" ht="15.5" customHeight="1" s="297">
      <c r="B276" s="404" t="n"/>
      <c r="C276" s="405" t="n"/>
      <c r="D276" s="406" t="n"/>
      <c r="E276" s="406" t="n"/>
      <c r="F276" s="414" t="n"/>
      <c r="G276" s="405" t="n"/>
      <c r="H276" s="405" t="n"/>
      <c r="I276" s="376" t="n"/>
      <c r="J276" s="371" t="n"/>
      <c r="K276" s="371" t="n"/>
      <c r="L276" s="371" t="n"/>
      <c r="M276" s="371" t="n"/>
      <c r="N276" s="371" t="n"/>
      <c r="O276" s="371" t="n"/>
      <c r="P276" s="371" t="n"/>
      <c r="Q276" s="371" t="n"/>
      <c r="R276" s="372" t="n"/>
      <c r="S276" s="372" t="n"/>
      <c r="T276" s="372" t="n"/>
      <c r="U276" s="372" t="n"/>
      <c r="V276" s="372" t="n"/>
      <c r="W276" s="372" t="n"/>
      <c r="X276" s="372" t="n"/>
    </row>
    <row r="277" hidden="1" ht="15.5" customHeight="1" s="297">
      <c r="B277" s="404" t="n"/>
      <c r="C277" s="405" t="n"/>
      <c r="D277" s="406" t="n"/>
      <c r="E277" s="406" t="n"/>
      <c r="F277" s="414" t="n"/>
      <c r="G277" s="405" t="n"/>
      <c r="H277" s="405" t="n"/>
      <c r="I277" s="376" t="n"/>
      <c r="J277" s="370" t="n"/>
      <c r="K277" s="371" t="n"/>
      <c r="L277" s="371" t="n"/>
      <c r="M277" s="371" t="n"/>
      <c r="N277" s="371" t="n"/>
      <c r="O277" s="371" t="n"/>
      <c r="P277" s="371" t="n"/>
      <c r="Q277" s="371" t="n"/>
      <c r="R277" s="372" t="n"/>
      <c r="S277" s="372" t="n"/>
      <c r="T277" s="372" t="n"/>
      <c r="U277" s="372" t="n"/>
      <c r="V277" s="372" t="n"/>
      <c r="W277" s="372" t="n"/>
      <c r="X277" s="372" t="n"/>
    </row>
    <row r="278" hidden="1" ht="15.5" customHeight="1" s="297">
      <c r="B278" s="404" t="n"/>
      <c r="C278" s="405" t="n"/>
      <c r="D278" s="406" t="n"/>
      <c r="E278" s="406" t="n"/>
      <c r="F278" s="414" t="n"/>
      <c r="G278" s="405" t="n"/>
      <c r="H278" s="405" t="n"/>
      <c r="I278" s="376" t="n"/>
      <c r="J278" s="370" t="n"/>
      <c r="K278" s="371" t="n"/>
      <c r="L278" s="371" t="n"/>
      <c r="M278" s="371" t="n"/>
      <c r="N278" s="371" t="n"/>
      <c r="O278" s="371" t="n"/>
      <c r="P278" s="371" t="n"/>
      <c r="Q278" s="371" t="n"/>
      <c r="R278" s="372" t="n"/>
      <c r="S278" s="372" t="n"/>
      <c r="T278" s="372" t="n"/>
      <c r="U278" s="372" t="n"/>
      <c r="V278" s="372" t="n"/>
      <c r="W278" s="372" t="n"/>
      <c r="X278" s="372" t="n"/>
    </row>
    <row r="279" hidden="1" ht="15.5" customHeight="1" s="297">
      <c r="B279" s="404" t="n"/>
      <c r="C279" s="405" t="n"/>
      <c r="D279" s="406" t="n"/>
      <c r="E279" s="406" t="n"/>
      <c r="F279" s="414" t="n"/>
      <c r="G279" s="405" t="n"/>
      <c r="H279" s="405" t="n"/>
      <c r="I279" s="376" t="n"/>
      <c r="J279" s="370" t="n"/>
      <c r="K279" s="371" t="n"/>
      <c r="L279" s="371" t="n"/>
      <c r="M279" s="371" t="n"/>
      <c r="N279" s="371" t="n"/>
      <c r="O279" s="371" t="n"/>
      <c r="P279" s="371" t="n"/>
      <c r="Q279" s="371" t="n"/>
      <c r="R279" s="372" t="n"/>
      <c r="S279" s="372" t="n"/>
      <c r="T279" s="372" t="n"/>
      <c r="U279" s="372" t="n"/>
      <c r="V279" s="372" t="n"/>
      <c r="W279" s="372" t="n"/>
      <c r="X279" s="372" t="n"/>
    </row>
    <row r="280" ht="15.5" customHeight="1" s="297">
      <c r="B280" s="333" t="n"/>
      <c r="C280" s="314" t="n"/>
      <c r="D280" s="330" t="inlineStr">
        <is>
          <t>Biaya Operasi</t>
        </is>
      </c>
      <c r="E280" s="378" t="n"/>
      <c r="F280" s="317" t="n"/>
      <c r="G280" s="314" t="n"/>
      <c r="H280" s="314" t="n"/>
      <c r="I280" s="319" t="n"/>
      <c r="J280" s="320" t="n"/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A281" s="346" t="n"/>
      <c r="B281" s="381" t="n">
        <v>45437</v>
      </c>
      <c r="C281" s="382" t="n">
        <v>1</v>
      </c>
      <c r="D281" s="383" t="inlineStr">
        <is>
          <t>ALFA job - JRK-193 OJT - Dwiyanto S</t>
        </is>
      </c>
      <c r="E281" s="396" t="n"/>
      <c r="F281" s="412" t="n">
        <v>900000</v>
      </c>
      <c r="G281" s="382" t="inlineStr">
        <is>
          <t>IDR</t>
        </is>
      </c>
      <c r="H281" s="386" t="n">
        <v>1</v>
      </c>
      <c r="I281" s="397" t="n"/>
      <c r="J281" s="387" t="n">
        <v>900000</v>
      </c>
      <c r="K281" s="388" t="n"/>
      <c r="L281" s="388" t="n"/>
      <c r="M281" s="388" t="n"/>
      <c r="N281" s="388" t="n"/>
      <c r="O281" s="388" t="n"/>
      <c r="P281" s="388" t="n"/>
      <c r="Q281" s="388" t="n"/>
      <c r="R281" s="365" t="n"/>
      <c r="S281" s="365" t="n"/>
      <c r="T281" s="365" t="n"/>
      <c r="U281" s="365" t="n"/>
      <c r="V281" s="365" t="n"/>
      <c r="W281" s="365" t="n"/>
      <c r="X281" s="365" t="n"/>
    </row>
    <row r="282" hidden="1" ht="15.5" customHeight="1" s="297">
      <c r="A282" s="346" t="n"/>
      <c r="B282" s="333" t="n"/>
      <c r="C282" s="314" t="n"/>
      <c r="D282" s="378" t="n"/>
      <c r="E282" s="378" t="n"/>
      <c r="F282" s="323" t="n"/>
      <c r="G282" s="314" t="n"/>
      <c r="H282" s="345" t="n"/>
      <c r="I282" s="319" t="n"/>
      <c r="J282" s="329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idden="1" ht="15.5" customHeight="1" s="297">
      <c r="A283" s="346" t="n"/>
      <c r="B283" s="333" t="n"/>
      <c r="C283" s="314" t="n"/>
      <c r="D283" s="378" t="n"/>
      <c r="E283" s="378" t="n"/>
      <c r="F283" s="323" t="n"/>
      <c r="G283" s="314" t="n"/>
      <c r="H283" s="345" t="n"/>
      <c r="I283" s="319" t="n"/>
      <c r="J283" s="329" t="n"/>
      <c r="K283" s="321" t="n"/>
      <c r="L283" s="321" t="n"/>
      <c r="M283" s="321" t="n"/>
      <c r="N283" s="321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idden="1" ht="15.5" customHeight="1" s="297">
      <c r="A284" s="346" t="n"/>
      <c r="B284" s="333" t="n"/>
      <c r="C284" s="314" t="n"/>
      <c r="D284" s="378" t="n"/>
      <c r="E284" s="378" t="n"/>
      <c r="F284" s="323" t="n"/>
      <c r="G284" s="314" t="n"/>
      <c r="H284" s="345" t="n"/>
      <c r="I284" s="319" t="n"/>
      <c r="J284" s="329" t="n"/>
      <c r="K284" s="321" t="n"/>
      <c r="L284" s="321" t="n"/>
      <c r="M284" s="321" t="n"/>
      <c r="N284" s="321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idden="1" ht="15.5" customHeight="1" s="297">
      <c r="A285" s="346" t="n"/>
      <c r="B285" s="333" t="n"/>
      <c r="C285" s="314" t="n"/>
      <c r="D285" s="378" t="n"/>
      <c r="E285" s="378" t="n"/>
      <c r="F285" s="323" t="n"/>
      <c r="G285" s="314" t="n"/>
      <c r="H285" s="345" t="n"/>
      <c r="I285" s="319" t="n"/>
      <c r="J285" s="329" t="n"/>
      <c r="K285" s="321" t="n"/>
      <c r="L285" s="321" t="n"/>
      <c r="M285" s="321" t="n"/>
      <c r="N285" s="321" t="n"/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idden="1" ht="15.5" customHeight="1" s="297">
      <c r="B286" s="404" t="n"/>
      <c r="C286" s="405" t="n"/>
      <c r="D286" s="406" t="n"/>
      <c r="E286" s="406" t="n"/>
      <c r="F286" s="414" t="n"/>
      <c r="G286" s="405" t="n"/>
      <c r="H286" s="405" t="n"/>
      <c r="I286" s="416" t="n"/>
      <c r="J286" s="370" t="n"/>
      <c r="K286" s="371" t="n"/>
      <c r="L286" s="371" t="n"/>
      <c r="M286" s="371" t="n"/>
      <c r="N286" s="371" t="n"/>
      <c r="O286" s="371" t="n"/>
      <c r="P286" s="371" t="n"/>
      <c r="Q286" s="371" t="n"/>
      <c r="R286" s="372" t="n"/>
      <c r="S286" s="372" t="n"/>
      <c r="T286" s="372" t="n"/>
      <c r="U286" s="372" t="n"/>
      <c r="V286" s="372" t="n"/>
      <c r="W286" s="372" t="n"/>
      <c r="X286" s="372" t="n"/>
    </row>
    <row r="287" ht="15.5" customHeight="1" s="297">
      <c r="B287" s="333" t="n"/>
      <c r="C287" s="314" t="n"/>
      <c r="D287" s="330" t="inlineStr">
        <is>
          <t>Hand Tools</t>
        </is>
      </c>
      <c r="E287" s="378" t="n"/>
      <c r="F287" s="317" t="n"/>
      <c r="G287" s="314" t="n"/>
      <c r="H287" s="314" t="n"/>
      <c r="I287" s="410" t="n"/>
      <c r="J287" s="320" t="n"/>
      <c r="K287" s="321" t="n"/>
      <c r="L287" s="321" t="n"/>
      <c r="M287" s="321" t="n"/>
      <c r="N287" s="321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idden="1" ht="15.5" customHeight="1" s="297">
      <c r="B288" s="404" t="n"/>
      <c r="C288" s="405" t="n"/>
      <c r="D288" s="406" t="n"/>
      <c r="E288" s="406" t="n"/>
      <c r="F288" s="414" t="n"/>
      <c r="G288" s="405" t="n"/>
      <c r="H288" s="405" t="n"/>
      <c r="I288" s="370" t="n"/>
      <c r="J288" s="370" t="n"/>
      <c r="K288" s="371" t="n"/>
      <c r="L288" s="371" t="n"/>
      <c r="M288" s="371" t="n"/>
      <c r="N288" s="371" t="n"/>
      <c r="O288" s="371" t="n"/>
      <c r="P288" s="371" t="n"/>
      <c r="Q288" s="371" t="n"/>
      <c r="R288" s="372" t="n"/>
      <c r="S288" s="372" t="n"/>
      <c r="T288" s="372" t="n"/>
      <c r="U288" s="372" t="n"/>
      <c r="V288" s="372" t="n"/>
      <c r="W288" s="372" t="n"/>
      <c r="X288" s="372" t="n"/>
    </row>
    <row r="289" hidden="1" ht="15.5" customHeight="1" s="297">
      <c r="B289" s="389" t="n"/>
      <c r="C289" s="390" t="n"/>
      <c r="D289" s="391" t="n"/>
      <c r="E289" s="391" t="n"/>
      <c r="F289" s="417" t="n"/>
      <c r="G289" s="393" t="n"/>
      <c r="H289" s="393" t="n"/>
      <c r="I289" s="389" t="n"/>
      <c r="J289" s="389" t="n"/>
      <c r="K289" s="389" t="n"/>
      <c r="L289" s="389" t="n"/>
      <c r="M289" s="389" t="n"/>
      <c r="N289" s="389" t="n"/>
      <c r="O289" s="389" t="n"/>
      <c r="P289" s="389" t="n"/>
      <c r="Q289" s="389" t="n"/>
      <c r="R289" s="372" t="n"/>
      <c r="S289" s="372" t="n"/>
      <c r="T289" s="372" t="n"/>
      <c r="U289" s="372" t="n"/>
      <c r="V289" s="372" t="n"/>
      <c r="W289" s="372" t="n"/>
      <c r="X289" s="372" t="n"/>
    </row>
    <row r="290" ht="15.5" customHeight="1" s="297">
      <c r="B290" s="333" t="n"/>
      <c r="C290" s="314" t="n"/>
      <c r="D290" s="315" t="inlineStr">
        <is>
          <t>Transportation</t>
        </is>
      </c>
      <c r="E290" s="377" t="n"/>
      <c r="F290" s="317" t="n"/>
      <c r="G290" s="314" t="n"/>
      <c r="H290" s="314" t="n"/>
      <c r="I290" s="321" t="n"/>
      <c r="J290" s="321" t="n"/>
      <c r="K290" s="321" t="n"/>
      <c r="L290" s="321" t="n"/>
      <c r="M290" s="321" t="n"/>
      <c r="N290" s="321" t="n"/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>
        <v>45437</v>
      </c>
      <c r="C291" s="314" t="n">
        <v>7</v>
      </c>
      <c r="D291" s="326" t="inlineStr">
        <is>
          <t>Taxi + Tol to Airport Jakarta</t>
        </is>
      </c>
      <c r="E291" s="326" t="n"/>
      <c r="F291" s="323" t="n">
        <v>232520</v>
      </c>
      <c r="G291" s="314" t="inlineStr">
        <is>
          <t>IDR</t>
        </is>
      </c>
      <c r="H291" s="345" t="n">
        <v>1</v>
      </c>
      <c r="I291" s="319" t="n"/>
      <c r="J291" s="329" t="n">
        <v>232520</v>
      </c>
      <c r="K291" s="321" t="n"/>
      <c r="L291" s="321" t="n"/>
      <c r="M291" s="321" t="n"/>
      <c r="N291" s="321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8</v>
      </c>
      <c r="D292" s="326" t="inlineStr">
        <is>
          <t>fuel + tol PLM-Prabu</t>
        </is>
      </c>
      <c r="E292" s="326" t="n"/>
      <c r="F292" s="323" t="n">
        <v>312000</v>
      </c>
      <c r="G292" s="314" t="inlineStr">
        <is>
          <t>IDR</t>
        </is>
      </c>
      <c r="H292" s="345" t="n">
        <v>1</v>
      </c>
      <c r="I292" s="319" t="n"/>
      <c r="J292" s="329" t="n">
        <v>312000</v>
      </c>
      <c r="K292" s="321" t="n"/>
      <c r="L292" s="321" t="n"/>
      <c r="M292" s="321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Logistic</t>
        </is>
      </c>
      <c r="E293" s="378" t="n"/>
      <c r="F293" s="317" t="n"/>
      <c r="G293" s="314" t="n"/>
      <c r="H293" s="314" t="n"/>
      <c r="I293" s="320" t="n"/>
      <c r="J293" s="320" t="n"/>
      <c r="K293" s="321" t="n"/>
      <c r="L293" s="321" t="n"/>
      <c r="M293" s="321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idden="1" ht="15.5" customHeight="1" s="297">
      <c r="B294" s="404" t="n"/>
      <c r="C294" s="405" t="n"/>
      <c r="D294" s="406" t="n"/>
      <c r="E294" s="406" t="n"/>
      <c r="F294" s="414" t="n"/>
      <c r="G294" s="405" t="n"/>
      <c r="H294" s="405" t="n"/>
      <c r="I294" s="370" t="n"/>
      <c r="J294" s="370" t="n"/>
      <c r="K294" s="371" t="n"/>
      <c r="L294" s="371" t="n"/>
      <c r="M294" s="371" t="n"/>
      <c r="N294" s="371" t="n"/>
      <c r="O294" s="371" t="n"/>
      <c r="P294" s="371" t="n"/>
      <c r="Q294" s="371" t="n"/>
      <c r="R294" s="372" t="n"/>
      <c r="S294" s="372" t="n"/>
      <c r="T294" s="372" t="n"/>
      <c r="U294" s="372" t="n"/>
      <c r="V294" s="372" t="n"/>
      <c r="W294" s="372" t="n"/>
      <c r="X294" s="372" t="n"/>
    </row>
    <row r="295" ht="15.5" customHeight="1" s="297">
      <c r="B295" s="333" t="n"/>
      <c r="C295" s="314" t="n"/>
      <c r="D295" s="330" t="inlineStr">
        <is>
          <t>Allowance</t>
        </is>
      </c>
      <c r="E295" s="378" t="n"/>
      <c r="F295" s="317" t="n"/>
      <c r="G295" s="314" t="n"/>
      <c r="H295" s="314" t="n"/>
      <c r="I295" s="320" t="n"/>
      <c r="J295" s="320" t="n"/>
      <c r="K295" s="321" t="n"/>
      <c r="L295" s="321" t="n"/>
      <c r="M295" s="321" t="n"/>
      <c r="N295" s="321" t="n"/>
      <c r="O295" s="321" t="n"/>
      <c r="P295" s="321" t="n"/>
      <c r="Q295" s="321" t="n"/>
      <c r="R295" s="322" t="n"/>
      <c r="S295" s="322" t="n"/>
      <c r="T295" s="322" t="n"/>
      <c r="U295" s="322" t="n"/>
      <c r="V295" s="322" t="n"/>
      <c r="W295" s="322" t="n"/>
      <c r="X295" s="322" t="n"/>
    </row>
    <row r="296" ht="15.5" customHeight="1" s="297">
      <c r="B296" s="333" t="n">
        <v>45437</v>
      </c>
      <c r="C296" s="314" t="n">
        <v>1</v>
      </c>
      <c r="D296" s="326" t="inlineStr">
        <is>
          <t>Uang Makan (25 - 30 May 2024)</t>
        </is>
      </c>
      <c r="E296" s="326" t="n"/>
      <c r="F296" s="323" t="n">
        <v>900000</v>
      </c>
      <c r="G296" s="314" t="inlineStr">
        <is>
          <t>IDR</t>
        </is>
      </c>
      <c r="H296" s="345" t="n">
        <v>1</v>
      </c>
      <c r="I296" s="320" t="n"/>
      <c r="J296" s="329" t="n">
        <v>900000</v>
      </c>
      <c r="K296" s="321" t="n"/>
      <c r="L296" s="321" t="n"/>
      <c r="M296" s="321" t="n"/>
      <c r="N296" s="321" t="n"/>
      <c r="O296" s="321" t="n"/>
      <c r="P296" s="321" t="n"/>
      <c r="Q296" s="321" t="n"/>
      <c r="R296" s="322" t="n"/>
      <c r="S296" s="322" t="n"/>
      <c r="T296" s="322" t="n"/>
      <c r="U296" s="322" t="n"/>
      <c r="V296" s="322" t="n"/>
      <c r="W296" s="322" t="n"/>
      <c r="X296" s="322" t="n"/>
    </row>
    <row r="297" ht="15.5" customHeight="1" s="297">
      <c r="A297" s="346" t="n"/>
      <c r="B297" s="381" t="n">
        <v>45437</v>
      </c>
      <c r="C297" s="382" t="n">
        <v>2</v>
      </c>
      <c r="D297" s="383" t="inlineStr">
        <is>
          <t>ALFA JRK-193 - project SI_ TMA</t>
        </is>
      </c>
      <c r="E297" s="384" t="n"/>
      <c r="F297" s="412" t="n">
        <v>150</v>
      </c>
      <c r="G297" s="382" t="inlineStr">
        <is>
          <t>IDR</t>
        </is>
      </c>
      <c r="H297" s="386" t="n">
        <v>16200</v>
      </c>
      <c r="I297" s="364" t="n"/>
      <c r="J297" s="387" t="n">
        <v>150</v>
      </c>
      <c r="K297" s="388" t="n"/>
      <c r="L297" s="388" t="n"/>
      <c r="M297" s="388" t="n"/>
      <c r="N297" s="388" t="n"/>
      <c r="O297" s="388" t="n"/>
      <c r="P297" s="388" t="n"/>
      <c r="Q297" s="388" t="n"/>
      <c r="R297" s="365" t="n"/>
      <c r="S297" s="365" t="n"/>
      <c r="T297" s="365" t="n"/>
      <c r="U297" s="365" t="n"/>
      <c r="V297" s="365" t="n"/>
      <c r="W297" s="365" t="n"/>
      <c r="X297" s="365" t="n"/>
    </row>
    <row r="298" hidden="1" ht="15.5" customHeight="1" s="297">
      <c r="A298" s="346" t="n"/>
      <c r="B298" s="333" t="n"/>
      <c r="C298" s="314" t="n"/>
      <c r="D298" s="326" t="n"/>
      <c r="E298" s="326" t="n"/>
      <c r="F298" s="323" t="n"/>
      <c r="G298" s="314" t="n"/>
      <c r="H298" s="345" t="n"/>
      <c r="I298" s="320" t="n"/>
      <c r="J298" s="320" t="n"/>
      <c r="K298" s="321" t="n"/>
      <c r="L298" s="321" t="n"/>
      <c r="M298" s="321" t="n"/>
      <c r="N298" s="329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idden="1" ht="15.5" customHeight="1" s="297">
      <c r="A299" s="346" t="n"/>
      <c r="B299" s="333" t="n"/>
      <c r="C299" s="314" t="n"/>
      <c r="D299" s="326" t="n"/>
      <c r="E299" s="326" t="n"/>
      <c r="F299" s="323" t="n"/>
      <c r="G299" s="314" t="n"/>
      <c r="H299" s="345" t="n"/>
      <c r="I299" s="320" t="n"/>
      <c r="J299" s="329" t="n"/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idden="1" ht="15.5" customHeight="1" s="297">
      <c r="A300" s="346" t="n"/>
      <c r="B300" s="333" t="n"/>
      <c r="C300" s="314" t="n"/>
      <c r="D300" s="326" t="n"/>
      <c r="E300" s="326" t="n"/>
      <c r="F300" s="323" t="n"/>
      <c r="G300" s="314" t="n"/>
      <c r="H300" s="345" t="n"/>
      <c r="I300" s="320" t="n"/>
      <c r="J300" s="320" t="n"/>
      <c r="K300" s="321" t="n"/>
      <c r="L300" s="321" t="n"/>
      <c r="M300" s="321" t="n"/>
      <c r="N300" s="329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idden="1" ht="15.5" customHeight="1" s="297">
      <c r="A301" s="346" t="n"/>
      <c r="B301" s="333" t="n"/>
      <c r="C301" s="314" t="n"/>
      <c r="D301" s="326" t="n"/>
      <c r="E301" s="326" t="n"/>
      <c r="F301" s="323" t="n"/>
      <c r="G301" s="314" t="n"/>
      <c r="H301" s="345" t="n"/>
      <c r="I301" s="320" t="n"/>
      <c r="J301" s="320" t="n"/>
      <c r="K301" s="321" t="n"/>
      <c r="L301" s="321" t="n"/>
      <c r="M301" s="321" t="n"/>
      <c r="N301" s="329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/>
      <c r="C302" s="314" t="n"/>
      <c r="D302" s="330" t="inlineStr">
        <is>
          <t>Allowance</t>
        </is>
      </c>
      <c r="E302" s="378" t="n"/>
      <c r="F302" s="317" t="n"/>
      <c r="G302" s="314" t="n"/>
      <c r="H302" s="314" t="n"/>
      <c r="I302" s="320" t="n"/>
      <c r="J302" s="320" t="n"/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3</v>
      </c>
      <c r="D303" s="326" t="inlineStr">
        <is>
          <t>Tunjangan Lapangan for 6 days</t>
        </is>
      </c>
      <c r="E303" s="326" t="n"/>
      <c r="F303" s="323" t="n">
        <v>9717600</v>
      </c>
      <c r="G303" s="314" t="inlineStr">
        <is>
          <t>USD</t>
        </is>
      </c>
      <c r="H303" s="345" t="n">
        <v>16196</v>
      </c>
      <c r="I303" s="320" t="n"/>
      <c r="J303" s="329" t="n">
        <v>9717600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idden="1" ht="15.5" customHeight="1" s="297">
      <c r="B304" s="404" t="n"/>
      <c r="C304" s="405" t="n"/>
      <c r="D304" s="406" t="n"/>
      <c r="E304" s="406" t="n"/>
      <c r="F304" s="414" t="n"/>
      <c r="G304" s="405" t="n"/>
      <c r="H304" s="405" t="n"/>
      <c r="I304" s="370" t="n"/>
      <c r="J304" s="370" t="n"/>
      <c r="K304" s="371" t="n"/>
      <c r="L304" s="371" t="n"/>
      <c r="M304" s="371" t="n"/>
      <c r="N304" s="371" t="n"/>
      <c r="O304" s="371" t="n"/>
      <c r="P304" s="371" t="n"/>
      <c r="Q304" s="371" t="n"/>
      <c r="R304" s="372" t="n"/>
      <c r="S304" s="372" t="n"/>
      <c r="T304" s="372" t="n"/>
      <c r="U304" s="372" t="n"/>
      <c r="V304" s="372" t="n"/>
      <c r="W304" s="372" t="n"/>
      <c r="X304" s="372" t="n"/>
    </row>
    <row r="305" hidden="1" ht="15.5" customHeight="1" s="297">
      <c r="B305" s="389" t="n"/>
      <c r="C305" s="390" t="n"/>
      <c r="D305" s="391" t="n"/>
      <c r="E305" s="391" t="n"/>
      <c r="F305" s="417" t="n"/>
      <c r="G305" s="393" t="n"/>
      <c r="H305" s="393" t="n"/>
      <c r="I305" s="389" t="n"/>
      <c r="J305" s="389" t="n"/>
      <c r="K305" s="389" t="n"/>
      <c r="L305" s="389" t="n"/>
      <c r="M305" s="389" t="n"/>
      <c r="N305" s="389" t="n"/>
      <c r="O305" s="389" t="n"/>
      <c r="P305" s="389" t="n"/>
      <c r="Q305" s="389" t="n"/>
      <c r="R305" s="372" t="n"/>
      <c r="S305" s="372" t="n"/>
      <c r="T305" s="372" t="n"/>
      <c r="U305" s="372" t="n"/>
      <c r="V305" s="372" t="n"/>
      <c r="W305" s="372" t="n"/>
      <c r="X305" s="372" t="n"/>
    </row>
    <row r="306" ht="15.5" customHeight="1" s="297">
      <c r="B306" s="333" t="n"/>
      <c r="C306" s="314" t="n"/>
      <c r="D306" s="330" t="inlineStr">
        <is>
          <t>Accommodation</t>
        </is>
      </c>
      <c r="E306" s="378" t="n"/>
      <c r="F306" s="317" t="n"/>
      <c r="G306" s="316" t="n"/>
      <c r="H306" s="316" t="n"/>
      <c r="I306" s="321" t="n"/>
      <c r="J306" s="321" t="n"/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1</v>
      </c>
      <c r="D307" s="326" t="inlineStr">
        <is>
          <t>Hotel 24 May - 30 May (6 days)</t>
        </is>
      </c>
      <c r="E307" s="326" t="n"/>
      <c r="F307" s="323" t="n">
        <v>1650000</v>
      </c>
      <c r="G307" s="316" t="inlineStr">
        <is>
          <t>IDR</t>
        </is>
      </c>
      <c r="H307" s="345" t="n">
        <v>1</v>
      </c>
      <c r="I307" s="319" t="n"/>
      <c r="J307" s="329" t="n">
        <v>1650000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2</v>
      </c>
      <c r="D308" s="326" t="inlineStr">
        <is>
          <t>Laundry 6 days 1 Persons @ 50K IDR/day</t>
        </is>
      </c>
      <c r="E308" s="326" t="n"/>
      <c r="F308" s="323" t="n">
        <v>300000</v>
      </c>
      <c r="G308" s="316" t="inlineStr">
        <is>
          <t>IDR</t>
        </is>
      </c>
      <c r="H308" s="345" t="n">
        <v>1</v>
      </c>
      <c r="I308" s="319" t="n"/>
      <c r="J308" s="329" t="n">
        <v>300000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14" t="n"/>
      <c r="D309" s="330" t="inlineStr">
        <is>
          <t>Transportation</t>
        </is>
      </c>
      <c r="E309" s="378" t="n"/>
      <c r="F309" s="317" t="n"/>
      <c r="G309" s="316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idden="1" ht="15.5" customHeight="1" s="297">
      <c r="B310" s="374" t="n"/>
      <c r="C310" s="367" t="n"/>
      <c r="D310" s="418" t="n"/>
      <c r="E310" s="418" t="n"/>
      <c r="F310" s="408" t="n"/>
      <c r="G310" s="418" t="n"/>
      <c r="H310" s="367" t="n"/>
      <c r="I310" s="370" t="n"/>
      <c r="J310" s="370" t="n"/>
      <c r="K310" s="371" t="n"/>
      <c r="L310" s="371" t="n"/>
      <c r="M310" s="371" t="n"/>
      <c r="N310" s="376" t="n"/>
      <c r="O310" s="371" t="n"/>
      <c r="P310" s="371" t="n"/>
      <c r="Q310" s="371" t="n"/>
      <c r="R310" s="372" t="n"/>
      <c r="S310" s="372" t="n"/>
      <c r="T310" s="372" t="n"/>
      <c r="U310" s="372" t="n"/>
      <c r="V310" s="372" t="n"/>
      <c r="W310" s="372" t="n"/>
      <c r="X310" s="372" t="n"/>
    </row>
    <row r="311" hidden="1" ht="15.5" customHeight="1" s="297">
      <c r="B311" s="374" t="n"/>
      <c r="C311" s="367" t="n"/>
      <c r="D311" s="418" t="n"/>
      <c r="E311" s="418" t="n"/>
      <c r="F311" s="408" t="n"/>
      <c r="G311" s="418" t="n"/>
      <c r="H311" s="367" t="n"/>
      <c r="I311" s="376" t="n"/>
      <c r="J311" s="370" t="n"/>
      <c r="K311" s="371" t="n"/>
      <c r="L311" s="371" t="n"/>
      <c r="M311" s="371" t="n"/>
      <c r="N311" s="371" t="n"/>
      <c r="O311" s="371" t="n"/>
      <c r="P311" s="371" t="n"/>
      <c r="Q311" s="371" t="n"/>
      <c r="R311" s="372" t="n"/>
      <c r="S311" s="372" t="n"/>
      <c r="T311" s="372" t="n"/>
      <c r="U311" s="372" t="n"/>
      <c r="V311" s="372" t="n"/>
      <c r="W311" s="372" t="n"/>
      <c r="X311" s="372" t="n"/>
    </row>
    <row r="312" hidden="1" ht="15.5" customHeight="1" s="297">
      <c r="B312" s="374" t="n"/>
      <c r="C312" s="367" t="n"/>
      <c r="D312" s="379" t="n"/>
      <c r="E312" s="379" t="n"/>
      <c r="F312" s="408" t="n"/>
      <c r="G312" s="418" t="n"/>
      <c r="H312" s="367" t="n"/>
      <c r="I312" s="370" t="n"/>
      <c r="J312" s="370" t="n"/>
      <c r="K312" s="371" t="n"/>
      <c r="L312" s="371" t="n"/>
      <c r="M312" s="371" t="n"/>
      <c r="N312" s="371" t="n"/>
      <c r="O312" s="371" t="n"/>
      <c r="P312" s="371" t="n"/>
      <c r="Q312" s="371" t="n"/>
      <c r="R312" s="372" t="n"/>
      <c r="S312" s="372" t="n"/>
      <c r="T312" s="372" t="n"/>
      <c r="U312" s="372" t="n"/>
      <c r="V312" s="372" t="n"/>
      <c r="W312" s="372" t="n"/>
      <c r="X312" s="372" t="n"/>
    </row>
    <row r="313" hidden="1" ht="15.5" customHeight="1" s="297">
      <c r="B313" s="374" t="n"/>
      <c r="C313" s="367" t="n"/>
      <c r="D313" s="375" t="n"/>
      <c r="E313" s="375" t="n"/>
      <c r="F313" s="380" t="n"/>
      <c r="G313" s="418" t="n"/>
      <c r="H313" s="367" t="n"/>
      <c r="I313" s="376" t="n"/>
      <c r="J313" s="370" t="n"/>
      <c r="K313" s="371" t="n"/>
      <c r="L313" s="371" t="n"/>
      <c r="M313" s="371" t="n"/>
      <c r="N313" s="371" t="n"/>
      <c r="O313" s="371" t="n"/>
      <c r="P313" s="371" t="n"/>
      <c r="Q313" s="371" t="n"/>
      <c r="R313" s="372" t="n"/>
      <c r="S313" s="372" t="n"/>
      <c r="T313" s="372" t="n"/>
      <c r="U313" s="372" t="n"/>
      <c r="V313" s="372" t="n"/>
      <c r="W313" s="372" t="n"/>
      <c r="X313" s="372" t="n"/>
    </row>
    <row r="314" ht="15.5" customHeight="1" s="297">
      <c r="B314" s="333" t="n"/>
      <c r="C314" s="314" t="n"/>
      <c r="D314" s="330" t="inlineStr">
        <is>
          <t>Meal</t>
        </is>
      </c>
      <c r="E314" s="378" t="n"/>
      <c r="F314" s="317" t="n"/>
      <c r="G314" s="316" t="n"/>
      <c r="H314" s="314" t="n"/>
      <c r="I314" s="320" t="n"/>
      <c r="J314" s="320" t="n"/>
      <c r="K314" s="321" t="n"/>
      <c r="L314" s="321" t="n"/>
      <c r="M314" s="321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A315" s="346" t="n"/>
      <c r="B315" s="381" t="n">
        <v>45437</v>
      </c>
      <c r="C315" s="382" t="n">
        <v>4</v>
      </c>
      <c r="D315" s="383" t="inlineStr">
        <is>
          <t>Non Trip - BOSIET Training - DS</t>
        </is>
      </c>
      <c r="E315" s="396" t="n"/>
      <c r="F315" s="412" t="n">
        <v>709300</v>
      </c>
      <c r="G315" s="361" t="inlineStr">
        <is>
          <t>IDR</t>
        </is>
      </c>
      <c r="H315" s="386" t="n">
        <v>1</v>
      </c>
      <c r="I315" s="364" t="n"/>
      <c r="J315" s="387" t="n">
        <v>709300</v>
      </c>
      <c r="K315" s="388" t="n"/>
      <c r="L315" s="388" t="n"/>
      <c r="M315" s="388" t="n"/>
      <c r="N315" s="388" t="n"/>
      <c r="O315" s="388" t="n"/>
      <c r="P315" s="388" t="n"/>
      <c r="Q315" s="388" t="n"/>
      <c r="R315" s="365" t="n"/>
      <c r="S315" s="365" t="n"/>
      <c r="T315" s="365" t="n"/>
      <c r="U315" s="365" t="n"/>
      <c r="V315" s="365" t="n"/>
      <c r="W315" s="365" t="n"/>
      <c r="X315" s="365" t="n"/>
    </row>
    <row r="316" hidden="1" ht="15.5" customHeight="1" s="297">
      <c r="A316" s="346" t="n"/>
      <c r="B316" s="333" t="n"/>
      <c r="C316" s="314" t="n"/>
      <c r="D316" s="378" t="n"/>
      <c r="E316" s="378" t="n"/>
      <c r="F316" s="323" t="n"/>
      <c r="G316" s="316" t="n"/>
      <c r="H316" s="345" t="n"/>
      <c r="I316" s="320" t="n"/>
      <c r="J316" s="329" t="n"/>
      <c r="K316" s="321" t="n"/>
      <c r="L316" s="321" t="n"/>
      <c r="M316" s="321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idden="1" ht="15.5" customHeight="1" s="297">
      <c r="A317" s="346" t="n"/>
      <c r="B317" s="333" t="n"/>
      <c r="C317" s="314" t="n"/>
      <c r="D317" s="378" t="n"/>
      <c r="E317" s="378" t="n"/>
      <c r="F317" s="323" t="n"/>
      <c r="G317" s="316" t="n"/>
      <c r="H317" s="345" t="n"/>
      <c r="I317" s="320" t="n"/>
      <c r="J317" s="329" t="n"/>
      <c r="K317" s="321" t="n"/>
      <c r="L317" s="321" t="n"/>
      <c r="M317" s="321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idden="1" ht="15.5" customHeight="1" s="297">
      <c r="A318" s="346" t="n"/>
      <c r="B318" s="333" t="n"/>
      <c r="C318" s="314" t="n"/>
      <c r="D318" s="378" t="n"/>
      <c r="E318" s="378" t="n"/>
      <c r="F318" s="323" t="n"/>
      <c r="G318" s="316" t="n"/>
      <c r="H318" s="345" t="n"/>
      <c r="I318" s="320" t="n"/>
      <c r="J318" s="329" t="n"/>
      <c r="K318" s="321" t="n"/>
      <c r="L318" s="321" t="n"/>
      <c r="M318" s="321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idden="1" ht="15.5" customHeight="1" s="297">
      <c r="A319" s="346" t="n"/>
      <c r="B319" s="333" t="n"/>
      <c r="C319" s="314" t="n"/>
      <c r="D319" s="378" t="n"/>
      <c r="E319" s="378" t="n"/>
      <c r="F319" s="323" t="n"/>
      <c r="G319" s="316" t="n"/>
      <c r="H319" s="345" t="n"/>
      <c r="I319" s="320" t="n"/>
      <c r="J319" s="329" t="n"/>
      <c r="K319" s="321" t="n"/>
      <c r="L319" s="321" t="n"/>
      <c r="M319" s="321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idden="1" ht="15.5" customHeight="1" s="297">
      <c r="A320" s="346" t="n"/>
      <c r="B320" s="333" t="n"/>
      <c r="C320" s="314" t="n"/>
      <c r="D320" s="378" t="n"/>
      <c r="E320" s="378" t="n"/>
      <c r="F320" s="323" t="n"/>
      <c r="G320" s="316" t="n"/>
      <c r="H320" s="345" t="n"/>
      <c r="I320" s="320" t="n"/>
      <c r="J320" s="329" t="n"/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idden="1" ht="15.5" customHeight="1" s="297">
      <c r="A321" s="346" t="n"/>
      <c r="B321" s="333" t="n"/>
      <c r="C321" s="314" t="n"/>
      <c r="D321" s="378" t="n"/>
      <c r="E321" s="378" t="n"/>
      <c r="F321" s="323" t="n"/>
      <c r="G321" s="316" t="n"/>
      <c r="H321" s="345" t="n"/>
      <c r="I321" s="320" t="n"/>
      <c r="J321" s="329" t="n"/>
      <c r="K321" s="321" t="n"/>
      <c r="L321" s="321" t="n"/>
      <c r="M321" s="321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A322" s="346" t="n"/>
      <c r="B322" s="381" t="n">
        <v>45450</v>
      </c>
      <c r="C322" s="382" t="n">
        <v>1</v>
      </c>
      <c r="D322" s="383" t="inlineStr">
        <is>
          <t>ALFA JRK-163 (Pending job) - TMA</t>
        </is>
      </c>
      <c r="E322" s="396" t="n"/>
      <c r="F322" s="412" t="n">
        <v>9693878</v>
      </c>
      <c r="G322" s="361" t="inlineStr">
        <is>
          <t>IDR</t>
        </is>
      </c>
      <c r="H322" s="386" t="n">
        <v>1</v>
      </c>
      <c r="I322" s="364" t="n"/>
      <c r="J322" s="387" t="n">
        <v>9693878</v>
      </c>
      <c r="K322" s="388" t="n"/>
      <c r="L322" s="388" t="n"/>
      <c r="M322" s="388" t="n"/>
      <c r="N322" s="388" t="n"/>
      <c r="O322" s="388" t="n"/>
      <c r="P322" s="388" t="n"/>
      <c r="Q322" s="388" t="n"/>
      <c r="R322" s="365" t="n"/>
      <c r="S322" s="365" t="n"/>
      <c r="T322" s="365" t="n"/>
      <c r="U322" s="365" t="n"/>
      <c r="V322" s="365" t="n"/>
      <c r="W322" s="365" t="n"/>
      <c r="X322" s="365" t="n"/>
    </row>
    <row r="323" hidden="1" ht="15.5" customHeight="1" s="297">
      <c r="A323" s="346" t="n"/>
      <c r="B323" s="333" t="n"/>
      <c r="C323" s="314" t="n"/>
      <c r="D323" s="378" t="n"/>
      <c r="E323" s="378" t="n"/>
      <c r="F323" s="323" t="n"/>
      <c r="G323" s="316" t="n"/>
      <c r="H323" s="345" t="n"/>
      <c r="I323" s="320" t="n"/>
      <c r="J323" s="329" t="n"/>
      <c r="K323" s="321" t="n"/>
      <c r="L323" s="321" t="n"/>
      <c r="M323" s="321" t="n"/>
      <c r="N323" s="321" t="n"/>
      <c r="O323" s="321" t="n"/>
      <c r="P323" s="321" t="n"/>
      <c r="Q323" s="321" t="n"/>
      <c r="R323" s="322" t="n"/>
      <c r="S323" s="322" t="n"/>
      <c r="T323" s="322" t="n"/>
      <c r="U323" s="322" t="n"/>
      <c r="V323" s="322" t="n"/>
      <c r="W323" s="322" t="n"/>
      <c r="X323" s="322" t="n"/>
    </row>
    <row r="324" hidden="1" ht="15.5" customHeight="1" s="297">
      <c r="A324" s="346" t="n"/>
      <c r="B324" s="333" t="n"/>
      <c r="C324" s="314" t="n"/>
      <c r="D324" s="378" t="n"/>
      <c r="E324" s="378" t="n"/>
      <c r="F324" s="323" t="n"/>
      <c r="G324" s="316" t="n"/>
      <c r="H324" s="345" t="n"/>
      <c r="I324" s="320" t="n"/>
      <c r="J324" s="329" t="n"/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idden="1" ht="15.5" customHeight="1" s="297">
      <c r="A325" s="346" t="n"/>
      <c r="B325" s="333" t="n"/>
      <c r="C325" s="314" t="n"/>
      <c r="D325" s="378" t="n"/>
      <c r="E325" s="378" t="n"/>
      <c r="F325" s="323" t="n"/>
      <c r="G325" s="316" t="n"/>
      <c r="H325" s="345" t="n"/>
      <c r="I325" s="320" t="n"/>
      <c r="J325" s="329" t="n"/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idden="1" ht="15.5" customHeight="1" s="297">
      <c r="A326" s="346" t="n"/>
      <c r="B326" s="333" t="n"/>
      <c r="C326" s="314" t="n"/>
      <c r="D326" s="378" t="n"/>
      <c r="E326" s="378" t="n"/>
      <c r="F326" s="323" t="n"/>
      <c r="G326" s="316" t="n"/>
      <c r="H326" s="345" t="n"/>
      <c r="I326" s="320" t="n"/>
      <c r="J326" s="329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idden="1" ht="15.5" customHeight="1" s="297">
      <c r="A327" s="346" t="n"/>
      <c r="B327" s="333" t="n"/>
      <c r="C327" s="314" t="n"/>
      <c r="D327" s="378" t="n"/>
      <c r="E327" s="378" t="n"/>
      <c r="F327" s="323" t="n"/>
      <c r="G327" s="316" t="n"/>
      <c r="H327" s="345" t="n"/>
      <c r="I327" s="320" t="n"/>
      <c r="J327" s="329" t="n"/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idden="1" ht="15.5" customHeight="1" s="297">
      <c r="B328" s="374" t="n"/>
      <c r="C328" s="367" t="n"/>
      <c r="D328" s="375" t="n"/>
      <c r="E328" s="375" t="n"/>
      <c r="F328" s="408" t="n"/>
      <c r="G328" s="418" t="n"/>
      <c r="H328" s="367" t="n"/>
      <c r="I328" s="376" t="n"/>
      <c r="J328" s="371" t="n"/>
      <c r="K328" s="371" t="n"/>
      <c r="L328" s="371" t="n"/>
      <c r="M328" s="371" t="n"/>
      <c r="N328" s="371" t="n"/>
      <c r="O328" s="371" t="n"/>
      <c r="P328" s="371" t="n"/>
      <c r="Q328" s="371" t="n"/>
      <c r="R328" s="372" t="n"/>
      <c r="S328" s="372" t="n"/>
      <c r="T328" s="372" t="n"/>
      <c r="U328" s="372" t="n"/>
      <c r="V328" s="372" t="n"/>
      <c r="W328" s="372" t="n"/>
      <c r="X328" s="372" t="n"/>
    </row>
    <row r="329" ht="15.5" customHeight="1" s="297">
      <c r="B329" s="333" t="n"/>
      <c r="C329" s="314" t="n"/>
      <c r="D329" s="330" t="inlineStr">
        <is>
          <t>Allowance</t>
        </is>
      </c>
      <c r="E329" s="378" t="n"/>
      <c r="F329" s="317" t="n"/>
      <c r="G329" s="316" t="n"/>
      <c r="H329" s="314" t="n"/>
      <c r="I329" s="320" t="n"/>
      <c r="J329" s="320" t="n"/>
      <c r="K329" s="321" t="n"/>
      <c r="L329" s="321" t="n"/>
      <c r="M329" s="321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3</v>
      </c>
      <c r="D330" s="326" t="inlineStr">
        <is>
          <t>Tunjangan Lapangan for 4 days</t>
        </is>
      </c>
      <c r="E330" s="326" t="n"/>
      <c r="F330" s="323" t="n">
        <v>6551200</v>
      </c>
      <c r="G330" s="316" t="inlineStr">
        <is>
          <t>USD</t>
        </is>
      </c>
      <c r="H330" s="345" t="n">
        <v>16378</v>
      </c>
      <c r="I330" s="319" t="n"/>
      <c r="J330" s="329" t="n">
        <v>6551200</v>
      </c>
      <c r="K330" s="321" t="n"/>
      <c r="L330" s="321" t="n"/>
      <c r="M330" s="321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idden="1" ht="15.5" customHeight="1" s="297">
      <c r="B331" s="374" t="n"/>
      <c r="C331" s="367" t="n"/>
      <c r="D331" s="375" t="n"/>
      <c r="E331" s="375" t="n"/>
      <c r="F331" s="408" t="n"/>
      <c r="G331" s="418" t="n"/>
      <c r="H331" s="398" t="n"/>
      <c r="I331" s="376" t="n"/>
      <c r="J331" s="370" t="n"/>
      <c r="K331" s="371" t="n"/>
      <c r="L331" s="371" t="n"/>
      <c r="M331" s="371" t="n"/>
      <c r="N331" s="371" t="n"/>
      <c r="O331" s="371" t="n"/>
      <c r="P331" s="371" t="n"/>
      <c r="Q331" s="371" t="n"/>
      <c r="R331" s="372" t="n"/>
      <c r="S331" s="372" t="n"/>
      <c r="T331" s="372" t="n"/>
      <c r="U331" s="372" t="n"/>
      <c r="V331" s="372" t="n"/>
      <c r="W331" s="372" t="n"/>
      <c r="X331" s="372" t="n"/>
    </row>
    <row r="332" hidden="1" ht="15.5" customHeight="1" s="297">
      <c r="B332" s="389" t="n"/>
      <c r="C332" s="390" t="n"/>
      <c r="D332" s="391" t="n"/>
      <c r="E332" s="391" t="n"/>
      <c r="F332" s="417" t="n"/>
      <c r="G332" s="393" t="n"/>
      <c r="H332" s="393" t="n"/>
      <c r="I332" s="389" t="n"/>
      <c r="J332" s="389" t="n"/>
      <c r="K332" s="389" t="n"/>
      <c r="L332" s="389" t="n"/>
      <c r="M332" s="389" t="n"/>
      <c r="N332" s="389" t="n"/>
      <c r="O332" s="389" t="n"/>
      <c r="P332" s="389" t="n"/>
      <c r="Q332" s="389" t="n"/>
      <c r="R332" s="372" t="n"/>
      <c r="S332" s="372" t="n"/>
      <c r="T332" s="372" t="n"/>
      <c r="U332" s="372" t="n"/>
      <c r="V332" s="372" t="n"/>
      <c r="W332" s="372" t="n"/>
      <c r="X332" s="372" t="n"/>
    </row>
    <row r="333" ht="15.5" customHeight="1" s="297">
      <c r="B333" s="333" t="n"/>
      <c r="C333" s="314" t="n"/>
      <c r="D333" s="330" t="inlineStr">
        <is>
          <t>Accommodation</t>
        </is>
      </c>
      <c r="E333" s="378" t="n"/>
      <c r="F333" s="317" t="n"/>
      <c r="G333" s="316" t="n"/>
      <c r="H333" s="316" t="n"/>
      <c r="I333" s="321" t="n"/>
      <c r="J333" s="321" t="n"/>
      <c r="K333" s="321" t="n"/>
      <c r="L333" s="321" t="n"/>
      <c r="M333" s="321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>
        <v>45428</v>
      </c>
      <c r="C334" s="314" t="n">
        <v>1</v>
      </c>
      <c r="D334" s="326" t="inlineStr">
        <is>
          <t>Hotel 16 June - 19 June (3 days)</t>
        </is>
      </c>
      <c r="E334" s="326" t="n"/>
      <c r="F334" s="323" t="n">
        <v>720000</v>
      </c>
      <c r="G334" s="316" t="inlineStr">
        <is>
          <t>IDR</t>
        </is>
      </c>
      <c r="H334" s="419" t="n">
        <v>1</v>
      </c>
      <c r="I334" s="319" t="n"/>
      <c r="J334" s="329" t="n">
        <v>720000</v>
      </c>
      <c r="K334" s="321" t="n"/>
      <c r="L334" s="321" t="n"/>
      <c r="M334" s="321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2</v>
      </c>
      <c r="D335" s="326" t="inlineStr">
        <is>
          <t>Laundry 4 days 1 Persons @ 50K IDR/day</t>
        </is>
      </c>
      <c r="E335" s="326" t="n"/>
      <c r="F335" s="323" t="n">
        <v>200000</v>
      </c>
      <c r="G335" s="316" t="inlineStr">
        <is>
          <t>IDR</t>
        </is>
      </c>
      <c r="H335" s="419" t="n">
        <v>1</v>
      </c>
      <c r="I335" s="319" t="n"/>
      <c r="J335" s="329" t="n">
        <v>200000</v>
      </c>
      <c r="K335" s="321" t="n"/>
      <c r="L335" s="321" t="n"/>
      <c r="M335" s="321" t="n"/>
      <c r="N335" s="321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14" t="n"/>
      <c r="D336" s="330" t="inlineStr">
        <is>
          <t>Logistic</t>
        </is>
      </c>
      <c r="E336" s="378" t="n"/>
      <c r="F336" s="317" t="n"/>
      <c r="G336" s="316" t="n"/>
      <c r="H336" s="316" t="n"/>
      <c r="I336" s="320" t="n"/>
      <c r="J336" s="320" t="n"/>
      <c r="K336" s="321" t="n"/>
      <c r="L336" s="321" t="n"/>
      <c r="M336" s="321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4</v>
      </c>
      <c r="D337" s="316" t="inlineStr">
        <is>
          <t>Uneed Power Station</t>
        </is>
      </c>
      <c r="E337" s="316" t="n"/>
      <c r="F337" s="323" t="n">
        <v>2371000</v>
      </c>
      <c r="G337" s="316" t="inlineStr">
        <is>
          <t>IDR</t>
        </is>
      </c>
      <c r="H337" s="419" t="n">
        <v>1</v>
      </c>
      <c r="I337" s="319" t="n"/>
      <c r="J337" s="320" t="n"/>
      <c r="K337" s="321" t="n"/>
      <c r="L337" s="321" t="n"/>
      <c r="M337" s="321" t="n"/>
      <c r="N337" s="325" t="n">
        <v>2371000</v>
      </c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14" t="n"/>
      <c r="D338" s="330" t="inlineStr">
        <is>
          <t>Meal</t>
        </is>
      </c>
      <c r="E338" s="378" t="n"/>
      <c r="F338" s="317" t="n"/>
      <c r="G338" s="316" t="n"/>
      <c r="H338" s="316" t="n"/>
      <c r="I338" s="319" t="n"/>
      <c r="J338" s="320" t="n"/>
      <c r="K338" s="321" t="n"/>
      <c r="L338" s="321" t="n"/>
      <c r="M338" s="321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14" t="n">
        <v>5</v>
      </c>
      <c r="D339" s="326" t="inlineStr">
        <is>
          <t>Meals 4 days 1 Persons @ 150K IDR/day</t>
        </is>
      </c>
      <c r="E339" s="326" t="n"/>
      <c r="F339" s="338" t="n">
        <v>600000</v>
      </c>
      <c r="G339" s="316" t="inlineStr">
        <is>
          <t>IDR</t>
        </is>
      </c>
      <c r="H339" s="419" t="n">
        <v>1</v>
      </c>
      <c r="I339" s="319" t="n"/>
      <c r="J339" s="329" t="n">
        <v>600000</v>
      </c>
      <c r="K339" s="321" t="n"/>
      <c r="L339" s="321" t="n"/>
      <c r="M339" s="321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A340" s="346" t="n"/>
      <c r="B340" s="381" t="n">
        <v>45428</v>
      </c>
      <c r="C340" s="382" t="n">
        <v>6</v>
      </c>
      <c r="D340" s="383" t="inlineStr">
        <is>
          <t>Preparation TIS Petroleum - TMA</t>
        </is>
      </c>
      <c r="E340" s="384" t="n"/>
      <c r="F340" s="400" t="n">
        <v>995500</v>
      </c>
      <c r="G340" s="361" t="inlineStr">
        <is>
          <t>IDR</t>
        </is>
      </c>
      <c r="H340" s="420" t="n">
        <v>1</v>
      </c>
      <c r="I340" s="397" t="n"/>
      <c r="J340" s="387" t="n">
        <v>995500</v>
      </c>
      <c r="K340" s="388" t="n"/>
      <c r="L340" s="388" t="n"/>
      <c r="M340" s="388" t="n"/>
      <c r="N340" s="388" t="n"/>
      <c r="O340" s="388" t="n"/>
      <c r="P340" s="388" t="n"/>
      <c r="Q340" s="388" t="n"/>
      <c r="R340" s="365" t="n"/>
      <c r="S340" s="365" t="n"/>
      <c r="T340" s="365" t="n"/>
      <c r="U340" s="365" t="n"/>
      <c r="V340" s="365" t="n"/>
      <c r="W340" s="365" t="n"/>
      <c r="X340" s="365" t="n"/>
    </row>
    <row r="341" hidden="1" ht="15.5" customHeight="1" s="297">
      <c r="A341" s="346" t="n"/>
      <c r="B341" s="333" t="n"/>
      <c r="C341" s="314" t="n"/>
      <c r="D341" s="326" t="n"/>
      <c r="E341" s="326" t="n"/>
      <c r="F341" s="338" t="n"/>
      <c r="G341" s="316" t="n"/>
      <c r="H341" s="419" t="n"/>
      <c r="I341" s="319" t="n"/>
      <c r="J341" s="329" t="n"/>
      <c r="K341" s="321" t="n"/>
      <c r="L341" s="321" t="n"/>
      <c r="M341" s="321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idden="1" ht="15.5" customHeight="1" s="297">
      <c r="A342" s="346" t="n"/>
      <c r="B342" s="333" t="n"/>
      <c r="C342" s="314" t="n"/>
      <c r="D342" s="326" t="n"/>
      <c r="E342" s="326" t="n"/>
      <c r="F342" s="338" t="n"/>
      <c r="G342" s="316" t="n"/>
      <c r="H342" s="419" t="n"/>
      <c r="I342" s="319" t="n"/>
      <c r="J342" s="329" t="n"/>
      <c r="K342" s="321" t="n"/>
      <c r="L342" s="321" t="n"/>
      <c r="M342" s="321" t="n"/>
      <c r="N342" s="321" t="n"/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idden="1" ht="15.5" customHeight="1" s="297">
      <c r="A343" s="346" t="n"/>
      <c r="B343" s="333" t="n"/>
      <c r="C343" s="314" t="n"/>
      <c r="D343" s="326" t="n"/>
      <c r="E343" s="326" t="n"/>
      <c r="F343" s="338" t="n"/>
      <c r="G343" s="316" t="n"/>
      <c r="H343" s="419" t="n"/>
      <c r="I343" s="319" t="n"/>
      <c r="J343" s="329" t="n"/>
      <c r="K343" s="321" t="n"/>
      <c r="L343" s="321" t="n"/>
      <c r="M343" s="321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idden="1" ht="15.5" customHeight="1" s="297">
      <c r="A344" s="346" t="n"/>
      <c r="B344" s="333" t="n"/>
      <c r="C344" s="314" t="n"/>
      <c r="D344" s="326" t="n"/>
      <c r="E344" s="326" t="n"/>
      <c r="F344" s="338" t="n"/>
      <c r="G344" s="316" t="n"/>
      <c r="H344" s="419" t="n"/>
      <c r="I344" s="319" t="n"/>
      <c r="J344" s="329" t="n"/>
      <c r="K344" s="321" t="n"/>
      <c r="L344" s="321" t="n"/>
      <c r="M344" s="321" t="n"/>
      <c r="N344" s="321" t="n"/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idden="1" ht="15.5" customHeight="1" s="297">
      <c r="A345" s="346" t="n"/>
      <c r="B345" s="333" t="n"/>
      <c r="C345" s="314" t="n"/>
      <c r="D345" s="326" t="n"/>
      <c r="E345" s="326" t="n"/>
      <c r="F345" s="338" t="n"/>
      <c r="G345" s="316" t="n"/>
      <c r="H345" s="419" t="n"/>
      <c r="I345" s="319" t="n"/>
      <c r="J345" s="329" t="n"/>
      <c r="K345" s="321" t="n"/>
      <c r="L345" s="321" t="n"/>
      <c r="M345" s="321" t="n"/>
      <c r="N345" s="321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A346" s="346" t="n"/>
      <c r="B346" s="381" t="n">
        <v>45483</v>
      </c>
      <c r="C346" s="382" t="n">
        <v>1</v>
      </c>
      <c r="D346" s="383" t="inlineStr">
        <is>
          <t>Delivery Tools Sonoecho (KL) - TMA</t>
        </is>
      </c>
      <c r="E346" s="384" t="n"/>
      <c r="F346" s="400" t="n">
        <v>381960</v>
      </c>
      <c r="G346" s="361" t="inlineStr">
        <is>
          <t>IDR</t>
        </is>
      </c>
      <c r="H346" s="420" t="n">
        <v>1</v>
      </c>
      <c r="I346" s="397" t="n"/>
      <c r="J346" s="387" t="n"/>
      <c r="K346" s="388" t="n"/>
      <c r="L346" s="388" t="n"/>
      <c r="M346" s="388" t="n"/>
      <c r="N346" s="387" t="n">
        <v>381960</v>
      </c>
      <c r="O346" s="388" t="n"/>
      <c r="P346" s="388" t="n"/>
      <c r="Q346" s="388" t="n"/>
      <c r="R346" s="365" t="n"/>
      <c r="S346" s="365" t="n"/>
      <c r="T346" s="365" t="n"/>
      <c r="U346" s="365" t="n"/>
      <c r="V346" s="365" t="n"/>
      <c r="W346" s="365" t="n"/>
      <c r="X346" s="365" t="n"/>
    </row>
    <row r="347" hidden="1" ht="15.5" customHeight="1" s="297">
      <c r="A347" s="346" t="n"/>
      <c r="B347" s="333" t="n"/>
      <c r="C347" s="314" t="n"/>
      <c r="D347" s="326" t="n"/>
      <c r="E347" s="326" t="n"/>
      <c r="F347" s="338" t="n"/>
      <c r="G347" s="316" t="n"/>
      <c r="H347" s="419" t="n"/>
      <c r="I347" s="319" t="n"/>
      <c r="J347" s="329" t="n"/>
      <c r="K347" s="321" t="n"/>
      <c r="L347" s="321" t="n"/>
      <c r="M347" s="321" t="n"/>
      <c r="N347" s="329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idden="1" ht="15.5" customHeight="1" s="297">
      <c r="A348" s="346" t="n"/>
      <c r="B348" s="333" t="n"/>
      <c r="C348" s="314" t="n"/>
      <c r="D348" s="326" t="n"/>
      <c r="E348" s="326" t="n"/>
      <c r="F348" s="338" t="n"/>
      <c r="G348" s="316" t="n"/>
      <c r="H348" s="419" t="n"/>
      <c r="I348" s="319" t="n"/>
      <c r="J348" s="329" t="n"/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idden="1" ht="15.5" customHeight="1" s="297">
      <c r="A349" s="346" t="n"/>
      <c r="B349" s="333" t="n"/>
      <c r="C349" s="314" t="n"/>
      <c r="D349" s="326" t="n"/>
      <c r="E349" s="326" t="n"/>
      <c r="F349" s="338" t="n"/>
      <c r="G349" s="316" t="n"/>
      <c r="H349" s="419" t="n"/>
      <c r="I349" s="319" t="n"/>
      <c r="J349" s="329" t="n"/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Accommodation</t>
        </is>
      </c>
      <c r="E350" s="378" t="n"/>
      <c r="F350" s="317" t="n"/>
      <c r="G350" s="316" t="n"/>
      <c r="H350" s="316" t="n"/>
      <c r="I350" s="319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idden="1" ht="15.5" customHeight="1" s="297">
      <c r="B351" s="374" t="n"/>
      <c r="C351" s="367" t="n"/>
      <c r="D351" s="375" t="n"/>
      <c r="E351" s="375" t="n"/>
      <c r="F351" s="408" t="n"/>
      <c r="G351" s="418" t="n"/>
      <c r="H351" s="418" t="n"/>
      <c r="I351" s="376" t="n"/>
      <c r="J351" s="370" t="n"/>
      <c r="K351" s="371" t="n"/>
      <c r="L351" s="371" t="n"/>
      <c r="M351" s="371" t="n"/>
      <c r="N351" s="371" t="n"/>
      <c r="O351" s="371" t="n"/>
      <c r="P351" s="371" t="n"/>
      <c r="Q351" s="371" t="n"/>
      <c r="R351" s="372" t="n"/>
      <c r="S351" s="372" t="n"/>
      <c r="T351" s="372" t="n"/>
      <c r="U351" s="372" t="n"/>
      <c r="V351" s="372" t="n"/>
      <c r="W351" s="372" t="n"/>
      <c r="X351" s="372" t="n"/>
    </row>
    <row r="352" ht="15.5" customHeight="1" s="297">
      <c r="B352" s="333" t="n"/>
      <c r="C352" s="314" t="n"/>
      <c r="D352" s="330" t="inlineStr">
        <is>
          <t>Logistic</t>
        </is>
      </c>
      <c r="E352" s="378" t="n"/>
      <c r="F352" s="317" t="n"/>
      <c r="G352" s="316" t="n"/>
      <c r="H352" s="316" t="n"/>
      <c r="I352" s="319" t="n"/>
      <c r="J352" s="321" t="n"/>
      <c r="K352" s="321" t="n"/>
      <c r="L352" s="321" t="n"/>
      <c r="M352" s="321" t="n"/>
      <c r="N352" s="321" t="n"/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26" t="inlineStr">
        <is>
          <t>Airplane Ticket CGK-KLIA</t>
        </is>
      </c>
      <c r="E353" s="326" t="n"/>
      <c r="F353" s="323" t="n">
        <v>4912100</v>
      </c>
      <c r="G353" s="316" t="inlineStr">
        <is>
          <t>IDR</t>
        </is>
      </c>
      <c r="H353" s="419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/>
      <c r="C354" s="314" t="n"/>
      <c r="D354" s="330" t="inlineStr">
        <is>
          <t>Transportation</t>
        </is>
      </c>
      <c r="E354" s="378" t="n"/>
      <c r="F354" s="317" t="n"/>
      <c r="G354" s="316" t="n"/>
      <c r="H354" s="316" t="n"/>
      <c r="I354" s="319" t="n"/>
      <c r="J354" s="320" t="n"/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idden="1" ht="15.5" customHeight="1" s="297">
      <c r="B355" s="374" t="n"/>
      <c r="C355" s="367" t="n"/>
      <c r="D355" s="375" t="n"/>
      <c r="E355" s="375" t="n"/>
      <c r="F355" s="408" t="n"/>
      <c r="G355" s="418" t="n"/>
      <c r="H355" s="421" t="n"/>
      <c r="I355" s="376" t="n"/>
      <c r="J355" s="370" t="n"/>
      <c r="K355" s="371" t="n"/>
      <c r="L355" s="371" t="n"/>
      <c r="M355" s="371" t="n"/>
      <c r="N355" s="371" t="n"/>
      <c r="O355" s="371" t="n"/>
      <c r="P355" s="371" t="n"/>
      <c r="Q355" s="371" t="n"/>
      <c r="R355" s="372" t="n"/>
      <c r="S355" s="372" t="n"/>
      <c r="T355" s="372" t="n"/>
      <c r="U355" s="372" t="n"/>
      <c r="V355" s="372" t="n"/>
      <c r="W355" s="372" t="n"/>
      <c r="X355" s="372" t="n"/>
    </row>
    <row r="356" hidden="1" ht="15.5" customHeight="1" s="297">
      <c r="B356" s="389" t="n"/>
      <c r="C356" s="390" t="n"/>
      <c r="D356" s="391" t="n"/>
      <c r="E356" s="391" t="n"/>
      <c r="F356" s="392" t="n"/>
      <c r="G356" s="393" t="n"/>
      <c r="H356" s="393" t="n"/>
      <c r="I356" s="395" t="n"/>
      <c r="J356" s="395" t="n"/>
      <c r="K356" s="389" t="n"/>
      <c r="L356" s="389" t="n"/>
      <c r="M356" s="389" t="n"/>
      <c r="N356" s="389" t="n"/>
      <c r="O356" s="389" t="n"/>
      <c r="P356" s="389" t="n"/>
      <c r="Q356" s="389" t="n"/>
      <c r="R356" s="372" t="n"/>
      <c r="S356" s="372" t="n"/>
      <c r="T356" s="372" t="n"/>
      <c r="U356" s="372" t="n"/>
      <c r="V356" s="372" t="n"/>
      <c r="W356" s="372" t="n"/>
      <c r="X356" s="372" t="n"/>
    </row>
    <row r="357" hidden="1" ht="15.5" customHeight="1" s="297">
      <c r="B357" s="374" t="n"/>
      <c r="C357" s="367" t="n"/>
      <c r="D357" s="375" t="n"/>
      <c r="E357" s="375" t="n"/>
      <c r="F357" s="408" t="n"/>
      <c r="G357" s="367" t="n"/>
      <c r="H357" s="367" t="n"/>
      <c r="I357" s="376" t="n"/>
      <c r="J357" s="370" t="n"/>
      <c r="K357" s="371" t="n"/>
      <c r="L357" s="371" t="n"/>
      <c r="M357" s="371" t="n"/>
      <c r="N357" s="371" t="n"/>
      <c r="O357" s="371" t="n"/>
      <c r="P357" s="371" t="n"/>
      <c r="Q357" s="371" t="n"/>
      <c r="R357" s="372" t="n"/>
      <c r="S357" s="372" t="n"/>
      <c r="T357" s="372" t="n"/>
      <c r="U357" s="372" t="n"/>
      <c r="V357" s="372" t="n"/>
      <c r="W357" s="372" t="n"/>
      <c r="X357" s="372" t="n"/>
    </row>
    <row r="358" hidden="1" ht="15.5" customHeight="1" s="297">
      <c r="B358" s="389" t="n"/>
      <c r="C358" s="390" t="n"/>
      <c r="D358" s="391" t="n"/>
      <c r="E358" s="391" t="n"/>
      <c r="F358" s="392" t="n"/>
      <c r="G358" s="393" t="n"/>
      <c r="H358" s="393" t="n"/>
      <c r="I358" s="395" t="n"/>
      <c r="J358" s="395" t="n"/>
      <c r="K358" s="389" t="n"/>
      <c r="L358" s="389" t="n"/>
      <c r="M358" s="389" t="n"/>
      <c r="N358" s="389" t="n"/>
      <c r="O358" s="389" t="n"/>
      <c r="P358" s="389" t="n"/>
      <c r="Q358" s="389" t="n"/>
      <c r="R358" s="372" t="n"/>
      <c r="S358" s="372" t="n"/>
      <c r="T358" s="372" t="n"/>
      <c r="U358" s="372" t="n"/>
      <c r="V358" s="372" t="n"/>
      <c r="W358" s="372" t="n"/>
      <c r="X358" s="372" t="n"/>
    </row>
    <row r="359" hidden="1" ht="15.5" customHeight="1" s="297">
      <c r="B359" s="422" t="n"/>
      <c r="C359" s="405" t="n"/>
      <c r="D359" s="413" t="n"/>
      <c r="E359" s="413" t="n"/>
      <c r="F359" s="414" t="n"/>
      <c r="G359" s="405" t="n"/>
      <c r="H359" s="405" t="n"/>
      <c r="I359" s="370" t="n"/>
      <c r="J359" s="370" t="n"/>
      <c r="K359" s="371" t="n"/>
      <c r="L359" s="371" t="n"/>
      <c r="M359" s="371" t="n"/>
      <c r="N359" s="371" t="n"/>
      <c r="O359" s="371" t="n"/>
      <c r="P359" s="370" t="n"/>
      <c r="Q359" s="371" t="n"/>
      <c r="R359" s="372" t="n"/>
      <c r="S359" s="372" t="n"/>
      <c r="T359" s="372" t="n"/>
      <c r="U359" s="372" t="n"/>
      <c r="V359" s="372" t="n"/>
      <c r="W359" s="372" t="n"/>
      <c r="X359" s="372" t="n"/>
    </row>
    <row r="360" ht="15.5" customHeight="1" s="297">
      <c r="A360" s="346" t="n"/>
      <c r="B360" s="411" t="n">
        <v>45481</v>
      </c>
      <c r="C360" s="382" t="n">
        <v>1</v>
      </c>
      <c r="D360" s="357" t="inlineStr">
        <is>
          <t>Non project ( MCU ulang )_ IBR</t>
        </is>
      </c>
      <c r="E360" s="361" t="n"/>
      <c r="F360" s="412" t="n">
        <v>344305</v>
      </c>
      <c r="G360" s="382" t="inlineStr">
        <is>
          <t>IDR</t>
        </is>
      </c>
      <c r="H360" s="386" t="n">
        <v>1</v>
      </c>
      <c r="I360" s="364" t="n"/>
      <c r="J360" s="387" t="n">
        <v>344305</v>
      </c>
      <c r="K360" s="388" t="n"/>
      <c r="L360" s="388" t="n"/>
      <c r="M360" s="388" t="n"/>
      <c r="N360" s="388" t="n"/>
      <c r="O360" s="388" t="n"/>
      <c r="P360" s="364" t="n"/>
      <c r="Q360" s="388" t="n"/>
      <c r="R360" s="365" t="n"/>
      <c r="S360" s="365" t="n"/>
      <c r="T360" s="365" t="n"/>
      <c r="U360" s="365" t="n"/>
      <c r="V360" s="365" t="n"/>
      <c r="W360" s="365" t="n"/>
      <c r="X360" s="365" t="n"/>
    </row>
    <row r="361" hidden="1" ht="15.5" customHeight="1" s="297">
      <c r="A361" s="346" t="n"/>
      <c r="B361" s="313" t="n"/>
      <c r="C361" s="314" t="n"/>
      <c r="D361" s="316" t="n"/>
      <c r="E361" s="316" t="n"/>
      <c r="F361" s="323" t="n"/>
      <c r="G361" s="314" t="n"/>
      <c r="H361" s="345" t="n"/>
      <c r="I361" s="320" t="n"/>
      <c r="J361" s="329" t="n"/>
      <c r="K361" s="321" t="n"/>
      <c r="L361" s="321" t="n"/>
      <c r="M361" s="321" t="n"/>
      <c r="N361" s="321" t="n"/>
      <c r="O361" s="321" t="n"/>
      <c r="P361" s="320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idden="1" ht="15.5" customHeight="1" s="297">
      <c r="A362" s="346" t="n"/>
      <c r="B362" s="313" t="n"/>
      <c r="C362" s="314" t="n"/>
      <c r="D362" s="316" t="n"/>
      <c r="E362" s="316" t="n"/>
      <c r="F362" s="323" t="n"/>
      <c r="G362" s="314" t="n"/>
      <c r="H362" s="345" t="n"/>
      <c r="I362" s="320" t="n"/>
      <c r="J362" s="320" t="n"/>
      <c r="K362" s="321" t="n"/>
      <c r="L362" s="321" t="n"/>
      <c r="M362" s="321" t="n"/>
      <c r="N362" s="329" t="n"/>
      <c r="O362" s="321" t="n"/>
      <c r="P362" s="320" t="n"/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idden="1" ht="15.5" customHeight="1" s="297">
      <c r="A363" s="346" t="n"/>
      <c r="B363" s="313" t="n"/>
      <c r="C363" s="314" t="n"/>
      <c r="D363" s="316" t="n"/>
      <c r="E363" s="316" t="n"/>
      <c r="F363" s="323" t="n"/>
      <c r="G363" s="314" t="n"/>
      <c r="H363" s="345" t="n"/>
      <c r="I363" s="320" t="n"/>
      <c r="J363" s="320" t="n"/>
      <c r="K363" s="321" t="n"/>
      <c r="L363" s="321" t="n"/>
      <c r="M363" s="321" t="n"/>
      <c r="N363" s="329" t="n"/>
      <c r="O363" s="321" t="n"/>
      <c r="P363" s="320" t="n"/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idden="1" ht="15.5" customHeight="1" s="297">
      <c r="A364" s="346" t="n"/>
      <c r="B364" s="313" t="n"/>
      <c r="C364" s="314" t="n"/>
      <c r="D364" s="316" t="n"/>
      <c r="E364" s="316" t="n"/>
      <c r="F364" s="323" t="n"/>
      <c r="G364" s="314" t="n"/>
      <c r="H364" s="345" t="n"/>
      <c r="I364" s="320" t="n"/>
      <c r="J364" s="329" t="n"/>
      <c r="K364" s="321" t="n"/>
      <c r="L364" s="321" t="n"/>
      <c r="M364" s="321" t="n"/>
      <c r="N364" s="321" t="n"/>
      <c r="O364" s="321" t="n"/>
      <c r="P364" s="320" t="n"/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idden="1" ht="15.5" customHeight="1" s="297">
      <c r="A365" s="346" t="n"/>
      <c r="B365" s="313" t="n"/>
      <c r="C365" s="314" t="n"/>
      <c r="D365" s="316" t="n"/>
      <c r="E365" s="316" t="n"/>
      <c r="F365" s="323" t="n"/>
      <c r="G365" s="314" t="n"/>
      <c r="H365" s="345" t="n"/>
      <c r="I365" s="320" t="n"/>
      <c r="J365" s="329" t="n"/>
      <c r="K365" s="321" t="n"/>
      <c r="L365" s="321" t="n"/>
      <c r="M365" s="321" t="n"/>
      <c r="N365" s="321" t="n"/>
      <c r="O365" s="321" t="n"/>
      <c r="P365" s="320" t="n"/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A366" s="346" t="n"/>
      <c r="B366" s="411" t="n">
        <v>45446</v>
      </c>
      <c r="C366" s="382" t="n">
        <v>1</v>
      </c>
      <c r="D366" s="357" t="inlineStr">
        <is>
          <t>ALFA job - JRK-163 (Job)_undr Sijak_ DS</t>
        </is>
      </c>
      <c r="E366" s="361" t="n"/>
      <c r="F366" s="412" t="n">
        <v>206000</v>
      </c>
      <c r="G366" s="382" t="inlineStr">
        <is>
          <t>IDR</t>
        </is>
      </c>
      <c r="H366" s="386" t="n">
        <v>1</v>
      </c>
      <c r="I366" s="364" t="n"/>
      <c r="J366" s="387" t="n"/>
      <c r="K366" s="388" t="n"/>
      <c r="L366" s="388" t="n"/>
      <c r="M366" s="388" t="n"/>
      <c r="N366" s="388" t="n"/>
      <c r="O366" s="388" t="n"/>
      <c r="P366" s="387" t="n">
        <v>206000</v>
      </c>
      <c r="Q366" s="388" t="n"/>
      <c r="R366" s="365" t="n"/>
      <c r="S366" s="365" t="n"/>
      <c r="T366" s="365" t="n"/>
      <c r="U366" s="365" t="n"/>
      <c r="V366" s="365" t="n"/>
      <c r="W366" s="365" t="n"/>
      <c r="X366" s="365" t="n"/>
    </row>
    <row r="367" hidden="1" ht="15.5" customHeight="1" s="297">
      <c r="A367" s="346" t="n"/>
      <c r="B367" s="313" t="n"/>
      <c r="C367" s="314" t="n"/>
      <c r="D367" s="316" t="n"/>
      <c r="E367" s="316" t="n"/>
      <c r="F367" s="323" t="n"/>
      <c r="G367" s="314" t="n"/>
      <c r="H367" s="345" t="n"/>
      <c r="I367" s="320" t="n"/>
      <c r="J367" s="329" t="n"/>
      <c r="K367" s="321" t="n"/>
      <c r="L367" s="321" t="n"/>
      <c r="M367" s="321" t="n"/>
      <c r="N367" s="321" t="n"/>
      <c r="O367" s="321" t="n"/>
      <c r="P367" s="329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idden="1" ht="15.5" customHeight="1" s="297">
      <c r="A368" s="346" t="n"/>
      <c r="B368" s="313" t="n"/>
      <c r="C368" s="314" t="n"/>
      <c r="D368" s="316" t="n"/>
      <c r="E368" s="316" t="n"/>
      <c r="F368" s="323" t="n"/>
      <c r="G368" s="314" t="n"/>
      <c r="H368" s="345" t="n"/>
      <c r="I368" s="320" t="n"/>
      <c r="J368" s="329" t="n"/>
      <c r="K368" s="321" t="n"/>
      <c r="L368" s="321" t="n"/>
      <c r="M368" s="321" t="n"/>
      <c r="N368" s="321" t="n"/>
      <c r="O368" s="321" t="n"/>
      <c r="P368" s="329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idden="1" ht="15.5" customHeight="1" s="297">
      <c r="A369" s="346" t="n"/>
      <c r="B369" s="313" t="n"/>
      <c r="C369" s="314" t="n"/>
      <c r="D369" s="316" t="n"/>
      <c r="E369" s="316" t="n"/>
      <c r="F369" s="323" t="n"/>
      <c r="G369" s="314" t="n"/>
      <c r="H369" s="345" t="n"/>
      <c r="I369" s="320" t="n"/>
      <c r="J369" s="329" t="n"/>
      <c r="K369" s="321" t="n"/>
      <c r="L369" s="321" t="n"/>
      <c r="M369" s="321" t="n"/>
      <c r="N369" s="321" t="n"/>
      <c r="O369" s="321" t="n"/>
      <c r="P369" s="329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idden="1" ht="15.5" customHeight="1" s="297">
      <c r="A370" s="346" t="n"/>
      <c r="B370" s="313" t="n"/>
      <c r="C370" s="314" t="n"/>
      <c r="D370" s="316" t="n"/>
      <c r="E370" s="316" t="n"/>
      <c r="F370" s="323" t="n"/>
      <c r="G370" s="314" t="n"/>
      <c r="H370" s="345" t="n"/>
      <c r="I370" s="320" t="n"/>
      <c r="J370" s="329" t="n"/>
      <c r="K370" s="321" t="n"/>
      <c r="L370" s="321" t="n"/>
      <c r="M370" s="321" t="n"/>
      <c r="N370" s="321" t="n"/>
      <c r="O370" s="321" t="n"/>
      <c r="P370" s="320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idden="1" ht="15.5" customHeight="1" s="297">
      <c r="A371" s="346" t="n"/>
      <c r="B371" s="313" t="n"/>
      <c r="C371" s="314" t="n"/>
      <c r="D371" s="316" t="n"/>
      <c r="E371" s="316" t="n"/>
      <c r="F371" s="323" t="n"/>
      <c r="G371" s="314" t="n"/>
      <c r="H371" s="345" t="n"/>
      <c r="I371" s="320" t="n"/>
      <c r="J371" s="329" t="n"/>
      <c r="K371" s="321" t="n"/>
      <c r="L371" s="321" t="n"/>
      <c r="M371" s="321" t="n"/>
      <c r="N371" s="321" t="n"/>
      <c r="O371" s="321" t="n"/>
      <c r="P371" s="320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idden="1" ht="15.5" customHeight="1" s="297">
      <c r="A372" s="346" t="n"/>
      <c r="B372" s="313" t="n"/>
      <c r="C372" s="314" t="n"/>
      <c r="D372" s="316" t="n"/>
      <c r="E372" s="316" t="n"/>
      <c r="F372" s="323" t="n"/>
      <c r="G372" s="314" t="n"/>
      <c r="H372" s="345" t="n"/>
      <c r="I372" s="320" t="n"/>
      <c r="J372" s="329" t="n"/>
      <c r="K372" s="321" t="n"/>
      <c r="L372" s="321" t="n"/>
      <c r="M372" s="321" t="n"/>
      <c r="N372" s="321" t="n"/>
      <c r="O372" s="321" t="n"/>
      <c r="P372" s="320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idden="1" ht="15.5" customHeight="1" s="297">
      <c r="B373" s="422" t="n"/>
      <c r="C373" s="405" t="n"/>
      <c r="D373" s="413" t="n"/>
      <c r="E373" s="413" t="n"/>
      <c r="F373" s="414" t="n"/>
      <c r="G373" s="405" t="n"/>
      <c r="H373" s="405" t="n"/>
      <c r="I373" s="370" t="n"/>
      <c r="J373" s="370" t="n"/>
      <c r="K373" s="371" t="n"/>
      <c r="L373" s="371" t="n"/>
      <c r="M373" s="371" t="n"/>
      <c r="N373" s="370" t="n"/>
      <c r="O373" s="371" t="n"/>
      <c r="P373" s="371" t="n"/>
      <c r="Q373" s="371" t="n"/>
      <c r="R373" s="372" t="n"/>
      <c r="S373" s="372" t="n"/>
      <c r="T373" s="372" t="n"/>
      <c r="U373" s="372" t="n"/>
      <c r="V373" s="372" t="n"/>
      <c r="W373" s="372" t="n"/>
      <c r="X373" s="372" t="n"/>
    </row>
    <row r="374" hidden="1" ht="15.5" customHeight="1" s="297">
      <c r="B374" s="389" t="n"/>
      <c r="C374" s="390" t="n"/>
      <c r="D374" s="423" t="n"/>
      <c r="E374" s="423" t="n"/>
      <c r="F374" s="392" t="n"/>
      <c r="G374" s="393" t="n"/>
      <c r="H374" s="393" t="n"/>
      <c r="I374" s="389" t="n"/>
      <c r="J374" s="389" t="n"/>
      <c r="K374" s="389" t="n"/>
      <c r="L374" s="389" t="n"/>
      <c r="M374" s="389" t="n"/>
      <c r="N374" s="389" t="n"/>
      <c r="O374" s="389" t="n"/>
      <c r="P374" s="389" t="n"/>
      <c r="Q374" s="389" t="n"/>
      <c r="R374" s="372" t="n"/>
      <c r="S374" s="372" t="n"/>
      <c r="T374" s="372" t="n"/>
      <c r="U374" s="372" t="n"/>
      <c r="V374" s="372" t="n"/>
      <c r="W374" s="372" t="n"/>
      <c r="X374" s="372" t="n"/>
    </row>
    <row r="375" hidden="1" ht="15.5" customHeight="1" s="297">
      <c r="B375" s="422" t="n"/>
      <c r="C375" s="405" t="n"/>
      <c r="D375" s="413" t="n"/>
      <c r="E375" s="413" t="n"/>
      <c r="F375" s="414" t="n"/>
      <c r="G375" s="405" t="n"/>
      <c r="H375" s="405" t="n"/>
      <c r="I375" s="376" t="n"/>
      <c r="J375" s="370" t="n"/>
      <c r="K375" s="371" t="n"/>
      <c r="L375" s="371" t="n"/>
      <c r="M375" s="371" t="n"/>
      <c r="N375" s="371" t="n"/>
      <c r="O375" s="371" t="n"/>
      <c r="P375" s="370" t="n"/>
      <c r="Q375" s="371" t="n"/>
      <c r="R375" s="372" t="n"/>
      <c r="S375" s="372" t="n"/>
      <c r="T375" s="372" t="n"/>
      <c r="U375" s="372" t="n"/>
      <c r="V375" s="372" t="n"/>
      <c r="W375" s="372" t="n"/>
      <c r="X375" s="372" t="n"/>
    </row>
    <row r="376" hidden="1" ht="15.5" customHeight="1" s="297">
      <c r="B376" s="389" t="n"/>
      <c r="C376" s="390" t="n"/>
      <c r="D376" s="391" t="n"/>
      <c r="E376" s="391" t="n"/>
      <c r="F376" s="392" t="n"/>
      <c r="G376" s="393" t="n"/>
      <c r="H376" s="393" t="n"/>
      <c r="I376" s="394" t="n"/>
      <c r="J376" s="395" t="n"/>
      <c r="K376" s="389" t="n"/>
      <c r="L376" s="389" t="n"/>
      <c r="M376" s="389" t="n"/>
      <c r="N376" s="389" t="n"/>
      <c r="O376" s="389" t="n"/>
      <c r="P376" s="389" t="n"/>
      <c r="Q376" s="389" t="n"/>
      <c r="R376" s="372" t="n"/>
      <c r="S376" s="372" t="n"/>
      <c r="T376" s="372" t="n"/>
      <c r="U376" s="372" t="n"/>
      <c r="V376" s="372" t="n"/>
      <c r="W376" s="372" t="n"/>
      <c r="X376" s="372" t="n"/>
    </row>
    <row r="377" hidden="1" ht="15.5" customHeight="1" s="297">
      <c r="B377" s="404" t="n"/>
      <c r="C377" s="405" t="n"/>
      <c r="D377" s="406" t="n"/>
      <c r="E377" s="406" t="n"/>
      <c r="F377" s="414" t="n"/>
      <c r="G377" s="405" t="n"/>
      <c r="H377" s="405" t="n"/>
      <c r="I377" s="376" t="n"/>
      <c r="J377" s="370" t="n"/>
      <c r="K377" s="371" t="n"/>
      <c r="L377" s="371" t="n"/>
      <c r="M377" s="371" t="n"/>
      <c r="N377" s="371" t="n"/>
      <c r="O377" s="371" t="n"/>
      <c r="P377" s="371" t="n"/>
      <c r="Q377" s="371" t="n"/>
      <c r="R377" s="372" t="n"/>
      <c r="S377" s="372" t="n"/>
      <c r="T377" s="372" t="n"/>
      <c r="U377" s="372" t="n"/>
      <c r="V377" s="372" t="n"/>
      <c r="W377" s="372" t="n"/>
      <c r="X377" s="372" t="n"/>
    </row>
    <row r="378" hidden="1" ht="15.5" customHeight="1" s="297">
      <c r="B378" s="404" t="n"/>
      <c r="C378" s="405" t="n"/>
      <c r="D378" s="424" t="n"/>
      <c r="E378" s="424" t="n"/>
      <c r="F378" s="414" t="n"/>
      <c r="G378" s="405" t="n"/>
      <c r="H378" s="405" t="n"/>
      <c r="I378" s="376" t="n"/>
      <c r="J378" s="370" t="n"/>
      <c r="K378" s="371" t="n"/>
      <c r="L378" s="371" t="n"/>
      <c r="M378" s="371" t="n"/>
      <c r="N378" s="371" t="n"/>
      <c r="O378" s="371" t="n"/>
      <c r="P378" s="371" t="n"/>
      <c r="Q378" s="371" t="n"/>
      <c r="R378" s="372" t="n"/>
      <c r="S378" s="372" t="n"/>
      <c r="T378" s="372" t="n"/>
      <c r="U378" s="372" t="n"/>
      <c r="V378" s="372" t="n"/>
      <c r="W378" s="372" t="n"/>
      <c r="X378" s="372" t="n"/>
    </row>
    <row r="379" hidden="1" ht="15.5" customHeight="1" s="297">
      <c r="B379" s="404" t="n"/>
      <c r="C379" s="405" t="n"/>
      <c r="D379" s="406" t="n"/>
      <c r="E379" s="406" t="n"/>
      <c r="F379" s="414" t="n"/>
      <c r="G379" s="405" t="n"/>
      <c r="H379" s="405" t="n"/>
      <c r="I379" s="376" t="n"/>
      <c r="J379" s="370" t="n"/>
      <c r="K379" s="371" t="n"/>
      <c r="L379" s="371" t="n"/>
      <c r="M379" s="371" t="n"/>
      <c r="N379" s="371" t="n"/>
      <c r="O379" s="371" t="n"/>
      <c r="P379" s="371" t="n"/>
      <c r="Q379" s="371" t="n"/>
      <c r="R379" s="372" t="n"/>
      <c r="S379" s="372" t="n"/>
      <c r="T379" s="372" t="n"/>
      <c r="U379" s="372" t="n"/>
      <c r="V379" s="372" t="n"/>
      <c r="W379" s="372" t="n"/>
      <c r="X379" s="372" t="n"/>
    </row>
    <row r="380" ht="15.5" customHeight="1" s="297">
      <c r="B380" s="333" t="n"/>
      <c r="C380" s="314" t="n"/>
      <c r="D380" s="330" t="inlineStr">
        <is>
          <t>Accommodation</t>
        </is>
      </c>
      <c r="E380" s="425" t="n"/>
      <c r="F380" s="317" t="n"/>
      <c r="G380" s="314" t="n"/>
      <c r="H380" s="314" t="n"/>
      <c r="I380" s="320" t="n"/>
      <c r="J380" s="320" t="n"/>
      <c r="K380" s="321" t="n"/>
      <c r="L380" s="321" t="n"/>
      <c r="M380" s="321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idden="1" ht="15.5" customFormat="1" customHeight="1" s="122">
      <c r="B381" s="404" t="n"/>
      <c r="C381" s="405" t="n"/>
      <c r="D381" s="406" t="n"/>
      <c r="E381" s="406" t="n"/>
      <c r="F381" s="414" t="n"/>
      <c r="G381" s="405" t="n"/>
      <c r="H381" s="405" t="n"/>
      <c r="I381" s="376" t="n"/>
      <c r="J381" s="370" t="n"/>
      <c r="K381" s="371" t="n"/>
      <c r="L381" s="371" t="n"/>
      <c r="M381" s="376" t="n"/>
      <c r="N381" s="371" t="n"/>
      <c r="O381" s="371" t="n"/>
      <c r="P381" s="371" t="n"/>
      <c r="Q381" s="371" t="n"/>
      <c r="R381" s="372" t="n"/>
      <c r="S381" s="372" t="n"/>
      <c r="T381" s="372" t="n"/>
      <c r="U381" s="372" t="n"/>
      <c r="V381" s="372" t="n"/>
      <c r="W381" s="372" t="n"/>
      <c r="X381" s="372" t="n"/>
    </row>
    <row r="382" ht="15.5" customHeight="1" s="297">
      <c r="B382" s="333" t="n"/>
      <c r="C382" s="314" t="n"/>
      <c r="D382" s="330" t="inlineStr">
        <is>
          <t>Laundry</t>
        </is>
      </c>
      <c r="E382" s="326" t="n"/>
      <c r="F382" s="317" t="n"/>
      <c r="G382" s="314" t="n"/>
      <c r="H382" s="314" t="n"/>
      <c r="I382" s="319" t="n"/>
      <c r="J382" s="320" t="n"/>
      <c r="K382" s="321" t="n"/>
      <c r="L382" s="321" t="n"/>
      <c r="M382" s="319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t="15.5" customHeight="1" s="297">
      <c r="B383" s="333" t="n"/>
      <c r="C383" s="314" t="n"/>
      <c r="D383" s="330" t="inlineStr">
        <is>
          <t>Allowance</t>
        </is>
      </c>
      <c r="E383" s="425" t="n"/>
      <c r="F383" s="317" t="n"/>
      <c r="G383" s="314" t="n"/>
      <c r="H383" s="314" t="n"/>
      <c r="I383" s="319" t="n"/>
      <c r="J383" s="320" t="n"/>
      <c r="K383" s="321" t="n"/>
      <c r="L383" s="321" t="n"/>
      <c r="M383" s="319" t="n"/>
      <c r="N383" s="321" t="n"/>
      <c r="O383" s="321" t="n"/>
      <c r="P383" s="321" t="n"/>
      <c r="Q383" s="321" t="n"/>
      <c r="R383" s="322" t="n"/>
      <c r="S383" s="322" t="n"/>
      <c r="T383" s="322" t="n"/>
      <c r="U383" s="322" t="n"/>
      <c r="V383" s="322" t="n"/>
      <c r="W383" s="322" t="n"/>
      <c r="X383" s="322" t="n"/>
    </row>
    <row r="384" ht="15.5" customHeight="1" s="297">
      <c r="B384" s="333" t="n">
        <v>45500</v>
      </c>
      <c r="C384" s="314" t="n">
        <v>2</v>
      </c>
      <c r="D384" s="426" t="inlineStr">
        <is>
          <t>Uang Makan (21 - 27 Juli 2024)</t>
        </is>
      </c>
      <c r="E384" s="426" t="n"/>
      <c r="F384" s="427" t="n">
        <v>1050000</v>
      </c>
      <c r="G384" s="318" t="inlineStr">
        <is>
          <t>IDR</t>
        </is>
      </c>
      <c r="H384" s="324" t="n">
        <v>1</v>
      </c>
      <c r="I384" s="320" t="n"/>
      <c r="J384" s="329" t="n">
        <v>1050000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t="15.5" customHeight="1" s="297">
      <c r="B385" s="401" t="n">
        <v>45500</v>
      </c>
      <c r="C385" s="402" t="n">
        <v>3</v>
      </c>
      <c r="D385" s="403" t="inlineStr">
        <is>
          <t>Tunajngan Lapangan JRK-163 (21-27 Juli 2024). 1US$=16.200</t>
        </is>
      </c>
      <c r="E385" s="403" t="n"/>
      <c r="F385" s="338" t="n">
        <v>700</v>
      </c>
      <c r="G385" s="314" t="inlineStr">
        <is>
          <t>IDR</t>
        </is>
      </c>
      <c r="H385" s="345" t="n">
        <v>16200</v>
      </c>
      <c r="I385" s="321" t="n"/>
      <c r="J385" s="329" t="n">
        <v>700</v>
      </c>
      <c r="K385" s="321" t="n"/>
      <c r="L385" s="321" t="n"/>
      <c r="M385" s="319" t="n"/>
      <c r="N385" s="321" t="n"/>
      <c r="O385" s="321" t="n"/>
      <c r="P385" s="321" t="n"/>
      <c r="Q385" s="321" t="n"/>
      <c r="R385" s="322" t="n"/>
      <c r="S385" s="322" t="n"/>
      <c r="T385" s="322" t="n"/>
      <c r="U385" s="322" t="n"/>
      <c r="V385" s="322" t="n"/>
      <c r="W385" s="322" t="n"/>
      <c r="X385" s="322" t="n"/>
    </row>
    <row r="386" ht="15.5" customHeight="1" s="297">
      <c r="B386" s="333" t="n"/>
      <c r="C386" s="314" t="n"/>
      <c r="D386" s="315" t="inlineStr">
        <is>
          <t>Operation</t>
        </is>
      </c>
      <c r="E386" s="377" t="n"/>
      <c r="F386" s="317" t="n"/>
      <c r="G386" s="314" t="n"/>
      <c r="H386" s="314" t="n"/>
      <c r="I386" s="320" t="n"/>
      <c r="J386" s="320" t="n"/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t="15.5" customHeight="1" s="297">
      <c r="B387" s="428" t="n">
        <v>45494</v>
      </c>
      <c r="C387" s="314" t="n">
        <v>8</v>
      </c>
      <c r="D387" s="326" t="inlineStr">
        <is>
          <t>Jakarta - Palembang</t>
        </is>
      </c>
      <c r="E387" s="326" t="n"/>
      <c r="F387" s="323" t="n">
        <v>985367</v>
      </c>
      <c r="G387" s="314" t="inlineStr">
        <is>
          <t>IDR</t>
        </is>
      </c>
      <c r="H387" s="345" t="n">
        <v>1</v>
      </c>
      <c r="I387" s="319" t="n"/>
      <c r="J387" s="329" t="n">
        <v>985367</v>
      </c>
      <c r="K387" s="321" t="n"/>
      <c r="L387" s="321" t="n"/>
      <c r="M387" s="321" t="n"/>
      <c r="N387" s="319" t="n"/>
      <c r="O387" s="321" t="n"/>
      <c r="P387" s="321" t="n"/>
      <c r="Q387" s="321" t="n"/>
      <c r="R387" s="322" t="n"/>
      <c r="S387" s="322" t="n"/>
      <c r="T387" s="322" t="n"/>
      <c r="U387" s="322" t="n"/>
      <c r="V387" s="322" t="n"/>
      <c r="W387" s="322" t="n"/>
      <c r="X387" s="322" t="n"/>
    </row>
    <row r="388" ht="15.5" customHeight="1" s="297">
      <c r="B388" s="333" t="n">
        <v>45500</v>
      </c>
      <c r="C388" s="314" t="n">
        <v>9</v>
      </c>
      <c r="D388" s="326" t="inlineStr">
        <is>
          <t>Palembang - Jakarta + Extra Bagage</t>
        </is>
      </c>
      <c r="E388" s="326" t="n"/>
      <c r="F388" s="323" t="n">
        <v>1175717</v>
      </c>
      <c r="G388" s="314" t="inlineStr">
        <is>
          <t>IDR</t>
        </is>
      </c>
      <c r="H388" s="345" t="n">
        <v>1</v>
      </c>
      <c r="I388" s="319" t="n"/>
      <c r="J388" s="329" t="n">
        <v>1175717</v>
      </c>
      <c r="K388" s="321" t="n"/>
      <c r="L388" s="321" t="n"/>
      <c r="M388" s="321" t="n"/>
      <c r="N388" s="319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45494</v>
      </c>
      <c r="C389" s="314" t="n">
        <v>10</v>
      </c>
      <c r="D389" s="326" t="inlineStr">
        <is>
          <t>Taxi + Tol to Airport Jakarta</t>
        </is>
      </c>
      <c r="E389" s="326" t="n"/>
      <c r="F389" s="323" t="n">
        <v>225520</v>
      </c>
      <c r="G389" s="314" t="inlineStr">
        <is>
          <t>IDR</t>
        </is>
      </c>
      <c r="H389" s="345" t="n">
        <v>1</v>
      </c>
      <c r="I389" s="319" t="n"/>
      <c r="J389" s="329" t="n">
        <v>225520</v>
      </c>
      <c r="K389" s="321" t="n"/>
      <c r="L389" s="321" t="n"/>
      <c r="M389" s="321" t="n"/>
      <c r="N389" s="319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/>
      <c r="C390" s="314" t="n"/>
      <c r="D390" s="330" t="inlineStr">
        <is>
          <t>Transportation</t>
        </is>
      </c>
      <c r="E390" s="378" t="n"/>
      <c r="F390" s="317" t="n"/>
      <c r="G390" s="314" t="n"/>
      <c r="H390" s="314" t="n"/>
      <c r="I390" s="319" t="n"/>
      <c r="J390" s="320" t="n"/>
      <c r="K390" s="321" t="n"/>
      <c r="L390" s="321" t="n"/>
      <c r="M390" s="321" t="n"/>
      <c r="N390" s="319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A391" s="346" t="n"/>
      <c r="B391" s="381" t="n">
        <v>45500</v>
      </c>
      <c r="C391" s="382" t="n">
        <v>1</v>
      </c>
      <c r="D391" s="383" t="inlineStr">
        <is>
          <t>ALFA JOB - JRK 163 (training 2nd_ IBR)</t>
        </is>
      </c>
      <c r="E391" s="396" t="n"/>
      <c r="F391" s="412" t="n">
        <v>2160000</v>
      </c>
      <c r="G391" s="382" t="inlineStr">
        <is>
          <t>IDR</t>
        </is>
      </c>
      <c r="H391" s="386" t="n">
        <v>1</v>
      </c>
      <c r="I391" s="397" t="n"/>
      <c r="J391" s="387" t="n">
        <v>2160000</v>
      </c>
      <c r="K391" s="388" t="n"/>
      <c r="L391" s="388" t="n"/>
      <c r="M391" s="388" t="n"/>
      <c r="N391" s="397" t="n"/>
      <c r="O391" s="388" t="n"/>
      <c r="P391" s="388" t="n"/>
      <c r="Q391" s="388" t="n"/>
      <c r="R391" s="365" t="n"/>
      <c r="S391" s="365" t="n"/>
      <c r="T391" s="365" t="n"/>
      <c r="U391" s="365" t="n"/>
      <c r="V391" s="365" t="n"/>
      <c r="W391" s="365" t="n"/>
      <c r="X391" s="365" t="n"/>
    </row>
    <row r="392" hidden="1" ht="15.5" customHeight="1" s="297">
      <c r="A392" s="346" t="n"/>
      <c r="B392" s="333" t="n"/>
      <c r="C392" s="314" t="n"/>
      <c r="D392" s="378" t="n"/>
      <c r="E392" s="378" t="n"/>
      <c r="F392" s="323" t="n"/>
      <c r="G392" s="314" t="n"/>
      <c r="H392" s="345" t="n"/>
      <c r="I392" s="319" t="n"/>
      <c r="J392" s="329" t="n"/>
      <c r="K392" s="321" t="n"/>
      <c r="L392" s="321" t="n"/>
      <c r="M392" s="321" t="n"/>
      <c r="N392" s="319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idden="1" ht="15.5" customHeight="1" s="297">
      <c r="A393" s="346" t="n"/>
      <c r="B393" s="333" t="n"/>
      <c r="C393" s="314" t="n"/>
      <c r="D393" s="378" t="n"/>
      <c r="E393" s="378" t="n"/>
      <c r="F393" s="323" t="n"/>
      <c r="G393" s="314" t="n"/>
      <c r="H393" s="345" t="n"/>
      <c r="I393" s="319" t="n"/>
      <c r="J393" s="320" t="n"/>
      <c r="K393" s="321" t="n"/>
      <c r="L393" s="321" t="n"/>
      <c r="M393" s="321" t="n"/>
      <c r="N393" s="325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idden="1" ht="15.5" customHeight="1" s="297">
      <c r="A394" s="346" t="n"/>
      <c r="B394" s="333" t="n"/>
      <c r="C394" s="314" t="n"/>
      <c r="D394" s="378" t="n"/>
      <c r="E394" s="378" t="n"/>
      <c r="F394" s="323" t="n"/>
      <c r="G394" s="314" t="n"/>
      <c r="H394" s="345" t="n"/>
      <c r="I394" s="319" t="n"/>
      <c r="J394" s="320" t="n"/>
      <c r="K394" s="321" t="n"/>
      <c r="L394" s="321" t="n"/>
      <c r="M394" s="321" t="n"/>
      <c r="N394" s="325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idden="1" ht="15.5" customHeight="1" s="297">
      <c r="A395" s="346" t="n"/>
      <c r="B395" s="333" t="n"/>
      <c r="C395" s="314" t="n"/>
      <c r="D395" s="378" t="n"/>
      <c r="E395" s="378" t="n"/>
      <c r="F395" s="323" t="n"/>
      <c r="G395" s="314" t="n"/>
      <c r="H395" s="345" t="n"/>
      <c r="I395" s="319" t="n"/>
      <c r="J395" s="320" t="n"/>
      <c r="K395" s="321" t="n"/>
      <c r="L395" s="321" t="n"/>
      <c r="M395" s="321" t="n"/>
      <c r="N395" s="325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idden="1" ht="15.5" customHeight="1" s="297">
      <c r="A396" s="346" t="n"/>
      <c r="B396" s="333" t="n"/>
      <c r="C396" s="314" t="n"/>
      <c r="D396" s="378" t="n"/>
      <c r="E396" s="378" t="n"/>
      <c r="F396" s="323" t="n"/>
      <c r="G396" s="314" t="n"/>
      <c r="H396" s="345" t="n"/>
      <c r="I396" s="319" t="n"/>
      <c r="J396" s="329" t="n"/>
      <c r="K396" s="321" t="n"/>
      <c r="L396" s="321" t="n"/>
      <c r="M396" s="321" t="n"/>
      <c r="N396" s="319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A397" s="346" t="n"/>
      <c r="B397" s="333" t="n"/>
      <c r="C397" s="314" t="n"/>
      <c r="D397" s="378" t="n"/>
      <c r="E397" s="378" t="n"/>
      <c r="F397" s="323" t="n"/>
      <c r="G397" s="314" t="n"/>
      <c r="H397" s="345" t="n"/>
      <c r="I397" s="319" t="n"/>
      <c r="J397" s="329" t="n"/>
      <c r="K397" s="321" t="n"/>
      <c r="L397" s="321" t="n"/>
      <c r="M397" s="321" t="n"/>
      <c r="N397" s="319" t="n"/>
      <c r="O397" s="321" t="n"/>
      <c r="P397" s="321" t="n"/>
      <c r="Q397" s="321" t="n"/>
      <c r="R397" s="322" t="n"/>
      <c r="S397" s="322" t="n"/>
      <c r="T397" s="322" t="n"/>
      <c r="U397" s="322" t="n"/>
      <c r="V397" s="322" t="n"/>
      <c r="W397" s="322" t="n"/>
      <c r="X397" s="322" t="n"/>
    </row>
    <row r="398" hidden="1" ht="15.5" customHeight="1" s="297">
      <c r="A398" s="346" t="n"/>
      <c r="B398" s="333" t="n"/>
      <c r="C398" s="314" t="n"/>
      <c r="D398" s="378" t="n"/>
      <c r="E398" s="378" t="n"/>
      <c r="F398" s="323" t="n"/>
      <c r="G398" s="314" t="n"/>
      <c r="H398" s="345" t="n"/>
      <c r="I398" s="319" t="n"/>
      <c r="J398" s="329" t="n"/>
      <c r="K398" s="321" t="n"/>
      <c r="L398" s="321" t="n"/>
      <c r="M398" s="321" t="n"/>
      <c r="N398" s="319" t="n"/>
      <c r="O398" s="321" t="n"/>
      <c r="P398" s="321" t="n"/>
      <c r="Q398" s="321" t="n"/>
      <c r="R398" s="322" t="n"/>
      <c r="S398" s="322" t="n"/>
      <c r="T398" s="322" t="n"/>
      <c r="U398" s="322" t="n"/>
      <c r="V398" s="322" t="n"/>
      <c r="W398" s="322" t="n"/>
      <c r="X398" s="322" t="n"/>
    </row>
    <row r="399" hidden="1" ht="15.5" customHeight="1" s="297">
      <c r="A399" s="346" t="n"/>
      <c r="B399" s="333" t="n"/>
      <c r="C399" s="314" t="n"/>
      <c r="D399" s="378" t="n"/>
      <c r="E399" s="378" t="n"/>
      <c r="F399" s="323" t="n"/>
      <c r="G399" s="314" t="n"/>
      <c r="H399" s="345" t="n"/>
      <c r="I399" s="319" t="n"/>
      <c r="J399" s="329" t="n"/>
      <c r="K399" s="321" t="n"/>
      <c r="L399" s="321" t="n"/>
      <c r="M399" s="321" t="n"/>
      <c r="N399" s="319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A400" s="346" t="n"/>
      <c r="B400" s="381" t="n">
        <v>45463</v>
      </c>
      <c r="C400" s="382" t="n">
        <v>1</v>
      </c>
      <c r="D400" s="383" t="inlineStr">
        <is>
          <t>TIS-Blora Field-PLT ALFA BHS by BARIKIN - IC</t>
        </is>
      </c>
      <c r="E400" s="396" t="n"/>
      <c r="F400" s="412" t="n">
        <v>600000</v>
      </c>
      <c r="G400" s="382" t="inlineStr">
        <is>
          <t>IDR</t>
        </is>
      </c>
      <c r="H400" s="386" t="n">
        <v>1</v>
      </c>
      <c r="I400" s="397" t="n"/>
      <c r="J400" s="387" t="n">
        <v>600000</v>
      </c>
      <c r="K400" s="388" t="n"/>
      <c r="L400" s="388" t="n"/>
      <c r="M400" s="388" t="n"/>
      <c r="N400" s="397" t="n"/>
      <c r="O400" s="388" t="n"/>
      <c r="P400" s="388" t="n"/>
      <c r="Q400" s="388" t="n"/>
      <c r="R400" s="365" t="n"/>
      <c r="S400" s="365" t="n"/>
      <c r="T400" s="365" t="n"/>
      <c r="U400" s="365" t="n"/>
      <c r="V400" s="365" t="n"/>
      <c r="W400" s="365" t="n"/>
      <c r="X400" s="365" t="n"/>
    </row>
    <row r="401" hidden="1" ht="15.5" customHeight="1" s="297">
      <c r="A401" s="346" t="n"/>
      <c r="B401" s="333" t="n"/>
      <c r="C401" s="314" t="n"/>
      <c r="D401" s="378" t="n"/>
      <c r="E401" s="378" t="n"/>
      <c r="F401" s="323" t="n"/>
      <c r="G401" s="314" t="n"/>
      <c r="H401" s="345" t="n"/>
      <c r="I401" s="319" t="n"/>
      <c r="J401" s="329" t="n"/>
      <c r="K401" s="321" t="n"/>
      <c r="L401" s="321" t="n"/>
      <c r="M401" s="321" t="n"/>
      <c r="N401" s="319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idden="1" ht="15.5" customHeight="1" s="297">
      <c r="A402" s="346" t="n"/>
      <c r="B402" s="333" t="n"/>
      <c r="C402" s="314" t="n"/>
      <c r="D402" s="378" t="n"/>
      <c r="E402" s="378" t="n"/>
      <c r="F402" s="323" t="n"/>
      <c r="G402" s="314" t="n"/>
      <c r="H402" s="345" t="n"/>
      <c r="I402" s="319" t="n"/>
      <c r="J402" s="329" t="n"/>
      <c r="K402" s="321" t="n"/>
      <c r="L402" s="321" t="n"/>
      <c r="M402" s="321" t="n"/>
      <c r="N402" s="319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idden="1" ht="15.5" customHeight="1" s="297">
      <c r="A403" s="346" t="n"/>
      <c r="B403" s="333" t="n"/>
      <c r="C403" s="314" t="n"/>
      <c r="D403" s="378" t="n"/>
      <c r="E403" s="378" t="n"/>
      <c r="F403" s="323" t="n"/>
      <c r="G403" s="314" t="n"/>
      <c r="H403" s="345" t="n"/>
      <c r="I403" s="319" t="n"/>
      <c r="J403" s="329" t="n"/>
      <c r="K403" s="321" t="n"/>
      <c r="L403" s="321" t="n"/>
      <c r="M403" s="321" t="n"/>
      <c r="N403" s="319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idden="1" ht="15.5" customHeight="1" s="297">
      <c r="A404" s="346" t="n"/>
      <c r="B404" s="333" t="n"/>
      <c r="C404" s="314" t="n"/>
      <c r="D404" s="378" t="n"/>
      <c r="E404" s="378" t="n"/>
      <c r="F404" s="323" t="n"/>
      <c r="G404" s="314" t="n"/>
      <c r="H404" s="345" t="n"/>
      <c r="I404" s="319" t="n"/>
      <c r="J404" s="329" t="n"/>
      <c r="K404" s="321" t="n"/>
      <c r="L404" s="321" t="n"/>
      <c r="M404" s="321" t="n"/>
      <c r="N404" s="319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idden="1" ht="15.5" customHeight="1" s="297">
      <c r="A405" s="346" t="n"/>
      <c r="B405" s="333" t="n"/>
      <c r="C405" s="314" t="n"/>
      <c r="D405" s="378" t="n"/>
      <c r="E405" s="378" t="n"/>
      <c r="F405" s="323" t="n"/>
      <c r="G405" s="314" t="n"/>
      <c r="H405" s="345" t="n"/>
      <c r="I405" s="319" t="n"/>
      <c r="J405" s="329" t="n"/>
      <c r="K405" s="321" t="n"/>
      <c r="L405" s="321" t="n"/>
      <c r="M405" s="321" t="n"/>
      <c r="N405" s="319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idden="1" ht="15.5" customHeight="1" s="297">
      <c r="A406" s="346" t="n"/>
      <c r="B406" s="333" t="n"/>
      <c r="C406" s="314" t="n"/>
      <c r="D406" s="378" t="n"/>
      <c r="E406" s="378" t="n"/>
      <c r="F406" s="323" t="n"/>
      <c r="G406" s="314" t="n"/>
      <c r="H406" s="345" t="n"/>
      <c r="I406" s="319" t="n"/>
      <c r="J406" s="329" t="n"/>
      <c r="K406" s="321" t="n"/>
      <c r="L406" s="321" t="n"/>
      <c r="M406" s="321" t="n"/>
      <c r="N406" s="319" t="n"/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idden="1" ht="15.5" customHeight="1" s="297">
      <c r="A407" s="346" t="n"/>
      <c r="B407" s="333" t="n"/>
      <c r="C407" s="314" t="n"/>
      <c r="D407" s="378" t="n"/>
      <c r="E407" s="378" t="n"/>
      <c r="F407" s="323" t="n"/>
      <c r="G407" s="314" t="n"/>
      <c r="H407" s="345" t="n"/>
      <c r="I407" s="319" t="n"/>
      <c r="J407" s="329" t="n"/>
      <c r="K407" s="321" t="n"/>
      <c r="L407" s="321" t="n"/>
      <c r="M407" s="321" t="n"/>
      <c r="N407" s="319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idden="1" ht="15.5" customHeight="1" s="297">
      <c r="B408" s="404" t="n"/>
      <c r="C408" s="405" t="n"/>
      <c r="D408" s="413" t="n"/>
      <c r="E408" s="413" t="n"/>
      <c r="F408" s="414" t="n"/>
      <c r="G408" s="405" t="n"/>
      <c r="H408" s="405" t="n"/>
      <c r="I408" s="376" t="n"/>
      <c r="J408" s="370" t="n"/>
      <c r="K408" s="371" t="n"/>
      <c r="L408" s="371" t="n"/>
      <c r="M408" s="371" t="n"/>
      <c r="N408" s="376" t="n"/>
      <c r="O408" s="371" t="n"/>
      <c r="P408" s="371" t="n"/>
      <c r="Q408" s="371" t="n"/>
      <c r="R408" s="372" t="n"/>
      <c r="S408" s="372" t="n"/>
      <c r="T408" s="372" t="n"/>
      <c r="U408" s="372" t="n"/>
      <c r="V408" s="372" t="n"/>
      <c r="W408" s="372" t="n"/>
      <c r="X408" s="372" t="n"/>
    </row>
    <row r="409" ht="15.5" customHeight="1" s="297">
      <c r="A409" s="346" t="n"/>
      <c r="B409" s="381" t="n">
        <v>45512</v>
      </c>
      <c r="C409" s="382" t="n">
        <v>1</v>
      </c>
      <c r="D409" s="357" t="inlineStr">
        <is>
          <t>ALFA-MPLT-BHS_ RBG 3B PT. TIS under Barikin sakti _DS</t>
        </is>
      </c>
      <c r="E409" s="361" t="n"/>
      <c r="F409" s="412" t="n">
        <v>16100000</v>
      </c>
      <c r="G409" s="382" t="inlineStr">
        <is>
          <t>USD</t>
        </is>
      </c>
      <c r="H409" s="386" t="n">
        <v>16100</v>
      </c>
      <c r="I409" s="397" t="n"/>
      <c r="J409" s="387" t="n">
        <v>16100000</v>
      </c>
      <c r="K409" s="388" t="n"/>
      <c r="L409" s="388" t="n"/>
      <c r="M409" s="388" t="n"/>
      <c r="N409" s="397" t="n"/>
      <c r="O409" s="388" t="n"/>
      <c r="P409" s="388" t="n"/>
      <c r="Q409" s="388" t="n"/>
      <c r="R409" s="365" t="n"/>
      <c r="S409" s="365" t="n"/>
      <c r="T409" s="365" t="n"/>
      <c r="U409" s="365" t="n"/>
      <c r="V409" s="365" t="n"/>
      <c r="W409" s="365" t="n"/>
      <c r="X409" s="365" t="n"/>
    </row>
    <row r="410" hidden="1" ht="15.5" customHeight="1" s="297">
      <c r="A410" s="346" t="n"/>
      <c r="B410" s="333" t="n"/>
      <c r="C410" s="314" t="n"/>
      <c r="D410" s="316" t="n"/>
      <c r="E410" s="316" t="n"/>
      <c r="F410" s="323" t="n"/>
      <c r="G410" s="314" t="n"/>
      <c r="H410" s="345" t="n"/>
      <c r="I410" s="319" t="n"/>
      <c r="J410" s="329" t="n"/>
      <c r="K410" s="321" t="n"/>
      <c r="L410" s="321" t="n"/>
      <c r="M410" s="321" t="n"/>
      <c r="N410" s="319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idden="1" ht="15.5" customHeight="1" s="297">
      <c r="A411" s="346" t="n"/>
      <c r="B411" s="333" t="n"/>
      <c r="C411" s="314" t="n"/>
      <c r="D411" s="316" t="n"/>
      <c r="E411" s="316" t="n"/>
      <c r="F411" s="323" t="n"/>
      <c r="G411" s="314" t="n"/>
      <c r="H411" s="345" t="n"/>
      <c r="I411" s="319" t="n"/>
      <c r="J411" s="320" t="n"/>
      <c r="K411" s="321" t="n"/>
      <c r="L411" s="321" t="n"/>
      <c r="M411" s="321" t="n"/>
      <c r="N411" s="325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idden="1" ht="15.5" customHeight="1" s="297">
      <c r="A412" s="346" t="n"/>
      <c r="B412" s="333" t="n"/>
      <c r="C412" s="314" t="n"/>
      <c r="D412" s="316" t="n"/>
      <c r="E412" s="316" t="n"/>
      <c r="F412" s="323" t="n"/>
      <c r="G412" s="314" t="n"/>
      <c r="H412" s="345" t="n"/>
      <c r="I412" s="319" t="n"/>
      <c r="J412" s="329" t="n"/>
      <c r="K412" s="321" t="n"/>
      <c r="L412" s="321" t="n"/>
      <c r="M412" s="321" t="n"/>
      <c r="N412" s="319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33" t="n"/>
      <c r="C413" s="314" t="n"/>
      <c r="D413" s="330" t="inlineStr">
        <is>
          <t>Transportation</t>
        </is>
      </c>
      <c r="E413" s="378" t="n"/>
      <c r="F413" s="317" t="n"/>
      <c r="G413" s="314" t="n"/>
      <c r="H413" s="314" t="n"/>
      <c r="I413" s="319" t="n"/>
      <c r="J413" s="320" t="n"/>
      <c r="K413" s="321" t="n"/>
      <c r="L413" s="321" t="n"/>
      <c r="M413" s="321" t="n"/>
      <c r="N413" s="319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idden="1" ht="15.5" customHeight="1" s="297">
      <c r="B414" s="404" t="n"/>
      <c r="C414" s="405" t="n"/>
      <c r="D414" s="429" t="n"/>
      <c r="E414" s="429" t="n"/>
      <c r="F414" s="414" t="n"/>
      <c r="G414" s="405" t="n"/>
      <c r="H414" s="405" t="n"/>
      <c r="I414" s="376" t="n"/>
      <c r="J414" s="370" t="n"/>
      <c r="K414" s="371" t="n"/>
      <c r="L414" s="371" t="n"/>
      <c r="M414" s="371" t="n"/>
      <c r="N414" s="376" t="n"/>
      <c r="O414" s="371" t="n"/>
      <c r="P414" s="371" t="n"/>
      <c r="Q414" s="371" t="n"/>
      <c r="R414" s="372" t="n"/>
      <c r="S414" s="372" t="n"/>
      <c r="T414" s="372" t="n"/>
      <c r="U414" s="372" t="n"/>
      <c r="V414" s="372" t="n"/>
      <c r="W414" s="372" t="n"/>
      <c r="X414" s="372" t="n"/>
    </row>
    <row r="415" hidden="1" ht="15.5" customHeight="1" s="297">
      <c r="B415" s="404" t="n"/>
      <c r="C415" s="405" t="n"/>
      <c r="D415" s="406" t="n"/>
      <c r="E415" s="406" t="n"/>
      <c r="F415" s="414" t="n"/>
      <c r="G415" s="405" t="n"/>
      <c r="H415" s="405" t="n"/>
      <c r="I415" s="430" t="n"/>
      <c r="J415" s="370" t="n"/>
      <c r="K415" s="371" t="n"/>
      <c r="L415" s="371" t="n"/>
      <c r="M415" s="371" t="n"/>
      <c r="N415" s="376" t="n"/>
      <c r="O415" s="371" t="n"/>
      <c r="P415" s="371" t="n"/>
      <c r="Q415" s="371" t="n"/>
      <c r="R415" s="372" t="n"/>
      <c r="S415" s="372" t="n"/>
      <c r="T415" s="372" t="n"/>
      <c r="U415" s="372" t="n"/>
      <c r="V415" s="372" t="n"/>
      <c r="W415" s="372" t="n"/>
      <c r="X415" s="372" t="n"/>
    </row>
    <row r="416" hidden="1" ht="15.5" customHeight="1" s="297">
      <c r="B416" s="404" t="n"/>
      <c r="C416" s="405" t="n"/>
      <c r="D416" s="431" t="n"/>
      <c r="E416" s="431" t="n"/>
      <c r="F416" s="414" t="n"/>
      <c r="G416" s="405" t="n"/>
      <c r="H416" s="405" t="n"/>
      <c r="I416" s="370" t="n"/>
      <c r="J416" s="370" t="n"/>
      <c r="K416" s="371" t="n"/>
      <c r="L416" s="371" t="n"/>
      <c r="M416" s="376" t="n"/>
      <c r="N416" s="376" t="n"/>
      <c r="O416" s="371" t="n"/>
      <c r="P416" s="371" t="n"/>
      <c r="Q416" s="371" t="n"/>
      <c r="R416" s="372" t="n"/>
      <c r="S416" s="372" t="n"/>
      <c r="T416" s="372" t="n"/>
      <c r="U416" s="372" t="n"/>
      <c r="V416" s="372" t="n"/>
      <c r="W416" s="372" t="n"/>
      <c r="X416" s="372" t="n"/>
    </row>
    <row r="417" hidden="1" ht="15.5" customHeight="1" s="297">
      <c r="B417" s="404" t="n"/>
      <c r="C417" s="405" t="n"/>
      <c r="D417" s="406" t="n"/>
      <c r="E417" s="406" t="n"/>
      <c r="F417" s="414" t="n"/>
      <c r="G417" s="405" t="n"/>
      <c r="H417" s="405" t="n"/>
      <c r="I417" s="370" t="n"/>
      <c r="J417" s="370" t="n"/>
      <c r="K417" s="371" t="n"/>
      <c r="L417" s="371" t="n"/>
      <c r="M417" s="376" t="n"/>
      <c r="N417" s="371" t="n"/>
      <c r="O417" s="371" t="n"/>
      <c r="P417" s="371" t="n"/>
      <c r="Q417" s="371" t="n"/>
      <c r="R417" s="372" t="n"/>
      <c r="S417" s="372" t="n"/>
      <c r="T417" s="372" t="n"/>
      <c r="U417" s="372" t="n"/>
      <c r="V417" s="372" t="n"/>
      <c r="W417" s="372" t="n"/>
      <c r="X417" s="372" t="n"/>
    </row>
    <row r="418" ht="15.5" customHeight="1" s="297">
      <c r="B418" s="333" t="n"/>
      <c r="C418" s="314" t="n"/>
      <c r="D418" s="330" t="inlineStr">
        <is>
          <t>Laundry</t>
        </is>
      </c>
      <c r="E418" s="378" t="n"/>
      <c r="F418" s="317" t="n"/>
      <c r="G418" s="314" t="n"/>
      <c r="H418" s="314" t="n"/>
      <c r="I418" s="320" t="n"/>
      <c r="J418" s="320" t="n"/>
      <c r="K418" s="321" t="n"/>
      <c r="L418" s="321" t="n"/>
      <c r="M418" s="319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>
        <v>45511</v>
      </c>
      <c r="C419" s="314" t="n">
        <v>5</v>
      </c>
      <c r="D419" s="326" t="inlineStr">
        <is>
          <t>Laundry (3 - 7 Aug 2024)</t>
        </is>
      </c>
      <c r="E419" s="326" t="n"/>
      <c r="F419" s="323" t="n">
        <v>250000</v>
      </c>
      <c r="G419" s="314" t="inlineStr">
        <is>
          <t>IDR</t>
        </is>
      </c>
      <c r="H419" s="345" t="n">
        <v>1</v>
      </c>
      <c r="I419" s="320" t="n"/>
      <c r="J419" s="329" t="n">
        <v>250000</v>
      </c>
      <c r="K419" s="321" t="n"/>
      <c r="L419" s="321" t="n"/>
      <c r="M419" s="320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/>
      <c r="C420" s="314" t="n"/>
      <c r="D420" s="330" t="inlineStr">
        <is>
          <t>Allowance</t>
        </is>
      </c>
      <c r="E420" s="378" t="n"/>
      <c r="F420" s="317" t="n"/>
      <c r="G420" s="314" t="n"/>
      <c r="H420" s="314" t="n"/>
      <c r="I420" s="320" t="n"/>
      <c r="J420" s="320" t="n"/>
      <c r="K420" s="321" t="n"/>
      <c r="L420" s="321" t="n"/>
      <c r="M420" s="319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t="15.5" customHeight="1" s="297">
      <c r="B421" s="333" t="n">
        <v>45511</v>
      </c>
      <c r="C421" s="314" t="n">
        <v>3</v>
      </c>
      <c r="D421" s="426" t="inlineStr">
        <is>
          <t>Uang Makan (3 - 7 Aug 2024)</t>
        </is>
      </c>
      <c r="E421" s="426" t="n"/>
      <c r="F421" s="323" t="n">
        <v>750000</v>
      </c>
      <c r="G421" s="314" t="inlineStr">
        <is>
          <t>IDR</t>
        </is>
      </c>
      <c r="H421" s="345" t="n">
        <v>1</v>
      </c>
      <c r="I421" s="320" t="n"/>
      <c r="J421" s="329" t="n">
        <v>750000</v>
      </c>
      <c r="K421" s="321" t="n"/>
      <c r="L421" s="321" t="n"/>
      <c r="M421" s="320" t="n"/>
      <c r="N421" s="321" t="n"/>
      <c r="O421" s="321" t="n"/>
      <c r="P421" s="321" t="n"/>
      <c r="Q421" s="321" t="n"/>
      <c r="R421" s="322" t="n"/>
      <c r="S421" s="322" t="n"/>
      <c r="T421" s="322" t="n"/>
      <c r="U421" s="322" t="n"/>
      <c r="V421" s="322" t="n"/>
      <c r="W421" s="322" t="n"/>
      <c r="X421" s="322" t="n"/>
    </row>
    <row r="422" ht="15.5" customHeight="1" s="297">
      <c r="B422" s="401" t="n">
        <v>45511</v>
      </c>
      <c r="C422" s="402" t="n">
        <v>4</v>
      </c>
      <c r="D422" s="432" t="inlineStr">
        <is>
          <t>Tunjangan LapanganRBG-3B PT. TIS (3-7 Aug 2024)</t>
        </is>
      </c>
      <c r="E422" s="432" t="n"/>
      <c r="F422" s="338" t="n">
        <v>500</v>
      </c>
      <c r="G422" s="314" t="inlineStr">
        <is>
          <t>IDR</t>
        </is>
      </c>
      <c r="H422" s="345" t="n">
        <v>15900</v>
      </c>
      <c r="I422" s="320" t="n"/>
      <c r="J422" s="329" t="n">
        <v>500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t="15.5" customHeight="1" s="297">
      <c r="B423" s="333" t="n"/>
      <c r="C423" s="314" t="n"/>
      <c r="D423" s="330" t="inlineStr">
        <is>
          <t>Accommodation</t>
        </is>
      </c>
      <c r="E423" s="378" t="n"/>
      <c r="F423" s="332" t="n"/>
      <c r="G423" s="314" t="n"/>
      <c r="H423" s="314" t="n"/>
      <c r="I423" s="320" t="n"/>
      <c r="J423" s="320" t="n"/>
      <c r="K423" s="321" t="n"/>
      <c r="L423" s="321" t="n"/>
      <c r="M423" s="321" t="n"/>
      <c r="N423" s="321" t="n"/>
      <c r="O423" s="321" t="n"/>
      <c r="P423" s="321" t="n"/>
      <c r="Q423" s="321" t="n"/>
      <c r="R423" s="322" t="n"/>
      <c r="S423" s="322" t="n"/>
      <c r="T423" s="322" t="n"/>
      <c r="U423" s="322" t="n"/>
      <c r="V423" s="322" t="n"/>
      <c r="W423" s="322" t="n"/>
      <c r="X423" s="322" t="n"/>
    </row>
    <row r="424" ht="15.5" customHeight="1" s="297">
      <c r="B424" s="333" t="n">
        <v>45507</v>
      </c>
      <c r="C424" s="314" t="n">
        <v>1</v>
      </c>
      <c r="D424" s="326" t="inlineStr">
        <is>
          <t>Hotel 3 Aug - 6 Aug 2024 (2 rooms)</t>
        </is>
      </c>
      <c r="E424" s="326" t="n"/>
      <c r="F424" s="334" t="n">
        <v>1591200</v>
      </c>
      <c r="G424" s="314" t="inlineStr">
        <is>
          <t>IDR</t>
        </is>
      </c>
      <c r="H424" s="345" t="n">
        <v>1</v>
      </c>
      <c r="I424" s="320" t="n"/>
      <c r="J424" s="329" t="n">
        <v>1591200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A425" s="346" t="n"/>
      <c r="B425" s="381" t="n">
        <v>45509</v>
      </c>
      <c r="C425" s="382" t="n">
        <v>2</v>
      </c>
      <c r="D425" s="383" t="inlineStr">
        <is>
          <t>Non tripo 1st -- MCU + Pembelian barang kelengkapan pump AC</t>
        </is>
      </c>
      <c r="E425" s="384" t="n"/>
      <c r="F425" s="385" t="n">
        <v>795600</v>
      </c>
      <c r="G425" s="382" t="inlineStr">
        <is>
          <t>IDR</t>
        </is>
      </c>
      <c r="H425" s="386" t="n">
        <v>1</v>
      </c>
      <c r="I425" s="364" t="n"/>
      <c r="J425" s="387" t="n">
        <v>795600</v>
      </c>
      <c r="K425" s="388" t="n"/>
      <c r="L425" s="388" t="n"/>
      <c r="M425" s="388" t="n"/>
      <c r="N425" s="388" t="n"/>
      <c r="O425" s="388" t="n"/>
      <c r="P425" s="388" t="n"/>
      <c r="Q425" s="388" t="n"/>
      <c r="R425" s="365" t="n"/>
      <c r="S425" s="365" t="n"/>
      <c r="T425" s="365" t="n"/>
      <c r="U425" s="365" t="n"/>
      <c r="V425" s="365" t="n"/>
      <c r="W425" s="365" t="n"/>
      <c r="X425" s="365" t="n"/>
    </row>
    <row r="426" hidden="1" ht="15.5" customHeight="1" s="297">
      <c r="A426" s="346" t="n"/>
      <c r="B426" s="333" t="n"/>
      <c r="C426" s="314" t="n"/>
      <c r="D426" s="326" t="n"/>
      <c r="E426" s="326" t="n"/>
      <c r="F426" s="334" t="n"/>
      <c r="G426" s="314" t="n"/>
      <c r="H426" s="345" t="n"/>
      <c r="I426" s="320" t="n"/>
      <c r="J426" s="329" t="n"/>
      <c r="K426" s="321" t="n"/>
      <c r="L426" s="321" t="n"/>
      <c r="M426" s="321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idden="1" ht="15.5" customHeight="1" s="297">
      <c r="A427" s="346" t="n"/>
      <c r="B427" s="333" t="n"/>
      <c r="C427" s="314" t="n"/>
      <c r="D427" s="326" t="n"/>
      <c r="E427" s="326" t="n"/>
      <c r="F427" s="334" t="n"/>
      <c r="G427" s="314" t="n"/>
      <c r="H427" s="345" t="n"/>
      <c r="I427" s="320" t="n"/>
      <c r="J427" s="329" t="n"/>
      <c r="K427" s="321" t="n"/>
      <c r="L427" s="321" t="n"/>
      <c r="M427" s="321" t="n"/>
      <c r="N427" s="321" t="n"/>
      <c r="O427" s="321" t="n"/>
      <c r="P427" s="321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idden="1" ht="15.5" customHeight="1" s="297">
      <c r="A428" s="346" t="n"/>
      <c r="B428" s="333" t="n"/>
      <c r="C428" s="314" t="n"/>
      <c r="D428" s="326" t="n"/>
      <c r="E428" s="326" t="n"/>
      <c r="F428" s="334" t="n"/>
      <c r="G428" s="314" t="n"/>
      <c r="H428" s="345" t="n"/>
      <c r="I428" s="320" t="n"/>
      <c r="J428" s="329" t="n"/>
      <c r="K428" s="321" t="n"/>
      <c r="L428" s="321" t="n"/>
      <c r="M428" s="321" t="n"/>
      <c r="N428" s="321" t="n"/>
      <c r="O428" s="321" t="n"/>
      <c r="P428" s="321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idden="1" ht="15.5" customHeight="1" s="297">
      <c r="A429" s="346" t="n"/>
      <c r="B429" s="333" t="n"/>
      <c r="C429" s="314" t="n"/>
      <c r="D429" s="326" t="n"/>
      <c r="E429" s="326" t="n"/>
      <c r="F429" s="334" t="n"/>
      <c r="G429" s="314" t="n"/>
      <c r="H429" s="345" t="n"/>
      <c r="I429" s="320" t="n"/>
      <c r="J429" s="329" t="n"/>
      <c r="K429" s="321" t="n"/>
      <c r="L429" s="321" t="n"/>
      <c r="M429" s="321" t="n"/>
      <c r="N429" s="321" t="n"/>
      <c r="O429" s="321" t="n"/>
      <c r="P429" s="321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idden="1" ht="15.5" customHeight="1" s="297">
      <c r="B430" s="374" t="n"/>
      <c r="C430" s="367" t="n"/>
      <c r="D430" s="375" t="n"/>
      <c r="E430" s="375" t="n"/>
      <c r="F430" s="369" t="n"/>
      <c r="G430" s="367" t="n"/>
      <c r="H430" s="367" t="n"/>
      <c r="I430" s="370" t="n"/>
      <c r="J430" s="370" t="n"/>
      <c r="K430" s="371" t="n"/>
      <c r="L430" s="371" t="n"/>
      <c r="M430" s="371" t="n"/>
      <c r="N430" s="371" t="n"/>
      <c r="O430" s="371" t="n"/>
      <c r="P430" s="371" t="n"/>
      <c r="Q430" s="371" t="n"/>
      <c r="R430" s="372" t="n"/>
      <c r="S430" s="372" t="n"/>
      <c r="T430" s="372" t="n"/>
      <c r="U430" s="372" t="n"/>
      <c r="V430" s="372" t="n"/>
      <c r="W430" s="372" t="n"/>
      <c r="X430" s="372" t="n"/>
    </row>
    <row r="431" ht="15.5" customHeight="1" s="297">
      <c r="B431" s="333" t="n"/>
      <c r="C431" s="314" t="n"/>
      <c r="D431" s="330" t="inlineStr">
        <is>
          <t>Logistic</t>
        </is>
      </c>
      <c r="E431" s="378" t="n"/>
      <c r="F431" s="332" t="n"/>
      <c r="G431" s="314" t="n"/>
      <c r="H431" s="314" t="n"/>
      <c r="I431" s="320" t="n"/>
      <c r="J431" s="320" t="n"/>
      <c r="K431" s="321" t="n"/>
      <c r="L431" s="321" t="n"/>
      <c r="M431" s="321" t="n"/>
      <c r="N431" s="321" t="n"/>
      <c r="O431" s="321" t="n"/>
      <c r="P431" s="321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idden="1" ht="15.5" customHeight="1" s="297">
      <c r="B432" s="374" t="n"/>
      <c r="C432" s="367" t="n"/>
      <c r="D432" s="375" t="n"/>
      <c r="E432" s="375" t="n"/>
      <c r="F432" s="369" t="n"/>
      <c r="G432" s="367" t="n"/>
      <c r="H432" s="367" t="n"/>
      <c r="I432" s="376" t="n"/>
      <c r="J432" s="370" t="n"/>
      <c r="K432" s="371" t="n"/>
      <c r="L432" s="371" t="n"/>
      <c r="M432" s="371" t="n"/>
      <c r="N432" s="371" t="n"/>
      <c r="O432" s="371" t="n"/>
      <c r="P432" s="371" t="n"/>
      <c r="Q432" s="371" t="n"/>
      <c r="R432" s="372" t="n"/>
      <c r="S432" s="372" t="n"/>
      <c r="T432" s="372" t="n"/>
      <c r="U432" s="372" t="n"/>
      <c r="V432" s="372" t="n"/>
      <c r="W432" s="372" t="n"/>
      <c r="X432" s="372" t="n"/>
    </row>
    <row r="433" hidden="1" ht="15.5" customHeight="1" s="297">
      <c r="B433" s="374" t="n"/>
      <c r="C433" s="367" t="n"/>
      <c r="D433" s="375" t="n"/>
      <c r="E433" s="375" t="n"/>
      <c r="F433" s="369" t="n"/>
      <c r="G433" s="367" t="n"/>
      <c r="H433" s="367" t="n"/>
      <c r="I433" s="376" t="n"/>
      <c r="J433" s="370" t="n"/>
      <c r="K433" s="371" t="n"/>
      <c r="L433" s="371" t="n"/>
      <c r="M433" s="371" t="n"/>
      <c r="N433" s="371" t="n"/>
      <c r="O433" s="371" t="n"/>
      <c r="P433" s="371" t="n"/>
      <c r="Q433" s="371" t="n"/>
      <c r="R433" s="372" t="n"/>
      <c r="S433" s="372" t="n"/>
      <c r="T433" s="372" t="n"/>
      <c r="U433" s="372" t="n"/>
      <c r="V433" s="372" t="n"/>
      <c r="W433" s="372" t="n"/>
      <c r="X433" s="372" t="n"/>
    </row>
    <row r="434" hidden="1" ht="15.5" customHeight="1" s="297">
      <c r="B434" s="374" t="n"/>
      <c r="C434" s="367" t="n"/>
      <c r="D434" s="375" t="n"/>
      <c r="E434" s="375" t="n"/>
      <c r="F434" s="369" t="n"/>
      <c r="G434" s="367" t="n"/>
      <c r="H434" s="367" t="n"/>
      <c r="I434" s="376" t="n"/>
      <c r="J434" s="370" t="n"/>
      <c r="K434" s="371" t="n"/>
      <c r="L434" s="371" t="n"/>
      <c r="M434" s="371" t="n"/>
      <c r="N434" s="371" t="n"/>
      <c r="O434" s="371" t="n"/>
      <c r="P434" s="371" t="n"/>
      <c r="Q434" s="371" t="n"/>
      <c r="R434" s="372" t="n"/>
      <c r="S434" s="372" t="n"/>
      <c r="T434" s="372" t="n"/>
      <c r="U434" s="372" t="n"/>
      <c r="V434" s="372" t="n"/>
      <c r="W434" s="372" t="n"/>
      <c r="X434" s="372" t="n"/>
    </row>
    <row r="435" hidden="1" ht="15.5" customHeight="1" s="297">
      <c r="B435" s="374" t="n"/>
      <c r="C435" s="367" t="n"/>
      <c r="D435" s="375" t="n"/>
      <c r="E435" s="375" t="n"/>
      <c r="F435" s="369" t="n"/>
      <c r="G435" s="367" t="n"/>
      <c r="H435" s="367" t="n"/>
      <c r="I435" s="376" t="n"/>
      <c r="J435" s="370" t="n"/>
      <c r="K435" s="371" t="n"/>
      <c r="L435" s="371" t="n"/>
      <c r="M435" s="371" t="n"/>
      <c r="N435" s="371" t="n"/>
      <c r="O435" s="371" t="n"/>
      <c r="P435" s="371" t="n"/>
      <c r="Q435" s="371" t="n"/>
      <c r="R435" s="372" t="n"/>
      <c r="S435" s="372" t="n"/>
      <c r="T435" s="372" t="n"/>
      <c r="U435" s="372" t="n"/>
      <c r="V435" s="372" t="n"/>
      <c r="W435" s="372" t="n"/>
      <c r="X435" s="372" t="n"/>
    </row>
    <row r="436" hidden="1" ht="15.5" customHeight="1" s="297">
      <c r="B436" s="374" t="n"/>
      <c r="C436" s="367" t="n"/>
      <c r="D436" s="418" t="n"/>
      <c r="E436" s="418" t="n"/>
      <c r="F436" s="369" t="n"/>
      <c r="G436" s="367" t="n"/>
      <c r="H436" s="367" t="n"/>
      <c r="I436" s="376" t="n"/>
      <c r="J436" s="370" t="n"/>
      <c r="K436" s="371" t="n"/>
      <c r="L436" s="371" t="n"/>
      <c r="M436" s="371" t="n"/>
      <c r="N436" s="371" t="n"/>
      <c r="O436" s="371" t="n"/>
      <c r="P436" s="371" t="n"/>
      <c r="Q436" s="371" t="n"/>
      <c r="R436" s="372" t="n"/>
      <c r="S436" s="372" t="n"/>
      <c r="T436" s="372" t="n"/>
      <c r="U436" s="372" t="n"/>
      <c r="V436" s="372" t="n"/>
      <c r="W436" s="372" t="n"/>
      <c r="X436" s="372" t="n"/>
    </row>
    <row r="437" hidden="1" ht="15.5" customHeight="1" s="297">
      <c r="B437" s="374" t="n"/>
      <c r="C437" s="367" t="n"/>
      <c r="D437" s="418" t="n"/>
      <c r="E437" s="418" t="n"/>
      <c r="F437" s="369" t="n"/>
      <c r="G437" s="367" t="n"/>
      <c r="H437" s="367" t="n"/>
      <c r="I437" s="376" t="n"/>
      <c r="J437" s="370" t="n"/>
      <c r="K437" s="371" t="n"/>
      <c r="L437" s="371" t="n"/>
      <c r="M437" s="371" t="n"/>
      <c r="N437" s="371" t="n"/>
      <c r="O437" s="371" t="n"/>
      <c r="P437" s="371" t="n"/>
      <c r="Q437" s="371" t="n"/>
      <c r="R437" s="372" t="n"/>
      <c r="S437" s="372" t="n"/>
      <c r="T437" s="372" t="n"/>
      <c r="U437" s="372" t="n"/>
      <c r="V437" s="372" t="n"/>
      <c r="W437" s="372" t="n"/>
      <c r="X437" s="372" t="n"/>
    </row>
    <row r="438" hidden="1" ht="15.5" customHeight="1" s="297">
      <c r="B438" s="374" t="n"/>
      <c r="C438" s="367" t="n"/>
      <c r="D438" s="375" t="n"/>
      <c r="E438" s="375" t="n"/>
      <c r="F438" s="369" t="n"/>
      <c r="G438" s="367" t="n"/>
      <c r="H438" s="367" t="n"/>
      <c r="I438" s="376" t="n"/>
      <c r="J438" s="370" t="n"/>
      <c r="K438" s="371" t="n"/>
      <c r="L438" s="371" t="n"/>
      <c r="M438" s="371" t="n"/>
      <c r="N438" s="371" t="n"/>
      <c r="O438" s="371" t="n"/>
      <c r="P438" s="371" t="n"/>
      <c r="Q438" s="371" t="n"/>
      <c r="R438" s="372" t="n"/>
      <c r="S438" s="372" t="n"/>
      <c r="T438" s="372" t="n"/>
      <c r="U438" s="372" t="n"/>
      <c r="V438" s="372" t="n"/>
      <c r="W438" s="372" t="n"/>
      <c r="X438" s="372" t="n"/>
    </row>
    <row r="439" ht="15.5" customHeight="1" s="297">
      <c r="B439" s="333" t="n"/>
      <c r="C439" s="433" t="n"/>
      <c r="D439" s="330" t="inlineStr">
        <is>
          <t>Medical</t>
        </is>
      </c>
      <c r="E439" s="378" t="n"/>
      <c r="F439" s="332" t="n"/>
      <c r="G439" s="314" t="n"/>
      <c r="H439" s="314" t="n"/>
      <c r="I439" s="320" t="n"/>
      <c r="J439" s="320" t="n"/>
      <c r="K439" s="321" t="n"/>
      <c r="L439" s="321" t="n"/>
      <c r="M439" s="321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idden="1" ht="15.5" customHeight="1" s="297">
      <c r="B440" s="374" t="n"/>
      <c r="C440" s="367" t="n"/>
      <c r="D440" s="375" t="n"/>
      <c r="E440" s="375" t="n"/>
      <c r="F440" s="380" t="n"/>
      <c r="G440" s="367" t="n"/>
      <c r="H440" s="367" t="n"/>
      <c r="I440" s="370" t="n"/>
      <c r="J440" s="370" t="n"/>
      <c r="K440" s="371" t="n"/>
      <c r="L440" s="371" t="n"/>
      <c r="M440" s="371" t="n"/>
      <c r="N440" s="371" t="n"/>
      <c r="O440" s="371" t="n"/>
      <c r="P440" s="371" t="n"/>
      <c r="Q440" s="371" t="n"/>
      <c r="R440" s="372" t="n"/>
      <c r="S440" s="372" t="n"/>
      <c r="T440" s="372" t="n"/>
      <c r="U440" s="372" t="n"/>
      <c r="V440" s="372" t="n"/>
      <c r="W440" s="372" t="n"/>
      <c r="X440" s="372" t="n"/>
    </row>
    <row r="441" ht="15.5" customHeight="1" s="297">
      <c r="B441" s="333" t="n"/>
      <c r="C441" s="433" t="n"/>
      <c r="D441" s="330" t="inlineStr">
        <is>
          <t>Meal</t>
        </is>
      </c>
      <c r="E441" s="378" t="n"/>
      <c r="F441" s="332" t="n"/>
      <c r="G441" s="314" t="n"/>
      <c r="H441" s="314" t="n"/>
      <c r="I441" s="320" t="n"/>
      <c r="J441" s="320" t="n"/>
      <c r="K441" s="321" t="n"/>
      <c r="L441" s="321" t="n"/>
      <c r="M441" s="319" t="n"/>
      <c r="N441" s="321" t="n"/>
      <c r="O441" s="321" t="n"/>
      <c r="P441" s="321" t="n"/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33" t="n">
        <v>45476</v>
      </c>
      <c r="C442" s="314" t="n">
        <v>9</v>
      </c>
      <c r="D442" s="326" t="inlineStr">
        <is>
          <t>Coffe drink visit to MEPI Jakarta ( Bondan)</t>
        </is>
      </c>
      <c r="E442" s="326" t="n"/>
      <c r="F442" s="334" t="n">
        <v>144100</v>
      </c>
      <c r="G442" s="314" t="inlineStr">
        <is>
          <t>IDR</t>
        </is>
      </c>
      <c r="H442" s="345" t="n">
        <v>1</v>
      </c>
      <c r="I442" s="320" t="n"/>
      <c r="J442" s="329" t="n">
        <v>144100</v>
      </c>
      <c r="K442" s="321" t="n"/>
      <c r="L442" s="321" t="n"/>
      <c r="M442" s="319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idden="1" ht="15.5" customHeight="1" s="297">
      <c r="B443" s="374" t="n"/>
      <c r="C443" s="434" t="n"/>
      <c r="D443" s="379" t="n"/>
      <c r="E443" s="379" t="n"/>
      <c r="F443" s="369" t="n"/>
      <c r="G443" s="367" t="n"/>
      <c r="H443" s="367" t="n"/>
      <c r="I443" s="370" t="n"/>
      <c r="J443" s="370" t="n"/>
      <c r="K443" s="371" t="n"/>
      <c r="L443" s="371" t="n"/>
      <c r="M443" s="376" t="n"/>
      <c r="N443" s="371" t="n"/>
      <c r="O443" s="371" t="n"/>
      <c r="P443" s="371" t="n"/>
      <c r="Q443" s="371" t="n"/>
      <c r="R443" s="372" t="n"/>
      <c r="S443" s="372" t="n"/>
      <c r="T443" s="372" t="n"/>
      <c r="U443" s="372" t="n"/>
      <c r="V443" s="372" t="n"/>
      <c r="W443" s="372" t="n"/>
      <c r="X443" s="372" t="n"/>
    </row>
    <row r="444" hidden="1" ht="15.5" customHeight="1" s="297">
      <c r="B444" s="374" t="n"/>
      <c r="C444" s="434" t="n"/>
      <c r="D444" s="375" t="n"/>
      <c r="E444" s="375" t="n"/>
      <c r="F444" s="369" t="n"/>
      <c r="G444" s="367" t="n"/>
      <c r="H444" s="398" t="n"/>
      <c r="I444" s="370" t="n"/>
      <c r="J444" s="370" t="n"/>
      <c r="K444" s="371" t="n"/>
      <c r="L444" s="371" t="n"/>
      <c r="M444" s="376" t="n"/>
      <c r="N444" s="371" t="n"/>
      <c r="O444" s="371" t="n"/>
      <c r="P444" s="371" t="n"/>
      <c r="Q444" s="371" t="n"/>
      <c r="R444" s="372" t="n"/>
      <c r="S444" s="372" t="n"/>
      <c r="T444" s="372" t="n"/>
      <c r="U444" s="372" t="n"/>
      <c r="V444" s="372" t="n"/>
      <c r="W444" s="372" t="n"/>
      <c r="X444" s="372" t="n"/>
    </row>
    <row r="445" hidden="1" ht="15.5" customHeight="1" s="297">
      <c r="B445" s="389" t="n"/>
      <c r="C445" s="390" t="n"/>
      <c r="D445" s="391" t="n"/>
      <c r="E445" s="391" t="n"/>
      <c r="F445" s="392" t="n"/>
      <c r="G445" s="393" t="n"/>
      <c r="H445" s="393" t="n"/>
      <c r="I445" s="389" t="n"/>
      <c r="J445" s="395" t="n"/>
      <c r="K445" s="389" t="n"/>
      <c r="L445" s="389" t="n"/>
      <c r="M445" s="394" t="n"/>
      <c r="N445" s="389" t="n"/>
      <c r="O445" s="389" t="n"/>
      <c r="P445" s="389" t="n"/>
      <c r="Q445" s="389" t="n"/>
      <c r="R445" s="372" t="n"/>
      <c r="S445" s="372" t="n"/>
      <c r="T445" s="372" t="n"/>
      <c r="U445" s="372" t="n"/>
      <c r="V445" s="372" t="n"/>
      <c r="W445" s="372" t="n"/>
      <c r="X445" s="372" t="n"/>
    </row>
    <row r="446" hidden="1" ht="15.5" customHeight="1" s="297">
      <c r="B446" s="422" t="n"/>
      <c r="C446" s="405" t="n"/>
      <c r="D446" s="435" t="n"/>
      <c r="E446" s="435" t="n"/>
      <c r="F446" s="414" t="n"/>
      <c r="G446" s="405" t="n"/>
      <c r="H446" s="405" t="n"/>
      <c r="I446" s="370" t="n"/>
      <c r="J446" s="370" t="n"/>
      <c r="K446" s="371" t="n"/>
      <c r="L446" s="371" t="n"/>
      <c r="M446" s="370" t="n"/>
      <c r="N446" s="371" t="n"/>
      <c r="O446" s="371" t="n"/>
      <c r="P446" s="371" t="n"/>
      <c r="Q446" s="371" t="n"/>
      <c r="R446" s="372" t="n"/>
      <c r="S446" s="372" t="n"/>
      <c r="T446" s="372" t="n"/>
      <c r="U446" s="372" t="n"/>
      <c r="V446" s="372" t="n"/>
      <c r="W446" s="372" t="n"/>
      <c r="X446" s="372" t="n"/>
    </row>
    <row r="447" hidden="1" ht="15.5" customHeight="1" s="297">
      <c r="B447" s="422" t="n"/>
      <c r="C447" s="405" t="n"/>
      <c r="D447" s="413" t="n"/>
      <c r="E447" s="413" t="n"/>
      <c r="F447" s="414" t="n"/>
      <c r="G447" s="405" t="n"/>
      <c r="H447" s="405" t="n"/>
      <c r="I447" s="376" t="n"/>
      <c r="J447" s="370" t="n"/>
      <c r="K447" s="371" t="n"/>
      <c r="L447" s="371" t="n"/>
      <c r="M447" s="376" t="n"/>
      <c r="N447" s="371" t="n"/>
      <c r="O447" s="371" t="n"/>
      <c r="P447" s="371" t="n"/>
      <c r="Q447" s="371" t="n"/>
      <c r="R447" s="372" t="n"/>
      <c r="S447" s="372" t="n"/>
      <c r="T447" s="372" t="n"/>
      <c r="U447" s="372" t="n"/>
      <c r="V447" s="372" t="n"/>
      <c r="W447" s="372" t="n"/>
      <c r="X447" s="372" t="n"/>
    </row>
    <row r="448" ht="15.5" customHeight="1" s="297">
      <c r="B448" s="333" t="n"/>
      <c r="C448" s="314" t="n"/>
      <c r="D448" s="315" t="inlineStr">
        <is>
          <t>Transportation</t>
        </is>
      </c>
      <c r="E448" s="377" t="n"/>
      <c r="F448" s="317" t="n"/>
      <c r="G448" s="314" t="n"/>
      <c r="H448" s="314" t="n"/>
      <c r="I448" s="320" t="n"/>
      <c r="J448" s="320" t="n"/>
      <c r="K448" s="321" t="n"/>
      <c r="L448" s="321" t="n"/>
      <c r="M448" s="320" t="n"/>
      <c r="N448" s="321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428" t="n">
        <v>45484</v>
      </c>
      <c r="C449" s="314" t="n">
        <v>19</v>
      </c>
      <c r="D449" s="426" t="inlineStr">
        <is>
          <t>Fuel ( trip ambil tool Sampler and to Andara )</t>
        </is>
      </c>
      <c r="E449" s="426" t="n"/>
      <c r="F449" s="323" t="n">
        <v>164100</v>
      </c>
      <c r="G449" s="314" t="inlineStr">
        <is>
          <t>IDR</t>
        </is>
      </c>
      <c r="H449" s="345" t="n">
        <v>1</v>
      </c>
      <c r="I449" s="319" t="n"/>
      <c r="J449" s="329" t="n">
        <v>164100</v>
      </c>
      <c r="K449" s="321" t="n"/>
      <c r="L449" s="321" t="n"/>
      <c r="M449" s="319" t="n"/>
      <c r="N449" s="321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428" t="n">
        <v>45484</v>
      </c>
      <c r="C450" s="314" t="n">
        <v>20</v>
      </c>
      <c r="D450" s="426" t="inlineStr">
        <is>
          <t>Fuel ( trip ke Lemigas and Workshop sampler)</t>
        </is>
      </c>
      <c r="E450" s="426" t="n"/>
      <c r="F450" s="323" t="n">
        <v>291000</v>
      </c>
      <c r="G450" s="314" t="inlineStr">
        <is>
          <t>IDR</t>
        </is>
      </c>
      <c r="H450" s="345" t="n">
        <v>1</v>
      </c>
      <c r="I450" s="319" t="n"/>
      <c r="J450" s="329" t="n">
        <v>291000</v>
      </c>
      <c r="K450" s="321" t="n"/>
      <c r="L450" s="321" t="n"/>
      <c r="M450" s="321" t="n"/>
      <c r="N450" s="321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t="15.5" customHeight="1" s="297">
      <c r="B451" s="333" t="n">
        <v>45490</v>
      </c>
      <c r="C451" s="314" t="n">
        <v>21</v>
      </c>
      <c r="D451" s="326" t="inlineStr">
        <is>
          <t>Fuel ( trip ke Lemigas and Workshop sampler)</t>
        </is>
      </c>
      <c r="E451" s="326" t="n"/>
      <c r="F451" s="323" t="n">
        <v>177350</v>
      </c>
      <c r="G451" s="314" t="inlineStr">
        <is>
          <t>IDR</t>
        </is>
      </c>
      <c r="H451" s="345" t="n">
        <v>1</v>
      </c>
      <c r="I451" s="319" t="n"/>
      <c r="J451" s="329" t="n">
        <v>177350</v>
      </c>
      <c r="K451" s="321" t="n"/>
      <c r="L451" s="321" t="n"/>
      <c r="M451" s="319" t="n"/>
      <c r="N451" s="321" t="n"/>
      <c r="O451" s="321" t="n"/>
      <c r="P451" s="321" t="n"/>
      <c r="Q451" s="321" t="n"/>
      <c r="R451" s="322" t="n"/>
      <c r="S451" s="322" t="n"/>
      <c r="T451" s="322" t="n"/>
      <c r="U451" s="322" t="n"/>
      <c r="V451" s="322" t="n"/>
      <c r="W451" s="322" t="n"/>
      <c r="X451" s="322" t="n"/>
    </row>
    <row r="452" ht="15.5" customHeight="1" s="297">
      <c r="B452" s="401" t="n">
        <v>45498</v>
      </c>
      <c r="C452" s="402" t="n">
        <v>22</v>
      </c>
      <c r="D452" s="403" t="inlineStr">
        <is>
          <t>Fuel ( trip ke Barekin Bogor, inspeksi tool)</t>
        </is>
      </c>
      <c r="E452" s="403" t="n"/>
      <c r="F452" s="338" t="n">
        <v>319700</v>
      </c>
      <c r="G452" s="314" t="inlineStr">
        <is>
          <t>IDR</t>
        </is>
      </c>
      <c r="H452" s="345" t="n">
        <v>1</v>
      </c>
      <c r="I452" s="321" t="n"/>
      <c r="J452" s="329" t="n">
        <v>319700</v>
      </c>
      <c r="K452" s="321" t="n"/>
      <c r="L452" s="321" t="n"/>
      <c r="M452" s="321" t="n"/>
      <c r="N452" s="319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idden="1" ht="15.5" customHeight="1" s="297">
      <c r="B453" s="374" t="n"/>
      <c r="C453" s="367" t="n"/>
      <c r="D453" s="379" t="n"/>
      <c r="E453" s="379" t="n"/>
      <c r="F453" s="408" t="n"/>
      <c r="G453" s="367" t="n"/>
      <c r="H453" s="367" t="n"/>
      <c r="I453" s="436" t="n"/>
      <c r="J453" s="370" t="n"/>
      <c r="K453" s="370" t="n"/>
      <c r="L453" s="370" t="n"/>
      <c r="M453" s="370" t="n"/>
      <c r="N453" s="370" t="n"/>
      <c r="O453" s="370" t="n"/>
      <c r="P453" s="370" t="n"/>
      <c r="Q453" s="370" t="n"/>
      <c r="R453" s="372" t="n"/>
      <c r="S453" s="372" t="n"/>
      <c r="T453" s="372" t="n"/>
      <c r="U453" s="372" t="n"/>
      <c r="V453" s="372" t="n"/>
      <c r="W453" s="372" t="n"/>
      <c r="X453" s="372" t="n"/>
    </row>
    <row r="454" hidden="1" ht="15.5" customHeight="1" s="297">
      <c r="B454" s="374" t="n"/>
      <c r="C454" s="367" t="n"/>
      <c r="D454" s="375" t="n"/>
      <c r="E454" s="375" t="n"/>
      <c r="F454" s="408" t="n"/>
      <c r="G454" s="367" t="n"/>
      <c r="H454" s="367" t="n"/>
      <c r="I454" s="436" t="n"/>
      <c r="J454" s="370" t="n"/>
      <c r="K454" s="371" t="n"/>
      <c r="L454" s="371" t="n"/>
      <c r="M454" s="371" t="n"/>
      <c r="N454" s="371" t="n"/>
      <c r="O454" s="371" t="n"/>
      <c r="P454" s="371" t="n"/>
      <c r="Q454" s="371" t="n"/>
      <c r="R454" s="372" t="n"/>
      <c r="S454" s="372" t="n"/>
      <c r="T454" s="372" t="n"/>
      <c r="U454" s="372" t="n"/>
      <c r="V454" s="372" t="n"/>
      <c r="W454" s="372" t="n"/>
      <c r="X454" s="372" t="n"/>
    </row>
    <row r="455" ht="15.5" customHeight="1" s="297">
      <c r="A455" s="346" t="n"/>
      <c r="B455" s="381" t="n">
        <v>45497</v>
      </c>
      <c r="C455" s="382" t="n">
        <v>1</v>
      </c>
      <c r="D455" s="383" t="inlineStr">
        <is>
          <t>ALFA-MPLT-Sampler project TIS Energy Blora_well RBG-3B by Barekin Sakti- AC</t>
        </is>
      </c>
      <c r="E455" s="384" t="n"/>
      <c r="F455" s="412" t="n">
        <v>75000</v>
      </c>
      <c r="G455" s="382" t="inlineStr">
        <is>
          <t>IDR</t>
        </is>
      </c>
      <c r="H455" s="386" t="n">
        <v>1</v>
      </c>
      <c r="I455" s="437" t="n"/>
      <c r="J455" s="364" t="n"/>
      <c r="K455" s="388" t="n"/>
      <c r="L455" s="388" t="n"/>
      <c r="M455" s="388" t="n"/>
      <c r="N455" s="387" t="n">
        <v>75000</v>
      </c>
      <c r="O455" s="388" t="n"/>
      <c r="P455" s="388" t="n"/>
      <c r="Q455" s="388" t="n"/>
      <c r="R455" s="365" t="n"/>
      <c r="S455" s="365" t="n"/>
      <c r="T455" s="365" t="n"/>
      <c r="U455" s="365" t="n"/>
      <c r="V455" s="365" t="n"/>
      <c r="W455" s="365" t="n"/>
      <c r="X455" s="365" t="n"/>
    </row>
    <row r="456" hidden="1" ht="15.5" customHeight="1" s="297">
      <c r="A456" s="346" t="n"/>
      <c r="B456" s="333" t="n"/>
      <c r="C456" s="314" t="n"/>
      <c r="D456" s="326" t="n"/>
      <c r="E456" s="326" t="n"/>
      <c r="F456" s="323" t="n"/>
      <c r="G456" s="314" t="n"/>
      <c r="H456" s="345" t="n"/>
      <c r="I456" s="410" t="n"/>
      <c r="J456" s="320" t="n"/>
      <c r="K456" s="321" t="n"/>
      <c r="L456" s="321" t="n"/>
      <c r="M456" s="321" t="n"/>
      <c r="N456" s="329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idden="1" ht="15.5" customHeight="1" s="297">
      <c r="A457" s="346" t="n"/>
      <c r="B457" s="333" t="n"/>
      <c r="C457" s="314" t="n"/>
      <c r="D457" s="326" t="n"/>
      <c r="E457" s="326" t="n"/>
      <c r="F457" s="323" t="n"/>
      <c r="G457" s="314" t="n"/>
      <c r="H457" s="345" t="n"/>
      <c r="I457" s="410" t="n"/>
      <c r="J457" s="320" t="n"/>
      <c r="K457" s="321" t="n"/>
      <c r="L457" s="321" t="n"/>
      <c r="M457" s="321" t="n"/>
      <c r="N457" s="329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idden="1" ht="15.5" customHeight="1" s="297">
      <c r="A458" s="346" t="n"/>
      <c r="B458" s="333" t="n"/>
      <c r="C458" s="314" t="n"/>
      <c r="D458" s="326" t="n"/>
      <c r="E458" s="326" t="n"/>
      <c r="F458" s="323" t="n"/>
      <c r="G458" s="314" t="n"/>
      <c r="H458" s="345" t="n"/>
      <c r="I458" s="410" t="n"/>
      <c r="J458" s="320" t="n"/>
      <c r="K458" s="321" t="n"/>
      <c r="L458" s="321" t="n"/>
      <c r="M458" s="321" t="n"/>
      <c r="N458" s="329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idden="1" ht="15.5" customHeight="1" s="297">
      <c r="A459" s="346" t="n"/>
      <c r="B459" s="333" t="n"/>
      <c r="C459" s="314" t="n"/>
      <c r="D459" s="326" t="n"/>
      <c r="E459" s="326" t="n"/>
      <c r="F459" s="323" t="n"/>
      <c r="G459" s="314" t="n"/>
      <c r="H459" s="345" t="n"/>
      <c r="I459" s="410" t="n"/>
      <c r="J459" s="320" t="n"/>
      <c r="K459" s="321" t="n"/>
      <c r="L459" s="321" t="n"/>
      <c r="M459" s="321" t="n"/>
      <c r="N459" s="329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idden="1" ht="15.5" customHeight="1" s="297">
      <c r="A460" s="346" t="n"/>
      <c r="B460" s="333" t="n"/>
      <c r="C460" s="314" t="n"/>
      <c r="D460" s="326" t="n"/>
      <c r="E460" s="326" t="n"/>
      <c r="F460" s="323" t="n"/>
      <c r="G460" s="314" t="n"/>
      <c r="H460" s="345" t="n"/>
      <c r="I460" s="410" t="n"/>
      <c r="J460" s="320" t="n"/>
      <c r="K460" s="321" t="n"/>
      <c r="L460" s="321" t="n"/>
      <c r="M460" s="321" t="n"/>
      <c r="N460" s="32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idden="1" ht="15.5" customHeight="1" s="297">
      <c r="A461" s="346" t="n"/>
      <c r="B461" s="333" t="n"/>
      <c r="C461" s="314" t="n"/>
      <c r="D461" s="326" t="n"/>
      <c r="E461" s="326" t="n"/>
      <c r="F461" s="323" t="n"/>
      <c r="G461" s="314" t="n"/>
      <c r="H461" s="345" t="n"/>
      <c r="I461" s="410" t="n"/>
      <c r="J461" s="320" t="n"/>
      <c r="K461" s="321" t="n"/>
      <c r="L461" s="321" t="n"/>
      <c r="M461" s="321" t="n"/>
      <c r="N461" s="329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idden="1" ht="15.5" customHeight="1" s="297">
      <c r="A462" s="346" t="n"/>
      <c r="B462" s="333" t="n"/>
      <c r="C462" s="314" t="n"/>
      <c r="D462" s="326" t="n"/>
      <c r="E462" s="326" t="n"/>
      <c r="F462" s="323" t="n"/>
      <c r="G462" s="314" t="n"/>
      <c r="H462" s="345" t="n"/>
      <c r="I462" s="410" t="n"/>
      <c r="J462" s="320" t="n"/>
      <c r="K462" s="321" t="n"/>
      <c r="L462" s="321" t="n"/>
      <c r="M462" s="321" t="n"/>
      <c r="N462" s="329" t="n"/>
      <c r="O462" s="321" t="n"/>
      <c r="P462" s="321" t="n"/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idden="1" ht="15.5" customHeight="1" s="297">
      <c r="A463" s="346" t="n"/>
      <c r="B463" s="333" t="n"/>
      <c r="C463" s="314" t="n"/>
      <c r="D463" s="326" t="n"/>
      <c r="E463" s="326" t="n"/>
      <c r="F463" s="323" t="n"/>
      <c r="G463" s="314" t="n"/>
      <c r="H463" s="345" t="n"/>
      <c r="I463" s="410" t="n"/>
      <c r="J463" s="329" t="n"/>
      <c r="K463" s="321" t="n"/>
      <c r="L463" s="321" t="n"/>
      <c r="M463" s="321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idden="1" ht="15.5" customHeight="1" s="297">
      <c r="A464" s="346" t="n"/>
      <c r="B464" s="333" t="n"/>
      <c r="C464" s="314" t="n"/>
      <c r="D464" s="326" t="n"/>
      <c r="E464" s="326" t="n"/>
      <c r="F464" s="323" t="n"/>
      <c r="G464" s="314" t="n"/>
      <c r="H464" s="345" t="n"/>
      <c r="I464" s="410" t="n"/>
      <c r="J464" s="329" t="n"/>
      <c r="K464" s="321" t="n"/>
      <c r="L464" s="321" t="n"/>
      <c r="M464" s="321" t="n"/>
      <c r="N464" s="321" t="n"/>
      <c r="O464" s="321" t="n"/>
      <c r="P464" s="321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idden="1" ht="15.5" customHeight="1" s="297">
      <c r="A465" s="346" t="n"/>
      <c r="B465" s="333" t="n"/>
      <c r="C465" s="314" t="n"/>
      <c r="D465" s="326" t="n"/>
      <c r="E465" s="326" t="n"/>
      <c r="F465" s="323" t="n"/>
      <c r="G465" s="314" t="n"/>
      <c r="H465" s="345" t="n"/>
      <c r="I465" s="410" t="n"/>
      <c r="J465" s="320" t="n"/>
      <c r="K465" s="321" t="n"/>
      <c r="L465" s="321" t="n"/>
      <c r="M465" s="321" t="n"/>
      <c r="N465" s="321" t="n"/>
      <c r="O465" s="321" t="n"/>
      <c r="P465" s="329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idden="1" ht="15.5" customHeight="1" s="297">
      <c r="A466" s="346" t="n"/>
      <c r="B466" s="333" t="n"/>
      <c r="C466" s="314" t="n"/>
      <c r="D466" s="326" t="n"/>
      <c r="E466" s="326" t="n"/>
      <c r="F466" s="323" t="n"/>
      <c r="G466" s="314" t="n"/>
      <c r="H466" s="345" t="n"/>
      <c r="I466" s="410" t="n"/>
      <c r="J466" s="320" t="n"/>
      <c r="K466" s="321" t="n"/>
      <c r="L466" s="321" t="n"/>
      <c r="M466" s="321" t="n"/>
      <c r="N466" s="321" t="n"/>
      <c r="O466" s="321" t="n"/>
      <c r="P466" s="329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idden="1" ht="15.5" customHeight="1" s="297">
      <c r="A467" s="346" t="n"/>
      <c r="B467" s="333" t="n"/>
      <c r="C467" s="314" t="n"/>
      <c r="D467" s="326" t="n"/>
      <c r="E467" s="326" t="n"/>
      <c r="F467" s="323" t="n"/>
      <c r="G467" s="314" t="n"/>
      <c r="H467" s="345" t="n"/>
      <c r="I467" s="410" t="n"/>
      <c r="J467" s="320" t="n"/>
      <c r="K467" s="321" t="n"/>
      <c r="L467" s="321" t="n"/>
      <c r="M467" s="321" t="n"/>
      <c r="N467" s="321" t="n"/>
      <c r="O467" s="321" t="n"/>
      <c r="P467" s="329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idden="1" ht="15.5" customHeight="1" s="297">
      <c r="A468" s="346" t="n"/>
      <c r="B468" s="333" t="n"/>
      <c r="C468" s="314" t="n"/>
      <c r="D468" s="326" t="n"/>
      <c r="E468" s="326" t="n"/>
      <c r="F468" s="323" t="n"/>
      <c r="G468" s="314" t="n"/>
      <c r="H468" s="345" t="n"/>
      <c r="I468" s="410" t="n"/>
      <c r="J468" s="320" t="n"/>
      <c r="K468" s="321" t="n"/>
      <c r="L468" s="321" t="n"/>
      <c r="M468" s="321" t="n"/>
      <c r="N468" s="321" t="n"/>
      <c r="O468" s="321" t="n"/>
      <c r="P468" s="329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idden="1" ht="15.5" customHeight="1" s="297">
      <c r="A469" s="346" t="n"/>
      <c r="B469" s="333" t="n"/>
      <c r="C469" s="314" t="n"/>
      <c r="D469" s="326" t="n"/>
      <c r="E469" s="326" t="n"/>
      <c r="F469" s="323" t="n"/>
      <c r="G469" s="314" t="n"/>
      <c r="H469" s="345" t="n"/>
      <c r="I469" s="410" t="n"/>
      <c r="J469" s="320" t="n"/>
      <c r="K469" s="321" t="n"/>
      <c r="L469" s="321" t="n"/>
      <c r="M469" s="321" t="n"/>
      <c r="N469" s="321" t="n"/>
      <c r="O469" s="321" t="n"/>
      <c r="P469" s="329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idden="1" ht="15.5" customHeight="1" s="297">
      <c r="A470" s="346" t="n"/>
      <c r="B470" s="333" t="n"/>
      <c r="C470" s="314" t="n"/>
      <c r="D470" s="326" t="n"/>
      <c r="E470" s="326" t="n"/>
      <c r="F470" s="323" t="n"/>
      <c r="G470" s="314" t="n"/>
      <c r="H470" s="345" t="n"/>
      <c r="I470" s="410" t="n"/>
      <c r="J470" s="320" t="n"/>
      <c r="K470" s="321" t="n"/>
      <c r="L470" s="321" t="n"/>
      <c r="M470" s="321" t="n"/>
      <c r="N470" s="321" t="n"/>
      <c r="O470" s="321" t="n"/>
      <c r="P470" s="329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idden="1" ht="15.5" customHeight="1" s="297">
      <c r="A471" s="346" t="n"/>
      <c r="B471" s="333" t="n"/>
      <c r="C471" s="314" t="n"/>
      <c r="D471" s="326" t="n"/>
      <c r="E471" s="326" t="n"/>
      <c r="F471" s="323" t="n"/>
      <c r="G471" s="314" t="n"/>
      <c r="H471" s="345" t="n"/>
      <c r="I471" s="410" t="n"/>
      <c r="J471" s="320" t="n"/>
      <c r="K471" s="321" t="n"/>
      <c r="L471" s="321" t="n"/>
      <c r="M471" s="321" t="n"/>
      <c r="N471" s="321" t="n"/>
      <c r="O471" s="321" t="n"/>
      <c r="P471" s="329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idden="1" ht="15.5" customHeight="1" s="297">
      <c r="A472" s="346" t="n"/>
      <c r="B472" s="333" t="n"/>
      <c r="C472" s="314" t="n"/>
      <c r="D472" s="326" t="n"/>
      <c r="E472" s="326" t="n"/>
      <c r="F472" s="323" t="n"/>
      <c r="G472" s="314" t="n"/>
      <c r="H472" s="345" t="n"/>
      <c r="I472" s="410" t="n"/>
      <c r="J472" s="329" t="n"/>
      <c r="K472" s="321" t="n"/>
      <c r="L472" s="321" t="n"/>
      <c r="M472" s="321" t="n"/>
      <c r="N472" s="321" t="n"/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idden="1" ht="15.5" customHeight="1" s="297">
      <c r="B473" s="374" t="n"/>
      <c r="C473" s="367" t="n"/>
      <c r="D473" s="375" t="n"/>
      <c r="E473" s="375" t="n"/>
      <c r="F473" s="408" t="n"/>
      <c r="G473" s="367" t="n"/>
      <c r="H473" s="367" t="n"/>
      <c r="I473" s="376" t="n"/>
      <c r="J473" s="370" t="n"/>
      <c r="K473" s="371" t="n"/>
      <c r="L473" s="371" t="n"/>
      <c r="M473" s="371" t="n"/>
      <c r="N473" s="371" t="n"/>
      <c r="O473" s="371" t="n"/>
      <c r="P473" s="371" t="n"/>
      <c r="Q473" s="371" t="n"/>
      <c r="R473" s="372" t="n"/>
      <c r="S473" s="372" t="n"/>
      <c r="T473" s="372" t="n"/>
      <c r="U473" s="372" t="n"/>
      <c r="V473" s="372" t="n"/>
      <c r="W473" s="372" t="n"/>
      <c r="X473" s="372" t="n"/>
    </row>
    <row r="474" ht="15.5" customHeight="1" s="297">
      <c r="B474" s="333" t="n"/>
      <c r="C474" s="314" t="n"/>
      <c r="D474" s="330" t="inlineStr">
        <is>
          <t>Transportation</t>
        </is>
      </c>
      <c r="E474" s="378" t="n"/>
      <c r="F474" s="317" t="n"/>
      <c r="G474" s="314" t="n"/>
      <c r="H474" s="314" t="n"/>
      <c r="I474" s="410" t="n"/>
      <c r="J474" s="320" t="n"/>
      <c r="K474" s="321" t="n"/>
      <c r="L474" s="321" t="n"/>
      <c r="M474" s="321" t="n"/>
      <c r="N474" s="321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45511</v>
      </c>
      <c r="C475" s="314" t="n">
        <v>22</v>
      </c>
      <c r="D475" s="326" t="inlineStr">
        <is>
          <t>Rental car (include Fuel ) 10 days, @Rp1.100.000</t>
        </is>
      </c>
      <c r="E475" s="326" t="n"/>
      <c r="F475" s="323" t="n">
        <v>11000000</v>
      </c>
      <c r="G475" s="314" t="inlineStr">
        <is>
          <t>IDR</t>
        </is>
      </c>
      <c r="H475" s="345" t="n">
        <v>1</v>
      </c>
      <c r="I475" s="319" t="n"/>
      <c r="J475" s="329" t="n">
        <v>11000000</v>
      </c>
      <c r="K475" s="321" t="n"/>
      <c r="L475" s="321" t="n"/>
      <c r="M475" s="321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>
        <v>45502</v>
      </c>
      <c r="C476" s="314" t="n">
        <v>23</v>
      </c>
      <c r="D476" s="326" t="inlineStr">
        <is>
          <t>Toll (Jkt Blora - PP)</t>
        </is>
      </c>
      <c r="E476" s="326" t="n"/>
      <c r="F476" s="323" t="n">
        <v>483000</v>
      </c>
      <c r="G476" s="314" t="inlineStr">
        <is>
          <t>IDR</t>
        </is>
      </c>
      <c r="H476" s="345" t="n">
        <v>1</v>
      </c>
      <c r="I476" s="319" t="n"/>
      <c r="J476" s="329" t="n">
        <v>483000</v>
      </c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45511</v>
      </c>
      <c r="C477" s="314" t="n">
        <v>24</v>
      </c>
      <c r="D477" s="326" t="inlineStr">
        <is>
          <t>Toll (Gubug - Jakarta)</t>
        </is>
      </c>
      <c r="E477" s="326" t="n"/>
      <c r="F477" s="323" t="n">
        <v>496000</v>
      </c>
      <c r="G477" s="314" t="inlineStr">
        <is>
          <t>IDR</t>
        </is>
      </c>
      <c r="H477" s="345" t="n">
        <v>1</v>
      </c>
      <c r="I477" s="319" t="n"/>
      <c r="J477" s="329" t="n">
        <v>496000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idden="1" ht="15.5" customHeight="1" s="297">
      <c r="B478" s="374" t="n"/>
      <c r="C478" s="367" t="n"/>
      <c r="D478" s="375" t="n"/>
      <c r="E478" s="375" t="n"/>
      <c r="F478" s="408" t="n"/>
      <c r="G478" s="367" t="n"/>
      <c r="H478" s="367" t="n"/>
      <c r="I478" s="376" t="n"/>
      <c r="J478" s="370" t="n"/>
      <c r="K478" s="371" t="n"/>
      <c r="L478" s="371" t="n"/>
      <c r="M478" s="370" t="n"/>
      <c r="N478" s="371" t="n"/>
      <c r="O478" s="371" t="n"/>
      <c r="P478" s="371" t="n"/>
      <c r="Q478" s="371" t="n"/>
      <c r="R478" s="372" t="n"/>
      <c r="S478" s="372" t="n"/>
      <c r="T478" s="372" t="n"/>
      <c r="U478" s="372" t="n"/>
      <c r="V478" s="372" t="n"/>
      <c r="W478" s="372" t="n"/>
      <c r="X478" s="372" t="n"/>
    </row>
    <row r="479" hidden="1" ht="15.5" customHeight="1" s="297">
      <c r="B479" s="374" t="n"/>
      <c r="C479" s="367" t="n"/>
      <c r="D479" s="418" t="n"/>
      <c r="E479" s="418" t="n"/>
      <c r="F479" s="408" t="n"/>
      <c r="G479" s="367" t="n"/>
      <c r="H479" s="367" t="n"/>
      <c r="I479" s="376" t="n"/>
      <c r="J479" s="370" t="n"/>
      <c r="K479" s="371" t="n"/>
      <c r="L479" s="371" t="n"/>
      <c r="M479" s="376" t="n"/>
      <c r="N479" s="371" t="n"/>
      <c r="O479" s="371" t="n"/>
      <c r="P479" s="371" t="n"/>
      <c r="Q479" s="371" t="n"/>
      <c r="R479" s="372" t="n"/>
      <c r="S479" s="372" t="n"/>
      <c r="T479" s="372" t="n"/>
      <c r="U479" s="372" t="n"/>
      <c r="V479" s="372" t="n"/>
      <c r="W479" s="372" t="n"/>
      <c r="X479" s="372" t="n"/>
    </row>
    <row r="480" hidden="1" ht="15.5" customHeight="1" s="297">
      <c r="B480" s="374" t="n"/>
      <c r="C480" s="367" t="n"/>
      <c r="D480" s="418" t="n"/>
      <c r="E480" s="418" t="n"/>
      <c r="F480" s="408" t="n"/>
      <c r="G480" s="367" t="n"/>
      <c r="H480" s="367" t="n"/>
      <c r="I480" s="376" t="n"/>
      <c r="J480" s="370" t="n"/>
      <c r="K480" s="371" t="n"/>
      <c r="L480" s="371" t="n"/>
      <c r="M480" s="376" t="n"/>
      <c r="N480" s="371" t="n"/>
      <c r="O480" s="371" t="n"/>
      <c r="P480" s="371" t="n"/>
      <c r="Q480" s="371" t="n"/>
      <c r="R480" s="372" t="n"/>
      <c r="S480" s="372" t="n"/>
      <c r="T480" s="372" t="n"/>
      <c r="U480" s="372" t="n"/>
      <c r="V480" s="372" t="n"/>
      <c r="W480" s="372" t="n"/>
      <c r="X480" s="372" t="n"/>
    </row>
    <row r="481" hidden="1" ht="15.5" customHeight="1" s="297">
      <c r="B481" s="374" t="n"/>
      <c r="C481" s="367" t="n"/>
      <c r="D481" s="375" t="n"/>
      <c r="E481" s="375" t="n"/>
      <c r="F481" s="408" t="n"/>
      <c r="G481" s="367" t="n"/>
      <c r="H481" s="367" t="n"/>
      <c r="I481" s="376" t="n"/>
      <c r="J481" s="370" t="n"/>
      <c r="K481" s="371" t="n"/>
      <c r="L481" s="371" t="n"/>
      <c r="M481" s="376" t="n"/>
      <c r="N481" s="371" t="n"/>
      <c r="O481" s="371" t="n"/>
      <c r="P481" s="371" t="n"/>
      <c r="Q481" s="371" t="n"/>
      <c r="R481" s="372" t="n"/>
      <c r="S481" s="372" t="n"/>
      <c r="T481" s="372" t="n"/>
      <c r="U481" s="372" t="n"/>
      <c r="V481" s="372" t="n"/>
      <c r="W481" s="372" t="n"/>
      <c r="X481" s="372" t="n"/>
    </row>
    <row r="482" ht="15.5" customHeight="1" s="297">
      <c r="B482" s="333" t="n"/>
      <c r="C482" s="433" t="n"/>
      <c r="D482" s="330" t="inlineStr">
        <is>
          <t>Allowance</t>
        </is>
      </c>
      <c r="E482" s="378" t="n"/>
      <c r="F482" s="317" t="n"/>
      <c r="G482" s="314" t="n"/>
      <c r="H482" s="314" t="n"/>
      <c r="I482" s="320" t="n"/>
      <c r="J482" s="320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5</v>
      </c>
      <c r="D483" s="326" t="inlineStr">
        <is>
          <t>buy Zirolic</t>
        </is>
      </c>
      <c r="E483" s="326" t="n"/>
      <c r="F483" s="338" t="n">
        <v>34200</v>
      </c>
      <c r="G483" s="314" t="inlineStr">
        <is>
          <t>IDR</t>
        </is>
      </c>
      <c r="H483" s="345" t="n">
        <v>1</v>
      </c>
      <c r="I483" s="320" t="n"/>
      <c r="J483" s="320" t="n"/>
      <c r="K483" s="321" t="n"/>
      <c r="L483" s="321" t="n"/>
      <c r="M483" s="319" t="n"/>
      <c r="N483" s="320" t="n"/>
      <c r="O483" s="321" t="n"/>
      <c r="P483" s="329" t="n">
        <v>34200</v>
      </c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t="15.5" customHeight="1" s="297">
      <c r="B484" s="333" t="n"/>
      <c r="C484" s="433" t="n"/>
      <c r="D484" s="330" t="inlineStr">
        <is>
          <t>Meal</t>
        </is>
      </c>
      <c r="E484" s="378" t="n"/>
      <c r="F484" s="317" t="n"/>
      <c r="G484" s="314" t="n"/>
      <c r="H484" s="314" t="n"/>
      <c r="I484" s="320" t="n"/>
      <c r="J484" s="320" t="n"/>
      <c r="K484" s="321" t="n"/>
      <c r="L484" s="321" t="n"/>
      <c r="M484" s="319" t="n"/>
      <c r="N484" s="321" t="n"/>
      <c r="O484" s="321" t="n"/>
      <c r="P484" s="321" t="n"/>
      <c r="Q484" s="321" t="n"/>
      <c r="R484" s="322" t="n"/>
      <c r="S484" s="322" t="n"/>
      <c r="T484" s="322" t="n"/>
      <c r="U484" s="322" t="n"/>
      <c r="V484" s="322" t="n"/>
      <c r="W484" s="322" t="n"/>
      <c r="X484" s="322" t="n"/>
    </row>
    <row r="485" ht="15.5" customHeight="1" s="297">
      <c r="B485" s="333" t="n">
        <v>45502</v>
      </c>
      <c r="C485" s="314" t="n">
        <v>17</v>
      </c>
      <c r="D485" s="326" t="inlineStr">
        <is>
          <t>w/ Crew Barekin</t>
        </is>
      </c>
      <c r="E485" s="326" t="n"/>
      <c r="F485" s="323" t="n">
        <v>275000</v>
      </c>
      <c r="G485" s="314" t="inlineStr">
        <is>
          <t>IDR</t>
        </is>
      </c>
      <c r="H485" s="345" t="n">
        <v>1</v>
      </c>
      <c r="I485" s="320" t="n"/>
      <c r="J485" s="329" t="n">
        <v>275000</v>
      </c>
      <c r="K485" s="321" t="n"/>
      <c r="L485" s="321" t="n"/>
      <c r="M485" s="319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A486" s="346" t="n"/>
      <c r="B486" s="381" t="n">
        <v>45511</v>
      </c>
      <c r="C486" s="382" t="n">
        <v>1</v>
      </c>
      <c r="D486" s="383" t="inlineStr">
        <is>
          <t>ALFA-MPLT-BHS_ RBG 3B PT. TIS under Barikin sakti _TMA</t>
        </is>
      </c>
      <c r="E486" s="384" t="n"/>
      <c r="F486" s="412" t="n">
        <v>500000</v>
      </c>
      <c r="G486" s="382" t="inlineStr">
        <is>
          <t>IDR</t>
        </is>
      </c>
      <c r="H486" s="386" t="n">
        <v>1</v>
      </c>
      <c r="I486" s="364" t="n"/>
      <c r="J486" s="387" t="n">
        <v>500000</v>
      </c>
      <c r="K486" s="388" t="n"/>
      <c r="L486" s="388" t="n"/>
      <c r="M486" s="397" t="n"/>
      <c r="N486" s="388" t="n"/>
      <c r="O486" s="388" t="n"/>
      <c r="P486" s="388" t="n"/>
      <c r="Q486" s="388" t="n"/>
      <c r="R486" s="365" t="n"/>
      <c r="S486" s="365" t="n"/>
      <c r="T486" s="365" t="n"/>
      <c r="U486" s="365" t="n"/>
      <c r="V486" s="365" t="n"/>
      <c r="W486" s="365" t="n"/>
      <c r="X486" s="365" t="n"/>
    </row>
    <row r="487" hidden="1" ht="15.5" customHeight="1" s="297">
      <c r="A487" s="346" t="n"/>
      <c r="B487" s="333" t="n"/>
      <c r="C487" s="314" t="n"/>
      <c r="D487" s="326" t="n"/>
      <c r="E487" s="326" t="n"/>
      <c r="F487" s="323" t="n"/>
      <c r="G487" s="314" t="n"/>
      <c r="H487" s="345" t="n"/>
      <c r="I487" s="320" t="n"/>
      <c r="J487" s="329" t="n"/>
      <c r="K487" s="321" t="n"/>
      <c r="L487" s="321" t="n"/>
      <c r="M487" s="319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idden="1" ht="15.5" customHeight="1" s="297">
      <c r="A488" s="346" t="n"/>
      <c r="B488" s="333" t="n"/>
      <c r="C488" s="314" t="n"/>
      <c r="D488" s="326" t="n"/>
      <c r="E488" s="326" t="n"/>
      <c r="F488" s="323" t="n"/>
      <c r="G488" s="314" t="n"/>
      <c r="H488" s="345" t="n"/>
      <c r="I488" s="320" t="n"/>
      <c r="J488" s="329" t="n"/>
      <c r="K488" s="321" t="n"/>
      <c r="L488" s="321" t="n"/>
      <c r="M488" s="319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idden="1" ht="15.5" customHeight="1" s="297">
      <c r="A489" s="346" t="n"/>
      <c r="B489" s="333" t="n"/>
      <c r="C489" s="314" t="n"/>
      <c r="D489" s="326" t="n"/>
      <c r="E489" s="326" t="n"/>
      <c r="F489" s="323" t="n"/>
      <c r="G489" s="314" t="n"/>
      <c r="H489" s="345" t="n"/>
      <c r="I489" s="320" t="n"/>
      <c r="J489" s="329" t="n"/>
      <c r="K489" s="321" t="n"/>
      <c r="L489" s="321" t="n"/>
      <c r="M489" s="319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idden="1" ht="15.5" customHeight="1" s="297">
      <c r="A490" s="346" t="n"/>
      <c r="B490" s="333" t="n"/>
      <c r="C490" s="314" t="n"/>
      <c r="D490" s="326" t="n"/>
      <c r="E490" s="326" t="n"/>
      <c r="F490" s="323" t="n"/>
      <c r="G490" s="314" t="n"/>
      <c r="H490" s="345" t="n"/>
      <c r="I490" s="320" t="n"/>
      <c r="J490" s="329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idden="1" ht="15.5" customHeight="1" s="297">
      <c r="A491" s="346" t="n"/>
      <c r="B491" s="333" t="n"/>
      <c r="C491" s="314" t="n"/>
      <c r="D491" s="326" t="n"/>
      <c r="E491" s="326" t="n"/>
      <c r="F491" s="323" t="n"/>
      <c r="G491" s="314" t="n"/>
      <c r="H491" s="345" t="n"/>
      <c r="I491" s="320" t="n"/>
      <c r="J491" s="329" t="n"/>
      <c r="K491" s="321" t="n"/>
      <c r="L491" s="321" t="n"/>
      <c r="M491" s="319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idden="1" ht="15.5" customHeight="1" s="297">
      <c r="A492" s="346" t="n"/>
      <c r="B492" s="333" t="n"/>
      <c r="C492" s="314" t="n"/>
      <c r="D492" s="326" t="n"/>
      <c r="E492" s="326" t="n"/>
      <c r="F492" s="323" t="n"/>
      <c r="G492" s="314" t="n"/>
      <c r="H492" s="345" t="n"/>
      <c r="I492" s="320" t="n"/>
      <c r="J492" s="329" t="n"/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idden="1" ht="15.5" customHeight="1" s="297">
      <c r="A493" s="346" t="n"/>
      <c r="B493" s="333" t="n"/>
      <c r="C493" s="314" t="n"/>
      <c r="D493" s="326" t="n"/>
      <c r="E493" s="326" t="n"/>
      <c r="F493" s="323" t="n"/>
      <c r="G493" s="314" t="n"/>
      <c r="H493" s="345" t="n"/>
      <c r="I493" s="320" t="n"/>
      <c r="J493" s="320" t="n"/>
      <c r="K493" s="321" t="n"/>
      <c r="L493" s="321" t="n"/>
      <c r="M493" s="319" t="n"/>
      <c r="N493" s="329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idden="1" ht="15.5" customHeight="1" s="297">
      <c r="A494" s="346" t="n"/>
      <c r="B494" s="333" t="n"/>
      <c r="C494" s="314" t="n"/>
      <c r="D494" s="326" t="n"/>
      <c r="E494" s="326" t="n"/>
      <c r="F494" s="323" t="n"/>
      <c r="G494" s="314" t="n"/>
      <c r="H494" s="345" t="n"/>
      <c r="I494" s="320" t="n"/>
      <c r="J494" s="329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idden="1" ht="15.5" customHeight="1" s="297">
      <c r="A495" s="346" t="n"/>
      <c r="B495" s="333" t="n"/>
      <c r="C495" s="314" t="n"/>
      <c r="D495" s="326" t="n"/>
      <c r="E495" s="326" t="n"/>
      <c r="F495" s="323" t="n"/>
      <c r="G495" s="314" t="n"/>
      <c r="H495" s="345" t="n"/>
      <c r="I495" s="320" t="n"/>
      <c r="J495" s="329" t="n"/>
      <c r="K495" s="321" t="n"/>
      <c r="L495" s="321" t="n"/>
      <c r="M495" s="319" t="n"/>
      <c r="N495" s="321" t="n"/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idden="1" ht="15.5" customHeight="1" s="297">
      <c r="A496" s="346" t="n"/>
      <c r="B496" s="333" t="n"/>
      <c r="C496" s="314" t="n"/>
      <c r="D496" s="326" t="n"/>
      <c r="E496" s="326" t="n"/>
      <c r="F496" s="323" t="n"/>
      <c r="G496" s="314" t="n"/>
      <c r="H496" s="345" t="n"/>
      <c r="I496" s="320" t="n"/>
      <c r="J496" s="329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idden="1" ht="15.5" customHeight="1" s="297">
      <c r="A497" s="346" t="n"/>
      <c r="B497" s="333" t="n"/>
      <c r="C497" s="314" t="n"/>
      <c r="D497" s="326" t="n"/>
      <c r="E497" s="326" t="n"/>
      <c r="F497" s="323" t="n"/>
      <c r="G497" s="314" t="n"/>
      <c r="H497" s="345" t="n"/>
      <c r="I497" s="320" t="n"/>
      <c r="J497" s="320" t="n"/>
      <c r="K497" s="321" t="n"/>
      <c r="L497" s="321" t="n"/>
      <c r="M497" s="319" t="n"/>
      <c r="N497" s="329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idden="1" ht="15.5" customHeight="1" s="297">
      <c r="A498" s="346" t="n"/>
      <c r="B498" s="333" t="n"/>
      <c r="C498" s="314" t="n"/>
      <c r="D498" s="326" t="n"/>
      <c r="E498" s="326" t="n"/>
      <c r="F498" s="323" t="n"/>
      <c r="G498" s="314" t="n"/>
      <c r="H498" s="345" t="n"/>
      <c r="I498" s="320" t="n"/>
      <c r="J498" s="320" t="n"/>
      <c r="K498" s="321" t="n"/>
      <c r="L498" s="321" t="n"/>
      <c r="M498" s="319" t="n"/>
      <c r="N498" s="329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idden="1" ht="15.5" customHeight="1" s="297">
      <c r="A499" s="346" t="n"/>
      <c r="B499" s="333" t="n"/>
      <c r="C499" s="314" t="n"/>
      <c r="D499" s="326" t="n"/>
      <c r="E499" s="326" t="n"/>
      <c r="F499" s="323" t="n"/>
      <c r="G499" s="314" t="n"/>
      <c r="H499" s="345" t="n"/>
      <c r="I499" s="320" t="n"/>
      <c r="J499" s="320" t="n"/>
      <c r="K499" s="321" t="n"/>
      <c r="L499" s="321" t="n"/>
      <c r="M499" s="319" t="n"/>
      <c r="N499" s="32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A500" s="346" t="n"/>
      <c r="B500" s="333" t="n"/>
      <c r="C500" s="314" t="n"/>
      <c r="D500" s="326" t="n"/>
      <c r="E500" s="326" t="n"/>
      <c r="F500" s="323" t="n"/>
      <c r="G500" s="314" t="n"/>
      <c r="H500" s="345" t="n"/>
      <c r="I500" s="320" t="n"/>
      <c r="J500" s="329" t="n"/>
      <c r="K500" s="321" t="n"/>
      <c r="L500" s="321" t="n"/>
      <c r="M500" s="319" t="n"/>
      <c r="N500" s="321" t="n"/>
      <c r="O500" s="321" t="n"/>
      <c r="P500" s="321" t="n"/>
      <c r="Q500" s="321" t="n"/>
      <c r="R500" s="322" t="n"/>
      <c r="S500" s="322" t="n"/>
      <c r="T500" s="322" t="n"/>
      <c r="U500" s="322" t="n"/>
      <c r="V500" s="322" t="n"/>
      <c r="W500" s="322" t="n"/>
      <c r="X500" s="322" t="n"/>
    </row>
    <row r="501" hidden="1" ht="15.5" customHeight="1" s="297">
      <c r="A501" s="346" t="n"/>
      <c r="B501" s="333" t="n"/>
      <c r="C501" s="314" t="n"/>
      <c r="D501" s="326" t="n"/>
      <c r="E501" s="326" t="n"/>
      <c r="F501" s="323" t="n"/>
      <c r="G501" s="314" t="n"/>
      <c r="H501" s="345" t="n"/>
      <c r="I501" s="320" t="n"/>
      <c r="J501" s="329" t="n"/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A502" s="346" t="n"/>
      <c r="B502" s="381" t="n">
        <v>45502</v>
      </c>
      <c r="C502" s="382" t="n">
        <v>1</v>
      </c>
      <c r="D502" s="383" t="inlineStr">
        <is>
          <t>ALFA JOB - PMB 009 (cancel job) - IBR</t>
        </is>
      </c>
      <c r="E502" s="384" t="n"/>
      <c r="F502" s="412" t="n">
        <v>159682</v>
      </c>
      <c r="G502" s="382" t="inlineStr">
        <is>
          <t>IDR</t>
        </is>
      </c>
      <c r="H502" s="386" t="n">
        <v>1</v>
      </c>
      <c r="I502" s="364" t="n"/>
      <c r="J502" s="387" t="n">
        <v>159682</v>
      </c>
      <c r="K502" s="388" t="n"/>
      <c r="L502" s="388" t="n"/>
      <c r="M502" s="397" t="n"/>
      <c r="N502" s="388" t="n"/>
      <c r="O502" s="388" t="n"/>
      <c r="P502" s="388" t="n"/>
      <c r="Q502" s="388" t="n"/>
      <c r="R502" s="365" t="n"/>
      <c r="S502" s="365" t="n"/>
      <c r="T502" s="365" t="n"/>
      <c r="U502" s="365" t="n"/>
      <c r="V502" s="365" t="n"/>
      <c r="W502" s="365" t="n"/>
      <c r="X502" s="365" t="n"/>
    </row>
    <row r="503" hidden="1" ht="15.5" customHeight="1" s="297">
      <c r="A503" s="346" t="n"/>
      <c r="B503" s="333" t="n"/>
      <c r="C503" s="314" t="n"/>
      <c r="D503" s="326" t="n"/>
      <c r="E503" s="326" t="n"/>
      <c r="F503" s="323" t="n"/>
      <c r="G503" s="314" t="n"/>
      <c r="H503" s="345" t="n"/>
      <c r="I503" s="320" t="n"/>
      <c r="J503" s="329" t="n"/>
      <c r="K503" s="321" t="n"/>
      <c r="L503" s="321" t="n"/>
      <c r="M503" s="319" t="n"/>
      <c r="N503" s="321" t="n"/>
      <c r="O503" s="321" t="n"/>
      <c r="P503" s="321" t="n"/>
      <c r="Q503" s="321" t="n"/>
      <c r="R503" s="322" t="n"/>
      <c r="S503" s="322" t="n"/>
      <c r="T503" s="322" t="n"/>
      <c r="U503" s="322" t="n"/>
      <c r="V503" s="322" t="n"/>
      <c r="W503" s="322" t="n"/>
      <c r="X503" s="322" t="n"/>
    </row>
    <row r="504" hidden="1" ht="15.5" customHeight="1" s="297">
      <c r="A504" s="346" t="n"/>
      <c r="B504" s="333" t="n"/>
      <c r="C504" s="314" t="n"/>
      <c r="D504" s="326" t="n"/>
      <c r="E504" s="326" t="n"/>
      <c r="F504" s="323" t="n"/>
      <c r="G504" s="314" t="n"/>
      <c r="H504" s="345" t="n"/>
      <c r="I504" s="320" t="n"/>
      <c r="J504" s="329" t="n"/>
      <c r="K504" s="321" t="n"/>
      <c r="L504" s="321" t="n"/>
      <c r="M504" s="319" t="n"/>
      <c r="N504" s="321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idden="1" ht="15.5" customHeight="1" s="297">
      <c r="A505" s="346" t="n"/>
      <c r="B505" s="333" t="n"/>
      <c r="C505" s="314" t="n"/>
      <c r="D505" s="326" t="n"/>
      <c r="E505" s="326" t="n"/>
      <c r="F505" s="323" t="n"/>
      <c r="G505" s="314" t="n"/>
      <c r="H505" s="345" t="n"/>
      <c r="I505" s="320" t="n"/>
      <c r="J505" s="329" t="n"/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A506" s="346" t="n"/>
      <c r="B506" s="333" t="n"/>
      <c r="C506" s="314" t="n"/>
      <c r="D506" s="326" t="n"/>
      <c r="E506" s="326" t="n"/>
      <c r="F506" s="323" t="n"/>
      <c r="G506" s="314" t="n"/>
      <c r="H506" s="345" t="n"/>
      <c r="I506" s="320" t="n"/>
      <c r="J506" s="329" t="n"/>
      <c r="K506" s="321" t="n"/>
      <c r="L506" s="321" t="n"/>
      <c r="M506" s="319" t="n"/>
      <c r="N506" s="321" t="n"/>
      <c r="O506" s="321" t="n"/>
      <c r="P506" s="321" t="n"/>
      <c r="Q506" s="321" t="n"/>
      <c r="R506" s="322" t="n"/>
      <c r="S506" s="322" t="n"/>
      <c r="T506" s="322" t="n"/>
      <c r="U506" s="322" t="n"/>
      <c r="V506" s="322" t="n"/>
      <c r="W506" s="322" t="n"/>
      <c r="X506" s="322" t="n"/>
    </row>
    <row r="507" hidden="1" ht="15.5" customHeight="1" s="297">
      <c r="A507" s="346" t="n"/>
      <c r="B507" s="333" t="n"/>
      <c r="C507" s="314" t="n"/>
      <c r="D507" s="326" t="n"/>
      <c r="E507" s="326" t="n"/>
      <c r="F507" s="323" t="n"/>
      <c r="G507" s="314" t="n"/>
      <c r="H507" s="345" t="n"/>
      <c r="I507" s="320" t="n"/>
      <c r="J507" s="329" t="n"/>
      <c r="K507" s="321" t="n"/>
      <c r="L507" s="321" t="n"/>
      <c r="M507" s="319" t="n"/>
      <c r="N507" s="32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A508" s="346" t="n"/>
      <c r="B508" s="381" t="n">
        <v>45548</v>
      </c>
      <c r="C508" s="382" t="n">
        <v>1</v>
      </c>
      <c r="D508" s="383" t="inlineStr">
        <is>
          <t>ALFA PMB-009 (Cancel)_ TMA</t>
        </is>
      </c>
      <c r="E508" s="384" t="n"/>
      <c r="F508" s="412" t="n">
        <v>900000</v>
      </c>
      <c r="G508" s="382" t="inlineStr">
        <is>
          <t>IDR</t>
        </is>
      </c>
      <c r="H508" s="386" t="n">
        <v>1</v>
      </c>
      <c r="I508" s="364" t="n"/>
      <c r="J508" s="387" t="n">
        <v>900000</v>
      </c>
      <c r="K508" s="388" t="n"/>
      <c r="L508" s="388" t="n"/>
      <c r="M508" s="397" t="n"/>
      <c r="N508" s="387" t="n"/>
      <c r="O508" s="388" t="n"/>
      <c r="P508" s="388" t="n"/>
      <c r="Q508" s="388" t="n"/>
      <c r="R508" s="365" t="n"/>
      <c r="S508" s="365" t="n"/>
      <c r="T508" s="365" t="n"/>
      <c r="U508" s="365" t="n"/>
      <c r="V508" s="365" t="n"/>
      <c r="W508" s="365" t="n"/>
      <c r="X508" s="365" t="n"/>
    </row>
    <row r="509" hidden="1" ht="15.5" customHeight="1" s="297">
      <c r="A509" s="346" t="n"/>
      <c r="B509" s="333" t="n"/>
      <c r="C509" s="314" t="n"/>
      <c r="D509" s="326" t="n"/>
      <c r="E509" s="326" t="n"/>
      <c r="F509" s="323" t="n"/>
      <c r="G509" s="314" t="n"/>
      <c r="H509" s="345" t="n"/>
      <c r="I509" s="320" t="n"/>
      <c r="J509" s="329" t="n"/>
      <c r="K509" s="321" t="n"/>
      <c r="L509" s="321" t="n"/>
      <c r="M509" s="319" t="n"/>
      <c r="N509" s="329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idden="1" ht="15.5" customHeight="1" s="297">
      <c r="A510" s="346" t="n"/>
      <c r="B510" s="333" t="n"/>
      <c r="C510" s="314" t="n"/>
      <c r="D510" s="326" t="n"/>
      <c r="E510" s="326" t="n"/>
      <c r="F510" s="323" t="n"/>
      <c r="G510" s="314" t="n"/>
      <c r="H510" s="345" t="n"/>
      <c r="I510" s="320" t="n"/>
      <c r="J510" s="329" t="n"/>
      <c r="K510" s="321" t="n"/>
      <c r="L510" s="321" t="n"/>
      <c r="M510" s="319" t="n"/>
      <c r="N510" s="329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idden="1" ht="15.5" customHeight="1" s="297">
      <c r="A511" s="346" t="n"/>
      <c r="B511" s="333" t="n"/>
      <c r="C511" s="314" t="n"/>
      <c r="D511" s="326" t="n"/>
      <c r="E511" s="326" t="n"/>
      <c r="F511" s="323" t="n"/>
      <c r="G511" s="314" t="n"/>
      <c r="H511" s="345" t="n"/>
      <c r="I511" s="320" t="n"/>
      <c r="J511" s="329" t="n"/>
      <c r="K511" s="321" t="n"/>
      <c r="L511" s="321" t="n"/>
      <c r="M511" s="319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idden="1" ht="15.5" customHeight="1" s="297">
      <c r="A512" s="346" t="n"/>
      <c r="B512" s="333" t="n"/>
      <c r="C512" s="314" t="n"/>
      <c r="D512" s="326" t="n"/>
      <c r="E512" s="326" t="n"/>
      <c r="F512" s="323" t="n"/>
      <c r="G512" s="314" t="n"/>
      <c r="H512" s="345" t="n"/>
      <c r="I512" s="320" t="n"/>
      <c r="J512" s="329" t="n"/>
      <c r="K512" s="321" t="n"/>
      <c r="L512" s="321" t="n"/>
      <c r="M512" s="319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idden="1" ht="15.5" customHeight="1" s="297">
      <c r="A513" s="346" t="n"/>
      <c r="B513" s="333" t="n"/>
      <c r="C513" s="314" t="n"/>
      <c r="D513" s="326" t="n"/>
      <c r="E513" s="326" t="n"/>
      <c r="F513" s="323" t="n"/>
      <c r="G513" s="314" t="n"/>
      <c r="H513" s="345" t="n"/>
      <c r="I513" s="320" t="n"/>
      <c r="J513" s="329" t="n"/>
      <c r="K513" s="321" t="n"/>
      <c r="L513" s="321" t="n"/>
      <c r="M513" s="319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idden="1" ht="15.5" customHeight="1" s="297">
      <c r="A514" s="346" t="n"/>
      <c r="B514" s="333" t="n"/>
      <c r="C514" s="314" t="n"/>
      <c r="D514" s="326" t="n"/>
      <c r="E514" s="326" t="n"/>
      <c r="F514" s="323" t="n"/>
      <c r="G514" s="314" t="n"/>
      <c r="H514" s="345" t="n"/>
      <c r="I514" s="320" t="n"/>
      <c r="J514" s="329" t="n"/>
      <c r="K514" s="321" t="n"/>
      <c r="L514" s="321" t="n"/>
      <c r="M514" s="319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idden="1" ht="15.5" customHeight="1" s="297">
      <c r="A515" s="346" t="n"/>
      <c r="B515" s="333" t="n"/>
      <c r="C515" s="314" t="n"/>
      <c r="D515" s="326" t="n"/>
      <c r="E515" s="326" t="n"/>
      <c r="F515" s="323" t="n"/>
      <c r="G515" s="314" t="n"/>
      <c r="H515" s="345" t="n"/>
      <c r="I515" s="320" t="n"/>
      <c r="J515" s="329" t="n"/>
      <c r="K515" s="321" t="n"/>
      <c r="L515" s="321" t="n"/>
      <c r="M515" s="319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idden="1" ht="15.5" customHeight="1" s="297">
      <c r="A516" s="346" t="n"/>
      <c r="B516" s="333" t="n"/>
      <c r="C516" s="314" t="n"/>
      <c r="D516" s="326" t="n"/>
      <c r="E516" s="326" t="n"/>
      <c r="F516" s="323" t="n"/>
      <c r="G516" s="314" t="n"/>
      <c r="H516" s="345" t="n"/>
      <c r="I516" s="320" t="n"/>
      <c r="J516" s="329" t="n"/>
      <c r="K516" s="321" t="n"/>
      <c r="L516" s="321" t="n"/>
      <c r="M516" s="319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/>
      <c r="C517" s="433" t="n"/>
      <c r="D517" s="330" t="inlineStr">
        <is>
          <t>Accommodation</t>
        </is>
      </c>
      <c r="E517" s="378" t="n"/>
      <c r="F517" s="317" t="n"/>
      <c r="G517" s="314" t="n"/>
      <c r="H517" s="314" t="n"/>
      <c r="I517" s="320" t="n"/>
      <c r="J517" s="320" t="n"/>
      <c r="K517" s="321" t="n"/>
      <c r="L517" s="321" t="n"/>
      <c r="M517" s="320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433" t="n">
        <v>3</v>
      </c>
      <c r="D518" s="326" t="inlineStr">
        <is>
          <t>Field Allowance</t>
        </is>
      </c>
      <c r="E518" s="326" t="n"/>
      <c r="F518" s="323" t="n">
        <v>9262800</v>
      </c>
      <c r="G518" s="314" t="inlineStr">
        <is>
          <t>USD</t>
        </is>
      </c>
      <c r="H518" s="345" t="n">
        <v>15438</v>
      </c>
      <c r="I518" s="320" t="n"/>
      <c r="J518" s="329" t="n">
        <v>9262800</v>
      </c>
      <c r="K518" s="321" t="n"/>
      <c r="L518" s="321" t="n"/>
      <c r="M518" s="319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401" t="n">
        <v>45541</v>
      </c>
      <c r="C519" s="402" t="n">
        <v>4</v>
      </c>
      <c r="D519" s="403" t="inlineStr">
        <is>
          <t>Meals</t>
        </is>
      </c>
      <c r="E519" s="403" t="n"/>
      <c r="F519" s="338" t="n">
        <v>900000</v>
      </c>
      <c r="G519" s="314" t="inlineStr">
        <is>
          <t>IDR</t>
        </is>
      </c>
      <c r="H519" s="345" t="n">
        <v>1</v>
      </c>
      <c r="I519" s="321" t="n"/>
      <c r="J519" s="329" t="n">
        <v>900000</v>
      </c>
      <c r="K519" s="321" t="n"/>
      <c r="L519" s="321" t="n"/>
      <c r="M519" s="320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14" t="n"/>
      <c r="D520" s="330" t="inlineStr">
        <is>
          <t>Allowance</t>
        </is>
      </c>
      <c r="E520" s="378" t="n"/>
      <c r="F520" s="317" t="n"/>
      <c r="G520" s="314" t="n"/>
      <c r="H520" s="314" t="n"/>
      <c r="I520" s="320" t="n"/>
      <c r="J520" s="320" t="n"/>
      <c r="K520" s="321" t="n"/>
      <c r="L520" s="321" t="n"/>
      <c r="M520" s="319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5</v>
      </c>
      <c r="D521" s="326" t="inlineStr">
        <is>
          <t>Airplane Ticket CGK-PLM</t>
        </is>
      </c>
      <c r="E521" s="326" t="n"/>
      <c r="F521" s="323" t="n">
        <v>904682</v>
      </c>
      <c r="G521" s="314" t="inlineStr">
        <is>
          <t>IDR</t>
        </is>
      </c>
      <c r="H521" s="345" t="n">
        <v>1</v>
      </c>
      <c r="I521" s="319" t="n"/>
      <c r="J521" s="329" t="n">
        <v>904682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/>
      <c r="C522" s="314" t="n"/>
      <c r="D522" s="330" t="inlineStr">
        <is>
          <t>Transportation</t>
        </is>
      </c>
      <c r="E522" s="378" t="n"/>
      <c r="F522" s="317" t="n"/>
      <c r="G522" s="314" t="n"/>
      <c r="H522" s="314" t="n"/>
      <c r="I522" s="320" t="n"/>
      <c r="J522" s="320" t="n"/>
      <c r="K522" s="321" t="n"/>
      <c r="L522" s="321" t="n"/>
      <c r="M522" s="320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A523" s="346" t="n"/>
      <c r="B523" s="381" t="n">
        <v>45541</v>
      </c>
      <c r="C523" s="382" t="n">
        <v>1</v>
      </c>
      <c r="D523" s="383" t="inlineStr">
        <is>
          <t>ALFA PMB-009 (Cancel)_ TMA</t>
        </is>
      </c>
      <c r="E523" s="396" t="n"/>
      <c r="F523" s="412" t="n">
        <v>1800000</v>
      </c>
      <c r="G523" s="382" t="inlineStr">
        <is>
          <t>IDR</t>
        </is>
      </c>
      <c r="H523" s="386" t="n">
        <v>1</v>
      </c>
      <c r="I523" s="364" t="n"/>
      <c r="J523" s="387" t="n">
        <v>1800000</v>
      </c>
      <c r="K523" s="388" t="n"/>
      <c r="L523" s="388" t="n"/>
      <c r="M523" s="364" t="n"/>
      <c r="N523" s="388" t="n"/>
      <c r="O523" s="388" t="n"/>
      <c r="P523" s="388" t="n"/>
      <c r="Q523" s="388" t="n"/>
      <c r="R523" s="365" t="n"/>
      <c r="S523" s="365" t="n"/>
      <c r="T523" s="365" t="n"/>
      <c r="U523" s="365" t="n"/>
      <c r="V523" s="365" t="n"/>
      <c r="W523" s="365" t="n"/>
      <c r="X523" s="365" t="n"/>
    </row>
    <row r="524" hidden="1" ht="15.5" customHeight="1" s="297">
      <c r="A524" s="346" t="n"/>
      <c r="B524" s="333" t="n"/>
      <c r="C524" s="314" t="n"/>
      <c r="D524" s="378" t="n"/>
      <c r="E524" s="378" t="n"/>
      <c r="F524" s="323" t="n"/>
      <c r="G524" s="314" t="n"/>
      <c r="H524" s="345" t="n"/>
      <c r="I524" s="320" t="n"/>
      <c r="J524" s="329" t="n"/>
      <c r="K524" s="321" t="n"/>
      <c r="L524" s="321" t="n"/>
      <c r="M524" s="320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idden="1" ht="15.5" customHeight="1" s="297">
      <c r="A525" s="346" t="n"/>
      <c r="B525" s="333" t="n"/>
      <c r="C525" s="314" t="n"/>
      <c r="D525" s="378" t="n"/>
      <c r="E525" s="378" t="n"/>
      <c r="F525" s="323" t="n"/>
      <c r="G525" s="314" t="n"/>
      <c r="H525" s="345" t="n"/>
      <c r="I525" s="320" t="n"/>
      <c r="J525" s="329" t="n"/>
      <c r="K525" s="321" t="n"/>
      <c r="L525" s="321" t="n"/>
      <c r="M525" s="320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idden="1" ht="15.5" customHeight="1" s="297">
      <c r="A526" s="346" t="n"/>
      <c r="B526" s="333" t="n"/>
      <c r="C526" s="314" t="n"/>
      <c r="D526" s="378" t="n"/>
      <c r="E526" s="378" t="n"/>
      <c r="F526" s="323" t="n"/>
      <c r="G526" s="314" t="n"/>
      <c r="H526" s="345" t="n"/>
      <c r="I526" s="320" t="n"/>
      <c r="J526" s="329" t="n"/>
      <c r="K526" s="321" t="n"/>
      <c r="L526" s="321" t="n"/>
      <c r="M526" s="320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idden="1" ht="15.5" customHeight="1" s="297">
      <c r="A527" s="346" t="n"/>
      <c r="B527" s="333" t="n"/>
      <c r="C527" s="314" t="n"/>
      <c r="D527" s="378" t="n"/>
      <c r="E527" s="378" t="n"/>
      <c r="F527" s="323" t="n"/>
      <c r="G527" s="314" t="n"/>
      <c r="H527" s="345" t="n"/>
      <c r="I527" s="320" t="n"/>
      <c r="J527" s="329" t="n"/>
      <c r="K527" s="321" t="n"/>
      <c r="L527" s="321" t="n"/>
      <c r="M527" s="320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idden="1" ht="15.5" customHeight="1" s="297">
      <c r="A528" s="346" t="n"/>
      <c r="B528" s="333" t="n"/>
      <c r="C528" s="314" t="n"/>
      <c r="D528" s="378" t="n"/>
      <c r="E528" s="378" t="n"/>
      <c r="F528" s="323" t="n"/>
      <c r="G528" s="314" t="n"/>
      <c r="H528" s="345" t="n"/>
      <c r="I528" s="320" t="n"/>
      <c r="J528" s="329" t="n"/>
      <c r="K528" s="321" t="n"/>
      <c r="L528" s="321" t="n"/>
      <c r="M528" s="320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idden="1" ht="15.5" customHeight="1" s="297">
      <c r="A529" s="346" t="n"/>
      <c r="B529" s="333" t="n"/>
      <c r="C529" s="314" t="n"/>
      <c r="D529" s="378" t="n"/>
      <c r="E529" s="378" t="n"/>
      <c r="F529" s="323" t="n"/>
      <c r="G529" s="314" t="n"/>
      <c r="H529" s="345" t="n"/>
      <c r="I529" s="320" t="n"/>
      <c r="J529" s="329" t="n"/>
      <c r="K529" s="321" t="n"/>
      <c r="L529" s="321" t="n"/>
      <c r="M529" s="320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idden="1" ht="15.5" customHeight="1" s="297">
      <c r="A530" s="346" t="n"/>
      <c r="B530" s="333" t="n"/>
      <c r="C530" s="314" t="n"/>
      <c r="D530" s="378" t="n"/>
      <c r="E530" s="378" t="n"/>
      <c r="F530" s="323" t="n"/>
      <c r="G530" s="314" t="n"/>
      <c r="H530" s="345" t="n"/>
      <c r="I530" s="320" t="n"/>
      <c r="J530" s="329" t="n"/>
      <c r="K530" s="321" t="n"/>
      <c r="L530" s="321" t="n"/>
      <c r="M530" s="320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idden="1" ht="15.5" customHeight="1" s="297">
      <c r="B531" s="374" t="n"/>
      <c r="C531" s="367" t="n"/>
      <c r="D531" s="375" t="n"/>
      <c r="E531" s="375" t="n"/>
      <c r="F531" s="408" t="n"/>
      <c r="G531" s="367" t="n"/>
      <c r="H531" s="367" t="n"/>
      <c r="I531" s="370" t="n"/>
      <c r="J531" s="370" t="n"/>
      <c r="K531" s="371" t="n"/>
      <c r="L531" s="371" t="n"/>
      <c r="M531" s="376" t="n"/>
      <c r="N531" s="376" t="n"/>
      <c r="O531" s="371" t="n"/>
      <c r="P531" s="371" t="n"/>
      <c r="Q531" s="371" t="n"/>
      <c r="R531" s="372" t="n"/>
      <c r="S531" s="372" t="n"/>
      <c r="T531" s="372" t="n"/>
      <c r="U531" s="372" t="n"/>
      <c r="V531" s="372" t="n"/>
      <c r="W531" s="372" t="n"/>
      <c r="X531" s="372" t="n"/>
    </row>
    <row r="532" hidden="1" ht="15.5" customHeight="1" s="297">
      <c r="B532" s="374" t="n"/>
      <c r="C532" s="367" t="n"/>
      <c r="D532" s="375" t="n"/>
      <c r="E532" s="375" t="n"/>
      <c r="F532" s="408" t="n"/>
      <c r="G532" s="367" t="n"/>
      <c r="H532" s="367" t="n"/>
      <c r="I532" s="370" t="n"/>
      <c r="J532" s="370" t="n"/>
      <c r="K532" s="371" t="n"/>
      <c r="L532" s="371" t="n"/>
      <c r="M532" s="376" t="n"/>
      <c r="N532" s="376" t="n"/>
      <c r="O532" s="371" t="n"/>
      <c r="P532" s="371" t="n"/>
      <c r="Q532" s="371" t="n"/>
      <c r="R532" s="372" t="n"/>
      <c r="S532" s="372" t="n"/>
      <c r="T532" s="372" t="n"/>
      <c r="U532" s="372" t="n"/>
      <c r="V532" s="372" t="n"/>
      <c r="W532" s="372" t="n"/>
      <c r="X532" s="372" t="n"/>
    </row>
    <row r="533" hidden="1" ht="15.5" customHeight="1" s="297">
      <c r="B533" s="389" t="n"/>
      <c r="C533" s="390" t="n"/>
      <c r="D533" s="391" t="n"/>
      <c r="E533" s="391" t="n"/>
      <c r="F533" s="392" t="n"/>
      <c r="G533" s="393" t="n"/>
      <c r="H533" s="393" t="n"/>
      <c r="I533" s="389" t="n"/>
      <c r="J533" s="395" t="n"/>
      <c r="K533" s="389" t="n"/>
      <c r="L533" s="389" t="n"/>
      <c r="M533" s="394" t="n"/>
      <c r="N533" s="389" t="n"/>
      <c r="O533" s="389" t="n"/>
      <c r="P533" s="389" t="n"/>
      <c r="Q533" s="389" t="n"/>
      <c r="R533" s="372" t="n"/>
      <c r="S533" s="372" t="n"/>
      <c r="T533" s="372" t="n"/>
      <c r="U533" s="372" t="n"/>
      <c r="V533" s="372" t="n"/>
      <c r="W533" s="372" t="n"/>
      <c r="X533" s="372" t="n"/>
    </row>
    <row r="534" ht="15.5" customHeight="1" s="297">
      <c r="A534" s="346" t="n"/>
      <c r="B534" s="399" t="n">
        <v>45561</v>
      </c>
      <c r="C534" s="358" t="n">
        <v>1</v>
      </c>
      <c r="D534" s="359" t="inlineStr">
        <is>
          <t>ALFA Job JRK-095 (Jirak) - IBR</t>
        </is>
      </c>
      <c r="E534" s="360" t="n"/>
      <c r="F534" s="400" t="n">
        <v>750000</v>
      </c>
      <c r="G534" s="382" t="inlineStr">
        <is>
          <t>IDR</t>
        </is>
      </c>
      <c r="H534" s="386" t="n">
        <v>1</v>
      </c>
      <c r="I534" s="388" t="n"/>
      <c r="J534" s="387" t="n">
        <v>750000</v>
      </c>
      <c r="K534" s="388" t="n"/>
      <c r="L534" s="388" t="n"/>
      <c r="M534" s="397" t="n"/>
      <c r="N534" s="388" t="n"/>
      <c r="O534" s="388" t="n"/>
      <c r="P534" s="388" t="n"/>
      <c r="Q534" s="388" t="n"/>
      <c r="R534" s="365" t="n"/>
      <c r="S534" s="365" t="n"/>
      <c r="T534" s="365" t="n"/>
      <c r="U534" s="365" t="n"/>
      <c r="V534" s="365" t="n"/>
      <c r="W534" s="365" t="n"/>
      <c r="X534" s="365" t="n"/>
    </row>
    <row r="535" hidden="1" ht="15.5" customHeight="1" s="297">
      <c r="A535" s="346" t="n"/>
      <c r="B535" s="401" t="n"/>
      <c r="C535" s="402" t="n"/>
      <c r="D535" s="403" t="n"/>
      <c r="E535" s="403" t="n"/>
      <c r="F535" s="338" t="n"/>
      <c r="G535" s="314" t="n"/>
      <c r="H535" s="345" t="n"/>
      <c r="I535" s="321" t="n"/>
      <c r="J535" s="329" t="n"/>
      <c r="K535" s="321" t="n"/>
      <c r="L535" s="321" t="n"/>
      <c r="M535" s="319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idden="1" ht="15.5" customHeight="1" s="297">
      <c r="A536" s="346" t="n"/>
      <c r="B536" s="401" t="n"/>
      <c r="C536" s="402" t="n"/>
      <c r="D536" s="403" t="n"/>
      <c r="E536" s="403" t="n"/>
      <c r="F536" s="338" t="n"/>
      <c r="G536" s="314" t="n"/>
      <c r="H536" s="345" t="n"/>
      <c r="I536" s="321" t="n"/>
      <c r="J536" s="329" t="n"/>
      <c r="K536" s="321" t="n"/>
      <c r="L536" s="321" t="n"/>
      <c r="M536" s="319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idden="1" ht="15.5" customHeight="1" s="297">
      <c r="A537" s="346" t="n"/>
      <c r="B537" s="401" t="n"/>
      <c r="C537" s="402" t="n"/>
      <c r="D537" s="403" t="n"/>
      <c r="E537" s="403" t="n"/>
      <c r="F537" s="338" t="n"/>
      <c r="G537" s="314" t="n"/>
      <c r="H537" s="345" t="n"/>
      <c r="I537" s="321" t="n"/>
      <c r="J537" s="329" t="n"/>
      <c r="K537" s="321" t="n"/>
      <c r="L537" s="321" t="n"/>
      <c r="M537" s="319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idden="1" ht="15.5" customHeight="1" s="297">
      <c r="A538" s="346" t="n"/>
      <c r="B538" s="401" t="n"/>
      <c r="C538" s="402" t="n"/>
      <c r="D538" s="403" t="n"/>
      <c r="E538" s="403" t="n"/>
      <c r="F538" s="338" t="n"/>
      <c r="G538" s="314" t="n"/>
      <c r="H538" s="345" t="n"/>
      <c r="I538" s="321" t="n"/>
      <c r="J538" s="329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idden="1" ht="15.5" customHeight="1" s="297">
      <c r="A539" s="346" t="n"/>
      <c r="B539" s="401" t="n"/>
      <c r="C539" s="402" t="n"/>
      <c r="D539" s="403" t="n"/>
      <c r="E539" s="403" t="n"/>
      <c r="F539" s="338" t="n"/>
      <c r="G539" s="314" t="n"/>
      <c r="H539" s="345" t="n"/>
      <c r="I539" s="321" t="n"/>
      <c r="J539" s="329" t="n"/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/>
      <c r="C540" s="314" t="n"/>
      <c r="D540" s="330" t="inlineStr">
        <is>
          <t>Accommodation</t>
        </is>
      </c>
      <c r="E540" s="378" t="n"/>
      <c r="F540" s="332" t="n"/>
      <c r="G540" s="314" t="n"/>
      <c r="H540" s="314" t="n"/>
      <c r="I540" s="321" t="n"/>
      <c r="J540" s="321" t="n"/>
      <c r="K540" s="321" t="n"/>
      <c r="L540" s="321" t="n"/>
      <c r="M540" s="321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1</v>
      </c>
      <c r="D541" s="326" t="inlineStr">
        <is>
          <t>Hotel 21 Sept - 27 Sept 2024 (6 days)</t>
        </is>
      </c>
      <c r="E541" s="326" t="n"/>
      <c r="F541" s="334" t="n">
        <v>1680000</v>
      </c>
      <c r="G541" s="314" t="inlineStr">
        <is>
          <t>IDR</t>
        </is>
      </c>
      <c r="H541" s="345" t="n">
        <v>1</v>
      </c>
      <c r="I541" s="410" t="n"/>
      <c r="J541" s="329" t="n">
        <v>1680000</v>
      </c>
      <c r="K541" s="321" t="n"/>
      <c r="L541" s="321" t="n"/>
      <c r="M541" s="321" t="n"/>
      <c r="N541" s="321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2</v>
      </c>
      <c r="D542" s="316" t="inlineStr">
        <is>
          <t>Laundry 20 Sept - 27 Sept 2024 (7days) @ Rp. 50000</t>
        </is>
      </c>
      <c r="E542" s="316" t="n"/>
      <c r="F542" s="334" t="n">
        <v>350000</v>
      </c>
      <c r="G542" s="314" t="inlineStr">
        <is>
          <t>IDR</t>
        </is>
      </c>
      <c r="H542" s="345" t="n">
        <v>1</v>
      </c>
      <c r="I542" s="319" t="n"/>
      <c r="J542" s="329" t="n">
        <v>350000</v>
      </c>
      <c r="K542" s="321" t="n"/>
      <c r="L542" s="321" t="n"/>
      <c r="M542" s="321" t="n"/>
      <c r="N542" s="321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/>
      <c r="C543" s="314" t="n"/>
      <c r="D543" s="330" t="inlineStr">
        <is>
          <t>Allowance</t>
        </is>
      </c>
      <c r="E543" s="378" t="n"/>
      <c r="F543" s="332" t="n"/>
      <c r="G543" s="314" t="n"/>
      <c r="H543" s="314" t="n"/>
      <c r="I543" s="320" t="n"/>
      <c r="J543" s="320" t="n"/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idden="1" ht="15.5" customHeight="1" s="297">
      <c r="B544" s="374" t="n"/>
      <c r="C544" s="367" t="n"/>
      <c r="D544" s="375" t="n"/>
      <c r="E544" s="375" t="n"/>
      <c r="F544" s="369" t="n"/>
      <c r="G544" s="367" t="n"/>
      <c r="H544" s="367" t="n"/>
      <c r="I544" s="376" t="n"/>
      <c r="J544" s="370" t="n"/>
      <c r="K544" s="371" t="n"/>
      <c r="L544" s="371" t="n"/>
      <c r="M544" s="371" t="n"/>
      <c r="N544" s="371" t="n"/>
      <c r="O544" s="371" t="n"/>
      <c r="P544" s="371" t="n"/>
      <c r="Q544" s="371" t="n"/>
      <c r="R544" s="372" t="n"/>
      <c r="S544" s="372" t="n"/>
      <c r="T544" s="372" t="n"/>
      <c r="U544" s="372" t="n"/>
      <c r="V544" s="372" t="n"/>
      <c r="W544" s="372" t="n"/>
      <c r="X544" s="372" t="n"/>
    </row>
    <row r="545" hidden="1" ht="15.5" customHeight="1" s="297">
      <c r="B545" s="374" t="n"/>
      <c r="C545" s="367" t="n"/>
      <c r="D545" s="418" t="n"/>
      <c r="E545" s="418" t="n"/>
      <c r="F545" s="369" t="n"/>
      <c r="G545" s="367" t="n"/>
      <c r="H545" s="367" t="n"/>
      <c r="I545" s="376" t="n"/>
      <c r="J545" s="370" t="n"/>
      <c r="K545" s="371" t="n"/>
      <c r="L545" s="371" t="n"/>
      <c r="M545" s="371" t="n"/>
      <c r="N545" s="371" t="n"/>
      <c r="O545" s="371" t="n"/>
      <c r="P545" s="371" t="n"/>
      <c r="Q545" s="371" t="n"/>
      <c r="R545" s="372" t="n"/>
      <c r="S545" s="372" t="n"/>
      <c r="T545" s="372" t="n"/>
      <c r="U545" s="372" t="n"/>
      <c r="V545" s="372" t="n"/>
      <c r="W545" s="372" t="n"/>
      <c r="X545" s="372" t="n"/>
    </row>
    <row r="546" hidden="1" ht="15.5" customHeight="1" s="297">
      <c r="B546" s="374" t="n"/>
      <c r="C546" s="367" t="n"/>
      <c r="D546" s="418" t="n"/>
      <c r="E546" s="418" t="n"/>
      <c r="F546" s="369" t="n"/>
      <c r="G546" s="367" t="n"/>
      <c r="H546" s="367" t="n"/>
      <c r="I546" s="376" t="n"/>
      <c r="J546" s="370" t="n"/>
      <c r="K546" s="371" t="n"/>
      <c r="L546" s="371" t="n"/>
      <c r="M546" s="371" t="n"/>
      <c r="N546" s="371" t="n"/>
      <c r="O546" s="371" t="n"/>
      <c r="P546" s="371" t="n"/>
      <c r="Q546" s="371" t="n"/>
      <c r="R546" s="372" t="n"/>
      <c r="S546" s="372" t="n"/>
      <c r="T546" s="372" t="n"/>
      <c r="U546" s="372" t="n"/>
      <c r="V546" s="372" t="n"/>
      <c r="W546" s="372" t="n"/>
      <c r="X546" s="372" t="n"/>
    </row>
    <row r="547" hidden="1" ht="15.5" customHeight="1" s="297">
      <c r="B547" s="374" t="n"/>
      <c r="C547" s="367" t="n"/>
      <c r="D547" s="375" t="n"/>
      <c r="E547" s="375" t="n"/>
      <c r="F547" s="369" t="n"/>
      <c r="G547" s="367" t="n"/>
      <c r="H547" s="367" t="n"/>
      <c r="I547" s="376" t="n"/>
      <c r="J547" s="370" t="n"/>
      <c r="K547" s="371" t="n"/>
      <c r="L547" s="371" t="n"/>
      <c r="M547" s="371" t="n"/>
      <c r="N547" s="371" t="n"/>
      <c r="O547" s="371" t="n"/>
      <c r="P547" s="371" t="n"/>
      <c r="Q547" s="371" t="n"/>
      <c r="R547" s="372" t="n"/>
      <c r="S547" s="372" t="n"/>
      <c r="T547" s="372" t="n"/>
      <c r="U547" s="372" t="n"/>
      <c r="V547" s="372" t="n"/>
      <c r="W547" s="372" t="n"/>
      <c r="X547" s="372" t="n"/>
    </row>
    <row r="548" hidden="1" ht="15.5" customHeight="1" s="297">
      <c r="B548" s="374" t="n"/>
      <c r="C548" s="367" t="n"/>
      <c r="D548" s="375" t="n"/>
      <c r="E548" s="375" t="n"/>
      <c r="F548" s="369" t="n"/>
      <c r="G548" s="367" t="n"/>
      <c r="H548" s="367" t="n"/>
      <c r="I548" s="376" t="n"/>
      <c r="J548" s="370" t="n"/>
      <c r="K548" s="371" t="n"/>
      <c r="L548" s="371" t="n"/>
      <c r="M548" s="376" t="n"/>
      <c r="N548" s="371" t="n"/>
      <c r="O548" s="371" t="n"/>
      <c r="P548" s="371" t="n"/>
      <c r="Q548" s="371" t="n"/>
      <c r="R548" s="372" t="n"/>
      <c r="S548" s="372" t="n"/>
      <c r="T548" s="372" t="n"/>
      <c r="U548" s="372" t="n"/>
      <c r="V548" s="372" t="n"/>
      <c r="W548" s="372" t="n"/>
      <c r="X548" s="372" t="n"/>
    </row>
    <row r="549" hidden="1" ht="15.5" customHeight="1" s="297">
      <c r="B549" s="374" t="n"/>
      <c r="C549" s="367" t="n"/>
      <c r="D549" s="418" t="n"/>
      <c r="E549" s="418" t="n"/>
      <c r="F549" s="369" t="n"/>
      <c r="G549" s="367" t="n"/>
      <c r="H549" s="367" t="n"/>
      <c r="I549" s="376" t="n"/>
      <c r="J549" s="370" t="n"/>
      <c r="K549" s="371" t="n"/>
      <c r="L549" s="371" t="n"/>
      <c r="M549" s="370" t="n"/>
      <c r="N549" s="371" t="n"/>
      <c r="O549" s="371" t="n"/>
      <c r="P549" s="371" t="n"/>
      <c r="Q549" s="371" t="n"/>
      <c r="R549" s="372" t="n"/>
      <c r="S549" s="372" t="n"/>
      <c r="T549" s="372" t="n"/>
      <c r="U549" s="372" t="n"/>
      <c r="V549" s="372" t="n"/>
      <c r="W549" s="372" t="n"/>
      <c r="X549" s="372" t="n"/>
    </row>
    <row r="550" ht="15.5" customHeight="1" s="297">
      <c r="B550" s="333" t="n"/>
      <c r="C550" s="314" t="n"/>
      <c r="D550" s="330" t="inlineStr">
        <is>
          <t>Operation</t>
        </is>
      </c>
      <c r="E550" s="378" t="n"/>
      <c r="F550" s="332" t="n"/>
      <c r="G550" s="314" t="n"/>
      <c r="H550" s="314" t="n"/>
      <c r="I550" s="320" t="n"/>
      <c r="J550" s="320" t="n"/>
      <c r="K550" s="321" t="n"/>
      <c r="L550" s="321" t="n"/>
      <c r="M550" s="319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idden="1" ht="15.5" customHeight="1" s="297">
      <c r="B551" s="404" t="n"/>
      <c r="C551" s="405" t="n"/>
      <c r="D551" s="413" t="n"/>
      <c r="E551" s="413" t="n"/>
      <c r="F551" s="407" t="n"/>
      <c r="G551" s="367" t="n"/>
      <c r="H551" s="367" t="n"/>
      <c r="I551" s="370" t="n"/>
      <c r="J551" s="370" t="n"/>
      <c r="K551" s="370" t="n"/>
      <c r="L551" s="370" t="n"/>
      <c r="M551" s="370" t="n"/>
      <c r="N551" s="370" t="n"/>
      <c r="O551" s="370" t="n"/>
      <c r="P551" s="370" t="n"/>
      <c r="Q551" s="370" t="n"/>
      <c r="R551" s="372" t="n"/>
      <c r="S551" s="372" t="n"/>
      <c r="T551" s="372" t="n"/>
      <c r="U551" s="372" t="n"/>
      <c r="V551" s="372" t="n"/>
      <c r="W551" s="372" t="n"/>
      <c r="X551" s="372" t="n"/>
    </row>
    <row r="552" hidden="1" ht="15.5" customHeight="1" s="297">
      <c r="B552" s="374" t="n"/>
      <c r="C552" s="367" t="n"/>
      <c r="D552" s="418" t="n"/>
      <c r="E552" s="418" t="n"/>
      <c r="F552" s="369" t="n"/>
      <c r="G552" s="367" t="n"/>
      <c r="H552" s="367" t="n"/>
      <c r="I552" s="370" t="n"/>
      <c r="J552" s="371" t="n"/>
      <c r="K552" s="371" t="n"/>
      <c r="L552" s="371" t="n"/>
      <c r="M552" s="371" t="n"/>
      <c r="N552" s="370" t="n"/>
      <c r="O552" s="371" t="n"/>
      <c r="P552" s="371" t="n"/>
      <c r="Q552" s="371" t="n"/>
      <c r="R552" s="372" t="n"/>
      <c r="S552" s="372" t="n"/>
      <c r="T552" s="372" t="n"/>
      <c r="U552" s="372" t="n"/>
      <c r="V552" s="372" t="n"/>
      <c r="W552" s="372" t="n"/>
      <c r="X552" s="372" t="n"/>
    </row>
    <row r="553" hidden="1" ht="15.5" customHeight="1" s="297">
      <c r="B553" s="389" t="n"/>
      <c r="C553" s="390" t="n"/>
      <c r="D553" s="423" t="n"/>
      <c r="E553" s="423" t="n"/>
      <c r="F553" s="392" t="n"/>
      <c r="G553" s="393" t="n"/>
      <c r="H553" s="393" t="n"/>
      <c r="I553" s="389" t="n"/>
      <c r="J553" s="389" t="n"/>
      <c r="K553" s="389" t="n"/>
      <c r="L553" s="389" t="n"/>
      <c r="M553" s="394" t="n"/>
      <c r="N553" s="389" t="n"/>
      <c r="O553" s="389" t="n"/>
      <c r="P553" s="389" t="n"/>
      <c r="Q553" s="389" t="n"/>
      <c r="R553" s="372" t="n"/>
      <c r="S553" s="372" t="n"/>
      <c r="T553" s="372" t="n"/>
      <c r="U553" s="372" t="n"/>
      <c r="V553" s="372" t="n"/>
      <c r="W553" s="372" t="n"/>
      <c r="X553" s="372" t="n"/>
    </row>
    <row r="554" hidden="1" ht="15.5" customHeight="1" s="297">
      <c r="B554" s="422" t="n"/>
      <c r="C554" s="405" t="n"/>
      <c r="D554" s="371" t="n"/>
      <c r="E554" s="371" t="n"/>
      <c r="F554" s="414" t="n"/>
      <c r="G554" s="405" t="n"/>
      <c r="H554" s="405" t="n"/>
      <c r="I554" s="371" t="n"/>
      <c r="J554" s="371" t="n"/>
      <c r="K554" s="371" t="n"/>
      <c r="L554" s="371" t="n"/>
      <c r="M554" s="376" t="n"/>
      <c r="N554" s="371" t="n"/>
      <c r="O554" s="371" t="n"/>
      <c r="P554" s="371" t="n"/>
      <c r="Q554" s="371" t="n"/>
      <c r="R554" s="372" t="n"/>
      <c r="S554" s="372" t="n"/>
      <c r="T554" s="372" t="n"/>
      <c r="U554" s="372" t="n"/>
      <c r="V554" s="372" t="n"/>
      <c r="W554" s="372" t="n"/>
      <c r="X554" s="372" t="n"/>
    </row>
    <row r="555" hidden="1" ht="15.5" customHeight="1" s="297">
      <c r="B555" s="422" t="n"/>
      <c r="C555" s="405" t="n"/>
      <c r="D555" s="413" t="n"/>
      <c r="E555" s="413" t="n"/>
      <c r="F555" s="414" t="n"/>
      <c r="G555" s="405" t="n"/>
      <c r="H555" s="405" t="n"/>
      <c r="I555" s="371" t="n"/>
      <c r="J555" s="371" t="n"/>
      <c r="K555" s="371" t="n"/>
      <c r="L555" s="371" t="n"/>
      <c r="M555" s="370" t="n"/>
      <c r="N555" s="371" t="n"/>
      <c r="O555" s="371" t="n"/>
      <c r="P555" s="370" t="n"/>
      <c r="Q555" s="371" t="n"/>
      <c r="R555" s="372" t="n"/>
      <c r="S555" s="372" t="n"/>
      <c r="T555" s="372" t="n"/>
      <c r="U555" s="372" t="n"/>
      <c r="V555" s="372" t="n"/>
      <c r="W555" s="372" t="n"/>
      <c r="X555" s="372" t="n"/>
    </row>
    <row r="556" hidden="1" ht="15.5" customHeight="1" s="297">
      <c r="B556" s="422" t="n"/>
      <c r="C556" s="405" t="n"/>
      <c r="D556" s="413" t="n"/>
      <c r="E556" s="413" t="n"/>
      <c r="F556" s="414" t="n"/>
      <c r="G556" s="405" t="n"/>
      <c r="H556" s="405" t="n"/>
      <c r="I556" s="371" t="n"/>
      <c r="J556" s="371" t="n"/>
      <c r="K556" s="371" t="n"/>
      <c r="L556" s="371" t="n"/>
      <c r="M556" s="376" t="n"/>
      <c r="N556" s="371" t="n"/>
      <c r="O556" s="371" t="n"/>
      <c r="P556" s="370" t="n"/>
      <c r="Q556" s="371" t="n"/>
      <c r="R556" s="372" t="n"/>
      <c r="S556" s="372" t="n"/>
      <c r="T556" s="372" t="n"/>
      <c r="U556" s="372" t="n"/>
      <c r="V556" s="372" t="n"/>
      <c r="W556" s="372" t="n"/>
      <c r="X556" s="372" t="n"/>
    </row>
    <row r="557" hidden="1" ht="15.5" customHeight="1" s="297">
      <c r="B557" s="422" t="n"/>
      <c r="C557" s="405" t="n"/>
      <c r="D557" s="413" t="n"/>
      <c r="E557" s="413" t="n"/>
      <c r="F557" s="414" t="n"/>
      <c r="G557" s="405" t="n"/>
      <c r="H557" s="405" t="n"/>
      <c r="I557" s="371" t="n"/>
      <c r="J557" s="371" t="n"/>
      <c r="K557" s="371" t="n"/>
      <c r="L557" s="371" t="n"/>
      <c r="M557" s="376" t="n"/>
      <c r="N557" s="371" t="n"/>
      <c r="O557" s="371" t="n"/>
      <c r="P557" s="370" t="n"/>
      <c r="Q557" s="371" t="n"/>
      <c r="R557" s="372" t="n"/>
      <c r="S557" s="372" t="n"/>
      <c r="T557" s="372" t="n"/>
      <c r="U557" s="372" t="n"/>
      <c r="V557" s="372" t="n"/>
      <c r="W557" s="372" t="n"/>
      <c r="X557" s="372" t="n"/>
    </row>
    <row r="558" hidden="1" ht="15.5" customHeight="1" s="297">
      <c r="B558" s="422" t="n"/>
      <c r="C558" s="405" t="n"/>
      <c r="D558" s="413" t="n"/>
      <c r="E558" s="413" t="n"/>
      <c r="F558" s="414" t="n"/>
      <c r="G558" s="405" t="n"/>
      <c r="H558" s="405" t="n"/>
      <c r="I558" s="371" t="n"/>
      <c r="J558" s="371" t="n"/>
      <c r="K558" s="371" t="n"/>
      <c r="L558" s="371" t="n"/>
      <c r="M558" s="376" t="n"/>
      <c r="N558" s="371" t="n"/>
      <c r="O558" s="371" t="n"/>
      <c r="P558" s="370" t="n"/>
      <c r="Q558" s="371" t="n"/>
      <c r="R558" s="372" t="n"/>
      <c r="S558" s="372" t="n"/>
      <c r="T558" s="372" t="n"/>
      <c r="U558" s="372" t="n"/>
      <c r="V558" s="372" t="n"/>
      <c r="W558" s="372" t="n"/>
      <c r="X558" s="372" t="n"/>
    </row>
    <row r="559" hidden="1" ht="15.5" customHeight="1" s="297">
      <c r="B559" s="389" t="n"/>
      <c r="C559" s="390" t="n"/>
      <c r="D559" s="391" t="n"/>
      <c r="E559" s="391" t="n"/>
      <c r="F559" s="392" t="n"/>
      <c r="G559" s="393" t="n"/>
      <c r="H559" s="393" t="n"/>
      <c r="I559" s="394" t="n"/>
      <c r="J559" s="389" t="n"/>
      <c r="K559" s="389" t="n"/>
      <c r="L559" s="389" t="n"/>
      <c r="M559" s="394" t="n"/>
      <c r="N559" s="389" t="n"/>
      <c r="O559" s="389" t="n"/>
      <c r="P559" s="389" t="n"/>
      <c r="Q559" s="389" t="n"/>
      <c r="R559" s="372" t="n"/>
      <c r="S559" s="372" t="n"/>
      <c r="T559" s="372" t="n"/>
      <c r="U559" s="372" t="n"/>
      <c r="V559" s="372" t="n"/>
      <c r="W559" s="372" t="n"/>
      <c r="X559" s="372" t="n"/>
    </row>
    <row r="560" ht="15.5" customHeight="1" s="297">
      <c r="B560" s="313" t="n"/>
      <c r="C560" s="314" t="n"/>
      <c r="D560" s="315" t="inlineStr">
        <is>
          <t>Transportation</t>
        </is>
      </c>
      <c r="E560" s="377" t="n"/>
      <c r="F560" s="317" t="n"/>
      <c r="G560" s="314" t="n"/>
      <c r="H560" s="314" t="n"/>
      <c r="I560" s="319" t="n"/>
      <c r="J560" s="321" t="n"/>
      <c r="K560" s="321" t="n"/>
      <c r="L560" s="321" t="n"/>
      <c r="M560" s="319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16</v>
      </c>
      <c r="D561" s="316" t="inlineStr">
        <is>
          <t>Gasoline</t>
        </is>
      </c>
      <c r="E561" s="316" t="n"/>
      <c r="F561" s="323" t="n">
        <v>200000</v>
      </c>
      <c r="G561" s="314" t="inlineStr">
        <is>
          <t>IDR</t>
        </is>
      </c>
      <c r="H561" s="345" t="n">
        <v>1</v>
      </c>
      <c r="I561" s="319" t="n"/>
      <c r="J561" s="329" t="n">
        <v>200000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A562" s="346" t="n"/>
      <c r="B562" s="381" t="n">
        <v>45563</v>
      </c>
      <c r="C562" s="382" t="n">
        <v>3</v>
      </c>
      <c r="D562" s="357" t="inlineStr">
        <is>
          <t>ALFA_JRK-095 well (PEPZ4-PEndopo field) SI jakarta _ AC</t>
        </is>
      </c>
      <c r="E562" s="361" t="n"/>
      <c r="F562" s="412" t="n">
        <v>2668750</v>
      </c>
      <c r="G562" s="382" t="inlineStr">
        <is>
          <t>USD</t>
        </is>
      </c>
      <c r="H562" s="386" t="n">
        <v>15250</v>
      </c>
      <c r="I562" s="397" t="n"/>
      <c r="J562" s="387" t="n">
        <v>2668750</v>
      </c>
      <c r="K562" s="388" t="n"/>
      <c r="L562" s="388" t="n"/>
      <c r="M562" s="397" t="n"/>
      <c r="N562" s="388" t="n"/>
      <c r="O562" s="388" t="n"/>
      <c r="P562" s="388" t="n"/>
      <c r="Q562" s="388" t="n"/>
      <c r="R562" s="365" t="n"/>
      <c r="S562" s="365" t="n"/>
      <c r="T562" s="365" t="n"/>
      <c r="U562" s="365" t="n"/>
      <c r="V562" s="365" t="n"/>
      <c r="W562" s="365" t="n"/>
      <c r="X562" s="365" t="n"/>
    </row>
    <row r="563" hidden="1" ht="15.5" customHeight="1" s="297">
      <c r="A563" s="346" t="n"/>
      <c r="B563" s="333" t="n"/>
      <c r="C563" s="314" t="n"/>
      <c r="D563" s="316" t="n"/>
      <c r="E563" s="316" t="n"/>
      <c r="F563" s="323" t="n"/>
      <c r="G563" s="314" t="n"/>
      <c r="H563" s="345" t="n"/>
      <c r="I563" s="319" t="n"/>
      <c r="J563" s="329" t="n"/>
      <c r="K563" s="321" t="n"/>
      <c r="L563" s="321" t="n"/>
      <c r="M563" s="319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idden="1" ht="15.5" customHeight="1" s="297">
      <c r="A564" s="346" t="n"/>
      <c r="B564" s="333" t="n"/>
      <c r="C564" s="314" t="n"/>
      <c r="D564" s="316" t="n"/>
      <c r="E564" s="316" t="n"/>
      <c r="F564" s="323" t="n"/>
      <c r="G564" s="314" t="n"/>
      <c r="H564" s="345" t="n"/>
      <c r="I564" s="319" t="n"/>
      <c r="J564" s="329" t="n"/>
      <c r="K564" s="321" t="n"/>
      <c r="L564" s="321" t="n"/>
      <c r="M564" s="319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idden="1" ht="15.5" customHeight="1" s="297">
      <c r="A565" s="346" t="n"/>
      <c r="B565" s="333" t="n"/>
      <c r="C565" s="314" t="n"/>
      <c r="D565" s="316" t="n"/>
      <c r="E565" s="316" t="n"/>
      <c r="F565" s="323" t="n"/>
      <c r="G565" s="314" t="n"/>
      <c r="H565" s="345" t="n"/>
      <c r="I565" s="319" t="n"/>
      <c r="J565" s="329" t="n"/>
      <c r="K565" s="321" t="n"/>
      <c r="L565" s="321" t="n"/>
      <c r="M565" s="319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idden="1" ht="15.5" customHeight="1" s="297">
      <c r="A566" s="346" t="n"/>
      <c r="B566" s="333" t="n"/>
      <c r="C566" s="314" t="n"/>
      <c r="D566" s="316" t="n"/>
      <c r="E566" s="316" t="n"/>
      <c r="F566" s="323" t="n"/>
      <c r="G566" s="314" t="n"/>
      <c r="H566" s="345" t="n"/>
      <c r="I566" s="319" t="n"/>
      <c r="J566" s="329" t="n"/>
      <c r="K566" s="321" t="n"/>
      <c r="L566" s="321" t="n"/>
      <c r="M566" s="319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idden="1" ht="15.5" customHeight="1" s="297">
      <c r="A567" s="346" t="n"/>
      <c r="B567" s="333" t="n"/>
      <c r="C567" s="314" t="n"/>
      <c r="D567" s="316" t="n"/>
      <c r="E567" s="316" t="n"/>
      <c r="F567" s="323" t="n"/>
      <c r="G567" s="314" t="n"/>
      <c r="H567" s="345" t="n"/>
      <c r="I567" s="319" t="n"/>
      <c r="J567" s="329" t="n"/>
      <c r="K567" s="321" t="n"/>
      <c r="L567" s="321" t="n"/>
      <c r="M567" s="319" t="n"/>
      <c r="N567" s="321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idden="1" ht="15.5" customHeight="1" s="297">
      <c r="A568" s="346" t="n"/>
      <c r="B568" s="333" t="n"/>
      <c r="C568" s="314" t="n"/>
      <c r="D568" s="316" t="n"/>
      <c r="E568" s="316" t="n"/>
      <c r="F568" s="323" t="n"/>
      <c r="G568" s="314" t="n"/>
      <c r="H568" s="345" t="n"/>
      <c r="I568" s="319" t="n"/>
      <c r="J568" s="329" t="n"/>
      <c r="K568" s="321" t="n"/>
      <c r="L568" s="321" t="n"/>
      <c r="M568" s="319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idden="1" ht="15.5" customHeight="1" s="297">
      <c r="A569" s="346" t="n"/>
      <c r="B569" s="333" t="n"/>
      <c r="C569" s="314" t="n"/>
      <c r="D569" s="316" t="n"/>
      <c r="E569" s="316" t="n"/>
      <c r="F569" s="323" t="n"/>
      <c r="G569" s="314" t="n"/>
      <c r="H569" s="345" t="n"/>
      <c r="I569" s="319" t="n"/>
      <c r="J569" s="329" t="n"/>
      <c r="K569" s="321" t="n"/>
      <c r="L569" s="321" t="n"/>
      <c r="M569" s="319" t="n"/>
      <c r="N569" s="321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idden="1" ht="15.5" customHeight="1" s="297">
      <c r="A570" s="346" t="n"/>
      <c r="B570" s="333" t="n"/>
      <c r="C570" s="314" t="n"/>
      <c r="D570" s="316" t="n"/>
      <c r="E570" s="316" t="n"/>
      <c r="F570" s="323" t="n"/>
      <c r="G570" s="314" t="n"/>
      <c r="H570" s="345" t="n"/>
      <c r="I570" s="319" t="n"/>
      <c r="J570" s="329" t="n"/>
      <c r="K570" s="321" t="n"/>
      <c r="L570" s="321" t="n"/>
      <c r="M570" s="319" t="n"/>
      <c r="N570" s="321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A571" s="346" t="n"/>
      <c r="B571" s="333" t="n"/>
      <c r="C571" s="314" t="n"/>
      <c r="D571" s="316" t="n"/>
      <c r="E571" s="316" t="n"/>
      <c r="F571" s="323" t="n"/>
      <c r="G571" s="314" t="n"/>
      <c r="H571" s="345" t="n"/>
      <c r="I571" s="319" t="n"/>
      <c r="J571" s="329" t="n"/>
      <c r="K571" s="321" t="n"/>
      <c r="L571" s="321" t="n"/>
      <c r="M571" s="319" t="n"/>
      <c r="N571" s="321" t="n"/>
      <c r="O571" s="321" t="n"/>
      <c r="P571" s="321" t="n"/>
      <c r="Q571" s="321" t="n"/>
      <c r="R571" s="322" t="n"/>
      <c r="S571" s="322" t="n"/>
      <c r="T571" s="322" t="n"/>
      <c r="U571" s="322" t="n"/>
      <c r="V571" s="322" t="n"/>
      <c r="W571" s="322" t="n"/>
      <c r="X571" s="322" t="n"/>
    </row>
    <row r="572" hidden="1" ht="15.5" customHeight="1" s="297">
      <c r="A572" s="346" t="n"/>
      <c r="B572" s="333" t="n"/>
      <c r="C572" s="314" t="n"/>
      <c r="D572" s="316" t="n"/>
      <c r="E572" s="316" t="n"/>
      <c r="F572" s="323" t="n"/>
      <c r="G572" s="314" t="n"/>
      <c r="H572" s="345" t="n"/>
      <c r="I572" s="319" t="n"/>
      <c r="J572" s="329" t="n"/>
      <c r="K572" s="321" t="n"/>
      <c r="L572" s="321" t="n"/>
      <c r="M572" s="319" t="n"/>
      <c r="N572" s="321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A573" s="346" t="n"/>
      <c r="B573" s="333" t="n"/>
      <c r="C573" s="314" t="n"/>
      <c r="D573" s="316" t="n"/>
      <c r="E573" s="316" t="n"/>
      <c r="F573" s="323" t="n"/>
      <c r="G573" s="314" t="n"/>
      <c r="H573" s="345" t="n"/>
      <c r="I573" s="319" t="n"/>
      <c r="J573" s="329" t="n"/>
      <c r="K573" s="321" t="n"/>
      <c r="L573" s="321" t="n"/>
      <c r="M573" s="319" t="n"/>
      <c r="N573" s="321" t="n"/>
      <c r="O573" s="321" t="n"/>
      <c r="P573" s="321" t="n"/>
      <c r="Q573" s="321" t="n"/>
      <c r="R573" s="322" t="n"/>
      <c r="S573" s="322" t="n"/>
      <c r="T573" s="322" t="n"/>
      <c r="U573" s="322" t="n"/>
      <c r="V573" s="322" t="n"/>
      <c r="W573" s="322" t="n"/>
      <c r="X573" s="322" t="n"/>
    </row>
    <row r="574" hidden="1" ht="15.5" customHeight="1" s="297">
      <c r="A574" s="346" t="n"/>
      <c r="B574" s="333" t="n"/>
      <c r="C574" s="314" t="n"/>
      <c r="D574" s="316" t="n"/>
      <c r="E574" s="316" t="n"/>
      <c r="F574" s="323" t="n"/>
      <c r="G574" s="314" t="n"/>
      <c r="H574" s="345" t="n"/>
      <c r="I574" s="319" t="n"/>
      <c r="J574" s="329" t="n"/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A575" s="346" t="n"/>
      <c r="B575" s="333" t="n"/>
      <c r="C575" s="314" t="n"/>
      <c r="D575" s="316" t="n"/>
      <c r="E575" s="316" t="n"/>
      <c r="F575" s="323" t="n"/>
      <c r="G575" s="314" t="n"/>
      <c r="H575" s="345" t="n"/>
      <c r="I575" s="319" t="n"/>
      <c r="J575" s="329" t="n"/>
      <c r="K575" s="321" t="n"/>
      <c r="L575" s="321" t="n"/>
      <c r="M575" s="319" t="n"/>
      <c r="N575" s="321" t="n"/>
      <c r="O575" s="321" t="n"/>
      <c r="P575" s="321" t="n"/>
      <c r="Q575" s="321" t="n"/>
      <c r="R575" s="322" t="n"/>
      <c r="S575" s="322" t="n"/>
      <c r="T575" s="322" t="n"/>
      <c r="U575" s="322" t="n"/>
      <c r="V575" s="322" t="n"/>
      <c r="W575" s="322" t="n"/>
      <c r="X575" s="322" t="n"/>
    </row>
    <row r="576" hidden="1" ht="15.5" customHeight="1" s="297">
      <c r="A576" s="346" t="n"/>
      <c r="B576" s="333" t="n"/>
      <c r="C576" s="314" t="n"/>
      <c r="D576" s="316" t="n"/>
      <c r="E576" s="316" t="n"/>
      <c r="F576" s="323" t="n"/>
      <c r="G576" s="314" t="n"/>
      <c r="H576" s="345" t="n"/>
      <c r="I576" s="319" t="n"/>
      <c r="J576" s="329" t="n"/>
      <c r="K576" s="321" t="n"/>
      <c r="L576" s="321" t="n"/>
      <c r="M576" s="319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A577" s="346" t="n"/>
      <c r="B577" s="381" t="n">
        <v>45564</v>
      </c>
      <c r="C577" s="382" t="n">
        <v>1</v>
      </c>
      <c r="D577" s="357" t="inlineStr">
        <is>
          <t>Trip to Cirebon Meeting MTD job X-ray field with PEP Zona 7 Region2_AC</t>
        </is>
      </c>
      <c r="E577" s="361" t="n"/>
      <c r="F577" s="412" t="n">
        <v>400000</v>
      </c>
      <c r="G577" s="382" t="inlineStr">
        <is>
          <t>IDR</t>
        </is>
      </c>
      <c r="H577" s="386" t="n">
        <v>1</v>
      </c>
      <c r="I577" s="397" t="n"/>
      <c r="J577" s="387" t="n">
        <v>400000</v>
      </c>
      <c r="K577" s="388" t="n"/>
      <c r="L577" s="388" t="n"/>
      <c r="M577" s="397" t="n"/>
      <c r="N577" s="388" t="n"/>
      <c r="O577" s="388" t="n"/>
      <c r="P577" s="388" t="n"/>
      <c r="Q577" s="388" t="n"/>
      <c r="R577" s="365" t="n"/>
      <c r="S577" s="365" t="n"/>
      <c r="T577" s="365" t="n"/>
      <c r="U577" s="365" t="n"/>
      <c r="V577" s="365" t="n"/>
      <c r="W577" s="365" t="n"/>
      <c r="X577" s="365" t="n"/>
    </row>
    <row r="578" hidden="1" ht="15.5" customHeight="1" s="297">
      <c r="A578" s="346" t="n"/>
      <c r="B578" s="333" t="n"/>
      <c r="C578" s="314" t="n"/>
      <c r="D578" s="316" t="n"/>
      <c r="E578" s="316" t="n"/>
      <c r="F578" s="323" t="n"/>
      <c r="G578" s="314" t="n"/>
      <c r="H578" s="345" t="n"/>
      <c r="I578" s="319" t="n"/>
      <c r="J578" s="329" t="n"/>
      <c r="K578" s="321" t="n"/>
      <c r="L578" s="321" t="n"/>
      <c r="M578" s="319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idden="1" ht="15.5" customHeight="1" s="297">
      <c r="A579" s="346" t="n"/>
      <c r="B579" s="333" t="n"/>
      <c r="C579" s="314" t="n"/>
      <c r="D579" s="316" t="n"/>
      <c r="E579" s="316" t="n"/>
      <c r="F579" s="323" t="n"/>
      <c r="G579" s="314" t="n"/>
      <c r="H579" s="345" t="n"/>
      <c r="I579" s="319" t="n"/>
      <c r="J579" s="329" t="n"/>
      <c r="K579" s="321" t="n"/>
      <c r="L579" s="321" t="n"/>
      <c r="M579" s="319" t="n"/>
      <c r="N579" s="321" t="n"/>
      <c r="O579" s="321" t="n"/>
      <c r="P579" s="321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idden="1" ht="15.5" customHeight="1" s="297">
      <c r="A580" s="346" t="n"/>
      <c r="B580" s="333" t="n"/>
      <c r="C580" s="314" t="n"/>
      <c r="D580" s="316" t="n"/>
      <c r="E580" s="316" t="n"/>
      <c r="F580" s="323" t="n"/>
      <c r="G580" s="314" t="n"/>
      <c r="H580" s="345" t="n"/>
      <c r="I580" s="319" t="n"/>
      <c r="J580" s="329" t="n"/>
      <c r="K580" s="321" t="n"/>
      <c r="L580" s="321" t="n"/>
      <c r="M580" s="319" t="n"/>
      <c r="N580" s="321" t="n"/>
      <c r="O580" s="321" t="n"/>
      <c r="P580" s="321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idden="1" ht="15.5" customHeight="1" s="297">
      <c r="A581" s="346" t="n"/>
      <c r="B581" s="333" t="n"/>
      <c r="C581" s="314" t="n"/>
      <c r="D581" s="316" t="n"/>
      <c r="E581" s="316" t="n"/>
      <c r="F581" s="323" t="n"/>
      <c r="G581" s="314" t="n"/>
      <c r="H581" s="345" t="n"/>
      <c r="I581" s="319" t="n"/>
      <c r="J581" s="329" t="n"/>
      <c r="K581" s="321" t="n"/>
      <c r="L581" s="321" t="n"/>
      <c r="M581" s="319" t="n"/>
      <c r="N581" s="321" t="n"/>
      <c r="O581" s="321" t="n"/>
      <c r="P581" s="321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idden="1" ht="15.5" customHeight="1" s="297">
      <c r="A582" s="346" t="n"/>
      <c r="B582" s="333" t="n"/>
      <c r="C582" s="314" t="n"/>
      <c r="D582" s="316" t="n"/>
      <c r="E582" s="316" t="n"/>
      <c r="F582" s="323" t="n"/>
      <c r="G582" s="314" t="n"/>
      <c r="H582" s="345" t="n"/>
      <c r="I582" s="319" t="n"/>
      <c r="J582" s="329" t="n"/>
      <c r="K582" s="321" t="n"/>
      <c r="L582" s="321" t="n"/>
      <c r="M582" s="319" t="n"/>
      <c r="N582" s="321" t="n"/>
      <c r="O582" s="321" t="n"/>
      <c r="P582" s="321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idden="1" ht="15.5" customHeight="1" s="297">
      <c r="A583" s="346" t="n"/>
      <c r="B583" s="333" t="n"/>
      <c r="C583" s="314" t="n"/>
      <c r="D583" s="316" t="n"/>
      <c r="E583" s="316" t="n"/>
      <c r="F583" s="323" t="n"/>
      <c r="G583" s="314" t="n"/>
      <c r="H583" s="345" t="n"/>
      <c r="I583" s="319" t="n"/>
      <c r="J583" s="329" t="n"/>
      <c r="K583" s="321" t="n"/>
      <c r="L583" s="321" t="n"/>
      <c r="M583" s="319" t="n"/>
      <c r="N583" s="321" t="n"/>
      <c r="O583" s="321" t="n"/>
      <c r="P583" s="321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idden="1" ht="15.5" customHeight="1" s="297">
      <c r="A584" s="346" t="n"/>
      <c r="B584" s="333" t="n"/>
      <c r="C584" s="314" t="n"/>
      <c r="D584" s="316" t="n"/>
      <c r="E584" s="316" t="n"/>
      <c r="F584" s="323" t="n"/>
      <c r="G584" s="314" t="n"/>
      <c r="H584" s="345" t="n"/>
      <c r="I584" s="319" t="n"/>
      <c r="J584" s="329" t="n"/>
      <c r="K584" s="321" t="n"/>
      <c r="L584" s="321" t="n"/>
      <c r="M584" s="319" t="n"/>
      <c r="N584" s="321" t="n"/>
      <c r="O584" s="321" t="n"/>
      <c r="P584" s="321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idden="1" ht="15.5" customHeight="1" s="297">
      <c r="A585" s="346" t="n"/>
      <c r="B585" s="333" t="n"/>
      <c r="C585" s="314" t="n"/>
      <c r="D585" s="316" t="n"/>
      <c r="E585" s="316" t="n"/>
      <c r="F585" s="323" t="n"/>
      <c r="G585" s="314" t="n"/>
      <c r="H585" s="345" t="n"/>
      <c r="I585" s="319" t="n"/>
      <c r="J585" s="329" t="n"/>
      <c r="K585" s="321" t="n"/>
      <c r="L585" s="321" t="n"/>
      <c r="M585" s="319" t="n"/>
      <c r="N585" s="321" t="n"/>
      <c r="O585" s="321" t="n"/>
      <c r="P585" s="321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idden="1" ht="15.5" customHeight="1" s="297">
      <c r="A586" s="346" t="n"/>
      <c r="B586" s="333" t="n"/>
      <c r="C586" s="314" t="n"/>
      <c r="D586" s="316" t="n"/>
      <c r="E586" s="316" t="n"/>
      <c r="F586" s="323" t="n"/>
      <c r="G586" s="314" t="n"/>
      <c r="H586" s="345" t="n"/>
      <c r="I586" s="319" t="n"/>
      <c r="J586" s="329" t="n"/>
      <c r="K586" s="321" t="n"/>
      <c r="L586" s="321" t="n"/>
      <c r="M586" s="319" t="n"/>
      <c r="N586" s="321" t="n"/>
      <c r="O586" s="321" t="n"/>
      <c r="P586" s="321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idden="1" ht="15.5" customHeight="1" s="297">
      <c r="A587" s="346" t="n"/>
      <c r="B587" s="333" t="n"/>
      <c r="C587" s="314" t="n"/>
      <c r="D587" s="316" t="n"/>
      <c r="E587" s="316" t="n"/>
      <c r="F587" s="323" t="n"/>
      <c r="G587" s="314" t="n"/>
      <c r="H587" s="345" t="n"/>
      <c r="I587" s="319" t="n"/>
      <c r="J587" s="329" t="n"/>
      <c r="K587" s="321" t="n"/>
      <c r="L587" s="321" t="n"/>
      <c r="M587" s="319" t="n"/>
      <c r="N587" s="321" t="n"/>
      <c r="O587" s="321" t="n"/>
      <c r="P587" s="321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idden="1" ht="15.5" customHeight="1" s="297">
      <c r="A588" s="346" t="n"/>
      <c r="B588" s="333" t="n"/>
      <c r="C588" s="314" t="n"/>
      <c r="D588" s="316" t="n"/>
      <c r="E588" s="316" t="n"/>
      <c r="F588" s="323" t="n"/>
      <c r="G588" s="314" t="n"/>
      <c r="H588" s="345" t="n"/>
      <c r="I588" s="319" t="n"/>
      <c r="J588" s="329" t="n"/>
      <c r="K588" s="321" t="n"/>
      <c r="L588" s="321" t="n"/>
      <c r="M588" s="319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idden="1" ht="15.5" customHeight="1" s="297">
      <c r="A589" s="346" t="n"/>
      <c r="B589" s="333" t="n"/>
      <c r="C589" s="314" t="n"/>
      <c r="D589" s="316" t="n"/>
      <c r="E589" s="316" t="n"/>
      <c r="F589" s="323" t="n"/>
      <c r="G589" s="314" t="n"/>
      <c r="H589" s="345" t="n"/>
      <c r="I589" s="319" t="n"/>
      <c r="J589" s="329" t="n"/>
      <c r="K589" s="321" t="n"/>
      <c r="L589" s="321" t="n"/>
      <c r="M589" s="319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idden="1" ht="15.5" customHeight="1" s="297">
      <c r="B590" s="404" t="n"/>
      <c r="C590" s="405" t="n"/>
      <c r="D590" s="413" t="n"/>
      <c r="E590" s="413" t="n"/>
      <c r="F590" s="414" t="n"/>
      <c r="G590" s="405" t="n"/>
      <c r="H590" s="405" t="n"/>
      <c r="I590" s="376" t="n"/>
      <c r="J590" s="371" t="n"/>
      <c r="K590" s="371" t="n"/>
      <c r="L590" s="371" t="n"/>
      <c r="M590" s="376" t="n"/>
      <c r="N590" s="371" t="n"/>
      <c r="O590" s="371" t="n"/>
      <c r="P590" s="371" t="n"/>
      <c r="Q590" s="371" t="n"/>
      <c r="R590" s="372" t="n"/>
      <c r="S590" s="372" t="n"/>
      <c r="T590" s="372" t="n"/>
      <c r="U590" s="372" t="n"/>
      <c r="V590" s="372" t="n"/>
      <c r="W590" s="372" t="n"/>
      <c r="X590" s="372" t="n"/>
    </row>
    <row r="591" ht="15.5" customHeight="1" s="297">
      <c r="B591" s="333" t="n"/>
      <c r="C591" s="314" t="n"/>
      <c r="D591" s="315" t="inlineStr">
        <is>
          <t>Accommodation</t>
        </is>
      </c>
      <c r="E591" s="377" t="n"/>
      <c r="F591" s="317" t="n"/>
      <c r="G591" s="314" t="n"/>
      <c r="H591" s="314" t="n"/>
      <c r="I591" s="319" t="n"/>
      <c r="J591" s="321" t="n"/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idden="1" ht="15.5" customHeight="1" s="297">
      <c r="B592" s="415" t="n"/>
      <c r="C592" s="405" t="n"/>
      <c r="D592" s="406" t="n"/>
      <c r="E592" s="406" t="n"/>
      <c r="F592" s="414" t="n"/>
      <c r="G592" s="405" t="n"/>
      <c r="H592" s="405" t="n"/>
      <c r="I592" s="376" t="n"/>
      <c r="J592" s="371" t="n"/>
      <c r="K592" s="371" t="n"/>
      <c r="L592" s="371" t="n"/>
      <c r="M592" s="371" t="n"/>
      <c r="N592" s="371" t="n"/>
      <c r="O592" s="371" t="n"/>
      <c r="P592" s="371" t="n"/>
      <c r="Q592" s="371" t="n"/>
      <c r="R592" s="372" t="n"/>
      <c r="S592" s="372" t="n"/>
      <c r="T592" s="372" t="n"/>
      <c r="U592" s="372" t="n"/>
      <c r="V592" s="372" t="n"/>
      <c r="W592" s="372" t="n"/>
      <c r="X592" s="372" t="n"/>
    </row>
    <row r="593" hidden="1" ht="15.5" customHeight="1" s="297">
      <c r="B593" s="404" t="n"/>
      <c r="C593" s="405" t="n"/>
      <c r="D593" s="406" t="n"/>
      <c r="E593" s="406" t="n"/>
      <c r="F593" s="414" t="n"/>
      <c r="G593" s="405" t="n"/>
      <c r="H593" s="405" t="n"/>
      <c r="I593" s="376" t="n"/>
      <c r="J593" s="371" t="n"/>
      <c r="K593" s="371" t="n"/>
      <c r="L593" s="371" t="n"/>
      <c r="M593" s="371" t="n"/>
      <c r="N593" s="371" t="n"/>
      <c r="O593" s="371" t="n"/>
      <c r="P593" s="371" t="n"/>
      <c r="Q593" s="371" t="n"/>
      <c r="R593" s="372" t="n"/>
      <c r="S593" s="372" t="n"/>
      <c r="T593" s="372" t="n"/>
      <c r="U593" s="372" t="n"/>
      <c r="V593" s="372" t="n"/>
      <c r="W593" s="372" t="n"/>
      <c r="X593" s="372" t="n"/>
    </row>
    <row r="594" hidden="1" ht="15.5" customHeight="1" s="297">
      <c r="B594" s="404" t="n"/>
      <c r="C594" s="405" t="n"/>
      <c r="D594" s="406" t="n"/>
      <c r="E594" s="406" t="n"/>
      <c r="F594" s="414" t="n"/>
      <c r="G594" s="405" t="n"/>
      <c r="H594" s="405" t="n"/>
      <c r="I594" s="376" t="n"/>
      <c r="J594" s="371" t="n"/>
      <c r="K594" s="371" t="n"/>
      <c r="L594" s="371" t="n"/>
      <c r="M594" s="371" t="n"/>
      <c r="N594" s="371" t="n"/>
      <c r="O594" s="371" t="n"/>
      <c r="P594" s="371" t="n"/>
      <c r="Q594" s="371" t="n"/>
      <c r="R594" s="372" t="n"/>
      <c r="S594" s="372" t="n"/>
      <c r="T594" s="372" t="n"/>
      <c r="U594" s="372" t="n"/>
      <c r="V594" s="372" t="n"/>
      <c r="W594" s="372" t="n"/>
      <c r="X594" s="372" t="n"/>
    </row>
    <row r="595" hidden="1" ht="15.5" customHeight="1" s="297">
      <c r="B595" s="404" t="n"/>
      <c r="C595" s="405" t="n"/>
      <c r="D595" s="406" t="n"/>
      <c r="E595" s="406" t="n"/>
      <c r="F595" s="414" t="n"/>
      <c r="G595" s="405" t="n"/>
      <c r="H595" s="405" t="n"/>
      <c r="I595" s="376" t="n"/>
      <c r="J595" s="371" t="n"/>
      <c r="K595" s="371" t="n"/>
      <c r="L595" s="371" t="n"/>
      <c r="M595" s="376" t="n"/>
      <c r="N595" s="371" t="n"/>
      <c r="O595" s="371" t="n"/>
      <c r="P595" s="371" t="n"/>
      <c r="Q595" s="371" t="n"/>
      <c r="R595" s="372" t="n"/>
      <c r="S595" s="372" t="n"/>
      <c r="T595" s="372" t="n"/>
      <c r="U595" s="372" t="n"/>
      <c r="V595" s="372" t="n"/>
      <c r="W595" s="372" t="n"/>
      <c r="X595" s="372" t="n"/>
    </row>
    <row r="596" hidden="1" ht="15.5" customHeight="1" s="297">
      <c r="B596" s="404" t="n"/>
      <c r="C596" s="405" t="n"/>
      <c r="D596" s="406" t="n"/>
      <c r="E596" s="406" t="n"/>
      <c r="F596" s="414" t="n"/>
      <c r="G596" s="405" t="n"/>
      <c r="H596" s="405" t="n"/>
      <c r="I596" s="376" t="n"/>
      <c r="J596" s="371" t="n"/>
      <c r="K596" s="371" t="n"/>
      <c r="L596" s="371" t="n"/>
      <c r="M596" s="371" t="n"/>
      <c r="N596" s="376" t="n"/>
      <c r="O596" s="371" t="n"/>
      <c r="P596" s="371" t="n"/>
      <c r="Q596" s="371" t="n"/>
      <c r="R596" s="372" t="n"/>
      <c r="S596" s="372" t="n"/>
      <c r="T596" s="372" t="n"/>
      <c r="U596" s="372" t="n"/>
      <c r="V596" s="372" t="n"/>
      <c r="W596" s="372" t="n"/>
      <c r="X596" s="372" t="n"/>
    </row>
    <row r="597" hidden="1" ht="15.5" customHeight="1" s="297">
      <c r="B597" s="404" t="n"/>
      <c r="C597" s="405" t="n"/>
      <c r="D597" s="406" t="n"/>
      <c r="E597" s="406" t="n"/>
      <c r="F597" s="414" t="n"/>
      <c r="G597" s="405" t="n"/>
      <c r="H597" s="405" t="n"/>
      <c r="I597" s="376" t="n"/>
      <c r="J597" s="371" t="n"/>
      <c r="K597" s="371" t="n"/>
      <c r="L597" s="371" t="n"/>
      <c r="M597" s="371" t="n"/>
      <c r="N597" s="376" t="n"/>
      <c r="O597" s="371" t="n"/>
      <c r="P597" s="371" t="n"/>
      <c r="Q597" s="371" t="n"/>
      <c r="R597" s="372" t="n"/>
      <c r="S597" s="372" t="n"/>
      <c r="T597" s="372" t="n"/>
      <c r="U597" s="372" t="n"/>
      <c r="V597" s="372" t="n"/>
      <c r="W597" s="372" t="n"/>
      <c r="X597" s="372" t="n"/>
    </row>
    <row r="598" ht="15.5" customHeight="1" s="297">
      <c r="B598" s="333" t="n"/>
      <c r="C598" s="314" t="n"/>
      <c r="D598" s="330" t="inlineStr">
        <is>
          <t>Transportation</t>
        </is>
      </c>
      <c r="E598" s="438" t="n"/>
      <c r="F598" s="317" t="n"/>
      <c r="G598" s="314" t="n"/>
      <c r="H598" s="314" t="n"/>
      <c r="I598" s="319" t="n"/>
      <c r="J598" s="321" t="n"/>
      <c r="K598" s="321" t="n"/>
      <c r="L598" s="321" t="n"/>
      <c r="M598" s="321" t="n"/>
      <c r="N598" s="319" t="n"/>
      <c r="O598" s="321" t="n"/>
      <c r="P598" s="321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45526</v>
      </c>
      <c r="C599" s="314" t="n">
        <v>5</v>
      </c>
      <c r="D599" s="316" t="inlineStr">
        <is>
          <t>Fuel ( trip modified tool Sampler to Mr suby)</t>
        </is>
      </c>
      <c r="E599" s="316" t="n"/>
      <c r="F599" s="323" t="n">
        <v>274000</v>
      </c>
      <c r="G599" s="314" t="inlineStr">
        <is>
          <t>IDR</t>
        </is>
      </c>
      <c r="H599" s="345" t="n">
        <v>1</v>
      </c>
      <c r="I599" s="319" t="n"/>
      <c r="J599" s="329" t="n">
        <v>274000</v>
      </c>
      <c r="K599" s="321" t="n"/>
      <c r="L599" s="321" t="n"/>
      <c r="M599" s="321" t="n"/>
      <c r="N599" s="319" t="n"/>
      <c r="O599" s="321" t="n"/>
      <c r="P599" s="321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A600" s="346" t="n"/>
      <c r="B600" s="381" t="n">
        <v>45552</v>
      </c>
      <c r="C600" s="382" t="n">
        <v>1</v>
      </c>
      <c r="D600" s="357" t="inlineStr">
        <is>
          <t>Non project (follow up MCU concul &amp; inspection tool)_AC_ 2 nd</t>
        </is>
      </c>
      <c r="E600" s="361" t="n"/>
      <c r="F600" s="412" t="n">
        <v>700000</v>
      </c>
      <c r="G600" s="382" t="inlineStr">
        <is>
          <t>IDR</t>
        </is>
      </c>
      <c r="H600" s="386" t="n">
        <v>1</v>
      </c>
      <c r="I600" s="397" t="n"/>
      <c r="J600" s="387" t="n">
        <v>700000</v>
      </c>
      <c r="K600" s="388" t="n"/>
      <c r="L600" s="388" t="n"/>
      <c r="M600" s="388" t="n"/>
      <c r="N600" s="397" t="n"/>
      <c r="O600" s="388" t="n"/>
      <c r="P600" s="388" t="n"/>
      <c r="Q600" s="388" t="n"/>
      <c r="R600" s="365" t="n"/>
      <c r="S600" s="365" t="n"/>
      <c r="T600" s="365" t="n"/>
      <c r="U600" s="365" t="n"/>
      <c r="V600" s="365" t="n"/>
      <c r="W600" s="365" t="n"/>
      <c r="X600" s="365" t="n"/>
    </row>
    <row r="601" hidden="1" ht="15.5" customHeight="1" s="297">
      <c r="A601" s="346" t="n"/>
      <c r="B601" s="333" t="n"/>
      <c r="C601" s="314" t="n"/>
      <c r="D601" s="316" t="n"/>
      <c r="E601" s="316" t="n"/>
      <c r="F601" s="323" t="n"/>
      <c r="G601" s="314" t="n"/>
      <c r="H601" s="345" t="n"/>
      <c r="I601" s="319" t="n"/>
      <c r="J601" s="329" t="n"/>
      <c r="K601" s="321" t="n"/>
      <c r="L601" s="321" t="n"/>
      <c r="M601" s="321" t="n"/>
      <c r="N601" s="319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idden="1" ht="15.5" customHeight="1" s="297">
      <c r="A602" s="346" t="n"/>
      <c r="B602" s="333" t="n"/>
      <c r="C602" s="314" t="n"/>
      <c r="D602" s="316" t="n"/>
      <c r="E602" s="316" t="n"/>
      <c r="F602" s="323" t="n"/>
      <c r="G602" s="314" t="n"/>
      <c r="H602" s="345" t="n"/>
      <c r="I602" s="319" t="n"/>
      <c r="J602" s="329" t="n"/>
      <c r="K602" s="321" t="n"/>
      <c r="L602" s="321" t="n"/>
      <c r="M602" s="321" t="n"/>
      <c r="N602" s="319" t="n"/>
      <c r="O602" s="321" t="n"/>
      <c r="P602" s="321" t="n"/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idden="1" ht="15.5" customHeight="1" s="297">
      <c r="A603" s="346" t="n"/>
      <c r="B603" s="333" t="n"/>
      <c r="C603" s="314" t="n"/>
      <c r="D603" s="316" t="n"/>
      <c r="E603" s="316" t="n"/>
      <c r="F603" s="323" t="n"/>
      <c r="G603" s="314" t="n"/>
      <c r="H603" s="345" t="n"/>
      <c r="I603" s="319" t="n"/>
      <c r="J603" s="329" t="n"/>
      <c r="K603" s="321" t="n"/>
      <c r="L603" s="321" t="n"/>
      <c r="M603" s="321" t="n"/>
      <c r="N603" s="319" t="n"/>
      <c r="O603" s="321" t="n"/>
      <c r="P603" s="321" t="n"/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idden="1" ht="15.5" customHeight="1" s="297">
      <c r="A604" s="346" t="n"/>
      <c r="B604" s="333" t="n"/>
      <c r="C604" s="314" t="n"/>
      <c r="D604" s="316" t="n"/>
      <c r="E604" s="316" t="n"/>
      <c r="F604" s="323" t="n"/>
      <c r="G604" s="314" t="n"/>
      <c r="H604" s="345" t="n"/>
      <c r="I604" s="319" t="n"/>
      <c r="J604" s="329" t="n"/>
      <c r="K604" s="321" t="n"/>
      <c r="L604" s="321" t="n"/>
      <c r="M604" s="321" t="n"/>
      <c r="N604" s="319" t="n"/>
      <c r="O604" s="321" t="n"/>
      <c r="P604" s="321" t="n"/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idden="1" ht="15.5" customHeight="1" s="297">
      <c r="A605" s="346" t="n"/>
      <c r="B605" s="333" t="n"/>
      <c r="C605" s="314" t="n"/>
      <c r="D605" s="316" t="n"/>
      <c r="E605" s="316" t="n"/>
      <c r="F605" s="323" t="n"/>
      <c r="G605" s="314" t="n"/>
      <c r="H605" s="345" t="n"/>
      <c r="I605" s="319" t="n"/>
      <c r="J605" s="329" t="n"/>
      <c r="K605" s="321" t="n"/>
      <c r="L605" s="321" t="n"/>
      <c r="M605" s="321" t="n"/>
      <c r="N605" s="319" t="n"/>
      <c r="O605" s="321" t="n"/>
      <c r="P605" s="321" t="n"/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idden="1" ht="15.5" customHeight="1" s="297">
      <c r="A606" s="346" t="n"/>
      <c r="B606" s="333" t="n"/>
      <c r="C606" s="314" t="n"/>
      <c r="D606" s="316" t="n"/>
      <c r="E606" s="316" t="n"/>
      <c r="F606" s="323" t="n"/>
      <c r="G606" s="314" t="n"/>
      <c r="H606" s="345" t="n"/>
      <c r="I606" s="319" t="n"/>
      <c r="J606" s="329" t="n"/>
      <c r="K606" s="321" t="n"/>
      <c r="L606" s="321" t="n"/>
      <c r="M606" s="321" t="n"/>
      <c r="N606" s="319" t="n"/>
      <c r="O606" s="321" t="n"/>
      <c r="P606" s="321" t="n"/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idden="1" ht="15.5" customHeight="1" s="297">
      <c r="A607" s="346" t="n"/>
      <c r="B607" s="333" t="n"/>
      <c r="C607" s="314" t="n"/>
      <c r="D607" s="316" t="n"/>
      <c r="E607" s="316" t="n"/>
      <c r="F607" s="323" t="n"/>
      <c r="G607" s="314" t="n"/>
      <c r="H607" s="345" t="n"/>
      <c r="I607" s="319" t="n"/>
      <c r="J607" s="329" t="n"/>
      <c r="K607" s="321" t="n"/>
      <c r="L607" s="321" t="n"/>
      <c r="M607" s="321" t="n"/>
      <c r="N607" s="319" t="n"/>
      <c r="O607" s="321" t="n"/>
      <c r="P607" s="321" t="n"/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idden="1" ht="15.5" customHeight="1" s="297">
      <c r="A608" s="346" t="n"/>
      <c r="B608" s="333" t="n"/>
      <c r="C608" s="314" t="n"/>
      <c r="D608" s="316" t="n"/>
      <c r="E608" s="316" t="n"/>
      <c r="F608" s="323" t="n"/>
      <c r="G608" s="314" t="n"/>
      <c r="H608" s="345" t="n"/>
      <c r="I608" s="319" t="n"/>
      <c r="J608" s="329" t="n"/>
      <c r="K608" s="321" t="n"/>
      <c r="L608" s="321" t="n"/>
      <c r="M608" s="321" t="n"/>
      <c r="N608" s="319" t="n"/>
      <c r="O608" s="321" t="n"/>
      <c r="P608" s="321" t="n"/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idden="1" ht="15.5" customHeight="1" s="297">
      <c r="A609" s="346" t="n"/>
      <c r="B609" s="333" t="n"/>
      <c r="C609" s="314" t="n"/>
      <c r="D609" s="316" t="n"/>
      <c r="E609" s="316" t="n"/>
      <c r="F609" s="323" t="n"/>
      <c r="G609" s="314" t="n"/>
      <c r="H609" s="345" t="n"/>
      <c r="I609" s="319" t="n"/>
      <c r="J609" s="329" t="n"/>
      <c r="K609" s="321" t="n"/>
      <c r="L609" s="321" t="n"/>
      <c r="M609" s="321" t="n"/>
      <c r="N609" s="319" t="n"/>
      <c r="O609" s="321" t="n"/>
      <c r="P609" s="321" t="n"/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idden="1" ht="15.5" customHeight="1" s="297">
      <c r="A610" s="346" t="n"/>
      <c r="B610" s="333" t="n"/>
      <c r="C610" s="314" t="n"/>
      <c r="D610" s="316" t="n"/>
      <c r="E610" s="316" t="n"/>
      <c r="F610" s="323" t="n"/>
      <c r="G610" s="314" t="n"/>
      <c r="H610" s="345" t="n"/>
      <c r="I610" s="319" t="n"/>
      <c r="J610" s="329" t="n"/>
      <c r="K610" s="321" t="n"/>
      <c r="L610" s="321" t="n"/>
      <c r="M610" s="321" t="n"/>
      <c r="N610" s="319" t="n"/>
      <c r="O610" s="321" t="n"/>
      <c r="P610" s="321" t="n"/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idden="1" ht="15.5" customHeight="1" s="297">
      <c r="A611" s="346" t="n"/>
      <c r="B611" s="333" t="n"/>
      <c r="C611" s="314" t="n"/>
      <c r="D611" s="316" t="n"/>
      <c r="E611" s="316" t="n"/>
      <c r="F611" s="323" t="n"/>
      <c r="G611" s="314" t="n"/>
      <c r="H611" s="345" t="n"/>
      <c r="I611" s="319" t="n"/>
      <c r="J611" s="329" t="n"/>
      <c r="K611" s="321" t="n"/>
      <c r="L611" s="321" t="n"/>
      <c r="M611" s="321" t="n"/>
      <c r="N611" s="319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idden="1" ht="15.5" customHeight="1" s="297">
      <c r="A612" s="346" t="n"/>
      <c r="B612" s="333" t="n"/>
      <c r="C612" s="314" t="n"/>
      <c r="D612" s="316" t="n"/>
      <c r="E612" s="316" t="n"/>
      <c r="F612" s="323" t="n"/>
      <c r="G612" s="314" t="n"/>
      <c r="H612" s="345" t="n"/>
      <c r="I612" s="319" t="n"/>
      <c r="J612" s="329" t="n"/>
      <c r="K612" s="321" t="n"/>
      <c r="L612" s="321" t="n"/>
      <c r="M612" s="321" t="n"/>
      <c r="N612" s="319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idden="1" ht="15.5" customHeight="1" s="297">
      <c r="A613" s="346" t="n"/>
      <c r="B613" s="333" t="n"/>
      <c r="C613" s="314" t="n"/>
      <c r="D613" s="316" t="n"/>
      <c r="E613" s="316" t="n"/>
      <c r="F613" s="323" t="n"/>
      <c r="G613" s="314" t="n"/>
      <c r="H613" s="345" t="n"/>
      <c r="I613" s="319" t="n"/>
      <c r="J613" s="329" t="n"/>
      <c r="K613" s="321" t="n"/>
      <c r="L613" s="321" t="n"/>
      <c r="M613" s="321" t="n"/>
      <c r="N613" s="319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idden="1" ht="15.5" customHeight="1" s="297">
      <c r="A614" s="346" t="n"/>
      <c r="B614" s="333" t="n"/>
      <c r="C614" s="314" t="n"/>
      <c r="D614" s="316" t="n"/>
      <c r="E614" s="316" t="n"/>
      <c r="F614" s="323" t="n"/>
      <c r="G614" s="314" t="n"/>
      <c r="H614" s="345" t="n"/>
      <c r="I614" s="319" t="n"/>
      <c r="J614" s="329" t="n"/>
      <c r="K614" s="321" t="n"/>
      <c r="L614" s="321" t="n"/>
      <c r="M614" s="321" t="n"/>
      <c r="N614" s="319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idden="1" ht="15.5" customHeight="1" s="297">
      <c r="A615" s="346" t="n"/>
      <c r="B615" s="333" t="n"/>
      <c r="C615" s="314" t="n"/>
      <c r="D615" s="316" t="n"/>
      <c r="E615" s="316" t="n"/>
      <c r="F615" s="323" t="n"/>
      <c r="G615" s="314" t="n"/>
      <c r="H615" s="345" t="n"/>
      <c r="I615" s="319" t="n"/>
      <c r="J615" s="329" t="n"/>
      <c r="K615" s="321" t="n"/>
      <c r="L615" s="321" t="n"/>
      <c r="M615" s="321" t="n"/>
      <c r="N615" s="319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idden="1" ht="15.5" customHeight="1" s="297">
      <c r="A616" s="346" t="n"/>
      <c r="B616" s="333" t="n"/>
      <c r="C616" s="314" t="n"/>
      <c r="D616" s="316" t="n"/>
      <c r="E616" s="316" t="n"/>
      <c r="F616" s="323" t="n"/>
      <c r="G616" s="314" t="n"/>
      <c r="H616" s="345" t="n"/>
      <c r="I616" s="319" t="n"/>
      <c r="J616" s="329" t="n"/>
      <c r="K616" s="321" t="n"/>
      <c r="L616" s="321" t="n"/>
      <c r="M616" s="321" t="n"/>
      <c r="N616" s="319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A617" s="346" t="n"/>
      <c r="B617" s="381" t="n">
        <v>45530</v>
      </c>
      <c r="C617" s="382" t="n">
        <v>1</v>
      </c>
      <c r="D617" s="357" t="inlineStr">
        <is>
          <t>MTD SKW-26_sukowati_TMA</t>
        </is>
      </c>
      <c r="E617" s="361" t="n"/>
      <c r="F617" s="412" t="n">
        <v>854100</v>
      </c>
      <c r="G617" s="382" t="inlineStr">
        <is>
          <t>IDR</t>
        </is>
      </c>
      <c r="H617" s="386" t="n">
        <v>1</v>
      </c>
      <c r="I617" s="397" t="n"/>
      <c r="J617" s="387" t="n"/>
      <c r="K617" s="388" t="n"/>
      <c r="L617" s="388" t="n"/>
      <c r="M617" s="388" t="n"/>
      <c r="N617" s="397" t="n"/>
      <c r="O617" s="388" t="n"/>
      <c r="P617" s="387" t="n">
        <v>854100</v>
      </c>
      <c r="Q617" s="388" t="n"/>
      <c r="R617" s="365" t="n"/>
      <c r="S617" s="365" t="n"/>
      <c r="T617" s="365" t="n"/>
      <c r="U617" s="365" t="n"/>
      <c r="V617" s="365" t="n"/>
      <c r="W617" s="365" t="n"/>
      <c r="X617" s="365" t="n"/>
    </row>
    <row r="618" hidden="1" ht="15.5" customHeight="1" s="297">
      <c r="A618" s="346" t="n"/>
      <c r="B618" s="333" t="n"/>
      <c r="C618" s="314" t="n"/>
      <c r="D618" s="316" t="n"/>
      <c r="E618" s="316" t="n"/>
      <c r="F618" s="323" t="n"/>
      <c r="G618" s="314" t="n"/>
      <c r="H618" s="345" t="n"/>
      <c r="I618" s="319" t="n"/>
      <c r="J618" s="329" t="n"/>
      <c r="K618" s="321" t="n"/>
      <c r="L618" s="321" t="n"/>
      <c r="M618" s="321" t="n"/>
      <c r="N618" s="319" t="n"/>
      <c r="O618" s="321" t="n"/>
      <c r="P618" s="329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idden="1" ht="15.5" customHeight="1" s="297">
      <c r="A619" s="346" t="n"/>
      <c r="B619" s="333" t="n"/>
      <c r="C619" s="314" t="n"/>
      <c r="D619" s="316" t="n"/>
      <c r="E619" s="316" t="n"/>
      <c r="F619" s="323" t="n"/>
      <c r="G619" s="314" t="n"/>
      <c r="H619" s="345" t="n"/>
      <c r="I619" s="319" t="n"/>
      <c r="J619" s="329" t="n"/>
      <c r="K619" s="321" t="n"/>
      <c r="L619" s="321" t="n"/>
      <c r="M619" s="321" t="n"/>
      <c r="N619" s="319" t="n"/>
      <c r="O619" s="321" t="n"/>
      <c r="P619" s="329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idden="1" ht="15.5" customHeight="1" s="297">
      <c r="A620" s="346" t="n"/>
      <c r="B620" s="333" t="n"/>
      <c r="C620" s="314" t="n"/>
      <c r="D620" s="316" t="n"/>
      <c r="E620" s="316" t="n"/>
      <c r="F620" s="323" t="n"/>
      <c r="G620" s="314" t="n"/>
      <c r="H620" s="345" t="n"/>
      <c r="I620" s="319" t="n"/>
      <c r="J620" s="329" t="n"/>
      <c r="K620" s="321" t="n"/>
      <c r="L620" s="321" t="n"/>
      <c r="M620" s="321" t="n"/>
      <c r="N620" s="319" t="n"/>
      <c r="O620" s="321" t="n"/>
      <c r="P620" s="329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idden="1" ht="15.5" customHeight="1" s="297">
      <c r="A621" s="346" t="n"/>
      <c r="B621" s="333" t="n"/>
      <c r="C621" s="314" t="n"/>
      <c r="D621" s="316" t="n"/>
      <c r="E621" s="316" t="n"/>
      <c r="F621" s="323" t="n"/>
      <c r="G621" s="314" t="n"/>
      <c r="H621" s="345" t="n"/>
      <c r="I621" s="319" t="n"/>
      <c r="J621" s="329" t="n"/>
      <c r="K621" s="321" t="n"/>
      <c r="L621" s="321" t="n"/>
      <c r="M621" s="321" t="n"/>
      <c r="N621" s="319" t="n"/>
      <c r="O621" s="321" t="n"/>
      <c r="P621" s="329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idden="1" ht="15.5" customHeight="1" s="297">
      <c r="A622" s="346" t="n"/>
      <c r="B622" s="333" t="n"/>
      <c r="C622" s="314" t="n"/>
      <c r="D622" s="316" t="n"/>
      <c r="E622" s="316" t="n"/>
      <c r="F622" s="323" t="n"/>
      <c r="G622" s="314" t="n"/>
      <c r="H622" s="345" t="n"/>
      <c r="I622" s="319" t="n"/>
      <c r="J622" s="329" t="n"/>
      <c r="K622" s="321" t="n"/>
      <c r="L622" s="321" t="n"/>
      <c r="M622" s="321" t="n"/>
      <c r="N622" s="319" t="n"/>
      <c r="O622" s="321" t="n"/>
      <c r="P622" s="329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idden="1" ht="15.5" customHeight="1" s="297">
      <c r="A623" s="346" t="n"/>
      <c r="B623" s="333" t="n"/>
      <c r="C623" s="314" t="n"/>
      <c r="D623" s="316" t="n"/>
      <c r="E623" s="316" t="n"/>
      <c r="F623" s="323" t="n"/>
      <c r="G623" s="314" t="n"/>
      <c r="H623" s="345" t="n"/>
      <c r="I623" s="319" t="n"/>
      <c r="J623" s="329" t="n"/>
      <c r="K623" s="321" t="n"/>
      <c r="L623" s="321" t="n"/>
      <c r="M623" s="321" t="n"/>
      <c r="N623" s="319" t="n"/>
      <c r="O623" s="321" t="n"/>
      <c r="P623" s="329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idden="1" ht="15.5" customHeight="1" s="297">
      <c r="A624" s="346" t="n"/>
      <c r="B624" s="333" t="n"/>
      <c r="C624" s="314" t="n"/>
      <c r="D624" s="316" t="n"/>
      <c r="E624" s="316" t="n"/>
      <c r="F624" s="323" t="n"/>
      <c r="G624" s="314" t="n"/>
      <c r="H624" s="345" t="n"/>
      <c r="I624" s="319" t="n"/>
      <c r="J624" s="329" t="n"/>
      <c r="K624" s="321" t="n"/>
      <c r="L624" s="321" t="n"/>
      <c r="M624" s="321" t="n"/>
      <c r="N624" s="319" t="n"/>
      <c r="O624" s="321" t="n"/>
      <c r="P624" s="329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idden="1" ht="15.5" customHeight="1" s="297">
      <c r="A625" s="346" t="n"/>
      <c r="B625" s="333" t="n"/>
      <c r="C625" s="314" t="n"/>
      <c r="D625" s="316" t="n"/>
      <c r="E625" s="316" t="n"/>
      <c r="F625" s="323" t="n"/>
      <c r="G625" s="314" t="n"/>
      <c r="H625" s="345" t="n"/>
      <c r="I625" s="319" t="n"/>
      <c r="J625" s="329" t="n"/>
      <c r="K625" s="321" t="n"/>
      <c r="L625" s="321" t="n"/>
      <c r="M625" s="321" t="n"/>
      <c r="N625" s="319" t="n"/>
      <c r="O625" s="321" t="n"/>
      <c r="P625" s="329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idden="1" ht="15.5" customHeight="1" s="297">
      <c r="A626" s="346" t="n"/>
      <c r="B626" s="333" t="n"/>
      <c r="C626" s="314" t="n"/>
      <c r="D626" s="316" t="n"/>
      <c r="E626" s="316" t="n"/>
      <c r="F626" s="323" t="n"/>
      <c r="G626" s="314" t="n"/>
      <c r="H626" s="345" t="n"/>
      <c r="I626" s="319" t="n"/>
      <c r="J626" s="329" t="n"/>
      <c r="K626" s="321" t="n"/>
      <c r="L626" s="321" t="n"/>
      <c r="M626" s="321" t="n"/>
      <c r="N626" s="319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idden="1" ht="15.5" customHeight="1" s="297">
      <c r="A627" s="346" t="n"/>
      <c r="B627" s="333" t="n"/>
      <c r="C627" s="314" t="n"/>
      <c r="D627" s="316" t="n"/>
      <c r="E627" s="316" t="n"/>
      <c r="F627" s="323" t="n"/>
      <c r="G627" s="314" t="n"/>
      <c r="H627" s="345" t="n"/>
      <c r="I627" s="319" t="n"/>
      <c r="J627" s="329" t="n"/>
      <c r="K627" s="321" t="n"/>
      <c r="L627" s="321" t="n"/>
      <c r="M627" s="321" t="n"/>
      <c r="N627" s="319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idden="1" ht="15.5" customHeight="1" s="297">
      <c r="A628" s="346" t="n"/>
      <c r="B628" s="333" t="n"/>
      <c r="C628" s="314" t="n"/>
      <c r="D628" s="316" t="n"/>
      <c r="E628" s="316" t="n"/>
      <c r="F628" s="323" t="n"/>
      <c r="G628" s="314" t="n"/>
      <c r="H628" s="345" t="n"/>
      <c r="I628" s="319" t="n"/>
      <c r="J628" s="329" t="n"/>
      <c r="K628" s="321" t="n"/>
      <c r="L628" s="321" t="n"/>
      <c r="M628" s="321" t="n"/>
      <c r="N628" s="319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idden="1" ht="15.5" customHeight="1" s="297">
      <c r="A629" s="346" t="n"/>
      <c r="B629" s="333" t="n"/>
      <c r="C629" s="314" t="n"/>
      <c r="D629" s="316" t="n"/>
      <c r="E629" s="316" t="n"/>
      <c r="F629" s="323" t="n"/>
      <c r="G629" s="314" t="n"/>
      <c r="H629" s="345" t="n"/>
      <c r="I629" s="319" t="n"/>
      <c r="J629" s="329" t="n"/>
      <c r="K629" s="321" t="n"/>
      <c r="L629" s="321" t="n"/>
      <c r="M629" s="321" t="n"/>
      <c r="N629" s="319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idden="1" ht="15.5" customHeight="1" s="297">
      <c r="A630" s="346" t="n"/>
      <c r="B630" s="333" t="n"/>
      <c r="C630" s="314" t="n"/>
      <c r="D630" s="316" t="n"/>
      <c r="E630" s="316" t="n"/>
      <c r="F630" s="323" t="n"/>
      <c r="G630" s="314" t="n"/>
      <c r="H630" s="345" t="n"/>
      <c r="I630" s="319" t="n"/>
      <c r="J630" s="329" t="n"/>
      <c r="K630" s="321" t="n"/>
      <c r="L630" s="321" t="n"/>
      <c r="M630" s="321" t="n"/>
      <c r="N630" s="319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A631" s="346" t="n"/>
      <c r="B631" s="381" t="n">
        <v>45558</v>
      </c>
      <c r="C631" s="382" t="n">
        <v>1</v>
      </c>
      <c r="D631" s="357" t="inlineStr">
        <is>
          <t>MTD_STM_HDP 01 s/d 03 well (BHI project ndr Gowell) Sumbawa</t>
        </is>
      </c>
      <c r="E631" s="361" t="n"/>
      <c r="F631" s="412" t="n">
        <v>1584184</v>
      </c>
      <c r="G631" s="382" t="inlineStr">
        <is>
          <t>IDR</t>
        </is>
      </c>
      <c r="H631" s="386" t="n">
        <v>1</v>
      </c>
      <c r="I631" s="397" t="n"/>
      <c r="J631" s="387" t="n">
        <v>1584184</v>
      </c>
      <c r="K631" s="388" t="n"/>
      <c r="L631" s="388" t="n"/>
      <c r="M631" s="388" t="n"/>
      <c r="N631" s="397" t="n"/>
      <c r="O631" s="388" t="n"/>
      <c r="P631" s="388" t="n"/>
      <c r="Q631" s="388" t="n"/>
      <c r="R631" s="365" t="n"/>
      <c r="S631" s="365" t="n"/>
      <c r="T631" s="365" t="n"/>
      <c r="U631" s="365" t="n"/>
      <c r="V631" s="365" t="n"/>
      <c r="W631" s="365" t="n"/>
      <c r="X631" s="365" t="n"/>
    </row>
    <row r="632" hidden="1" ht="15.5" customHeight="1" s="297">
      <c r="A632" s="346" t="n"/>
      <c r="B632" s="333" t="n"/>
      <c r="C632" s="314" t="n"/>
      <c r="D632" s="316" t="n"/>
      <c r="E632" s="316" t="n"/>
      <c r="F632" s="323" t="n"/>
      <c r="G632" s="314" t="n"/>
      <c r="H632" s="345" t="n"/>
      <c r="I632" s="319" t="n"/>
      <c r="J632" s="329" t="n"/>
      <c r="K632" s="321" t="n"/>
      <c r="L632" s="321" t="n"/>
      <c r="M632" s="321" t="n"/>
      <c r="N632" s="319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idden="1" ht="15.5" customHeight="1" s="297">
      <c r="A633" s="346" t="n"/>
      <c r="B633" s="333" t="n"/>
      <c r="C633" s="314" t="n"/>
      <c r="D633" s="316" t="n"/>
      <c r="E633" s="316" t="n"/>
      <c r="F633" s="323" t="n"/>
      <c r="G633" s="314" t="n"/>
      <c r="H633" s="345" t="n"/>
      <c r="I633" s="319" t="n"/>
      <c r="J633" s="329" t="n"/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idden="1" ht="15.5" customHeight="1" s="297">
      <c r="A634" s="346" t="n"/>
      <c r="B634" s="333" t="n"/>
      <c r="C634" s="314" t="n"/>
      <c r="D634" s="316" t="n"/>
      <c r="E634" s="316" t="n"/>
      <c r="F634" s="323" t="n"/>
      <c r="G634" s="314" t="n"/>
      <c r="H634" s="345" t="n"/>
      <c r="I634" s="319" t="n"/>
      <c r="J634" s="329" t="n"/>
      <c r="K634" s="321" t="n"/>
      <c r="L634" s="321" t="n"/>
      <c r="M634" s="321" t="n"/>
      <c r="N634" s="319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idden="1" ht="15.5" customHeight="1" s="297">
      <c r="A635" s="346" t="n"/>
      <c r="B635" s="333" t="n"/>
      <c r="C635" s="314" t="n"/>
      <c r="D635" s="316" t="n"/>
      <c r="E635" s="316" t="n"/>
      <c r="F635" s="323" t="n"/>
      <c r="G635" s="314" t="n"/>
      <c r="H635" s="345" t="n"/>
      <c r="I635" s="319" t="n"/>
      <c r="J635" s="329" t="n"/>
      <c r="K635" s="321" t="n"/>
      <c r="L635" s="321" t="n"/>
      <c r="M635" s="321" t="n"/>
      <c r="N635" s="319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idden="1" ht="15.5" customHeight="1" s="297">
      <c r="A636" s="346" t="n"/>
      <c r="B636" s="333" t="n"/>
      <c r="C636" s="314" t="n"/>
      <c r="D636" s="316" t="n"/>
      <c r="E636" s="316" t="n"/>
      <c r="F636" s="323" t="n"/>
      <c r="G636" s="314" t="n"/>
      <c r="H636" s="345" t="n"/>
      <c r="I636" s="319" t="n"/>
      <c r="J636" s="329" t="n"/>
      <c r="K636" s="321" t="n"/>
      <c r="L636" s="321" t="n"/>
      <c r="M636" s="321" t="n"/>
      <c r="N636" s="319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idden="1" ht="15.5" customHeight="1" s="297">
      <c r="A637" s="346" t="n"/>
      <c r="B637" s="333" t="n"/>
      <c r="C637" s="314" t="n"/>
      <c r="D637" s="316" t="n"/>
      <c r="E637" s="316" t="n"/>
      <c r="F637" s="323" t="n"/>
      <c r="G637" s="314" t="n"/>
      <c r="H637" s="345" t="n"/>
      <c r="I637" s="319" t="n"/>
      <c r="J637" s="329" t="n"/>
      <c r="K637" s="321" t="n"/>
      <c r="L637" s="321" t="n"/>
      <c r="M637" s="321" t="n"/>
      <c r="N637" s="319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idden="1" ht="15.5" customHeight="1" s="297">
      <c r="A638" s="346" t="n"/>
      <c r="B638" s="333" t="n"/>
      <c r="C638" s="314" t="n"/>
      <c r="D638" s="316" t="n"/>
      <c r="E638" s="316" t="n"/>
      <c r="F638" s="323" t="n"/>
      <c r="G638" s="314" t="n"/>
      <c r="H638" s="345" t="n"/>
      <c r="I638" s="319" t="n"/>
      <c r="J638" s="329" t="n"/>
      <c r="K638" s="321" t="n"/>
      <c r="L638" s="321" t="n"/>
      <c r="M638" s="321" t="n"/>
      <c r="N638" s="319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idden="1" ht="15.5" customHeight="1" s="297">
      <c r="A639" s="346" t="n"/>
      <c r="B639" s="333" t="n"/>
      <c r="C639" s="314" t="n"/>
      <c r="D639" s="316" t="n"/>
      <c r="E639" s="316" t="n"/>
      <c r="F639" s="323" t="n"/>
      <c r="G639" s="314" t="n"/>
      <c r="H639" s="345" t="n"/>
      <c r="I639" s="319" t="n"/>
      <c r="J639" s="329" t="n"/>
      <c r="K639" s="321" t="n"/>
      <c r="L639" s="321" t="n"/>
      <c r="M639" s="321" t="n"/>
      <c r="N639" s="319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A640" s="346" t="n"/>
      <c r="B640" s="333" t="n"/>
      <c r="C640" s="314" t="n"/>
      <c r="D640" s="316" t="n"/>
      <c r="E640" s="316" t="n"/>
      <c r="F640" s="323" t="n"/>
      <c r="G640" s="314" t="n"/>
      <c r="H640" s="345" t="n"/>
      <c r="I640" s="319" t="n"/>
      <c r="J640" s="329" t="n"/>
      <c r="K640" s="321" t="n"/>
      <c r="L640" s="321" t="n"/>
      <c r="M640" s="321" t="n"/>
      <c r="N640" s="319" t="n"/>
      <c r="O640" s="321" t="n"/>
      <c r="P640" s="321" t="n"/>
      <c r="Q640" s="321" t="n"/>
      <c r="R640" s="322" t="n"/>
      <c r="S640" s="322" t="n"/>
      <c r="T640" s="322" t="n"/>
      <c r="U640" s="322" t="n"/>
      <c r="V640" s="322" t="n"/>
      <c r="W640" s="322" t="n"/>
      <c r="X640" s="322" t="n"/>
    </row>
    <row r="641" ht="15.5" customHeight="1" s="297">
      <c r="B641" s="333" t="n"/>
      <c r="C641" s="314" t="n"/>
      <c r="D641" s="330" t="inlineStr">
        <is>
          <t>Accommodation</t>
        </is>
      </c>
      <c r="E641" s="378" t="n"/>
      <c r="F641" s="317" t="n"/>
      <c r="G641" s="314" t="n"/>
      <c r="H641" s="314" t="n"/>
      <c r="I641" s="320" t="n"/>
      <c r="J641" s="321" t="n"/>
      <c r="K641" s="321" t="n"/>
      <c r="L641" s="321" t="n"/>
      <c r="M641" s="321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t="15.5" customHeight="1" s="297">
      <c r="B642" s="333" t="n">
        <v>45585</v>
      </c>
      <c r="C642" s="314" t="n">
        <v>1</v>
      </c>
      <c r="D642" s="326" t="inlineStr">
        <is>
          <t>Laundry 18 days @ 50K IDR/day</t>
        </is>
      </c>
      <c r="E642" s="326" t="n"/>
      <c r="F642" s="323" t="n">
        <v>900000</v>
      </c>
      <c r="G642" s="314" t="inlineStr">
        <is>
          <t>IDR</t>
        </is>
      </c>
      <c r="H642" s="345" t="n">
        <v>1</v>
      </c>
      <c r="I642" s="320" t="n"/>
      <c r="J642" s="329" t="n">
        <v>900000</v>
      </c>
      <c r="K642" s="321" t="n"/>
      <c r="L642" s="321" t="n"/>
      <c r="M642" s="319" t="n"/>
      <c r="N642" s="321" t="n"/>
      <c r="O642" s="321" t="n"/>
      <c r="P642" s="321" t="n"/>
      <c r="Q642" s="321" t="n"/>
      <c r="R642" s="322" t="n"/>
      <c r="S642" s="322" t="n"/>
      <c r="T642" s="322" t="n"/>
      <c r="U642" s="322" t="n"/>
      <c r="V642" s="322" t="n"/>
      <c r="W642" s="322" t="n"/>
      <c r="X642" s="322" t="n"/>
    </row>
    <row r="643" ht="15.5" customHeight="1" s="297">
      <c r="B643" s="333" t="n"/>
      <c r="C643" s="314" t="n"/>
      <c r="D643" s="330" t="inlineStr">
        <is>
          <t>Allowance</t>
        </is>
      </c>
      <c r="E643" s="378" t="n"/>
      <c r="F643" s="317" t="n"/>
      <c r="G643" s="314" t="n"/>
      <c r="H643" s="314" t="n"/>
      <c r="I643" s="410" t="n"/>
      <c r="J643" s="321" t="n"/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A644" s="346" t="n"/>
      <c r="B644" s="381" t="n">
        <v>45585</v>
      </c>
      <c r="C644" s="382" t="n">
        <v>2</v>
      </c>
      <c r="D644" s="383" t="inlineStr">
        <is>
          <t>Training Basic Sea Survival_IBR</t>
        </is>
      </c>
      <c r="E644" s="396" t="n"/>
      <c r="F644" s="412" t="n">
        <v>2700000</v>
      </c>
      <c r="G644" s="382" t="inlineStr">
        <is>
          <t>IDR</t>
        </is>
      </c>
      <c r="H644" s="386" t="n">
        <v>1</v>
      </c>
      <c r="I644" s="437" t="n"/>
      <c r="J644" s="387" t="n">
        <v>2700000</v>
      </c>
      <c r="K644" s="388" t="n"/>
      <c r="L644" s="388" t="n"/>
      <c r="M644" s="388" t="n"/>
      <c r="N644" s="388" t="n"/>
      <c r="O644" s="388" t="n"/>
      <c r="P644" s="388" t="n"/>
      <c r="Q644" s="388" t="n"/>
      <c r="R644" s="365" t="n"/>
      <c r="S644" s="365" t="n"/>
      <c r="T644" s="365" t="n"/>
      <c r="U644" s="365" t="n"/>
      <c r="V644" s="365" t="n"/>
      <c r="W644" s="365" t="n"/>
      <c r="X644" s="365" t="n"/>
    </row>
    <row r="645" hidden="1" ht="15.5" customHeight="1" s="297">
      <c r="A645" s="346" t="n"/>
      <c r="B645" s="333" t="n"/>
      <c r="C645" s="314" t="n"/>
      <c r="D645" s="378" t="n"/>
      <c r="E645" s="378" t="n"/>
      <c r="F645" s="323" t="n"/>
      <c r="G645" s="314" t="n"/>
      <c r="H645" s="345" t="n"/>
      <c r="I645" s="410" t="n"/>
      <c r="J645" s="329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idden="1" ht="15.5" customHeight="1" s="297">
      <c r="A646" s="346" t="n"/>
      <c r="B646" s="333" t="n"/>
      <c r="C646" s="314" t="n"/>
      <c r="D646" s="378" t="n"/>
      <c r="E646" s="378" t="n"/>
      <c r="F646" s="323" t="n"/>
      <c r="G646" s="314" t="n"/>
      <c r="H646" s="345" t="n"/>
      <c r="I646" s="410" t="n"/>
      <c r="J646" s="329" t="n"/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idden="1" ht="15.5" customHeight="1" s="297">
      <c r="A647" s="346" t="n"/>
      <c r="B647" s="333" t="n"/>
      <c r="C647" s="314" t="n"/>
      <c r="D647" s="378" t="n"/>
      <c r="E647" s="378" t="n"/>
      <c r="F647" s="323" t="n"/>
      <c r="G647" s="314" t="n"/>
      <c r="H647" s="345" t="n"/>
      <c r="I647" s="410" t="n"/>
      <c r="J647" s="329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idden="1" ht="15.5" customHeight="1" s="297">
      <c r="A648" s="346" t="n"/>
      <c r="B648" s="333" t="n"/>
      <c r="C648" s="314" t="n"/>
      <c r="D648" s="378" t="n"/>
      <c r="E648" s="378" t="n"/>
      <c r="F648" s="323" t="n"/>
      <c r="G648" s="314" t="n"/>
      <c r="H648" s="345" t="n"/>
      <c r="I648" s="410" t="n"/>
      <c r="J648" s="329" t="n"/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idden="1" ht="15.5" customHeight="1" s="297">
      <c r="B649" s="404" t="n"/>
      <c r="C649" s="405" t="n"/>
      <c r="D649" s="406" t="n"/>
      <c r="E649" s="406" t="n"/>
      <c r="F649" s="414" t="n"/>
      <c r="G649" s="405" t="n"/>
      <c r="H649" s="405" t="n"/>
      <c r="I649" s="436" t="n"/>
      <c r="J649" s="371" t="n"/>
      <c r="K649" s="371" t="n"/>
      <c r="L649" s="371" t="n"/>
      <c r="M649" s="371" t="n"/>
      <c r="N649" s="371" t="n"/>
      <c r="O649" s="371" t="n"/>
      <c r="P649" s="371" t="n"/>
      <c r="Q649" s="371" t="n"/>
      <c r="R649" s="372" t="n"/>
      <c r="S649" s="372" t="n"/>
      <c r="T649" s="372" t="n"/>
      <c r="U649" s="372" t="n"/>
      <c r="V649" s="372" t="n"/>
      <c r="W649" s="372" t="n"/>
      <c r="X649" s="372" t="n"/>
    </row>
    <row r="650" ht="15.5" customHeight="1" s="297">
      <c r="B650" s="333" t="n"/>
      <c r="C650" s="314" t="n"/>
      <c r="D650" s="330" t="inlineStr">
        <is>
          <t>Training</t>
        </is>
      </c>
      <c r="E650" s="378" t="n"/>
      <c r="F650" s="317" t="n"/>
      <c r="G650" s="314" t="n"/>
      <c r="H650" s="314" t="n"/>
      <c r="I650" s="321" t="n"/>
      <c r="J650" s="321" t="n"/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idden="1" ht="15.5" customHeight="1" s="297">
      <c r="B651" s="404" t="n"/>
      <c r="C651" s="405" t="n"/>
      <c r="D651" s="406" t="n"/>
      <c r="E651" s="406" t="n"/>
      <c r="F651" s="414" t="n"/>
      <c r="G651" s="405" t="n"/>
      <c r="H651" s="405" t="n"/>
      <c r="I651" s="370" t="n"/>
      <c r="J651" s="371" t="n"/>
      <c r="K651" s="371" t="n"/>
      <c r="L651" s="371" t="n"/>
      <c r="M651" s="371" t="n"/>
      <c r="N651" s="371" t="n"/>
      <c r="O651" s="371" t="n"/>
      <c r="P651" s="371" t="n"/>
      <c r="Q651" s="371" t="n"/>
      <c r="R651" s="372" t="n"/>
      <c r="S651" s="372" t="n"/>
      <c r="T651" s="372" t="n"/>
      <c r="U651" s="372" t="n"/>
      <c r="V651" s="372" t="n"/>
      <c r="W651" s="372" t="n"/>
      <c r="X651" s="372" t="n"/>
    </row>
    <row r="652" ht="15.5" customHeight="1" s="297">
      <c r="B652" s="333" t="n"/>
      <c r="C652" s="314" t="n"/>
      <c r="D652" s="330" t="inlineStr">
        <is>
          <t>Transportation</t>
        </is>
      </c>
      <c r="E652" s="378" t="n"/>
      <c r="F652" s="317" t="n"/>
      <c r="G652" s="314" t="n"/>
      <c r="H652" s="314" t="n"/>
      <c r="I652" s="320" t="n"/>
      <c r="J652" s="321" t="n"/>
      <c r="K652" s="321" t="n"/>
      <c r="L652" s="321" t="n"/>
      <c r="M652" s="321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A653" s="346" t="n"/>
      <c r="B653" s="381" t="n">
        <v>45622</v>
      </c>
      <c r="C653" s="382" t="n">
        <v>1</v>
      </c>
      <c r="D653" s="383" t="inlineStr">
        <is>
          <t>Non trip 1st - project _ Pety cash 1st - YY</t>
        </is>
      </c>
      <c r="E653" s="396" t="n"/>
      <c r="F653" s="412" t="n">
        <v>2700000</v>
      </c>
      <c r="G653" s="382" t="inlineStr">
        <is>
          <t>IDR</t>
        </is>
      </c>
      <c r="H653" s="386" t="n">
        <v>1</v>
      </c>
      <c r="I653" s="364" t="n"/>
      <c r="J653" s="387" t="n">
        <v>2700000</v>
      </c>
      <c r="K653" s="388" t="n"/>
      <c r="L653" s="388" t="n"/>
      <c r="M653" s="388" t="n"/>
      <c r="N653" s="388" t="n"/>
      <c r="O653" s="388" t="n"/>
      <c r="P653" s="388" t="n"/>
      <c r="Q653" s="388" t="n"/>
      <c r="R653" s="365" t="n"/>
      <c r="S653" s="365" t="n"/>
      <c r="T653" s="365" t="n"/>
      <c r="U653" s="365" t="n"/>
      <c r="V653" s="365" t="n"/>
      <c r="W653" s="365" t="n"/>
      <c r="X653" s="365" t="n"/>
    </row>
    <row r="654" hidden="1" ht="15.5" customHeight="1" s="297">
      <c r="A654" s="346" t="n"/>
      <c r="B654" s="333" t="n"/>
      <c r="C654" s="314" t="n"/>
      <c r="D654" s="378" t="n"/>
      <c r="E654" s="378" t="n"/>
      <c r="F654" s="323" t="n"/>
      <c r="G654" s="314" t="n"/>
      <c r="H654" s="345" t="n"/>
      <c r="I654" s="320" t="n"/>
      <c r="J654" s="329" t="n"/>
      <c r="K654" s="321" t="n"/>
      <c r="L654" s="321" t="n"/>
      <c r="M654" s="321" t="n"/>
      <c r="N654" s="321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idden="1" ht="15.5" customHeight="1" s="297">
      <c r="A655" s="346" t="n"/>
      <c r="B655" s="333" t="n"/>
      <c r="C655" s="314" t="n"/>
      <c r="D655" s="378" t="n"/>
      <c r="E655" s="378" t="n"/>
      <c r="F655" s="323" t="n"/>
      <c r="G655" s="314" t="n"/>
      <c r="H655" s="345" t="n"/>
      <c r="I655" s="320" t="n"/>
      <c r="J655" s="329" t="n"/>
      <c r="K655" s="321" t="n"/>
      <c r="L655" s="321" t="n"/>
      <c r="M655" s="321" t="n"/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idden="1" ht="15.5" customHeight="1" s="297">
      <c r="A656" s="346" t="n"/>
      <c r="B656" s="333" t="n"/>
      <c r="C656" s="314" t="n"/>
      <c r="D656" s="378" t="n"/>
      <c r="E656" s="378" t="n"/>
      <c r="F656" s="323" t="n"/>
      <c r="G656" s="314" t="n"/>
      <c r="H656" s="345" t="n"/>
      <c r="I656" s="320" t="n"/>
      <c r="J656" s="329" t="n"/>
      <c r="K656" s="321" t="n"/>
      <c r="L656" s="321" t="n"/>
      <c r="M656" s="321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idden="1" ht="15.5" customHeight="1" s="297">
      <c r="A657" s="346" t="n"/>
      <c r="B657" s="333" t="n"/>
      <c r="C657" s="314" t="n"/>
      <c r="D657" s="378" t="n"/>
      <c r="E657" s="378" t="n"/>
      <c r="F657" s="323" t="n"/>
      <c r="G657" s="314" t="n"/>
      <c r="H657" s="345" t="n"/>
      <c r="I657" s="320" t="n"/>
      <c r="J657" s="329" t="n"/>
      <c r="K657" s="321" t="n"/>
      <c r="L657" s="321" t="n"/>
      <c r="M657" s="321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idden="1" ht="15.5" customHeight="1" s="297">
      <c r="A658" s="346" t="n"/>
      <c r="B658" s="333" t="n"/>
      <c r="C658" s="314" t="n"/>
      <c r="D658" s="378" t="n"/>
      <c r="E658" s="378" t="n"/>
      <c r="F658" s="323" t="n"/>
      <c r="G658" s="314" t="n"/>
      <c r="H658" s="345" t="n"/>
      <c r="I658" s="320" t="n"/>
      <c r="J658" s="329" t="n"/>
      <c r="K658" s="321" t="n"/>
      <c r="L658" s="321" t="n"/>
      <c r="M658" s="321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idden="1" ht="15.5" customHeight="1" s="297">
      <c r="B659" s="404" t="n"/>
      <c r="C659" s="405" t="n"/>
      <c r="D659" s="424" t="n"/>
      <c r="E659" s="424" t="n"/>
      <c r="F659" s="414" t="n"/>
      <c r="G659" s="405" t="n"/>
      <c r="H659" s="405" t="n"/>
      <c r="I659" s="370" t="n"/>
      <c r="J659" s="371" t="n"/>
      <c r="K659" s="371" t="n"/>
      <c r="L659" s="371" t="n"/>
      <c r="M659" s="371" t="n"/>
      <c r="N659" s="371" t="n"/>
      <c r="O659" s="371" t="n"/>
      <c r="P659" s="371" t="n"/>
      <c r="Q659" s="371" t="n"/>
      <c r="R659" s="372" t="n"/>
      <c r="S659" s="372" t="n"/>
      <c r="T659" s="372" t="n"/>
      <c r="U659" s="372" t="n"/>
      <c r="V659" s="372" t="n"/>
      <c r="W659" s="372" t="n"/>
      <c r="X659" s="372" t="n"/>
    </row>
    <row r="660" ht="15.5" customHeight="1" s="297">
      <c r="B660" s="333" t="n"/>
      <c r="C660" s="314" t="n"/>
      <c r="D660" s="439" t="inlineStr">
        <is>
          <t>Shipping</t>
        </is>
      </c>
      <c r="E660" s="440" t="n"/>
      <c r="F660" s="317" t="n"/>
      <c r="G660" s="314" t="n"/>
      <c r="H660" s="314" t="n"/>
      <c r="I660" s="321" t="n"/>
      <c r="J660" s="321" t="n"/>
      <c r="K660" s="321" t="n"/>
      <c r="L660" s="321" t="n"/>
      <c r="M660" s="321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idden="1" ht="15.5" customHeight="1" s="297">
      <c r="B661" s="404" t="n"/>
      <c r="C661" s="405" t="n"/>
      <c r="D661" s="424" t="n"/>
      <c r="E661" s="424" t="n"/>
      <c r="F661" s="414" t="n"/>
      <c r="G661" s="405" t="n"/>
      <c r="H661" s="405" t="n"/>
      <c r="I661" s="371" t="n"/>
      <c r="J661" s="371" t="n"/>
      <c r="K661" s="371" t="n"/>
      <c r="L661" s="371" t="n"/>
      <c r="M661" s="371" t="n"/>
      <c r="N661" s="370" t="n"/>
      <c r="O661" s="371" t="n"/>
      <c r="P661" s="371" t="n"/>
      <c r="Q661" s="371" t="n"/>
      <c r="R661" s="372" t="n"/>
      <c r="S661" s="372" t="n"/>
      <c r="T661" s="372" t="n"/>
      <c r="U661" s="372" t="n"/>
      <c r="V661" s="372" t="n"/>
      <c r="W661" s="372" t="n"/>
      <c r="X661" s="372" t="n"/>
    </row>
    <row r="662" hidden="1" ht="15.5" customHeight="1" s="297">
      <c r="B662" s="404" t="n"/>
      <c r="C662" s="405" t="n"/>
      <c r="D662" s="424" t="n"/>
      <c r="E662" s="424" t="n"/>
      <c r="F662" s="414" t="n"/>
      <c r="G662" s="405" t="n"/>
      <c r="H662" s="405" t="n"/>
      <c r="I662" s="371" t="n"/>
      <c r="J662" s="371" t="n"/>
      <c r="K662" s="371" t="n"/>
      <c r="L662" s="371" t="n"/>
      <c r="M662" s="371" t="n"/>
      <c r="N662" s="370" t="n"/>
      <c r="O662" s="371" t="n"/>
      <c r="P662" s="371" t="n"/>
      <c r="Q662" s="371" t="n"/>
      <c r="R662" s="372" t="n"/>
      <c r="S662" s="372" t="n"/>
      <c r="T662" s="372" t="n"/>
      <c r="U662" s="372" t="n"/>
      <c r="V662" s="372" t="n"/>
      <c r="W662" s="372" t="n"/>
      <c r="X662" s="372" t="n"/>
    </row>
    <row r="663" hidden="1" ht="15.5" customHeight="1" s="297">
      <c r="B663" s="404" t="n"/>
      <c r="C663" s="405" t="n"/>
      <c r="D663" s="424" t="n"/>
      <c r="E663" s="424" t="n"/>
      <c r="F663" s="414" t="n"/>
      <c r="G663" s="405" t="n"/>
      <c r="H663" s="405" t="n"/>
      <c r="I663" s="371" t="n"/>
      <c r="J663" s="371" t="n"/>
      <c r="K663" s="371" t="n"/>
      <c r="L663" s="371" t="n"/>
      <c r="M663" s="376" t="n"/>
      <c r="N663" s="370" t="n"/>
      <c r="O663" s="371" t="n"/>
      <c r="P663" s="371" t="n"/>
      <c r="Q663" s="371" t="n"/>
      <c r="R663" s="372" t="n"/>
      <c r="S663" s="372" t="n"/>
      <c r="T663" s="372" t="n"/>
      <c r="U663" s="372" t="n"/>
      <c r="V663" s="372" t="n"/>
      <c r="W663" s="372" t="n"/>
      <c r="X663" s="372" t="n"/>
    </row>
    <row r="664" hidden="1" ht="15.5" customHeight="1" s="297">
      <c r="B664" s="389" t="n"/>
      <c r="C664" s="390" t="n"/>
      <c r="D664" s="391" t="n"/>
      <c r="E664" s="391" t="n"/>
      <c r="F664" s="392" t="n"/>
      <c r="G664" s="393" t="n"/>
      <c r="H664" s="393" t="n"/>
      <c r="I664" s="389" t="n"/>
      <c r="J664" s="389" t="n"/>
      <c r="K664" s="389" t="n"/>
      <c r="L664" s="389" t="n"/>
      <c r="M664" s="395" t="n"/>
      <c r="N664" s="389" t="n"/>
      <c r="O664" s="389" t="n"/>
      <c r="P664" s="389" t="n"/>
      <c r="Q664" s="389" t="n"/>
      <c r="R664" s="372" t="n"/>
      <c r="S664" s="372" t="n"/>
      <c r="T664" s="372" t="n"/>
      <c r="U664" s="372" t="n"/>
      <c r="V664" s="372" t="n"/>
      <c r="W664" s="372" t="n"/>
      <c r="X664" s="372" t="n"/>
    </row>
    <row r="665" ht="15.5" customHeight="1" s="297">
      <c r="B665" s="333" t="n"/>
      <c r="C665" s="314" t="n"/>
      <c r="D665" s="330" t="inlineStr">
        <is>
          <t>Transportation</t>
        </is>
      </c>
      <c r="E665" s="438" t="n"/>
      <c r="F665" s="317" t="n"/>
      <c r="G665" s="314" t="n"/>
      <c r="H665" s="314" t="n"/>
      <c r="I665" s="321" t="n"/>
      <c r="J665" s="321" t="n"/>
      <c r="K665" s="321" t="n"/>
      <c r="L665" s="321" t="n"/>
      <c r="M665" s="319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idden="1" ht="15.5" customHeight="1" s="297">
      <c r="B666" s="404" t="n"/>
      <c r="C666" s="405" t="n"/>
      <c r="D666" s="406" t="n"/>
      <c r="E666" s="406" t="n"/>
      <c r="F666" s="414" t="n"/>
      <c r="G666" s="405" t="n"/>
      <c r="H666" s="405" t="n"/>
      <c r="I666" s="370" t="n"/>
      <c r="J666" s="371" t="n"/>
      <c r="K666" s="371" t="n"/>
      <c r="L666" s="371" t="n"/>
      <c r="M666" s="376" t="n"/>
      <c r="N666" s="371" t="n"/>
      <c r="O666" s="371" t="n"/>
      <c r="P666" s="371" t="n"/>
      <c r="Q666" s="371" t="n"/>
      <c r="R666" s="372" t="n"/>
      <c r="S666" s="372" t="n"/>
      <c r="T666" s="372" t="n"/>
      <c r="U666" s="372" t="n"/>
      <c r="V666" s="372" t="n"/>
      <c r="W666" s="372" t="n"/>
      <c r="X666" s="372" t="n"/>
    </row>
    <row r="667" hidden="1" ht="15.5" customHeight="1" s="297">
      <c r="B667" s="404" t="n"/>
      <c r="C667" s="405" t="n"/>
      <c r="D667" s="406" t="n"/>
      <c r="E667" s="406" t="n"/>
      <c r="F667" s="414" t="n"/>
      <c r="G667" s="405" t="n"/>
      <c r="H667" s="405" t="n"/>
      <c r="I667" s="370" t="n"/>
      <c r="J667" s="371" t="n"/>
      <c r="K667" s="371" t="n"/>
      <c r="L667" s="371" t="n"/>
      <c r="M667" s="376" t="n"/>
      <c r="N667" s="371" t="n"/>
      <c r="O667" s="371" t="n"/>
      <c r="P667" s="371" t="n"/>
      <c r="Q667" s="371" t="n"/>
      <c r="R667" s="372" t="n"/>
      <c r="S667" s="372" t="n"/>
      <c r="T667" s="372" t="n"/>
      <c r="U667" s="372" t="n"/>
      <c r="V667" s="372" t="n"/>
      <c r="W667" s="372" t="n"/>
      <c r="X667" s="372" t="n"/>
    </row>
    <row r="668" hidden="1" ht="15.5" customHeight="1" s="297">
      <c r="B668" s="404" t="n"/>
      <c r="C668" s="405" t="n"/>
      <c r="D668" s="406" t="n"/>
      <c r="E668" s="406" t="n"/>
      <c r="F668" s="414" t="n"/>
      <c r="G668" s="405" t="n"/>
      <c r="H668" s="405" t="n"/>
      <c r="I668" s="370" t="n"/>
      <c r="J668" s="371" t="n"/>
      <c r="K668" s="371" t="n"/>
      <c r="L668" s="371" t="n"/>
      <c r="M668" s="376" t="n"/>
      <c r="N668" s="371" t="n"/>
      <c r="O668" s="371" t="n"/>
      <c r="P668" s="371" t="n"/>
      <c r="Q668" s="371" t="n"/>
      <c r="R668" s="372" t="n"/>
      <c r="S668" s="372" t="n"/>
      <c r="T668" s="372" t="n"/>
      <c r="U668" s="372" t="n"/>
      <c r="V668" s="372" t="n"/>
      <c r="W668" s="372" t="n"/>
      <c r="X668" s="372" t="n"/>
    </row>
    <row r="669" hidden="1" ht="15.5" customHeight="1" s="297">
      <c r="B669" s="404" t="n"/>
      <c r="C669" s="405" t="n"/>
      <c r="D669" s="406" t="n"/>
      <c r="E669" s="406" t="n"/>
      <c r="F669" s="414" t="n"/>
      <c r="G669" s="405" t="n"/>
      <c r="H669" s="405" t="n"/>
      <c r="I669" s="370" t="n"/>
      <c r="J669" s="371" t="n"/>
      <c r="K669" s="371" t="n"/>
      <c r="L669" s="371" t="n"/>
      <c r="M669" s="370" t="n"/>
      <c r="N669" s="371" t="n"/>
      <c r="O669" s="371" t="n"/>
      <c r="P669" s="371" t="n"/>
      <c r="Q669" s="371" t="n"/>
      <c r="R669" s="372" t="n"/>
      <c r="S669" s="372" t="n"/>
      <c r="T669" s="372" t="n"/>
      <c r="U669" s="372" t="n"/>
      <c r="V669" s="372" t="n"/>
      <c r="W669" s="372" t="n"/>
      <c r="X669" s="372" t="n"/>
    </row>
    <row r="670" hidden="1" ht="15.5" customHeight="1" s="297">
      <c r="B670" s="404" t="n"/>
      <c r="C670" s="405" t="n"/>
      <c r="D670" s="441" t="n"/>
      <c r="E670" s="441" t="n"/>
      <c r="F670" s="414" t="n"/>
      <c r="G670" s="405" t="n"/>
      <c r="H670" s="405" t="n"/>
      <c r="I670" s="371" t="n"/>
      <c r="J670" s="371" t="n"/>
      <c r="K670" s="371" t="n"/>
      <c r="L670" s="371" t="n"/>
      <c r="M670" s="376" t="n"/>
      <c r="N670" s="371" t="n"/>
      <c r="O670" s="371" t="n"/>
      <c r="P670" s="371" t="n"/>
      <c r="Q670" s="371" t="n"/>
      <c r="R670" s="372" t="n"/>
      <c r="S670" s="372" t="n"/>
      <c r="T670" s="372" t="n"/>
      <c r="U670" s="372" t="n"/>
      <c r="V670" s="372" t="n"/>
      <c r="W670" s="372" t="n"/>
      <c r="X670" s="372" t="n"/>
    </row>
    <row r="671" hidden="1" ht="15.5" customHeight="1" s="297">
      <c r="B671" s="404" t="n"/>
      <c r="C671" s="442" t="n"/>
      <c r="D671" s="424" t="n"/>
      <c r="E671" s="424" t="n"/>
      <c r="F671" s="443" t="n"/>
      <c r="G671" s="442" t="n"/>
      <c r="H671" s="442" t="n"/>
      <c r="I671" s="444" t="n"/>
      <c r="J671" s="445" t="n"/>
      <c r="K671" s="445" t="n"/>
      <c r="L671" s="445" t="n"/>
      <c r="M671" s="444" t="n"/>
      <c r="N671" s="445" t="n"/>
      <c r="O671" s="445" t="n"/>
      <c r="P671" s="445" t="n"/>
      <c r="Q671" s="445" t="n"/>
      <c r="R671" s="372" t="n"/>
      <c r="S671" s="372" t="n"/>
      <c r="T671" s="372" t="n"/>
      <c r="U671" s="372" t="n"/>
      <c r="V671" s="372" t="n"/>
      <c r="W671" s="372" t="n"/>
      <c r="X671" s="372" t="n"/>
    </row>
    <row r="672" hidden="1" ht="15.5" customHeight="1" s="297">
      <c r="B672" s="404" t="n"/>
      <c r="C672" s="405" t="n"/>
      <c r="D672" s="406" t="n"/>
      <c r="E672" s="406" t="n"/>
      <c r="F672" s="414" t="n"/>
      <c r="G672" s="405" t="n"/>
      <c r="H672" s="405" t="n"/>
      <c r="I672" s="370" t="n"/>
      <c r="J672" s="371" t="n"/>
      <c r="K672" s="371" t="n"/>
      <c r="L672" s="371" t="n"/>
      <c r="M672" s="376" t="n"/>
      <c r="N672" s="371" t="n"/>
      <c r="O672" s="371" t="n"/>
      <c r="P672" s="371" t="n"/>
      <c r="Q672" s="371" t="n"/>
      <c r="R672" s="372" t="n"/>
      <c r="S672" s="372" t="n"/>
      <c r="T672" s="372" t="n"/>
      <c r="U672" s="372" t="n"/>
      <c r="V672" s="372" t="n"/>
      <c r="W672" s="372" t="n"/>
      <c r="X672" s="372" t="n"/>
    </row>
    <row r="673" hidden="1" ht="15.5" customHeight="1" s="297">
      <c r="B673" s="446" t="n"/>
      <c r="C673" s="393" t="n"/>
      <c r="D673" s="447" t="n"/>
      <c r="E673" s="447" t="n"/>
      <c r="F673" s="448" t="n"/>
      <c r="G673" s="393" t="n"/>
      <c r="H673" s="393" t="n"/>
      <c r="I673" s="389" t="n"/>
      <c r="J673" s="389" t="n"/>
      <c r="K673" s="389" t="n"/>
      <c r="L673" s="389" t="n"/>
      <c r="M673" s="389" t="n"/>
      <c r="N673" s="389" t="n"/>
      <c r="O673" s="389" t="n"/>
      <c r="P673" s="389" t="n"/>
      <c r="Q673" s="389" t="n"/>
      <c r="R673" s="372" t="n"/>
      <c r="S673" s="372" t="n"/>
      <c r="T673" s="372" t="n"/>
      <c r="U673" s="372" t="n"/>
      <c r="V673" s="372" t="n"/>
      <c r="W673" s="372" t="n"/>
      <c r="X673" s="372" t="n"/>
    </row>
    <row r="674" hidden="1" ht="15.5" customHeight="1" s="297">
      <c r="B674" s="374" t="n"/>
      <c r="C674" s="367" t="n"/>
      <c r="D674" s="379" t="n"/>
      <c r="E674" s="379" t="n"/>
      <c r="F674" s="369" t="n"/>
      <c r="G674" s="367" t="n"/>
      <c r="H674" s="367" t="n"/>
      <c r="I674" s="371" t="n"/>
      <c r="J674" s="371" t="n"/>
      <c r="K674" s="371" t="n"/>
      <c r="L674" s="371" t="n"/>
      <c r="M674" s="371" t="n"/>
      <c r="N674" s="371" t="n"/>
      <c r="O674" s="371" t="n"/>
      <c r="P674" s="371" t="n"/>
      <c r="Q674" s="371" t="n"/>
      <c r="R674" s="372" t="n"/>
      <c r="S674" s="372" t="n"/>
      <c r="T674" s="372" t="n"/>
      <c r="U674" s="372" t="n"/>
      <c r="V674" s="372" t="n"/>
      <c r="W674" s="372" t="n"/>
      <c r="X674" s="372" t="n"/>
    </row>
    <row r="675" hidden="1" ht="15.5" customHeight="1" s="297">
      <c r="B675" s="374" t="n"/>
      <c r="C675" s="367" t="n"/>
      <c r="D675" s="375" t="n"/>
      <c r="E675" s="375" t="n"/>
      <c r="F675" s="369" t="n"/>
      <c r="G675" s="367" t="n"/>
      <c r="H675" s="367" t="n"/>
      <c r="I675" s="370" t="n"/>
      <c r="J675" s="371" t="n"/>
      <c r="K675" s="371" t="n"/>
      <c r="L675" s="371" t="n"/>
      <c r="M675" s="371" t="n"/>
      <c r="N675" s="371" t="n"/>
      <c r="O675" s="371" t="n"/>
      <c r="P675" s="371" t="n"/>
      <c r="Q675" s="371" t="n"/>
      <c r="R675" s="372" t="n"/>
      <c r="S675" s="372" t="n"/>
      <c r="T675" s="372" t="n"/>
      <c r="U675" s="372" t="n"/>
      <c r="V675" s="372" t="n"/>
      <c r="W675" s="372" t="n"/>
      <c r="X675" s="372" t="n"/>
    </row>
    <row r="676" hidden="1" ht="15.5" customHeight="1" s="297">
      <c r="B676" s="374" t="n"/>
      <c r="C676" s="367" t="n"/>
      <c r="D676" s="379" t="n"/>
      <c r="E676" s="379" t="n"/>
      <c r="F676" s="369" t="n"/>
      <c r="G676" s="367" t="n"/>
      <c r="H676" s="367" t="n"/>
      <c r="I676" s="371" t="n"/>
      <c r="J676" s="371" t="n"/>
      <c r="K676" s="371" t="n"/>
      <c r="L676" s="371" t="n"/>
      <c r="M676" s="371" t="n"/>
      <c r="N676" s="371" t="n"/>
      <c r="O676" s="371" t="n"/>
      <c r="P676" s="371" t="n"/>
      <c r="Q676" s="371" t="n"/>
      <c r="R676" s="372" t="n"/>
      <c r="S676" s="372" t="n"/>
      <c r="T676" s="372" t="n"/>
      <c r="U676" s="372" t="n"/>
      <c r="V676" s="372" t="n"/>
      <c r="W676" s="372" t="n"/>
      <c r="X676" s="372" t="n"/>
    </row>
    <row r="677" hidden="1" ht="15.5" customHeight="1" s="297">
      <c r="B677" s="374" t="n"/>
      <c r="C677" s="367" t="n"/>
      <c r="D677" s="375" t="n"/>
      <c r="E677" s="375" t="n"/>
      <c r="F677" s="369" t="n"/>
      <c r="G677" s="367" t="n"/>
      <c r="H677" s="367" t="n"/>
      <c r="I677" s="370" t="n"/>
      <c r="J677" s="371" t="n"/>
      <c r="K677" s="371" t="n"/>
      <c r="L677" s="371" t="n"/>
      <c r="M677" s="371" t="n"/>
      <c r="N677" s="371" t="n"/>
      <c r="O677" s="371" t="n"/>
      <c r="P677" s="371" t="n"/>
      <c r="Q677" s="371" t="n"/>
      <c r="R677" s="372" t="n"/>
      <c r="S677" s="372" t="n"/>
      <c r="T677" s="372" t="n"/>
      <c r="U677" s="372" t="n"/>
      <c r="V677" s="372" t="n"/>
      <c r="W677" s="372" t="n"/>
      <c r="X677" s="372" t="n"/>
    </row>
    <row r="678" ht="15.5" customHeight="1" s="297">
      <c r="A678" s="346" t="n"/>
      <c r="B678" s="381" t="n">
        <v>45572</v>
      </c>
      <c r="C678" s="382" t="n">
        <v>1</v>
      </c>
      <c r="D678" s="383" t="inlineStr">
        <is>
          <t>Starlink Kit_DS</t>
        </is>
      </c>
      <c r="E678" s="384" t="n"/>
      <c r="F678" s="385" t="n">
        <v>62000</v>
      </c>
      <c r="G678" s="382" t="inlineStr">
        <is>
          <t>IDR</t>
        </is>
      </c>
      <c r="H678" s="386" t="n">
        <v>1</v>
      </c>
      <c r="I678" s="364" t="n"/>
      <c r="J678" s="388" t="n"/>
      <c r="K678" s="388" t="n"/>
      <c r="L678" s="388" t="n"/>
      <c r="M678" s="387" t="n">
        <v>62000</v>
      </c>
      <c r="N678" s="388" t="n"/>
      <c r="O678" s="388" t="n"/>
      <c r="P678" s="388" t="n"/>
      <c r="Q678" s="388" t="n"/>
      <c r="R678" s="365" t="n"/>
      <c r="S678" s="365" t="n"/>
      <c r="T678" s="365" t="n"/>
      <c r="U678" s="365" t="n"/>
      <c r="V678" s="365" t="n"/>
      <c r="W678" s="365" t="n"/>
      <c r="X678" s="365" t="n"/>
    </row>
    <row r="679" hidden="1" ht="15.5" customHeight="1" s="297">
      <c r="A679" s="346" t="n"/>
      <c r="B679" s="333" t="n"/>
      <c r="C679" s="314" t="n"/>
      <c r="D679" s="326" t="n"/>
      <c r="E679" s="326" t="n"/>
      <c r="F679" s="334" t="n"/>
      <c r="G679" s="314" t="n"/>
      <c r="H679" s="345" t="n"/>
      <c r="I679" s="320" t="n"/>
      <c r="J679" s="329" t="n"/>
      <c r="K679" s="321" t="n"/>
      <c r="L679" s="321" t="n"/>
      <c r="M679" s="321" t="n"/>
      <c r="N679" s="321" t="n"/>
      <c r="O679" s="321" t="n"/>
      <c r="P679" s="321" t="n"/>
      <c r="Q679" s="321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A680" s="346" t="n"/>
      <c r="B680" s="381" t="n">
        <v>45607</v>
      </c>
      <c r="C680" s="382" t="n">
        <v>1</v>
      </c>
      <c r="D680" s="383" t="inlineStr">
        <is>
          <t>Pelican Case 1650 TMA</t>
        </is>
      </c>
      <c r="E680" s="384" t="n"/>
      <c r="F680" s="385" t="n">
        <v>5583200</v>
      </c>
      <c r="G680" s="382" t="inlineStr">
        <is>
          <t>IDR</t>
        </is>
      </c>
      <c r="H680" s="386" t="n">
        <v>1</v>
      </c>
      <c r="I680" s="364" t="n"/>
      <c r="J680" s="387" t="n"/>
      <c r="K680" s="388" t="n"/>
      <c r="L680" s="388" t="n"/>
      <c r="M680" s="388" t="n"/>
      <c r="N680" s="387" t="n">
        <v>5583200</v>
      </c>
      <c r="O680" s="388" t="n"/>
      <c r="P680" s="388" t="n"/>
      <c r="Q680" s="388" t="n"/>
      <c r="R680" s="365" t="n"/>
      <c r="S680" s="365" t="n"/>
      <c r="T680" s="365" t="n"/>
      <c r="U680" s="365" t="n"/>
      <c r="V680" s="365" t="n"/>
      <c r="W680" s="365" t="n"/>
      <c r="X680" s="365" t="n"/>
    </row>
    <row r="681" hidden="1" ht="15.5" customHeight="1" s="297">
      <c r="A681" s="346" t="n"/>
      <c r="B681" s="333" t="n"/>
      <c r="C681" s="314" t="n"/>
      <c r="D681" s="326" t="n"/>
      <c r="E681" s="326" t="n"/>
      <c r="F681" s="334" t="n"/>
      <c r="G681" s="314" t="n"/>
      <c r="H681" s="345" t="n"/>
      <c r="I681" s="320" t="n"/>
      <c r="J681" s="329" t="n"/>
      <c r="K681" s="321" t="n"/>
      <c r="L681" s="321" t="n"/>
      <c r="M681" s="321" t="n"/>
      <c r="N681" s="321" t="n"/>
      <c r="O681" s="321" t="n"/>
      <c r="P681" s="321" t="n"/>
      <c r="Q681" s="321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A682" s="346" t="n"/>
      <c r="B682" s="381" t="n">
        <v>45640</v>
      </c>
      <c r="C682" s="382" t="n">
        <v>1</v>
      </c>
      <c r="D682" s="383" t="inlineStr">
        <is>
          <t>Non trip 3rd (follow up MCU concul &amp; visit KPP and Graha Elnusa)_AC</t>
        </is>
      </c>
      <c r="E682" s="384" t="n"/>
      <c r="F682" s="385" t="n">
        <v>8156000</v>
      </c>
      <c r="G682" s="382" t="inlineStr">
        <is>
          <t>IDR</t>
        </is>
      </c>
      <c r="H682" s="386" t="n">
        <v>1</v>
      </c>
      <c r="I682" s="364" t="n"/>
      <c r="J682" s="387" t="n"/>
      <c r="K682" s="388" t="n"/>
      <c r="L682" s="388" t="n"/>
      <c r="M682" s="388" t="n"/>
      <c r="N682" s="387" t="n">
        <v>8156000</v>
      </c>
      <c r="O682" s="388" t="n"/>
      <c r="P682" s="388" t="n"/>
      <c r="Q682" s="388" t="n"/>
      <c r="R682" s="365" t="n"/>
      <c r="S682" s="365" t="n"/>
      <c r="T682" s="365" t="n"/>
      <c r="U682" s="365" t="n"/>
      <c r="V682" s="365" t="n"/>
      <c r="W682" s="365" t="n"/>
      <c r="X682" s="365" t="n"/>
    </row>
    <row r="683" hidden="1" ht="15.5" customHeight="1" s="297">
      <c r="A683" s="346" t="n"/>
      <c r="B683" s="333" t="n"/>
      <c r="C683" s="314" t="n"/>
      <c r="D683" s="326" t="n"/>
      <c r="E683" s="326" t="n"/>
      <c r="F683" s="334" t="n"/>
      <c r="G683" s="314" t="n"/>
      <c r="H683" s="345" t="n"/>
      <c r="I683" s="320" t="n"/>
      <c r="J683" s="329" t="n"/>
      <c r="K683" s="321" t="n"/>
      <c r="L683" s="321" t="n"/>
      <c r="M683" s="321" t="n"/>
      <c r="N683" s="321" t="n"/>
      <c r="O683" s="321" t="n"/>
      <c r="P683" s="321" t="n"/>
      <c r="Q683" s="321" t="n"/>
      <c r="R683" s="322" t="n"/>
      <c r="S683" s="322" t="n"/>
      <c r="T683" s="322" t="n"/>
      <c r="U683" s="322" t="n"/>
      <c r="V683" s="322" t="n"/>
      <c r="W683" s="322" t="n"/>
      <c r="X683" s="322" t="n"/>
    </row>
    <row r="684" hidden="1" ht="15.5" customHeight="1" s="297">
      <c r="A684" s="346" t="n"/>
      <c r="B684" s="333" t="n"/>
      <c r="C684" s="314" t="n"/>
      <c r="D684" s="326" t="n"/>
      <c r="E684" s="326" t="n"/>
      <c r="F684" s="334" t="n"/>
      <c r="G684" s="314" t="n"/>
      <c r="H684" s="345" t="n"/>
      <c r="I684" s="320" t="n"/>
      <c r="J684" s="329" t="n"/>
      <c r="K684" s="321" t="n"/>
      <c r="L684" s="321" t="n"/>
      <c r="M684" s="321" t="n"/>
      <c r="N684" s="321" t="n"/>
      <c r="O684" s="321" t="n"/>
      <c r="P684" s="321" t="n"/>
      <c r="Q684" s="321" t="n"/>
      <c r="R684" s="322" t="n"/>
      <c r="S684" s="322" t="n"/>
      <c r="T684" s="322" t="n"/>
      <c r="U684" s="322" t="n"/>
      <c r="V684" s="322" t="n"/>
      <c r="W684" s="322" t="n"/>
      <c r="X684" s="322" t="n"/>
    </row>
    <row r="685" hidden="1" ht="15.5" customHeight="1" s="297">
      <c r="A685" s="346" t="n"/>
      <c r="B685" s="333" t="n"/>
      <c r="C685" s="314" t="n"/>
      <c r="D685" s="326" t="n"/>
      <c r="E685" s="326" t="n"/>
      <c r="F685" s="334" t="n"/>
      <c r="G685" s="314" t="n"/>
      <c r="H685" s="345" t="n"/>
      <c r="I685" s="320" t="n"/>
      <c r="J685" s="321" t="n"/>
      <c r="K685" s="321" t="n"/>
      <c r="L685" s="321" t="n"/>
      <c r="M685" s="329" t="n"/>
      <c r="N685" s="321" t="n"/>
      <c r="O685" s="321" t="n"/>
      <c r="P685" s="321" t="n"/>
      <c r="Q685" s="321" t="n"/>
      <c r="R685" s="322" t="n"/>
      <c r="S685" s="322" t="n"/>
      <c r="T685" s="322" t="n"/>
      <c r="U685" s="322" t="n"/>
      <c r="V685" s="322" t="n"/>
      <c r="W685" s="322" t="n"/>
      <c r="X685" s="322" t="n"/>
    </row>
    <row r="686" hidden="1" ht="15.5" customHeight="1" s="297">
      <c r="A686" s="346" t="n"/>
      <c r="B686" s="333" t="n"/>
      <c r="C686" s="314" t="n"/>
      <c r="D686" s="326" t="n"/>
      <c r="E686" s="326" t="n"/>
      <c r="F686" s="334" t="n"/>
      <c r="G686" s="314" t="n"/>
      <c r="H686" s="345" t="n"/>
      <c r="I686" s="320" t="n"/>
      <c r="J686" s="321" t="n"/>
      <c r="K686" s="321" t="n"/>
      <c r="L686" s="321" t="n"/>
      <c r="M686" s="329" t="n"/>
      <c r="N686" s="321" t="n"/>
      <c r="O686" s="321" t="n"/>
      <c r="P686" s="321" t="n"/>
      <c r="Q686" s="321" t="n"/>
      <c r="R686" s="322" t="n"/>
      <c r="S686" s="322" t="n"/>
      <c r="T686" s="322" t="n"/>
      <c r="U686" s="322" t="n"/>
      <c r="V686" s="322" t="n"/>
      <c r="W686" s="322" t="n"/>
      <c r="X686" s="322" t="n"/>
    </row>
    <row r="687" hidden="1" ht="15.5" customHeight="1" s="297">
      <c r="A687" s="346" t="n"/>
      <c r="B687" s="333" t="n"/>
      <c r="C687" s="314" t="n"/>
      <c r="D687" s="326" t="n"/>
      <c r="E687" s="326" t="n"/>
      <c r="F687" s="334" t="n"/>
      <c r="G687" s="314" t="n"/>
      <c r="H687" s="345" t="n"/>
      <c r="I687" s="320" t="n"/>
      <c r="J687" s="321" t="n"/>
      <c r="K687" s="321" t="n"/>
      <c r="L687" s="321" t="n"/>
      <c r="M687" s="329" t="n"/>
      <c r="N687" s="321" t="n"/>
      <c r="O687" s="321" t="n"/>
      <c r="P687" s="321" t="n"/>
      <c r="Q687" s="321" t="n"/>
      <c r="R687" s="322" t="n"/>
      <c r="S687" s="322" t="n"/>
      <c r="T687" s="322" t="n"/>
      <c r="U687" s="322" t="n"/>
      <c r="V687" s="322" t="n"/>
      <c r="W687" s="322" t="n"/>
      <c r="X687" s="322" t="n"/>
    </row>
    <row r="688" hidden="1" ht="15.5" customHeight="1" s="297">
      <c r="A688" s="346" t="n"/>
      <c r="B688" s="333" t="n"/>
      <c r="C688" s="314" t="n"/>
      <c r="D688" s="326" t="n"/>
      <c r="E688" s="326" t="n"/>
      <c r="F688" s="334" t="n"/>
      <c r="G688" s="314" t="n"/>
      <c r="H688" s="345" t="n"/>
      <c r="I688" s="320" t="n"/>
      <c r="J688" s="329" t="n"/>
      <c r="K688" s="321" t="n"/>
      <c r="L688" s="321" t="n"/>
      <c r="M688" s="321" t="n"/>
      <c r="N688" s="321" t="n"/>
      <c r="O688" s="321" t="n"/>
      <c r="P688" s="321" t="n"/>
      <c r="Q688" s="321" t="n"/>
      <c r="R688" s="322" t="n"/>
      <c r="S688" s="322" t="n"/>
      <c r="T688" s="322" t="n"/>
      <c r="U688" s="322" t="n"/>
      <c r="V688" s="322" t="n"/>
      <c r="W688" s="322" t="n"/>
      <c r="X688" s="322" t="n"/>
    </row>
    <row r="689" hidden="1" ht="15.5" customHeight="1" s="297">
      <c r="A689" s="346" t="n"/>
      <c r="B689" s="333" t="n"/>
      <c r="C689" s="314" t="n"/>
      <c r="D689" s="326" t="n"/>
      <c r="E689" s="326" t="n"/>
      <c r="F689" s="334" t="n"/>
      <c r="G689" s="314" t="n"/>
      <c r="H689" s="345" t="n"/>
      <c r="I689" s="320" t="n"/>
      <c r="J689" s="329" t="n"/>
      <c r="K689" s="321" t="n"/>
      <c r="L689" s="321" t="n"/>
      <c r="M689" s="321" t="n"/>
      <c r="N689" s="321" t="n"/>
      <c r="O689" s="321" t="n"/>
      <c r="P689" s="321" t="n"/>
      <c r="Q689" s="321" t="n"/>
      <c r="R689" s="322" t="n"/>
      <c r="S689" s="322" t="n"/>
      <c r="T689" s="322" t="n"/>
      <c r="U689" s="322" t="n"/>
      <c r="V689" s="322" t="n"/>
      <c r="W689" s="322" t="n"/>
      <c r="X689" s="322" t="n"/>
    </row>
    <row r="690" hidden="1" ht="15.5" customHeight="1" s="297">
      <c r="A690" s="346" t="n"/>
      <c r="B690" s="333" t="n"/>
      <c r="C690" s="314" t="n"/>
      <c r="D690" s="326" t="n"/>
      <c r="E690" s="326" t="n"/>
      <c r="F690" s="334" t="n"/>
      <c r="G690" s="314" t="n"/>
      <c r="H690" s="345" t="n"/>
      <c r="I690" s="320" t="n"/>
      <c r="J690" s="329" t="n"/>
      <c r="K690" s="321" t="n"/>
      <c r="L690" s="321" t="n"/>
      <c r="M690" s="321" t="n"/>
      <c r="N690" s="321" t="n"/>
      <c r="O690" s="321" t="n"/>
      <c r="P690" s="321" t="n"/>
      <c r="Q690" s="321" t="n"/>
      <c r="R690" s="322" t="n"/>
      <c r="S690" s="322" t="n"/>
      <c r="T690" s="322" t="n"/>
      <c r="U690" s="322" t="n"/>
      <c r="V690" s="322" t="n"/>
      <c r="W690" s="322" t="n"/>
      <c r="X690" s="322" t="n"/>
    </row>
    <row r="691" hidden="1" ht="15.5" customHeight="1" s="297">
      <c r="A691" s="346" t="n"/>
      <c r="B691" s="333" t="n"/>
      <c r="C691" s="314" t="n"/>
      <c r="D691" s="326" t="n"/>
      <c r="E691" s="326" t="n"/>
      <c r="F691" s="334" t="n"/>
      <c r="G691" s="314" t="n"/>
      <c r="H691" s="345" t="n"/>
      <c r="I691" s="320" t="n"/>
      <c r="J691" s="329" t="n"/>
      <c r="K691" s="321" t="n"/>
      <c r="L691" s="321" t="n"/>
      <c r="M691" s="321" t="n"/>
      <c r="N691" s="321" t="n"/>
      <c r="O691" s="321" t="n"/>
      <c r="P691" s="321" t="n"/>
      <c r="Q691" s="321" t="n"/>
      <c r="R691" s="322" t="n"/>
      <c r="S691" s="322" t="n"/>
      <c r="T691" s="322" t="n"/>
      <c r="U691" s="322" t="n"/>
      <c r="V691" s="322" t="n"/>
      <c r="W691" s="322" t="n"/>
      <c r="X691" s="322" t="n"/>
    </row>
    <row r="692" hidden="1" ht="15.5" customHeight="1" s="297">
      <c r="A692" s="346" t="n"/>
      <c r="B692" s="333" t="n"/>
      <c r="C692" s="314" t="n"/>
      <c r="D692" s="326" t="n"/>
      <c r="E692" s="326" t="n"/>
      <c r="F692" s="334" t="n"/>
      <c r="G692" s="314" t="n"/>
      <c r="H692" s="345" t="n"/>
      <c r="I692" s="320" t="n"/>
      <c r="J692" s="329" t="n"/>
      <c r="K692" s="321" t="n"/>
      <c r="L692" s="321" t="n"/>
      <c r="M692" s="321" t="n"/>
      <c r="N692" s="321" t="n"/>
      <c r="O692" s="321" t="n"/>
      <c r="P692" s="321" t="n"/>
      <c r="Q692" s="321" t="n"/>
      <c r="R692" s="322" t="n"/>
      <c r="S692" s="322" t="n"/>
      <c r="T692" s="322" t="n"/>
      <c r="U692" s="322" t="n"/>
      <c r="V692" s="322" t="n"/>
      <c r="W692" s="322" t="n"/>
      <c r="X692" s="322" t="n"/>
    </row>
    <row r="693" hidden="1" ht="15.5" customHeight="1" s="297">
      <c r="A693" s="346" t="n"/>
      <c r="B693" s="333" t="n"/>
      <c r="C693" s="314" t="n"/>
      <c r="D693" s="326" t="n"/>
      <c r="E693" s="326" t="n"/>
      <c r="F693" s="334" t="n"/>
      <c r="G693" s="314" t="n"/>
      <c r="H693" s="345" t="n"/>
      <c r="I693" s="320" t="n"/>
      <c r="J693" s="329" t="n"/>
      <c r="K693" s="321" t="n"/>
      <c r="L693" s="321" t="n"/>
      <c r="M693" s="321" t="n"/>
      <c r="N693" s="321" t="n"/>
      <c r="O693" s="321" t="n"/>
      <c r="P693" s="321" t="n"/>
      <c r="Q693" s="321" t="n"/>
      <c r="R693" s="322" t="n"/>
      <c r="S693" s="322" t="n"/>
      <c r="T693" s="322" t="n"/>
      <c r="U693" s="322" t="n"/>
      <c r="V693" s="322" t="n"/>
      <c r="W693" s="322" t="n"/>
      <c r="X693" s="322" t="n"/>
    </row>
    <row r="694" hidden="1" ht="15.5" customHeight="1" s="297">
      <c r="A694" s="346" t="n"/>
      <c r="B694" s="333" t="n"/>
      <c r="C694" s="314" t="n"/>
      <c r="D694" s="326" t="n"/>
      <c r="E694" s="326" t="n"/>
      <c r="F694" s="334" t="n"/>
      <c r="G694" s="314" t="n"/>
      <c r="H694" s="345" t="n"/>
      <c r="I694" s="320" t="n"/>
      <c r="J694" s="329" t="n"/>
      <c r="K694" s="321" t="n"/>
      <c r="L694" s="321" t="n"/>
      <c r="M694" s="321" t="n"/>
      <c r="N694" s="321" t="n"/>
      <c r="O694" s="321" t="n"/>
      <c r="P694" s="321" t="n"/>
      <c r="Q694" s="321" t="n"/>
      <c r="R694" s="322" t="n"/>
      <c r="S694" s="322" t="n"/>
      <c r="T694" s="322" t="n"/>
      <c r="U694" s="322" t="n"/>
      <c r="V694" s="322" t="n"/>
      <c r="W694" s="322" t="n"/>
      <c r="X694" s="322" t="n"/>
    </row>
    <row r="695" hidden="1" ht="15.5" customHeight="1" s="297">
      <c r="A695" s="346" t="n"/>
      <c r="B695" s="333" t="n"/>
      <c r="C695" s="314" t="n"/>
      <c r="D695" s="326" t="n"/>
      <c r="E695" s="326" t="n"/>
      <c r="F695" s="334" t="n"/>
      <c r="G695" s="314" t="n"/>
      <c r="H695" s="345" t="n"/>
      <c r="I695" s="320" t="n"/>
      <c r="J695" s="329" t="n"/>
      <c r="K695" s="321" t="n"/>
      <c r="L695" s="321" t="n"/>
      <c r="M695" s="321" t="n"/>
      <c r="N695" s="321" t="n"/>
      <c r="O695" s="321" t="n"/>
      <c r="P695" s="321" t="n"/>
      <c r="Q695" s="321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/>
      <c r="C696" s="314" t="n"/>
      <c r="D696" s="330" t="inlineStr">
        <is>
          <t>Medical</t>
        </is>
      </c>
      <c r="E696" s="378" t="n"/>
      <c r="F696" s="332" t="n"/>
      <c r="G696" s="314" t="n"/>
      <c r="H696" s="314" t="n"/>
      <c r="I696" s="321" t="n"/>
      <c r="J696" s="321" t="n"/>
      <c r="K696" s="321" t="n"/>
      <c r="L696" s="321" t="n"/>
      <c r="M696" s="321" t="n"/>
      <c r="N696" s="321" t="n"/>
      <c r="O696" s="321" t="n"/>
      <c r="P696" s="321" t="n"/>
      <c r="Q696" s="321" t="n"/>
      <c r="R696" s="322" t="n"/>
      <c r="S696" s="322" t="n"/>
      <c r="T696" s="322" t="n"/>
      <c r="U696" s="322" t="n"/>
      <c r="V696" s="322" t="n"/>
      <c r="W696" s="322" t="n"/>
      <c r="X696" s="322" t="n"/>
    </row>
    <row r="697" hidden="1" ht="15.5" customHeight="1" s="297">
      <c r="B697" s="374" t="n"/>
      <c r="C697" s="367" t="n"/>
      <c r="D697" s="375" t="n"/>
      <c r="E697" s="375" t="n"/>
      <c r="F697" s="369" t="n"/>
      <c r="G697" s="367" t="n"/>
      <c r="H697" s="367" t="n"/>
      <c r="I697" s="371" t="n"/>
      <c r="J697" s="371" t="n"/>
      <c r="K697" s="371" t="n"/>
      <c r="L697" s="371" t="n"/>
      <c r="M697" s="371" t="n"/>
      <c r="N697" s="370" t="n"/>
      <c r="O697" s="371" t="n"/>
      <c r="P697" s="371" t="n"/>
      <c r="Q697" s="371" t="n"/>
      <c r="R697" s="372" t="n"/>
      <c r="S697" s="372" t="n"/>
      <c r="T697" s="372" t="n"/>
      <c r="U697" s="372" t="n"/>
      <c r="V697" s="372" t="n"/>
      <c r="W697" s="372" t="n"/>
      <c r="X697" s="372" t="n"/>
    </row>
    <row r="698" ht="15.5" customHeight="1" s="297">
      <c r="B698" s="333" t="n"/>
      <c r="C698" s="314" t="n"/>
      <c r="D698" s="330" t="inlineStr">
        <is>
          <t>Transportation</t>
        </is>
      </c>
      <c r="E698" s="378" t="n"/>
      <c r="F698" s="332" t="n"/>
      <c r="G698" s="314" t="n"/>
      <c r="H698" s="314" t="n"/>
      <c r="I698" s="321" t="n"/>
      <c r="J698" s="321" t="n"/>
      <c r="K698" s="321" t="n"/>
      <c r="L698" s="321" t="n"/>
      <c r="M698" s="321" t="n"/>
      <c r="N698" s="321" t="n"/>
      <c r="O698" s="321" t="n"/>
      <c r="P698" s="321" t="n"/>
      <c r="Q698" s="321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A699" s="346" t="n"/>
      <c r="B699" s="381" t="n">
        <v>45596</v>
      </c>
      <c r="C699" s="382" t="n">
        <v>1</v>
      </c>
      <c r="D699" s="383" t="inlineStr">
        <is>
          <t>Meeting presentasi With Elnusa - Bandung &amp;Pembelian Sparepart dari Pei-Genesis.</t>
        </is>
      </c>
      <c r="E699" s="396" t="n"/>
      <c r="F699" s="385" t="n">
        <v>604000</v>
      </c>
      <c r="G699" s="382" t="inlineStr">
        <is>
          <t>IDR</t>
        </is>
      </c>
      <c r="H699" s="386" t="n">
        <v>1</v>
      </c>
      <c r="I699" s="388" t="n"/>
      <c r="J699" s="388" t="n"/>
      <c r="K699" s="388" t="n"/>
      <c r="L699" s="388" t="n"/>
      <c r="M699" s="388" t="n"/>
      <c r="N699" s="388" t="n"/>
      <c r="O699" s="388" t="n"/>
      <c r="P699" s="387" t="n">
        <v>604000</v>
      </c>
      <c r="Q699" s="388" t="n"/>
      <c r="R699" s="365" t="n"/>
      <c r="S699" s="365" t="n"/>
      <c r="T699" s="365" t="n"/>
      <c r="U699" s="365" t="n"/>
      <c r="V699" s="365" t="n"/>
      <c r="W699" s="365" t="n"/>
      <c r="X699" s="365" t="n"/>
    </row>
    <row r="700" hidden="1" ht="15.5" customHeight="1" s="297">
      <c r="A700" s="346" t="n"/>
      <c r="B700" s="333" t="n"/>
      <c r="C700" s="314" t="n"/>
      <c r="D700" s="378" t="n"/>
      <c r="E700" s="378" t="n"/>
      <c r="F700" s="334" t="n"/>
      <c r="G700" s="314" t="n"/>
      <c r="H700" s="345" t="n"/>
      <c r="I700" s="321" t="n"/>
      <c r="J700" s="321" t="n"/>
      <c r="K700" s="321" t="n"/>
      <c r="L700" s="321" t="n"/>
      <c r="M700" s="321" t="n"/>
      <c r="N700" s="321" t="n"/>
      <c r="O700" s="321" t="n"/>
      <c r="P700" s="329" t="n"/>
      <c r="Q700" s="321" t="n"/>
      <c r="R700" s="322" t="n"/>
      <c r="S700" s="322" t="n"/>
      <c r="T700" s="322" t="n"/>
      <c r="U700" s="322" t="n"/>
      <c r="V700" s="322" t="n"/>
      <c r="W700" s="322" t="n"/>
      <c r="X700" s="322" t="n"/>
    </row>
    <row r="701" hidden="1" ht="15.5" customHeight="1" s="297">
      <c r="A701" s="346" t="n"/>
      <c r="B701" s="333" t="n"/>
      <c r="C701" s="314" t="n"/>
      <c r="D701" s="378" t="n"/>
      <c r="E701" s="378" t="n"/>
      <c r="F701" s="334" t="n"/>
      <c r="G701" s="314" t="n"/>
      <c r="H701" s="345" t="n"/>
      <c r="I701" s="321" t="n"/>
      <c r="J701" s="321" t="n"/>
      <c r="K701" s="321" t="n"/>
      <c r="L701" s="321" t="n"/>
      <c r="M701" s="321" t="n"/>
      <c r="N701" s="321" t="n"/>
      <c r="O701" s="321" t="n"/>
      <c r="P701" s="329" t="n"/>
      <c r="Q701" s="321" t="n"/>
      <c r="R701" s="322" t="n"/>
      <c r="S701" s="322" t="n"/>
      <c r="T701" s="322" t="n"/>
      <c r="U701" s="322" t="n"/>
      <c r="V701" s="322" t="n"/>
      <c r="W701" s="322" t="n"/>
      <c r="X701" s="322" t="n"/>
    </row>
    <row r="702" hidden="1" ht="15.5" customHeight="1" s="297">
      <c r="A702" s="346" t="n"/>
      <c r="B702" s="333" t="n"/>
      <c r="C702" s="314" t="n"/>
      <c r="D702" s="378" t="n"/>
      <c r="E702" s="378" t="n"/>
      <c r="F702" s="334" t="n"/>
      <c r="G702" s="314" t="n"/>
      <c r="H702" s="345" t="n"/>
      <c r="I702" s="321" t="n"/>
      <c r="J702" s="321" t="n"/>
      <c r="K702" s="321" t="n"/>
      <c r="L702" s="321" t="n"/>
      <c r="M702" s="321" t="n"/>
      <c r="N702" s="321" t="n"/>
      <c r="O702" s="321" t="n"/>
      <c r="P702" s="329" t="n"/>
      <c r="Q702" s="321" t="n"/>
      <c r="R702" s="322" t="n"/>
      <c r="S702" s="322" t="n"/>
      <c r="T702" s="322" t="n"/>
      <c r="U702" s="322" t="n"/>
      <c r="V702" s="322" t="n"/>
      <c r="W702" s="322" t="n"/>
      <c r="X702" s="322" t="n"/>
    </row>
    <row r="703" hidden="1" ht="15.5" customHeight="1" s="297">
      <c r="A703" s="346" t="n"/>
      <c r="B703" s="333" t="n"/>
      <c r="C703" s="314" t="n"/>
      <c r="D703" s="378" t="n"/>
      <c r="E703" s="378" t="n"/>
      <c r="F703" s="334" t="n"/>
      <c r="G703" s="314" t="n"/>
      <c r="H703" s="345" t="n"/>
      <c r="I703" s="321" t="n"/>
      <c r="J703" s="321" t="n"/>
      <c r="K703" s="321" t="n"/>
      <c r="L703" s="321" t="n"/>
      <c r="M703" s="321" t="n"/>
      <c r="N703" s="321" t="n"/>
      <c r="O703" s="321" t="n"/>
      <c r="P703" s="329" t="n"/>
      <c r="Q703" s="321" t="n"/>
      <c r="R703" s="322" t="n"/>
      <c r="S703" s="322" t="n"/>
      <c r="T703" s="322" t="n"/>
      <c r="U703" s="322" t="n"/>
      <c r="V703" s="322" t="n"/>
      <c r="W703" s="322" t="n"/>
      <c r="X703" s="322" t="n"/>
    </row>
    <row r="704" hidden="1" ht="15.5" customHeight="1" s="297">
      <c r="A704" s="346" t="n"/>
      <c r="B704" s="333" t="n"/>
      <c r="C704" s="314" t="n"/>
      <c r="D704" s="378" t="n"/>
      <c r="E704" s="378" t="n"/>
      <c r="F704" s="334" t="n"/>
      <c r="G704" s="314" t="n"/>
      <c r="H704" s="345" t="n"/>
      <c r="I704" s="321" t="n"/>
      <c r="J704" s="321" t="n"/>
      <c r="K704" s="321" t="n"/>
      <c r="L704" s="321" t="n"/>
      <c r="M704" s="321" t="n"/>
      <c r="N704" s="321" t="n"/>
      <c r="O704" s="321" t="n"/>
      <c r="P704" s="329" t="n"/>
      <c r="Q704" s="321" t="n"/>
      <c r="R704" s="322" t="n"/>
      <c r="S704" s="322" t="n"/>
      <c r="T704" s="322" t="n"/>
      <c r="U704" s="322" t="n"/>
      <c r="V704" s="322" t="n"/>
      <c r="W704" s="322" t="n"/>
      <c r="X704" s="322" t="n"/>
    </row>
    <row r="705" hidden="1" ht="15.5" customHeight="1" s="297">
      <c r="A705" s="346" t="n"/>
      <c r="B705" s="333" t="n"/>
      <c r="C705" s="314" t="n"/>
      <c r="D705" s="378" t="n"/>
      <c r="E705" s="378" t="n"/>
      <c r="F705" s="334" t="n"/>
      <c r="G705" s="314" t="n"/>
      <c r="H705" s="345" t="n"/>
      <c r="I705" s="321" t="n"/>
      <c r="J705" s="321" t="n"/>
      <c r="K705" s="321" t="n"/>
      <c r="L705" s="321" t="n"/>
      <c r="M705" s="321" t="n"/>
      <c r="N705" s="321" t="n"/>
      <c r="O705" s="321" t="n"/>
      <c r="P705" s="329" t="n"/>
      <c r="Q705" s="321" t="n"/>
      <c r="R705" s="322" t="n"/>
      <c r="S705" s="322" t="n"/>
      <c r="T705" s="322" t="n"/>
      <c r="U705" s="322" t="n"/>
      <c r="V705" s="322" t="n"/>
      <c r="W705" s="322" t="n"/>
      <c r="X705" s="322" t="n"/>
    </row>
    <row r="706" hidden="1" ht="15.5" customHeight="1" s="297">
      <c r="A706" s="346" t="n"/>
      <c r="B706" s="333" t="n"/>
      <c r="C706" s="314" t="n"/>
      <c r="D706" s="378" t="n"/>
      <c r="E706" s="378" t="n"/>
      <c r="F706" s="334" t="n"/>
      <c r="G706" s="314" t="n"/>
      <c r="H706" s="345" t="n"/>
      <c r="I706" s="321" t="n"/>
      <c r="J706" s="321" t="n"/>
      <c r="K706" s="321" t="n"/>
      <c r="L706" s="321" t="n"/>
      <c r="M706" s="321" t="n"/>
      <c r="N706" s="321" t="n"/>
      <c r="O706" s="321" t="n"/>
      <c r="P706" s="329" t="n"/>
      <c r="Q706" s="321" t="n"/>
      <c r="R706" s="322" t="n"/>
      <c r="S706" s="322" t="n"/>
      <c r="T706" s="322" t="n"/>
      <c r="U706" s="322" t="n"/>
      <c r="V706" s="322" t="n"/>
      <c r="W706" s="322" t="n"/>
      <c r="X706" s="322" t="n"/>
    </row>
    <row r="707" hidden="1" ht="15.5" customHeight="1" s="297">
      <c r="A707" s="346" t="n"/>
      <c r="B707" s="333" t="n"/>
      <c r="C707" s="314" t="n"/>
      <c r="D707" s="378" t="n"/>
      <c r="E707" s="378" t="n"/>
      <c r="F707" s="334" t="n"/>
      <c r="G707" s="314" t="n"/>
      <c r="H707" s="345" t="n"/>
      <c r="I707" s="321" t="n"/>
      <c r="J707" s="329" t="n"/>
      <c r="K707" s="321" t="n"/>
      <c r="L707" s="321" t="n"/>
      <c r="M707" s="321" t="n"/>
      <c r="N707" s="321" t="n"/>
      <c r="O707" s="321" t="n"/>
      <c r="P707" s="321" t="n"/>
      <c r="Q707" s="321" t="n"/>
      <c r="R707" s="322" t="n"/>
      <c r="S707" s="322" t="n"/>
      <c r="T707" s="322" t="n"/>
      <c r="U707" s="322" t="n"/>
      <c r="V707" s="322" t="n"/>
      <c r="W707" s="322" t="n"/>
      <c r="X707" s="322" t="n"/>
    </row>
    <row r="708" hidden="1" ht="15.5" customHeight="1" s="297">
      <c r="A708" s="346" t="n"/>
      <c r="B708" s="333" t="n"/>
      <c r="C708" s="314" t="n"/>
      <c r="D708" s="378" t="n"/>
      <c r="E708" s="378" t="n"/>
      <c r="F708" s="334" t="n"/>
      <c r="G708" s="314" t="n"/>
      <c r="H708" s="345" t="n"/>
      <c r="I708" s="321" t="n"/>
      <c r="J708" s="329" t="n"/>
      <c r="K708" s="321" t="n"/>
      <c r="L708" s="321" t="n"/>
      <c r="M708" s="321" t="n"/>
      <c r="N708" s="321" t="n"/>
      <c r="O708" s="321" t="n"/>
      <c r="P708" s="321" t="n"/>
      <c r="Q708" s="321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A709" s="346" t="n"/>
      <c r="B709" s="333" t="n"/>
      <c r="C709" s="314" t="n"/>
      <c r="D709" s="378" t="n"/>
      <c r="E709" s="378" t="n"/>
      <c r="F709" s="334" t="n"/>
      <c r="G709" s="314" t="n"/>
      <c r="H709" s="345" t="n"/>
      <c r="I709" s="321" t="n"/>
      <c r="J709" s="329" t="n"/>
      <c r="K709" s="321" t="n"/>
      <c r="L709" s="321" t="n"/>
      <c r="M709" s="321" t="n"/>
      <c r="N709" s="321" t="n"/>
      <c r="O709" s="321" t="n"/>
      <c r="P709" s="321" t="n"/>
      <c r="Q709" s="321" t="n"/>
      <c r="R709" s="322" t="n"/>
      <c r="S709" s="322" t="n"/>
      <c r="T709" s="322" t="n"/>
      <c r="U709" s="322" t="n"/>
      <c r="V709" s="322" t="n"/>
      <c r="W709" s="322" t="n"/>
      <c r="X709" s="322" t="n"/>
    </row>
    <row r="710" ht="15.5" customHeight="1" s="297">
      <c r="A710" s="346" t="n"/>
      <c r="B710" s="381" t="n">
        <v>45650</v>
      </c>
      <c r="C710" s="382" t="n">
        <v>1</v>
      </c>
      <c r="D710" s="383" t="inlineStr">
        <is>
          <t>General Operation_Year 2024 - AM</t>
        </is>
      </c>
      <c r="E710" s="396" t="n"/>
      <c r="F710" s="385" t="n">
        <v>4913283</v>
      </c>
      <c r="G710" s="382" t="inlineStr">
        <is>
          <t>IDR</t>
        </is>
      </c>
      <c r="H710" s="386" t="n">
        <v>1</v>
      </c>
      <c r="I710" s="388" t="n"/>
      <c r="J710" s="387" t="n"/>
      <c r="K710" s="388" t="n"/>
      <c r="L710" s="388" t="n"/>
      <c r="M710" s="387" t="n">
        <v>4913283</v>
      </c>
      <c r="N710" s="388" t="n"/>
      <c r="O710" s="388" t="n"/>
      <c r="P710" s="388" t="n"/>
      <c r="Q710" s="388" t="n"/>
      <c r="R710" s="365" t="n"/>
      <c r="S710" s="365" t="n"/>
      <c r="T710" s="365" t="n"/>
      <c r="U710" s="365" t="n"/>
      <c r="V710" s="365" t="n"/>
      <c r="W710" s="365" t="n"/>
      <c r="X710" s="365" t="n"/>
    </row>
    <row r="711" hidden="1" ht="15.5" customHeight="1" s="297">
      <c r="A711" s="346" t="n"/>
      <c r="B711" s="333" t="n"/>
      <c r="C711" s="314" t="n"/>
      <c r="D711" s="378" t="n"/>
      <c r="E711" s="378" t="n"/>
      <c r="F711" s="334" t="n"/>
      <c r="G711" s="314" t="n"/>
      <c r="H711" s="345" t="n"/>
      <c r="I711" s="321" t="n"/>
      <c r="J711" s="329" t="n"/>
      <c r="K711" s="321" t="n"/>
      <c r="L711" s="321" t="n"/>
      <c r="M711" s="321" t="n"/>
      <c r="N711" s="321" t="n"/>
      <c r="O711" s="321" t="n"/>
      <c r="P711" s="321" t="n"/>
      <c r="Q711" s="321" t="n"/>
      <c r="R711" s="322" t="n"/>
      <c r="S711" s="322" t="n"/>
      <c r="T711" s="322" t="n"/>
      <c r="U711" s="322" t="n"/>
      <c r="V711" s="322" t="n"/>
      <c r="W711" s="322" t="n"/>
      <c r="X711" s="322" t="n"/>
    </row>
    <row r="712" hidden="1" ht="15.5" customHeight="1" s="297">
      <c r="A712" s="346" t="n"/>
      <c r="B712" s="333" t="n"/>
      <c r="C712" s="314" t="n"/>
      <c r="D712" s="378" t="n"/>
      <c r="E712" s="378" t="n"/>
      <c r="F712" s="334" t="n"/>
      <c r="G712" s="314" t="n"/>
      <c r="H712" s="345" t="n"/>
      <c r="I712" s="321" t="n"/>
      <c r="J712" s="329" t="n"/>
      <c r="K712" s="321" t="n"/>
      <c r="L712" s="321" t="n"/>
      <c r="M712" s="321" t="n"/>
      <c r="N712" s="321" t="n"/>
      <c r="O712" s="321" t="n"/>
      <c r="P712" s="321" t="n"/>
      <c r="Q712" s="321" t="n"/>
      <c r="R712" s="322" t="n"/>
      <c r="S712" s="322" t="n"/>
      <c r="T712" s="322" t="n"/>
      <c r="U712" s="322" t="n"/>
      <c r="V712" s="322" t="n"/>
      <c r="W712" s="322" t="n"/>
      <c r="X712" s="322" t="n"/>
    </row>
    <row r="713" hidden="1" ht="15.5" customHeight="1" s="297">
      <c r="A713" s="346" t="n"/>
      <c r="B713" s="333" t="n"/>
      <c r="C713" s="314" t="n"/>
      <c r="D713" s="378" t="n"/>
      <c r="E713" s="378" t="n"/>
      <c r="F713" s="334" t="n"/>
      <c r="G713" s="314" t="n"/>
      <c r="H713" s="345" t="n"/>
      <c r="I713" s="321" t="n"/>
      <c r="J713" s="329" t="n"/>
      <c r="K713" s="321" t="n"/>
      <c r="L713" s="321" t="n"/>
      <c r="M713" s="321" t="n"/>
      <c r="N713" s="321" t="n"/>
      <c r="O713" s="321" t="n"/>
      <c r="P713" s="321" t="n"/>
      <c r="Q713" s="321" t="n"/>
      <c r="R713" s="322" t="n"/>
      <c r="S713" s="322" t="n"/>
      <c r="T713" s="322" t="n"/>
      <c r="U713" s="322" t="n"/>
      <c r="V713" s="322" t="n"/>
      <c r="W713" s="322" t="n"/>
      <c r="X713" s="322" t="n"/>
    </row>
    <row r="714" hidden="1" ht="15.5" customHeight="1" s="297">
      <c r="A714" s="346" t="n"/>
      <c r="B714" s="333" t="n"/>
      <c r="C714" s="314" t="n"/>
      <c r="D714" s="378" t="n"/>
      <c r="E714" s="378" t="n"/>
      <c r="F714" s="334" t="n"/>
      <c r="G714" s="314" t="n"/>
      <c r="H714" s="345" t="n"/>
      <c r="I714" s="321" t="n"/>
      <c r="J714" s="329" t="n"/>
      <c r="K714" s="321" t="n"/>
      <c r="L714" s="321" t="n"/>
      <c r="M714" s="321" t="n"/>
      <c r="N714" s="321" t="n"/>
      <c r="O714" s="321" t="n"/>
      <c r="P714" s="321" t="n"/>
      <c r="Q714" s="321" t="n"/>
      <c r="R714" s="322" t="n"/>
      <c r="S714" s="322" t="n"/>
      <c r="T714" s="322" t="n"/>
      <c r="U714" s="322" t="n"/>
      <c r="V714" s="322" t="n"/>
      <c r="W714" s="322" t="n"/>
      <c r="X714" s="322" t="n"/>
    </row>
    <row r="715" hidden="1" ht="15.5" customHeight="1" s="297">
      <c r="A715" s="346" t="n"/>
      <c r="B715" s="333" t="n"/>
      <c r="C715" s="314" t="n"/>
      <c r="D715" s="378" t="n"/>
      <c r="E715" s="378" t="n"/>
      <c r="F715" s="334" t="n"/>
      <c r="G715" s="314" t="n"/>
      <c r="H715" s="345" t="n"/>
      <c r="I715" s="321" t="n"/>
      <c r="J715" s="329" t="n"/>
      <c r="K715" s="321" t="n"/>
      <c r="L715" s="321" t="n"/>
      <c r="M715" s="321" t="n"/>
      <c r="N715" s="321" t="n"/>
      <c r="O715" s="321" t="n"/>
      <c r="P715" s="321" t="n"/>
      <c r="Q715" s="321" t="n"/>
      <c r="R715" s="322" t="n"/>
      <c r="S715" s="322" t="n"/>
      <c r="T715" s="322" t="n"/>
      <c r="U715" s="322" t="n"/>
      <c r="V715" s="322" t="n"/>
      <c r="W715" s="322" t="n"/>
      <c r="X715" s="322" t="n"/>
    </row>
    <row r="716" hidden="1" ht="15.5" customHeight="1" s="297">
      <c r="A716" s="346" t="n"/>
      <c r="B716" s="333" t="n"/>
      <c r="C716" s="314" t="n"/>
      <c r="D716" s="378" t="n"/>
      <c r="E716" s="378" t="n"/>
      <c r="F716" s="334" t="n"/>
      <c r="G716" s="314" t="n"/>
      <c r="H716" s="345" t="n"/>
      <c r="I716" s="321" t="n"/>
      <c r="J716" s="329" t="n"/>
      <c r="K716" s="321" t="n"/>
      <c r="L716" s="321" t="n"/>
      <c r="M716" s="321" t="n"/>
      <c r="N716" s="321" t="n"/>
      <c r="O716" s="321" t="n"/>
      <c r="P716" s="321" t="n"/>
      <c r="Q716" s="321" t="n"/>
      <c r="R716" s="322" t="n"/>
      <c r="S716" s="322" t="n"/>
      <c r="T716" s="322" t="n"/>
      <c r="U716" s="322" t="n"/>
      <c r="V716" s="322" t="n"/>
      <c r="W716" s="322" t="n"/>
      <c r="X716" s="322" t="n"/>
    </row>
    <row r="717" hidden="1" ht="15.5" customHeight="1" s="297">
      <c r="A717" s="346" t="n"/>
      <c r="B717" s="333" t="n"/>
      <c r="C717" s="314" t="n"/>
      <c r="D717" s="378" t="n"/>
      <c r="E717" s="378" t="n"/>
      <c r="F717" s="334" t="n"/>
      <c r="G717" s="314" t="n"/>
      <c r="H717" s="345" t="n"/>
      <c r="I717" s="321" t="n"/>
      <c r="J717" s="329" t="n"/>
      <c r="K717" s="321" t="n"/>
      <c r="L717" s="321" t="n"/>
      <c r="M717" s="321" t="n"/>
      <c r="N717" s="321" t="n"/>
      <c r="O717" s="321" t="n"/>
      <c r="P717" s="321" t="n"/>
      <c r="Q717" s="321" t="n"/>
      <c r="R717" s="322" t="n"/>
      <c r="S717" s="322" t="n"/>
      <c r="T717" s="322" t="n"/>
      <c r="U717" s="322" t="n"/>
      <c r="V717" s="322" t="n"/>
      <c r="W717" s="322" t="n"/>
      <c r="X717" s="322" t="n"/>
    </row>
    <row r="718" hidden="1" ht="15.5" customHeight="1" s="297">
      <c r="A718" s="346" t="n"/>
      <c r="B718" s="333" t="n"/>
      <c r="C718" s="314" t="n"/>
      <c r="D718" s="378" t="n"/>
      <c r="E718" s="378" t="n"/>
      <c r="F718" s="334" t="n"/>
      <c r="G718" s="314" t="n"/>
      <c r="H718" s="345" t="n"/>
      <c r="I718" s="321" t="n"/>
      <c r="J718" s="329" t="n"/>
      <c r="K718" s="321" t="n"/>
      <c r="L718" s="321" t="n"/>
      <c r="M718" s="321" t="n"/>
      <c r="N718" s="321" t="n"/>
      <c r="O718" s="321" t="n"/>
      <c r="P718" s="321" t="n"/>
      <c r="Q718" s="321" t="n"/>
      <c r="R718" s="322" t="n"/>
      <c r="S718" s="322" t="n"/>
      <c r="T718" s="322" t="n"/>
      <c r="U718" s="322" t="n"/>
      <c r="V718" s="322" t="n"/>
      <c r="W718" s="322" t="n"/>
      <c r="X718" s="322" t="n"/>
    </row>
    <row r="719" hidden="1" ht="15.5" customHeight="1" s="297">
      <c r="B719" s="374" t="n"/>
      <c r="C719" s="367" t="n"/>
      <c r="D719" s="375" t="n"/>
      <c r="E719" s="375" t="n"/>
      <c r="F719" s="369" t="n"/>
      <c r="G719" s="367" t="n"/>
      <c r="H719" s="398" t="n"/>
      <c r="I719" s="370" t="n"/>
      <c r="J719" s="371" t="n"/>
      <c r="K719" s="371" t="n"/>
      <c r="L719" s="371" t="n"/>
      <c r="M719" s="371" t="n"/>
      <c r="N719" s="371" t="n"/>
      <c r="O719" s="371" t="n"/>
      <c r="P719" s="371" t="n"/>
      <c r="Q719" s="371" t="n"/>
      <c r="R719" s="372" t="n"/>
      <c r="S719" s="372" t="n"/>
      <c r="T719" s="372" t="n"/>
      <c r="U719" s="372" t="n"/>
      <c r="V719" s="372" t="n"/>
      <c r="W719" s="372" t="n"/>
      <c r="X719" s="372" t="n"/>
    </row>
    <row r="720" hidden="1" ht="15.5" customHeight="1" s="297">
      <c r="B720" s="389" t="n"/>
      <c r="C720" s="390" t="n"/>
      <c r="D720" s="391" t="n"/>
      <c r="E720" s="391" t="n"/>
      <c r="F720" s="392" t="n"/>
      <c r="G720" s="393" t="n"/>
      <c r="H720" s="393" t="n"/>
      <c r="I720" s="389" t="n"/>
      <c r="J720" s="389" t="n"/>
      <c r="K720" s="389" t="n"/>
      <c r="L720" s="389" t="n"/>
      <c r="M720" s="394" t="n"/>
      <c r="N720" s="389" t="n"/>
      <c r="O720" s="389" t="n"/>
      <c r="P720" s="389" t="n"/>
      <c r="Q720" s="389" t="n"/>
      <c r="R720" s="372" t="n"/>
      <c r="S720" s="372" t="n"/>
      <c r="T720" s="372" t="n"/>
      <c r="U720" s="372" t="n"/>
      <c r="V720" s="372" t="n"/>
      <c r="W720" s="372" t="n"/>
      <c r="X720" s="372" t="n"/>
    </row>
    <row r="721" ht="15.5" customHeight="1" s="297">
      <c r="B721" s="313" t="n"/>
      <c r="C721" s="314" t="n"/>
      <c r="D721" s="315" t="inlineStr">
        <is>
          <t>IT Services</t>
        </is>
      </c>
      <c r="E721" s="377" t="n"/>
      <c r="F721" s="332" t="n"/>
      <c r="G721" s="314" t="n"/>
      <c r="H721" s="314" t="n"/>
      <c r="I721" s="321" t="n"/>
      <c r="J721" s="321" t="n"/>
      <c r="K721" s="321" t="n"/>
      <c r="L721" s="321" t="n"/>
      <c r="M721" s="320" t="n"/>
      <c r="N721" s="321" t="n"/>
      <c r="O721" s="321" t="n"/>
      <c r="P721" s="321" t="n"/>
      <c r="Q721" s="321" t="n"/>
      <c r="R721" s="322" t="n"/>
      <c r="S721" s="322" t="n"/>
      <c r="T721" s="322" t="n"/>
      <c r="U721" s="322" t="n"/>
      <c r="V721" s="322" t="n"/>
      <c r="W721" s="322" t="n"/>
      <c r="X721" s="322" t="n"/>
    </row>
    <row r="722" hidden="1" ht="15.5" customHeight="1" s="297">
      <c r="B722" s="404" t="n"/>
      <c r="C722" s="405" t="n"/>
      <c r="D722" s="413" t="n"/>
      <c r="E722" s="413" t="n"/>
      <c r="F722" s="407" t="n"/>
      <c r="G722" s="405" t="n"/>
      <c r="H722" s="405" t="n"/>
      <c r="I722" s="376" t="n"/>
      <c r="J722" s="371" t="n"/>
      <c r="K722" s="371" t="n"/>
      <c r="L722" s="371" t="n"/>
      <c r="M722" s="376" t="n"/>
      <c r="N722" s="376" t="n"/>
      <c r="O722" s="371" t="n"/>
      <c r="P722" s="371" t="n"/>
      <c r="Q722" s="371" t="n"/>
      <c r="R722" s="372" t="n"/>
      <c r="S722" s="372" t="n"/>
      <c r="T722" s="372" t="n"/>
      <c r="U722" s="372" t="n"/>
      <c r="V722" s="372" t="n"/>
      <c r="W722" s="372" t="n"/>
      <c r="X722" s="372" t="n"/>
    </row>
    <row r="723" ht="15.5" customHeight="1" s="297">
      <c r="B723" s="333" t="n"/>
      <c r="C723" s="314" t="n"/>
      <c r="D723" s="315" t="inlineStr">
        <is>
          <t>Training</t>
        </is>
      </c>
      <c r="E723" s="377" t="n"/>
      <c r="F723" s="332" t="n"/>
      <c r="G723" s="314" t="n"/>
      <c r="H723" s="314" t="n"/>
      <c r="I723" s="321" t="n"/>
      <c r="J723" s="321" t="n"/>
      <c r="K723" s="321" t="n"/>
      <c r="L723" s="321" t="n"/>
      <c r="M723" s="320" t="n"/>
      <c r="N723" s="321" t="n"/>
      <c r="O723" s="321" t="n"/>
      <c r="P723" s="321" t="n"/>
      <c r="Q723" s="321" t="n"/>
      <c r="R723" s="322" t="n"/>
      <c r="S723" s="322" t="n"/>
      <c r="T723" s="322" t="n"/>
      <c r="U723" s="322" t="n"/>
      <c r="V723" s="322" t="n"/>
      <c r="W723" s="322" t="n"/>
      <c r="X723" s="322" t="n"/>
    </row>
    <row r="724" hidden="1" ht="15.5" customHeight="1" s="297">
      <c r="B724" s="415" t="n"/>
      <c r="C724" s="405" t="n"/>
      <c r="D724" s="406" t="n"/>
      <c r="E724" s="406" t="n"/>
      <c r="F724" s="407" t="n"/>
      <c r="G724" s="405" t="n"/>
      <c r="H724" s="405" t="n"/>
      <c r="I724" s="376" t="n"/>
      <c r="J724" s="371" t="n"/>
      <c r="K724" s="371" t="n"/>
      <c r="L724" s="371" t="n"/>
      <c r="M724" s="376" t="n"/>
      <c r="N724" s="371" t="n"/>
      <c r="O724" s="371" t="n"/>
      <c r="P724" s="371" t="n"/>
      <c r="Q724" s="371" t="n"/>
      <c r="R724" s="372" t="n"/>
      <c r="S724" s="372" t="n"/>
      <c r="T724" s="372" t="n"/>
      <c r="U724" s="372" t="n"/>
      <c r="V724" s="372" t="n"/>
      <c r="W724" s="372" t="n"/>
      <c r="X724" s="372" t="n"/>
    </row>
    <row r="725" hidden="1" ht="15.5" customHeight="1" s="297">
      <c r="B725" s="415" t="n"/>
      <c r="C725" s="405" t="n"/>
      <c r="D725" s="406" t="n"/>
      <c r="E725" s="406" t="n"/>
      <c r="F725" s="407" t="n"/>
      <c r="G725" s="405" t="n"/>
      <c r="H725" s="405" t="n"/>
      <c r="I725" s="376" t="n"/>
      <c r="J725" s="371" t="n"/>
      <c r="K725" s="371" t="n"/>
      <c r="L725" s="371" t="n"/>
      <c r="M725" s="370" t="n"/>
      <c r="N725" s="371" t="n"/>
      <c r="O725" s="371" t="n"/>
      <c r="P725" s="371" t="n"/>
      <c r="Q725" s="371" t="n"/>
      <c r="R725" s="372" t="n"/>
      <c r="S725" s="372" t="n"/>
      <c r="T725" s="372" t="n"/>
      <c r="U725" s="372" t="n"/>
      <c r="V725" s="372" t="n"/>
      <c r="W725" s="372" t="n"/>
      <c r="X725" s="372" t="n"/>
    </row>
    <row r="726" hidden="1" ht="15.5" customHeight="1" s="297">
      <c r="B726" s="404" t="n"/>
      <c r="C726" s="405" t="n"/>
      <c r="D726" s="406" t="n"/>
      <c r="E726" s="406" t="n"/>
      <c r="F726" s="407" t="n"/>
      <c r="G726" s="405" t="n"/>
      <c r="H726" s="405" t="n"/>
      <c r="I726" s="376" t="n"/>
      <c r="J726" s="371" t="n"/>
      <c r="K726" s="371" t="n"/>
      <c r="L726" s="371" t="n"/>
      <c r="M726" s="376" t="n"/>
      <c r="N726" s="371" t="n"/>
      <c r="O726" s="371" t="n"/>
      <c r="P726" s="371" t="n"/>
      <c r="Q726" s="371" t="n"/>
      <c r="R726" s="372" t="n"/>
      <c r="S726" s="372" t="n"/>
      <c r="T726" s="372" t="n"/>
      <c r="U726" s="372" t="n"/>
      <c r="V726" s="372" t="n"/>
      <c r="W726" s="372" t="n"/>
      <c r="X726" s="372" t="n"/>
    </row>
    <row r="727" ht="15.5" customHeight="1" s="297">
      <c r="B727" s="333" t="n"/>
      <c r="C727" s="314" t="n"/>
      <c r="D727" s="330" t="inlineStr">
        <is>
          <t>Trip</t>
        </is>
      </c>
      <c r="E727" s="378" t="n"/>
      <c r="F727" s="332" t="n"/>
      <c r="G727" s="314" t="n"/>
      <c r="H727" s="314" t="n"/>
      <c r="I727" s="321" t="n"/>
      <c r="J727" s="321" t="n"/>
      <c r="K727" s="321" t="n"/>
      <c r="L727" s="321" t="n"/>
      <c r="M727" s="321" t="n"/>
      <c r="N727" s="321" t="n"/>
      <c r="O727" s="321" t="n"/>
      <c r="P727" s="321" t="n"/>
      <c r="Q727" s="321" t="n"/>
      <c r="R727" s="322" t="n"/>
      <c r="S727" s="322" t="n"/>
      <c r="T727" s="322" t="n"/>
      <c r="U727" s="322" t="n"/>
      <c r="V727" s="322" t="n"/>
      <c r="W727" s="322" t="n"/>
      <c r="X727" s="322" t="n"/>
    </row>
    <row r="728" hidden="1" ht="15.5" customHeight="1" s="297">
      <c r="B728" s="404" t="n"/>
      <c r="C728" s="405" t="n"/>
      <c r="D728" s="406" t="n"/>
      <c r="E728" s="406" t="n"/>
      <c r="F728" s="407" t="n"/>
      <c r="G728" s="405" t="n"/>
      <c r="H728" s="405" t="n"/>
      <c r="I728" s="370" t="n"/>
      <c r="J728" s="371" t="n"/>
      <c r="K728" s="371" t="n"/>
      <c r="L728" s="371" t="n"/>
      <c r="M728" s="371" t="n"/>
      <c r="N728" s="371" t="n"/>
      <c r="O728" s="371" t="n"/>
      <c r="P728" s="371" t="n"/>
      <c r="Q728" s="371" t="n"/>
      <c r="R728" s="372" t="n"/>
      <c r="S728" s="372" t="n"/>
      <c r="T728" s="372" t="n"/>
      <c r="U728" s="372" t="n"/>
      <c r="V728" s="372" t="n"/>
      <c r="W728" s="372" t="n"/>
      <c r="X728" s="372" t="n"/>
    </row>
    <row r="729" hidden="1" ht="15.5" customHeight="1" s="297">
      <c r="B729" s="404" t="n"/>
      <c r="C729" s="405" t="n"/>
      <c r="D729" s="406" t="n"/>
      <c r="E729" s="406" t="n"/>
      <c r="F729" s="407" t="n"/>
      <c r="G729" s="405" t="n"/>
      <c r="H729" s="405" t="n"/>
      <c r="I729" s="370" t="n"/>
      <c r="J729" s="370" t="n"/>
      <c r="K729" s="371" t="n"/>
      <c r="L729" s="376" t="n"/>
      <c r="M729" s="371" t="n"/>
      <c r="N729" s="371" t="n"/>
      <c r="O729" s="371" t="n"/>
      <c r="P729" s="371" t="n"/>
      <c r="Q729" s="371" t="n"/>
      <c r="R729" s="372" t="n"/>
      <c r="S729" s="372" t="n"/>
      <c r="T729" s="372" t="n"/>
      <c r="U729" s="372" t="n"/>
      <c r="V729" s="372" t="n"/>
      <c r="W729" s="372" t="n"/>
      <c r="X729" s="372" t="n"/>
    </row>
    <row r="730" hidden="1" ht="15.5" customHeight="1" s="297">
      <c r="B730" s="404" t="n"/>
      <c r="C730" s="405" t="n"/>
      <c r="D730" s="431" t="n"/>
      <c r="E730" s="431" t="n"/>
      <c r="F730" s="407" t="n"/>
      <c r="G730" s="405" t="n"/>
      <c r="H730" s="405" t="n"/>
      <c r="I730" s="371" t="n"/>
      <c r="J730" s="371" t="n"/>
      <c r="K730" s="371" t="n"/>
      <c r="L730" s="371" t="n"/>
      <c r="M730" s="371" t="n"/>
      <c r="N730" s="371" t="n"/>
      <c r="O730" s="371" t="n"/>
      <c r="P730" s="371" t="n"/>
      <c r="Q730" s="371" t="n"/>
      <c r="R730" s="372" t="n"/>
      <c r="S730" s="372" t="n"/>
      <c r="T730" s="372" t="n"/>
      <c r="U730" s="372" t="n"/>
      <c r="V730" s="372" t="n"/>
      <c r="W730" s="372" t="n"/>
      <c r="X730" s="372" t="n"/>
    </row>
    <row r="731" hidden="1" ht="15.5" customHeight="1" s="297">
      <c r="B731" s="404" t="n"/>
      <c r="C731" s="405" t="n"/>
      <c r="D731" s="406" t="n"/>
      <c r="E731" s="406" t="n"/>
      <c r="F731" s="407" t="n"/>
      <c r="G731" s="405" t="n"/>
      <c r="H731" s="405" t="n"/>
      <c r="I731" s="370" t="n"/>
      <c r="J731" s="371" t="n"/>
      <c r="K731" s="371" t="n"/>
      <c r="L731" s="371" t="n"/>
      <c r="M731" s="371" t="n"/>
      <c r="N731" s="371" t="n"/>
      <c r="O731" s="371" t="n"/>
      <c r="P731" s="371" t="n"/>
      <c r="Q731" s="371" t="n"/>
      <c r="R731" s="372" t="n"/>
      <c r="S731" s="372" t="n"/>
      <c r="T731" s="372" t="n"/>
      <c r="U731" s="372" t="n"/>
      <c r="V731" s="372" t="n"/>
      <c r="W731" s="372" t="n"/>
      <c r="X731" s="372" t="n"/>
    </row>
    <row r="732" hidden="1" ht="15.5" customHeight="1" s="297">
      <c r="B732" s="404" t="n"/>
      <c r="C732" s="405" t="n"/>
      <c r="D732" s="431" t="n"/>
      <c r="E732" s="431" t="n"/>
      <c r="F732" s="407" t="n"/>
      <c r="G732" s="405" t="n"/>
      <c r="H732" s="405" t="n"/>
      <c r="I732" s="371" t="n"/>
      <c r="J732" s="371" t="n"/>
      <c r="K732" s="371" t="n"/>
      <c r="L732" s="371" t="n"/>
      <c r="M732" s="371" t="n"/>
      <c r="N732" s="371" t="n"/>
      <c r="O732" s="371" t="n"/>
      <c r="P732" s="371" t="n"/>
      <c r="Q732" s="371" t="n"/>
      <c r="R732" s="372" t="n"/>
      <c r="S732" s="372" t="n"/>
      <c r="T732" s="372" t="n"/>
      <c r="U732" s="372" t="n"/>
      <c r="V732" s="372" t="n"/>
      <c r="W732" s="372" t="n"/>
      <c r="X732" s="372" t="n"/>
    </row>
    <row r="733" hidden="1" ht="15.5" customHeight="1" s="297">
      <c r="B733" s="404" t="n"/>
      <c r="C733" s="405" t="n"/>
      <c r="D733" s="406" t="n"/>
      <c r="E733" s="406" t="n"/>
      <c r="F733" s="407" t="n"/>
      <c r="G733" s="405" t="n"/>
      <c r="H733" s="405" t="n"/>
      <c r="I733" s="370" t="n"/>
      <c r="J733" s="371" t="n"/>
      <c r="K733" s="371" t="n"/>
      <c r="L733" s="371" t="n"/>
      <c r="M733" s="371" t="n"/>
      <c r="N733" s="371" t="n"/>
      <c r="O733" s="371" t="n"/>
      <c r="P733" s="371" t="n"/>
      <c r="Q733" s="371" t="n"/>
      <c r="R733" s="372" t="n"/>
      <c r="S733" s="372" t="n"/>
      <c r="T733" s="372" t="n"/>
      <c r="U733" s="372" t="n"/>
      <c r="V733" s="372" t="n"/>
      <c r="W733" s="372" t="n"/>
      <c r="X733" s="372" t="n"/>
    </row>
    <row r="734" hidden="1" ht="15.5" customHeight="1" s="297">
      <c r="B734" s="404" t="n"/>
      <c r="C734" s="405" t="n"/>
      <c r="D734" s="431" t="n"/>
      <c r="E734" s="431" t="n"/>
      <c r="F734" s="407" t="n"/>
      <c r="G734" s="405" t="n"/>
      <c r="H734" s="405" t="n"/>
      <c r="I734" s="371" t="n"/>
      <c r="J734" s="371" t="n"/>
      <c r="K734" s="371" t="n"/>
      <c r="L734" s="371" t="n"/>
      <c r="M734" s="371" t="n"/>
      <c r="N734" s="371" t="n"/>
      <c r="O734" s="371" t="n"/>
      <c r="P734" s="371" t="n"/>
      <c r="Q734" s="371" t="n"/>
      <c r="R734" s="372" t="n"/>
      <c r="S734" s="372" t="n"/>
      <c r="T734" s="372" t="n"/>
      <c r="U734" s="372" t="n"/>
      <c r="V734" s="372" t="n"/>
      <c r="W734" s="372" t="n"/>
      <c r="X734" s="372" t="n"/>
    </row>
    <row r="735" hidden="1" ht="15.5" customHeight="1" s="297">
      <c r="B735" s="404" t="n"/>
      <c r="C735" s="405" t="n"/>
      <c r="D735" s="424" t="n"/>
      <c r="E735" s="424" t="n"/>
      <c r="F735" s="407" t="n"/>
      <c r="G735" s="405" t="n"/>
      <c r="H735" s="405" t="n"/>
      <c r="I735" s="370" t="n"/>
      <c r="J735" s="371" t="n"/>
      <c r="K735" s="371" t="n"/>
      <c r="L735" s="371" t="n"/>
      <c r="M735" s="371" t="n"/>
      <c r="N735" s="371" t="n"/>
      <c r="O735" s="371" t="n"/>
      <c r="P735" s="371" t="n"/>
      <c r="Q735" s="371" t="n"/>
      <c r="R735" s="372" t="n"/>
      <c r="S735" s="372" t="n"/>
      <c r="T735" s="372" t="n"/>
      <c r="U735" s="372" t="n"/>
      <c r="V735" s="372" t="n"/>
      <c r="W735" s="372" t="n"/>
      <c r="X735" s="372" t="n"/>
    </row>
    <row r="736" hidden="1" ht="15.5" customHeight="1" s="297">
      <c r="B736" s="389" t="n"/>
      <c r="C736" s="390" t="n"/>
      <c r="D736" s="391" t="n"/>
      <c r="E736" s="391" t="n"/>
      <c r="F736" s="392" t="n"/>
      <c r="G736" s="393" t="n"/>
      <c r="H736" s="393" t="n"/>
      <c r="I736" s="389" t="n"/>
      <c r="J736" s="389" t="n"/>
      <c r="K736" s="389" t="n"/>
      <c r="L736" s="389" t="n"/>
      <c r="M736" s="394" t="n"/>
      <c r="N736" s="389" t="n"/>
      <c r="O736" s="389" t="n"/>
      <c r="P736" s="389" t="n"/>
      <c r="Q736" s="389" t="n"/>
      <c r="R736" s="372" t="n"/>
      <c r="S736" s="372" t="n"/>
      <c r="T736" s="372" t="n"/>
      <c r="U736" s="372" t="n"/>
      <c r="V736" s="372" t="n"/>
      <c r="W736" s="372" t="n"/>
      <c r="X736" s="372" t="n"/>
    </row>
    <row r="737" hidden="1" ht="15.5" customHeight="1" s="297">
      <c r="B737" s="422" t="n"/>
      <c r="C737" s="405" t="n"/>
      <c r="D737" s="371" t="n"/>
      <c r="E737" s="371" t="n"/>
      <c r="F737" s="414" t="n"/>
      <c r="G737" s="405" t="n"/>
      <c r="H737" s="405" t="n"/>
      <c r="I737" s="371" t="n"/>
      <c r="J737" s="371" t="n"/>
      <c r="K737" s="371" t="n"/>
      <c r="L737" s="371" t="n"/>
      <c r="M737" s="376" t="n"/>
      <c r="N737" s="371" t="n"/>
      <c r="O737" s="371" t="n"/>
      <c r="P737" s="371" t="n"/>
      <c r="Q737" s="371" t="n"/>
      <c r="R737" s="372" t="n"/>
      <c r="S737" s="372" t="n"/>
      <c r="T737" s="372" t="n"/>
      <c r="U737" s="372" t="n"/>
      <c r="V737" s="372" t="n"/>
      <c r="W737" s="372" t="n"/>
      <c r="X737" s="372" t="n"/>
    </row>
    <row r="738" hidden="1" ht="15.5" customHeight="1" s="297">
      <c r="B738" s="422" t="n"/>
      <c r="C738" s="405" t="n"/>
      <c r="D738" s="413" t="n"/>
      <c r="E738" s="413" t="n"/>
      <c r="F738" s="414" t="n"/>
      <c r="G738" s="405" t="n"/>
      <c r="H738" s="405" t="n"/>
      <c r="I738" s="371" t="n"/>
      <c r="J738" s="371" t="n"/>
      <c r="K738" s="371" t="n"/>
      <c r="L738" s="371" t="n"/>
      <c r="M738" s="376" t="n"/>
      <c r="N738" s="371" t="n"/>
      <c r="O738" s="371" t="n"/>
      <c r="P738" s="370" t="n"/>
      <c r="Q738" s="371" t="n"/>
      <c r="R738" s="372" t="n"/>
      <c r="S738" s="372" t="n"/>
      <c r="T738" s="372" t="n"/>
      <c r="U738" s="372" t="n"/>
      <c r="V738" s="372" t="n"/>
      <c r="W738" s="372" t="n"/>
      <c r="X738" s="372" t="n"/>
    </row>
    <row r="739" hidden="1" ht="15.5" customHeight="1" s="297">
      <c r="B739" s="422" t="n"/>
      <c r="C739" s="405" t="n"/>
      <c r="D739" s="413" t="n"/>
      <c r="E739" s="413" t="n"/>
      <c r="F739" s="414" t="n"/>
      <c r="G739" s="405" t="n"/>
      <c r="H739" s="405" t="n"/>
      <c r="I739" s="371" t="n"/>
      <c r="J739" s="371" t="n"/>
      <c r="K739" s="371" t="n"/>
      <c r="L739" s="371" t="n"/>
      <c r="M739" s="370" t="n"/>
      <c r="N739" s="371" t="n"/>
      <c r="O739" s="371" t="n"/>
      <c r="P739" s="370" t="n"/>
      <c r="Q739" s="371" t="n"/>
      <c r="R739" s="372" t="n"/>
      <c r="S739" s="372" t="n"/>
      <c r="T739" s="372" t="n"/>
      <c r="U739" s="372" t="n"/>
      <c r="V739" s="372" t="n"/>
      <c r="W739" s="372" t="n"/>
      <c r="X739" s="372" t="n"/>
    </row>
    <row r="740" hidden="1" ht="15.5" customHeight="1" s="297">
      <c r="B740" s="422" t="n"/>
      <c r="C740" s="405" t="n"/>
      <c r="D740" s="413" t="n"/>
      <c r="E740" s="413" t="n"/>
      <c r="F740" s="414" t="n"/>
      <c r="G740" s="405" t="n"/>
      <c r="H740" s="405" t="n"/>
      <c r="I740" s="371" t="n"/>
      <c r="J740" s="371" t="n"/>
      <c r="K740" s="371" t="n"/>
      <c r="L740" s="371" t="n"/>
      <c r="M740" s="376" t="n"/>
      <c r="N740" s="371" t="n"/>
      <c r="O740" s="371" t="n"/>
      <c r="P740" s="370" t="n"/>
      <c r="Q740" s="371" t="n"/>
      <c r="R740" s="372" t="n"/>
      <c r="S740" s="372" t="n"/>
      <c r="T740" s="372" t="n"/>
      <c r="U740" s="372" t="n"/>
      <c r="V740" s="372" t="n"/>
      <c r="W740" s="372" t="n"/>
      <c r="X740" s="372" t="n"/>
    </row>
    <row r="741" hidden="1" ht="15.5" customHeight="1" s="297">
      <c r="B741" s="422" t="n"/>
      <c r="C741" s="405" t="n"/>
      <c r="D741" s="413" t="n"/>
      <c r="E741" s="413" t="n"/>
      <c r="F741" s="414" t="n"/>
      <c r="G741" s="405" t="n"/>
      <c r="H741" s="405" t="n"/>
      <c r="I741" s="371" t="n"/>
      <c r="J741" s="371" t="n"/>
      <c r="K741" s="371" t="n"/>
      <c r="L741" s="371" t="n"/>
      <c r="M741" s="376" t="n"/>
      <c r="N741" s="371" t="n"/>
      <c r="O741" s="371" t="n"/>
      <c r="P741" s="370" t="n"/>
      <c r="Q741" s="371" t="n"/>
      <c r="R741" s="372" t="n"/>
      <c r="S741" s="372" t="n"/>
      <c r="T741" s="372" t="n"/>
      <c r="U741" s="372" t="n"/>
      <c r="V741" s="372" t="n"/>
      <c r="W741" s="372" t="n"/>
      <c r="X741" s="372" t="n"/>
    </row>
    <row r="742" hidden="1" ht="15.5" customHeight="1" s="297">
      <c r="B742" s="422" t="n"/>
      <c r="C742" s="405" t="n"/>
      <c r="D742" s="413" t="n"/>
      <c r="E742" s="413" t="n"/>
      <c r="F742" s="414" t="n"/>
      <c r="G742" s="405" t="n"/>
      <c r="H742" s="405" t="n"/>
      <c r="I742" s="371" t="n"/>
      <c r="J742" s="371" t="n"/>
      <c r="K742" s="371" t="n"/>
      <c r="L742" s="371" t="n"/>
      <c r="M742" s="376" t="n"/>
      <c r="N742" s="371" t="n"/>
      <c r="O742" s="371" t="n"/>
      <c r="P742" s="370" t="n"/>
      <c r="Q742" s="371" t="n"/>
      <c r="R742" s="372" t="n"/>
      <c r="S742" s="372" t="n"/>
      <c r="T742" s="372" t="n"/>
      <c r="U742" s="372" t="n"/>
      <c r="V742" s="372" t="n"/>
      <c r="W742" s="372" t="n"/>
      <c r="X742" s="372" t="n"/>
    </row>
    <row r="743" hidden="1" ht="15.5" customHeight="1" s="297">
      <c r="B743" s="422" t="n"/>
      <c r="C743" s="405" t="n"/>
      <c r="D743" s="413" t="n"/>
      <c r="E743" s="413" t="n"/>
      <c r="F743" s="414" t="n"/>
      <c r="G743" s="405" t="n"/>
      <c r="H743" s="405" t="n"/>
      <c r="I743" s="371" t="n"/>
      <c r="J743" s="371" t="n"/>
      <c r="K743" s="371" t="n"/>
      <c r="L743" s="371" t="n"/>
      <c r="M743" s="370" t="n"/>
      <c r="N743" s="371" t="n"/>
      <c r="O743" s="371" t="n"/>
      <c r="P743" s="370" t="n"/>
      <c r="Q743" s="371" t="n"/>
      <c r="R743" s="372" t="n"/>
      <c r="S743" s="372" t="n"/>
      <c r="T743" s="372" t="n"/>
      <c r="U743" s="372" t="n"/>
      <c r="V743" s="372" t="n"/>
      <c r="W743" s="372" t="n"/>
      <c r="X743" s="372" t="n"/>
    </row>
    <row r="744" hidden="1" ht="15.5" customHeight="1" s="297">
      <c r="B744" s="422" t="n"/>
      <c r="C744" s="405" t="n"/>
      <c r="D744" s="413" t="n"/>
      <c r="E744" s="413" t="n"/>
      <c r="F744" s="414" t="n"/>
      <c r="G744" s="405" t="n"/>
      <c r="H744" s="405" t="n"/>
      <c r="I744" s="371" t="n"/>
      <c r="J744" s="371" t="n"/>
      <c r="K744" s="371" t="n"/>
      <c r="L744" s="371" t="n"/>
      <c r="M744" s="376" t="n"/>
      <c r="N744" s="371" t="n"/>
      <c r="O744" s="371" t="n"/>
      <c r="P744" s="370" t="n"/>
      <c r="Q744" s="371" t="n"/>
      <c r="R744" s="372" t="n"/>
      <c r="S744" s="372" t="n"/>
      <c r="T744" s="372" t="n"/>
      <c r="U744" s="372" t="n"/>
      <c r="V744" s="372" t="n"/>
      <c r="W744" s="372" t="n"/>
      <c r="X744" s="372" t="n"/>
    </row>
    <row r="745" hidden="1" ht="15.5" customHeight="1" s="297">
      <c r="B745" s="404" t="n"/>
      <c r="C745" s="405" t="n"/>
      <c r="D745" s="435" t="n"/>
      <c r="E745" s="435" t="n"/>
      <c r="F745" s="414" t="n"/>
      <c r="G745" s="405" t="n"/>
      <c r="H745" s="405" t="n"/>
      <c r="I745" s="371" t="n"/>
      <c r="J745" s="371" t="n"/>
      <c r="K745" s="371" t="n"/>
      <c r="L745" s="371" t="n"/>
      <c r="M745" s="371" t="n"/>
      <c r="N745" s="371" t="n"/>
      <c r="O745" s="371" t="n"/>
      <c r="P745" s="371" t="n"/>
      <c r="Q745" s="371" t="n"/>
      <c r="R745" s="372" t="n"/>
      <c r="S745" s="372" t="n"/>
      <c r="T745" s="372" t="n"/>
      <c r="U745" s="372" t="n"/>
      <c r="V745" s="372" t="n"/>
      <c r="W745" s="372" t="n"/>
      <c r="X745" s="372" t="n"/>
    </row>
    <row r="746" hidden="1" ht="15.5" customHeight="1" s="297">
      <c r="B746" s="404" t="n"/>
      <c r="C746" s="405" t="n"/>
      <c r="D746" s="406" t="n"/>
      <c r="E746" s="406" t="n"/>
      <c r="F746" s="414" t="n"/>
      <c r="G746" s="405" t="n"/>
      <c r="H746" s="405" t="n"/>
      <c r="I746" s="376" t="n"/>
      <c r="J746" s="371" t="n"/>
      <c r="K746" s="371" t="n"/>
      <c r="L746" s="371" t="n"/>
      <c r="M746" s="371" t="n"/>
      <c r="N746" s="371" t="n"/>
      <c r="O746" s="371" t="n"/>
      <c r="P746" s="371" t="n"/>
      <c r="Q746" s="371" t="n"/>
      <c r="R746" s="372" t="n"/>
      <c r="S746" s="372" t="n"/>
      <c r="T746" s="372" t="n"/>
      <c r="U746" s="372" t="n"/>
      <c r="V746" s="372" t="n"/>
      <c r="W746" s="372" t="n"/>
      <c r="X746" s="372" t="n"/>
    </row>
    <row r="747" hidden="1" ht="15.5" customHeight="1" s="297">
      <c r="B747" s="404" t="n"/>
      <c r="C747" s="405" t="n"/>
      <c r="D747" s="431" t="n"/>
      <c r="E747" s="431" t="n"/>
      <c r="F747" s="414" t="n"/>
      <c r="G747" s="405" t="n"/>
      <c r="H747" s="405" t="n"/>
      <c r="I747" s="371" t="n"/>
      <c r="J747" s="371" t="n"/>
      <c r="K747" s="371" t="n"/>
      <c r="L747" s="371" t="n"/>
      <c r="M747" s="371" t="n"/>
      <c r="N747" s="371" t="n"/>
      <c r="O747" s="371" t="n"/>
      <c r="P747" s="371" t="n"/>
      <c r="Q747" s="371" t="n"/>
      <c r="R747" s="372" t="n"/>
      <c r="S747" s="372" t="n"/>
      <c r="T747" s="372" t="n"/>
      <c r="U747" s="372" t="n"/>
      <c r="V747" s="372" t="n"/>
      <c r="W747" s="372" t="n"/>
      <c r="X747" s="372" t="n"/>
    </row>
    <row r="748" hidden="1" ht="15.5" customHeight="1" s="297">
      <c r="B748" s="422" t="n"/>
      <c r="C748" s="405" t="n"/>
      <c r="D748" s="406" t="n"/>
      <c r="E748" s="406" t="n"/>
      <c r="F748" s="414" t="n"/>
      <c r="G748" s="405" t="n"/>
      <c r="H748" s="405" t="n"/>
      <c r="I748" s="376" t="n"/>
      <c r="J748" s="371" t="n"/>
      <c r="K748" s="371" t="n"/>
      <c r="L748" s="371" t="n"/>
      <c r="M748" s="371" t="n"/>
      <c r="N748" s="371" t="n"/>
      <c r="O748" s="371" t="n"/>
      <c r="P748" s="371" t="n"/>
      <c r="Q748" s="371" t="n"/>
      <c r="R748" s="372" t="n"/>
      <c r="S748" s="372" t="n"/>
      <c r="T748" s="372" t="n"/>
      <c r="U748" s="372" t="n"/>
      <c r="V748" s="372" t="n"/>
      <c r="W748" s="372" t="n"/>
      <c r="X748" s="372" t="n"/>
    </row>
    <row r="749" hidden="1" ht="15.5" customHeight="1" s="297">
      <c r="B749" s="422" t="n"/>
      <c r="C749" s="405" t="n"/>
      <c r="D749" s="406" t="n"/>
      <c r="E749" s="406" t="n"/>
      <c r="F749" s="414" t="n"/>
      <c r="G749" s="405" t="n"/>
      <c r="H749" s="405" t="n"/>
      <c r="I749" s="376" t="n"/>
      <c r="J749" s="371" t="n"/>
      <c r="K749" s="371" t="n"/>
      <c r="L749" s="371" t="n"/>
      <c r="M749" s="371" t="n"/>
      <c r="N749" s="371" t="n"/>
      <c r="O749" s="371" t="n"/>
      <c r="P749" s="371" t="n"/>
      <c r="Q749" s="371" t="n"/>
      <c r="R749" s="372" t="n"/>
      <c r="S749" s="372" t="n"/>
      <c r="T749" s="372" t="n"/>
      <c r="U749" s="372" t="n"/>
      <c r="V749" s="372" t="n"/>
      <c r="W749" s="372" t="n"/>
      <c r="X749" s="372" t="n"/>
    </row>
    <row r="750" hidden="1" ht="15.5" customHeight="1" s="297">
      <c r="B750" s="422" t="n"/>
      <c r="C750" s="405" t="n"/>
      <c r="D750" s="406" t="n"/>
      <c r="E750" s="406" t="n"/>
      <c r="F750" s="414" t="n"/>
      <c r="G750" s="405" t="n"/>
      <c r="H750" s="405" t="n"/>
      <c r="I750" s="376" t="n">
        <v>991500000</v>
      </c>
      <c r="J750" s="371" t="n">
        <v>1165223146.932</v>
      </c>
      <c r="K750" s="371" t="n">
        <v>356012003</v>
      </c>
      <c r="L750" s="371" t="n">
        <v>367745000</v>
      </c>
      <c r="M750" s="376" t="n">
        <v>8769780</v>
      </c>
      <c r="N750" s="371" t="n">
        <v>200517570</v>
      </c>
      <c r="O750" s="371" t="n">
        <v>4995000</v>
      </c>
      <c r="P750" s="371" t="n">
        <v>38548717.5</v>
      </c>
      <c r="Q750" s="371" t="n">
        <v>202920000</v>
      </c>
      <c r="R750" s="372" t="n">
        <v>0</v>
      </c>
      <c r="S750" s="372" t="n">
        <v>0</v>
      </c>
      <c r="T750" s="372" t="n">
        <v>0</v>
      </c>
      <c r="U750" s="372" t="n">
        <v>0</v>
      </c>
      <c r="V750" s="372" t="n">
        <v>0</v>
      </c>
      <c r="W750" s="372" t="n">
        <v>0</v>
      </c>
      <c r="X750" s="372" t="n">
        <v>0</v>
      </c>
    </row>
    <row r="751" hidden="1" s="297">
      <c r="B751" s="422" t="n"/>
      <c r="C751" s="405" t="n"/>
      <c r="D751" s="406" t="n"/>
      <c r="E751" s="406" t="n"/>
      <c r="F751" s="414" t="n"/>
      <c r="G751" s="405" t="n"/>
      <c r="H751" s="405" t="n"/>
      <c r="I751" s="376" t="n"/>
      <c r="J751" s="371" t="n"/>
      <c r="K751" s="371" t="n"/>
      <c r="L751" s="371" t="n"/>
      <c r="M751" s="370" t="n"/>
      <c r="N751" s="371" t="n"/>
      <c r="O751" s="371" t="n"/>
      <c r="P751" s="371" t="n"/>
      <c r="Q751" s="371" t="n"/>
      <c r="R751" s="372" t="n"/>
      <c r="S751" s="372" t="n"/>
      <c r="T751" s="372" t="n"/>
      <c r="U751" s="372" t="n"/>
      <c r="V751" s="372" t="n"/>
      <c r="W751" s="372" t="n"/>
      <c r="X751" s="372" t="n"/>
    </row>
    <row r="752" hidden="1" s="297">
      <c r="B752" s="422" t="n"/>
      <c r="C752" s="405" t="n"/>
      <c r="D752" s="406" t="n"/>
      <c r="E752" s="406" t="n"/>
      <c r="F752" s="414" t="n"/>
      <c r="G752" s="405" t="n"/>
      <c r="H752" s="405" t="n"/>
      <c r="I752" s="376" t="n"/>
      <c r="J752" s="371" t="n"/>
      <c r="K752" s="371" t="n"/>
      <c r="L752" s="371" t="n"/>
      <c r="M752" s="371" t="n"/>
      <c r="N752" s="371" t="n"/>
      <c r="O752" s="371" t="n"/>
      <c r="P752" s="371" t="n"/>
      <c r="Q752" s="371" t="n"/>
      <c r="R752" s="372" t="n"/>
      <c r="S752" s="372" t="n"/>
      <c r="T752" s="372" t="n"/>
      <c r="U752" s="372" t="n"/>
      <c r="V752" s="372" t="n"/>
      <c r="W752" s="372" t="n"/>
      <c r="X752" s="372" t="n"/>
    </row>
    <row r="753" hidden="1" s="297">
      <c r="B753" s="422" t="n"/>
      <c r="C753" s="405" t="n"/>
      <c r="D753" s="406" t="n"/>
      <c r="E753" s="406" t="n"/>
      <c r="F753" s="414" t="n"/>
      <c r="G753" s="405" t="n"/>
      <c r="H753" s="405" t="n"/>
      <c r="I753" s="371" t="n"/>
      <c r="J753" s="371" t="n"/>
      <c r="K753" s="371" t="n"/>
      <c r="L753" s="371" t="n"/>
      <c r="M753" s="370" t="n"/>
      <c r="N753" s="371" t="n"/>
      <c r="O753" s="371" t="n"/>
      <c r="P753" s="371" t="n"/>
      <c r="Q753" s="371" t="n"/>
      <c r="R753" s="372" t="n"/>
      <c r="S753" s="372" t="n"/>
      <c r="T753" s="372" t="n"/>
      <c r="U753" s="372" t="n"/>
      <c r="V753" s="372" t="n"/>
      <c r="W753" s="372" t="n"/>
      <c r="X753" s="372" t="n"/>
    </row>
    <row r="754" hidden="1" s="297">
      <c r="B754" s="422" t="n"/>
      <c r="C754" s="405" t="n"/>
      <c r="D754" s="406" t="n"/>
      <c r="E754" s="406" t="n"/>
      <c r="F754" s="414" t="n"/>
      <c r="G754" s="405" t="n"/>
      <c r="H754" s="405" t="n"/>
      <c r="I754" s="371" t="n"/>
      <c r="J754" s="371" t="n"/>
      <c r="K754" s="371" t="n"/>
      <c r="L754" s="371" t="n"/>
      <c r="M754" s="376" t="n"/>
      <c r="N754" s="370" t="n"/>
      <c r="O754" s="371" t="n"/>
      <c r="P754" s="371" t="n"/>
      <c r="Q754" s="371" t="n"/>
      <c r="R754" s="372" t="n"/>
      <c r="S754" s="372" t="n"/>
      <c r="T754" s="372" t="n"/>
      <c r="U754" s="372" t="n"/>
      <c r="V754" s="372" t="n"/>
      <c r="W754" s="372" t="n"/>
      <c r="X754" s="372" t="n"/>
    </row>
    <row r="755" s="297">
      <c r="A755" s="346" t="n"/>
      <c r="B755" s="411" t="n">
        <v>45307</v>
      </c>
      <c r="C755" s="382" t="n">
        <v>1</v>
      </c>
      <c r="D755" s="383" t="inlineStr">
        <is>
          <t>Non trip - Training BSS - AC</t>
        </is>
      </c>
      <c r="E755" s="384" t="n"/>
      <c r="F755" s="412" t="n">
        <v>306982</v>
      </c>
      <c r="G755" s="382" t="inlineStr">
        <is>
          <t>IDR</t>
        </is>
      </c>
      <c r="H755" s="386" t="n">
        <v>1</v>
      </c>
      <c r="I755" s="388" t="n"/>
      <c r="J755" s="388" t="n"/>
      <c r="K755" s="388" t="n"/>
      <c r="L755" s="388" t="n"/>
      <c r="M755" s="449" t="n">
        <v>306982</v>
      </c>
      <c r="N755" s="364" t="n"/>
      <c r="O755" s="388" t="n"/>
      <c r="P755" s="388" t="n"/>
      <c r="Q755" s="388" t="n"/>
      <c r="R755" s="365" t="n"/>
      <c r="S755" s="365" t="n"/>
      <c r="T755" s="365" t="n"/>
      <c r="U755" s="365" t="n"/>
      <c r="V755" s="365" t="n"/>
      <c r="W755" s="365" t="n"/>
      <c r="X755" s="365" t="n"/>
    </row>
    <row r="756" hidden="1" s="297">
      <c r="A756" s="346" t="n"/>
      <c r="B756" s="313" t="n"/>
      <c r="C756" s="314" t="n"/>
      <c r="D756" s="326" t="n"/>
      <c r="E756" s="326" t="n"/>
      <c r="F756" s="323" t="n"/>
      <c r="G756" s="314" t="n"/>
      <c r="H756" s="345" t="n"/>
      <c r="I756" s="321" t="n"/>
      <c r="J756" s="321" t="n"/>
      <c r="K756" s="321" t="n"/>
      <c r="L756" s="321" t="n"/>
      <c r="M756" s="325" t="n"/>
      <c r="N756" s="320" t="n"/>
      <c r="O756" s="321" t="n"/>
      <c r="P756" s="321" t="n"/>
      <c r="Q756" s="321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A757" s="346" t="n"/>
      <c r="B757" s="411" t="n">
        <v>45636</v>
      </c>
      <c r="C757" s="382" t="n">
        <v>1</v>
      </c>
      <c r="D757" s="383" t="inlineStr">
        <is>
          <t>Trip Rakan : BSTTraining at HSSE Training Center PT Pertamina EP Zone 7 Cirebon</t>
        </is>
      </c>
      <c r="E757" s="384" t="n"/>
      <c r="F757" s="412" t="n">
        <v>2700000</v>
      </c>
      <c r="G757" s="382" t="inlineStr">
        <is>
          <t>IDR</t>
        </is>
      </c>
      <c r="H757" s="386" t="n">
        <v>1</v>
      </c>
      <c r="I757" s="388" t="n"/>
      <c r="J757" s="387" t="n">
        <v>2700000</v>
      </c>
      <c r="K757" s="388" t="n"/>
      <c r="L757" s="388" t="n"/>
      <c r="M757" s="449" t="n"/>
      <c r="N757" s="364" t="n"/>
      <c r="O757" s="388" t="n"/>
      <c r="P757" s="388" t="n"/>
      <c r="Q757" s="388" t="n"/>
      <c r="R757" s="365" t="n"/>
      <c r="S757" s="365" t="n"/>
      <c r="T757" s="365" t="n"/>
      <c r="U757" s="365" t="n"/>
      <c r="V757" s="365" t="n"/>
      <c r="W757" s="365" t="n"/>
      <c r="X757" s="365" t="n"/>
    </row>
    <row r="758" hidden="1" s="297">
      <c r="A758" s="346" t="n"/>
      <c r="B758" s="313" t="n"/>
      <c r="C758" s="314" t="n"/>
      <c r="D758" s="326" t="n"/>
      <c r="E758" s="326" t="n"/>
      <c r="F758" s="323" t="n"/>
      <c r="G758" s="314" t="n"/>
      <c r="H758" s="345" t="n"/>
      <c r="I758" s="321" t="n"/>
      <c r="J758" s="321" t="n"/>
      <c r="K758" s="321" t="n"/>
      <c r="L758" s="321" t="n"/>
      <c r="M758" s="325" t="n"/>
      <c r="N758" s="320" t="n"/>
      <c r="O758" s="321" t="n"/>
      <c r="P758" s="321" t="n"/>
      <c r="Q758" s="321" t="n"/>
      <c r="R758" s="322" t="n"/>
      <c r="S758" s="322" t="n"/>
      <c r="T758" s="322" t="n"/>
      <c r="U758" s="322" t="n"/>
      <c r="V758" s="322" t="n"/>
      <c r="W758" s="322" t="n"/>
      <c r="X758" s="322" t="n"/>
    </row>
    <row r="759" hidden="1" s="297">
      <c r="A759" s="346" t="n"/>
      <c r="B759" s="313" t="n"/>
      <c r="C759" s="314" t="n"/>
      <c r="D759" s="326" t="n"/>
      <c r="E759" s="326" t="n"/>
      <c r="F759" s="323" t="n"/>
      <c r="G759" s="314" t="n"/>
      <c r="H759" s="345" t="n"/>
      <c r="I759" s="321" t="n"/>
      <c r="J759" s="321" t="n"/>
      <c r="K759" s="321" t="n"/>
      <c r="L759" s="321" t="n"/>
      <c r="M759" s="325" t="n"/>
      <c r="N759" s="320" t="n"/>
      <c r="O759" s="321" t="n"/>
      <c r="P759" s="321" t="n"/>
      <c r="Q759" s="321" t="n"/>
      <c r="R759" s="322" t="n"/>
      <c r="S759" s="322" t="n"/>
      <c r="T759" s="322" t="n"/>
      <c r="U759" s="322" t="n"/>
      <c r="V759" s="322" t="n"/>
      <c r="W759" s="322" t="n"/>
      <c r="X759" s="322" t="n"/>
    </row>
    <row r="760" hidden="1" s="297">
      <c r="A760" s="346" t="n"/>
      <c r="B760" s="313" t="n"/>
      <c r="C760" s="314" t="n"/>
      <c r="D760" s="326" t="n"/>
      <c r="E760" s="326" t="n"/>
      <c r="F760" s="323" t="n"/>
      <c r="G760" s="314" t="n"/>
      <c r="H760" s="345" t="n"/>
      <c r="I760" s="321" t="n"/>
      <c r="J760" s="321" t="n"/>
      <c r="K760" s="321" t="n"/>
      <c r="L760" s="321" t="n"/>
      <c r="M760" s="325" t="n"/>
      <c r="N760" s="320" t="n"/>
      <c r="O760" s="321" t="n"/>
      <c r="P760" s="321" t="n"/>
      <c r="Q760" s="321" t="n"/>
      <c r="R760" s="322" t="n"/>
      <c r="S760" s="322" t="n"/>
      <c r="T760" s="322" t="n"/>
      <c r="U760" s="322" t="n"/>
      <c r="V760" s="322" t="n"/>
      <c r="W760" s="322" t="n"/>
      <c r="X760" s="322" t="n"/>
    </row>
    <row r="761" hidden="1" s="297">
      <c r="A761" s="346" t="n"/>
      <c r="B761" s="313" t="n"/>
      <c r="C761" s="314" t="n"/>
      <c r="D761" s="326" t="n"/>
      <c r="E761" s="326" t="n"/>
      <c r="F761" s="323" t="n"/>
      <c r="G761" s="314" t="n"/>
      <c r="H761" s="345" t="n"/>
      <c r="I761" s="321" t="n"/>
      <c r="J761" s="329" t="n"/>
      <c r="K761" s="321" t="n"/>
      <c r="L761" s="321" t="n"/>
      <c r="M761" s="319" t="n"/>
      <c r="N761" s="320" t="n"/>
      <c r="O761" s="321" t="n"/>
      <c r="P761" s="321" t="n"/>
      <c r="Q761" s="321" t="n"/>
      <c r="R761" s="322" t="n"/>
      <c r="S761" s="322" t="n"/>
      <c r="T761" s="322" t="n"/>
      <c r="U761" s="322" t="n"/>
      <c r="V761" s="322" t="n"/>
      <c r="W761" s="322" t="n"/>
      <c r="X761" s="322" t="n"/>
    </row>
    <row r="762" hidden="1" s="297">
      <c r="A762" s="346" t="n"/>
      <c r="B762" s="313" t="n"/>
      <c r="C762" s="314" t="n"/>
      <c r="D762" s="326" t="n"/>
      <c r="E762" s="326" t="n"/>
      <c r="F762" s="323" t="n"/>
      <c r="G762" s="314" t="n"/>
      <c r="H762" s="345" t="n"/>
      <c r="I762" s="321" t="n"/>
      <c r="J762" s="329" t="n"/>
      <c r="K762" s="321" t="n"/>
      <c r="L762" s="321" t="n"/>
      <c r="M762" s="319" t="n"/>
      <c r="N762" s="320" t="n"/>
      <c r="O762" s="321" t="n"/>
      <c r="P762" s="321" t="n"/>
      <c r="Q762" s="321" t="n"/>
      <c r="R762" s="322" t="n"/>
      <c r="S762" s="322" t="n"/>
      <c r="T762" s="322" t="n"/>
      <c r="U762" s="322" t="n"/>
      <c r="V762" s="322" t="n"/>
      <c r="W762" s="322" t="n"/>
      <c r="X762" s="322" t="n"/>
    </row>
    <row r="763" hidden="1" s="297">
      <c r="A763" s="346" t="n"/>
      <c r="B763" s="313" t="n"/>
      <c r="C763" s="314" t="n"/>
      <c r="D763" s="326" t="n"/>
      <c r="E763" s="326" t="n"/>
      <c r="F763" s="323" t="n"/>
      <c r="G763" s="314" t="n"/>
      <c r="H763" s="345" t="n"/>
      <c r="I763" s="321" t="n"/>
      <c r="J763" s="329" t="n"/>
      <c r="K763" s="321" t="n"/>
      <c r="L763" s="321" t="n"/>
      <c r="M763" s="319" t="n"/>
      <c r="N763" s="320" t="n"/>
      <c r="O763" s="321" t="n"/>
      <c r="P763" s="321" t="n"/>
      <c r="Q763" s="321" t="n"/>
      <c r="R763" s="322" t="n"/>
      <c r="S763" s="322" t="n"/>
      <c r="T763" s="322" t="n"/>
      <c r="U763" s="322" t="n"/>
      <c r="V763" s="322" t="n"/>
      <c r="W763" s="322" t="n"/>
      <c r="X763" s="322" t="n"/>
    </row>
    <row r="764" hidden="1" s="297">
      <c r="A764" s="346" t="n"/>
      <c r="B764" s="313" t="n"/>
      <c r="C764" s="314" t="n"/>
      <c r="D764" s="326" t="n"/>
      <c r="E764" s="326" t="n"/>
      <c r="F764" s="323" t="n"/>
      <c r="G764" s="314" t="n"/>
      <c r="H764" s="345" t="n"/>
      <c r="I764" s="321" t="n"/>
      <c r="J764" s="329" t="n"/>
      <c r="K764" s="321" t="n"/>
      <c r="L764" s="321" t="n"/>
      <c r="M764" s="319" t="n"/>
      <c r="N764" s="320" t="n"/>
      <c r="O764" s="321" t="n"/>
      <c r="P764" s="321" t="n"/>
      <c r="Q764" s="321" t="n"/>
      <c r="R764" s="322" t="n"/>
      <c r="S764" s="322" t="n"/>
      <c r="T764" s="322" t="n"/>
      <c r="U764" s="322" t="n"/>
      <c r="V764" s="322" t="n"/>
      <c r="W764" s="322" t="n"/>
      <c r="X764" s="322" t="n"/>
    </row>
    <row r="765" hidden="1" s="297">
      <c r="A765" s="346" t="n"/>
      <c r="B765" s="313" t="n"/>
      <c r="C765" s="314" t="n"/>
      <c r="D765" s="326" t="n"/>
      <c r="E765" s="326" t="n"/>
      <c r="F765" s="323" t="n"/>
      <c r="G765" s="314" t="n"/>
      <c r="H765" s="345" t="n"/>
      <c r="I765" s="321" t="n"/>
      <c r="J765" s="329" t="n"/>
      <c r="K765" s="321" t="n"/>
      <c r="L765" s="321" t="n"/>
      <c r="M765" s="319" t="n"/>
      <c r="N765" s="320" t="n"/>
      <c r="O765" s="321" t="n"/>
      <c r="P765" s="321" t="n"/>
      <c r="Q765" s="321" t="n"/>
      <c r="R765" s="322" t="n"/>
      <c r="S765" s="322" t="n"/>
      <c r="T765" s="322" t="n"/>
      <c r="U765" s="322" t="n"/>
      <c r="V765" s="322" t="n"/>
      <c r="W765" s="322" t="n"/>
      <c r="X765" s="322" t="n"/>
    </row>
    <row r="766" hidden="1" s="297">
      <c r="A766" s="346" t="n"/>
      <c r="B766" s="313" t="n"/>
      <c r="C766" s="314" t="n"/>
      <c r="D766" s="326" t="n"/>
      <c r="E766" s="326" t="n"/>
      <c r="F766" s="323" t="n"/>
      <c r="G766" s="314" t="n"/>
      <c r="H766" s="345" t="n"/>
      <c r="I766" s="321" t="n"/>
      <c r="J766" s="329" t="n"/>
      <c r="K766" s="321" t="n"/>
      <c r="L766" s="321" t="n"/>
      <c r="M766" s="319" t="n"/>
      <c r="N766" s="320" t="n"/>
      <c r="O766" s="321" t="n"/>
      <c r="P766" s="321" t="n"/>
      <c r="Q766" s="321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A767" s="346" t="n"/>
      <c r="B767" s="313" t="n"/>
      <c r="C767" s="314" t="n"/>
      <c r="D767" s="326" t="n"/>
      <c r="E767" s="326" t="n"/>
      <c r="F767" s="323" t="n"/>
      <c r="G767" s="314" t="n"/>
      <c r="H767" s="345" t="n"/>
      <c r="I767" s="321" t="n"/>
      <c r="J767" s="329" t="n"/>
      <c r="K767" s="321" t="n"/>
      <c r="L767" s="321" t="n"/>
      <c r="M767" s="319" t="n"/>
      <c r="N767" s="320" t="n"/>
      <c r="O767" s="321" t="n"/>
      <c r="P767" s="321" t="n"/>
      <c r="Q767" s="321" t="n"/>
      <c r="R767" s="322" t="n"/>
      <c r="S767" s="322" t="n"/>
      <c r="T767" s="322" t="n"/>
      <c r="U767" s="322" t="n"/>
      <c r="V767" s="322" t="n"/>
      <c r="W767" s="322" t="n"/>
      <c r="X767" s="322" t="n"/>
    </row>
    <row r="768" s="297">
      <c r="A768" s="346" t="n"/>
      <c r="B768" s="450" t="inlineStr">
        <is>
          <t>TOTAL</t>
        </is>
      </c>
      <c r="C768" s="314" t="n">
        <v>1</v>
      </c>
      <c r="D768" s="326" t="inlineStr">
        <is>
          <t>Meal Allowance 2 Days (29 - 30 December 2024)@ 150 rb</t>
        </is>
      </c>
      <c r="E768" s="326" t="n"/>
      <c r="F768" s="323" t="n">
        <v>300000</v>
      </c>
      <c r="G768" s="314" t="inlineStr">
        <is>
          <t>IDR</t>
        </is>
      </c>
      <c r="H768" s="345" t="n">
        <v>1</v>
      </c>
      <c r="I768" s="315" t="n">
        <v>1350714403.75</v>
      </c>
      <c r="J768" s="451" t="n">
        <v>1164019333.182</v>
      </c>
      <c r="K768" s="315" t="n">
        <v>0</v>
      </c>
      <c r="L768" s="315" t="n">
        <v>367745000</v>
      </c>
      <c r="M768" s="452" t="n">
        <v>6771193</v>
      </c>
      <c r="N768" s="453" t="n">
        <v>200517570</v>
      </c>
      <c r="O768" s="315" t="n">
        <v>4995000</v>
      </c>
      <c r="P768" s="315" t="n">
        <v>38548717.5</v>
      </c>
      <c r="Q768" s="315" t="n">
        <v>202920000</v>
      </c>
      <c r="R768" s="315" t="n">
        <v>0</v>
      </c>
      <c r="S768" s="315" t="n">
        <v>0</v>
      </c>
      <c r="T768" s="315" t="n">
        <v>0</v>
      </c>
      <c r="U768" s="315" t="n">
        <v>0</v>
      </c>
      <c r="V768" s="315" t="n">
        <v>0</v>
      </c>
      <c r="W768" s="315" t="n">
        <v>0</v>
      </c>
      <c r="X768" s="315" t="n">
        <v>0</v>
      </c>
    </row>
    <row r="769" s="297">
      <c r="A769" s="346" t="n"/>
      <c r="B769" s="313" t="n">
        <v>45655</v>
      </c>
      <c r="C769" s="314" t="n">
        <v>2</v>
      </c>
      <c r="D769" s="326" t="inlineStr">
        <is>
          <t>Transport Train, (Jakarta to Cirebon)</t>
        </is>
      </c>
      <c r="E769" s="326" t="n"/>
      <c r="F769" s="323" t="n">
        <v>200000</v>
      </c>
      <c r="G769" s="314" t="inlineStr">
        <is>
          <t>IDR</t>
        </is>
      </c>
      <c r="H769" s="345" t="n">
        <v>1</v>
      </c>
      <c r="I769" s="321" t="n"/>
      <c r="J769" s="329" t="n">
        <v>200000</v>
      </c>
      <c r="K769" s="321" t="n"/>
      <c r="L769" s="321" t="n"/>
      <c r="M769" s="319" t="n"/>
      <c r="N769" s="320" t="n"/>
      <c r="O769" s="321" t="n"/>
      <c r="P769" s="321" t="n"/>
      <c r="Q769" s="321" t="n"/>
      <c r="R769" s="322" t="n"/>
      <c r="S769" s="322" t="n"/>
      <c r="T769" s="322" t="n"/>
      <c r="U769" s="322" t="n"/>
      <c r="V769" s="322" t="n"/>
      <c r="W769" s="322" t="n"/>
      <c r="X769" s="322" t="n"/>
    </row>
    <row r="770" s="297">
      <c r="A770" s="346" t="n"/>
      <c r="B770" s="313" t="n">
        <v>45655</v>
      </c>
      <c r="C770" s="314" t="n">
        <v>3</v>
      </c>
      <c r="D770" s="326" t="inlineStr">
        <is>
          <t>Gojek (Cirendeu to Gambir Station)</t>
        </is>
      </c>
      <c r="E770" s="326" t="n"/>
      <c r="F770" s="323" t="n">
        <v>61500</v>
      </c>
      <c r="G770" s="314" t="inlineStr">
        <is>
          <t>IDR</t>
        </is>
      </c>
      <c r="H770" s="345" t="n">
        <v>1</v>
      </c>
      <c r="I770" s="321" t="n"/>
      <c r="J770" s="329" t="n">
        <v>61500</v>
      </c>
      <c r="K770" s="321" t="n"/>
      <c r="L770" s="321" t="n"/>
      <c r="M770" s="319" t="n"/>
      <c r="N770" s="320" t="n"/>
      <c r="O770" s="321" t="n"/>
      <c r="P770" s="321" t="n"/>
      <c r="Q770" s="321" t="n"/>
      <c r="R770" s="322" t="n"/>
      <c r="S770" s="322" t="n"/>
      <c r="T770" s="322" t="n"/>
      <c r="U770" s="322" t="n"/>
      <c r="V770" s="322" t="n"/>
      <c r="W770" s="322" t="n"/>
      <c r="X770" s="322" t="n"/>
    </row>
    <row r="771" s="297">
      <c r="A771" s="346" t="n"/>
      <c r="B771" s="313" t="n">
        <v>45655</v>
      </c>
      <c r="C771" s="314" t="n">
        <v>4</v>
      </c>
      <c r="D771" s="326" t="inlineStr">
        <is>
          <t>Gojek (Cirebon Station to Hotel)</t>
        </is>
      </c>
      <c r="E771" s="326" t="n"/>
      <c r="F771" s="323" t="n">
        <v>12500</v>
      </c>
      <c r="G771" s="314" t="inlineStr">
        <is>
          <t>IDR</t>
        </is>
      </c>
      <c r="H771" s="345" t="n">
        <v>1</v>
      </c>
      <c r="I771" s="321" t="n"/>
      <c r="J771" s="329" t="n">
        <v>12500</v>
      </c>
      <c r="K771" s="321" t="n"/>
      <c r="L771" s="321" t="n"/>
      <c r="M771" s="319" t="n"/>
      <c r="N771" s="320" t="n"/>
      <c r="O771" s="321" t="n"/>
      <c r="P771" s="321" t="n"/>
      <c r="Q771" s="321" t="n"/>
      <c r="R771" s="322" t="n"/>
      <c r="S771" s="322" t="n"/>
      <c r="T771" s="322" t="n"/>
      <c r="U771" s="322" t="n"/>
      <c r="V771" s="322" t="n"/>
      <c r="W771" s="322" t="n"/>
      <c r="X771" s="322" t="n"/>
    </row>
    <row r="772" s="297">
      <c r="A772" s="346" t="n"/>
      <c r="B772" s="313" t="n">
        <v>45655</v>
      </c>
      <c r="C772" s="314" t="n">
        <v>5</v>
      </c>
      <c r="D772" s="326" t="inlineStr">
        <is>
          <t>Accomodation Hotel (Pia Hotel 29 - 30 des, 1 Night)</t>
        </is>
      </c>
      <c r="E772" s="326" t="n"/>
      <c r="F772" s="323" t="n">
        <v>224000</v>
      </c>
      <c r="G772" s="314" t="inlineStr">
        <is>
          <t>IDR</t>
        </is>
      </c>
      <c r="H772" s="345" t="n">
        <v>1</v>
      </c>
      <c r="I772" s="321" t="n"/>
      <c r="J772" s="329" t="n">
        <v>224000</v>
      </c>
      <c r="K772" s="321" t="n"/>
      <c r="L772" s="321" t="n"/>
      <c r="M772" s="319" t="n"/>
      <c r="N772" s="320" t="n"/>
      <c r="O772" s="321" t="n"/>
      <c r="P772" s="321" t="n"/>
      <c r="Q772" s="321" t="n"/>
      <c r="R772" s="322" t="n"/>
      <c r="S772" s="322" t="n"/>
      <c r="T772" s="322" t="n"/>
      <c r="U772" s="322" t="n"/>
      <c r="V772" s="322" t="n"/>
      <c r="W772" s="322" t="n"/>
      <c r="X772" s="322" t="n"/>
    </row>
    <row r="773" s="297">
      <c r="A773" s="346" t="n"/>
      <c r="B773" s="313" t="n">
        <v>45656</v>
      </c>
      <c r="C773" s="314" t="n">
        <v>6</v>
      </c>
      <c r="D773" s="326" t="inlineStr">
        <is>
          <t>Transport Train (Cirebon to Jakarta)</t>
        </is>
      </c>
      <c r="E773" s="326" t="n"/>
      <c r="F773" s="323" t="n">
        <v>140000</v>
      </c>
      <c r="G773" s="314" t="inlineStr">
        <is>
          <t>IDR</t>
        </is>
      </c>
      <c r="H773" s="345" t="n">
        <v>1</v>
      </c>
      <c r="I773" s="321" t="n"/>
      <c r="J773" s="329" t="n">
        <v>140000</v>
      </c>
      <c r="K773" s="321" t="n"/>
      <c r="L773" s="321" t="n"/>
      <c r="M773" s="319" t="n"/>
      <c r="N773" s="320" t="n"/>
      <c r="O773" s="321" t="n"/>
      <c r="P773" s="321" t="n"/>
      <c r="Q773" s="321" t="n"/>
      <c r="R773" s="322" t="n"/>
      <c r="S773" s="322" t="n"/>
      <c r="T773" s="322" t="n"/>
      <c r="U773" s="322" t="n"/>
      <c r="V773" s="322" t="n"/>
      <c r="W773" s="322" t="n"/>
      <c r="X773" s="322" t="n"/>
    </row>
    <row r="774" s="297">
      <c r="A774" s="346" t="n"/>
      <c r="B774" s="313" t="n">
        <v>45656</v>
      </c>
      <c r="C774" s="314" t="n">
        <v>7</v>
      </c>
      <c r="D774" s="326" t="inlineStr">
        <is>
          <t>Gojek (Hotel to HSSE Training Center PEP Zone 7)</t>
        </is>
      </c>
      <c r="E774" s="326" t="n"/>
      <c r="F774" s="323" t="n">
        <v>11000</v>
      </c>
      <c r="G774" s="314" t="inlineStr">
        <is>
          <t>IDR</t>
        </is>
      </c>
      <c r="H774" s="345" t="n">
        <v>1</v>
      </c>
      <c r="I774" s="321" t="n"/>
      <c r="J774" s="329" t="n">
        <v>11000</v>
      </c>
      <c r="K774" s="321" t="n"/>
      <c r="L774" s="321" t="n"/>
      <c r="M774" s="319" t="n"/>
      <c r="N774" s="320" t="n"/>
      <c r="O774" s="321" t="n"/>
      <c r="P774" s="321" t="n"/>
      <c r="Q774" s="321" t="n"/>
      <c r="R774" s="322" t="n"/>
      <c r="S774" s="322" t="n"/>
      <c r="T774" s="322" t="n"/>
      <c r="U774" s="322" t="n"/>
      <c r="V774" s="322" t="n"/>
      <c r="W774" s="322" t="n"/>
      <c r="X774" s="322" t="n"/>
    </row>
    <row r="775" s="297">
      <c r="A775" s="346" t="n"/>
      <c r="B775" s="313" t="n">
        <v>45656</v>
      </c>
      <c r="C775" s="314" t="n">
        <v>8</v>
      </c>
      <c r="D775" s="326" t="inlineStr">
        <is>
          <t>Gojek (CSB to Cirebon Train Station)</t>
        </is>
      </c>
      <c r="E775" s="326" t="n"/>
      <c r="F775" s="323" t="n">
        <v>11000</v>
      </c>
      <c r="G775" s="314" t="inlineStr">
        <is>
          <t>IDR</t>
        </is>
      </c>
      <c r="H775" s="345" t="n">
        <v>1</v>
      </c>
      <c r="I775" s="321" t="n"/>
      <c r="J775" s="329" t="n">
        <v>11000</v>
      </c>
      <c r="K775" s="321" t="n"/>
      <c r="L775" s="321" t="n"/>
      <c r="M775" s="319" t="n"/>
      <c r="N775" s="320" t="n"/>
      <c r="O775" s="321" t="n"/>
      <c r="P775" s="321" t="n"/>
      <c r="Q775" s="321" t="n"/>
      <c r="R775" s="322" t="n"/>
      <c r="S775" s="322" t="n"/>
      <c r="T775" s="322" t="n"/>
      <c r="U775" s="322" t="n"/>
      <c r="V775" s="322" t="n"/>
      <c r="W775" s="322" t="n"/>
      <c r="X775" s="322" t="n"/>
    </row>
    <row r="776" s="297">
      <c r="A776" s="346" t="n"/>
      <c r="B776" s="313" t="n">
        <v>45656</v>
      </c>
      <c r="C776" s="314" t="n">
        <v>9</v>
      </c>
      <c r="D776" s="326" t="inlineStr">
        <is>
          <t>Gojek (Gambir Station to Cirendeu)</t>
        </is>
      </c>
      <c r="E776" s="326" t="n"/>
      <c r="F776" s="323" t="n">
        <v>66000</v>
      </c>
      <c r="G776" s="314" t="inlineStr">
        <is>
          <t>IDR</t>
        </is>
      </c>
      <c r="H776" s="345" t="n">
        <v>1</v>
      </c>
      <c r="I776" s="321" t="n"/>
      <c r="J776" s="329" t="n">
        <v>66000</v>
      </c>
      <c r="K776" s="321" t="n"/>
      <c r="L776" s="321" t="n"/>
      <c r="M776" s="319" t="n"/>
      <c r="N776" s="320" t="n"/>
      <c r="O776" s="321" t="n"/>
      <c r="P776" s="321" t="n"/>
      <c r="Q776" s="321" t="n"/>
      <c r="R776" s="322" t="n"/>
      <c r="S776" s="322" t="n"/>
      <c r="T776" s="322" t="n"/>
      <c r="U776" s="322" t="n"/>
      <c r="V776" s="322" t="n"/>
      <c r="W776" s="322" t="n"/>
      <c r="X776" s="322" t="n"/>
    </row>
    <row r="777">
      <c r="A777" s="346" t="n"/>
      <c r="B777" s="313" t="n">
        <v>45362</v>
      </c>
      <c r="C777" s="314" t="n">
        <v>13</v>
      </c>
      <c r="D777" s="326" t="inlineStr">
        <is>
          <t>Flight CGK-KUL + Hotel 1 night</t>
        </is>
      </c>
      <c r="E777" s="326" t="n"/>
      <c r="F777" s="323" t="n">
        <v>1803353</v>
      </c>
      <c r="G777" s="314" t="inlineStr">
        <is>
          <t>IDR</t>
        </is>
      </c>
      <c r="H777" s="345" t="n">
        <v>1</v>
      </c>
      <c r="I777" s="321" t="n"/>
      <c r="J777" s="329" t="n">
        <v>1803353</v>
      </c>
      <c r="K777" s="321" t="n"/>
      <c r="L777" s="321" t="n"/>
      <c r="M777" s="319" t="n"/>
      <c r="N777" s="320" t="n"/>
      <c r="O777" s="321" t="n"/>
      <c r="P777" s="321" t="n"/>
      <c r="Q777" s="321" t="n"/>
      <c r="R777" s="322" t="n"/>
      <c r="S777" s="322" t="n"/>
      <c r="T777" s="322" t="n"/>
      <c r="U777" s="322" t="n"/>
      <c r="V777" s="322" t="n"/>
      <c r="W777" s="322" t="n"/>
      <c r="X777" s="322" t="n"/>
    </row>
    <row r="778">
      <c r="A778" s="346" t="n"/>
      <c r="B778" s="313" t="n">
        <v>45362</v>
      </c>
      <c r="C778" s="314" t="n">
        <v>14</v>
      </c>
      <c r="D778" s="326" t="inlineStr">
        <is>
          <t>Train KLIA Airport to Hyperseal</t>
        </is>
      </c>
      <c r="E778" s="326" t="n"/>
      <c r="F778" s="323" t="n">
        <v>181844.5</v>
      </c>
      <c r="G778" s="314" t="inlineStr">
        <is>
          <t>MYR</t>
        </is>
      </c>
      <c r="H778" s="345" t="n">
        <v>3636.89</v>
      </c>
      <c r="I778" s="321" t="n"/>
      <c r="J778" s="329" t="n">
        <v>181844.5</v>
      </c>
      <c r="K778" s="321" t="n"/>
      <c r="L778" s="321" t="n"/>
      <c r="M778" s="319" t="n"/>
      <c r="N778" s="320" t="n"/>
      <c r="O778" s="321" t="n"/>
      <c r="P778" s="321" t="n"/>
      <c r="Q778" s="321" t="n"/>
      <c r="R778" s="322" t="n"/>
      <c r="S778" s="322" t="n"/>
      <c r="T778" s="322" t="n"/>
      <c r="U778" s="322" t="n"/>
      <c r="V778" s="322" t="n"/>
      <c r="W778" s="322" t="n"/>
      <c r="X778" s="322" t="n"/>
    </row>
    <row r="779">
      <c r="A779" s="346" t="n"/>
      <c r="B779" s="313" t="n">
        <v>45363</v>
      </c>
      <c r="C779" s="314" t="n">
        <v>15</v>
      </c>
      <c r="D779" s="326" t="inlineStr">
        <is>
          <t>Flight KUL- CGK</t>
        </is>
      </c>
      <c r="E779" s="326" t="n"/>
      <c r="F779" s="323" t="n">
        <v>1897983</v>
      </c>
      <c r="G779" s="314" t="inlineStr">
        <is>
          <t>IDR</t>
        </is>
      </c>
      <c r="H779" s="345" t="n">
        <v>1</v>
      </c>
      <c r="I779" s="321" t="n"/>
      <c r="J779" s="329" t="n">
        <v>1897983</v>
      </c>
      <c r="K779" s="321" t="n"/>
      <c r="L779" s="321" t="n"/>
      <c r="M779" s="319" t="n"/>
      <c r="N779" s="320" t="n"/>
      <c r="O779" s="321" t="n"/>
      <c r="P779" s="321" t="n"/>
      <c r="Q779" s="321" t="n"/>
      <c r="R779" s="322" t="n"/>
      <c r="S779" s="322" t="n"/>
      <c r="T779" s="322" t="n"/>
      <c r="U779" s="322" t="n"/>
      <c r="V779" s="322" t="n"/>
      <c r="W779" s="322" t="n"/>
      <c r="X779" s="322" t="n"/>
    </row>
    <row r="780">
      <c r="A780" s="346" t="n"/>
      <c r="B780" s="313" t="n">
        <v>45363</v>
      </c>
      <c r="C780" s="314" t="n">
        <v>16</v>
      </c>
      <c r="D780" s="326" t="inlineStr">
        <is>
          <t>Train Hyperseal to KLIA Airport</t>
        </is>
      </c>
      <c r="E780" s="326" t="n"/>
      <c r="F780" s="323" t="n">
        <v>181844.5</v>
      </c>
      <c r="G780" s="314" t="inlineStr">
        <is>
          <t>MYR</t>
        </is>
      </c>
      <c r="H780" s="345" t="n">
        <v>3636.89</v>
      </c>
      <c r="I780" s="321" t="n"/>
      <c r="J780" s="329" t="n">
        <v>181844.5</v>
      </c>
      <c r="K780" s="321" t="n"/>
      <c r="L780" s="321" t="n"/>
      <c r="M780" s="319" t="n"/>
      <c r="N780" s="320" t="n"/>
      <c r="O780" s="321" t="n"/>
      <c r="P780" s="321" t="n"/>
      <c r="Q780" s="321" t="n"/>
      <c r="R780" s="322" t="n"/>
      <c r="S780" s="322" t="n"/>
      <c r="T780" s="322" t="n"/>
      <c r="U780" s="322" t="n"/>
      <c r="V780" s="322" t="n"/>
      <c r="W780" s="322" t="n"/>
      <c r="X780" s="322" t="n"/>
    </row>
    <row r="781">
      <c r="A781" s="346" t="n"/>
      <c r="B781" s="313" t="n">
        <v>45363</v>
      </c>
      <c r="C781" s="314" t="n">
        <v>17</v>
      </c>
      <c r="D781" s="326" t="inlineStr">
        <is>
          <t>Taxi CGK Airport to Home</t>
        </is>
      </c>
      <c r="E781" s="326" t="n"/>
      <c r="F781" s="323" t="n">
        <v>200000</v>
      </c>
      <c r="G781" s="314" t="inlineStr">
        <is>
          <t>IDR</t>
        </is>
      </c>
      <c r="H781" s="345" t="n">
        <v>1</v>
      </c>
      <c r="I781" s="321" t="n"/>
      <c r="J781" s="329" t="n">
        <v>200000</v>
      </c>
      <c r="K781" s="321" t="n"/>
      <c r="L781" s="321" t="n"/>
      <c r="M781" s="319" t="n"/>
      <c r="N781" s="320" t="n"/>
      <c r="O781" s="321" t="n"/>
      <c r="P781" s="321" t="n"/>
      <c r="Q781" s="321" t="n"/>
      <c r="R781" s="322" t="n"/>
      <c r="S781" s="322" t="n"/>
      <c r="T781" s="322" t="n"/>
      <c r="U781" s="322" t="n"/>
      <c r="V781" s="322" t="n"/>
      <c r="W781" s="322" t="n"/>
      <c r="X781" s="322" t="n"/>
    </row>
    <row r="782">
      <c r="A782" s="346" t="n"/>
      <c r="B782" s="313" t="n">
        <v>45363</v>
      </c>
      <c r="C782" s="314" t="n">
        <v>18</v>
      </c>
      <c r="D782" s="326" t="inlineStr">
        <is>
          <t>Meals 2 days @ 300,000/day</t>
        </is>
      </c>
      <c r="E782" s="326" t="n"/>
      <c r="F782" s="323" t="n">
        <v>600000</v>
      </c>
      <c r="G782" s="314" t="inlineStr">
        <is>
          <t>IDR</t>
        </is>
      </c>
      <c r="H782" s="345" t="n">
        <v>1</v>
      </c>
      <c r="I782" s="321" t="n"/>
      <c r="J782" s="329" t="n">
        <v>600000</v>
      </c>
      <c r="K782" s="321" t="n"/>
      <c r="L782" s="321" t="n"/>
      <c r="M782" s="319" t="n"/>
      <c r="N782" s="320" t="n"/>
      <c r="O782" s="321" t="n"/>
      <c r="P782" s="321" t="n"/>
      <c r="Q782" s="321" t="n"/>
      <c r="R782" s="322" t="n"/>
      <c r="S782" s="322" t="n"/>
      <c r="T782" s="322" t="n"/>
      <c r="U782" s="322" t="n"/>
      <c r="V782" s="322" t="n"/>
      <c r="W782" s="322" t="n"/>
      <c r="X782" s="322" t="n"/>
    </row>
    <row r="783">
      <c r="A783" s="346" t="n"/>
      <c r="B783" s="313" t="n">
        <v>45404</v>
      </c>
      <c r="C783" s="314" t="n">
        <v>19</v>
      </c>
      <c r="D783" s="326" t="inlineStr">
        <is>
          <t>Car 22-23 Apr 2024 (2 days) incl. Fuel &amp; Tol</t>
        </is>
      </c>
      <c r="E783" s="326" t="n"/>
      <c r="F783" s="323" t="n">
        <v>3000000</v>
      </c>
      <c r="G783" s="314" t="inlineStr">
        <is>
          <t>IDR</t>
        </is>
      </c>
      <c r="H783" s="345" t="n">
        <v>1</v>
      </c>
      <c r="I783" s="321" t="n"/>
      <c r="J783" s="329" t="n">
        <v>3000000</v>
      </c>
      <c r="K783" s="321" t="n"/>
      <c r="L783" s="321" t="n"/>
      <c r="M783" s="319" t="n"/>
      <c r="N783" s="320" t="n"/>
      <c r="O783" s="321" t="n"/>
      <c r="P783" s="321" t="n"/>
      <c r="Q783" s="321" t="n"/>
      <c r="R783" s="322" t="n"/>
      <c r="S783" s="322" t="n"/>
      <c r="T783" s="322" t="n"/>
      <c r="U783" s="322" t="n"/>
      <c r="V783" s="322" t="n"/>
      <c r="W783" s="322" t="n"/>
      <c r="X783" s="322" t="n"/>
    </row>
    <row r="784">
      <c r="A784" s="346" t="n"/>
      <c r="B784" s="313" t="n">
        <v>45405</v>
      </c>
      <c r="C784" s="314" t="n">
        <v>20</v>
      </c>
      <c r="D784" s="326" t="inlineStr">
        <is>
          <t>Tunjangan Lapangan @ 1.5 juta/day x 2 days</t>
        </is>
      </c>
      <c r="E784" s="326" t="n"/>
      <c r="F784" s="323" t="n">
        <v>3000000</v>
      </c>
      <c r="G784" s="314" t="inlineStr">
        <is>
          <t>IDR</t>
        </is>
      </c>
      <c r="H784" s="345" t="n">
        <v>1</v>
      </c>
      <c r="I784" s="321" t="n"/>
      <c r="J784" s="329" t="n">
        <v>3000000</v>
      </c>
      <c r="K784" s="321" t="n"/>
      <c r="L784" s="321" t="n"/>
      <c r="M784" s="319" t="n"/>
      <c r="N784" s="320" t="n"/>
      <c r="O784" s="321" t="n"/>
      <c r="P784" s="321" t="n"/>
      <c r="Q784" s="321" t="n"/>
      <c r="R784" s="322" t="n"/>
      <c r="S784" s="322" t="n"/>
      <c r="T784" s="322" t="n"/>
      <c r="U784" s="322" t="n"/>
      <c r="V784" s="322" t="n"/>
      <c r="W784" s="322" t="n"/>
      <c r="X784" s="322" t="n"/>
    </row>
    <row r="785">
      <c r="A785" s="346" t="n"/>
      <c r="B785" s="313" t="n">
        <v>45405</v>
      </c>
      <c r="C785" s="314" t="n">
        <v>21</v>
      </c>
      <c r="D785" s="326" t="inlineStr">
        <is>
          <t>Meals 2 days @ 150,000/day</t>
        </is>
      </c>
      <c r="E785" s="326" t="n"/>
      <c r="F785" s="323" t="n">
        <v>300000</v>
      </c>
      <c r="G785" s="314" t="inlineStr">
        <is>
          <t>IDR</t>
        </is>
      </c>
      <c r="H785" s="345" t="n">
        <v>1</v>
      </c>
      <c r="I785" s="321" t="n"/>
      <c r="J785" s="329" t="n">
        <v>300000</v>
      </c>
      <c r="K785" s="321" t="n"/>
      <c r="L785" s="321" t="n"/>
      <c r="M785" s="319" t="n"/>
      <c r="N785" s="320" t="n"/>
      <c r="O785" s="321" t="n"/>
      <c r="P785" s="321" t="n"/>
      <c r="Q785" s="321" t="n"/>
      <c r="R785" s="322" t="n"/>
      <c r="S785" s="322" t="n"/>
      <c r="T785" s="322" t="n"/>
      <c r="U785" s="322" t="n"/>
      <c r="V785" s="322" t="n"/>
      <c r="W785" s="322" t="n"/>
      <c r="X785" s="322" t="n"/>
    </row>
    <row r="786">
      <c r="A786" s="346" t="n"/>
      <c r="B786" s="313" t="n">
        <v>45412</v>
      </c>
      <c r="C786" s="314" t="n">
        <v>22</v>
      </c>
      <c r="D786" s="326" t="inlineStr">
        <is>
          <t>Car 30 Apr-01 May 2024 (2 days) incl. Fuel &amp; Tol</t>
        </is>
      </c>
      <c r="E786" s="326" t="n"/>
      <c r="F786" s="323" t="n">
        <v>3000000</v>
      </c>
      <c r="G786" s="314" t="inlineStr">
        <is>
          <t>IDR</t>
        </is>
      </c>
      <c r="H786" s="345" t="n">
        <v>1</v>
      </c>
      <c r="I786" s="321" t="n"/>
      <c r="J786" s="329" t="n">
        <v>3000000</v>
      </c>
      <c r="K786" s="321" t="n"/>
      <c r="L786" s="321" t="n"/>
      <c r="M786" s="319" t="n"/>
      <c r="N786" s="320" t="n"/>
      <c r="O786" s="321" t="n"/>
      <c r="P786" s="321" t="n"/>
      <c r="Q786" s="321" t="n"/>
      <c r="R786" s="322" t="n"/>
      <c r="S786" s="322" t="n"/>
      <c r="T786" s="322" t="n"/>
      <c r="U786" s="322" t="n"/>
      <c r="V786" s="322" t="n"/>
      <c r="W786" s="322" t="n"/>
      <c r="X786" s="322" t="n"/>
    </row>
    <row r="787">
      <c r="B787" s="14" t="n">
        <v>45498</v>
      </c>
      <c r="C787" s="15" t="n">
        <v>15</v>
      </c>
      <c r="D787" s="63" t="inlineStr">
        <is>
          <t>Buy Hose 1/4"</t>
        </is>
      </c>
      <c r="E787" s="63" t="n"/>
      <c r="F787" s="21" t="n">
        <v>133000</v>
      </c>
      <c r="G787" s="15" t="inlineStr">
        <is>
          <t>IDR</t>
        </is>
      </c>
      <c r="H787" s="15" t="n">
        <v>1</v>
      </c>
      <c r="I787" s="44" t="n"/>
      <c r="J787" s="44" t="n"/>
      <c r="K787" s="44" t="n"/>
      <c r="L787" s="44" t="n"/>
      <c r="M787" s="62" t="n"/>
      <c r="N787" s="62">
        <f>F427</f>
        <v/>
      </c>
      <c r="O787" s="44" t="n"/>
      <c r="P787" s="44" t="n"/>
      <c r="Q787" s="44" t="n"/>
    </row>
    <row r="788">
      <c r="B788" s="14" t="n">
        <v>45498</v>
      </c>
      <c r="C788" s="15" t="n">
        <v>16</v>
      </c>
      <c r="D788" s="63" t="inlineStr">
        <is>
          <t>Buy Needle Neple</t>
        </is>
      </c>
      <c r="E788" s="63" t="n"/>
      <c r="F788" s="21" t="n">
        <v>700000</v>
      </c>
      <c r="G788" s="15" t="inlineStr">
        <is>
          <t>IDR</t>
        </is>
      </c>
      <c r="H788" s="15" t="n">
        <v>1</v>
      </c>
      <c r="I788" s="44" t="n"/>
      <c r="J788" s="44" t="n"/>
      <c r="K788" s="44" t="n"/>
      <c r="L788" s="44" t="n"/>
      <c r="M788" s="61" t="n"/>
      <c r="N788" s="62">
        <f>F428</f>
        <v/>
      </c>
      <c r="O788" s="44" t="n"/>
      <c r="P788" s="44" t="n"/>
      <c r="Q788" s="44" t="n"/>
    </row>
    <row r="789">
      <c r="B789" s="14" t="n">
        <v>45499</v>
      </c>
      <c r="C789" s="15" t="n">
        <v>17</v>
      </c>
      <c r="D789" s="63" t="inlineStr">
        <is>
          <t>buy Adapter</t>
        </is>
      </c>
      <c r="E789" s="63" t="n"/>
      <c r="F789" s="21" t="n">
        <v>20000</v>
      </c>
      <c r="G789" s="15" t="inlineStr">
        <is>
          <t>IDR</t>
        </is>
      </c>
      <c r="H789" s="15" t="n">
        <v>1</v>
      </c>
      <c r="I789" s="68" t="n"/>
      <c r="J789" s="68" t="n"/>
      <c r="K789" s="68" t="n"/>
      <c r="L789" s="68" t="n"/>
      <c r="M789" s="68" t="n"/>
      <c r="N789" s="62">
        <f>F429</f>
        <v/>
      </c>
      <c r="O789" s="68" t="n"/>
      <c r="P789" s="68" t="n"/>
      <c r="Q789" s="68" t="n"/>
    </row>
    <row r="790">
      <c r="B790" s="14" t="n">
        <v>45500</v>
      </c>
      <c r="C790" s="15" t="n">
        <v>18</v>
      </c>
      <c r="D790" s="63" t="inlineStr">
        <is>
          <t>Buy Hose 1/4"</t>
        </is>
      </c>
      <c r="E790" s="63" t="n"/>
      <c r="F790" s="21" t="n">
        <v>155000</v>
      </c>
      <c r="G790" s="15" t="inlineStr">
        <is>
          <t>IDR</t>
        </is>
      </c>
      <c r="H790" s="15" t="n">
        <v>1</v>
      </c>
      <c r="I790" s="44" t="n"/>
      <c r="J790" s="44" t="n"/>
      <c r="K790" s="44" t="n"/>
      <c r="L790" s="44" t="n"/>
      <c r="M790" s="44" t="n"/>
      <c r="N790" s="62">
        <f>F430</f>
        <v/>
      </c>
      <c r="O790" s="44" t="n"/>
      <c r="P790" s="44" t="n"/>
      <c r="Q790" s="44" t="n"/>
    </row>
    <row r="791">
      <c r="B791" s="14" t="n">
        <v>45500</v>
      </c>
      <c r="C791" s="15" t="n">
        <v>19</v>
      </c>
      <c r="D791" s="63" t="inlineStr">
        <is>
          <t>Buy Needle Neple</t>
        </is>
      </c>
      <c r="E791" s="63" t="n"/>
      <c r="F791" s="21" t="n">
        <v>660000</v>
      </c>
      <c r="G791" s="15" t="inlineStr">
        <is>
          <t>IDR</t>
        </is>
      </c>
      <c r="H791" s="15" t="n">
        <v>1</v>
      </c>
      <c r="I791" s="44" t="n"/>
      <c r="J791" s="44" t="n"/>
      <c r="K791" s="44" t="n"/>
      <c r="L791" s="44" t="n"/>
      <c r="M791" s="44" t="n"/>
      <c r="N791" s="62">
        <f>F431</f>
        <v/>
      </c>
      <c r="O791" s="44" t="n"/>
      <c r="P791" s="44" t="n"/>
      <c r="Q791" s="44" t="n"/>
    </row>
    <row r="792">
      <c r="B792" s="14" t="n">
        <v>45500</v>
      </c>
      <c r="C792" s="15" t="n">
        <v>20</v>
      </c>
      <c r="D792" s="63" t="inlineStr">
        <is>
          <t>Buy Connection 1/4"</t>
        </is>
      </c>
      <c r="E792" s="63" t="n"/>
      <c r="F792" s="21" t="n">
        <v>1760000</v>
      </c>
      <c r="G792" s="15" t="inlineStr">
        <is>
          <t>IDR</t>
        </is>
      </c>
      <c r="H792" s="15" t="n">
        <v>1</v>
      </c>
      <c r="I792" s="44" t="n"/>
      <c r="J792" s="44" t="n"/>
      <c r="K792" s="44" t="n"/>
      <c r="L792" s="44" t="n"/>
      <c r="M792" s="44" t="n"/>
      <c r="N792" s="62">
        <f>F432</f>
        <v/>
      </c>
      <c r="O792" s="44" t="n"/>
      <c r="P792" s="44" t="n"/>
      <c r="Q792" s="44" t="n"/>
    </row>
    <row r="793">
      <c r="B793" s="14" t="n">
        <v>45501</v>
      </c>
      <c r="C793" s="15" t="n">
        <v>21</v>
      </c>
      <c r="D793" s="63" t="inlineStr">
        <is>
          <t>Buy Case for tools box dan hydraulic pump</t>
        </is>
      </c>
      <c r="E793" s="63" t="n"/>
      <c r="F793" s="21" t="n">
        <v>2636800</v>
      </c>
      <c r="G793" s="15" t="inlineStr">
        <is>
          <t>IDR</t>
        </is>
      </c>
      <c r="H793" s="15" t="n">
        <v>1</v>
      </c>
      <c r="I793" s="44" t="n"/>
      <c r="J793" s="44" t="n"/>
      <c r="K793" s="44" t="n"/>
      <c r="L793" s="44" t="n"/>
      <c r="M793" s="44" t="n"/>
      <c r="N793" s="62">
        <f>F433</f>
        <v/>
      </c>
      <c r="O793" s="44" t="n"/>
      <c r="P793" s="44" t="n"/>
      <c r="Q793" s="44" t="n"/>
    </row>
    <row r="794">
      <c r="B794" s="102" t="n"/>
      <c r="C794" s="15" t="n"/>
      <c r="D794" s="108" t="inlineStr">
        <is>
          <t>Meal</t>
        </is>
      </c>
      <c r="E794" s="108" t="n"/>
      <c r="F794" s="21" t="n"/>
      <c r="G794" s="15" t="n"/>
      <c r="H794" s="15" t="n"/>
      <c r="I794" s="44" t="n"/>
      <c r="J794" s="44" t="n"/>
      <c r="K794" s="44" t="n"/>
      <c r="L794" s="44" t="n"/>
      <c r="M794" s="44" t="n"/>
      <c r="N794" s="44" t="n"/>
      <c r="O794" s="44" t="n"/>
      <c r="P794" s="44" t="n"/>
      <c r="Q794" s="44" t="n"/>
    </row>
    <row r="795">
      <c r="B795" s="14" t="n">
        <v>45476</v>
      </c>
      <c r="C795" s="15" t="n"/>
      <c r="D795" s="63" t="inlineStr">
        <is>
          <t>Coffe drink visit to MEPI Jakarta ( Bondan)</t>
        </is>
      </c>
      <c r="E795" s="63" t="n"/>
      <c r="F795" s="21" t="n">
        <v>144100</v>
      </c>
      <c r="G795" s="15" t="inlineStr">
        <is>
          <t>IDR</t>
        </is>
      </c>
      <c r="H795" s="15" t="n">
        <v>1</v>
      </c>
      <c r="I795" s="62">
        <f>F435</f>
        <v/>
      </c>
      <c r="J795" s="44" t="n"/>
      <c r="K795" s="44" t="n"/>
      <c r="L795" s="44" t="n"/>
      <c r="M795" s="44" t="n"/>
      <c r="N795" s="44" t="n"/>
      <c r="O795" s="44" t="n"/>
      <c r="P795" s="44" t="n"/>
      <c r="Q795" s="44" t="n"/>
    </row>
    <row r="796">
      <c r="B796" s="14" t="n">
        <v>45477</v>
      </c>
      <c r="C796" s="15" t="n"/>
      <c r="D796" s="63" t="inlineStr">
        <is>
          <t>Meal lunch when inspect Sample tool</t>
        </is>
      </c>
      <c r="E796" s="63" t="n"/>
      <c r="F796" s="21" t="n">
        <v>157000</v>
      </c>
      <c r="G796" s="15" t="inlineStr">
        <is>
          <t>IDR</t>
        </is>
      </c>
      <c r="H796" s="15" t="n">
        <v>1</v>
      </c>
      <c r="I796" s="62">
        <f>F436</f>
        <v/>
      </c>
      <c r="J796" s="44" t="n"/>
      <c r="K796" s="44" t="n"/>
      <c r="L796" s="44" t="n"/>
      <c r="M796" s="44" t="n"/>
      <c r="N796" s="44" t="n"/>
      <c r="O796" s="44" t="n"/>
      <c r="P796" s="44" t="n"/>
      <c r="Q796" s="44" t="n"/>
    </row>
    <row r="797">
      <c r="B797" s="14" t="n">
        <v>45484</v>
      </c>
      <c r="C797" s="15" t="n"/>
      <c r="D797" s="63" t="inlineStr">
        <is>
          <t>Meal lunch when visit to Lemigas (Sample Botol)</t>
        </is>
      </c>
      <c r="E797" s="63" t="n"/>
      <c r="F797" s="21" t="n">
        <v>81000</v>
      </c>
      <c r="G797" s="15" t="inlineStr">
        <is>
          <t>IDR</t>
        </is>
      </c>
      <c r="H797" s="15" t="n">
        <v>1</v>
      </c>
      <c r="I797" s="62">
        <f>F437</f>
        <v/>
      </c>
      <c r="J797" s="44" t="n"/>
      <c r="K797" s="44" t="n"/>
      <c r="L797" s="44" t="n"/>
      <c r="M797" s="44" t="n"/>
      <c r="N797" s="44" t="n"/>
      <c r="O797" s="44" t="n"/>
      <c r="P797" s="44" t="n"/>
      <c r="Q797" s="44" t="n"/>
    </row>
    <row r="798">
      <c r="B798" s="78" t="inlineStr">
        <is>
          <t>Expense#28</t>
        </is>
      </c>
      <c r="C798" s="85" t="inlineStr">
        <is>
          <t>:</t>
        </is>
      </c>
      <c r="D798" s="86" t="inlineStr">
        <is>
          <t>ALFA-MPLT-Sampler project TIS Energy Blora_well RBG-3B by Barekin Sakti- AC</t>
        </is>
      </c>
      <c r="E798" s="86" t="n"/>
      <c r="F798" s="87" t="n"/>
      <c r="G798" s="73" t="n"/>
      <c r="H798" s="73" t="n"/>
      <c r="I798" s="78" t="n"/>
      <c r="J798" s="78" t="n"/>
      <c r="K798" s="78" t="n"/>
      <c r="L798" s="78" t="n"/>
      <c r="M798" s="78" t="n"/>
      <c r="N798" s="78" t="n"/>
      <c r="O798" s="78" t="n"/>
      <c r="P798" s="78" t="n"/>
      <c r="Q798" s="78" t="n"/>
    </row>
    <row r="799">
      <c r="B799" s="14" t="n"/>
      <c r="C799" s="15" t="n"/>
      <c r="D799" s="124" t="inlineStr">
        <is>
          <t>Transportation</t>
        </is>
      </c>
      <c r="E799" s="124" t="n"/>
      <c r="F799" s="21" t="n"/>
      <c r="G799" s="15" t="n"/>
      <c r="H799" s="15" t="n"/>
      <c r="I799" s="44" t="n"/>
      <c r="J799" s="44" t="n"/>
      <c r="K799" s="44" t="n"/>
      <c r="L799" s="44" t="n"/>
      <c r="M799" s="44" t="n"/>
      <c r="N799" s="44" t="n"/>
      <c r="O799" s="44" t="n"/>
      <c r="P799" s="44" t="n"/>
      <c r="Q799" s="44" t="n"/>
    </row>
    <row r="800">
      <c r="B800" s="102" t="n">
        <v>45511</v>
      </c>
      <c r="C800" s="15" t="n">
        <v>1</v>
      </c>
      <c r="D800" s="63" t="inlineStr">
        <is>
          <t xml:space="preserve">Rental car (include Fuel ) 10 days, @Rp1.100.000 </t>
        </is>
      </c>
      <c r="E800" s="63" t="n"/>
      <c r="F800" s="21" t="n">
        <v>11000000</v>
      </c>
      <c r="G800" s="15" t="inlineStr">
        <is>
          <t>IDR</t>
        </is>
      </c>
      <c r="H800" s="15" t="n">
        <v>1</v>
      </c>
      <c r="I800" s="61">
        <f>$H440*$F440</f>
        <v/>
      </c>
      <c r="J800" s="44" t="n"/>
      <c r="K800" s="44" t="n"/>
      <c r="L800" s="44" t="n"/>
      <c r="M800" s="44" t="n"/>
      <c r="N800" s="44" t="n"/>
      <c r="O800" s="44" t="n"/>
      <c r="P800" s="44" t="n"/>
      <c r="Q800" s="44" t="n"/>
    </row>
    <row r="801">
      <c r="B801" s="102" t="n">
        <v>45502</v>
      </c>
      <c r="C801" s="15" t="n">
        <v>2</v>
      </c>
      <c r="D801" s="63" t="inlineStr">
        <is>
          <t>Toll (Jkt Blora - PP)</t>
        </is>
      </c>
      <c r="E801" s="63" t="n"/>
      <c r="F801" s="21">
        <f>15000+27000+400000+8000+27500+5500</f>
        <v/>
      </c>
      <c r="G801" s="15" t="inlineStr">
        <is>
          <t>IDR</t>
        </is>
      </c>
      <c r="H801" s="15" t="n">
        <v>1</v>
      </c>
      <c r="I801" s="61">
        <f>$H441*$F441</f>
        <v/>
      </c>
      <c r="J801" s="44" t="n"/>
      <c r="K801" s="44" t="n"/>
      <c r="L801" s="44" t="n"/>
      <c r="M801" s="61" t="n"/>
      <c r="N801" s="44" t="n"/>
      <c r="O801" s="44" t="n"/>
      <c r="P801" s="44" t="n"/>
      <c r="Q801" s="44" t="n"/>
    </row>
    <row r="802">
      <c r="B802" s="102" t="n">
        <v>45511</v>
      </c>
      <c r="C802" s="15" t="n">
        <v>3</v>
      </c>
      <c r="D802" s="63" t="inlineStr">
        <is>
          <t>Toll (Gubug - Jakarta)</t>
        </is>
      </c>
      <c r="E802" s="63" t="n"/>
      <c r="F802" s="21">
        <f>5500+59500+20500+5500+405000</f>
        <v/>
      </c>
      <c r="G802" s="15" t="inlineStr">
        <is>
          <t>IDR</t>
        </is>
      </c>
      <c r="H802" s="15" t="n">
        <v>1</v>
      </c>
      <c r="I802" s="61">
        <f>$H442*$F442</f>
        <v/>
      </c>
      <c r="J802" s="44" t="n"/>
      <c r="K802" s="44" t="n"/>
      <c r="L802" s="44" t="n"/>
      <c r="M802" s="62" t="n"/>
      <c r="N802" s="44" t="n"/>
      <c r="O802" s="44" t="n"/>
      <c r="P802" s="44" t="n"/>
      <c r="Q802" s="44" t="n"/>
    </row>
    <row r="803">
      <c r="B803" s="102" t="n"/>
      <c r="C803" s="15" t="n"/>
      <c r="D803" s="108" t="inlineStr">
        <is>
          <t>Accommodation</t>
        </is>
      </c>
      <c r="E803" s="108" t="n"/>
      <c r="F803" s="21" t="n"/>
      <c r="G803" s="15" t="n"/>
      <c r="H803" s="15" t="n"/>
      <c r="I803" s="44" t="n"/>
      <c r="J803" s="44" t="n"/>
      <c r="K803" s="44" t="n"/>
      <c r="L803" s="44" t="n"/>
      <c r="M803" s="61" t="n"/>
      <c r="N803" s="61" t="n"/>
      <c r="O803" s="44" t="n"/>
      <c r="P803" s="44" t="n"/>
      <c r="Q803" s="44" t="n"/>
    </row>
    <row r="804">
      <c r="B804" s="102" t="n">
        <v>45511</v>
      </c>
      <c r="C804" s="15" t="n">
        <v>4</v>
      </c>
      <c r="D804" s="63" t="inlineStr">
        <is>
          <t>Laundry dor 10 days @Rp.50.000.</t>
        </is>
      </c>
      <c r="E804" s="63" t="n"/>
      <c r="F804" s="21" t="n">
        <v>500000</v>
      </c>
      <c r="G804" s="15" t="inlineStr">
        <is>
          <t>IDR</t>
        </is>
      </c>
      <c r="H804" s="15" t="n">
        <v>1</v>
      </c>
      <c r="I804" s="62">
        <f>F444</f>
        <v/>
      </c>
      <c r="J804" s="44" t="n"/>
      <c r="K804" s="44" t="n"/>
      <c r="L804" s="44" t="n"/>
      <c r="M804" s="62" t="n"/>
      <c r="N804" s="44" t="n"/>
      <c r="O804" s="44" t="n"/>
      <c r="P804" s="44" t="n"/>
      <c r="Q804" s="44" t="n"/>
    </row>
    <row r="805">
      <c r="B805" s="102" t="n">
        <v>45507</v>
      </c>
      <c r="C805" s="15" t="n">
        <v>5</v>
      </c>
      <c r="D805" s="63" t="inlineStr">
        <is>
          <t>Hotel for 6 days ( 29 Jul - 3 aug 24)</t>
        </is>
      </c>
      <c r="E805" s="63" t="n"/>
      <c r="F805" s="21" t="n">
        <v>2700000</v>
      </c>
      <c r="G805" s="15" t="inlineStr">
        <is>
          <t>IDR</t>
        </is>
      </c>
      <c r="H805" s="15" t="n">
        <v>1</v>
      </c>
      <c r="I805" s="62">
        <f>F445</f>
        <v/>
      </c>
      <c r="J805" s="44" t="n"/>
      <c r="K805" s="44" t="n"/>
      <c r="L805" s="44" t="n"/>
      <c r="M805" s="61" t="n"/>
      <c r="N805" s="44" t="n"/>
      <c r="O805" s="44" t="n"/>
      <c r="P805" s="44" t="n"/>
      <c r="Q805" s="44" t="n"/>
    </row>
    <row r="806">
      <c r="B806" s="102" t="n"/>
      <c r="C806" s="15" t="n"/>
      <c r="D806" s="108" t="inlineStr">
        <is>
          <t>Logistic</t>
        </is>
      </c>
      <c r="E806" s="108" t="n"/>
      <c r="F806" s="21" t="n"/>
      <c r="G806" s="15" t="n"/>
      <c r="H806" s="15" t="n"/>
      <c r="I806" s="44" t="n"/>
      <c r="J806" s="44" t="n"/>
      <c r="K806" s="44" t="n"/>
      <c r="L806" s="44" t="n"/>
      <c r="M806" s="62" t="n"/>
      <c r="N806" s="44" t="n"/>
      <c r="O806" s="44" t="n"/>
      <c r="P806" s="44" t="n"/>
      <c r="Q806" s="44" t="n"/>
    </row>
    <row r="807">
      <c r="B807" s="102" t="n">
        <v>45502</v>
      </c>
      <c r="C807" s="15" t="n">
        <v>6</v>
      </c>
      <c r="D807" s="63" t="inlineStr">
        <is>
          <t>buy Zirolic</t>
        </is>
      </c>
      <c r="E807" s="63" t="n"/>
      <c r="F807" s="21" t="n">
        <v>34200</v>
      </c>
      <c r="G807" s="15" t="inlineStr">
        <is>
          <t>IDR</t>
        </is>
      </c>
      <c r="H807" s="15" t="n">
        <v>1</v>
      </c>
      <c r="I807" s="44" t="n"/>
      <c r="J807" s="44" t="n"/>
      <c r="K807" s="44" t="n"/>
      <c r="L807" s="44" t="n"/>
      <c r="M807" s="61" t="n"/>
      <c r="N807" s="44" t="n"/>
      <c r="O807" s="44" t="n"/>
      <c r="P807" s="62">
        <f>F447</f>
        <v/>
      </c>
      <c r="Q807" s="44" t="n"/>
    </row>
    <row r="808">
      <c r="B808" s="102" t="n">
        <v>45502</v>
      </c>
      <c r="C808" s="15" t="n">
        <v>7</v>
      </c>
      <c r="D808" s="63" t="inlineStr">
        <is>
          <t>buy Soft drink</t>
        </is>
      </c>
      <c r="E808" s="63" t="n"/>
      <c r="F808" s="21" t="n">
        <v>199900</v>
      </c>
      <c r="G808" s="15" t="inlineStr">
        <is>
          <t>IDR</t>
        </is>
      </c>
      <c r="H808" s="15" t="n">
        <v>1</v>
      </c>
      <c r="I808" s="62">
        <f>F448</f>
        <v/>
      </c>
      <c r="J808" s="44" t="n"/>
      <c r="K808" s="44" t="n"/>
      <c r="L808" s="44" t="n"/>
      <c r="M808" s="44" t="n"/>
      <c r="N808" s="44" t="n"/>
      <c r="O808" s="44" t="n"/>
      <c r="P808" s="44" t="n"/>
      <c r="Q808" s="44" t="n"/>
    </row>
    <row r="809">
      <c r="B809" s="102" t="n">
        <v>45504</v>
      </c>
      <c r="C809" s="15" t="n">
        <v>8</v>
      </c>
      <c r="D809" s="63" t="inlineStr">
        <is>
          <t>buy Soft drink</t>
        </is>
      </c>
      <c r="E809" s="63" t="n"/>
      <c r="F809" s="21" t="n">
        <v>69000</v>
      </c>
      <c r="G809" s="15" t="inlineStr">
        <is>
          <t>IDR</t>
        </is>
      </c>
      <c r="H809" s="15" t="n">
        <v>1</v>
      </c>
      <c r="I809" s="62">
        <f>F449</f>
        <v/>
      </c>
      <c r="J809" s="44" t="n"/>
      <c r="K809" s="44" t="n"/>
      <c r="L809" s="44" t="n"/>
      <c r="M809" s="44" t="n"/>
      <c r="N809" s="44" t="n"/>
      <c r="O809" s="44" t="n"/>
      <c r="P809" s="44" t="n"/>
      <c r="Q809" s="44" t="n"/>
    </row>
    <row r="810">
      <c r="B810" s="102" t="n">
        <v>45476</v>
      </c>
      <c r="C810" s="15" t="n">
        <v>9</v>
      </c>
      <c r="D810" s="63" t="inlineStr">
        <is>
          <t>buy Soft drink</t>
        </is>
      </c>
      <c r="E810" s="63" t="n"/>
      <c r="F810" s="21" t="n">
        <v>98000</v>
      </c>
      <c r="G810" s="15" t="inlineStr">
        <is>
          <t>IDR</t>
        </is>
      </c>
      <c r="H810" s="15" t="n">
        <v>1</v>
      </c>
      <c r="I810" s="62">
        <f>F450</f>
        <v/>
      </c>
      <c r="J810" s="44" t="n"/>
      <c r="K810" s="44" t="n"/>
      <c r="L810" s="44" t="n"/>
      <c r="M810" s="44" t="n"/>
      <c r="N810" s="44" t="n"/>
      <c r="O810" s="44" t="n"/>
      <c r="P810" s="44" t="n"/>
      <c r="Q810" s="44" t="n"/>
    </row>
    <row r="811">
      <c r="B811" s="102" t="n">
        <v>45505</v>
      </c>
      <c r="C811" s="15" t="n">
        <v>10</v>
      </c>
      <c r="D811" s="63" t="inlineStr">
        <is>
          <t>Buy WD 40</t>
        </is>
      </c>
      <c r="E811" s="63" t="n"/>
      <c r="F811" s="21" t="n">
        <v>65000</v>
      </c>
      <c r="G811" s="15" t="inlineStr">
        <is>
          <t>IDR</t>
        </is>
      </c>
      <c r="H811" s="15" t="n">
        <v>1</v>
      </c>
      <c r="I811" s="44" t="n"/>
      <c r="J811" s="44" t="n"/>
      <c r="K811" s="44" t="n"/>
      <c r="L811" s="44" t="n"/>
      <c r="M811" s="44" t="n"/>
      <c r="N811" s="62">
        <f>F451</f>
        <v/>
      </c>
      <c r="O811" s="44" t="n"/>
      <c r="P811" s="44" t="n"/>
      <c r="Q811" s="44" t="n"/>
    </row>
    <row r="812">
      <c r="B812" s="102" t="n">
        <v>45505</v>
      </c>
      <c r="C812" s="15" t="n">
        <v>11</v>
      </c>
      <c r="D812" s="63" t="inlineStr">
        <is>
          <t>buy Soft drink</t>
        </is>
      </c>
      <c r="E812" s="63" t="n"/>
      <c r="F812" s="21" t="n">
        <v>109800</v>
      </c>
      <c r="G812" s="15" t="inlineStr">
        <is>
          <t>IDR</t>
        </is>
      </c>
      <c r="H812" s="15" t="n">
        <v>1</v>
      </c>
      <c r="I812" s="62">
        <f>F452</f>
        <v/>
      </c>
      <c r="J812" s="44" t="n"/>
      <c r="K812" s="44" t="n"/>
      <c r="L812" s="44" t="n"/>
      <c r="M812" s="44" t="n"/>
      <c r="N812" s="44" t="n"/>
      <c r="O812" s="44" t="n"/>
      <c r="P812" s="44" t="n"/>
      <c r="Q812" s="44" t="n"/>
    </row>
    <row r="813">
      <c r="B813" s="102" t="n">
        <v>45507</v>
      </c>
      <c r="C813" s="15" t="n">
        <v>12</v>
      </c>
      <c r="D813" s="63" t="inlineStr">
        <is>
          <t>buy Soft drink</t>
        </is>
      </c>
      <c r="E813" s="63" t="n"/>
      <c r="F813" s="21" t="n">
        <v>96600</v>
      </c>
      <c r="G813" s="15" t="inlineStr">
        <is>
          <t>IDR</t>
        </is>
      </c>
      <c r="H813" s="15" t="n">
        <v>1</v>
      </c>
      <c r="I813" s="62">
        <f>F453</f>
        <v/>
      </c>
      <c r="J813" s="44" t="n"/>
      <c r="K813" s="44" t="n"/>
      <c r="L813" s="44" t="n"/>
      <c r="M813" s="44" t="n"/>
      <c r="N813" s="44" t="n"/>
      <c r="O813" s="44" t="n"/>
      <c r="P813" s="44" t="n"/>
      <c r="Q813" s="44" t="n"/>
    </row>
    <row r="814">
      <c r="B814" s="102" t="n">
        <v>45508</v>
      </c>
      <c r="C814" s="15" t="n">
        <v>13</v>
      </c>
      <c r="D814" s="63" t="inlineStr">
        <is>
          <t>buy Soft drink</t>
        </is>
      </c>
      <c r="E814" s="63" t="n"/>
      <c r="F814" s="21" t="n">
        <v>56600</v>
      </c>
      <c r="G814" s="15" t="inlineStr">
        <is>
          <t>IDR</t>
        </is>
      </c>
      <c r="H814" s="15" t="n">
        <v>1</v>
      </c>
      <c r="I814" s="62">
        <f>F454</f>
        <v/>
      </c>
      <c r="J814" s="44" t="n"/>
      <c r="K814" s="44" t="n"/>
      <c r="L814" s="44" t="n"/>
      <c r="M814" s="44" t="n"/>
      <c r="N814" s="44" t="n"/>
      <c r="O814" s="44" t="n"/>
      <c r="P814" s="44" t="n"/>
      <c r="Q814" s="44" t="n"/>
    </row>
    <row r="815">
      <c r="B815" s="102" t="n">
        <v>45509</v>
      </c>
      <c r="C815" s="15" t="n">
        <v>14</v>
      </c>
      <c r="D815" s="63" t="inlineStr">
        <is>
          <t>Buy connection T dan nipple</t>
        </is>
      </c>
      <c r="E815" s="63" t="n"/>
      <c r="F815" s="21" t="n">
        <v>72500</v>
      </c>
      <c r="G815" s="15" t="inlineStr">
        <is>
          <t>IDR</t>
        </is>
      </c>
      <c r="H815" s="15" t="n">
        <v>1</v>
      </c>
      <c r="I815" s="44" t="n"/>
      <c r="J815" s="44" t="n"/>
      <c r="K815" s="44" t="n"/>
      <c r="L815" s="44" t="n"/>
      <c r="M815" s="44" t="n"/>
      <c r="N815" s="62">
        <f>F455</f>
        <v/>
      </c>
      <c r="O815" s="44" t="n"/>
      <c r="P815" s="44" t="n"/>
      <c r="Q815" s="44" t="n"/>
    </row>
    <row r="816">
      <c r="B816" s="102" t="n">
        <v>45509</v>
      </c>
      <c r="C816" s="15" t="n">
        <v>15</v>
      </c>
      <c r="D816" s="63" t="inlineStr">
        <is>
          <t>Buy Quick connection</t>
        </is>
      </c>
      <c r="E816" s="63" t="n"/>
      <c r="F816" s="21" t="n">
        <v>400000</v>
      </c>
      <c r="G816" s="15" t="inlineStr">
        <is>
          <t>IDR</t>
        </is>
      </c>
      <c r="H816" s="15" t="n">
        <v>1</v>
      </c>
      <c r="I816" s="44" t="n"/>
      <c r="J816" s="44" t="n"/>
      <c r="K816" s="44" t="n"/>
      <c r="L816" s="44" t="n"/>
      <c r="M816" s="44" t="n"/>
      <c r="N816" s="62">
        <f>F456</f>
        <v/>
      </c>
      <c r="O816" s="44" t="n"/>
      <c r="P816" s="44" t="n"/>
      <c r="Q816" s="44" t="n"/>
    </row>
    <row r="817">
      <c r="B817" s="102" t="n">
        <v>45510</v>
      </c>
      <c r="C817" s="15" t="n">
        <v>16</v>
      </c>
      <c r="D817" s="63" t="inlineStr">
        <is>
          <t>Buy Paint nippon</t>
        </is>
      </c>
      <c r="E817" s="63" t="n"/>
      <c r="F817" s="21" t="n">
        <v>60000</v>
      </c>
      <c r="G817" s="15" t="inlineStr">
        <is>
          <t>IDR</t>
        </is>
      </c>
      <c r="H817" s="15" t="n">
        <v>1</v>
      </c>
      <c r="I817" s="44" t="n"/>
      <c r="J817" s="44" t="n"/>
      <c r="K817" s="44" t="n"/>
      <c r="L817" s="44" t="n"/>
      <c r="M817" s="61" t="n"/>
      <c r="N817" s="62">
        <f>F457</f>
        <v/>
      </c>
      <c r="O817" s="44" t="n"/>
      <c r="P817" s="44" t="n"/>
      <c r="Q817" s="44" t="n"/>
    </row>
    <row r="818">
      <c r="B818" s="102" t="n">
        <v>45510</v>
      </c>
      <c r="C818" s="15" t="n">
        <v>17</v>
      </c>
      <c r="D818" s="63" t="inlineStr">
        <is>
          <t>buy Soft drink</t>
        </is>
      </c>
      <c r="E818" s="63" t="n"/>
      <c r="F818" s="21" t="n">
        <v>118100</v>
      </c>
      <c r="G818" s="15" t="inlineStr">
        <is>
          <t>IDR</t>
        </is>
      </c>
      <c r="H818" s="15" t="n">
        <v>1</v>
      </c>
      <c r="I818" s="62">
        <f>F458</f>
        <v/>
      </c>
      <c r="J818" s="44" t="n"/>
      <c r="K818" s="44" t="n"/>
      <c r="L818" s="44" t="n"/>
      <c r="M818" s="62" t="n"/>
      <c r="N818" s="44" t="n"/>
      <c r="O818" s="44" t="n"/>
      <c r="P818" s="44" t="n"/>
      <c r="Q818" s="44" t="n"/>
    </row>
    <row r="819">
      <c r="B819" s="102" t="n"/>
      <c r="C819" s="15" t="n"/>
      <c r="D819" s="108" t="inlineStr">
        <is>
          <t>Meal</t>
        </is>
      </c>
      <c r="E819" s="108" t="n"/>
      <c r="F819" s="21" t="n"/>
      <c r="G819" s="15" t="n"/>
      <c r="H819" s="15" t="n"/>
      <c r="I819" s="44" t="n"/>
      <c r="J819" s="44" t="n"/>
      <c r="K819" s="44" t="n"/>
      <c r="L819" s="44" t="n"/>
      <c r="M819" s="61" t="n"/>
      <c r="N819" s="44" t="n"/>
      <c r="O819" s="44" t="n"/>
      <c r="P819" s="44" t="n"/>
      <c r="Q819" s="44" t="n"/>
    </row>
    <row r="820">
      <c r="B820" s="102" t="n">
        <v>45502</v>
      </c>
      <c r="C820" s="15" t="n">
        <v>18</v>
      </c>
      <c r="D820" s="63" t="inlineStr">
        <is>
          <t>w/ Crew Barekin</t>
        </is>
      </c>
      <c r="E820" s="63" t="n"/>
      <c r="F820" s="21" t="n">
        <v>275000</v>
      </c>
      <c r="G820" s="15" t="inlineStr">
        <is>
          <t>IDR</t>
        </is>
      </c>
      <c r="H820" s="15" t="n">
        <v>1</v>
      </c>
      <c r="I820" s="62">
        <f>$F460*$H460</f>
        <v/>
      </c>
      <c r="J820" s="44" t="n"/>
      <c r="K820" s="44" t="n"/>
      <c r="L820" s="44" t="n"/>
      <c r="M820" s="61" t="n"/>
      <c r="N820" s="44" t="n"/>
      <c r="O820" s="44" t="n"/>
      <c r="P820" s="44" t="n"/>
      <c r="Q820" s="44" t="n"/>
    </row>
    <row r="821">
      <c r="B821" s="102" t="n">
        <v>45505</v>
      </c>
      <c r="C821" s="15" t="n">
        <v>19</v>
      </c>
      <c r="D821" s="63" t="inlineStr">
        <is>
          <t>W/ TIS Petroleum personnel</t>
        </is>
      </c>
      <c r="E821" s="63" t="n"/>
      <c r="F821" s="21" t="n">
        <v>157000</v>
      </c>
      <c r="G821" s="15" t="inlineStr">
        <is>
          <t>IDR</t>
        </is>
      </c>
      <c r="H821" s="15" t="n">
        <v>1</v>
      </c>
      <c r="I821" s="62">
        <f>$F461*$H461</f>
        <v/>
      </c>
      <c r="J821" s="44" t="n"/>
      <c r="K821" s="44" t="n"/>
      <c r="L821" s="44" t="n"/>
      <c r="M821" s="61" t="n"/>
      <c r="N821" s="44" t="n"/>
      <c r="O821" s="44" t="n"/>
      <c r="P821" s="44" t="n"/>
      <c r="Q821" s="44" t="n"/>
    </row>
    <row r="822">
      <c r="B822" s="102" t="n">
        <v>45506</v>
      </c>
      <c r="C822" s="15" t="n">
        <v>20</v>
      </c>
      <c r="D822" s="63" t="inlineStr">
        <is>
          <t>w/ Crew Barekin (buy ice sirop) No reciept</t>
        </is>
      </c>
      <c r="E822" s="63" t="n"/>
      <c r="F822" s="21" t="n">
        <v>80000</v>
      </c>
      <c r="G822" s="15" t="inlineStr">
        <is>
          <t>IDR</t>
        </is>
      </c>
      <c r="H822" s="15" t="n">
        <v>1</v>
      </c>
      <c r="I822" s="62">
        <f>$F462*$H462</f>
        <v/>
      </c>
      <c r="J822" s="44" t="n"/>
      <c r="K822" s="44" t="n"/>
      <c r="L822" s="44" t="n"/>
      <c r="M822" s="62" t="n"/>
      <c r="N822" s="44" t="n"/>
      <c r="O822" s="44" t="n"/>
      <c r="P822" s="44" t="n"/>
      <c r="Q822" s="44" t="n"/>
    </row>
    <row r="823">
      <c r="B823" s="102" t="n">
        <v>45507</v>
      </c>
      <c r="C823" s="15" t="n">
        <v>21</v>
      </c>
      <c r="D823" s="63" t="inlineStr">
        <is>
          <t>w/ TIS Lemigas Personnel</t>
        </is>
      </c>
      <c r="E823" s="63" t="n"/>
      <c r="F823" s="21">
        <f>251350 +19000</f>
        <v/>
      </c>
      <c r="G823" s="15" t="inlineStr">
        <is>
          <t>IDR</t>
        </is>
      </c>
      <c r="H823" s="15" t="n">
        <v>1</v>
      </c>
      <c r="I823" s="62">
        <f>$F463*$H463</f>
        <v/>
      </c>
      <c r="J823" s="44" t="n"/>
      <c r="K823" s="44" t="n"/>
      <c r="L823" s="44" t="n"/>
      <c r="M823" s="61" t="n"/>
      <c r="N823" s="44" t="n"/>
      <c r="O823" s="44" t="n"/>
      <c r="P823" s="44" t="n"/>
      <c r="Q823" s="44" t="n"/>
    </row>
    <row r="824">
      <c r="B824" s="102" t="n">
        <v>45507</v>
      </c>
      <c r="C824" s="15" t="n">
        <v>22</v>
      </c>
      <c r="D824" s="63" t="inlineStr">
        <is>
          <t>w/ TIS Petroleum Personnel</t>
        </is>
      </c>
      <c r="E824" s="63" t="n"/>
      <c r="F824" s="21" t="n">
        <v>401000</v>
      </c>
      <c r="G824" s="15" t="inlineStr">
        <is>
          <t>IDR</t>
        </is>
      </c>
      <c r="H824" s="15" t="n">
        <v>1</v>
      </c>
      <c r="I824" s="62">
        <f>$F464*$H464</f>
        <v/>
      </c>
      <c r="J824" s="44" t="n"/>
      <c r="K824" s="44" t="n"/>
      <c r="L824" s="44" t="n"/>
      <c r="M824" s="62" t="n"/>
      <c r="N824" s="44" t="n"/>
      <c r="O824" s="44" t="n"/>
      <c r="P824" s="44" t="n"/>
      <c r="Q824" s="44" t="n"/>
    </row>
    <row r="825">
      <c r="B825" s="102" t="n"/>
      <c r="C825" s="15" t="n"/>
      <c r="D825" s="108" t="inlineStr">
        <is>
          <t>Allowance</t>
        </is>
      </c>
      <c r="E825" s="108" t="n"/>
      <c r="F825" s="21" t="n"/>
      <c r="G825" s="15" t="n"/>
      <c r="H825" s="15" t="n"/>
      <c r="I825" s="44" t="n"/>
      <c r="J825" s="44" t="n"/>
      <c r="K825" s="44" t="n"/>
      <c r="L825" s="44" t="n"/>
      <c r="M825" s="61" t="n"/>
      <c r="N825" s="44" t="n"/>
      <c r="O825" s="44" t="n"/>
      <c r="P825" s="44" t="n"/>
      <c r="Q825" s="44" t="n"/>
    </row>
    <row r="826">
      <c r="B826" s="102" t="n">
        <v>45511</v>
      </c>
      <c r="C826" s="15" t="n">
        <v>23</v>
      </c>
      <c r="D826" s="63" t="inlineStr">
        <is>
          <t>Meal utk 10 hari (29 Jul -7Aug-24) @Rp. 150.000</t>
        </is>
      </c>
      <c r="E826" s="63" t="n"/>
      <c r="F826" s="21" t="n">
        <v>1500000</v>
      </c>
      <c r="G826" s="15" t="inlineStr">
        <is>
          <t>IDR</t>
        </is>
      </c>
      <c r="H826" s="15" t="n">
        <v>1</v>
      </c>
      <c r="I826" s="62">
        <f>F466</f>
        <v/>
      </c>
      <c r="J826" s="44" t="n"/>
      <c r="K826" s="44" t="n"/>
      <c r="L826" s="44" t="n"/>
      <c r="M826" s="44" t="n"/>
      <c r="N826" s="44" t="n"/>
      <c r="O826" s="44" t="n"/>
      <c r="P826" s="44" t="n"/>
      <c r="Q826" s="44" t="n"/>
    </row>
    <row r="827">
      <c r="B827" s="102" t="n"/>
      <c r="C827" s="15" t="n"/>
      <c r="D827" s="108" t="inlineStr">
        <is>
          <t>Allowance</t>
        </is>
      </c>
      <c r="E827" s="108" t="n"/>
      <c r="F827" s="21" t="n"/>
      <c r="G827" s="15" t="n"/>
      <c r="H827" s="15" t="n"/>
      <c r="I827" s="44" t="n"/>
      <c r="J827" s="44" t="n"/>
      <c r="K827" s="44" t="n"/>
      <c r="L827" s="44" t="n"/>
      <c r="M827" s="44" t="n"/>
      <c r="N827" s="44" t="n"/>
      <c r="O827" s="44" t="n"/>
      <c r="P827" s="44" t="n"/>
      <c r="Q827" s="44" t="n"/>
    </row>
    <row r="828">
      <c r="B828" s="102" t="n">
        <v>45511</v>
      </c>
      <c r="C828" s="15" t="n">
        <v>24</v>
      </c>
      <c r="D828" s="63" t="inlineStr">
        <is>
          <t>Tunjangan lapangan for 10 days (29Jul - 07Aug24) Anevril</t>
        </is>
      </c>
      <c r="E828" s="63" t="n"/>
      <c r="F828" s="21" t="n">
        <v>1000</v>
      </c>
      <c r="G828" s="15" t="inlineStr">
        <is>
          <t>USD</t>
        </is>
      </c>
      <c r="H828" s="15" t="n">
        <v>16100</v>
      </c>
      <c r="I828" s="62">
        <f>H468*F468</f>
        <v/>
      </c>
      <c r="J828" s="44" t="n"/>
      <c r="K828" s="44" t="n"/>
      <c r="L828" s="44" t="n"/>
      <c r="M828" s="44" t="n"/>
      <c r="N828" s="44" t="n"/>
      <c r="O828" s="44" t="n"/>
      <c r="P828" s="44" t="n"/>
      <c r="Q828" s="44" t="n"/>
    </row>
    <row r="829">
      <c r="B829" s="78" t="inlineStr">
        <is>
          <t>Expense#29</t>
        </is>
      </c>
      <c r="C829" s="85" t="inlineStr">
        <is>
          <t>:</t>
        </is>
      </c>
      <c r="D829" s="86" t="inlineStr">
        <is>
          <t>ALFA-MPLT-BHS_ RBG 3B PT. TIS under Barikin sakti _TMA</t>
        </is>
      </c>
      <c r="E829" s="86" t="n"/>
      <c r="F829" s="87" t="n"/>
      <c r="G829" s="73" t="n"/>
      <c r="H829" s="73" t="n"/>
      <c r="I829" s="78" t="n"/>
      <c r="J829" s="78" t="n"/>
      <c r="K829" s="78" t="n"/>
      <c r="L829" s="78" t="n"/>
      <c r="M829" s="78" t="n"/>
      <c r="N829" s="78" t="n"/>
      <c r="O829" s="78" t="n"/>
      <c r="P829" s="78" t="n"/>
      <c r="Q829" s="78" t="n"/>
    </row>
    <row r="830">
      <c r="B830" s="292" t="n"/>
      <c r="C830" s="91" t="n"/>
      <c r="D830" s="97" t="inlineStr">
        <is>
          <t>Accommodation</t>
        </is>
      </c>
      <c r="E830" s="97" t="n"/>
      <c r="F830" s="93" t="n"/>
      <c r="G830" s="91" t="n"/>
      <c r="H830" s="91" t="n"/>
      <c r="I830" s="44" t="n"/>
      <c r="J830" s="44" t="n"/>
      <c r="K830" s="44" t="n"/>
      <c r="L830" s="44" t="n"/>
      <c r="M830" s="44" t="n"/>
      <c r="N830" s="44" t="n"/>
      <c r="O830" s="44" t="n"/>
      <c r="P830" s="44" t="n"/>
      <c r="Q830" s="44" t="n"/>
    </row>
    <row r="831">
      <c r="B831" s="292" t="n">
        <v>45502</v>
      </c>
      <c r="C831" s="91" t="n">
        <v>1</v>
      </c>
      <c r="D831" s="95" t="inlineStr">
        <is>
          <t>Electrical Bill</t>
        </is>
      </c>
      <c r="E831" s="95" t="n"/>
      <c r="F831" s="93" t="n">
        <v>159682</v>
      </c>
      <c r="G831" s="91" t="inlineStr">
        <is>
          <t>IDR</t>
        </is>
      </c>
      <c r="H831" s="91" t="n">
        <v>1</v>
      </c>
      <c r="I831" s="62">
        <f>F471</f>
        <v/>
      </c>
      <c r="J831" s="44" t="n"/>
      <c r="K831" s="44" t="n"/>
      <c r="L831" s="44" t="n"/>
      <c r="M831" s="44" t="n"/>
      <c r="N831" s="44" t="n"/>
      <c r="O831" s="44" t="n"/>
      <c r="P831" s="44" t="n"/>
      <c r="Q831" s="44" t="n"/>
    </row>
    <row r="832">
      <c r="B832" s="292" t="n">
        <v>45502</v>
      </c>
      <c r="C832" s="91" t="n">
        <v>2</v>
      </c>
      <c r="D832" s="95" t="inlineStr">
        <is>
          <t>Laundry 10 days 1 Persons @ 50K IDR/day</t>
        </is>
      </c>
      <c r="E832" s="95" t="n"/>
      <c r="F832" s="93" t="n">
        <v>500000</v>
      </c>
      <c r="G832" s="91" t="inlineStr">
        <is>
          <t>IDR</t>
        </is>
      </c>
      <c r="H832" s="91" t="n">
        <v>1</v>
      </c>
      <c r="I832" s="62">
        <f>F472</f>
        <v/>
      </c>
      <c r="J832" s="44" t="n"/>
      <c r="K832" s="44" t="n"/>
      <c r="L832" s="44" t="n"/>
      <c r="M832" s="44" t="n"/>
      <c r="N832" s="44" t="n"/>
      <c r="O832" s="44" t="n"/>
      <c r="P832" s="44" t="n"/>
      <c r="Q832" s="44" t="n"/>
    </row>
    <row r="833">
      <c r="B833" s="292" t="n"/>
      <c r="C833" s="91" t="n"/>
      <c r="D833" s="97" t="inlineStr">
        <is>
          <t>Transportation</t>
        </is>
      </c>
      <c r="E833" s="97" t="n"/>
      <c r="F833" s="93" t="n"/>
      <c r="G833" s="91" t="n"/>
      <c r="H833" s="91" t="n"/>
      <c r="I833" s="44" t="n"/>
      <c r="J833" s="44" t="n"/>
      <c r="K833" s="44" t="n"/>
      <c r="L833" s="44" t="n"/>
      <c r="M833" s="61" t="n"/>
      <c r="N833" s="44" t="n"/>
      <c r="O833" s="44" t="n"/>
      <c r="P833" s="44" t="n"/>
      <c r="Q833" s="44" t="n"/>
    </row>
    <row r="834">
      <c r="B834" s="292" t="n">
        <v>45499</v>
      </c>
      <c r="C834" s="91" t="n">
        <v>3</v>
      </c>
      <c r="D834" s="95" t="inlineStr">
        <is>
          <t>Lalamove Base to Barikin</t>
        </is>
      </c>
      <c r="E834" s="95" t="n"/>
      <c r="F834" s="93" t="n">
        <v>276500</v>
      </c>
      <c r="G834" s="91" t="inlineStr">
        <is>
          <t>IDR</t>
        </is>
      </c>
      <c r="H834" s="91" t="n">
        <v>1</v>
      </c>
      <c r="I834" s="61">
        <f>$H474*$F474</f>
        <v/>
      </c>
      <c r="J834" s="44" t="n"/>
      <c r="K834" s="44" t="n"/>
      <c r="L834" s="44" t="n"/>
      <c r="M834" s="62" t="n"/>
      <c r="N834" s="44" t="n"/>
      <c r="O834" s="44" t="n"/>
      <c r="P834" s="44" t="n"/>
      <c r="Q834" s="44" t="n"/>
    </row>
    <row r="835">
      <c r="B835" s="292" t="n">
        <v>45499</v>
      </c>
      <c r="C835" s="91" t="n">
        <v>4</v>
      </c>
      <c r="D835" s="95" t="inlineStr">
        <is>
          <t>Lalamove Pak Subi to Base</t>
        </is>
      </c>
      <c r="E835" s="95" t="n"/>
      <c r="F835" s="93" t="n">
        <v>63568</v>
      </c>
      <c r="G835" s="91" t="inlineStr">
        <is>
          <t>IDR</t>
        </is>
      </c>
      <c r="H835" s="91" t="n">
        <v>1</v>
      </c>
      <c r="I835" s="61">
        <f>$H475*$F475</f>
        <v/>
      </c>
      <c r="J835" s="44" t="n"/>
      <c r="K835" s="44" t="n"/>
      <c r="L835" s="44" t="n"/>
      <c r="M835" s="61" t="n"/>
      <c r="N835" s="44" t="n"/>
      <c r="O835" s="44" t="n"/>
      <c r="P835" s="44" t="n"/>
      <c r="Q835" s="44" t="n"/>
    </row>
    <row r="836">
      <c r="B836" s="292" t="n">
        <v>45517</v>
      </c>
      <c r="C836" s="91" t="n">
        <v>5</v>
      </c>
      <c r="D836" s="95" t="inlineStr">
        <is>
          <t>Lalamove Barikin to Base</t>
        </is>
      </c>
      <c r="E836" s="95" t="n"/>
      <c r="F836" s="93" t="n">
        <v>161885</v>
      </c>
      <c r="G836" s="91" t="inlineStr">
        <is>
          <t>IDR</t>
        </is>
      </c>
      <c r="H836" s="91" t="n">
        <v>1</v>
      </c>
      <c r="I836" s="61">
        <f>$H476*$F476</f>
        <v/>
      </c>
      <c r="J836" s="44" t="n"/>
      <c r="K836" s="44" t="n"/>
      <c r="L836" s="44" t="n"/>
      <c r="M836" s="62" t="n"/>
      <c r="N836" s="44" t="n"/>
      <c r="O836" s="44" t="n"/>
      <c r="P836" s="44" t="n"/>
      <c r="Q836" s="44" t="n"/>
    </row>
    <row r="837">
      <c r="B837" s="292" t="n"/>
      <c r="C837" s="91" t="n"/>
      <c r="D837" s="97" t="inlineStr">
        <is>
          <t>Operation</t>
        </is>
      </c>
      <c r="E837" s="97" t="n"/>
      <c r="F837" s="93" t="n"/>
      <c r="G837" s="91" t="n"/>
      <c r="H837" s="91" t="n"/>
      <c r="I837" s="44" t="n"/>
      <c r="J837" s="44" t="n"/>
      <c r="K837" s="44" t="n"/>
      <c r="L837" s="44" t="n"/>
      <c r="M837" s="61" t="n"/>
      <c r="N837" s="44" t="n"/>
      <c r="O837" s="44" t="n"/>
      <c r="P837" s="44" t="n"/>
      <c r="Q837" s="44" t="n"/>
    </row>
    <row r="838">
      <c r="B838" s="292" t="n">
        <v>45499</v>
      </c>
      <c r="C838" s="91" t="n">
        <v>6</v>
      </c>
      <c r="D838" s="95" t="inlineStr">
        <is>
          <t>TOP 1 High Temp Grease</t>
        </is>
      </c>
      <c r="E838" s="95" t="n"/>
      <c r="F838" s="93" t="n">
        <v>144900</v>
      </c>
      <c r="G838" s="91" t="inlineStr">
        <is>
          <t>IDR</t>
        </is>
      </c>
      <c r="H838" s="91" t="n">
        <v>1</v>
      </c>
      <c r="I838" s="44" t="n"/>
      <c r="J838" s="44" t="n"/>
      <c r="K838" s="44" t="n"/>
      <c r="L838" s="44" t="n"/>
      <c r="M838" s="62" t="n"/>
      <c r="N838" s="62">
        <f>F478</f>
        <v/>
      </c>
      <c r="O838" s="44" t="n"/>
      <c r="P838" s="44" t="n"/>
      <c r="Q838" s="44" t="n"/>
    </row>
    <row r="839">
      <c r="B839" s="292" t="n"/>
      <c r="C839" s="117" t="n"/>
      <c r="D839" s="97" t="inlineStr">
        <is>
          <t>Meal</t>
        </is>
      </c>
      <c r="E839" s="97" t="n"/>
      <c r="F839" s="93" t="n"/>
      <c r="G839" s="91" t="n"/>
      <c r="H839" s="91" t="n"/>
      <c r="I839" s="44" t="n"/>
      <c r="J839" s="44" t="n"/>
      <c r="K839" s="44" t="n"/>
      <c r="L839" s="44" t="n"/>
      <c r="M839" s="61" t="n"/>
      <c r="N839" s="44" t="n"/>
      <c r="O839" s="44" t="n"/>
      <c r="P839" s="44" t="n"/>
      <c r="Q839" s="44" t="n"/>
    </row>
    <row r="840">
      <c r="B840" s="292" t="n">
        <v>45502</v>
      </c>
      <c r="C840" s="91" t="n">
        <v>7</v>
      </c>
      <c r="D840" s="95" t="inlineStr">
        <is>
          <t>Meal Crew's Operational</t>
        </is>
      </c>
      <c r="E840" s="95" t="n"/>
      <c r="F840" s="99" t="n">
        <v>263200</v>
      </c>
      <c r="G840" s="91" t="inlineStr">
        <is>
          <t>IDR</t>
        </is>
      </c>
      <c r="H840" s="91" t="n">
        <v>1</v>
      </c>
      <c r="I840" s="62">
        <f>F480</f>
        <v/>
      </c>
      <c r="J840" s="44" t="n"/>
      <c r="K840" s="44" t="n"/>
      <c r="L840" s="44" t="n"/>
      <c r="M840" s="44" t="n"/>
      <c r="N840" s="44" t="n"/>
      <c r="O840" s="44" t="n"/>
      <c r="P840" s="44" t="n"/>
      <c r="Q840" s="44" t="n"/>
    </row>
    <row r="841">
      <c r="B841" s="292" t="n"/>
      <c r="C841" s="117" t="n"/>
      <c r="D841" s="97" t="inlineStr">
        <is>
          <t>Meal</t>
        </is>
      </c>
      <c r="E841" s="97" t="n"/>
      <c r="F841" s="93" t="n"/>
      <c r="G841" s="91" t="n"/>
      <c r="H841" s="91" t="n"/>
      <c r="I841" s="44" t="n"/>
      <c r="J841" s="44" t="n"/>
      <c r="K841" s="44" t="n"/>
      <c r="L841" s="44" t="n"/>
      <c r="M841" s="44" t="n"/>
      <c r="N841" s="44" t="n"/>
      <c r="O841" s="44" t="n"/>
      <c r="P841" s="44" t="n"/>
      <c r="Q841" s="44" t="n"/>
    </row>
    <row r="842">
      <c r="B842" s="292" t="n">
        <v>45502</v>
      </c>
      <c r="C842" s="91" t="n">
        <v>8</v>
      </c>
      <c r="D842" s="95" t="inlineStr">
        <is>
          <t>Meals 10 days 1 Persons @ 150K IDR/day</t>
        </is>
      </c>
      <c r="E842" s="95" t="n"/>
      <c r="F842" s="93" t="n">
        <v>1500000</v>
      </c>
      <c r="G842" s="91" t="inlineStr">
        <is>
          <t>IDR</t>
        </is>
      </c>
      <c r="H842" s="91" t="n">
        <v>1</v>
      </c>
      <c r="I842" s="62">
        <f>F482</f>
        <v/>
      </c>
      <c r="J842" s="44" t="n"/>
      <c r="K842" s="44" t="n"/>
      <c r="L842" s="44" t="n"/>
      <c r="M842" s="44" t="n"/>
      <c r="N842" s="61" t="n"/>
      <c r="O842" s="44" t="n"/>
      <c r="P842" s="44" t="n"/>
      <c r="Q842" s="44" t="n"/>
    </row>
    <row r="843">
      <c r="B843" s="292" t="n"/>
      <c r="C843" s="117" t="n"/>
      <c r="D843" s="97" t="inlineStr">
        <is>
          <t>Allowance</t>
        </is>
      </c>
      <c r="E843" s="97" t="n"/>
      <c r="F843" s="93" t="n"/>
      <c r="G843" s="91" t="n"/>
      <c r="H843" s="91" t="n"/>
      <c r="I843" s="44" t="n"/>
      <c r="J843" s="44" t="n"/>
      <c r="K843" s="44" t="n"/>
      <c r="L843" s="44" t="n"/>
      <c r="M843" s="44" t="n"/>
      <c r="N843" s="44" t="n"/>
      <c r="O843" s="44" t="n"/>
      <c r="P843" s="44" t="n"/>
      <c r="Q843" s="44" t="n"/>
    </row>
    <row r="844">
      <c r="B844" s="292" t="n">
        <v>45502</v>
      </c>
      <c r="C844" s="91" t="n">
        <v>9</v>
      </c>
      <c r="D844" s="95" t="inlineStr">
        <is>
          <t xml:space="preserve">Tunjangan Lapangan for 10 days </t>
        </is>
      </c>
      <c r="E844" s="95" t="n"/>
      <c r="F844" s="93" t="n">
        <v>1000</v>
      </c>
      <c r="G844" s="91" t="inlineStr">
        <is>
          <t>USD</t>
        </is>
      </c>
      <c r="H844" s="100" t="n">
        <v>15513</v>
      </c>
      <c r="I844" s="62">
        <f>H484*F484</f>
        <v/>
      </c>
      <c r="J844" s="44" t="n"/>
      <c r="K844" s="44" t="n"/>
      <c r="L844" s="44" t="n"/>
      <c r="M844" s="61" t="n"/>
      <c r="N844" s="44" t="n"/>
      <c r="O844" s="44" t="n"/>
      <c r="P844" s="44" t="n"/>
      <c r="Q844" s="44" t="n"/>
    </row>
    <row r="845">
      <c r="B845" s="78" t="inlineStr">
        <is>
          <t>Expense#30</t>
        </is>
      </c>
      <c r="C845" s="85" t="inlineStr">
        <is>
          <t>:</t>
        </is>
      </c>
      <c r="D845" s="86" t="inlineStr">
        <is>
          <t>ALFA JOB - PMB 009 (cancel job) - IBR</t>
        </is>
      </c>
      <c r="E845" s="86" t="n"/>
      <c r="F845" s="87" t="n"/>
      <c r="G845" s="73" t="n"/>
      <c r="H845" s="73" t="n"/>
      <c r="I845" s="78" t="n"/>
      <c r="J845" s="78" t="n"/>
      <c r="K845" s="78" t="n"/>
      <c r="L845" s="78" t="n"/>
      <c r="M845" s="78" t="n"/>
      <c r="N845" s="101" t="n"/>
      <c r="O845" s="78" t="n"/>
      <c r="P845" s="78" t="n"/>
      <c r="Q845" s="78" t="n"/>
    </row>
    <row r="846">
      <c r="B846" s="102" t="n"/>
      <c r="C846" s="15" t="n"/>
      <c r="D846" s="114" t="inlineStr">
        <is>
          <t>Allowance</t>
        </is>
      </c>
      <c r="E846" s="114" t="n"/>
      <c r="F846" s="21" t="n"/>
      <c r="G846" s="15" t="n"/>
      <c r="H846" s="15" t="n"/>
      <c r="I846" s="125" t="n"/>
      <c r="J846" s="125" t="n"/>
      <c r="K846" s="125" t="n"/>
      <c r="L846" s="125" t="n"/>
      <c r="M846" s="125" t="n"/>
      <c r="N846" s="125" t="n"/>
      <c r="O846" s="125" t="n"/>
      <c r="P846" s="125" t="n"/>
      <c r="Q846" s="125" t="n"/>
    </row>
    <row r="847">
      <c r="B847" s="102" t="n">
        <v>45548</v>
      </c>
      <c r="C847" s="15" t="n">
        <v>1</v>
      </c>
      <c r="D847" s="63" t="inlineStr">
        <is>
          <t>Uang makan (6 - 11 September 2024) 6 days</t>
        </is>
      </c>
      <c r="E847" s="63" t="n"/>
      <c r="F847" s="21">
        <f>150000*6</f>
        <v/>
      </c>
      <c r="G847" s="15" t="inlineStr">
        <is>
          <t>IDR</t>
        </is>
      </c>
      <c r="H847" s="15" t="n">
        <v>1</v>
      </c>
      <c r="I847" s="62">
        <f>H487*F487</f>
        <v/>
      </c>
      <c r="J847" s="44" t="n"/>
      <c r="K847" s="44" t="n"/>
      <c r="L847" s="44" t="n"/>
      <c r="M847" s="44" t="n"/>
      <c r="N847" s="61" t="n"/>
      <c r="O847" s="44" t="n"/>
      <c r="P847" s="44" t="n"/>
      <c r="Q847" s="44" t="n"/>
    </row>
    <row r="848">
      <c r="B848" s="102" t="n">
        <v>45548</v>
      </c>
      <c r="C848" s="15" t="n">
        <v>2</v>
      </c>
      <c r="D848" s="63" t="inlineStr">
        <is>
          <t>Laundry (6 - 11 September 2024) 6 days</t>
        </is>
      </c>
      <c r="E848" s="63" t="n"/>
      <c r="F848" s="21">
        <f>50000*6</f>
        <v/>
      </c>
      <c r="G848" s="15" t="inlineStr">
        <is>
          <t>IDR</t>
        </is>
      </c>
      <c r="H848" s="15" t="n">
        <v>1</v>
      </c>
      <c r="I848" s="62">
        <f>H488*F488</f>
        <v/>
      </c>
      <c r="J848" s="44" t="n"/>
      <c r="K848" s="44" t="n"/>
      <c r="L848" s="44" t="n"/>
      <c r="M848" s="61" t="n"/>
      <c r="N848" s="44" t="n"/>
      <c r="O848" s="44" t="n"/>
      <c r="P848" s="44" t="n"/>
      <c r="Q848" s="44" t="n"/>
    </row>
    <row r="849">
      <c r="B849" s="102" t="n"/>
      <c r="C849" s="15" t="n"/>
      <c r="D849" s="114" t="inlineStr">
        <is>
          <t>Allowance</t>
        </is>
      </c>
      <c r="E849" s="114" t="n"/>
      <c r="F849" s="21" t="n"/>
      <c r="G849" s="15" t="n"/>
      <c r="H849" s="15" t="n"/>
      <c r="I849" s="44" t="n"/>
      <c r="J849" s="44" t="n"/>
      <c r="K849" s="44" t="n"/>
      <c r="L849" s="44" t="n"/>
      <c r="M849" s="44" t="n"/>
      <c r="N849" s="61" t="n"/>
      <c r="O849" s="44" t="n"/>
      <c r="P849" s="44" t="n"/>
      <c r="Q849" s="44" t="n"/>
    </row>
    <row r="850">
      <c r="B850" s="102" t="n">
        <v>45548</v>
      </c>
      <c r="C850" s="15" t="n">
        <v>3</v>
      </c>
      <c r="D850" s="63" t="inlineStr">
        <is>
          <t xml:space="preserve">Tunjangan Lapangan PBM - 009 (6 - 11 September 2024) </t>
        </is>
      </c>
      <c r="E850" s="63" t="n"/>
      <c r="F850" s="21" t="n">
        <v>150</v>
      </c>
      <c r="G850" s="15" t="inlineStr">
        <is>
          <t>$</t>
        </is>
      </c>
      <c r="H850" s="15" t="n">
        <v>15450</v>
      </c>
      <c r="I850" s="62">
        <f>H490*F490</f>
        <v/>
      </c>
      <c r="J850" s="44" t="n"/>
      <c r="K850" s="44" t="n"/>
      <c r="L850" s="44" t="n"/>
      <c r="M850" s="44" t="n"/>
      <c r="N850" s="61" t="n"/>
      <c r="O850" s="44" t="n"/>
      <c r="P850" s="44" t="n"/>
      <c r="Q850" s="44" t="n"/>
    </row>
    <row r="851">
      <c r="B851" s="78" t="inlineStr">
        <is>
          <t>Expense#31</t>
        </is>
      </c>
      <c r="C851" s="85" t="inlineStr">
        <is>
          <t>:</t>
        </is>
      </c>
      <c r="D851" s="86" t="inlineStr">
        <is>
          <t>ALFA PMB-009 (Cancel)_ TMA</t>
        </is>
      </c>
      <c r="E851" s="86" t="n"/>
      <c r="F851" s="87" t="n"/>
      <c r="G851" s="73" t="n"/>
      <c r="H851" s="73" t="n"/>
      <c r="I851" s="454" t="n"/>
      <c r="J851" s="78" t="n"/>
      <c r="K851" s="78" t="n"/>
      <c r="L851" s="78" t="n"/>
      <c r="M851" s="78" t="n"/>
      <c r="N851" s="78" t="n"/>
      <c r="O851" s="78" t="n"/>
      <c r="P851" s="78" t="n"/>
      <c r="Q851" s="78" t="n"/>
    </row>
    <row r="852">
      <c r="B852" s="292" t="n"/>
      <c r="C852" s="91" t="n"/>
      <c r="D852" s="127" t="inlineStr">
        <is>
          <t>Accommodation</t>
        </is>
      </c>
      <c r="E852" s="127" t="n"/>
      <c r="F852" s="93" t="n"/>
      <c r="G852" s="91" t="n"/>
      <c r="H852" s="91" t="n"/>
      <c r="I852" s="61" t="n"/>
      <c r="J852" s="44" t="n"/>
      <c r="K852" s="44" t="n"/>
      <c r="L852" s="44" t="n"/>
      <c r="M852" s="44" t="n"/>
      <c r="N852" s="44" t="n"/>
      <c r="O852" s="44" t="n"/>
      <c r="P852" s="44" t="n"/>
      <c r="Q852" s="44" t="n"/>
    </row>
    <row r="853">
      <c r="B853" s="292" t="n">
        <v>45541</v>
      </c>
      <c r="C853" s="91" t="n">
        <v>1</v>
      </c>
      <c r="D853" s="95" t="inlineStr">
        <is>
          <t>Hotel 6 Sept - 11 Sept (5 days)</t>
        </is>
      </c>
      <c r="E853" s="95" t="n"/>
      <c r="F853" s="93" t="n">
        <v>1800000</v>
      </c>
      <c r="G853" s="91" t="inlineStr">
        <is>
          <t>IDR</t>
        </is>
      </c>
      <c r="H853" s="91" t="n">
        <v>1</v>
      </c>
      <c r="I853" s="455">
        <f>F493</f>
        <v/>
      </c>
      <c r="J853" s="44" t="n"/>
      <c r="K853" s="44" t="n"/>
      <c r="L853" s="44" t="n"/>
      <c r="M853" s="44" t="n"/>
      <c r="N853" s="44" t="n"/>
      <c r="O853" s="44" t="n"/>
      <c r="P853" s="44" t="n"/>
      <c r="Q853" s="44" t="n"/>
    </row>
    <row r="854">
      <c r="B854" s="292" t="n">
        <v>45541</v>
      </c>
      <c r="C854" s="91" t="n">
        <v>2</v>
      </c>
      <c r="D854" s="95" t="inlineStr">
        <is>
          <t>Laundry 6 days 1 Persons @ 50K IDR/day</t>
        </is>
      </c>
      <c r="E854" s="95" t="n"/>
      <c r="F854" s="93" t="n">
        <v>300000</v>
      </c>
      <c r="G854" s="91" t="inlineStr">
        <is>
          <t>IDR</t>
        </is>
      </c>
      <c r="H854" s="91" t="n">
        <v>1</v>
      </c>
      <c r="I854" s="62">
        <f>F494</f>
        <v/>
      </c>
      <c r="J854" s="44" t="n"/>
      <c r="K854" s="44" t="n"/>
      <c r="L854" s="44" t="n"/>
      <c r="M854" s="44" t="n"/>
      <c r="N854" s="44" t="n"/>
      <c r="O854" s="44" t="n"/>
      <c r="P854" s="44" t="n"/>
      <c r="Q854" s="44" t="n"/>
    </row>
    <row r="855">
      <c r="B855" s="292" t="n"/>
      <c r="C855" s="91" t="n"/>
      <c r="D855" s="127" t="inlineStr">
        <is>
          <t>Transportation</t>
        </is>
      </c>
      <c r="E855" s="127" t="n"/>
      <c r="F855" s="93" t="n"/>
      <c r="G855" s="91" t="n"/>
      <c r="H855" s="91" t="n"/>
      <c r="I855" s="44" t="n"/>
      <c r="J855" s="44" t="n"/>
      <c r="K855" s="44" t="n"/>
      <c r="L855" s="44" t="n"/>
      <c r="M855" s="44" t="n"/>
      <c r="N855" s="44" t="n"/>
      <c r="O855" s="44" t="n"/>
      <c r="P855" s="44" t="n"/>
      <c r="Q855" s="44" t="n"/>
    </row>
    <row r="856">
      <c r="B856" s="292" t="n">
        <v>45541</v>
      </c>
      <c r="C856" s="91" t="n">
        <v>3</v>
      </c>
      <c r="D856" s="95" t="inlineStr">
        <is>
          <t>Airplane Ticket CGK-PLM</t>
        </is>
      </c>
      <c r="E856" s="95" t="n"/>
      <c r="F856" s="93" t="n">
        <v>904682</v>
      </c>
      <c r="G856" s="91" t="inlineStr">
        <is>
          <t>IDR</t>
        </is>
      </c>
      <c r="H856" s="91" t="n">
        <v>1</v>
      </c>
      <c r="I856" s="61">
        <f>$H496*$F496</f>
        <v/>
      </c>
      <c r="J856" s="44" t="n"/>
      <c r="K856" s="44" t="n"/>
      <c r="L856" s="44" t="n"/>
      <c r="M856" s="44" t="n"/>
      <c r="N856" s="44" t="n"/>
      <c r="O856" s="44" t="n"/>
      <c r="P856" s="44" t="n"/>
      <c r="Q856" s="44" t="n"/>
    </row>
    <row r="857">
      <c r="B857" s="292" t="n">
        <v>45541</v>
      </c>
      <c r="C857" s="91" t="n">
        <v>4</v>
      </c>
      <c r="D857" s="95" t="inlineStr">
        <is>
          <t>Taxi Pondok Cabe-Vania-CGK (inc Toll)</t>
        </is>
      </c>
      <c r="E857" s="95" t="n"/>
      <c r="F857" s="93" t="n">
        <v>256500</v>
      </c>
      <c r="G857" s="91" t="inlineStr">
        <is>
          <t>IDR</t>
        </is>
      </c>
      <c r="H857" s="91" t="n">
        <v>1</v>
      </c>
      <c r="I857" s="61">
        <f>$H497*$F497</f>
        <v/>
      </c>
      <c r="J857" s="44" t="n"/>
      <c r="K857" s="44" t="n"/>
      <c r="L857" s="44" t="n"/>
      <c r="M857" s="44" t="n"/>
      <c r="N857" s="44" t="n"/>
      <c r="O857" s="44" t="n"/>
      <c r="P857" s="44" t="n"/>
      <c r="Q857" s="44" t="n"/>
    </row>
    <row r="858">
      <c r="B858" s="292" t="n">
        <v>45541</v>
      </c>
      <c r="C858" s="91" t="n">
        <v>5</v>
      </c>
      <c r="D858" s="95" t="inlineStr">
        <is>
          <t>Toll (PLM-Prabumulih-PLM)</t>
        </is>
      </c>
      <c r="E858" s="95" t="n"/>
      <c r="F858" s="93" t="n">
        <v>224000</v>
      </c>
      <c r="G858" s="91" t="inlineStr">
        <is>
          <t>IDR</t>
        </is>
      </c>
      <c r="H858" s="91" t="n">
        <v>1</v>
      </c>
      <c r="I858" s="61">
        <f>$H498*$F498</f>
        <v/>
      </c>
      <c r="J858" s="44" t="n"/>
      <c r="K858" s="44" t="n"/>
      <c r="L858" s="44" t="n"/>
      <c r="M858" s="44" t="n"/>
      <c r="N858" s="44" t="n"/>
      <c r="O858" s="44" t="n"/>
      <c r="P858" s="44" t="n"/>
      <c r="Q858" s="44" t="n"/>
    </row>
    <row r="859">
      <c r="B859" s="292" t="n">
        <v>45541</v>
      </c>
      <c r="C859" s="91" t="n">
        <v>6</v>
      </c>
      <c r="D859" s="95" t="inlineStr">
        <is>
          <t>Rent Car 6 Days</t>
        </is>
      </c>
      <c r="E859" s="95" t="n"/>
      <c r="F859" s="93" t="n">
        <v>3000000</v>
      </c>
      <c r="G859" s="91" t="inlineStr">
        <is>
          <t>IDR</t>
        </is>
      </c>
      <c r="H859" s="91" t="n">
        <v>1</v>
      </c>
      <c r="I859" s="61">
        <f>$H499*$F499</f>
        <v/>
      </c>
      <c r="J859" s="44" t="n"/>
      <c r="K859" s="44" t="n"/>
      <c r="L859" s="44" t="n"/>
      <c r="M859" s="44" t="n"/>
      <c r="N859" s="44" t="n"/>
      <c r="O859" s="44" t="n"/>
      <c r="P859" s="44" t="n"/>
      <c r="Q859" s="44" t="n"/>
    </row>
    <row r="860">
      <c r="B860" s="292" t="n">
        <v>45541</v>
      </c>
      <c r="C860" s="91" t="n">
        <v>7</v>
      </c>
      <c r="D860" s="98" t="inlineStr">
        <is>
          <t>Gasoline</t>
        </is>
      </c>
      <c r="E860" s="98" t="n"/>
      <c r="F860" s="93" t="n">
        <v>400000</v>
      </c>
      <c r="G860" s="91" t="inlineStr">
        <is>
          <t>IDR</t>
        </is>
      </c>
      <c r="H860" s="91" t="n">
        <v>1</v>
      </c>
      <c r="I860" s="61">
        <f>$H500*$F500</f>
        <v/>
      </c>
      <c r="J860" s="44" t="n"/>
      <c r="K860" s="44" t="n"/>
      <c r="L860" s="44" t="n"/>
      <c r="M860" s="44" t="n"/>
      <c r="N860" s="44" t="n"/>
      <c r="O860" s="44" t="n"/>
      <c r="P860" s="44" t="n"/>
      <c r="Q860" s="44" t="n"/>
    </row>
    <row r="861">
      <c r="B861" s="292" t="n">
        <v>45541</v>
      </c>
      <c r="C861" s="91" t="n">
        <v>8</v>
      </c>
      <c r="D861" s="98" t="inlineStr">
        <is>
          <t>Taxi CGK-Pondok Cabe (inc Toll+Parking)</t>
        </is>
      </c>
      <c r="E861" s="98" t="n"/>
      <c r="F861" s="93" t="n">
        <v>310660</v>
      </c>
      <c r="G861" s="91" t="inlineStr">
        <is>
          <t>IDR</t>
        </is>
      </c>
      <c r="H861" s="91" t="n">
        <v>1</v>
      </c>
      <c r="I861" s="61">
        <f>$H501*$F501</f>
        <v/>
      </c>
      <c r="J861" s="44" t="n"/>
      <c r="K861" s="44" t="n"/>
      <c r="L861" s="44" t="n"/>
      <c r="M861" s="44" t="n"/>
      <c r="N861" s="44" t="n"/>
      <c r="O861" s="44" t="n"/>
      <c r="P861" s="44" t="n"/>
      <c r="Q861" s="44" t="n"/>
    </row>
    <row r="862">
      <c r="B862" s="292" t="n">
        <v>45543</v>
      </c>
      <c r="C862" s="91" t="n">
        <v>9</v>
      </c>
      <c r="D862" s="95" t="inlineStr">
        <is>
          <t>Airplane Ticket PLM-CGK</t>
        </is>
      </c>
      <c r="E862" s="95" t="n"/>
      <c r="F862" s="93" t="n">
        <v>836100</v>
      </c>
      <c r="G862" s="91" t="inlineStr">
        <is>
          <t>IDR</t>
        </is>
      </c>
      <c r="H862" s="91" t="n">
        <v>1</v>
      </c>
      <c r="I862" s="61">
        <f>$H502*$F502</f>
        <v/>
      </c>
      <c r="J862" s="44" t="n"/>
      <c r="K862" s="44" t="n"/>
      <c r="L862" s="44" t="n"/>
      <c r="M862" s="44" t="n"/>
      <c r="N862" s="44" t="n"/>
      <c r="O862" s="44" t="n"/>
      <c r="P862" s="44" t="n"/>
      <c r="Q862" s="44" t="n"/>
    </row>
    <row r="863">
      <c r="B863" s="292" t="n"/>
      <c r="C863" s="117" t="n"/>
      <c r="D863" s="127" t="inlineStr">
        <is>
          <t>Allowance</t>
        </is>
      </c>
      <c r="E863" s="127" t="n"/>
      <c r="F863" s="93" t="n"/>
      <c r="G863" s="91" t="n"/>
      <c r="H863" s="91" t="n"/>
      <c r="I863" s="44" t="n"/>
      <c r="J863" s="44" t="n"/>
      <c r="K863" s="44" t="n"/>
      <c r="L863" s="44" t="n"/>
      <c r="M863" s="44" t="n"/>
      <c r="N863" s="44" t="n"/>
      <c r="O863" s="44" t="n"/>
      <c r="P863" s="44" t="n"/>
      <c r="Q863" s="44" t="n"/>
    </row>
    <row r="864">
      <c r="B864" s="292" t="n">
        <v>45541</v>
      </c>
      <c r="C864" s="91" t="n">
        <v>10</v>
      </c>
      <c r="D864" s="95" t="inlineStr">
        <is>
          <t>Field Allowance</t>
        </is>
      </c>
      <c r="E864" s="95" t="n"/>
      <c r="F864" s="93" t="n">
        <v>600</v>
      </c>
      <c r="G864" s="91" t="inlineStr">
        <is>
          <t>USD</t>
        </is>
      </c>
      <c r="H864" s="100" t="n">
        <v>15438</v>
      </c>
      <c r="I864" s="62">
        <f>H504*F504</f>
        <v/>
      </c>
      <c r="J864" s="44" t="n"/>
      <c r="K864" s="44" t="n"/>
      <c r="L864" s="44" t="n"/>
      <c r="M864" s="61" t="n"/>
      <c r="N864" s="44" t="n"/>
      <c r="O864" s="44" t="n"/>
      <c r="P864" s="44" t="n"/>
      <c r="Q864" s="44" t="n"/>
    </row>
    <row r="865">
      <c r="B865" s="292" t="n">
        <v>45541</v>
      </c>
      <c r="C865" s="91" t="n">
        <v>11</v>
      </c>
      <c r="D865" s="95" t="inlineStr">
        <is>
          <t>Meals</t>
        </is>
      </c>
      <c r="E865" s="95" t="n"/>
      <c r="F865" s="93" t="n">
        <v>900000</v>
      </c>
      <c r="G865" s="91" t="inlineStr">
        <is>
          <t>IDR</t>
        </is>
      </c>
      <c r="H865" s="91" t="n">
        <v>1</v>
      </c>
      <c r="I865" s="62">
        <f>F505</f>
        <v/>
      </c>
      <c r="J865" s="44" t="n"/>
      <c r="K865" s="44" t="n"/>
      <c r="L865" s="44" t="n"/>
      <c r="M865" s="44" t="n"/>
      <c r="N865" s="44" t="n"/>
      <c r="O865" s="44" t="n"/>
      <c r="P865" s="44" t="n"/>
      <c r="Q865" s="44" t="n"/>
    </row>
    <row r="866">
      <c r="B866" s="78" t="inlineStr">
        <is>
          <t>Expense#32</t>
        </is>
      </c>
      <c r="C866" s="85" t="inlineStr">
        <is>
          <t>:</t>
        </is>
      </c>
      <c r="D866" s="86" t="inlineStr">
        <is>
          <t>ALFA PMB-009 (Cancel)_ TMA</t>
        </is>
      </c>
      <c r="E866" s="86" t="n"/>
      <c r="F866" s="87" t="n"/>
      <c r="G866" s="73" t="n"/>
      <c r="H866" s="73" t="n"/>
      <c r="I866" s="454" t="n"/>
      <c r="J866" s="78" t="n"/>
      <c r="K866" s="78" t="n"/>
      <c r="L866" s="78" t="n"/>
      <c r="M866" s="78" t="n"/>
      <c r="N866" s="78" t="n"/>
      <c r="O866" s="78" t="n"/>
      <c r="P866" s="78" t="n"/>
      <c r="Q866" s="78" t="n"/>
    </row>
    <row r="867">
      <c r="B867" s="128" t="n"/>
      <c r="C867" s="129" t="n"/>
      <c r="D867" s="130" t="inlineStr">
        <is>
          <t>Transportation</t>
        </is>
      </c>
      <c r="E867" s="130" t="n"/>
      <c r="F867" s="25" t="n"/>
      <c r="G867" s="131" t="n"/>
      <c r="H867" s="132" t="n"/>
      <c r="I867" s="61" t="n"/>
      <c r="J867" s="44" t="n"/>
      <c r="K867" s="44" t="n"/>
      <c r="L867" s="44" t="n"/>
      <c r="M867" s="44" t="n"/>
      <c r="N867" s="44" t="n"/>
      <c r="O867" s="44" t="n"/>
      <c r="P867" s="44" t="n"/>
      <c r="Q867" s="44" t="n"/>
    </row>
    <row r="868">
      <c r="B868" s="107" t="n">
        <v>45557</v>
      </c>
      <c r="C868" s="15" t="n">
        <v>1</v>
      </c>
      <c r="D868" s="63" t="inlineStr">
        <is>
          <t>Taxi+Tol Serpong - Gambir</t>
        </is>
      </c>
      <c r="E868" s="63" t="n"/>
      <c r="F868" s="21" t="n">
        <v>241280</v>
      </c>
      <c r="G868" s="18" t="inlineStr">
        <is>
          <t>IDR</t>
        </is>
      </c>
      <c r="H868" s="133" t="n">
        <v>1</v>
      </c>
      <c r="I868" s="61">
        <f>$H508*$F508</f>
        <v/>
      </c>
      <c r="J868" s="44" t="n"/>
      <c r="K868" s="44" t="n"/>
      <c r="L868" s="44" t="n"/>
      <c r="M868" s="44" t="n"/>
      <c r="N868" s="44" t="n"/>
      <c r="O868" s="44" t="n"/>
      <c r="P868" s="44" t="n"/>
      <c r="Q868" s="44" t="n"/>
    </row>
    <row r="869">
      <c r="B869" s="107" t="n">
        <v>45558</v>
      </c>
      <c r="C869" s="15" t="n">
        <v>2</v>
      </c>
      <c r="D869" s="63" t="inlineStr">
        <is>
          <t>Gocar St. Cepu, Kalog - Bojonegoro</t>
        </is>
      </c>
      <c r="E869" s="63" t="n"/>
      <c r="F869" s="21" t="n">
        <v>250000</v>
      </c>
      <c r="G869" s="18" t="inlineStr">
        <is>
          <t>IDR</t>
        </is>
      </c>
      <c r="H869" s="133" t="n">
        <v>1</v>
      </c>
      <c r="I869" s="61">
        <f>$H509*$F509</f>
        <v/>
      </c>
      <c r="J869" s="44" t="n"/>
      <c r="K869" s="44" t="n"/>
      <c r="L869" s="44" t="n"/>
      <c r="M869" s="44" t="n"/>
      <c r="N869" s="44" t="n"/>
      <c r="O869" s="44" t="n"/>
      <c r="P869" s="44" t="n"/>
      <c r="Q869" s="44" t="n"/>
    </row>
    <row r="870">
      <c r="B870" s="102" t="n">
        <v>45561</v>
      </c>
      <c r="C870" s="15" t="n">
        <v>3</v>
      </c>
      <c r="D870" s="63" t="inlineStr">
        <is>
          <t>Taxi+Tol Gambir - Serpong</t>
        </is>
      </c>
      <c r="E870" s="63" t="n"/>
      <c r="F870" s="21">
        <f>206000+34000</f>
        <v/>
      </c>
      <c r="G870" s="18" t="inlineStr">
        <is>
          <t>IDR</t>
        </is>
      </c>
      <c r="H870" s="133" t="n">
        <v>1</v>
      </c>
      <c r="I870" s="61">
        <f>$H510*$F510</f>
        <v/>
      </c>
      <c r="J870" s="44" t="n"/>
      <c r="K870" s="44" t="n"/>
      <c r="L870" s="44" t="n"/>
      <c r="M870" s="44" t="n"/>
      <c r="N870" s="44" t="n"/>
      <c r="O870" s="44" t="n"/>
      <c r="P870" s="44" t="n"/>
      <c r="Q870" s="44" t="n"/>
    </row>
    <row r="871">
      <c r="B871" s="128" t="n"/>
      <c r="C871" s="129" t="n"/>
      <c r="D871" s="134" t="inlineStr">
        <is>
          <t>Allowance</t>
        </is>
      </c>
      <c r="E871" s="134" t="n"/>
      <c r="F871" s="25" t="n"/>
      <c r="G871" s="131" t="n"/>
      <c r="H871" s="132" t="n"/>
      <c r="I871" s="62" t="n"/>
      <c r="J871" s="44" t="n"/>
      <c r="K871" s="44" t="n"/>
      <c r="L871" s="44" t="n"/>
      <c r="M871" s="44" t="n"/>
      <c r="N871" s="44" t="n"/>
      <c r="O871" s="44" t="n"/>
      <c r="P871" s="44" t="n"/>
      <c r="Q871" s="44" t="n"/>
    </row>
    <row r="872">
      <c r="B872" s="102" t="n">
        <v>45561</v>
      </c>
      <c r="C872" s="15" t="n">
        <v>4</v>
      </c>
      <c r="D872" s="63" t="inlineStr">
        <is>
          <t>Uang Makan (22 - 26 Sept 2024)</t>
        </is>
      </c>
      <c r="E872" s="63" t="n"/>
      <c r="F872" s="21">
        <f>5*150000</f>
        <v/>
      </c>
      <c r="G872" s="18" t="inlineStr">
        <is>
          <t>IDR</t>
        </is>
      </c>
      <c r="H872" s="133" t="n">
        <v>1</v>
      </c>
      <c r="I872" s="455">
        <f>$F512*$H512</f>
        <v/>
      </c>
      <c r="J872" s="44" t="n"/>
      <c r="K872" s="44" t="n"/>
      <c r="L872" s="44" t="n"/>
      <c r="M872" s="44" t="n"/>
      <c r="N872" s="44" t="n"/>
      <c r="O872" s="44" t="n"/>
      <c r="P872" s="44" t="n"/>
      <c r="Q872" s="44" t="n"/>
    </row>
    <row r="873">
      <c r="B873" s="128" t="n"/>
      <c r="C873" s="129" t="n"/>
      <c r="D873" s="134" t="inlineStr">
        <is>
          <t>Laundry</t>
        </is>
      </c>
      <c r="E873" s="134" t="n"/>
      <c r="F873" s="25" t="n"/>
      <c r="G873" s="131" t="n"/>
      <c r="H873" s="132" t="n"/>
      <c r="I873" s="44" t="n"/>
      <c r="J873" s="44" t="n"/>
      <c r="K873" s="44" t="n"/>
      <c r="L873" s="44" t="n"/>
      <c r="M873" s="44" t="n"/>
      <c r="N873" s="44" t="n"/>
      <c r="O873" s="44" t="n"/>
      <c r="P873" s="44" t="n"/>
      <c r="Q873" s="44" t="n"/>
    </row>
    <row r="874">
      <c r="B874" s="102" t="n">
        <v>45561</v>
      </c>
      <c r="C874" s="15" t="n">
        <v>5</v>
      </c>
      <c r="D874" s="63" t="inlineStr">
        <is>
          <t>Laundry (22 - 26 Sept 2024)</t>
        </is>
      </c>
      <c r="E874" s="63" t="n"/>
      <c r="F874" s="21">
        <f>5*50000</f>
        <v/>
      </c>
      <c r="G874" s="18" t="inlineStr">
        <is>
          <t>IDR</t>
        </is>
      </c>
      <c r="H874" s="133" t="n">
        <v>1</v>
      </c>
      <c r="I874" s="455">
        <f>$F514*$H514</f>
        <v/>
      </c>
      <c r="J874" s="44" t="n"/>
      <c r="K874" s="44" t="n"/>
      <c r="L874" s="44" t="n"/>
      <c r="M874" s="44" t="n"/>
      <c r="N874" s="44" t="n"/>
      <c r="O874" s="44" t="n"/>
      <c r="P874" s="44" t="n"/>
      <c r="Q874" s="44" t="n"/>
    </row>
    <row r="875">
      <c r="B875" s="102" t="n"/>
      <c r="C875" s="15" t="n"/>
      <c r="D875" s="108" t="inlineStr">
        <is>
          <t>Allowance</t>
        </is>
      </c>
      <c r="E875" s="108" t="n"/>
      <c r="F875" s="21" t="n"/>
      <c r="G875" s="18" t="n"/>
      <c r="H875" s="133" t="n"/>
      <c r="I875" s="44" t="n"/>
      <c r="J875" s="44" t="n"/>
      <c r="K875" s="44" t="n"/>
      <c r="L875" s="44" t="n"/>
      <c r="M875" s="44" t="n"/>
      <c r="N875" s="44" t="n"/>
      <c r="O875" s="44" t="n"/>
      <c r="P875" s="44" t="n"/>
      <c r="Q875" s="44" t="n"/>
    </row>
    <row r="876">
      <c r="B876" s="102" t="n">
        <v>45561</v>
      </c>
      <c r="C876" s="15" t="n">
        <v>6</v>
      </c>
      <c r="D876" s="113" t="inlineStr">
        <is>
          <t>Field Bonus SKW#26 (22 - 26 Sept 2024). 1US$=15.100</t>
        </is>
      </c>
      <c r="E876" s="113" t="n"/>
      <c r="F876" s="21">
        <f>5*100</f>
        <v/>
      </c>
      <c r="G876" s="18" t="inlineStr">
        <is>
          <t>IDR</t>
        </is>
      </c>
      <c r="H876" s="133" t="n">
        <v>15100</v>
      </c>
      <c r="I876" s="455">
        <f>$F516*$H516</f>
        <v/>
      </c>
      <c r="J876" s="44" t="n"/>
      <c r="K876" s="44" t="n"/>
      <c r="L876" s="44" t="n"/>
      <c r="M876" s="44" t="n"/>
      <c r="N876" s="44" t="n"/>
      <c r="O876" s="44" t="n"/>
      <c r="P876" s="44" t="n"/>
      <c r="Q876" s="44" t="n"/>
    </row>
    <row r="877">
      <c r="B877" s="78" t="inlineStr">
        <is>
          <t>Expense#33</t>
        </is>
      </c>
      <c r="C877" s="85" t="inlineStr">
        <is>
          <t>:</t>
        </is>
      </c>
      <c r="D877" s="86" t="inlineStr">
        <is>
          <t>ALFA Job JRK-095 (Jirak) - IBR</t>
        </is>
      </c>
      <c r="E877" s="86" t="n"/>
      <c r="F877" s="87" t="n"/>
      <c r="G877" s="73" t="n"/>
      <c r="H877" s="73" t="n"/>
      <c r="I877" s="101" t="n"/>
      <c r="J877" s="78" t="n"/>
      <c r="K877" s="78" t="n"/>
      <c r="L877" s="78" t="n"/>
      <c r="M877" s="78" t="n"/>
      <c r="N877" s="78" t="n"/>
      <c r="O877" s="78" t="n"/>
      <c r="P877" s="78" t="n"/>
      <c r="Q877" s="78" t="n"/>
    </row>
    <row r="878">
      <c r="B878" s="292" t="n"/>
      <c r="C878" s="91" t="n"/>
      <c r="D878" s="97" t="inlineStr">
        <is>
          <t>Accommodation</t>
        </is>
      </c>
      <c r="E878" s="97" t="n"/>
      <c r="F878" s="93" t="n"/>
      <c r="G878" s="91" t="n"/>
      <c r="H878" s="91" t="n"/>
      <c r="I878" s="61" t="n"/>
      <c r="J878" s="44" t="n"/>
      <c r="K878" s="44" t="n"/>
      <c r="L878" s="44" t="n"/>
      <c r="M878" s="44" t="n"/>
      <c r="N878" s="44" t="n"/>
      <c r="O878" s="44" t="n"/>
      <c r="P878" s="44" t="n"/>
      <c r="Q878" s="44" t="n"/>
    </row>
    <row r="879">
      <c r="B879" s="292" t="n">
        <v>45563</v>
      </c>
      <c r="C879" s="91" t="n">
        <v>1</v>
      </c>
      <c r="D879" s="95" t="inlineStr">
        <is>
          <t xml:space="preserve">Hotel 21 Sept - 27 Sept 2024 (6 days) </t>
        </is>
      </c>
      <c r="E879" s="95" t="n"/>
      <c r="F879" s="93" t="n">
        <v>1680000</v>
      </c>
      <c r="G879" s="91" t="inlineStr">
        <is>
          <t>IDR</t>
        </is>
      </c>
      <c r="H879" s="91" t="n">
        <v>1</v>
      </c>
      <c r="I879" s="61">
        <f>F519</f>
        <v/>
      </c>
      <c r="J879" s="44" t="n"/>
      <c r="K879" s="44" t="n"/>
      <c r="L879" s="44" t="n"/>
      <c r="M879" s="44" t="n"/>
      <c r="N879" s="44" t="n"/>
      <c r="O879" s="44" t="n"/>
      <c r="P879" s="44" t="n"/>
      <c r="Q879" s="44" t="n"/>
    </row>
    <row r="880">
      <c r="B880" s="292" t="n">
        <v>45563</v>
      </c>
      <c r="C880" s="91" t="n">
        <v>2</v>
      </c>
      <c r="D880" s="95" t="inlineStr">
        <is>
          <t>Laundry 20 Sept - 27 Sept 2024 (7days) @ Rp. 50000</t>
        </is>
      </c>
      <c r="E880" s="95" t="n"/>
      <c r="F880" s="93" t="n">
        <v>350000</v>
      </c>
      <c r="G880" s="91" t="inlineStr">
        <is>
          <t>IDR</t>
        </is>
      </c>
      <c r="H880" s="91" t="n">
        <v>1</v>
      </c>
      <c r="I880" s="62">
        <f>F520</f>
        <v/>
      </c>
      <c r="J880" s="44" t="n"/>
      <c r="K880" s="44" t="n"/>
      <c r="L880" s="44" t="n"/>
      <c r="M880" s="44" t="n"/>
      <c r="N880" s="44" t="n"/>
      <c r="O880" s="44" t="n"/>
      <c r="P880" s="44" t="n"/>
      <c r="Q880" s="44" t="n"/>
    </row>
    <row r="881">
      <c r="B881" s="292" t="n"/>
      <c r="C881" s="91" t="n"/>
      <c r="D881" s="97" t="inlineStr">
        <is>
          <t>Transportation</t>
        </is>
      </c>
      <c r="E881" s="97" t="n"/>
      <c r="F881" s="93" t="n"/>
      <c r="G881" s="91" t="n"/>
      <c r="H881" s="91" t="n"/>
      <c r="I881" s="61" t="n"/>
      <c r="J881" s="44" t="n"/>
      <c r="K881" s="44" t="n"/>
      <c r="L881" s="44" t="n"/>
      <c r="M881" s="61" t="n"/>
      <c r="N881" s="44" t="n"/>
      <c r="O881" s="44" t="n"/>
      <c r="P881" s="44" t="n"/>
      <c r="Q881" s="44" t="n"/>
    </row>
    <row r="882">
      <c r="B882" s="292" t="n">
        <v>45563</v>
      </c>
      <c r="C882" s="91" t="n"/>
      <c r="D882" s="95" t="inlineStr">
        <is>
          <t>Gasoline</t>
        </is>
      </c>
      <c r="E882" s="95" t="n"/>
      <c r="F882" s="93" t="n">
        <v>200000</v>
      </c>
      <c r="G882" s="91" t="inlineStr">
        <is>
          <t>IDR</t>
        </is>
      </c>
      <c r="H882" s="91" t="n">
        <v>1</v>
      </c>
      <c r="I882" s="61">
        <f>$H522*$F522</f>
        <v/>
      </c>
      <c r="J882" s="44" t="n"/>
      <c r="K882" s="44" t="n"/>
      <c r="L882" s="44" t="n"/>
      <c r="M882" s="61" t="n"/>
      <c r="N882" s="44" t="n"/>
      <c r="O882" s="44" t="n"/>
      <c r="P882" s="44" t="n"/>
      <c r="Q882" s="44" t="n"/>
    </row>
    <row r="883">
      <c r="B883" s="292" t="n">
        <v>45563</v>
      </c>
      <c r="C883" s="91" t="n"/>
      <c r="D883" s="95" t="inlineStr">
        <is>
          <t>Gasoline</t>
        </is>
      </c>
      <c r="E883" s="95" t="n"/>
      <c r="F883" s="93" t="n">
        <v>215000</v>
      </c>
      <c r="G883" s="91" t="inlineStr">
        <is>
          <t>IDR</t>
        </is>
      </c>
      <c r="H883" s="91" t="n">
        <v>1</v>
      </c>
      <c r="I883" s="61">
        <f>$H523*$F523</f>
        <v/>
      </c>
      <c r="J883" s="44" t="n"/>
      <c r="K883" s="44" t="n"/>
      <c r="L883" s="44" t="n"/>
      <c r="M883" s="61" t="n"/>
      <c r="N883" s="44" t="n"/>
      <c r="O883" s="44" t="n"/>
      <c r="P883" s="44" t="n"/>
      <c r="Q883" s="44" t="n"/>
    </row>
    <row r="884">
      <c r="B884" s="292" t="n">
        <v>45563</v>
      </c>
      <c r="C884" s="91" t="n"/>
      <c r="D884" s="95" t="inlineStr">
        <is>
          <t>Gasoline</t>
        </is>
      </c>
      <c r="E884" s="95" t="n"/>
      <c r="F884" s="93" t="n">
        <v>197000</v>
      </c>
      <c r="G884" s="91" t="inlineStr">
        <is>
          <t>IDR</t>
        </is>
      </c>
      <c r="H884" s="91" t="n">
        <v>1</v>
      </c>
      <c r="I884" s="61">
        <f>$H524*$F524</f>
        <v/>
      </c>
      <c r="J884" s="44" t="n"/>
      <c r="K884" s="44" t="n"/>
      <c r="L884" s="44" t="n"/>
      <c r="M884" s="44" t="n"/>
      <c r="N884" s="61" t="n"/>
      <c r="O884" s="44" t="n"/>
      <c r="P884" s="44" t="n"/>
      <c r="Q884" s="44" t="n"/>
    </row>
    <row r="885">
      <c r="B885" s="292" t="n">
        <v>45563</v>
      </c>
      <c r="C885" s="91" t="n"/>
      <c r="D885" s="95" t="inlineStr">
        <is>
          <t>Gasoline</t>
        </is>
      </c>
      <c r="E885" s="95" t="n"/>
      <c r="F885" s="93" t="n">
        <v>200000</v>
      </c>
      <c r="G885" s="91" t="inlineStr">
        <is>
          <t>IDR</t>
        </is>
      </c>
      <c r="H885" s="91" t="n">
        <v>1</v>
      </c>
      <c r="I885" s="61">
        <f>$H525*$F525</f>
        <v/>
      </c>
      <c r="J885" s="44" t="n"/>
      <c r="K885" s="44" t="n"/>
      <c r="L885" s="44" t="n"/>
      <c r="M885" s="44" t="n"/>
      <c r="N885" s="61" t="n"/>
      <c r="O885" s="44" t="n"/>
      <c r="P885" s="44" t="n"/>
      <c r="Q885" s="44" t="n"/>
    </row>
    <row r="886">
      <c r="B886" s="292" t="n">
        <v>45563</v>
      </c>
      <c r="C886" s="91" t="n"/>
      <c r="D886" s="95" t="inlineStr">
        <is>
          <t>Gasoline</t>
        </is>
      </c>
      <c r="E886" s="95" t="n"/>
      <c r="F886" s="93" t="n">
        <v>220000</v>
      </c>
      <c r="G886" s="91" t="inlineStr">
        <is>
          <t>IDR</t>
        </is>
      </c>
      <c r="H886" s="91" t="n">
        <v>1</v>
      </c>
      <c r="I886" s="61">
        <f>$H526*$F526</f>
        <v/>
      </c>
      <c r="J886" s="44" t="n"/>
      <c r="K886" s="44" t="n"/>
      <c r="L886" s="44" t="n"/>
      <c r="M886" s="44" t="n"/>
      <c r="N886" s="44" t="n"/>
      <c r="O886" s="44" t="n"/>
      <c r="P886" s="44" t="n"/>
      <c r="Q886" s="44" t="n"/>
    </row>
    <row r="887">
      <c r="B887" s="292" t="n">
        <v>45563</v>
      </c>
      <c r="C887" s="91" t="n"/>
      <c r="D887" s="95" t="inlineStr">
        <is>
          <t>Toll (PLM-Prabumulih)</t>
        </is>
      </c>
      <c r="E887" s="95" t="n"/>
      <c r="F887" s="93" t="n">
        <v>112000</v>
      </c>
      <c r="G887" s="91" t="inlineStr">
        <is>
          <t>IDR</t>
        </is>
      </c>
      <c r="H887" s="91" t="n">
        <v>1</v>
      </c>
      <c r="I887" s="61">
        <f>$H527*$F527</f>
        <v/>
      </c>
      <c r="J887" s="44" t="n"/>
      <c r="K887" s="44" t="n"/>
      <c r="L887" s="44" t="n"/>
      <c r="M887" s="44" t="n"/>
      <c r="N887" s="44" t="n"/>
      <c r="O887" s="44" t="n"/>
      <c r="P887" s="44" t="n"/>
      <c r="Q887" s="44" t="n"/>
    </row>
    <row r="888">
      <c r="B888" s="292" t="n">
        <v>45563</v>
      </c>
      <c r="C888" s="91" t="n"/>
      <c r="D888" s="95" t="inlineStr">
        <is>
          <t>Toll (Prabumulih-PLM)</t>
        </is>
      </c>
      <c r="E888" s="95" t="n"/>
      <c r="F888" s="93" t="n">
        <v>117000</v>
      </c>
      <c r="G888" s="91" t="inlineStr">
        <is>
          <t>IDR</t>
        </is>
      </c>
      <c r="H888" s="91" t="n">
        <v>1</v>
      </c>
      <c r="I888" s="61">
        <f>$H528*$F528</f>
        <v/>
      </c>
      <c r="J888" s="44" t="n"/>
      <c r="K888" s="44" t="n"/>
      <c r="L888" s="44" t="n"/>
      <c r="M888" s="44" t="n"/>
      <c r="N888" s="44" t="n"/>
      <c r="O888" s="44" t="n"/>
      <c r="P888" s="44" t="n"/>
      <c r="Q888" s="44" t="n"/>
    </row>
    <row r="889">
      <c r="B889" s="292" t="n">
        <v>45563</v>
      </c>
      <c r="C889" s="91" t="n"/>
      <c r="D889" s="95" t="inlineStr">
        <is>
          <t>Car Wash</t>
        </is>
      </c>
      <c r="E889" s="95" t="n"/>
      <c r="F889" s="93" t="n">
        <v>40000</v>
      </c>
      <c r="G889" s="91" t="inlineStr">
        <is>
          <t>IDR</t>
        </is>
      </c>
      <c r="H889" s="91" t="n">
        <v>1</v>
      </c>
      <c r="I889" s="61">
        <f>$H529*$F529</f>
        <v/>
      </c>
      <c r="J889" s="44" t="n"/>
      <c r="K889" s="44" t="n"/>
      <c r="L889" s="44" t="n"/>
      <c r="M889" s="44" t="n"/>
      <c r="N889" s="44" t="n"/>
      <c r="O889" s="44" t="n"/>
      <c r="P889" s="44" t="n"/>
      <c r="Q889" s="44" t="n"/>
    </row>
    <row r="890">
      <c r="B890" s="292" t="n"/>
      <c r="C890" s="91" t="n"/>
      <c r="D890" s="97" t="inlineStr">
        <is>
          <t>Operation</t>
        </is>
      </c>
      <c r="E890" s="97" t="n"/>
      <c r="F890" s="93" t="n"/>
      <c r="G890" s="91" t="n"/>
      <c r="H890" s="91" t="n"/>
      <c r="I890" s="62" t="n"/>
      <c r="J890" s="44" t="n"/>
      <c r="K890" s="44" t="n"/>
      <c r="L890" s="44" t="n"/>
      <c r="M890" s="44" t="n"/>
      <c r="N890" s="44" t="n"/>
      <c r="O890" s="44" t="n"/>
      <c r="P890" s="44" t="n"/>
      <c r="Q890" s="44" t="n"/>
    </row>
    <row r="891">
      <c r="B891" s="292" t="n">
        <v>45563</v>
      </c>
      <c r="C891" s="91" t="n"/>
      <c r="D891" s="98" t="inlineStr">
        <is>
          <t>Aqua 600 ML + Sunlight</t>
        </is>
      </c>
      <c r="E891" s="98" t="n"/>
      <c r="F891" s="93" t="n">
        <v>65000</v>
      </c>
      <c r="G891" s="91" t="inlineStr">
        <is>
          <t>IDR</t>
        </is>
      </c>
      <c r="H891" s="91" t="n">
        <v>1</v>
      </c>
      <c r="I891" s="62">
        <f>F531</f>
        <v/>
      </c>
      <c r="J891" s="44" t="n"/>
      <c r="K891" s="44" t="n"/>
      <c r="L891" s="44" t="n"/>
      <c r="M891" s="44" t="n"/>
      <c r="N891" s="44" t="n"/>
      <c r="O891" s="44" t="n"/>
      <c r="P891" s="44" t="n"/>
      <c r="Q891" s="44" t="n"/>
    </row>
    <row r="892">
      <c r="B892" s="292" t="n">
        <v>45563</v>
      </c>
      <c r="C892" s="91" t="n"/>
      <c r="D892" s="98" t="inlineStr">
        <is>
          <t>Fried Food + Soft Drink</t>
        </is>
      </c>
      <c r="E892" s="98" t="n"/>
      <c r="F892" s="93" t="n">
        <v>150000</v>
      </c>
      <c r="G892" s="91" t="inlineStr">
        <is>
          <t>IDR</t>
        </is>
      </c>
      <c r="H892" s="91" t="n">
        <v>1</v>
      </c>
      <c r="I892" s="62">
        <f>F532</f>
        <v/>
      </c>
      <c r="J892" s="44" t="n"/>
      <c r="K892" s="44" t="n"/>
      <c r="L892" s="44" t="n"/>
      <c r="M892" s="44" t="n"/>
      <c r="N892" s="44" t="n"/>
      <c r="O892" s="44" t="n"/>
      <c r="P892" s="44" t="n"/>
      <c r="Q892" s="44" t="n"/>
    </row>
    <row r="893">
      <c r="B893" s="292" t="n">
        <v>45563</v>
      </c>
      <c r="C893" s="91" t="n"/>
      <c r="D893" s="98" t="inlineStr">
        <is>
          <t>Meal's Crew</t>
        </is>
      </c>
      <c r="E893" s="98" t="n"/>
      <c r="F893" s="93" t="n">
        <v>120000</v>
      </c>
      <c r="G893" s="91" t="inlineStr">
        <is>
          <t>IDR</t>
        </is>
      </c>
      <c r="H893" s="91" t="n">
        <v>1</v>
      </c>
      <c r="I893" s="62">
        <f>F533</f>
        <v/>
      </c>
      <c r="J893" s="44" t="n"/>
      <c r="K893" s="44" t="n"/>
      <c r="L893" s="44" t="n"/>
      <c r="M893" s="44" t="n"/>
      <c r="N893" s="44" t="n"/>
      <c r="O893" s="44" t="n"/>
      <c r="P893" s="44" t="n"/>
      <c r="Q893" s="44" t="n"/>
    </row>
    <row r="894">
      <c r="B894" s="292" t="n">
        <v>45563</v>
      </c>
      <c r="C894" s="91" t="n"/>
      <c r="D894" s="98" t="inlineStr">
        <is>
          <t>Snack's Crew</t>
        </is>
      </c>
      <c r="E894" s="98" t="n"/>
      <c r="F894" s="93" t="n">
        <v>172000</v>
      </c>
      <c r="G894" s="91" t="inlineStr">
        <is>
          <t>IDR</t>
        </is>
      </c>
      <c r="H894" s="91" t="n">
        <v>1</v>
      </c>
      <c r="I894" s="62">
        <f>F534</f>
        <v/>
      </c>
      <c r="J894" s="44" t="n"/>
      <c r="K894" s="44" t="n"/>
      <c r="L894" s="44" t="n"/>
      <c r="M894" s="61" t="n"/>
      <c r="N894" s="44" t="n"/>
      <c r="O894" s="44" t="n"/>
      <c r="P894" s="44" t="n"/>
      <c r="Q894" s="44" t="n"/>
    </row>
    <row r="895">
      <c r="B895" s="292" t="n">
        <v>45563</v>
      </c>
      <c r="C895" s="91" t="n"/>
      <c r="D895" s="98" t="inlineStr">
        <is>
          <t xml:space="preserve">Meal's + Soft Drink Crew </t>
        </is>
      </c>
      <c r="E895" s="98" t="n"/>
      <c r="F895" s="93" t="n">
        <v>300000</v>
      </c>
      <c r="G895" s="91" t="inlineStr">
        <is>
          <t>IDR</t>
        </is>
      </c>
      <c r="H895" s="91" t="n">
        <v>1</v>
      </c>
      <c r="I895" s="62">
        <f>F535</f>
        <v/>
      </c>
      <c r="J895" s="44" t="n"/>
      <c r="K895" s="44" t="n"/>
      <c r="L895" s="44" t="n"/>
      <c r="M895" s="62" t="n"/>
      <c r="N895" s="44" t="n"/>
      <c r="O895" s="44" t="n"/>
      <c r="P895" s="44" t="n"/>
      <c r="Q895" s="44" t="n"/>
    </row>
    <row r="896">
      <c r="B896" s="292" t="n">
        <v>45563</v>
      </c>
      <c r="C896" s="91" t="n"/>
      <c r="D896" s="98" t="inlineStr">
        <is>
          <t>Aqua 600 ML</t>
        </is>
      </c>
      <c r="E896" s="98" t="n"/>
      <c r="F896" s="93" t="n">
        <v>65000</v>
      </c>
      <c r="G896" s="91" t="inlineStr">
        <is>
          <t>IDR</t>
        </is>
      </c>
      <c r="H896" s="91" t="n">
        <v>1</v>
      </c>
      <c r="I896" s="62">
        <f>F536</f>
        <v/>
      </c>
      <c r="J896" s="44" t="n"/>
      <c r="K896" s="44" t="n"/>
      <c r="L896" s="44" t="n"/>
      <c r="M896" s="61" t="n"/>
      <c r="N896" s="44" t="n"/>
      <c r="O896" s="44" t="n"/>
      <c r="P896" s="44" t="n"/>
      <c r="Q896" s="44" t="n"/>
    </row>
    <row r="897">
      <c r="B897" s="292" t="n">
        <v>45563</v>
      </c>
      <c r="C897" s="91" t="n"/>
      <c r="D897" s="98" t="inlineStr">
        <is>
          <t>Meal's Crws + Ice Tea</t>
        </is>
      </c>
      <c r="E897" s="98" t="n"/>
      <c r="F897" s="93" t="n">
        <v>200000</v>
      </c>
      <c r="G897" s="91" t="inlineStr">
        <is>
          <t>IDR</t>
        </is>
      </c>
      <c r="H897" s="91" t="n">
        <v>1</v>
      </c>
      <c r="I897" s="62">
        <f>F537</f>
        <v/>
      </c>
      <c r="J897" s="44" t="n"/>
      <c r="K897" s="44" t="n"/>
      <c r="L897" s="44" t="n"/>
      <c r="M897" s="61" t="n"/>
      <c r="N897" s="44" t="n"/>
      <c r="O897" s="44" t="n"/>
      <c r="P897" s="44" t="n"/>
      <c r="Q897" s="44" t="n"/>
    </row>
    <row r="898">
      <c r="B898" s="292" t="n">
        <v>45563</v>
      </c>
      <c r="C898" s="91" t="n"/>
      <c r="D898" s="98" t="inlineStr">
        <is>
          <t>Snack's Crew</t>
        </is>
      </c>
      <c r="E898" s="98" t="n"/>
      <c r="F898" s="93" t="n">
        <v>240000</v>
      </c>
      <c r="G898" s="91" t="inlineStr">
        <is>
          <t>IDR</t>
        </is>
      </c>
      <c r="H898" s="91" t="n">
        <v>1</v>
      </c>
      <c r="I898" s="62">
        <f>F538</f>
        <v/>
      </c>
      <c r="J898" s="44" t="n"/>
      <c r="K898" s="44" t="n"/>
      <c r="L898" s="44" t="n"/>
      <c r="M898" s="62" t="n"/>
      <c r="N898" s="44" t="n"/>
      <c r="O898" s="44" t="n"/>
      <c r="P898" s="44" t="n"/>
      <c r="Q898" s="44" t="n"/>
    </row>
    <row r="899">
      <c r="B899" s="292" t="n">
        <v>45563</v>
      </c>
      <c r="C899" s="91" t="n"/>
      <c r="D899" s="98" t="inlineStr">
        <is>
          <t xml:space="preserve">Meal's + Soft Drink Crew </t>
        </is>
      </c>
      <c r="E899" s="98" t="n"/>
      <c r="F899" s="93" t="n">
        <v>230000</v>
      </c>
      <c r="G899" s="91" t="inlineStr">
        <is>
          <t>IDR</t>
        </is>
      </c>
      <c r="H899" s="91" t="n">
        <v>1</v>
      </c>
      <c r="I899" s="62">
        <f>F539</f>
        <v/>
      </c>
      <c r="J899" s="44" t="n"/>
      <c r="K899" s="44" t="n"/>
      <c r="L899" s="44" t="n"/>
      <c r="M899" s="61" t="n"/>
      <c r="N899" s="44" t="n"/>
      <c r="O899" s="44" t="n"/>
      <c r="P899" s="44" t="n"/>
      <c r="Q899" s="44" t="n"/>
    </row>
    <row r="900">
      <c r="B900" s="292" t="n">
        <v>45563</v>
      </c>
      <c r="C900" s="91" t="n"/>
      <c r="D900" s="98" t="inlineStr">
        <is>
          <t>Soft Drink</t>
        </is>
      </c>
      <c r="E900" s="98" t="n"/>
      <c r="F900" s="93" t="n">
        <v>110000</v>
      </c>
      <c r="G900" s="91" t="inlineStr">
        <is>
          <t>IDR</t>
        </is>
      </c>
      <c r="H900" s="91" t="n">
        <v>1</v>
      </c>
      <c r="I900" s="62">
        <f>F540</f>
        <v/>
      </c>
      <c r="J900" s="44" t="n"/>
      <c r="K900" s="44" t="n"/>
      <c r="L900" s="44" t="n"/>
      <c r="M900" s="61" t="n"/>
      <c r="N900" s="44" t="n"/>
      <c r="O900" s="44" t="n"/>
      <c r="P900" s="44" t="n"/>
      <c r="Q900" s="44" t="n"/>
    </row>
    <row r="901">
      <c r="B901" s="292" t="n">
        <v>45563</v>
      </c>
      <c r="C901" s="91" t="n"/>
      <c r="D901" s="98" t="inlineStr">
        <is>
          <t xml:space="preserve">Black Coffe </t>
        </is>
      </c>
      <c r="E901" s="98" t="n"/>
      <c r="F901" s="93" t="n">
        <v>47000</v>
      </c>
      <c r="G901" s="91" t="inlineStr">
        <is>
          <t>IDR</t>
        </is>
      </c>
      <c r="H901" s="91" t="n">
        <v>1</v>
      </c>
      <c r="I901" s="62">
        <f>F541</f>
        <v/>
      </c>
      <c r="J901" s="44" t="n"/>
      <c r="K901" s="44" t="n"/>
      <c r="L901" s="44" t="n"/>
      <c r="M901" s="62" t="n"/>
      <c r="N901" s="44" t="n"/>
      <c r="O901" s="44" t="n"/>
      <c r="P901" s="44" t="n"/>
      <c r="Q901" s="44" t="n"/>
    </row>
    <row r="902">
      <c r="B902" s="292" t="n"/>
      <c r="C902" s="117" t="n"/>
      <c r="D902" s="97" t="inlineStr">
        <is>
          <t>Allowance</t>
        </is>
      </c>
      <c r="E902" s="97" t="n"/>
      <c r="F902" s="93" t="n"/>
      <c r="G902" s="91" t="n"/>
      <c r="H902" s="91" t="n"/>
      <c r="I902" s="44" t="n"/>
      <c r="J902" s="44" t="n"/>
      <c r="K902" s="44" t="n"/>
      <c r="L902" s="44" t="n"/>
      <c r="M902" s="61" t="n"/>
      <c r="N902" s="44" t="n"/>
      <c r="O902" s="44" t="n"/>
      <c r="P902" s="44" t="n"/>
      <c r="Q902" s="44" t="n"/>
    </row>
    <row r="903">
      <c r="B903" s="292" t="n">
        <v>45563</v>
      </c>
      <c r="C903" s="117" t="n"/>
      <c r="D903" s="95" t="inlineStr">
        <is>
          <t>Field Allowance 20 Sept - 27 Sept 2024</t>
        </is>
      </c>
      <c r="E903" s="95" t="n"/>
      <c r="F903" s="93" t="n">
        <v>175</v>
      </c>
      <c r="G903" s="91" t="inlineStr">
        <is>
          <t>USD</t>
        </is>
      </c>
      <c r="H903" s="100" t="n">
        <v>15250</v>
      </c>
      <c r="I903" s="62">
        <f>H543*F543</f>
        <v/>
      </c>
      <c r="J903" s="44" t="n"/>
      <c r="K903" s="44" t="n"/>
      <c r="L903" s="44" t="n"/>
      <c r="M903" s="62" t="n"/>
      <c r="N903" s="44" t="n"/>
      <c r="O903" s="44" t="n"/>
      <c r="P903" s="44" t="n"/>
      <c r="Q903" s="44" t="n"/>
    </row>
    <row r="904">
      <c r="B904" s="292" t="n">
        <v>45563</v>
      </c>
      <c r="C904" s="91" t="n"/>
      <c r="D904" s="95" t="inlineStr">
        <is>
          <t>Meals 20 Sept - 27 Sept 2024 7 days</t>
        </is>
      </c>
      <c r="E904" s="95" t="n"/>
      <c r="F904" s="93">
        <f>150000*7</f>
        <v/>
      </c>
      <c r="G904" s="91" t="inlineStr">
        <is>
          <t>IDR</t>
        </is>
      </c>
      <c r="H904" s="91" t="n">
        <v>1</v>
      </c>
      <c r="I904" s="62">
        <f>F544</f>
        <v/>
      </c>
      <c r="J904" s="44" t="n"/>
      <c r="K904" s="44" t="n"/>
      <c r="L904" s="44" t="n"/>
      <c r="M904" s="61" t="n"/>
      <c r="N904" s="44" t="n"/>
      <c r="O904" s="44" t="n"/>
      <c r="P904" s="44" t="n"/>
      <c r="Q904" s="44" t="n"/>
    </row>
    <row r="905">
      <c r="B905" s="78" t="inlineStr">
        <is>
          <t>Expense#34</t>
        </is>
      </c>
      <c r="C905" s="85" t="inlineStr">
        <is>
          <t>:</t>
        </is>
      </c>
      <c r="D905" s="86" t="inlineStr">
        <is>
          <t>ALFA_JRK-095 well (PEPZ4-PEndopo field) SI jakarta _ AC</t>
        </is>
      </c>
      <c r="E905" s="86" t="n"/>
      <c r="F905" s="87" t="n"/>
      <c r="G905" s="73" t="n"/>
      <c r="H905" s="73" t="n"/>
      <c r="I905" s="78" t="n"/>
      <c r="J905" s="78" t="n"/>
      <c r="K905" s="78" t="n"/>
      <c r="L905" s="78" t="n"/>
      <c r="M905" s="78" t="n"/>
      <c r="N905" s="78" t="n"/>
      <c r="O905" s="78" t="n"/>
      <c r="P905" s="78" t="n"/>
      <c r="Q905" s="78" t="n"/>
    </row>
    <row r="906">
      <c r="B906" s="14" t="n"/>
      <c r="C906" s="15" t="n"/>
      <c r="D906" s="106" t="inlineStr">
        <is>
          <t>Transportation</t>
        </is>
      </c>
      <c r="E906" s="106" t="n"/>
      <c r="F906" s="21" t="n"/>
      <c r="G906" s="15" t="n"/>
      <c r="H906" s="15" t="n"/>
      <c r="I906" s="44" t="n"/>
      <c r="J906" s="44" t="n"/>
      <c r="K906" s="44" t="n"/>
      <c r="L906" s="44" t="n"/>
      <c r="M906" s="44" t="n"/>
      <c r="N906" s="44" t="n"/>
      <c r="O906" s="44" t="n"/>
      <c r="P906" s="44" t="n"/>
      <c r="Q906" s="44" t="n"/>
    </row>
    <row r="907">
      <c r="B907" s="102" t="n">
        <v>45556</v>
      </c>
      <c r="C907" s="15" t="n">
        <v>1</v>
      </c>
      <c r="D907" s="18" t="inlineStr">
        <is>
          <t>Air ticket Anevril JKT-Palembang</t>
        </is>
      </c>
      <c r="E907" s="18" t="n"/>
      <c r="F907" s="21" t="n">
        <v>796800</v>
      </c>
      <c r="G907" s="15" t="inlineStr">
        <is>
          <t>IDR</t>
        </is>
      </c>
      <c r="H907" s="15" t="n">
        <v>1</v>
      </c>
      <c r="I907" s="61">
        <f>$H547*$F547</f>
        <v/>
      </c>
      <c r="J907" s="44" t="n"/>
      <c r="K907" s="44" t="n"/>
      <c r="L907" s="44" t="n"/>
      <c r="M907" s="44" t="n"/>
      <c r="N907" s="44" t="n"/>
      <c r="O907" s="44" t="n"/>
      <c r="P907" s="44" t="n"/>
      <c r="Q907" s="44" t="n"/>
    </row>
    <row r="908">
      <c r="B908" s="102" t="n">
        <v>45564</v>
      </c>
      <c r="C908" s="15" t="n">
        <v>2</v>
      </c>
      <c r="D908" s="18" t="inlineStr">
        <is>
          <t>Air ticket Anevril Palembang-JKT</t>
        </is>
      </c>
      <c r="E908" s="18" t="n"/>
      <c r="F908" s="21" t="n">
        <v>804500</v>
      </c>
      <c r="G908" s="15" t="inlineStr">
        <is>
          <t>IDR</t>
        </is>
      </c>
      <c r="H908" s="15" t="n">
        <v>1</v>
      </c>
      <c r="I908" s="61">
        <f>$H548*$F548</f>
        <v/>
      </c>
      <c r="J908" s="44" t="n"/>
      <c r="K908" s="44" t="n"/>
      <c r="L908" s="44" t="n"/>
      <c r="M908" s="44" t="n"/>
      <c r="N908" s="44" t="n"/>
      <c r="O908" s="44" t="n"/>
      <c r="P908" s="44" t="n"/>
      <c r="Q908" s="44" t="n"/>
    </row>
    <row r="909">
      <c r="B909" s="102" t="n"/>
      <c r="C909" s="15" t="n"/>
      <c r="D909" s="106" t="inlineStr">
        <is>
          <t>Transportation</t>
        </is>
      </c>
      <c r="E909" s="106" t="n"/>
      <c r="F909" s="21" t="n"/>
      <c r="G909" s="15" t="n"/>
      <c r="H909" s="15" t="n"/>
      <c r="I909" s="61" t="n"/>
      <c r="J909" s="44" t="n"/>
      <c r="K909" s="44" t="n"/>
      <c r="L909" s="44" t="n"/>
      <c r="M909" s="44" t="n"/>
      <c r="N909" s="44" t="n"/>
      <c r="O909" s="44" t="n"/>
      <c r="P909" s="44" t="n"/>
      <c r="Q909" s="44" t="n"/>
    </row>
    <row r="910">
      <c r="B910" s="102" t="n">
        <v>45556</v>
      </c>
      <c r="C910" s="15" t="n">
        <v>3</v>
      </c>
      <c r="D910" s="63" t="inlineStr">
        <is>
          <t>Taxi Anevril Home - CGK Airport</t>
        </is>
      </c>
      <c r="E910" s="63" t="n"/>
      <c r="F910" s="21" t="n">
        <v>250000</v>
      </c>
      <c r="G910" s="15" t="inlineStr">
        <is>
          <t>IDR</t>
        </is>
      </c>
      <c r="H910" s="15" t="n">
        <v>1</v>
      </c>
      <c r="I910" s="61">
        <f>$H550*$F550</f>
        <v/>
      </c>
      <c r="J910" s="44" t="n"/>
      <c r="K910" s="44" t="n"/>
      <c r="L910" s="44" t="n"/>
      <c r="M910" s="44" t="n"/>
      <c r="N910" s="61" t="n"/>
      <c r="O910" s="44" t="n"/>
      <c r="P910" s="44" t="n"/>
      <c r="Q910" s="44" t="n"/>
    </row>
    <row r="911">
      <c r="B911" s="102" t="n">
        <v>45564</v>
      </c>
      <c r="C911" s="15" t="n">
        <v>4</v>
      </c>
      <c r="D911" s="63" t="inlineStr">
        <is>
          <t>Taxi Anevril CGK Airport - Home</t>
        </is>
      </c>
      <c r="E911" s="63" t="n"/>
      <c r="F911" s="21" t="n">
        <v>250000</v>
      </c>
      <c r="G911" s="15" t="inlineStr">
        <is>
          <t>IDR</t>
        </is>
      </c>
      <c r="H911" s="15" t="n">
        <v>1</v>
      </c>
      <c r="I911" s="61">
        <f>$H551*$F551</f>
        <v/>
      </c>
      <c r="J911" s="44" t="n"/>
      <c r="K911" s="44" t="n"/>
      <c r="L911" s="44" t="n"/>
      <c r="M911" s="44" t="n"/>
      <c r="N911" s="44" t="n"/>
      <c r="O911" s="44" t="n"/>
      <c r="P911" s="44" t="n"/>
      <c r="Q911" s="44" t="n"/>
    </row>
    <row r="912">
      <c r="B912" s="102" t="n">
        <v>45564</v>
      </c>
      <c r="C912" s="15" t="n">
        <v>5</v>
      </c>
      <c r="D912" s="63" t="inlineStr">
        <is>
          <t>Sewa mobil 8 hari (21/09/24 - 29/09/24)</t>
        </is>
      </c>
      <c r="E912" s="63" t="n"/>
      <c r="F912" s="21" t="n">
        <v>4000000</v>
      </c>
      <c r="G912" s="15" t="inlineStr">
        <is>
          <t>IDR</t>
        </is>
      </c>
      <c r="H912" s="15" t="n">
        <v>1</v>
      </c>
      <c r="I912" s="61">
        <f>$H552*$F552</f>
        <v/>
      </c>
      <c r="J912" s="44" t="n"/>
      <c r="K912" s="44" t="n"/>
      <c r="L912" s="44" t="n"/>
      <c r="M912" s="44" t="n"/>
      <c r="N912" s="61" t="n"/>
      <c r="O912" s="44" t="n"/>
      <c r="P912" s="44" t="n"/>
      <c r="Q912" s="44" t="n"/>
    </row>
    <row r="913">
      <c r="B913" s="102" t="n"/>
      <c r="C913" s="15" t="n"/>
      <c r="D913" s="118" t="inlineStr">
        <is>
          <t>Transportation</t>
        </is>
      </c>
      <c r="E913" s="118" t="n"/>
      <c r="F913" s="21" t="n"/>
      <c r="G913" s="15" t="n"/>
      <c r="H913" s="15" t="n"/>
      <c r="I913" s="61" t="n"/>
      <c r="J913" s="44" t="n"/>
      <c r="K913" s="44" t="n"/>
      <c r="L913" s="44" t="n"/>
      <c r="M913" s="44" t="n"/>
      <c r="N913" s="61" t="n"/>
      <c r="O913" s="44" t="n"/>
      <c r="P913" s="44" t="n"/>
      <c r="Q913" s="44" t="n"/>
    </row>
    <row r="914">
      <c r="B914" s="102" t="n"/>
      <c r="C914" s="15" t="n"/>
      <c r="D914" s="108" t="inlineStr">
        <is>
          <t>Accommodation</t>
        </is>
      </c>
      <c r="E914" s="108" t="n"/>
      <c r="F914" s="21" t="n"/>
      <c r="G914" s="15" t="n"/>
      <c r="H914" s="15" t="n"/>
      <c r="I914" s="61" t="n"/>
      <c r="J914" s="44" t="n"/>
      <c r="K914" s="44" t="n"/>
      <c r="L914" s="44" t="n"/>
      <c r="M914" s="44" t="n"/>
      <c r="N914" s="61" t="n"/>
      <c r="O914" s="44" t="n"/>
      <c r="P914" s="44" t="n"/>
      <c r="Q914" s="44" t="n"/>
    </row>
    <row r="915">
      <c r="B915" s="102" t="n">
        <v>45564</v>
      </c>
      <c r="C915" s="15" t="n">
        <v>6</v>
      </c>
      <c r="D915" s="63" t="inlineStr">
        <is>
          <t>Laundry 8 days @ 50K IDR/day</t>
        </is>
      </c>
      <c r="E915" s="63" t="n"/>
      <c r="F915" s="21" t="n">
        <v>400000</v>
      </c>
      <c r="G915" s="15" t="inlineStr">
        <is>
          <t>IDR</t>
        </is>
      </c>
      <c r="H915" s="15" t="n">
        <v>1</v>
      </c>
      <c r="I915" s="61">
        <f>F555</f>
        <v/>
      </c>
      <c r="J915" s="44" t="n"/>
      <c r="K915" s="44" t="n"/>
      <c r="L915" s="44" t="n"/>
      <c r="M915" s="44" t="n"/>
      <c r="N915" s="61" t="n"/>
      <c r="O915" s="44" t="n"/>
      <c r="P915" s="44" t="n"/>
      <c r="Q915" s="44" t="n"/>
    </row>
    <row r="916">
      <c r="B916" s="102" t="n"/>
      <c r="C916" s="15" t="n"/>
      <c r="D916" s="108" t="inlineStr">
        <is>
          <t>Allowance</t>
        </is>
      </c>
      <c r="E916" s="108" t="n"/>
      <c r="F916" s="21" t="n"/>
      <c r="G916" s="15" t="n"/>
      <c r="H916" s="15" t="n"/>
      <c r="I916" s="44" t="n"/>
      <c r="J916" s="44" t="n"/>
      <c r="K916" s="44" t="n"/>
      <c r="L916" s="44" t="n"/>
      <c r="M916" s="44" t="n"/>
      <c r="N916" s="44" t="n"/>
      <c r="O916" s="44" t="n"/>
      <c r="P916" s="44" t="n"/>
      <c r="Q916" s="44" t="n"/>
    </row>
    <row r="917">
      <c r="B917" s="102" t="n">
        <v>45564</v>
      </c>
      <c r="C917" s="15" t="n">
        <v>7</v>
      </c>
      <c r="D917" s="63" t="inlineStr">
        <is>
          <t>Meals 8 days @ 150K IDR/day</t>
        </is>
      </c>
      <c r="E917" s="63" t="n"/>
      <c r="F917" s="21" t="n">
        <v>900000</v>
      </c>
      <c r="G917" s="15" t="inlineStr">
        <is>
          <t>IDR</t>
        </is>
      </c>
      <c r="H917" s="15" t="n">
        <v>1</v>
      </c>
      <c r="I917" s="62">
        <f>F557</f>
        <v/>
      </c>
      <c r="J917" s="44" t="n"/>
      <c r="K917" s="44" t="n"/>
      <c r="L917" s="44" t="n"/>
      <c r="M917" s="61" t="n"/>
      <c r="N917" s="44" t="n"/>
      <c r="O917" s="44" t="n"/>
      <c r="P917" s="44" t="n"/>
      <c r="Q917" s="44" t="n"/>
    </row>
    <row r="918">
      <c r="B918" s="102" t="n"/>
      <c r="C918" s="15" t="n"/>
      <c r="D918" s="108" t="inlineStr">
        <is>
          <t>Allowance</t>
        </is>
      </c>
      <c r="E918" s="108" t="n"/>
      <c r="F918" s="21" t="n"/>
      <c r="G918" s="15" t="n"/>
      <c r="H918" s="15" t="n"/>
      <c r="I918" s="44" t="n"/>
      <c r="J918" s="44" t="n"/>
      <c r="K918" s="44" t="n"/>
      <c r="L918" s="44" t="n"/>
      <c r="M918" s="44" t="n"/>
      <c r="N918" s="44" t="n"/>
      <c r="O918" s="44" t="n"/>
      <c r="P918" s="44" t="n"/>
      <c r="Q918" s="44" t="n"/>
    </row>
    <row r="919">
      <c r="B919" s="102" t="n">
        <v>45565</v>
      </c>
      <c r="C919" s="15" t="n">
        <v>8</v>
      </c>
      <c r="D919" s="63" t="inlineStr">
        <is>
          <t>Tunjangan lapaangan for 8 days- (job at JRK-095)</t>
        </is>
      </c>
      <c r="E919" s="63" t="n"/>
      <c r="F919" s="21" t="n">
        <v>800</v>
      </c>
      <c r="G919" s="15" t="inlineStr">
        <is>
          <t>USD</t>
        </is>
      </c>
      <c r="H919" s="15" t="n">
        <v>15200</v>
      </c>
      <c r="I919" s="455">
        <f>H559*F559</f>
        <v/>
      </c>
      <c r="J919" s="44" t="n"/>
      <c r="K919" s="44" t="n"/>
      <c r="L919" s="44" t="n"/>
      <c r="M919" s="44" t="n"/>
      <c r="N919" s="44" t="n"/>
      <c r="O919" s="44" t="n"/>
      <c r="P919" s="44" t="n"/>
      <c r="Q919" s="44" t="n"/>
    </row>
    <row r="920">
      <c r="B920" s="78" t="inlineStr">
        <is>
          <t>Expense#35</t>
        </is>
      </c>
      <c r="C920" s="85" t="inlineStr">
        <is>
          <t>:</t>
        </is>
      </c>
      <c r="D920" s="86" t="inlineStr">
        <is>
          <t>Trip to Cirebon Meeting MTD job X-ray field with PEP Zona 7 Region2_AC</t>
        </is>
      </c>
      <c r="E920" s="86" t="n"/>
      <c r="F920" s="87" t="n"/>
      <c r="G920" s="73" t="n"/>
      <c r="H920" s="73" t="n"/>
      <c r="I920" s="78" t="n"/>
      <c r="J920" s="78" t="n"/>
      <c r="K920" s="78" t="n"/>
      <c r="L920" s="78" t="n"/>
      <c r="M920" s="78" t="n"/>
      <c r="N920" s="78" t="n"/>
      <c r="O920" s="78" t="n"/>
      <c r="P920" s="78" t="n"/>
      <c r="Q920" s="78" t="n"/>
    </row>
    <row r="921">
      <c r="B921" s="102" t="n"/>
      <c r="C921" s="15" t="n"/>
      <c r="D921" s="108" t="inlineStr">
        <is>
          <t>Transportation</t>
        </is>
      </c>
      <c r="E921" s="108" t="n"/>
      <c r="F921" s="21" t="n"/>
      <c r="G921" s="18" t="n"/>
      <c r="H921" s="18" t="n"/>
      <c r="I921" s="44" t="n"/>
      <c r="J921" s="44" t="n"/>
      <c r="K921" s="44" t="n"/>
      <c r="L921" s="44" t="n"/>
      <c r="M921" s="44" t="n"/>
      <c r="N921" s="44" t="n"/>
      <c r="O921" s="44" t="n"/>
      <c r="P921" s="44" t="n"/>
      <c r="Q921" s="44" t="n"/>
    </row>
    <row r="922">
      <c r="B922" s="14" t="n">
        <v>45526</v>
      </c>
      <c r="C922" s="15" t="n">
        <v>1</v>
      </c>
      <c r="D922" s="63" t="inlineStr">
        <is>
          <t>Fuel ( trip modified tool Sampler to Mr suby)</t>
        </is>
      </c>
      <c r="E922" s="63" t="n"/>
      <c r="F922" s="21" t="n">
        <v>274000</v>
      </c>
      <c r="G922" s="18" t="inlineStr">
        <is>
          <t>IDR</t>
        </is>
      </c>
      <c r="H922" s="18" t="n">
        <v>1</v>
      </c>
      <c r="I922" s="61">
        <f>$H562*$F562</f>
        <v/>
      </c>
      <c r="J922" s="44" t="n"/>
      <c r="K922" s="44" t="n"/>
      <c r="L922" s="44" t="n"/>
      <c r="M922" s="44" t="n"/>
      <c r="N922" s="44" t="n"/>
      <c r="O922" s="44" t="n"/>
      <c r="P922" s="62" t="n"/>
      <c r="Q922" s="44" t="n"/>
    </row>
    <row r="923">
      <c r="B923" s="14" t="n">
        <v>45544</v>
      </c>
      <c r="C923" s="15" t="n">
        <v>2</v>
      </c>
      <c r="D923" s="63" t="inlineStr">
        <is>
          <t>Gocar ( trip Bintaro - Instrutek solusindo)</t>
        </is>
      </c>
      <c r="E923" s="63" t="n"/>
      <c r="F923" s="21" t="n">
        <v>144500</v>
      </c>
      <c r="G923" s="18" t="inlineStr">
        <is>
          <t>IDR</t>
        </is>
      </c>
      <c r="H923" s="18" t="n">
        <v>1</v>
      </c>
      <c r="I923" s="61">
        <f>$H563*$F563</f>
        <v/>
      </c>
      <c r="J923" s="44" t="n"/>
      <c r="K923" s="44" t="n"/>
      <c r="L923" s="44" t="n"/>
      <c r="M923" s="44" t="n"/>
      <c r="N923" s="44" t="n"/>
      <c r="O923" s="44" t="n"/>
      <c r="P923" s="62" t="n"/>
      <c r="Q923" s="44" t="n"/>
    </row>
    <row r="924">
      <c r="B924" s="14" t="n">
        <v>45544</v>
      </c>
      <c r="C924" s="15" t="n">
        <v>3</v>
      </c>
      <c r="D924" s="63" t="inlineStr">
        <is>
          <t>Gocar ( trip Instrutek solusindo - Bintaro)</t>
        </is>
      </c>
      <c r="E924" s="63" t="n"/>
      <c r="F924" s="21" t="n">
        <v>160000</v>
      </c>
      <c r="G924" s="18" t="inlineStr">
        <is>
          <t>IDR</t>
        </is>
      </c>
      <c r="H924" s="18" t="n">
        <v>1</v>
      </c>
      <c r="I924" s="61">
        <f>$H564*$F564</f>
        <v/>
      </c>
      <c r="J924" s="44" t="n"/>
      <c r="K924" s="44" t="n"/>
      <c r="L924" s="44" t="n"/>
      <c r="M924" s="44" t="n"/>
      <c r="N924" s="44" t="n"/>
      <c r="O924" s="44" t="n"/>
      <c r="P924" s="62" t="n"/>
      <c r="Q924" s="44" t="n"/>
    </row>
    <row r="925">
      <c r="B925" s="14" t="n">
        <v>45545</v>
      </c>
      <c r="C925" s="15" t="n">
        <v>4</v>
      </c>
      <c r="D925" s="63" t="inlineStr">
        <is>
          <t>Fuel ( trip to Sclumberger Cikaranga,SIT seeting tool )</t>
        </is>
      </c>
      <c r="E925" s="63" t="n"/>
      <c r="F925" s="21" t="n">
        <v>232500</v>
      </c>
      <c r="G925" s="18" t="inlineStr">
        <is>
          <t>IDR</t>
        </is>
      </c>
      <c r="H925" s="18" t="n">
        <v>1</v>
      </c>
      <c r="I925" s="61">
        <f>$H565*$F565</f>
        <v/>
      </c>
      <c r="J925" s="44" t="n"/>
      <c r="K925" s="44" t="n"/>
      <c r="L925" s="44" t="n"/>
      <c r="M925" s="44" t="n"/>
      <c r="N925" s="44" t="n"/>
      <c r="O925" s="44" t="n"/>
      <c r="P925" s="62" t="n"/>
      <c r="Q925" s="44" t="n"/>
    </row>
    <row r="926">
      <c r="B926" s="14" t="n">
        <v>45548</v>
      </c>
      <c r="C926" s="15" t="n">
        <v>5</v>
      </c>
      <c r="D926" s="63" t="inlineStr">
        <is>
          <t>Fuel ( trip to workshop Gowell &amp; ktr Pajak)</t>
        </is>
      </c>
      <c r="E926" s="63" t="n"/>
      <c r="F926" s="21" t="n">
        <v>256800</v>
      </c>
      <c r="G926" s="18" t="inlineStr">
        <is>
          <t>IDR</t>
        </is>
      </c>
      <c r="H926" s="18" t="n">
        <v>1</v>
      </c>
      <c r="I926" s="61">
        <f>$H566*$F566</f>
        <v/>
      </c>
      <c r="J926" s="44" t="n"/>
      <c r="K926" s="44" t="n"/>
      <c r="L926" s="44" t="n"/>
      <c r="M926" s="44" t="n"/>
      <c r="N926" s="44" t="n"/>
      <c r="O926" s="44" t="n"/>
      <c r="P926" s="62" t="n"/>
      <c r="Q926" s="44" t="n"/>
    </row>
    <row r="927">
      <c r="B927" s="14" t="n">
        <v>45544</v>
      </c>
      <c r="C927" s="15" t="n">
        <v>6</v>
      </c>
      <c r="D927" s="63" t="inlineStr">
        <is>
          <t>Tol ( trip Bintaro - Instrutek solusindo) No reciept</t>
        </is>
      </c>
      <c r="E927" s="63" t="n"/>
      <c r="F927" s="21">
        <f>42000+5500+17000</f>
        <v/>
      </c>
      <c r="G927" s="18" t="inlineStr">
        <is>
          <t>IDR</t>
        </is>
      </c>
      <c r="H927" s="18" t="n">
        <v>1</v>
      </c>
      <c r="I927" s="61">
        <f>$H567*$F567</f>
        <v/>
      </c>
      <c r="J927" s="44" t="n"/>
      <c r="K927" s="44" t="n"/>
      <c r="L927" s="44" t="n"/>
      <c r="M927" s="44" t="n"/>
      <c r="N927" s="44" t="n"/>
      <c r="O927" s="44" t="n"/>
      <c r="P927" s="62" t="n"/>
      <c r="Q927" s="44" t="n"/>
    </row>
    <row r="928">
      <c r="B928" s="14" t="n">
        <v>45544</v>
      </c>
      <c r="C928" s="15" t="n">
        <v>7</v>
      </c>
      <c r="D928" s="63" t="inlineStr">
        <is>
          <t>Tol ( trip Instrutek solusindo - Bintaro) No Reciept</t>
        </is>
      </c>
      <c r="E928" s="63" t="n"/>
      <c r="F928" s="21">
        <f>42000+5500+17000</f>
        <v/>
      </c>
      <c r="G928" s="18" t="inlineStr">
        <is>
          <t>IDR</t>
        </is>
      </c>
      <c r="H928" s="18" t="n">
        <v>1</v>
      </c>
      <c r="I928" s="61">
        <f>$H568*$F568</f>
        <v/>
      </c>
      <c r="J928" s="44" t="n"/>
      <c r="K928" s="44" t="n"/>
      <c r="L928" s="44" t="n"/>
      <c r="M928" s="44" t="n"/>
      <c r="N928" s="44" t="n"/>
      <c r="O928" s="44" t="n"/>
      <c r="P928" s="62" t="n"/>
      <c r="Q928" s="44" t="n"/>
    </row>
    <row r="929">
      <c r="B929" s="14" t="n">
        <v>45545</v>
      </c>
      <c r="C929" s="15" t="n">
        <v>8</v>
      </c>
      <c r="D929" s="63" t="inlineStr">
        <is>
          <t>tol (Bintaro - Cikarang)</t>
        </is>
      </c>
      <c r="E929" s="63" t="n"/>
      <c r="F929" s="21">
        <f>42000+5500+48500+16500</f>
        <v/>
      </c>
      <c r="G929" s="18" t="inlineStr">
        <is>
          <t>IDR</t>
        </is>
      </c>
      <c r="H929" s="18" t="n">
        <v>1</v>
      </c>
      <c r="I929" s="61">
        <f>$H569*$F569</f>
        <v/>
      </c>
      <c r="J929" s="44" t="n"/>
      <c r="K929" s="44" t="n"/>
      <c r="L929" s="44" t="n"/>
      <c r="M929" s="44" t="n"/>
      <c r="N929" s="44" t="n"/>
      <c r="O929" s="44" t="n"/>
      <c r="P929" s="62" t="n"/>
      <c r="Q929" s="44" t="n"/>
    </row>
    <row r="930">
      <c r="B930" s="14" t="n">
        <v>45545</v>
      </c>
      <c r="C930" s="15" t="n">
        <v>8</v>
      </c>
      <c r="D930" s="63" t="inlineStr">
        <is>
          <t>tol (Cikarang - Bekasi -Bintaro)</t>
        </is>
      </c>
      <c r="E930" s="63" t="n"/>
      <c r="F930" s="21">
        <f>17000+17000+16500</f>
        <v/>
      </c>
      <c r="G930" s="18" t="inlineStr">
        <is>
          <t>IDR</t>
        </is>
      </c>
      <c r="H930" s="18" t="n">
        <v>1</v>
      </c>
      <c r="I930" s="61">
        <f>$H570*$F570</f>
        <v/>
      </c>
      <c r="J930" s="44" t="n"/>
      <c r="K930" s="44" t="n"/>
      <c r="L930" s="44" t="n"/>
      <c r="M930" s="44" t="n"/>
      <c r="N930" s="44" t="n"/>
      <c r="O930" s="44" t="n"/>
      <c r="P930" s="62" t="n"/>
      <c r="Q930" s="44" t="n"/>
    </row>
    <row r="931">
      <c r="B931" s="14" t="n">
        <v>45546</v>
      </c>
      <c r="C931" s="15" t="n">
        <v>9</v>
      </c>
      <c r="D931" s="63" t="inlineStr">
        <is>
          <t>tol (Bintaro - Cinere)</t>
        </is>
      </c>
      <c r="E931" s="63" t="n"/>
      <c r="F931" s="21">
        <f>42000+17000</f>
        <v/>
      </c>
      <c r="G931" s="18" t="inlineStr">
        <is>
          <t>IDR</t>
        </is>
      </c>
      <c r="H931" s="18" t="n">
        <v>1</v>
      </c>
      <c r="I931" s="61">
        <f>$H571*$F571</f>
        <v/>
      </c>
      <c r="J931" s="44" t="n"/>
      <c r="K931" s="44" t="n"/>
      <c r="L931" s="44" t="n"/>
      <c r="M931" s="44" t="n"/>
      <c r="N931" s="44" t="n"/>
      <c r="O931" s="44" t="n"/>
      <c r="P931" s="44" t="n"/>
      <c r="Q931" s="44" t="n"/>
    </row>
    <row r="932">
      <c r="B932" s="135" t="n"/>
      <c r="C932" s="136" t="n"/>
      <c r="D932" s="137" t="inlineStr">
        <is>
          <t>Trip</t>
        </is>
      </c>
      <c r="E932" s="138" t="n"/>
      <c r="F932" s="25" t="n"/>
      <c r="G932" s="131" t="n"/>
      <c r="H932" s="28" t="n"/>
      <c r="I932" s="44" t="n"/>
      <c r="J932" s="44" t="n"/>
      <c r="K932" s="44" t="n"/>
      <c r="L932" s="44" t="n"/>
      <c r="M932" s="44" t="n"/>
      <c r="N932" s="44" t="n"/>
      <c r="O932" s="44" t="n"/>
      <c r="P932" s="44" t="n"/>
      <c r="Q932" s="44" t="n"/>
    </row>
    <row r="933">
      <c r="B933" s="102" t="n">
        <v>45552</v>
      </c>
      <c r="C933" s="15" t="n"/>
      <c r="D933" s="63" t="inlineStr">
        <is>
          <t>Tol  Jakarta - Cirebon</t>
        </is>
      </c>
      <c r="E933" s="63" t="n"/>
      <c r="F933" s="21">
        <f>42000+5500+48500+27000+122000</f>
        <v/>
      </c>
      <c r="G933" s="18" t="inlineStr">
        <is>
          <t>IDR</t>
        </is>
      </c>
      <c r="H933" s="18" t="n">
        <v>1</v>
      </c>
      <c r="I933" s="61">
        <f>$H573*$F573</f>
        <v/>
      </c>
      <c r="J933" s="44" t="n"/>
      <c r="K933" s="44" t="n"/>
      <c r="L933" s="44" t="n"/>
      <c r="M933" s="44" t="n"/>
      <c r="N933" s="44" t="n"/>
      <c r="O933" s="44" t="n"/>
      <c r="P933" s="44" t="n"/>
      <c r="Q933" s="44" t="n"/>
    </row>
    <row r="934">
      <c r="B934" s="102" t="n">
        <v>45552</v>
      </c>
      <c r="C934" s="129" t="n"/>
      <c r="D934" s="63" t="inlineStr">
        <is>
          <t xml:space="preserve">Fuel </t>
        </is>
      </c>
      <c r="E934" s="139" t="n"/>
      <c r="F934" s="25" t="n">
        <v>180000</v>
      </c>
      <c r="G934" s="18" t="inlineStr">
        <is>
          <t>IDR</t>
        </is>
      </c>
      <c r="H934" s="18" t="n">
        <v>1</v>
      </c>
      <c r="I934" s="61">
        <f>$H574*$F574</f>
        <v/>
      </c>
      <c r="J934" s="44" t="n"/>
      <c r="K934" s="44" t="n"/>
      <c r="L934" s="44" t="n"/>
      <c r="M934" s="44" t="n"/>
      <c r="N934" s="44" t="n"/>
      <c r="O934" s="44" t="n"/>
      <c r="P934" s="44" t="n"/>
      <c r="Q934" s="44" t="n"/>
    </row>
    <row r="935">
      <c r="B935" s="102" t="n">
        <v>45553</v>
      </c>
      <c r="C935" s="129" t="n"/>
      <c r="D935" s="63" t="inlineStr">
        <is>
          <t>Tol  Cirebon - Jakarta</t>
        </is>
      </c>
      <c r="E935" s="139" t="n"/>
      <c r="F935" s="25">
        <f>17000+149000</f>
        <v/>
      </c>
      <c r="G935" s="18" t="inlineStr">
        <is>
          <t>IDR</t>
        </is>
      </c>
      <c r="H935" s="18" t="n">
        <v>1</v>
      </c>
      <c r="I935" s="61">
        <f>$H575*$F575</f>
        <v/>
      </c>
      <c r="J935" s="44" t="n"/>
      <c r="K935" s="44" t="n"/>
      <c r="L935" s="44" t="n"/>
      <c r="M935" s="44" t="n"/>
      <c r="N935" s="44" t="n"/>
      <c r="O935" s="44" t="n"/>
      <c r="P935" s="44" t="n"/>
      <c r="Q935" s="44" t="n"/>
    </row>
    <row r="936">
      <c r="B936" s="102" t="n">
        <v>45553</v>
      </c>
      <c r="C936" s="129" t="n"/>
      <c r="D936" s="63" t="inlineStr">
        <is>
          <t xml:space="preserve">Fuel </t>
        </is>
      </c>
      <c r="E936" s="139" t="n"/>
      <c r="F936" s="25" t="n">
        <v>222650</v>
      </c>
      <c r="G936" s="18" t="inlineStr">
        <is>
          <t>IDR</t>
        </is>
      </c>
      <c r="H936" s="18" t="n">
        <v>1</v>
      </c>
      <c r="I936" s="61">
        <f>$H576*$F576</f>
        <v/>
      </c>
      <c r="J936" s="44" t="n"/>
      <c r="K936" s="44" t="n"/>
      <c r="L936" s="44" t="n"/>
      <c r="M936" s="44" t="n"/>
      <c r="N936" s="44" t="n"/>
      <c r="O936" s="44" t="n"/>
      <c r="P936" s="44" t="n"/>
      <c r="Q936" s="44" t="n"/>
    </row>
    <row r="937">
      <c r="B937" s="128" t="n"/>
      <c r="C937" s="129" t="n"/>
      <c r="D937" s="134" t="inlineStr">
        <is>
          <t>Accommodation</t>
        </is>
      </c>
      <c r="E937" s="134" t="n"/>
      <c r="F937" s="25" t="n"/>
      <c r="G937" s="131" t="n"/>
      <c r="H937" s="131" t="n"/>
      <c r="I937" s="44" t="n"/>
      <c r="J937" s="44" t="n"/>
      <c r="K937" s="44" t="n"/>
      <c r="L937" s="44" t="n"/>
      <c r="M937" s="44" t="n"/>
      <c r="N937" s="44" t="n"/>
      <c r="O937" s="44" t="n"/>
      <c r="P937" s="62" t="n"/>
      <c r="Q937" s="44" t="n"/>
    </row>
    <row r="938">
      <c r="B938" s="102" t="n">
        <v>45552</v>
      </c>
      <c r="C938" s="15" t="n"/>
      <c r="D938" s="63" t="inlineStr">
        <is>
          <t>Hotel</t>
        </is>
      </c>
      <c r="E938" s="63" t="n"/>
      <c r="F938" s="21" t="n">
        <v>700000</v>
      </c>
      <c r="G938" s="18" t="inlineStr">
        <is>
          <t>IDR</t>
        </is>
      </c>
      <c r="H938" s="18" t="n">
        <v>1</v>
      </c>
      <c r="I938" s="62">
        <f>$H578*$F578</f>
        <v/>
      </c>
      <c r="J938" s="44" t="n"/>
      <c r="K938" s="44" t="n"/>
      <c r="L938" s="44" t="n"/>
      <c r="M938" s="44" t="n"/>
      <c r="N938" s="44" t="n"/>
      <c r="O938" s="44" t="n"/>
      <c r="P938" s="62" t="n"/>
      <c r="Q938" s="44" t="n"/>
    </row>
    <row r="939">
      <c r="B939" s="102" t="n">
        <v>45553</v>
      </c>
      <c r="C939" s="129" t="n"/>
      <c r="D939" s="63" t="inlineStr">
        <is>
          <t>Loundry 2 days @Rp. 50.000</t>
        </is>
      </c>
      <c r="E939" s="139" t="n"/>
      <c r="F939" s="25" t="n">
        <v>100000</v>
      </c>
      <c r="G939" s="18" t="inlineStr">
        <is>
          <t>IDR</t>
        </is>
      </c>
      <c r="H939" s="18" t="n">
        <v>1</v>
      </c>
      <c r="I939" s="62">
        <f>$H579*$F579</f>
        <v/>
      </c>
      <c r="J939" s="44" t="n"/>
      <c r="K939" s="44" t="n"/>
      <c r="L939" s="44" t="n"/>
      <c r="M939" s="44" t="n"/>
      <c r="N939" s="44" t="n"/>
      <c r="O939" s="44" t="n"/>
      <c r="P939" s="62" t="n"/>
      <c r="Q939" s="44" t="n"/>
    </row>
    <row r="940">
      <c r="B940" s="128" t="n"/>
      <c r="C940" s="129" t="n"/>
      <c r="D940" s="134" t="inlineStr">
        <is>
          <t>Meal</t>
        </is>
      </c>
      <c r="E940" s="134" t="n"/>
      <c r="F940" s="25" t="n"/>
      <c r="G940" s="131" t="n"/>
      <c r="H940" s="28" t="n"/>
      <c r="I940" s="44" t="n"/>
      <c r="J940" s="44" t="n"/>
      <c r="K940" s="44" t="n"/>
      <c r="L940" s="44" t="n"/>
      <c r="M940" s="44" t="n"/>
      <c r="N940" s="44" t="n"/>
      <c r="O940" s="44" t="n"/>
      <c r="P940" s="62" t="n"/>
      <c r="Q940" s="44" t="n"/>
    </row>
    <row r="941">
      <c r="B941" s="14" t="n">
        <v>45546</v>
      </c>
      <c r="C941" s="15" t="n">
        <v>1</v>
      </c>
      <c r="D941" s="63" t="inlineStr">
        <is>
          <t>lunch when check MTD tool at workshop Gowell</t>
        </is>
      </c>
      <c r="E941" s="63" t="n"/>
      <c r="F941" s="21" t="n">
        <v>171000</v>
      </c>
      <c r="G941" s="18" t="inlineStr">
        <is>
          <t>IDR</t>
        </is>
      </c>
      <c r="H941" s="18" t="n">
        <v>1</v>
      </c>
      <c r="I941" s="62">
        <f>$H581*$F581</f>
        <v/>
      </c>
      <c r="J941" s="44" t="n"/>
      <c r="K941" s="44" t="n"/>
      <c r="L941" s="44" t="n"/>
      <c r="M941" s="44" t="n"/>
      <c r="N941" s="44" t="n"/>
      <c r="O941" s="44" t="n"/>
      <c r="P941" s="62" t="n"/>
      <c r="Q941" s="44" t="n"/>
    </row>
    <row r="942">
      <c r="B942" s="102" t="n">
        <v>45553</v>
      </c>
      <c r="C942" s="15" t="n">
        <v>2</v>
      </c>
      <c r="D942" s="63" t="inlineStr">
        <is>
          <t>Uang makan utk 3 hari (17-18 Sept-24) @150.000</t>
        </is>
      </c>
      <c r="E942" s="63" t="n"/>
      <c r="F942" s="21">
        <f>150000*2</f>
        <v/>
      </c>
      <c r="G942" s="18" t="inlineStr">
        <is>
          <t>IDR</t>
        </is>
      </c>
      <c r="H942" s="18" t="n">
        <v>1</v>
      </c>
      <c r="I942" s="62">
        <f>$H582*$F582</f>
        <v/>
      </c>
      <c r="J942" s="44" t="n"/>
      <c r="K942" s="44" t="n"/>
      <c r="L942" s="44" t="n"/>
      <c r="M942" s="44" t="n"/>
      <c r="N942" s="44" t="n"/>
      <c r="O942" s="44" t="n"/>
      <c r="P942" s="62" t="n"/>
      <c r="Q942" s="44" t="n"/>
    </row>
    <row r="943">
      <c r="B943" s="78" t="inlineStr">
        <is>
          <t>Expense#36</t>
        </is>
      </c>
      <c r="C943" s="85" t="inlineStr">
        <is>
          <t>:</t>
        </is>
      </c>
      <c r="D943" s="86" t="inlineStr">
        <is>
          <t>Non project (follow up MCU concul &amp; inspection tool)_AC_ 2 nd</t>
        </is>
      </c>
      <c r="E943" s="86" t="n"/>
      <c r="F943" s="87" t="n"/>
      <c r="G943" s="73" t="n"/>
      <c r="H943" s="73" t="n"/>
      <c r="I943" s="78" t="n"/>
      <c r="J943" s="78" t="n"/>
      <c r="K943" s="78" t="n"/>
      <c r="L943" s="78" t="n"/>
      <c r="M943" s="78" t="n"/>
      <c r="N943" s="78" t="n"/>
      <c r="O943" s="78" t="n"/>
      <c r="P943" s="78" t="n"/>
      <c r="Q943" s="78" t="n"/>
    </row>
    <row r="944">
      <c r="B944" s="14" t="n"/>
      <c r="C944" s="15" t="n"/>
      <c r="D944" s="124" t="inlineStr">
        <is>
          <t>Medical</t>
        </is>
      </c>
      <c r="E944" s="124" t="n"/>
      <c r="F944" s="21" t="n"/>
      <c r="G944" s="15" t="n"/>
      <c r="H944" s="15" t="n"/>
      <c r="I944" s="44" t="n"/>
      <c r="J944" s="44" t="n"/>
      <c r="K944" s="44" t="n"/>
      <c r="L944" s="44" t="n"/>
      <c r="M944" s="44" t="n"/>
      <c r="N944" s="44" t="n"/>
      <c r="O944" s="44" t="n"/>
      <c r="P944" s="44" t="n"/>
      <c r="Q944" s="44" t="n"/>
    </row>
    <row r="945">
      <c r="B945" s="14" t="n">
        <v>45530</v>
      </c>
      <c r="C945" s="15" t="n">
        <v>1</v>
      </c>
      <c r="D945" s="18" t="inlineStr">
        <is>
          <t>Biaya Konsul Dokter Penyakit dalam</t>
        </is>
      </c>
      <c r="E945" s="18" t="n"/>
      <c r="F945" s="21" t="n">
        <v>854100</v>
      </c>
      <c r="G945" s="15" t="inlineStr">
        <is>
          <t>IDR</t>
        </is>
      </c>
      <c r="H945" s="15" t="n">
        <v>1</v>
      </c>
      <c r="I945" s="44" t="n"/>
      <c r="J945" s="44" t="n"/>
      <c r="K945" s="44" t="n"/>
      <c r="L945" s="44" t="n"/>
      <c r="M945" s="44" t="n"/>
      <c r="N945" s="44" t="n"/>
      <c r="O945" s="44" t="n"/>
      <c r="P945" s="62">
        <f>F585</f>
        <v/>
      </c>
      <c r="Q945" s="44" t="n"/>
    </row>
    <row r="946">
      <c r="B946" s="14" t="n">
        <v>45532</v>
      </c>
      <c r="C946" s="15" t="n">
        <v>2</v>
      </c>
      <c r="D946" s="18" t="inlineStr">
        <is>
          <t>Fisioterapi 1st</t>
        </is>
      </c>
      <c r="E946" s="18" t="n"/>
      <c r="F946" s="21" t="n">
        <v>285000</v>
      </c>
      <c r="G946" s="15" t="inlineStr">
        <is>
          <t>IDR</t>
        </is>
      </c>
      <c r="H946" s="15" t="n">
        <v>1</v>
      </c>
      <c r="I946" s="44" t="n"/>
      <c r="J946" s="44" t="n"/>
      <c r="K946" s="44" t="n"/>
      <c r="L946" s="44" t="n"/>
      <c r="M946" s="44" t="n"/>
      <c r="N946" s="44" t="n"/>
      <c r="O946" s="44" t="n"/>
      <c r="P946" s="62">
        <f>F586</f>
        <v/>
      </c>
      <c r="Q946" s="44" t="n"/>
    </row>
    <row r="947">
      <c r="B947" s="14" t="n">
        <v>45533</v>
      </c>
      <c r="C947" s="15" t="n">
        <v>3</v>
      </c>
      <c r="D947" s="18" t="inlineStr">
        <is>
          <t>Fisioterapi 2nd</t>
        </is>
      </c>
      <c r="E947" s="18" t="n"/>
      <c r="F947" s="21" t="n">
        <v>285000</v>
      </c>
      <c r="G947" s="15" t="inlineStr">
        <is>
          <t>IDR</t>
        </is>
      </c>
      <c r="H947" s="15" t="n">
        <v>1</v>
      </c>
      <c r="I947" s="44" t="n"/>
      <c r="J947" s="44" t="n"/>
      <c r="K947" s="44" t="n"/>
      <c r="L947" s="44" t="n"/>
      <c r="M947" s="44" t="n"/>
      <c r="N947" s="44" t="n"/>
      <c r="O947" s="44" t="n"/>
      <c r="P947" s="62">
        <f>F587</f>
        <v/>
      </c>
      <c r="Q947" s="44" t="n"/>
    </row>
    <row r="948">
      <c r="B948" s="14" t="n">
        <v>45534</v>
      </c>
      <c r="C948" s="15" t="n">
        <v>4</v>
      </c>
      <c r="D948" s="18" t="inlineStr">
        <is>
          <t>Fisioterapi 3rd</t>
        </is>
      </c>
      <c r="E948" s="18" t="n"/>
      <c r="F948" s="21" t="n">
        <v>285000</v>
      </c>
      <c r="G948" s="15" t="inlineStr">
        <is>
          <t>IDR</t>
        </is>
      </c>
      <c r="H948" s="15" t="n">
        <v>1</v>
      </c>
      <c r="I948" s="44" t="n"/>
      <c r="J948" s="44" t="n"/>
      <c r="K948" s="44" t="n"/>
      <c r="L948" s="44" t="n"/>
      <c r="M948" s="44" t="n"/>
      <c r="N948" s="44" t="n"/>
      <c r="O948" s="44" t="n"/>
      <c r="P948" s="62">
        <f>F588</f>
        <v/>
      </c>
      <c r="Q948" s="44" t="n"/>
    </row>
    <row r="949">
      <c r="B949" s="14" t="n">
        <v>45537</v>
      </c>
      <c r="C949" s="15" t="n">
        <v>5</v>
      </c>
      <c r="D949" s="18" t="inlineStr">
        <is>
          <t>Biaya Konsul Dokter Syaraf</t>
        </is>
      </c>
      <c r="E949" s="18" t="n"/>
      <c r="F949" s="21">
        <f>871650+2035000</f>
        <v/>
      </c>
      <c r="G949" s="15" t="inlineStr">
        <is>
          <t>IDR</t>
        </is>
      </c>
      <c r="H949" s="15" t="n">
        <v>1</v>
      </c>
      <c r="I949" s="44" t="n"/>
      <c r="J949" s="44" t="n"/>
      <c r="K949" s="44" t="n"/>
      <c r="L949" s="44" t="n"/>
      <c r="M949" s="44" t="n"/>
      <c r="N949" s="44" t="n"/>
      <c r="O949" s="44" t="n"/>
      <c r="P949" s="62">
        <f>F589</f>
        <v/>
      </c>
      <c r="Q949" s="44" t="n"/>
    </row>
    <row r="950">
      <c r="B950" s="14" t="n">
        <v>45528</v>
      </c>
      <c r="C950" s="15" t="n">
        <v>6</v>
      </c>
      <c r="D950" s="18" t="inlineStr">
        <is>
          <t>Medicine</t>
        </is>
      </c>
      <c r="E950" s="18" t="n"/>
      <c r="F950" s="21" t="n">
        <v>36000</v>
      </c>
      <c r="G950" s="15" t="inlineStr">
        <is>
          <t>IDR</t>
        </is>
      </c>
      <c r="H950" s="15" t="n">
        <v>1</v>
      </c>
      <c r="I950" s="44" t="n"/>
      <c r="J950" s="44" t="n"/>
      <c r="K950" s="44" t="n"/>
      <c r="L950" s="44" t="n"/>
      <c r="M950" s="44" t="n"/>
      <c r="N950" s="44" t="n"/>
      <c r="O950" s="44" t="n"/>
      <c r="P950" s="62">
        <f>F590</f>
        <v/>
      </c>
      <c r="Q950" s="44" t="n"/>
    </row>
    <row r="951">
      <c r="B951" s="14" t="n">
        <v>45536</v>
      </c>
      <c r="C951" s="15" t="n">
        <v>7</v>
      </c>
      <c r="D951" s="18" t="inlineStr">
        <is>
          <t>medicine</t>
        </is>
      </c>
      <c r="E951" s="18" t="n"/>
      <c r="F951" s="21" t="n">
        <v>45000</v>
      </c>
      <c r="G951" s="15" t="inlineStr">
        <is>
          <t>IDR</t>
        </is>
      </c>
      <c r="H951" s="15" t="n">
        <v>1</v>
      </c>
      <c r="I951" s="44" t="n"/>
      <c r="J951" s="44" t="n"/>
      <c r="K951" s="44" t="n"/>
      <c r="L951" s="44" t="n"/>
      <c r="M951" s="44" t="n"/>
      <c r="N951" s="44" t="n"/>
      <c r="O951" s="44" t="n"/>
      <c r="P951" s="62">
        <f>F591</f>
        <v/>
      </c>
      <c r="Q951" s="44" t="n"/>
    </row>
    <row r="952">
      <c r="B952" s="14" t="n">
        <v>45547</v>
      </c>
      <c r="C952" s="15" t="n">
        <v>8</v>
      </c>
      <c r="D952" s="18" t="inlineStr">
        <is>
          <t>Medicine</t>
        </is>
      </c>
      <c r="E952" s="18" t="n"/>
      <c r="F952" s="21" t="n">
        <v>241100</v>
      </c>
      <c r="G952" s="15" t="inlineStr">
        <is>
          <t>IDR</t>
        </is>
      </c>
      <c r="H952" s="15" t="n">
        <v>1</v>
      </c>
      <c r="I952" s="44" t="n"/>
      <c r="J952" s="44" t="n"/>
      <c r="K952" s="44" t="n"/>
      <c r="L952" s="44" t="n"/>
      <c r="M952" s="44" t="n"/>
      <c r="N952" s="44" t="n"/>
      <c r="O952" s="44" t="n"/>
      <c r="P952" s="62">
        <f>F592</f>
        <v/>
      </c>
      <c r="Q952" s="44" t="n"/>
    </row>
    <row r="953">
      <c r="B953" s="14" t="n">
        <v>45566</v>
      </c>
      <c r="C953" s="15" t="n">
        <v>5</v>
      </c>
      <c r="D953" s="18" t="inlineStr">
        <is>
          <t>Biaya Konsul ke 2, Dokter Jantung</t>
        </is>
      </c>
      <c r="E953" s="18" t="n"/>
      <c r="F953" s="21">
        <f>799000+571000</f>
        <v/>
      </c>
      <c r="G953" s="15" t="inlineStr">
        <is>
          <t>IDR</t>
        </is>
      </c>
      <c r="H953" s="15" t="n">
        <v>1</v>
      </c>
      <c r="I953" s="44" t="n"/>
      <c r="J953" s="44" t="n"/>
      <c r="K953" s="44" t="n"/>
      <c r="L953" s="44" t="n"/>
      <c r="M953" s="44" t="n"/>
      <c r="N953" s="44" t="n"/>
      <c r="O953" s="44" t="n"/>
      <c r="P953" s="62">
        <f>F593</f>
        <v/>
      </c>
      <c r="Q953" s="44" t="n"/>
    </row>
    <row r="954">
      <c r="B954" s="102" t="n"/>
      <c r="C954" s="15" t="n"/>
      <c r="D954" s="106" t="inlineStr">
        <is>
          <t>Shipping</t>
        </is>
      </c>
      <c r="E954" s="106" t="n"/>
      <c r="F954" s="21" t="n"/>
      <c r="G954" s="15" t="n"/>
      <c r="H954" s="15" t="n"/>
      <c r="I954" s="44" t="n"/>
      <c r="J954" s="44" t="n"/>
      <c r="K954" s="44" t="n"/>
      <c r="L954" s="44" t="n"/>
      <c r="M954" s="44" t="n"/>
      <c r="N954" s="44" t="n"/>
      <c r="O954" s="44" t="n"/>
      <c r="P954" s="44" t="n"/>
      <c r="Q954" s="44" t="n"/>
    </row>
    <row r="955">
      <c r="B955" s="102" t="n">
        <v>45537</v>
      </c>
      <c r="C955" s="15" t="n">
        <v>1</v>
      </c>
      <c r="D955" s="63" t="inlineStr">
        <is>
          <t>Pengiriman dokumen ke Yufitri</t>
        </is>
      </c>
      <c r="E955" s="63" t="n"/>
      <c r="F955" s="21" t="n">
        <v>10000</v>
      </c>
      <c r="G955" s="15" t="inlineStr">
        <is>
          <t>IDR</t>
        </is>
      </c>
      <c r="H955" s="15" t="n">
        <v>1</v>
      </c>
      <c r="I955" s="61">
        <f>$H595*$F595</f>
        <v/>
      </c>
      <c r="J955" s="44" t="n"/>
      <c r="K955" s="44" t="n"/>
      <c r="L955" s="44" t="n"/>
      <c r="M955" s="44" t="n"/>
      <c r="N955" s="44" t="n"/>
      <c r="O955" s="44" t="n"/>
      <c r="P955" s="44" t="n"/>
      <c r="Q955" s="44" t="n"/>
    </row>
    <row r="956">
      <c r="B956" s="102" t="n">
        <v>45520</v>
      </c>
      <c r="C956" s="15" t="n">
        <v>2</v>
      </c>
      <c r="D956" s="63" t="inlineStr">
        <is>
          <t>Pengiriman dokumen ke Yulia - LBU</t>
        </is>
      </c>
      <c r="E956" s="63" t="n"/>
      <c r="F956" s="21" t="n">
        <v>18000</v>
      </c>
      <c r="G956" s="15" t="inlineStr">
        <is>
          <t>IDR</t>
        </is>
      </c>
      <c r="H956" s="15" t="n">
        <v>1</v>
      </c>
      <c r="I956" s="61">
        <f>$H596*$F596</f>
        <v/>
      </c>
      <c r="J956" s="44" t="n"/>
      <c r="K956" s="44" t="n"/>
      <c r="L956" s="44" t="n"/>
      <c r="M956" s="44" t="n"/>
      <c r="N956" s="44" t="n"/>
      <c r="O956" s="44" t="n"/>
      <c r="P956" s="44" t="n"/>
      <c r="Q956" s="44" t="n"/>
    </row>
    <row r="957">
      <c r="B957" s="102" t="n">
        <v>45537</v>
      </c>
      <c r="C957" s="15" t="n">
        <v>3</v>
      </c>
      <c r="D957" s="63" t="inlineStr">
        <is>
          <t>Pengiriman dokumen ke Rachmansyah-Sijak</t>
        </is>
      </c>
      <c r="E957" s="63" t="n"/>
      <c r="F957" s="21" t="n">
        <v>18000</v>
      </c>
      <c r="G957" s="15" t="inlineStr">
        <is>
          <t>IDR</t>
        </is>
      </c>
      <c r="H957" s="15" t="n">
        <v>1</v>
      </c>
      <c r="I957" s="61">
        <f>$H597*$F597</f>
        <v/>
      </c>
      <c r="J957" s="44" t="n"/>
      <c r="K957" s="44" t="n"/>
      <c r="L957" s="44" t="n"/>
      <c r="M957" s="44" t="n"/>
      <c r="N957" s="44" t="n"/>
      <c r="O957" s="44" t="n"/>
      <c r="P957" s="44" t="n"/>
      <c r="Q957" s="44" t="n"/>
    </row>
    <row r="958">
      <c r="B958" s="102" t="n">
        <v>45436</v>
      </c>
      <c r="C958" s="15" t="n">
        <v>4</v>
      </c>
      <c r="D958" s="63" t="inlineStr">
        <is>
          <t>Buy lag ban 2 ea</t>
        </is>
      </c>
      <c r="E958" s="63" t="n"/>
      <c r="F958" s="21" t="n">
        <v>25000</v>
      </c>
      <c r="G958" s="15" t="inlineStr">
        <is>
          <t>IDR</t>
        </is>
      </c>
      <c r="H958" s="15" t="n">
        <v>1</v>
      </c>
      <c r="I958" s="61">
        <f>$H598*$F598</f>
        <v/>
      </c>
      <c r="J958" s="44" t="n"/>
      <c r="K958" s="44" t="n"/>
      <c r="L958" s="44" t="n"/>
      <c r="M958" s="44" t="n"/>
      <c r="N958" s="44" t="n"/>
      <c r="O958" s="44" t="n"/>
      <c r="P958" s="44" t="n"/>
      <c r="Q958" s="44" t="n"/>
    </row>
    <row r="959">
      <c r="B959" s="102" t="n">
        <v>45530</v>
      </c>
      <c r="C959" s="15" t="n">
        <v>5</v>
      </c>
      <c r="D959" s="63" t="inlineStr">
        <is>
          <t xml:space="preserve">printing di snappy </t>
        </is>
      </c>
      <c r="E959" s="63" t="n"/>
      <c r="F959" s="21" t="n">
        <v>31000</v>
      </c>
      <c r="G959" s="15" t="inlineStr">
        <is>
          <t>IDR</t>
        </is>
      </c>
      <c r="H959" s="15" t="n">
        <v>1</v>
      </c>
      <c r="I959" s="61">
        <f>$H599*$F599</f>
        <v/>
      </c>
      <c r="J959" s="44" t="n"/>
      <c r="K959" s="44" t="n"/>
      <c r="L959" s="44" t="n"/>
      <c r="M959" s="44" t="n"/>
      <c r="N959" s="44" t="n"/>
      <c r="O959" s="44" t="n"/>
      <c r="P959" s="44" t="n"/>
      <c r="Q959" s="44" t="n"/>
    </row>
    <row r="960">
      <c r="B960" s="78" t="inlineStr">
        <is>
          <t>Expense#37</t>
        </is>
      </c>
      <c r="C960" s="85" t="inlineStr">
        <is>
          <t>:</t>
        </is>
      </c>
      <c r="D960" s="86" t="inlineStr">
        <is>
          <t>MTD SKW-26_sukowati_TMA</t>
        </is>
      </c>
      <c r="E960" s="86" t="n"/>
      <c r="F960" s="87" t="n"/>
      <c r="G960" s="73" t="n"/>
      <c r="H960" s="73" t="n"/>
      <c r="I960" s="78" t="n"/>
      <c r="J960" s="78" t="n"/>
      <c r="K960" s="78" t="n"/>
      <c r="L960" s="78" t="n"/>
      <c r="M960" s="78" t="n"/>
      <c r="N960" s="78" t="n"/>
      <c r="O960" s="78" t="n"/>
      <c r="P960" s="78" t="n"/>
      <c r="Q960" s="78" t="n"/>
    </row>
    <row r="961">
      <c r="B961" s="292" t="n"/>
      <c r="C961" s="91" t="n"/>
      <c r="D961" s="97" t="inlineStr">
        <is>
          <t>Accommodation</t>
        </is>
      </c>
      <c r="E961" s="97" t="n"/>
      <c r="F961" s="103" t="n"/>
      <c r="G961" s="91" t="n"/>
      <c r="H961" s="91" t="n"/>
      <c r="I961" s="44" t="n"/>
      <c r="J961" s="44" t="n"/>
      <c r="K961" s="44" t="n"/>
      <c r="L961" s="44" t="n"/>
      <c r="M961" s="44" t="n"/>
      <c r="N961" s="44" t="n"/>
      <c r="O961" s="44" t="n"/>
      <c r="P961" s="44" t="n"/>
      <c r="Q961" s="44" t="n"/>
    </row>
    <row r="962">
      <c r="B962" s="292" t="n">
        <v>45558</v>
      </c>
      <c r="C962" s="91" t="n">
        <v>1</v>
      </c>
      <c r="D962" s="95" t="inlineStr">
        <is>
          <t>Hotel 23 Sept - 26 Sept (3 days)</t>
        </is>
      </c>
      <c r="E962" s="95" t="n"/>
      <c r="F962" s="103">
        <f>1175684+408500</f>
        <v/>
      </c>
      <c r="G962" s="91" t="inlineStr">
        <is>
          <t>IDR</t>
        </is>
      </c>
      <c r="H962" s="91" t="n">
        <v>1</v>
      </c>
      <c r="I962" s="62">
        <f>F602</f>
        <v/>
      </c>
      <c r="J962" s="44" t="n"/>
      <c r="K962" s="44" t="n"/>
      <c r="L962" s="44" t="n"/>
      <c r="M962" s="44" t="n"/>
      <c r="N962" s="44" t="n"/>
      <c r="O962" s="44" t="n"/>
      <c r="P962" s="44" t="n"/>
      <c r="Q962" s="44" t="n"/>
    </row>
    <row r="963">
      <c r="B963" s="292" t="n">
        <v>45558</v>
      </c>
      <c r="C963" s="91" t="n">
        <v>2</v>
      </c>
      <c r="D963" s="95" t="inlineStr">
        <is>
          <t>Laundry 6 days 1 Persons @ 50K IDR/day</t>
        </is>
      </c>
      <c r="E963" s="95" t="n"/>
      <c r="F963" s="103">
        <f>5*50000</f>
        <v/>
      </c>
      <c r="G963" s="91" t="inlineStr">
        <is>
          <t>IDR</t>
        </is>
      </c>
      <c r="H963" s="91" t="n">
        <v>1</v>
      </c>
      <c r="I963" s="62">
        <f>F603</f>
        <v/>
      </c>
      <c r="J963" s="44" t="n"/>
      <c r="K963" s="44" t="n"/>
      <c r="L963" s="44" t="n"/>
      <c r="M963" s="44" t="n"/>
      <c r="N963" s="44" t="n"/>
      <c r="O963" s="44" t="n"/>
      <c r="P963" s="44" t="n"/>
      <c r="Q963" s="44" t="n"/>
    </row>
    <row r="964">
      <c r="B964" s="292" t="n"/>
      <c r="C964" s="91" t="n"/>
      <c r="D964" s="97" t="inlineStr">
        <is>
          <t>Transportation</t>
        </is>
      </c>
      <c r="E964" s="97" t="n"/>
      <c r="F964" s="103" t="n"/>
      <c r="G964" s="91" t="n"/>
      <c r="H964" s="91" t="n"/>
      <c r="I964" s="44" t="n"/>
      <c r="J964" s="44" t="n"/>
      <c r="K964" s="44" t="n"/>
      <c r="L964" s="44" t="n"/>
      <c r="M964" s="44" t="n"/>
      <c r="N964" s="44" t="n"/>
      <c r="O964" s="44" t="n"/>
      <c r="P964" s="44" t="n"/>
      <c r="Q964" s="44" t="n"/>
    </row>
    <row r="965">
      <c r="B965" s="292" t="n">
        <v>45558</v>
      </c>
      <c r="C965" s="91" t="n">
        <v>3</v>
      </c>
      <c r="D965" s="95" t="inlineStr">
        <is>
          <t>Train Ticket Gambir-Cepu (2 pax)</t>
        </is>
      </c>
      <c r="E965" s="95" t="n"/>
      <c r="F965" s="103" t="n">
        <v>1213500</v>
      </c>
      <c r="G965" s="91" t="inlineStr">
        <is>
          <t>IDR</t>
        </is>
      </c>
      <c r="H965" s="91" t="n">
        <v>1</v>
      </c>
      <c r="I965" s="61">
        <f>$H605*$F605</f>
        <v/>
      </c>
      <c r="J965" s="44" t="n"/>
      <c r="K965" s="44" t="n"/>
      <c r="L965" s="44" t="n"/>
      <c r="M965" s="44" t="n"/>
      <c r="N965" s="44" t="n"/>
      <c r="O965" s="44" t="n"/>
      <c r="P965" s="44" t="n"/>
      <c r="Q965" s="44" t="n"/>
    </row>
    <row r="966">
      <c r="B966" s="292" t="n">
        <v>45558</v>
      </c>
      <c r="C966" s="91" t="n">
        <v>4</v>
      </c>
      <c r="D966" s="95" t="inlineStr">
        <is>
          <t>Taxi Pondok Cabe-Gambir</t>
        </is>
      </c>
      <c r="E966" s="95" t="n"/>
      <c r="F966" s="103" t="n">
        <v>132500</v>
      </c>
      <c r="G966" s="91" t="inlineStr">
        <is>
          <t>IDR</t>
        </is>
      </c>
      <c r="H966" s="91" t="n">
        <v>1</v>
      </c>
      <c r="I966" s="61">
        <f>$H606*$F606</f>
        <v/>
      </c>
      <c r="J966" s="44" t="n"/>
      <c r="K966" s="44" t="n"/>
      <c r="L966" s="44" t="n"/>
      <c r="M966" s="44" t="n"/>
      <c r="N966" s="44" t="n"/>
      <c r="O966" s="44" t="n"/>
      <c r="P966" s="44" t="n"/>
      <c r="Q966" s="44" t="n"/>
    </row>
    <row r="967">
      <c r="B967" s="292" t="n">
        <v>45558</v>
      </c>
      <c r="C967" s="91" t="n">
        <v>5</v>
      </c>
      <c r="D967" s="95" t="inlineStr">
        <is>
          <t>Demob Tools (Kalog)</t>
        </is>
      </c>
      <c r="E967" s="95" t="n"/>
      <c r="F967" s="103" t="n">
        <v>280400</v>
      </c>
      <c r="G967" s="91" t="inlineStr">
        <is>
          <t>IDR</t>
        </is>
      </c>
      <c r="H967" s="91" t="n">
        <v>1</v>
      </c>
      <c r="I967" s="61">
        <f>$H607*$F607</f>
        <v/>
      </c>
      <c r="J967" s="44" t="n"/>
      <c r="K967" s="44" t="n"/>
      <c r="L967" s="44" t="n"/>
      <c r="M967" s="61" t="n"/>
      <c r="N967" s="44" t="n"/>
      <c r="O967" s="44" t="n"/>
      <c r="P967" s="44" t="n"/>
      <c r="Q967" s="44" t="n"/>
    </row>
    <row r="968">
      <c r="B968" s="292" t="n">
        <v>45558</v>
      </c>
      <c r="C968" s="91" t="n">
        <v>6</v>
      </c>
      <c r="D968" s="98" t="inlineStr">
        <is>
          <t>Taxi Gambir-Pondok Cabe (inc Toll+Parking)</t>
        </is>
      </c>
      <c r="E968" s="98" t="n"/>
      <c r="F968" s="103" t="n">
        <v>326600</v>
      </c>
      <c r="G968" s="91" t="inlineStr">
        <is>
          <t>IDR</t>
        </is>
      </c>
      <c r="H968" s="91" t="n">
        <v>1</v>
      </c>
      <c r="I968" s="61">
        <f>$H608*$F608</f>
        <v/>
      </c>
      <c r="J968" s="44" t="n"/>
      <c r="K968" s="44" t="n"/>
      <c r="L968" s="44" t="n"/>
      <c r="M968" s="61" t="n"/>
      <c r="N968" s="44" t="n"/>
      <c r="O968" s="44" t="n"/>
      <c r="P968" s="44" t="n"/>
      <c r="Q968" s="44" t="n"/>
    </row>
    <row r="969">
      <c r="B969" s="292" t="n">
        <v>45558</v>
      </c>
      <c r="C969" s="91" t="n">
        <v>7</v>
      </c>
      <c r="D969" s="95" t="inlineStr">
        <is>
          <t>Train Ticket Bojonegoro-Gambir (2 pax)</t>
        </is>
      </c>
      <c r="E969" s="95" t="n"/>
      <c r="F969" s="103" t="n">
        <v>1653500</v>
      </c>
      <c r="G969" s="91" t="inlineStr">
        <is>
          <t>IDR</t>
        </is>
      </c>
      <c r="H969" s="91" t="n">
        <v>1</v>
      </c>
      <c r="I969" s="61">
        <f>$H609*$F609</f>
        <v/>
      </c>
      <c r="J969" s="44" t="n"/>
      <c r="K969" s="44" t="n"/>
      <c r="L969" s="44" t="n"/>
      <c r="M969" s="62" t="n"/>
      <c r="N969" s="44" t="n"/>
      <c r="O969" s="44" t="n"/>
      <c r="P969" s="44" t="n"/>
      <c r="Q969" s="44" t="n"/>
    </row>
    <row r="970">
      <c r="B970" s="292" t="n">
        <v>45558</v>
      </c>
      <c r="C970" s="91" t="n">
        <v>8</v>
      </c>
      <c r="D970" s="95" t="inlineStr">
        <is>
          <t>Lalamove Kalog-Gowell</t>
        </is>
      </c>
      <c r="E970" s="95" t="n"/>
      <c r="F970" s="103" t="n">
        <v>73584</v>
      </c>
      <c r="G970" s="91" t="inlineStr">
        <is>
          <t>IDR</t>
        </is>
      </c>
      <c r="H970" s="91" t="n">
        <v>1</v>
      </c>
      <c r="I970" s="61">
        <f>$H610*$F610</f>
        <v/>
      </c>
      <c r="J970" s="44" t="n"/>
      <c r="K970" s="44" t="n"/>
      <c r="L970" s="44" t="n"/>
      <c r="M970" s="61" t="n"/>
      <c r="N970" s="44" t="n"/>
      <c r="O970" s="44" t="n"/>
      <c r="P970" s="44" t="n"/>
      <c r="Q970" s="44" t="n"/>
    </row>
    <row r="971">
      <c r="B971" s="292" t="n"/>
      <c r="C971" s="117" t="n"/>
      <c r="D971" s="97" t="inlineStr">
        <is>
          <t>Allowance</t>
        </is>
      </c>
      <c r="E971" s="97" t="n"/>
      <c r="F971" s="103" t="n"/>
      <c r="G971" s="91" t="n"/>
      <c r="H971" s="91" t="n"/>
      <c r="I971" s="44" t="n"/>
      <c r="J971" s="44" t="n"/>
      <c r="K971" s="44" t="n"/>
      <c r="L971" s="44" t="n"/>
      <c r="M971" s="61" t="n"/>
      <c r="N971" s="44" t="n"/>
      <c r="O971" s="44" t="n"/>
      <c r="P971" s="44" t="n"/>
      <c r="Q971" s="44" t="n"/>
    </row>
    <row r="972">
      <c r="B972" s="292" t="n">
        <v>45558</v>
      </c>
      <c r="C972" s="91" t="n">
        <v>9</v>
      </c>
      <c r="D972" s="95" t="inlineStr">
        <is>
          <t>Field Allowance</t>
        </is>
      </c>
      <c r="E972" s="95" t="n"/>
      <c r="F972" s="103">
        <f>5*100</f>
        <v/>
      </c>
      <c r="G972" s="91" t="inlineStr">
        <is>
          <t>USD</t>
        </is>
      </c>
      <c r="H972" s="100" t="n">
        <v>15231</v>
      </c>
      <c r="I972" s="62">
        <f>H612*F612</f>
        <v/>
      </c>
      <c r="J972" s="44" t="n"/>
      <c r="K972" s="44" t="n"/>
      <c r="L972" s="44" t="n"/>
      <c r="M972" s="61" t="n"/>
      <c r="N972" s="44" t="n"/>
      <c r="O972" s="44" t="n"/>
      <c r="P972" s="44" t="n"/>
      <c r="Q972" s="44" t="n"/>
    </row>
    <row r="973">
      <c r="B973" s="292" t="n">
        <v>45558</v>
      </c>
      <c r="C973" s="91" t="n">
        <v>10</v>
      </c>
      <c r="D973" s="95" t="inlineStr">
        <is>
          <t>Meals</t>
        </is>
      </c>
      <c r="E973" s="95" t="n"/>
      <c r="F973" s="103">
        <f>5*150000</f>
        <v/>
      </c>
      <c r="G973" s="91" t="inlineStr">
        <is>
          <t>IDR</t>
        </is>
      </c>
      <c r="H973" s="91" t="n">
        <v>1</v>
      </c>
      <c r="I973" s="62">
        <f>F613</f>
        <v/>
      </c>
      <c r="J973" s="44" t="n"/>
      <c r="K973" s="44" t="n"/>
      <c r="L973" s="44" t="n"/>
      <c r="M973" s="61" t="n"/>
      <c r="N973" s="44" t="n"/>
      <c r="O973" s="44" t="n"/>
      <c r="P973" s="44" t="n"/>
      <c r="Q973" s="44" t="n"/>
    </row>
    <row r="974">
      <c r="B974" s="78" t="inlineStr">
        <is>
          <t>Expense#38</t>
        </is>
      </c>
      <c r="C974" s="85" t="inlineStr">
        <is>
          <t>:</t>
        </is>
      </c>
      <c r="D974" s="86" t="inlineStr">
        <is>
          <t>MTD_STM_HDP 01 s/d 03 well (BHI project ndr Gowell) Sumbawa</t>
        </is>
      </c>
      <c r="E974" s="86" t="n"/>
      <c r="F974" s="87" t="n"/>
      <c r="G974" s="73" t="n"/>
      <c r="H974" s="73" t="n"/>
      <c r="I974" s="78" t="n"/>
      <c r="J974" s="78" t="n"/>
      <c r="K974" s="78" t="n"/>
      <c r="L974" s="78" t="n"/>
      <c r="M974" s="101" t="n"/>
      <c r="N974" s="78" t="n"/>
      <c r="O974" s="78" t="n"/>
      <c r="P974" s="78" t="n"/>
      <c r="Q974" s="78" t="n"/>
    </row>
    <row r="975">
      <c r="B975" s="102" t="n"/>
      <c r="C975" s="15" t="n"/>
      <c r="D975" s="106" t="inlineStr">
        <is>
          <t>Transportation</t>
        </is>
      </c>
      <c r="E975" s="106" t="n"/>
      <c r="F975" s="21" t="n"/>
      <c r="G975" s="15" t="n"/>
      <c r="H975" s="15" t="n"/>
      <c r="I975" s="44" t="n"/>
      <c r="J975" s="44" t="n"/>
      <c r="K975" s="44" t="n"/>
      <c r="L975" s="44" t="n"/>
      <c r="M975" s="61" t="n"/>
      <c r="N975" s="44" t="n"/>
      <c r="O975" s="44" t="n"/>
      <c r="P975" s="44" t="n"/>
      <c r="Q975" s="44" t="n"/>
    </row>
    <row r="976">
      <c r="B976" s="102" t="n">
        <v>45568</v>
      </c>
      <c r="C976" s="15" t="n">
        <v>3</v>
      </c>
      <c r="D976" s="63" t="inlineStr">
        <is>
          <t>Taxi Anevril Home - CGK Airport</t>
        </is>
      </c>
      <c r="E976" s="63" t="n"/>
      <c r="F976" s="21" t="n">
        <v>250000</v>
      </c>
      <c r="G976" s="15" t="inlineStr">
        <is>
          <t>IDR</t>
        </is>
      </c>
      <c r="H976" s="15" t="n">
        <v>1</v>
      </c>
      <c r="I976" s="61">
        <f>$H616*$F616</f>
        <v/>
      </c>
      <c r="J976" s="44" t="n"/>
      <c r="K976" s="44" t="n"/>
      <c r="L976" s="44" t="n"/>
      <c r="M976" s="44" t="n"/>
      <c r="N976" s="61" t="n"/>
      <c r="O976" s="44" t="n"/>
      <c r="P976" s="44" t="n"/>
      <c r="Q976" s="44" t="n"/>
    </row>
    <row r="977">
      <c r="B977" s="102" t="n">
        <v>45585</v>
      </c>
      <c r="C977" s="15" t="n">
        <v>4</v>
      </c>
      <c r="D977" s="63" t="inlineStr">
        <is>
          <t>Taxi Anevril CGK Airport - Home</t>
        </is>
      </c>
      <c r="E977" s="63" t="n"/>
      <c r="F977" s="21" t="n">
        <v>250000</v>
      </c>
      <c r="G977" s="15" t="inlineStr">
        <is>
          <t>IDR</t>
        </is>
      </c>
      <c r="H977" s="15" t="n">
        <v>1</v>
      </c>
      <c r="I977" s="61">
        <f>$H617*$F617</f>
        <v/>
      </c>
      <c r="J977" s="44" t="n"/>
      <c r="K977" s="44" t="n"/>
      <c r="L977" s="44" t="n"/>
      <c r="M977" s="44" t="n"/>
      <c r="N977" s="44" t="n"/>
      <c r="O977" s="44" t="n"/>
      <c r="P977" s="44" t="n"/>
      <c r="Q977" s="44" t="n"/>
    </row>
    <row r="978">
      <c r="B978" s="102" t="n"/>
      <c r="C978" s="15" t="n"/>
      <c r="D978" s="118" t="inlineStr">
        <is>
          <t>Accommodation</t>
        </is>
      </c>
      <c r="E978" s="118" t="n"/>
      <c r="F978" s="21" t="n"/>
      <c r="G978" s="15" t="n"/>
      <c r="H978" s="15" t="n"/>
      <c r="I978" s="44" t="n"/>
      <c r="J978" s="44" t="n"/>
      <c r="K978" s="44" t="n"/>
      <c r="L978" s="44" t="n"/>
      <c r="M978" s="44" t="n"/>
      <c r="N978" s="44" t="n"/>
      <c r="O978" s="44" t="n"/>
      <c r="P978" s="44" t="n"/>
      <c r="Q978" s="44" t="n"/>
    </row>
    <row r="979">
      <c r="B979" s="102" t="n">
        <v>45585</v>
      </c>
      <c r="C979" s="15" t="n">
        <v>6</v>
      </c>
      <c r="D979" s="63" t="inlineStr">
        <is>
          <t>Laundry 18 days @ 50K IDR/day</t>
        </is>
      </c>
      <c r="E979" s="63" t="n"/>
      <c r="F979" s="21">
        <f>50000*18</f>
        <v/>
      </c>
      <c r="G979" s="15" t="inlineStr">
        <is>
          <t>IDR</t>
        </is>
      </c>
      <c r="H979" s="15" t="n">
        <v>1</v>
      </c>
      <c r="I979" s="62">
        <f>F619</f>
        <v/>
      </c>
      <c r="J979" s="44" t="n"/>
      <c r="K979" s="44" t="n"/>
      <c r="L979" s="44" t="n"/>
      <c r="M979" s="61" t="n"/>
      <c r="N979" s="44" t="n"/>
      <c r="O979" s="44" t="n"/>
      <c r="P979" s="44" t="n"/>
      <c r="Q979" s="44" t="n"/>
    </row>
    <row r="980">
      <c r="B980" s="102" t="n"/>
      <c r="C980" s="15" t="n"/>
      <c r="D980" s="108" t="inlineStr">
        <is>
          <t>Logistic</t>
        </is>
      </c>
      <c r="E980" s="108" t="n"/>
      <c r="F980" s="21" t="n"/>
      <c r="G980" s="15" t="n"/>
      <c r="H980" s="15" t="n"/>
      <c r="I980" s="44" t="n"/>
      <c r="J980" s="44" t="n"/>
      <c r="K980" s="44" t="n"/>
      <c r="L980" s="44" t="n"/>
      <c r="M980" s="61" t="n"/>
      <c r="N980" s="44" t="n"/>
      <c r="O980" s="44" t="n"/>
      <c r="P980" s="44" t="n"/>
      <c r="Q980" s="44" t="n"/>
    </row>
    <row r="981">
      <c r="B981" s="102" t="n"/>
      <c r="C981" s="15" t="n"/>
      <c r="D981" s="118" t="inlineStr">
        <is>
          <t>Meal</t>
        </is>
      </c>
      <c r="E981" s="118" t="n"/>
      <c r="F981" s="21" t="n"/>
      <c r="G981" s="15" t="n"/>
      <c r="H981" s="15" t="n"/>
      <c r="I981" s="44" t="n"/>
      <c r="J981" s="44" t="n"/>
      <c r="K981" s="44" t="n"/>
      <c r="L981" s="44" t="n"/>
      <c r="M981" s="62" t="n"/>
      <c r="N981" s="44" t="n"/>
      <c r="O981" s="44" t="n"/>
      <c r="P981" s="44" t="n"/>
      <c r="Q981" s="44" t="n"/>
    </row>
    <row r="982">
      <c r="B982" s="102" t="n">
        <v>45585</v>
      </c>
      <c r="C982" s="15" t="n"/>
      <c r="D982" s="63" t="inlineStr">
        <is>
          <t>operation meal with BHI person</t>
        </is>
      </c>
      <c r="E982" s="63" t="n"/>
      <c r="F982" s="21">
        <f>99000+288400+195700+108150+143000+267800</f>
        <v/>
      </c>
      <c r="G982" s="15" t="inlineStr">
        <is>
          <t>IDR</t>
        </is>
      </c>
      <c r="H982" s="15" t="n">
        <v>1</v>
      </c>
      <c r="I982" s="62">
        <f>F622</f>
        <v/>
      </c>
      <c r="J982" s="44" t="n"/>
      <c r="K982" s="44" t="n"/>
      <c r="L982" s="44" t="n"/>
      <c r="M982" s="61" t="n"/>
      <c r="N982" s="44" t="n"/>
      <c r="O982" s="44" t="n"/>
      <c r="P982" s="44" t="n"/>
      <c r="Q982" s="44" t="n"/>
    </row>
    <row r="983">
      <c r="B983" s="102" t="n"/>
      <c r="C983" s="15" t="n"/>
      <c r="D983" s="118" t="inlineStr">
        <is>
          <t>Allowance</t>
        </is>
      </c>
      <c r="E983" s="118" t="n"/>
      <c r="F983" s="21" t="n"/>
      <c r="G983" s="15" t="n"/>
      <c r="H983" s="15" t="n"/>
      <c r="I983" s="44" t="n"/>
      <c r="J983" s="44" t="n"/>
      <c r="K983" s="44" t="n"/>
      <c r="L983" s="44" t="n"/>
      <c r="M983" s="62" t="n"/>
      <c r="N983" s="44" t="n"/>
      <c r="O983" s="44" t="n"/>
      <c r="P983" s="44" t="n"/>
      <c r="Q983" s="44" t="n"/>
    </row>
    <row r="984">
      <c r="B984" s="102" t="n">
        <v>45585</v>
      </c>
      <c r="C984" s="15" t="n"/>
      <c r="D984" s="63" t="inlineStr">
        <is>
          <t>Meal 18 days @ 150K IDR/day</t>
        </is>
      </c>
      <c r="E984" s="63" t="n"/>
      <c r="F984" s="21">
        <f>150000*18</f>
        <v/>
      </c>
      <c r="G984" s="15" t="inlineStr">
        <is>
          <t>IDR</t>
        </is>
      </c>
      <c r="H984" s="15" t="n">
        <v>1</v>
      </c>
      <c r="I984" s="62">
        <f>F624</f>
        <v/>
      </c>
      <c r="J984" s="44" t="n"/>
      <c r="K984" s="44" t="n"/>
      <c r="L984" s="44" t="n"/>
      <c r="M984" s="61" t="n"/>
      <c r="N984" s="44" t="n"/>
      <c r="O984" s="44" t="n"/>
      <c r="P984" s="44" t="n"/>
      <c r="Q984" s="44" t="n"/>
    </row>
    <row r="985">
      <c r="B985" s="102" t="n"/>
      <c r="C985" s="15" t="n"/>
      <c r="D985" s="108" t="inlineStr">
        <is>
          <t>Allowance</t>
        </is>
      </c>
      <c r="E985" s="108" t="n"/>
      <c r="F985" s="21" t="n"/>
      <c r="G985" s="15" t="n"/>
      <c r="H985" s="15" t="n"/>
      <c r="I985" s="44" t="n"/>
      <c r="J985" s="44" t="n"/>
      <c r="K985" s="44" t="n"/>
      <c r="L985" s="44" t="n"/>
      <c r="M985" s="44" t="n"/>
      <c r="N985" s="44" t="n"/>
      <c r="O985" s="44" t="n"/>
      <c r="P985" s="44" t="n"/>
      <c r="Q985" s="44" t="n"/>
    </row>
    <row r="986">
      <c r="B986" s="102" t="n">
        <v>45585</v>
      </c>
      <c r="C986" s="15" t="n">
        <v>8</v>
      </c>
      <c r="D986" s="63" t="inlineStr">
        <is>
          <t>Field Allowance for 18 days</t>
        </is>
      </c>
      <c r="E986" s="63" t="n"/>
      <c r="F986" s="21" t="n">
        <v>1800</v>
      </c>
      <c r="G986" s="15" t="inlineStr">
        <is>
          <t>USD</t>
        </is>
      </c>
      <c r="H986" s="15" t="n">
        <v>15849</v>
      </c>
      <c r="I986" s="455">
        <f>H626*F626</f>
        <v/>
      </c>
      <c r="J986" s="44" t="n"/>
      <c r="K986" s="44" t="n"/>
      <c r="L986" s="44" t="n"/>
      <c r="M986" s="44" t="n"/>
      <c r="N986" s="44" t="n"/>
      <c r="O986" s="44" t="n"/>
      <c r="P986" s="44" t="n"/>
      <c r="Q986" s="44" t="n"/>
    </row>
    <row r="987">
      <c r="B987" s="78" t="inlineStr">
        <is>
          <t>Expense#39</t>
        </is>
      </c>
      <c r="C987" s="85" t="inlineStr">
        <is>
          <t>:</t>
        </is>
      </c>
      <c r="D987" s="86" t="inlineStr">
        <is>
          <t>Training Basic Sea Survival_IBR</t>
        </is>
      </c>
      <c r="E987" s="86" t="n"/>
      <c r="F987" s="87" t="n"/>
      <c r="G987" s="73" t="n"/>
      <c r="H987" s="73" t="n"/>
      <c r="I987" s="78" t="n"/>
      <c r="J987" s="78" t="n"/>
      <c r="K987" s="78" t="n"/>
      <c r="L987" s="78" t="n"/>
      <c r="M987" s="78" t="n"/>
      <c r="N987" s="78" t="n"/>
      <c r="O987" s="78" t="n"/>
      <c r="P987" s="78" t="n"/>
      <c r="Q987" s="78" t="n"/>
    </row>
    <row r="988">
      <c r="B988" s="292" t="n"/>
      <c r="C988" s="91" t="n"/>
      <c r="D988" s="97" t="inlineStr">
        <is>
          <t>Training</t>
        </is>
      </c>
      <c r="E988" s="97" t="n"/>
      <c r="F988" s="103" t="n"/>
      <c r="G988" s="91" t="n"/>
      <c r="H988" s="91" t="n"/>
      <c r="I988" s="44" t="n"/>
      <c r="J988" s="44" t="n"/>
      <c r="K988" s="44" t="n"/>
      <c r="L988" s="44" t="n"/>
      <c r="M988" s="44" t="n"/>
      <c r="N988" s="44" t="n"/>
      <c r="O988" s="44" t="n"/>
      <c r="P988" s="44" t="n"/>
      <c r="Q988" s="44" t="n"/>
    </row>
    <row r="989">
      <c r="B989" s="292" t="n">
        <v>45622</v>
      </c>
      <c r="C989" s="91" t="n">
        <v>1</v>
      </c>
      <c r="D989" s="95" t="inlineStr">
        <is>
          <t>Basic Sea Survival</t>
        </is>
      </c>
      <c r="E989" s="95" t="n"/>
      <c r="F989" s="103" t="n">
        <v>2700000</v>
      </c>
      <c r="G989" s="91" t="inlineStr">
        <is>
          <t>IDR</t>
        </is>
      </c>
      <c r="H989" s="91" t="n">
        <v>1</v>
      </c>
      <c r="I989" s="61">
        <f>$F629*$H629</f>
        <v/>
      </c>
      <c r="J989" s="44" t="n"/>
      <c r="K989" s="44" t="n"/>
      <c r="L989" s="44" t="n"/>
      <c r="M989" s="44" t="n"/>
      <c r="N989" s="44" t="n"/>
      <c r="O989" s="44" t="n"/>
      <c r="P989" s="44" t="n"/>
      <c r="Q989" s="44" t="n"/>
    </row>
    <row r="990">
      <c r="B990" s="292" t="n"/>
      <c r="C990" s="91" t="n"/>
      <c r="D990" s="97" t="inlineStr">
        <is>
          <t>Transportation</t>
        </is>
      </c>
      <c r="E990" s="97" t="n"/>
      <c r="F990" s="103" t="n"/>
      <c r="G990" s="91" t="n"/>
      <c r="H990" s="91" t="n"/>
      <c r="I990" s="44" t="n"/>
      <c r="J990" s="44" t="n"/>
      <c r="K990" s="44" t="n"/>
      <c r="L990" s="44" t="n"/>
      <c r="M990" s="44" t="n"/>
      <c r="N990" s="44" t="n"/>
      <c r="O990" s="44" t="n"/>
      <c r="P990" s="44" t="n"/>
      <c r="Q990" s="44" t="n"/>
    </row>
    <row r="991">
      <c r="B991" s="292" t="n">
        <v>45622</v>
      </c>
      <c r="C991" s="91" t="n"/>
      <c r="D991" s="95" t="inlineStr">
        <is>
          <t>Gojek ( Damn Coffe - PT Lautan Tenang Jaya )</t>
        </is>
      </c>
      <c r="E991" s="95" t="n"/>
      <c r="F991" s="103" t="n">
        <v>15000</v>
      </c>
      <c r="G991" s="91" t="inlineStr">
        <is>
          <t>IDR</t>
        </is>
      </c>
      <c r="H991" s="91" t="n">
        <v>1</v>
      </c>
      <c r="I991" s="61">
        <f>$H631*$F631</f>
        <v/>
      </c>
      <c r="J991" s="44" t="n"/>
      <c r="K991" s="44" t="n"/>
      <c r="L991" s="44" t="n"/>
      <c r="M991" s="44" t="n"/>
      <c r="N991" s="44" t="n"/>
      <c r="O991" s="44" t="n"/>
      <c r="P991" s="44" t="n"/>
      <c r="Q991" s="44" t="n"/>
    </row>
    <row r="992">
      <c r="B992" s="292" t="n">
        <v>45622</v>
      </c>
      <c r="C992" s="91" t="n"/>
      <c r="D992" s="95" t="inlineStr">
        <is>
          <t>Gojek ( PT Lautan Tenang Jaya - Stasiun MRT )</t>
        </is>
      </c>
      <c r="E992" s="95" t="n"/>
      <c r="F992" s="103" t="n">
        <v>15000</v>
      </c>
      <c r="G992" s="91" t="inlineStr">
        <is>
          <t>IDR</t>
        </is>
      </c>
      <c r="H992" s="91" t="n">
        <v>1</v>
      </c>
      <c r="I992" s="61">
        <f>$H632*$F632</f>
        <v/>
      </c>
      <c r="J992" s="44" t="n"/>
      <c r="K992" s="44" t="n"/>
      <c r="L992" s="44" t="n"/>
      <c r="M992" s="44" t="n"/>
      <c r="N992" s="44" t="n"/>
      <c r="O992" s="44" t="n"/>
      <c r="P992" s="44" t="n"/>
      <c r="Q992" s="44" t="n"/>
    </row>
    <row r="993">
      <c r="B993" s="292" t="n">
        <v>45622</v>
      </c>
      <c r="C993" s="91" t="n"/>
      <c r="D993" s="95" t="inlineStr">
        <is>
          <t>Gojek ( Stasiun Sudimara - Home )</t>
        </is>
      </c>
      <c r="E993" s="95" t="n"/>
      <c r="F993" s="103" t="n">
        <v>15000</v>
      </c>
      <c r="G993" s="91" t="inlineStr">
        <is>
          <t>IDR</t>
        </is>
      </c>
      <c r="H993" s="91" t="n">
        <v>1</v>
      </c>
      <c r="I993" s="61">
        <f>$H633*$F633</f>
        <v/>
      </c>
      <c r="J993" s="44" t="n"/>
      <c r="K993" s="44" t="n"/>
      <c r="L993" s="44" t="n"/>
      <c r="M993" s="44" t="n"/>
      <c r="N993" s="44" t="n"/>
      <c r="O993" s="44" t="n"/>
      <c r="P993" s="44" t="n"/>
      <c r="Q993" s="44" t="n"/>
    </row>
    <row r="994">
      <c r="B994" s="292" t="n">
        <v>45622</v>
      </c>
      <c r="C994" s="91" t="n"/>
      <c r="D994" s="95" t="inlineStr">
        <is>
          <t xml:space="preserve">MRT ( Lebak Bulus - Duku Atas ) </t>
        </is>
      </c>
      <c r="E994" s="95" t="n"/>
      <c r="F994" s="103" t="n">
        <v>14000</v>
      </c>
      <c r="G994" s="91" t="inlineStr">
        <is>
          <t>IDR</t>
        </is>
      </c>
      <c r="H994" s="91" t="n">
        <v>1</v>
      </c>
      <c r="I994" s="61">
        <f>$H634*$F634</f>
        <v/>
      </c>
      <c r="J994" s="44" t="n"/>
      <c r="K994" s="44" t="n"/>
      <c r="L994" s="44" t="n"/>
      <c r="M994" s="61" t="n"/>
      <c r="N994" s="44" t="n"/>
      <c r="O994" s="44" t="n"/>
      <c r="P994" s="44" t="n"/>
      <c r="Q994" s="44" t="n"/>
    </row>
    <row r="995">
      <c r="B995" s="292" t="n">
        <v>45622</v>
      </c>
      <c r="C995" s="91" t="n"/>
      <c r="D995" s="95" t="inlineStr">
        <is>
          <t>KRL ( Duku Atas - Sudimara )</t>
        </is>
      </c>
      <c r="E995" s="95" t="n"/>
      <c r="F995" s="103" t="n">
        <v>3000</v>
      </c>
      <c r="G995" s="91" t="inlineStr">
        <is>
          <t>IDR</t>
        </is>
      </c>
      <c r="H995" s="91" t="n">
        <v>1</v>
      </c>
      <c r="I995" s="61">
        <f>$H635*$F635</f>
        <v/>
      </c>
      <c r="J995" s="44" t="n"/>
      <c r="K995" s="44" t="n"/>
      <c r="L995" s="44" t="n"/>
      <c r="M995" s="61" t="n"/>
      <c r="N995" s="44" t="n"/>
      <c r="O995" s="44" t="n"/>
      <c r="P995" s="44" t="n"/>
      <c r="Q995" s="44" t="n"/>
    </row>
    <row r="996">
      <c r="B996" s="78" t="inlineStr">
        <is>
          <t>Expense#40</t>
        </is>
      </c>
      <c r="C996" s="85" t="inlineStr">
        <is>
          <t>:</t>
        </is>
      </c>
      <c r="D996" s="86" t="inlineStr">
        <is>
          <t>Non trip 1st - project _ Pety cash 1st - YY</t>
        </is>
      </c>
      <c r="E996" s="86" t="n"/>
      <c r="F996" s="87" t="n"/>
      <c r="G996" s="73" t="n"/>
      <c r="H996" s="73" t="n"/>
      <c r="I996" s="78" t="n"/>
      <c r="J996" s="78" t="n"/>
      <c r="K996" s="78" t="n"/>
      <c r="L996" s="78" t="n"/>
      <c r="M996" s="101" t="n"/>
      <c r="N996" s="78" t="n"/>
      <c r="O996" s="78" t="n"/>
      <c r="P996" s="78" t="n"/>
      <c r="Q996" s="78" t="n"/>
    </row>
    <row r="997">
      <c r="B997" s="140" t="n"/>
      <c r="C997" s="141" t="n"/>
      <c r="D997" s="142" t="inlineStr">
        <is>
          <t>Shipping</t>
        </is>
      </c>
      <c r="E997" s="142" t="n"/>
      <c r="F997" s="143" t="n"/>
      <c r="G997" s="15" t="n"/>
      <c r="H997" s="15" t="n"/>
      <c r="I997" s="44" t="n"/>
      <c r="J997" s="44" t="n"/>
      <c r="K997" s="44" t="n"/>
      <c r="L997" s="44" t="n"/>
      <c r="M997" s="44" t="n"/>
      <c r="N997" s="61" t="n"/>
      <c r="O997" s="44" t="n"/>
      <c r="P997" s="44" t="n"/>
      <c r="Q997" s="44" t="n"/>
    </row>
    <row r="998">
      <c r="B998" s="456" t="n">
        <v>45071</v>
      </c>
      <c r="C998" s="141" t="n"/>
      <c r="D998" s="145" t="inlineStr">
        <is>
          <t>Materai 15 pcs</t>
        </is>
      </c>
      <c r="E998" s="145" t="n"/>
      <c r="F998" s="457" t="n">
        <v>150000</v>
      </c>
      <c r="G998" s="15" t="inlineStr">
        <is>
          <t>IDR</t>
        </is>
      </c>
      <c r="H998" s="15" t="n">
        <v>1</v>
      </c>
      <c r="I998" s="44" t="n"/>
      <c r="J998" s="44" t="n"/>
      <c r="K998" s="44" t="n"/>
      <c r="L998" s="44" t="n"/>
      <c r="M998" s="61">
        <f>$H638*$F638</f>
        <v/>
      </c>
      <c r="N998" s="44" t="n"/>
      <c r="O998" s="44" t="n"/>
      <c r="P998" s="44" t="n"/>
      <c r="Q998" s="44" t="n"/>
    </row>
    <row r="999">
      <c r="B999" s="456" t="n">
        <v>45085</v>
      </c>
      <c r="C999" s="141" t="n"/>
      <c r="D999" s="145" t="inlineStr">
        <is>
          <t>Plastic folder 3 pcs</t>
        </is>
      </c>
      <c r="E999" s="145" t="n"/>
      <c r="F999" s="458" t="n">
        <v>35000</v>
      </c>
      <c r="G999" s="15" t="inlineStr">
        <is>
          <t>IDR</t>
        </is>
      </c>
      <c r="H999" s="15" t="n">
        <v>1</v>
      </c>
      <c r="I999" s="44" t="n"/>
      <c r="J999" s="44" t="n"/>
      <c r="K999" s="44" t="n"/>
      <c r="L999" s="44" t="n"/>
      <c r="M999" s="61">
        <f>$H639*$F639</f>
        <v/>
      </c>
      <c r="N999" s="44" t="n"/>
      <c r="O999" s="44" t="n"/>
      <c r="P999" s="44" t="n"/>
      <c r="Q999" s="44" t="n"/>
    </row>
    <row r="1000">
      <c r="B1000" s="456" t="n"/>
      <c r="C1000" s="141" t="n"/>
      <c r="D1000" s="145" t="inlineStr">
        <is>
          <t>JNE courier</t>
        </is>
      </c>
      <c r="E1000" s="145" t="n"/>
      <c r="F1000" s="147" t="n">
        <v>50000</v>
      </c>
      <c r="G1000" s="15" t="inlineStr">
        <is>
          <t>IDR</t>
        </is>
      </c>
      <c r="H1000" s="15" t="n">
        <v>1</v>
      </c>
      <c r="I1000" s="61">
        <f>$H640*$F640</f>
        <v/>
      </c>
      <c r="J1000" s="44" t="n"/>
      <c r="K1000" s="44" t="n"/>
      <c r="L1000" s="44" t="n"/>
      <c r="M1000" s="61" t="n"/>
      <c r="N1000" s="44" t="n"/>
      <c r="O1000" s="44" t="n"/>
      <c r="P1000" s="44" t="n"/>
      <c r="Q1000" s="44" t="n"/>
    </row>
    <row r="1001">
      <c r="B1001" s="456" t="n">
        <v>45076</v>
      </c>
      <c r="C1001" s="141" t="n"/>
      <c r="D1001" s="145" t="inlineStr">
        <is>
          <t>Lala Move courier</t>
        </is>
      </c>
      <c r="E1001" s="145" t="n"/>
      <c r="F1001" s="147" t="n">
        <v>100000</v>
      </c>
      <c r="G1001" s="15" t="inlineStr">
        <is>
          <t>IDR</t>
        </is>
      </c>
      <c r="H1001" s="15" t="n">
        <v>1</v>
      </c>
      <c r="I1001" s="61">
        <f>$H641*$F641</f>
        <v/>
      </c>
      <c r="J1001" s="44" t="n"/>
      <c r="K1001" s="44" t="n"/>
      <c r="L1001" s="44" t="n"/>
      <c r="M1001" s="61" t="n"/>
      <c r="N1001" s="44" t="n"/>
      <c r="O1001" s="44" t="n"/>
      <c r="P1001" s="44" t="n"/>
      <c r="Q1001" s="44" t="n"/>
    </row>
    <row r="1002">
      <c r="B1002" s="456" t="n">
        <v>45121</v>
      </c>
      <c r="C1002" s="141" t="n"/>
      <c r="D1002" s="145" t="inlineStr">
        <is>
          <t>Anvelope, Plastic map</t>
        </is>
      </c>
      <c r="E1002" s="145" t="n"/>
      <c r="F1002" s="147" t="n">
        <v>12000</v>
      </c>
      <c r="G1002" s="15" t="inlineStr">
        <is>
          <t>IDR</t>
        </is>
      </c>
      <c r="H1002" s="15" t="n">
        <v>1</v>
      </c>
      <c r="I1002" s="44" t="n"/>
      <c r="J1002" s="44" t="n"/>
      <c r="K1002" s="44" t="n"/>
      <c r="L1002" s="44" t="n"/>
      <c r="M1002" s="61">
        <f>$H642*$F642</f>
        <v/>
      </c>
      <c r="N1002" s="44" t="n"/>
      <c r="O1002" s="44" t="n"/>
      <c r="P1002" s="44" t="n"/>
      <c r="Q1002" s="44" t="n"/>
    </row>
    <row r="1003">
      <c r="B1003" s="456" t="n">
        <v>45261</v>
      </c>
      <c r="C1003" s="141" t="n"/>
      <c r="D1003" s="145" t="inlineStr">
        <is>
          <t>JNE courier</t>
        </is>
      </c>
      <c r="E1003" s="145" t="n"/>
      <c r="F1003" s="147" t="n">
        <v>44000</v>
      </c>
      <c r="G1003" s="15" t="inlineStr">
        <is>
          <t>IDR</t>
        </is>
      </c>
      <c r="H1003" s="15" t="n">
        <v>1</v>
      </c>
      <c r="I1003" s="61">
        <f>$H643*$F643</f>
        <v/>
      </c>
      <c r="J1003" s="44" t="n"/>
      <c r="K1003" s="44" t="n"/>
      <c r="L1003" s="44" t="n"/>
      <c r="M1003" s="61" t="n"/>
      <c r="N1003" s="44" t="n"/>
      <c r="O1003" s="44" t="n"/>
      <c r="P1003" s="44" t="n"/>
      <c r="Q1003" s="44" t="n"/>
    </row>
    <row r="1004">
      <c r="B1004" s="456" t="n">
        <v>45572</v>
      </c>
      <c r="C1004" s="141" t="n"/>
      <c r="D1004" s="145" t="inlineStr">
        <is>
          <t>Materai 6 pcs</t>
        </is>
      </c>
      <c r="E1004" s="145" t="n"/>
      <c r="F1004" s="147" t="n">
        <v>62000</v>
      </c>
      <c r="G1004" s="15" t="inlineStr">
        <is>
          <t>IDR</t>
        </is>
      </c>
      <c r="H1004" s="15" t="n">
        <v>1</v>
      </c>
      <c r="I1004" s="44" t="n"/>
      <c r="J1004" s="44" t="n"/>
      <c r="K1004" s="44" t="n"/>
      <c r="L1004" s="44" t="n"/>
      <c r="M1004" s="61">
        <f>$H644*$F644</f>
        <v/>
      </c>
      <c r="N1004" s="44" t="n"/>
      <c r="O1004" s="44" t="n"/>
      <c r="P1004" s="44" t="n"/>
      <c r="Q1004" s="44" t="n"/>
    </row>
    <row r="1005">
      <c r="B1005" s="456" t="n">
        <v>45555</v>
      </c>
      <c r="C1005" s="141" t="n"/>
      <c r="D1005" s="145" t="inlineStr">
        <is>
          <t>JNE courier</t>
        </is>
      </c>
      <c r="E1005" s="145" t="n"/>
      <c r="F1005" s="147" t="n">
        <v>18000</v>
      </c>
      <c r="G1005" s="15" t="inlineStr">
        <is>
          <t>IDR</t>
        </is>
      </c>
      <c r="H1005" s="15" t="n">
        <v>1</v>
      </c>
      <c r="I1005" s="61">
        <f>$H645*$F645</f>
        <v/>
      </c>
      <c r="J1005" s="44" t="n"/>
      <c r="K1005" s="44" t="n"/>
      <c r="L1005" s="44" t="n"/>
      <c r="M1005" s="61" t="n"/>
      <c r="N1005" s="44" t="n"/>
      <c r="O1005" s="44" t="n"/>
      <c r="P1005" s="44" t="n"/>
      <c r="Q1005" s="44" t="n"/>
    </row>
    <row r="1006">
      <c r="B1006" s="456" t="n">
        <v>45560</v>
      </c>
      <c r="C1006" s="141" t="n"/>
      <c r="D1006" s="145" t="inlineStr">
        <is>
          <t>POS courier</t>
        </is>
      </c>
      <c r="E1006" s="145" t="n"/>
      <c r="F1006" s="147" t="n">
        <v>8000</v>
      </c>
      <c r="G1006" s="15" t="inlineStr">
        <is>
          <t>IDR</t>
        </is>
      </c>
      <c r="H1006" s="15" t="n">
        <v>1</v>
      </c>
      <c r="I1006" s="61">
        <f>$H646*$F646</f>
        <v/>
      </c>
      <c r="J1006" s="44" t="n"/>
      <c r="K1006" s="44" t="n"/>
      <c r="L1006" s="44" t="n"/>
      <c r="M1006" s="61" t="n"/>
      <c r="N1006" s="44" t="n"/>
      <c r="O1006" s="44" t="n"/>
      <c r="P1006" s="44" t="n"/>
      <c r="Q1006" s="44" t="n"/>
    </row>
    <row r="1007">
      <c r="B1007" s="456" t="n">
        <v>45574</v>
      </c>
      <c r="C1007" s="141" t="n"/>
      <c r="D1007" s="145" t="inlineStr">
        <is>
          <t>POS courier</t>
        </is>
      </c>
      <c r="E1007" s="145" t="n"/>
      <c r="F1007" s="147" t="n">
        <v>15000</v>
      </c>
      <c r="G1007" s="15" t="inlineStr">
        <is>
          <t>IDR</t>
        </is>
      </c>
      <c r="H1007" s="15" t="n">
        <v>1</v>
      </c>
      <c r="I1007" s="61">
        <f>$H647*$F647</f>
        <v/>
      </c>
      <c r="J1007" s="44" t="n"/>
      <c r="K1007" s="44" t="n"/>
      <c r="L1007" s="44" t="n"/>
      <c r="M1007" s="61" t="n"/>
      <c r="N1007" s="44" t="n"/>
      <c r="O1007" s="44" t="n"/>
      <c r="P1007" s="44" t="n"/>
      <c r="Q1007" s="44" t="n"/>
    </row>
    <row r="1008">
      <c r="B1008" s="456" t="n">
        <v>45579</v>
      </c>
      <c r="C1008" s="141" t="n"/>
      <c r="D1008" s="145" t="inlineStr">
        <is>
          <t>JNE courier</t>
        </is>
      </c>
      <c r="E1008" s="145" t="n"/>
      <c r="F1008" s="147" t="n">
        <v>10000</v>
      </c>
      <c r="G1008" s="15" t="inlineStr">
        <is>
          <t>IDR</t>
        </is>
      </c>
      <c r="H1008" s="15" t="n">
        <v>1</v>
      </c>
      <c r="I1008" s="61">
        <f>$H648*$F648</f>
        <v/>
      </c>
      <c r="J1008" s="44" t="n"/>
      <c r="K1008" s="44" t="n"/>
      <c r="L1008" s="44" t="n"/>
      <c r="M1008" s="44" t="n"/>
      <c r="N1008" s="44" t="n"/>
      <c r="O1008" s="44" t="n"/>
      <c r="P1008" s="44" t="n"/>
      <c r="Q1008" s="44" t="n"/>
    </row>
    <row r="1009">
      <c r="B1009" s="456" t="n">
        <v>45579</v>
      </c>
      <c r="C1009" s="141" t="n"/>
      <c r="D1009" s="145" t="inlineStr">
        <is>
          <t>Materai 10 pcs</t>
        </is>
      </c>
      <c r="E1009" s="145" t="n"/>
      <c r="F1009" s="147" t="n">
        <v>103000</v>
      </c>
      <c r="G1009" s="15" t="inlineStr">
        <is>
          <t>IDR</t>
        </is>
      </c>
      <c r="H1009" s="15" t="n">
        <v>1</v>
      </c>
      <c r="I1009" s="44" t="n"/>
      <c r="J1009" s="44" t="n"/>
      <c r="K1009" s="44" t="n"/>
      <c r="L1009" s="44" t="n"/>
      <c r="M1009" s="61">
        <f>$H649*$F649</f>
        <v/>
      </c>
      <c r="N1009" s="44" t="n"/>
      <c r="O1009" s="44" t="n"/>
      <c r="P1009" s="44" t="n"/>
      <c r="Q1009" s="44" t="n"/>
    </row>
    <row r="1010">
      <c r="B1010" s="456" t="n">
        <v>45582</v>
      </c>
      <c r="C1010" s="141" t="n"/>
      <c r="D1010" s="145" t="inlineStr">
        <is>
          <t>Materai 5 pcs</t>
        </is>
      </c>
      <c r="E1010" s="145" t="n"/>
      <c r="F1010" s="147" t="n">
        <v>55000</v>
      </c>
      <c r="G1010" s="15" t="inlineStr">
        <is>
          <t>IDR</t>
        </is>
      </c>
      <c r="H1010" s="15" t="n">
        <v>1</v>
      </c>
      <c r="I1010" s="62" t="n"/>
      <c r="J1010" s="44" t="n"/>
      <c r="K1010" s="44" t="n"/>
      <c r="L1010" s="44" t="n"/>
      <c r="M1010" s="61">
        <f>$H650*$F650</f>
        <v/>
      </c>
      <c r="N1010" s="44" t="n"/>
      <c r="O1010" s="44" t="n"/>
      <c r="P1010" s="44" t="n"/>
      <c r="Q1010" s="44" t="n"/>
    </row>
    <row r="1011">
      <c r="B1011" s="456" t="n">
        <v>45617</v>
      </c>
      <c r="C1011" s="141" t="n"/>
      <c r="D1011" s="145" t="inlineStr">
        <is>
          <t>Materai 10 pcs</t>
        </is>
      </c>
      <c r="E1011" s="145" t="n"/>
      <c r="F1011" s="147" t="n">
        <v>103000</v>
      </c>
      <c r="G1011" s="15" t="inlineStr">
        <is>
          <t>IDR</t>
        </is>
      </c>
      <c r="H1011" s="15" t="n">
        <v>1</v>
      </c>
      <c r="I1011" s="44" t="n"/>
      <c r="J1011" s="44" t="n"/>
      <c r="K1011" s="44" t="n"/>
      <c r="L1011" s="44" t="n"/>
      <c r="M1011" s="61">
        <f>$H651*$F651</f>
        <v/>
      </c>
      <c r="N1011" s="44" t="n"/>
      <c r="O1011" s="44" t="n"/>
      <c r="P1011" s="44" t="n"/>
      <c r="Q1011" s="44" t="n"/>
    </row>
    <row r="1012">
      <c r="B1012" s="140" t="n"/>
      <c r="C1012" s="141" t="n"/>
      <c r="D1012" s="148" t="inlineStr">
        <is>
          <t>Transportation</t>
        </is>
      </c>
      <c r="E1012" s="148" t="n"/>
      <c r="F1012" s="147" t="n"/>
      <c r="G1012" s="15" t="n"/>
      <c r="H1012" s="15" t="n"/>
      <c r="I1012" s="120" t="n"/>
      <c r="J1012" s="120" t="n"/>
      <c r="K1012" s="120" t="n"/>
      <c r="L1012" s="120" t="n"/>
      <c r="M1012" s="120" t="n"/>
      <c r="N1012" s="120" t="n"/>
      <c r="O1012" s="120" t="n"/>
      <c r="P1012" s="120" t="n"/>
      <c r="Q1012" s="120" t="n"/>
    </row>
    <row r="1013">
      <c r="B1013" s="456" t="n">
        <v>45579</v>
      </c>
      <c r="C1013" s="141" t="n"/>
      <c r="D1013" s="145" t="inlineStr">
        <is>
          <t>GoCar to Elnusa PP</t>
        </is>
      </c>
      <c r="E1013" s="145" t="n"/>
      <c r="F1013" s="147" t="n">
        <v>275000</v>
      </c>
      <c r="G1013" s="15" t="inlineStr">
        <is>
          <t>IDR</t>
        </is>
      </c>
      <c r="H1013" s="15" t="n">
        <v>1</v>
      </c>
      <c r="I1013" s="61">
        <f>$H653*$F653</f>
        <v/>
      </c>
      <c r="J1013" s="120" t="n"/>
      <c r="K1013" s="120" t="n"/>
      <c r="L1013" s="120" t="n"/>
      <c r="M1013" s="120" t="n"/>
      <c r="N1013" s="120" t="n"/>
      <c r="O1013" s="120" t="n"/>
      <c r="P1013" s="120" t="n"/>
      <c r="Q1013" s="120" t="n"/>
    </row>
    <row r="1014">
      <c r="B1014" s="456" t="n">
        <v>45579</v>
      </c>
      <c r="C1014" s="141" t="n"/>
      <c r="D1014" s="145" t="inlineStr">
        <is>
          <t>Tol &amp; parking fee</t>
        </is>
      </c>
      <c r="E1014" s="145" t="n"/>
      <c r="F1014" s="147" t="n">
        <v>31500</v>
      </c>
      <c r="G1014" s="15" t="inlineStr">
        <is>
          <t>IDR</t>
        </is>
      </c>
      <c r="H1014" s="15" t="n">
        <v>1</v>
      </c>
      <c r="I1014" s="61">
        <f>$H654*$F654</f>
        <v/>
      </c>
      <c r="J1014" s="120" t="n"/>
      <c r="K1014" s="120" t="n"/>
      <c r="L1014" s="120" t="n"/>
      <c r="M1014" s="120" t="n"/>
      <c r="N1014" s="120" t="n"/>
      <c r="O1014" s="120" t="n"/>
      <c r="P1014" s="120" t="n"/>
      <c r="Q1014" s="120" t="n"/>
    </row>
    <row r="1015">
      <c r="B1015" s="456" t="n">
        <v>45582</v>
      </c>
      <c r="C1015" s="141" t="n"/>
      <c r="D1015" s="145" t="inlineStr">
        <is>
          <t>GoCar to Elnusa PP</t>
        </is>
      </c>
      <c r="E1015" s="145" t="n"/>
      <c r="F1015" s="147" t="n">
        <v>266000</v>
      </c>
      <c r="G1015" s="15" t="inlineStr">
        <is>
          <t>IDR</t>
        </is>
      </c>
      <c r="H1015" s="15" t="n">
        <v>1</v>
      </c>
      <c r="I1015" s="61">
        <f>$H655*$F655</f>
        <v/>
      </c>
      <c r="J1015" s="120" t="n"/>
      <c r="K1015" s="120" t="n"/>
      <c r="L1015" s="120" t="n"/>
      <c r="M1015" s="120" t="n"/>
      <c r="N1015" s="120" t="n"/>
      <c r="O1015" s="120" t="n"/>
      <c r="P1015" s="120" t="n"/>
      <c r="Q1015" s="120" t="n"/>
    </row>
    <row r="1016">
      <c r="B1016" s="456" t="n">
        <v>45582</v>
      </c>
      <c r="C1016" s="141" t="n"/>
      <c r="D1016" s="145" t="inlineStr">
        <is>
          <t>Tol &amp; parking fee</t>
        </is>
      </c>
      <c r="E1016" s="145" t="n"/>
      <c r="F1016" s="147" t="n">
        <v>53500</v>
      </c>
      <c r="G1016" s="15" t="inlineStr">
        <is>
          <t>IDR</t>
        </is>
      </c>
      <c r="H1016" s="15" t="n">
        <v>1</v>
      </c>
      <c r="I1016" s="61">
        <f>$H656*$F656</f>
        <v/>
      </c>
      <c r="J1016" s="120" t="n"/>
      <c r="K1016" s="120" t="n"/>
      <c r="L1016" s="120" t="n"/>
      <c r="M1016" s="120" t="n"/>
      <c r="N1016" s="120" t="n"/>
      <c r="O1016" s="120" t="n"/>
      <c r="P1016" s="120" t="n"/>
      <c r="Q1016" s="120" t="n"/>
    </row>
    <row r="1017">
      <c r="B1017" s="456" t="n">
        <v>45617</v>
      </c>
      <c r="C1017" s="141" t="n"/>
      <c r="D1017" s="145" t="inlineStr">
        <is>
          <t>GoCar to Elnusa PP</t>
        </is>
      </c>
      <c r="E1017" s="145" t="n"/>
      <c r="F1017" s="147" t="n">
        <v>269000</v>
      </c>
      <c r="G1017" s="15" t="inlineStr">
        <is>
          <t>IDR</t>
        </is>
      </c>
      <c r="H1017" s="15" t="n">
        <v>1</v>
      </c>
      <c r="I1017" s="61">
        <f>$H657*$F657</f>
        <v/>
      </c>
      <c r="J1017" s="120" t="n"/>
      <c r="K1017" s="120" t="n"/>
      <c r="L1017" s="120" t="n"/>
      <c r="M1017" s="120" t="n"/>
      <c r="N1017" s="120" t="n"/>
      <c r="O1017" s="120" t="n"/>
      <c r="P1017" s="120" t="n"/>
      <c r="Q1017" s="120" t="n"/>
    </row>
    <row r="1018">
      <c r="B1018" s="456" t="n">
        <v>45617</v>
      </c>
      <c r="C1018" s="141" t="n"/>
      <c r="D1018" s="145" t="inlineStr">
        <is>
          <t>Tol &amp; parking fee</t>
        </is>
      </c>
      <c r="E1018" s="145" t="n"/>
      <c r="F1018" s="147" t="n">
        <v>43450</v>
      </c>
      <c r="G1018" s="15" t="inlineStr">
        <is>
          <t>IDR</t>
        </is>
      </c>
      <c r="H1018" s="15" t="n">
        <v>1</v>
      </c>
      <c r="I1018" s="61">
        <f>$H658*$F658</f>
        <v/>
      </c>
      <c r="J1018" s="120" t="n"/>
      <c r="K1018" s="120" t="n"/>
      <c r="L1018" s="120" t="n"/>
      <c r="M1018" s="120" t="n"/>
      <c r="N1018" s="120" t="n"/>
      <c r="O1018" s="120" t="n"/>
      <c r="P1018" s="120" t="n"/>
      <c r="Q1018" s="120" t="n"/>
    </row>
    <row r="1019">
      <c r="B1019" s="456" t="n">
        <v>45636</v>
      </c>
      <c r="C1019" s="141" t="n"/>
      <c r="D1019" s="145" t="inlineStr">
        <is>
          <t>GoCar to Elnusa PP</t>
        </is>
      </c>
      <c r="E1019" s="145" t="n"/>
      <c r="F1019" s="147" t="n">
        <v>290000</v>
      </c>
      <c r="G1019" s="15" t="inlineStr">
        <is>
          <t>IDR</t>
        </is>
      </c>
      <c r="H1019" s="15" t="n">
        <v>1</v>
      </c>
      <c r="I1019" s="61">
        <f>$H659*$F659</f>
        <v/>
      </c>
      <c r="J1019" s="120" t="n"/>
      <c r="K1019" s="120" t="n"/>
      <c r="L1019" s="120" t="n"/>
      <c r="M1019" s="120" t="n"/>
      <c r="N1019" s="120" t="n"/>
      <c r="O1019" s="120" t="n"/>
      <c r="P1019" s="120" t="n"/>
      <c r="Q1019" s="120" t="n"/>
    </row>
    <row r="1020">
      <c r="B1020" s="456" t="n">
        <v>45636</v>
      </c>
      <c r="C1020" s="141" t="n"/>
      <c r="D1020" s="145" t="inlineStr">
        <is>
          <t>Tol &amp; parking fee</t>
        </is>
      </c>
      <c r="E1020" s="145" t="n"/>
      <c r="F1020" s="147" t="n">
        <v>48500</v>
      </c>
      <c r="G1020" s="15" t="inlineStr">
        <is>
          <t>IDR</t>
        </is>
      </c>
      <c r="H1020" s="15" t="n">
        <v>1</v>
      </c>
      <c r="I1020" s="61">
        <f>$H660*$F660</f>
        <v/>
      </c>
      <c r="J1020" s="120" t="n"/>
      <c r="K1020" s="120" t="n"/>
      <c r="L1020" s="120" t="n"/>
      <c r="M1020" s="120" t="n"/>
      <c r="N1020" s="120" t="n"/>
      <c r="O1020" s="120" t="n"/>
      <c r="P1020" s="120" t="n"/>
      <c r="Q1020" s="120" t="n"/>
    </row>
    <row r="1021">
      <c r="B1021" s="149" t="inlineStr">
        <is>
          <t>Expense#41</t>
        </is>
      </c>
      <c r="C1021" s="85" t="inlineStr">
        <is>
          <t>:</t>
        </is>
      </c>
      <c r="D1021" s="150" t="inlineStr">
        <is>
          <t>Starlink Kit_DS</t>
        </is>
      </c>
      <c r="E1021" s="150" t="n"/>
      <c r="F1021" s="151" t="n"/>
      <c r="G1021" s="85" t="n"/>
      <c r="H1021" s="85" t="n"/>
      <c r="I1021" s="152" t="n"/>
      <c r="J1021" s="152" t="n"/>
      <c r="K1021" s="152" t="n"/>
      <c r="L1021" s="152" t="n"/>
      <c r="M1021" s="152" t="n"/>
      <c r="N1021" s="152" t="n"/>
      <c r="O1021" s="152" t="n"/>
      <c r="P1021" s="152" t="n"/>
      <c r="Q1021" s="152" t="n"/>
    </row>
    <row r="1022">
      <c r="B1022" s="14" t="n">
        <v>45607</v>
      </c>
      <c r="C1022" s="15" t="n"/>
      <c r="D1022" s="18" t="inlineStr">
        <is>
          <t>Starlink Kit</t>
        </is>
      </c>
      <c r="E1022" s="18" t="n"/>
      <c r="F1022" s="21" t="n">
        <v>5583200</v>
      </c>
      <c r="G1022" s="18" t="inlineStr">
        <is>
          <t>IDR</t>
        </is>
      </c>
      <c r="H1022" s="15" t="n">
        <v>1</v>
      </c>
      <c r="I1022" s="120" t="n"/>
      <c r="J1022" s="120" t="n"/>
      <c r="K1022" s="120" t="n"/>
      <c r="L1022" s="120" t="n"/>
      <c r="M1022" s="120" t="n"/>
      <c r="N1022" s="120">
        <f>F662</f>
        <v/>
      </c>
      <c r="O1022" s="120" t="n"/>
      <c r="P1022" s="120" t="n"/>
      <c r="Q1022" s="120" t="n"/>
    </row>
    <row r="1023">
      <c r="B1023" s="149" t="inlineStr">
        <is>
          <t>Expense#42</t>
        </is>
      </c>
      <c r="C1023" s="85" t="inlineStr">
        <is>
          <t>:</t>
        </is>
      </c>
      <c r="D1023" s="150" t="inlineStr">
        <is>
          <t>Pelican Case 1650 TMA</t>
        </is>
      </c>
      <c r="E1023" s="150" t="n"/>
      <c r="F1023" s="151" t="n"/>
      <c r="G1023" s="85" t="n"/>
      <c r="H1023" s="85" t="n"/>
      <c r="I1023" s="152" t="n"/>
      <c r="J1023" s="152" t="n"/>
      <c r="K1023" s="152" t="n"/>
      <c r="L1023" s="152" t="n"/>
      <c r="M1023" s="152" t="n"/>
      <c r="N1023" s="152" t="n"/>
      <c r="O1023" s="152" t="n"/>
      <c r="P1023" s="152" t="n"/>
      <c r="Q1023" s="152" t="n"/>
    </row>
    <row r="1024">
      <c r="B1024" s="107" t="n">
        <v>45640</v>
      </c>
      <c r="C1024" s="15" t="n">
        <v>1</v>
      </c>
      <c r="D1024" s="153" t="inlineStr">
        <is>
          <t>Pelican Case 1650</t>
        </is>
      </c>
      <c r="E1024" s="153" t="n"/>
      <c r="F1024" s="154" t="n">
        <v>8156000</v>
      </c>
      <c r="G1024" s="33" t="inlineStr">
        <is>
          <t>IDR</t>
        </is>
      </c>
      <c r="H1024" s="33" t="n">
        <v>1</v>
      </c>
      <c r="I1024" s="120" t="n"/>
      <c r="J1024" s="120" t="n"/>
      <c r="K1024" s="120" t="n"/>
      <c r="L1024" s="120" t="n"/>
      <c r="M1024" s="120" t="n"/>
      <c r="N1024" s="120">
        <f>F664</f>
        <v/>
      </c>
      <c r="O1024" s="120" t="n"/>
      <c r="P1024" s="120" t="n"/>
      <c r="Q1024" s="120" t="n"/>
    </row>
    <row r="1025">
      <c r="B1025" s="78" t="inlineStr">
        <is>
          <t>Expense#43</t>
        </is>
      </c>
      <c r="C1025" s="85" t="inlineStr">
        <is>
          <t>:</t>
        </is>
      </c>
      <c r="D1025" s="86" t="inlineStr">
        <is>
          <t>Non trip 3rd (follow up MCU concul &amp; visit KPP and Graha Elnusa)_AC</t>
        </is>
      </c>
      <c r="E1025" s="86" t="n"/>
      <c r="F1025" s="151" t="n"/>
      <c r="G1025" s="85" t="n"/>
      <c r="H1025" s="85" t="n"/>
      <c r="I1025" s="152" t="n"/>
      <c r="J1025" s="152" t="n"/>
      <c r="K1025" s="152" t="n"/>
      <c r="L1025" s="152" t="n"/>
      <c r="M1025" s="152" t="n"/>
      <c r="N1025" s="152" t="n"/>
      <c r="O1025" s="152" t="n"/>
      <c r="P1025" s="152" t="n"/>
      <c r="Q1025" s="152" t="n"/>
    </row>
    <row r="1026">
      <c r="B1026" s="286" t="n"/>
      <c r="C1026" s="286" t="n"/>
      <c r="D1026" s="153" t="inlineStr">
        <is>
          <t>Medical</t>
        </is>
      </c>
      <c r="E1026" s="153" t="n"/>
      <c r="F1026" s="286" t="n"/>
      <c r="G1026" s="33" t="n"/>
      <c r="H1026" s="33" t="n"/>
      <c r="I1026" s="120" t="n"/>
      <c r="J1026" s="120" t="n"/>
      <c r="K1026" s="120" t="n"/>
      <c r="L1026" s="120" t="n"/>
      <c r="M1026" s="120" t="n"/>
      <c r="N1026" s="120" t="n"/>
      <c r="O1026" s="120" t="n"/>
      <c r="P1026" s="120" t="n"/>
      <c r="Q1026" s="120" t="n"/>
    </row>
    <row r="1027">
      <c r="B1027" s="14" t="n">
        <v>45596</v>
      </c>
      <c r="C1027" s="15" t="n">
        <v>1</v>
      </c>
      <c r="D1027" s="18" t="inlineStr">
        <is>
          <t>Medicine lanjutan</t>
        </is>
      </c>
      <c r="E1027" s="18" t="n"/>
      <c r="F1027" s="21" t="n">
        <v>604000</v>
      </c>
      <c r="G1027" s="15" t="inlineStr">
        <is>
          <t>IDR</t>
        </is>
      </c>
      <c r="H1027" s="15" t="n">
        <v>1</v>
      </c>
      <c r="I1027" s="120" t="n"/>
      <c r="J1027" s="120" t="n"/>
      <c r="K1027" s="120" t="n"/>
      <c r="L1027" s="120" t="n"/>
      <c r="M1027" s="120" t="n"/>
      <c r="N1027" s="120" t="n"/>
      <c r="O1027" s="120" t="n"/>
      <c r="P1027" s="120">
        <f>F667</f>
        <v/>
      </c>
      <c r="Q1027" s="120" t="n"/>
    </row>
    <row r="1028">
      <c r="B1028" s="14" t="n">
        <v>45628</v>
      </c>
      <c r="C1028" s="15" t="n">
        <v>2</v>
      </c>
      <c r="D1028" s="18" t="inlineStr">
        <is>
          <t>Biaya Konsul Dokter Jantung 3rdPenyakit dalam</t>
        </is>
      </c>
      <c r="E1028" s="18" t="n"/>
      <c r="F1028" s="21" t="n">
        <v>799000</v>
      </c>
      <c r="G1028" s="15" t="inlineStr">
        <is>
          <t>IDR</t>
        </is>
      </c>
      <c r="H1028" s="15" t="n">
        <v>1</v>
      </c>
      <c r="I1028" s="120" t="n"/>
      <c r="J1028" s="120" t="n"/>
      <c r="K1028" s="120" t="n"/>
      <c r="L1028" s="120" t="n"/>
      <c r="M1028" s="120" t="n"/>
      <c r="N1028" s="120" t="n"/>
      <c r="O1028" s="120" t="n"/>
      <c r="P1028" s="120">
        <f>F668</f>
        <v/>
      </c>
      <c r="Q1028" s="120" t="n"/>
    </row>
    <row r="1029">
      <c r="B1029" s="14" t="n">
        <v>45627</v>
      </c>
      <c r="C1029" s="15" t="n">
        <v>3</v>
      </c>
      <c r="D1029" s="18" t="inlineStr">
        <is>
          <t>Biaya Konsul dokter Kulit a/n Diofavian</t>
        </is>
      </c>
      <c r="E1029" s="18" t="n"/>
      <c r="F1029" s="21" t="n">
        <v>1582141</v>
      </c>
      <c r="G1029" s="15" t="inlineStr">
        <is>
          <t>IDR</t>
        </is>
      </c>
      <c r="H1029" s="15" t="n">
        <v>1</v>
      </c>
      <c r="I1029" s="120" t="n"/>
      <c r="J1029" s="120" t="n"/>
      <c r="K1029" s="120" t="n"/>
      <c r="L1029" s="120" t="n"/>
      <c r="M1029" s="120" t="n"/>
      <c r="N1029" s="120" t="n"/>
      <c r="O1029" s="120" t="n"/>
      <c r="P1029" s="120">
        <f>F669</f>
        <v/>
      </c>
      <c r="Q1029" s="120" t="n"/>
    </row>
    <row r="1030">
      <c r="B1030" s="14" t="n">
        <v>45627</v>
      </c>
      <c r="C1030" s="15" t="n">
        <v>4</v>
      </c>
      <c r="D1030" s="18" t="inlineStr">
        <is>
          <t>Biaya Konsul Dokter mata a/n Eva linda</t>
        </is>
      </c>
      <c r="E1030" s="18" t="n"/>
      <c r="F1030" s="21" t="n">
        <v>970767</v>
      </c>
      <c r="G1030" s="15" t="inlineStr">
        <is>
          <t>IDR</t>
        </is>
      </c>
      <c r="H1030" s="15" t="n">
        <v>1</v>
      </c>
      <c r="I1030" s="120" t="n"/>
      <c r="J1030" s="120" t="n"/>
      <c r="K1030" s="120" t="n"/>
      <c r="L1030" s="120" t="n"/>
      <c r="M1030" s="120" t="n"/>
      <c r="N1030" s="120" t="n"/>
      <c r="O1030" s="120" t="n"/>
      <c r="P1030" s="120">
        <f>F670</f>
        <v/>
      </c>
      <c r="Q1030" s="120" t="n"/>
    </row>
    <row r="1031">
      <c r="B1031" s="14" t="n">
        <v>45627</v>
      </c>
      <c r="C1031" s="15" t="n">
        <v>5</v>
      </c>
      <c r="D1031" s="18" t="inlineStr">
        <is>
          <t>Medicine lanjutan</t>
        </is>
      </c>
      <c r="E1031" s="18" t="n"/>
      <c r="F1031" s="21" t="n">
        <v>157000</v>
      </c>
      <c r="G1031" s="15" t="inlineStr">
        <is>
          <t>IDR</t>
        </is>
      </c>
      <c r="H1031" s="15" t="n">
        <v>1</v>
      </c>
      <c r="I1031" s="120" t="n"/>
      <c r="J1031" s="120" t="n"/>
      <c r="K1031" s="120" t="n"/>
      <c r="L1031" s="120" t="n"/>
      <c r="M1031" s="120" t="n"/>
      <c r="N1031" s="120" t="n"/>
      <c r="O1031" s="120" t="n"/>
      <c r="P1031" s="120">
        <f>F671</f>
        <v/>
      </c>
      <c r="Q1031" s="120" t="n"/>
    </row>
    <row r="1032">
      <c r="B1032" s="14" t="n">
        <v>45627</v>
      </c>
      <c r="C1032" s="15" t="n">
        <v>6</v>
      </c>
      <c r="D1032" s="18" t="inlineStr">
        <is>
          <t>Medicine lanjutan</t>
        </is>
      </c>
      <c r="E1032" s="18" t="n"/>
      <c r="F1032" s="21" t="n">
        <v>152000</v>
      </c>
      <c r="G1032" s="15" t="inlineStr">
        <is>
          <t>IDR</t>
        </is>
      </c>
      <c r="H1032" s="15" t="n">
        <v>1</v>
      </c>
      <c r="I1032" s="120" t="n"/>
      <c r="J1032" s="120" t="n"/>
      <c r="K1032" s="120" t="n"/>
      <c r="L1032" s="120" t="n"/>
      <c r="M1032" s="120" t="n"/>
      <c r="N1032" s="120" t="n"/>
      <c r="O1032" s="120" t="n"/>
      <c r="P1032" s="120">
        <f>F672</f>
        <v/>
      </c>
      <c r="Q1032" s="120" t="n"/>
    </row>
    <row r="1033">
      <c r="B1033" s="14" t="n">
        <v>45628</v>
      </c>
      <c r="C1033" s="15" t="n">
        <v>7</v>
      </c>
      <c r="D1033" s="18" t="inlineStr">
        <is>
          <t>Medicine after konsul jantung 3rd</t>
        </is>
      </c>
      <c r="E1033" s="18" t="n"/>
      <c r="F1033" s="21" t="n">
        <v>190309.5</v>
      </c>
      <c r="G1033" s="15" t="inlineStr">
        <is>
          <t>IDR</t>
        </is>
      </c>
      <c r="H1033" s="15" t="n">
        <v>1</v>
      </c>
      <c r="I1033" s="120" t="n"/>
      <c r="J1033" s="120" t="n"/>
      <c r="K1033" s="120" t="n"/>
      <c r="L1033" s="120" t="n"/>
      <c r="M1033" s="120" t="n"/>
      <c r="N1033" s="120" t="n"/>
      <c r="O1033" s="120" t="n"/>
      <c r="P1033" s="120">
        <f>F673</f>
        <v/>
      </c>
      <c r="Q1033" s="120" t="n"/>
    </row>
    <row r="1034">
      <c r="B1034" s="14" t="n">
        <v>45637</v>
      </c>
      <c r="C1034" s="15" t="n">
        <v>8</v>
      </c>
      <c r="D1034" s="18" t="inlineStr">
        <is>
          <t>Medicine after konsul jantung 3rd</t>
        </is>
      </c>
      <c r="E1034" s="18" t="n"/>
      <c r="F1034" s="21" t="n">
        <v>417600</v>
      </c>
      <c r="G1034" s="15" t="inlineStr">
        <is>
          <t>IDR</t>
        </is>
      </c>
      <c r="H1034" s="15" t="n">
        <v>1</v>
      </c>
      <c r="I1034" s="120" t="n"/>
      <c r="J1034" s="120" t="n"/>
      <c r="K1034" s="120" t="n"/>
      <c r="L1034" s="120" t="n"/>
      <c r="M1034" s="120" t="n"/>
      <c r="N1034" s="120" t="n"/>
      <c r="O1034" s="120" t="n"/>
      <c r="P1034" s="120">
        <f>F674</f>
        <v/>
      </c>
      <c r="Q1034" s="120" t="n"/>
    </row>
    <row r="1035">
      <c r="B1035" s="102" t="n"/>
      <c r="C1035" s="15" t="n"/>
      <c r="D1035" s="106" t="inlineStr">
        <is>
          <t>Transportation</t>
        </is>
      </c>
      <c r="E1035" s="106" t="n"/>
      <c r="F1035" s="21" t="n"/>
      <c r="G1035" s="15" t="n"/>
      <c r="H1035" s="15" t="n"/>
      <c r="I1035" s="120" t="n"/>
      <c r="J1035" s="120" t="n"/>
      <c r="K1035" s="120" t="n"/>
      <c r="L1035" s="120" t="n"/>
      <c r="M1035" s="120" t="n"/>
      <c r="N1035" s="120" t="n"/>
      <c r="O1035" s="120" t="n"/>
      <c r="P1035" s="120" t="n"/>
      <c r="Q1035" s="120" t="n"/>
    </row>
    <row r="1036">
      <c r="B1036" s="102" t="n">
        <v>45607</v>
      </c>
      <c r="C1036" s="15" t="n">
        <v>1</v>
      </c>
      <c r="D1036" s="63" t="inlineStr">
        <is>
          <t xml:space="preserve">Fuel diesel visit consul to KPP pajak </t>
        </is>
      </c>
      <c r="E1036" s="63" t="n"/>
      <c r="F1036" s="21" t="n">
        <v>276216</v>
      </c>
      <c r="G1036" s="15" t="inlineStr">
        <is>
          <t>IDR</t>
        </is>
      </c>
      <c r="H1036" s="15" t="n">
        <v>1</v>
      </c>
      <c r="I1036" s="61">
        <f>$H676*$F676</f>
        <v/>
      </c>
      <c r="J1036" s="120" t="n"/>
      <c r="K1036" s="120" t="n"/>
      <c r="L1036" s="120" t="n"/>
      <c r="M1036" s="120" t="n"/>
      <c r="N1036" s="120" t="n"/>
      <c r="O1036" s="120" t="n"/>
      <c r="P1036" s="120" t="n"/>
      <c r="Q1036" s="120" t="n"/>
    </row>
    <row r="1037">
      <c r="B1037" s="102" t="n">
        <v>45607</v>
      </c>
      <c r="C1037" s="15" t="n">
        <v>2</v>
      </c>
      <c r="D1037" s="63" t="inlineStr">
        <is>
          <t xml:space="preserve">toll gate </t>
        </is>
      </c>
      <c r="E1037" s="63" t="n"/>
      <c r="F1037" s="21">
        <f>33500+6000+17000+9500+13500</f>
        <v/>
      </c>
      <c r="G1037" s="15" t="inlineStr">
        <is>
          <t>IDR</t>
        </is>
      </c>
      <c r="H1037" s="15" t="n">
        <v>1</v>
      </c>
      <c r="I1037" s="61">
        <f>$H677*$F677</f>
        <v/>
      </c>
      <c r="J1037" s="120" t="n"/>
      <c r="K1037" s="120" t="n"/>
      <c r="L1037" s="120" t="n"/>
      <c r="M1037" s="120" t="n"/>
      <c r="N1037" s="120" t="n"/>
      <c r="O1037" s="120" t="n"/>
      <c r="P1037" s="120" t="n"/>
      <c r="Q1037" s="120" t="n"/>
    </row>
    <row r="1038">
      <c r="B1038" s="102" t="n">
        <v>45622</v>
      </c>
      <c r="C1038" s="15" t="n">
        <v>3</v>
      </c>
      <c r="D1038" s="63" t="inlineStr">
        <is>
          <t xml:space="preserve">Parkir Graha Elnusa (HSE tool hall meeting) at Elnusa (graha Elnusa) </t>
        </is>
      </c>
      <c r="E1038" s="63" t="n"/>
      <c r="F1038" s="21" t="n">
        <v>29000</v>
      </c>
      <c r="G1038" s="15" t="inlineStr">
        <is>
          <t>IDR</t>
        </is>
      </c>
      <c r="H1038" s="15" t="n">
        <v>1</v>
      </c>
      <c r="I1038" s="61">
        <f>$H678*$F678</f>
        <v/>
      </c>
      <c r="J1038" s="120" t="n"/>
      <c r="K1038" s="120" t="n"/>
      <c r="L1038" s="120" t="n"/>
      <c r="M1038" s="120" t="n"/>
      <c r="N1038" s="120" t="n"/>
      <c r="O1038" s="120" t="n"/>
      <c r="P1038" s="120" t="n"/>
      <c r="Q1038" s="120" t="n"/>
    </row>
    <row r="1039">
      <c r="B1039" s="102" t="n">
        <v>45622</v>
      </c>
      <c r="C1039" s="15" t="n">
        <v>4</v>
      </c>
      <c r="D1039" s="63" t="inlineStr">
        <is>
          <t xml:space="preserve">toll gate </t>
        </is>
      </c>
      <c r="E1039" s="63" t="n"/>
      <c r="F1039" s="21" t="n">
        <v>17000</v>
      </c>
      <c r="G1039" s="15" t="inlineStr">
        <is>
          <t>IDR</t>
        </is>
      </c>
      <c r="H1039" s="15" t="n">
        <v>1</v>
      </c>
      <c r="I1039" s="61">
        <f>$H679*$F679</f>
        <v/>
      </c>
      <c r="J1039" s="120" t="n"/>
      <c r="K1039" s="120" t="n"/>
      <c r="L1039" s="120" t="n"/>
      <c r="M1039" s="120" t="n"/>
      <c r="N1039" s="120" t="n"/>
      <c r="O1039" s="120" t="n"/>
      <c r="P1039" s="120" t="n"/>
      <c r="Q1039" s="120" t="n"/>
    </row>
    <row r="1040">
      <c r="B1040" s="102" t="n">
        <v>45636</v>
      </c>
      <c r="C1040" s="15" t="n">
        <v>5</v>
      </c>
      <c r="D1040" s="63" t="inlineStr">
        <is>
          <t>Taksi,take Document from Loket Graha Elnusa</t>
        </is>
      </c>
      <c r="E1040" s="63" t="n"/>
      <c r="F1040" s="21" t="n">
        <v>155680</v>
      </c>
      <c r="G1040" s="15" t="inlineStr">
        <is>
          <t>IDR</t>
        </is>
      </c>
      <c r="H1040" s="15" t="n">
        <v>1</v>
      </c>
      <c r="I1040" s="61">
        <f>$H680*$F680</f>
        <v/>
      </c>
      <c r="J1040" s="120" t="n"/>
      <c r="K1040" s="120" t="n"/>
      <c r="L1040" s="120" t="n"/>
      <c r="M1040" s="120" t="n"/>
      <c r="N1040" s="120" t="n"/>
      <c r="O1040" s="120" t="n"/>
      <c r="P1040" s="120" t="n"/>
      <c r="Q1040" s="120" t="n"/>
    </row>
    <row r="1041">
      <c r="B1041" s="102" t="n">
        <v>45636</v>
      </c>
      <c r="C1041" s="15" t="n">
        <v>5</v>
      </c>
      <c r="D1041" s="63" t="inlineStr">
        <is>
          <t>Parkir Graha Elnusa (antar dokemen invoice)</t>
        </is>
      </c>
      <c r="E1041" s="63" t="n"/>
      <c r="F1041" s="21" t="n">
        <v>17000</v>
      </c>
      <c r="G1041" s="15" t="inlineStr">
        <is>
          <t>IDR</t>
        </is>
      </c>
      <c r="H1041" s="15" t="n">
        <v>1</v>
      </c>
      <c r="I1041" s="61">
        <f>$H681*$F681</f>
        <v/>
      </c>
      <c r="J1041" s="120" t="n"/>
      <c r="K1041" s="120" t="n"/>
      <c r="L1041" s="120" t="n"/>
      <c r="M1041" s="120" t="n"/>
      <c r="N1041" s="120" t="n"/>
      <c r="O1041" s="120" t="n"/>
      <c r="P1041" s="120" t="n"/>
      <c r="Q1041" s="120" t="n"/>
    </row>
    <row r="1042">
      <c r="B1042" s="78" t="inlineStr">
        <is>
          <t>Expense#44</t>
        </is>
      </c>
      <c r="C1042" s="85" t="inlineStr">
        <is>
          <t>:</t>
        </is>
      </c>
      <c r="D1042" s="86" t="inlineStr">
        <is>
          <t>Meeting presentasi With Elnusa - Bandung &amp;Pembelian Sparepart dari Pei-Genesis.</t>
        </is>
      </c>
      <c r="E1042" s="86" t="n"/>
      <c r="F1042" s="87" t="n"/>
      <c r="G1042" s="73" t="n"/>
      <c r="H1042" s="73" t="n"/>
      <c r="I1042" s="152" t="n"/>
      <c r="J1042" s="152" t="n"/>
      <c r="K1042" s="152" t="n"/>
      <c r="L1042" s="152" t="n"/>
      <c r="M1042" s="152" t="n"/>
      <c r="N1042" s="152" t="n"/>
      <c r="O1042" s="152" t="n"/>
      <c r="P1042" s="152" t="n"/>
      <c r="Q1042" s="152" t="n"/>
    </row>
    <row r="1043">
      <c r="B1043" s="102" t="n"/>
      <c r="C1043" s="15" t="n"/>
      <c r="D1043" s="106" t="inlineStr">
        <is>
          <t>Transportation</t>
        </is>
      </c>
      <c r="E1043" s="106" t="n"/>
      <c r="F1043" s="21" t="n"/>
      <c r="G1043" s="15" t="n"/>
      <c r="H1043" s="15" t="n"/>
      <c r="I1043" s="120" t="n"/>
      <c r="J1043" s="120" t="n"/>
      <c r="K1043" s="120" t="n"/>
      <c r="L1043" s="120" t="n"/>
      <c r="M1043" s="120" t="n"/>
      <c r="N1043" s="120" t="n"/>
      <c r="O1043" s="120" t="n"/>
      <c r="P1043" s="120" t="n"/>
      <c r="Q1043" s="120" t="n"/>
    </row>
    <row r="1044">
      <c r="B1044" s="102" t="n">
        <v>45646</v>
      </c>
      <c r="C1044" s="15" t="n">
        <v>1</v>
      </c>
      <c r="D1044" s="63" t="inlineStr">
        <is>
          <t>Traveling Jakarta - Bandung</t>
        </is>
      </c>
      <c r="E1044" s="63" t="n"/>
      <c r="F1044" s="21" t="n">
        <v>160000</v>
      </c>
      <c r="G1044" s="15" t="inlineStr">
        <is>
          <t>IDR</t>
        </is>
      </c>
      <c r="H1044" s="15" t="n">
        <v>1</v>
      </c>
      <c r="I1044" s="61">
        <f>$H684*$F684</f>
        <v/>
      </c>
      <c r="J1044" s="120" t="n"/>
      <c r="K1044" s="120" t="n"/>
      <c r="L1044" s="120" t="n"/>
      <c r="M1044" s="120" t="n"/>
      <c r="N1044" s="120" t="n"/>
      <c r="O1044" s="120" t="n"/>
      <c r="P1044" s="120" t="n"/>
      <c r="Q1044" s="120" t="n"/>
    </row>
    <row r="1045">
      <c r="B1045" s="102" t="n">
        <v>45647</v>
      </c>
      <c r="C1045" s="15" t="n">
        <v>2</v>
      </c>
      <c r="D1045" s="63" t="inlineStr">
        <is>
          <t>Taksi around the Bandung city for 2 days</t>
        </is>
      </c>
      <c r="E1045" s="63" t="n"/>
      <c r="F1045" s="21" t="n">
        <v>200000</v>
      </c>
      <c r="G1045" s="15" t="inlineStr">
        <is>
          <t>IDR</t>
        </is>
      </c>
      <c r="H1045" s="15" t="n">
        <v>1</v>
      </c>
      <c r="I1045" s="61">
        <f>$H685*$F685</f>
        <v/>
      </c>
      <c r="J1045" s="120" t="n"/>
      <c r="K1045" s="120" t="n"/>
      <c r="L1045" s="120" t="n"/>
      <c r="M1045" s="120" t="n"/>
      <c r="N1045" s="120" t="n"/>
      <c r="O1045" s="120" t="n"/>
      <c r="P1045" s="120" t="n"/>
      <c r="Q1045" s="120" t="n"/>
    </row>
    <row r="1046">
      <c r="B1046" s="102" t="n">
        <v>45647</v>
      </c>
      <c r="C1046" s="15" t="n">
        <v>3</v>
      </c>
      <c r="D1046" s="63" t="inlineStr">
        <is>
          <t>Traveling Bandung - Jakarta</t>
        </is>
      </c>
      <c r="E1046" s="63" t="n"/>
      <c r="F1046" s="21" t="n">
        <v>160000</v>
      </c>
      <c r="G1046" s="15" t="inlineStr">
        <is>
          <t>IDR</t>
        </is>
      </c>
      <c r="H1046" s="15" t="n">
        <v>1</v>
      </c>
      <c r="I1046" s="61">
        <f>$H686*$F686</f>
        <v/>
      </c>
      <c r="J1046" s="120" t="n"/>
      <c r="K1046" s="120" t="n"/>
      <c r="L1046" s="120" t="n"/>
      <c r="M1046" s="120" t="n"/>
      <c r="N1046" s="120" t="n"/>
      <c r="O1046" s="120" t="n"/>
      <c r="P1046" s="120" t="n"/>
      <c r="Q1046" s="120" t="n"/>
    </row>
    <row r="1047">
      <c r="B1047" s="102" t="n"/>
      <c r="C1047" s="15" t="n"/>
      <c r="D1047" s="108" t="inlineStr">
        <is>
          <t>Meal</t>
        </is>
      </c>
      <c r="E1047" s="108" t="n"/>
      <c r="F1047" s="21" t="n"/>
      <c r="G1047" s="15" t="n"/>
      <c r="H1047" s="15" t="n"/>
      <c r="I1047" s="120" t="n"/>
      <c r="J1047" s="120" t="n"/>
      <c r="K1047" s="120" t="n"/>
      <c r="L1047" s="120" t="n"/>
      <c r="M1047" s="120" t="n"/>
      <c r="N1047" s="120" t="n"/>
      <c r="O1047" s="120" t="n"/>
      <c r="P1047" s="120" t="n"/>
      <c r="Q1047" s="120" t="n"/>
    </row>
    <row r="1048">
      <c r="B1048" s="102" t="n">
        <v>45646</v>
      </c>
      <c r="C1048" s="15" t="n">
        <v>4</v>
      </c>
      <c r="D1048" s="63" t="inlineStr">
        <is>
          <t xml:space="preserve">Meal </t>
        </is>
      </c>
      <c r="E1048" s="63" t="n"/>
      <c r="F1048" s="21">
        <f>17000+124300+54285</f>
        <v/>
      </c>
      <c r="G1048" s="15" t="inlineStr">
        <is>
          <t>IDR</t>
        </is>
      </c>
      <c r="H1048" s="15" t="n">
        <v>1</v>
      </c>
      <c r="I1048" s="120">
        <f>F688</f>
        <v/>
      </c>
      <c r="J1048" s="120" t="n"/>
      <c r="K1048" s="120" t="n"/>
      <c r="L1048" s="120" t="n"/>
      <c r="M1048" s="120" t="n"/>
      <c r="N1048" s="120" t="n"/>
      <c r="O1048" s="120" t="n"/>
      <c r="P1048" s="120" t="n"/>
      <c r="Q1048" s="120" t="n"/>
    </row>
    <row r="1049">
      <c r="B1049" s="102" t="n">
        <v>45647</v>
      </c>
      <c r="C1049" s="15" t="n">
        <v>5</v>
      </c>
      <c r="D1049" s="63" t="inlineStr">
        <is>
          <t xml:space="preserve">Meal </t>
        </is>
      </c>
      <c r="E1049" s="63" t="n"/>
      <c r="F1049" s="21">
        <f>190900+109000</f>
        <v/>
      </c>
      <c r="G1049" s="15" t="inlineStr">
        <is>
          <t>IDR</t>
        </is>
      </c>
      <c r="H1049" s="15" t="n">
        <v>1</v>
      </c>
      <c r="I1049" s="120">
        <f>F689</f>
        <v/>
      </c>
      <c r="J1049" s="120" t="n"/>
      <c r="K1049" s="120" t="n"/>
      <c r="L1049" s="120" t="n"/>
      <c r="M1049" s="120" t="n"/>
      <c r="N1049" s="120" t="n"/>
      <c r="O1049" s="120" t="n"/>
      <c r="P1049" s="120" t="n"/>
      <c r="Q1049" s="120" t="n"/>
    </row>
    <row r="1050">
      <c r="B1050" s="102" t="n"/>
      <c r="C1050" s="15" t="n"/>
      <c r="D1050" s="108" t="inlineStr">
        <is>
          <t>Accommodation</t>
        </is>
      </c>
      <c r="E1050" s="108" t="n"/>
      <c r="F1050" s="21" t="n"/>
      <c r="G1050" s="15" t="n"/>
      <c r="H1050" s="15" t="n"/>
      <c r="I1050" s="120" t="n"/>
      <c r="J1050" s="120" t="n"/>
      <c r="K1050" s="120" t="n"/>
      <c r="L1050" s="120" t="n"/>
      <c r="M1050" s="120" t="n"/>
      <c r="N1050" s="120" t="n"/>
      <c r="O1050" s="120" t="n"/>
      <c r="P1050" s="120" t="n"/>
      <c r="Q1050" s="120" t="n"/>
    </row>
    <row r="1051">
      <c r="B1051" s="102" t="n">
        <v>45650</v>
      </c>
      <c r="C1051" s="15" t="n">
        <v>6</v>
      </c>
      <c r="D1051" s="63" t="inlineStr">
        <is>
          <t xml:space="preserve">payment for hotel Grand Dafam and </t>
        </is>
      </c>
      <c r="E1051" s="63" t="n"/>
      <c r="F1051" s="21" t="n">
        <v>4913283</v>
      </c>
      <c r="G1051" s="15" t="inlineStr">
        <is>
          <t>IDR</t>
        </is>
      </c>
      <c r="H1051" s="15" t="n">
        <v>1</v>
      </c>
      <c r="I1051" s="120" t="n"/>
      <c r="J1051" s="120" t="n"/>
      <c r="K1051" s="120" t="n"/>
      <c r="L1051" s="120" t="n"/>
      <c r="M1051" s="120">
        <f>F691</f>
        <v/>
      </c>
      <c r="N1051" s="120" t="n"/>
      <c r="O1051" s="120" t="n"/>
      <c r="P1051" s="120" t="n"/>
      <c r="Q1051" s="120" t="n"/>
    </row>
    <row r="1052">
      <c r="B1052" s="102" t="n"/>
      <c r="C1052" s="15" t="n"/>
      <c r="D1052" s="63" t="inlineStr">
        <is>
          <t>Hand Tools</t>
        </is>
      </c>
      <c r="E1052" s="63" t="n"/>
      <c r="F1052" s="21" t="n"/>
      <c r="G1052" s="15" t="n"/>
      <c r="H1052" s="15" t="n"/>
      <c r="I1052" s="120" t="n"/>
      <c r="J1052" s="120" t="n"/>
      <c r="K1052" s="120" t="n"/>
      <c r="L1052" s="120" t="n"/>
      <c r="M1052" s="120" t="n"/>
      <c r="N1052" s="120" t="n"/>
      <c r="O1052" s="120" t="n"/>
      <c r="P1052" s="120" t="n"/>
      <c r="Q1052" s="120" t="n"/>
    </row>
    <row r="1053">
      <c r="B1053" s="78" t="inlineStr">
        <is>
          <t>Expense#45</t>
        </is>
      </c>
      <c r="C1053" s="73" t="inlineStr">
        <is>
          <t>:</t>
        </is>
      </c>
      <c r="D1053" s="155" t="inlineStr">
        <is>
          <t>General Operation_Year 2024 - AM</t>
        </is>
      </c>
      <c r="E1053" s="155" t="n"/>
      <c r="F1053" s="87" t="n"/>
      <c r="G1053" s="73" t="n"/>
      <c r="H1053" s="73" t="n"/>
      <c r="I1053" s="152" t="n"/>
      <c r="J1053" s="152" t="n"/>
      <c r="K1053" s="152" t="n"/>
      <c r="L1053" s="152" t="n"/>
      <c r="M1053" s="152" t="n"/>
      <c r="N1053" s="152" t="n"/>
      <c r="O1053" s="152" t="n"/>
      <c r="P1053" s="152" t="n"/>
      <c r="Q1053" s="152" t="n"/>
    </row>
    <row r="1054">
      <c r="B1054" s="156" t="n"/>
      <c r="C1054" s="15" t="n"/>
      <c r="D1054" s="156" t="inlineStr">
        <is>
          <t>Trip</t>
        </is>
      </c>
      <c r="E1054" s="156" t="n"/>
      <c r="F1054" s="21" t="n"/>
      <c r="G1054" s="15" t="n"/>
      <c r="H1054" s="15" t="n"/>
      <c r="I1054" s="120" t="n"/>
      <c r="J1054" s="120" t="n"/>
      <c r="K1054" s="120" t="n"/>
      <c r="L1054" s="120" t="n"/>
      <c r="M1054" s="120" t="n"/>
      <c r="N1054" s="120" t="n"/>
      <c r="O1054" s="120" t="n"/>
      <c r="P1054" s="120" t="n"/>
      <c r="Q1054" s="120" t="n"/>
    </row>
    <row r="1055">
      <c r="B1055" s="157" t="n">
        <v>45335</v>
      </c>
      <c r="C1055" s="64" t="n">
        <v>1</v>
      </c>
      <c r="D1055" s="158" t="inlineStr">
        <is>
          <t>Shipment Benchmark DTR to Malaysia</t>
        </is>
      </c>
      <c r="E1055" s="158" t="n"/>
      <c r="F1055" s="159" t="n">
        <v>3629.8</v>
      </c>
      <c r="G1055" s="64" t="inlineStr">
        <is>
          <t>MYR</t>
        </is>
      </c>
      <c r="H1055" s="64" t="n">
        <v>3636.89</v>
      </c>
      <c r="I1055" s="61">
        <f>$H695*$F695</f>
        <v/>
      </c>
      <c r="J1055" s="120" t="n"/>
      <c r="K1055" s="120" t="n"/>
      <c r="L1055" s="120" t="n"/>
      <c r="M1055" s="120" t="n"/>
      <c r="N1055" s="120" t="n"/>
      <c r="O1055" s="120" t="n"/>
      <c r="P1055" s="120" t="n"/>
      <c r="Q1055" s="120" t="n"/>
    </row>
    <row r="1056">
      <c r="B1056" s="157" t="n">
        <v>45362</v>
      </c>
      <c r="C1056" s="64" t="inlineStr">
        <is>
          <t>N/A</t>
        </is>
      </c>
      <c r="D1056" s="158" t="inlineStr">
        <is>
          <t>Taxi Home - CGK Airport</t>
        </is>
      </c>
      <c r="E1056" s="158" t="n"/>
      <c r="F1056" s="159" t="n">
        <v>200000</v>
      </c>
      <c r="G1056" s="64" t="inlineStr">
        <is>
          <t>IDR</t>
        </is>
      </c>
      <c r="H1056" s="64" t="n">
        <v>1</v>
      </c>
      <c r="I1056" s="61">
        <f>$H696*$F696</f>
        <v/>
      </c>
      <c r="J1056" s="120" t="n"/>
      <c r="K1056" s="120" t="n"/>
      <c r="L1056" s="120" t="n"/>
      <c r="M1056" s="120" t="n"/>
      <c r="N1056" s="120" t="n"/>
      <c r="O1056" s="120" t="n"/>
      <c r="P1056" s="120" t="n"/>
      <c r="Q1056" s="120" t="n"/>
    </row>
    <row r="1057">
      <c r="B1057" s="157" t="n">
        <v>45362</v>
      </c>
      <c r="C1057" s="64" t="n">
        <v>2</v>
      </c>
      <c r="D1057" s="158" t="inlineStr">
        <is>
          <t>Flight CGK-KUL + Hotel 1 night</t>
        </is>
      </c>
      <c r="E1057" s="158" t="n"/>
      <c r="F1057" s="159" t="n">
        <v>1803353</v>
      </c>
      <c r="G1057" s="64" t="inlineStr">
        <is>
          <t>IDR</t>
        </is>
      </c>
      <c r="H1057" s="64" t="n">
        <v>1</v>
      </c>
      <c r="I1057" s="61">
        <f>$H697*$F697</f>
        <v/>
      </c>
      <c r="J1057" s="120" t="n"/>
      <c r="K1057" s="120" t="n"/>
      <c r="L1057" s="120" t="n"/>
      <c r="M1057" s="120" t="n"/>
      <c r="N1057" s="120" t="n"/>
      <c r="O1057" s="120" t="n"/>
      <c r="P1057" s="120" t="n"/>
      <c r="Q1057" s="120" t="n"/>
    </row>
    <row r="1058">
      <c r="B1058" s="157" t="n">
        <v>45362</v>
      </c>
      <c r="C1058" s="64" t="inlineStr">
        <is>
          <t>N/A</t>
        </is>
      </c>
      <c r="D1058" s="160" t="inlineStr">
        <is>
          <t>Train KLIA Airport to Hyperseal</t>
        </is>
      </c>
      <c r="E1058" s="160" t="n"/>
      <c r="F1058" s="159" t="n">
        <v>50</v>
      </c>
      <c r="G1058" s="64" t="inlineStr">
        <is>
          <t>MYR</t>
        </is>
      </c>
      <c r="H1058" s="64">
        <f>H695</f>
        <v/>
      </c>
      <c r="I1058" s="61">
        <f>$H698*$F698</f>
        <v/>
      </c>
      <c r="J1058" s="120" t="n"/>
      <c r="K1058" s="120" t="n"/>
      <c r="L1058" s="120" t="n"/>
      <c r="M1058" s="120" t="n"/>
      <c r="N1058" s="120" t="n"/>
      <c r="O1058" s="120" t="n"/>
      <c r="P1058" s="120" t="n"/>
      <c r="Q1058" s="120" t="n"/>
    </row>
    <row r="1059">
      <c r="B1059" s="157" t="n">
        <v>45363</v>
      </c>
      <c r="C1059" s="64" t="n">
        <v>3</v>
      </c>
      <c r="D1059" s="160" t="inlineStr">
        <is>
          <t>Flight KUL- CGK</t>
        </is>
      </c>
      <c r="E1059" s="160" t="n"/>
      <c r="F1059" s="159" t="n">
        <v>1897983</v>
      </c>
      <c r="G1059" s="64" t="inlineStr">
        <is>
          <t>IDR</t>
        </is>
      </c>
      <c r="H1059" s="64" t="n">
        <v>1</v>
      </c>
      <c r="I1059" s="61">
        <f>$H699*$F699</f>
        <v/>
      </c>
      <c r="J1059" s="120" t="n"/>
      <c r="K1059" s="120" t="n"/>
      <c r="L1059" s="120" t="n"/>
      <c r="M1059" s="120" t="n"/>
      <c r="N1059" s="120" t="n"/>
      <c r="O1059" s="120" t="n"/>
      <c r="P1059" s="120" t="n"/>
      <c r="Q1059" s="120" t="n"/>
    </row>
    <row r="1060">
      <c r="B1060" s="157" t="n">
        <v>45363</v>
      </c>
      <c r="C1060" s="64" t="inlineStr">
        <is>
          <t>N/A</t>
        </is>
      </c>
      <c r="D1060" s="158" t="inlineStr">
        <is>
          <t>Train Hyperseal to KLIA Airport</t>
        </is>
      </c>
      <c r="E1060" s="158" t="n"/>
      <c r="F1060" s="159" t="n">
        <v>50</v>
      </c>
      <c r="G1060" s="64" t="inlineStr">
        <is>
          <t>MYR</t>
        </is>
      </c>
      <c r="H1060" s="64">
        <f>H695</f>
        <v/>
      </c>
      <c r="I1060" s="61">
        <f>$H700*$F700</f>
        <v/>
      </c>
      <c r="J1060" s="120" t="n"/>
      <c r="K1060" s="120" t="n"/>
      <c r="L1060" s="120" t="n"/>
      <c r="M1060" s="120" t="n"/>
      <c r="N1060" s="120" t="n"/>
      <c r="O1060" s="120" t="n"/>
      <c r="P1060" s="120" t="n"/>
      <c r="Q1060" s="120" t="n"/>
    </row>
    <row r="1061">
      <c r="B1061" s="157" t="n">
        <v>45363</v>
      </c>
      <c r="C1061" s="64" t="inlineStr">
        <is>
          <t>N/A</t>
        </is>
      </c>
      <c r="D1061" s="158" t="inlineStr">
        <is>
          <t>Taxi CGK Airport to Home</t>
        </is>
      </c>
      <c r="E1061" s="158" t="n"/>
      <c r="F1061" s="159" t="n">
        <v>200000</v>
      </c>
      <c r="G1061" s="64" t="inlineStr">
        <is>
          <t>IDR</t>
        </is>
      </c>
      <c r="H1061" s="64" t="n">
        <v>1</v>
      </c>
      <c r="I1061" s="61">
        <f>$H701*$F701</f>
        <v/>
      </c>
      <c r="J1061" s="120" t="n"/>
      <c r="K1061" s="120" t="n"/>
      <c r="L1061" s="120" t="n"/>
      <c r="M1061" s="120" t="n"/>
      <c r="N1061" s="120" t="n"/>
      <c r="O1061" s="120" t="n"/>
      <c r="P1061" s="120" t="n"/>
      <c r="Q1061" s="120" t="n"/>
    </row>
    <row r="1062">
      <c r="B1062" s="157" t="n">
        <v>45363</v>
      </c>
      <c r="C1062" s="64" t="inlineStr">
        <is>
          <t>N/A</t>
        </is>
      </c>
      <c r="D1062" s="160" t="inlineStr">
        <is>
          <t>Meals 2 days @ 300,000/day</t>
        </is>
      </c>
      <c r="E1062" s="160" t="n"/>
      <c r="F1062" s="159" t="n">
        <v>600000</v>
      </c>
      <c r="G1062" s="64" t="inlineStr">
        <is>
          <t>IDR</t>
        </is>
      </c>
      <c r="H1062" s="64" t="n">
        <v>1</v>
      </c>
      <c r="I1062" s="120">
        <f>F702</f>
        <v/>
      </c>
      <c r="J1062" s="120" t="n"/>
      <c r="K1062" s="120" t="n"/>
      <c r="L1062" s="120" t="n"/>
      <c r="M1062" s="120" t="n"/>
      <c r="N1062" s="120" t="n"/>
      <c r="O1062" s="120" t="n"/>
      <c r="P1062" s="120" t="n"/>
      <c r="Q1062" s="120" t="n"/>
    </row>
    <row r="1063">
      <c r="B1063" s="156" t="n"/>
      <c r="C1063" s="64" t="n"/>
      <c r="D1063" s="156" t="inlineStr">
        <is>
          <t>Trip</t>
        </is>
      </c>
      <c r="E1063" s="156" t="n"/>
      <c r="F1063" s="159" t="n"/>
      <c r="G1063" s="64" t="n"/>
      <c r="H1063" s="64" t="n"/>
      <c r="I1063" s="120" t="n"/>
      <c r="J1063" s="120" t="n"/>
      <c r="K1063" s="120" t="n"/>
      <c r="L1063" s="120" t="n"/>
      <c r="M1063" s="120" t="n"/>
      <c r="N1063" s="120" t="n"/>
      <c r="O1063" s="120" t="n"/>
      <c r="P1063" s="120" t="n"/>
      <c r="Q1063" s="120" t="n"/>
    </row>
    <row r="1064">
      <c r="B1064" s="161" t="n">
        <v>45404</v>
      </c>
      <c r="C1064" s="64" t="inlineStr">
        <is>
          <t>N/A</t>
        </is>
      </c>
      <c r="D1064" s="158" t="inlineStr">
        <is>
          <t>Car 22-23 Apr 2024 (2 days) incl. Fuel &amp; Tol</t>
        </is>
      </c>
      <c r="E1064" s="158" t="n"/>
      <c r="F1064" s="159" t="n">
        <v>3000000</v>
      </c>
      <c r="G1064" s="64" t="inlineStr">
        <is>
          <t>IDR</t>
        </is>
      </c>
      <c r="H1064" s="64" t="n">
        <v>1</v>
      </c>
      <c r="I1064" s="61">
        <f>$H704*$F704</f>
        <v/>
      </c>
      <c r="J1064" s="120" t="n"/>
      <c r="K1064" s="120" t="n"/>
      <c r="L1064" s="120" t="n"/>
      <c r="M1064" s="120" t="n"/>
      <c r="N1064" s="120" t="n"/>
      <c r="O1064" s="120" t="n"/>
      <c r="P1064" s="120" t="n"/>
      <c r="Q1064" s="120" t="n"/>
    </row>
    <row r="1065">
      <c r="B1065" s="157" t="n">
        <v>45405</v>
      </c>
      <c r="C1065" s="64" t="inlineStr">
        <is>
          <t>N/A</t>
        </is>
      </c>
      <c r="D1065" s="158" t="inlineStr">
        <is>
          <t>Tunjangan Lapangan @ 1.5 juta/day x 2 days</t>
        </is>
      </c>
      <c r="E1065" s="158" t="n"/>
      <c r="F1065" s="159" t="n">
        <v>3000000</v>
      </c>
      <c r="G1065" s="64" t="inlineStr">
        <is>
          <t>IDR</t>
        </is>
      </c>
      <c r="H1065" s="64" t="n">
        <v>1</v>
      </c>
      <c r="I1065" s="120">
        <f>F705</f>
        <v/>
      </c>
      <c r="J1065" s="120" t="n"/>
      <c r="K1065" s="120" t="n"/>
      <c r="L1065" s="120" t="n"/>
      <c r="M1065" s="120" t="n"/>
      <c r="N1065" s="120" t="n"/>
      <c r="O1065" s="120" t="n"/>
      <c r="P1065" s="120" t="n"/>
      <c r="Q1065" s="120" t="n"/>
    </row>
    <row r="1066">
      <c r="B1066" s="157" t="n">
        <v>45405</v>
      </c>
      <c r="C1066" s="64" t="inlineStr">
        <is>
          <t>N/A</t>
        </is>
      </c>
      <c r="D1066" s="160" t="inlineStr">
        <is>
          <t>Meals 2 days @ 150,000/day</t>
        </is>
      </c>
      <c r="E1066" s="160" t="n"/>
      <c r="F1066" s="159" t="n">
        <v>300000</v>
      </c>
      <c r="G1066" s="64" t="inlineStr">
        <is>
          <t>IDR</t>
        </is>
      </c>
      <c r="H1066" s="64" t="n">
        <v>1</v>
      </c>
      <c r="I1066" s="120">
        <f>F706</f>
        <v/>
      </c>
      <c r="J1066" s="120" t="n"/>
      <c r="K1066" s="120" t="n"/>
      <c r="L1066" s="120" t="n"/>
      <c r="M1066" s="120" t="n"/>
      <c r="N1066" s="120" t="n"/>
      <c r="O1066" s="120" t="n"/>
      <c r="P1066" s="120" t="n"/>
      <c r="Q1066" s="120" t="n"/>
    </row>
    <row r="1067">
      <c r="B1067" s="156" t="n"/>
      <c r="C1067" s="64" t="n"/>
      <c r="D1067" s="156" t="inlineStr">
        <is>
          <t>Trip</t>
        </is>
      </c>
      <c r="E1067" s="156" t="n"/>
      <c r="F1067" s="159" t="n"/>
      <c r="G1067" s="64" t="n"/>
      <c r="H1067" s="64" t="n"/>
      <c r="I1067" s="120" t="n"/>
      <c r="J1067" s="120" t="n"/>
      <c r="K1067" s="120" t="n"/>
      <c r="L1067" s="120" t="n"/>
      <c r="M1067" s="120" t="n"/>
      <c r="N1067" s="120" t="n"/>
      <c r="O1067" s="120" t="n"/>
      <c r="P1067" s="120" t="n"/>
      <c r="Q1067" s="120" t="n"/>
    </row>
    <row r="1068">
      <c r="B1068" s="157" t="n">
        <v>45412</v>
      </c>
      <c r="C1068" s="64" t="inlineStr">
        <is>
          <t>N/A</t>
        </is>
      </c>
      <c r="D1068" s="158" t="inlineStr">
        <is>
          <t>Car 30 Apr-01 May 2024 (2 days) incl. Fuel &amp; Tol</t>
        </is>
      </c>
      <c r="E1068" s="158" t="n"/>
      <c r="F1068" s="159" t="n">
        <v>3000000</v>
      </c>
      <c r="G1068" s="64" t="inlineStr">
        <is>
          <t>IDR</t>
        </is>
      </c>
      <c r="H1068" s="64" t="n">
        <v>1</v>
      </c>
      <c r="I1068" s="61">
        <f>$H708*$F708</f>
        <v/>
      </c>
      <c r="J1068" s="120" t="n"/>
      <c r="K1068" s="120" t="n"/>
      <c r="L1068" s="120" t="n"/>
      <c r="M1068" s="120" t="n"/>
      <c r="N1068" s="120" t="n"/>
      <c r="O1068" s="120" t="n"/>
      <c r="P1068" s="120" t="n"/>
      <c r="Q1068" s="120" t="n"/>
    </row>
    <row r="1069">
      <c r="B1069" s="156" t="n"/>
      <c r="C1069" s="64" t="n"/>
      <c r="D1069" s="156" t="inlineStr">
        <is>
          <t>Training</t>
        </is>
      </c>
      <c r="E1069" s="156" t="n"/>
      <c r="F1069" s="159" t="n"/>
      <c r="G1069" s="64" t="n"/>
      <c r="H1069" s="64" t="n"/>
      <c r="I1069" s="120" t="n"/>
      <c r="J1069" s="120" t="n"/>
      <c r="K1069" s="120" t="n"/>
      <c r="L1069" s="120" t="n"/>
      <c r="M1069" s="120" t="n"/>
      <c r="N1069" s="120" t="n"/>
      <c r="O1069" s="120" t="n"/>
      <c r="P1069" s="120" t="n"/>
      <c r="Q1069" s="120" t="n"/>
    </row>
    <row r="1070">
      <c r="B1070" s="161" t="n">
        <v>45646</v>
      </c>
      <c r="C1070" s="64" t="inlineStr">
        <is>
          <t>N/A</t>
        </is>
      </c>
      <c r="D1070" s="158" t="inlineStr">
        <is>
          <t>Taxi Home to KCIC Train station</t>
        </is>
      </c>
      <c r="E1070" s="158" t="n"/>
      <c r="F1070" s="159" t="n">
        <v>100000</v>
      </c>
      <c r="G1070" s="64" t="inlineStr">
        <is>
          <t>IDR</t>
        </is>
      </c>
      <c r="H1070" s="64" t="n">
        <v>1</v>
      </c>
      <c r="I1070" s="61">
        <f>$H710*$F710</f>
        <v/>
      </c>
      <c r="J1070" s="120" t="n"/>
      <c r="K1070" s="120" t="n"/>
      <c r="L1070" s="120" t="n"/>
      <c r="M1070" s="120" t="n"/>
      <c r="N1070" s="120" t="n"/>
      <c r="O1070" s="120" t="n"/>
      <c r="P1070" s="120" t="n"/>
      <c r="Q1070" s="120" t="n"/>
    </row>
    <row r="1071">
      <c r="B1071" s="161" t="n">
        <v>45646</v>
      </c>
      <c r="C1071" s="64" t="inlineStr">
        <is>
          <t>N/A</t>
        </is>
      </c>
      <c r="D1071" s="158" t="inlineStr">
        <is>
          <t>Train Round trip Jakarta - Bandung @200K/trip</t>
        </is>
      </c>
      <c r="E1071" s="158" t="n"/>
      <c r="F1071" s="159" t="n">
        <v>400000</v>
      </c>
      <c r="G1071" s="64" t="inlineStr">
        <is>
          <t>IDR</t>
        </is>
      </c>
      <c r="H1071" s="64" t="n">
        <v>1</v>
      </c>
      <c r="I1071" s="61">
        <f>$H711*$F711</f>
        <v/>
      </c>
      <c r="J1071" s="120" t="n"/>
      <c r="K1071" s="120" t="n"/>
      <c r="L1071" s="120" t="n"/>
      <c r="M1071" s="120" t="n"/>
      <c r="N1071" s="120" t="n"/>
      <c r="O1071" s="120" t="n"/>
      <c r="P1071" s="120" t="n"/>
      <c r="Q1071" s="120" t="n"/>
    </row>
    <row r="1072">
      <c r="B1072" s="161" t="n">
        <v>45647</v>
      </c>
      <c r="C1072" s="64" t="n">
        <v>4</v>
      </c>
      <c r="D1072" s="160" t="inlineStr">
        <is>
          <t>Hotel 1 night 20 - 21 Dec 2024</t>
        </is>
      </c>
      <c r="E1072" s="160" t="n"/>
      <c r="F1072" s="159" t="n">
        <v>784000</v>
      </c>
      <c r="G1072" s="64" t="inlineStr">
        <is>
          <t>IDR</t>
        </is>
      </c>
      <c r="H1072" s="64" t="n">
        <v>1</v>
      </c>
      <c r="I1072" s="120">
        <f>F712</f>
        <v/>
      </c>
      <c r="J1072" s="120" t="n"/>
      <c r="K1072" s="120" t="n"/>
      <c r="L1072" s="120" t="n"/>
      <c r="M1072" s="120" t="n"/>
      <c r="N1072" s="120" t="n"/>
      <c r="O1072" s="120" t="n"/>
      <c r="P1072" s="120" t="n"/>
      <c r="Q1072" s="120" t="n"/>
    </row>
    <row r="1073">
      <c r="B1073" s="161" t="n">
        <v>45647</v>
      </c>
      <c r="C1073" s="64" t="inlineStr">
        <is>
          <t>N/A</t>
        </is>
      </c>
      <c r="D1073" s="160" t="inlineStr">
        <is>
          <t>Taxi from KCIC Stationa Halim to Home</t>
        </is>
      </c>
      <c r="E1073" s="160" t="n"/>
      <c r="F1073" s="159" t="n">
        <v>100000</v>
      </c>
      <c r="G1073" s="64" t="inlineStr">
        <is>
          <t>IDR</t>
        </is>
      </c>
      <c r="H1073" s="64" t="n">
        <v>1</v>
      </c>
      <c r="I1073" s="61">
        <f>$H713*$F713</f>
        <v/>
      </c>
      <c r="J1073" s="120" t="n"/>
      <c r="K1073" s="120" t="n"/>
      <c r="L1073" s="120" t="n"/>
      <c r="M1073" s="120" t="n"/>
      <c r="N1073" s="120" t="n"/>
      <c r="O1073" s="120" t="n"/>
      <c r="P1073" s="120" t="n"/>
      <c r="Q1073" s="120" t="n"/>
    </row>
    <row r="1074">
      <c r="B1074" s="161" t="n">
        <v>45647</v>
      </c>
      <c r="C1074" s="64" t="inlineStr">
        <is>
          <t>N/A</t>
        </is>
      </c>
      <c r="D1074" s="160" t="inlineStr">
        <is>
          <t>Meals 2 days @ 150,000/day</t>
        </is>
      </c>
      <c r="E1074" s="160" t="n"/>
      <c r="F1074" s="159" t="n">
        <v>300000</v>
      </c>
      <c r="G1074" s="64" t="inlineStr">
        <is>
          <t>IDR</t>
        </is>
      </c>
      <c r="H1074" s="64" t="n">
        <v>1</v>
      </c>
      <c r="I1074" s="120">
        <f>F714</f>
        <v/>
      </c>
      <c r="J1074" s="120" t="n"/>
      <c r="K1074" s="120" t="n"/>
      <c r="L1074" s="120" t="n"/>
      <c r="M1074" s="120" t="n"/>
      <c r="N1074" s="120" t="n"/>
      <c r="O1074" s="120" t="n"/>
      <c r="P1074" s="120" t="n"/>
      <c r="Q1074" s="120" t="n"/>
    </row>
    <row r="1075">
      <c r="B1075" s="156" t="n"/>
      <c r="C1075" s="64" t="n"/>
      <c r="D1075" s="156" t="inlineStr">
        <is>
          <t>IT Services</t>
        </is>
      </c>
      <c r="E1075" s="156" t="n"/>
      <c r="F1075" s="159" t="n"/>
      <c r="G1075" s="64" t="n"/>
      <c r="H1075" s="64" t="n"/>
      <c r="I1075" s="120" t="n"/>
      <c r="J1075" s="120" t="n"/>
      <c r="K1075" s="120" t="n"/>
      <c r="L1075" s="120" t="n"/>
      <c r="M1075" s="120" t="n"/>
      <c r="N1075" s="120" t="n"/>
      <c r="O1075" s="120" t="n"/>
      <c r="P1075" s="120" t="n"/>
      <c r="Q1075" s="120" t="n"/>
    </row>
    <row r="1076">
      <c r="B1076" s="161" t="n">
        <v>44789</v>
      </c>
      <c r="C1076" s="64" t="n">
        <v>5</v>
      </c>
      <c r="D1076" s="158" t="inlineStr">
        <is>
          <t>Domain PT. Exspan Wireline Indonesia</t>
        </is>
      </c>
      <c r="E1076" s="158" t="n"/>
      <c r="F1076" s="159" t="n">
        <v>184182</v>
      </c>
      <c r="G1076" s="64" t="inlineStr">
        <is>
          <t>IDR</t>
        </is>
      </c>
      <c r="H1076" s="64" t="n">
        <v>1</v>
      </c>
      <c r="I1076" s="120" t="n"/>
      <c r="J1076" s="120" t="n"/>
      <c r="K1076" s="120" t="n"/>
      <c r="L1076" s="120" t="n"/>
      <c r="M1076" s="120">
        <f>F716</f>
        <v/>
      </c>
      <c r="N1076" s="120" t="n"/>
      <c r="O1076" s="120" t="n"/>
      <c r="P1076" s="120" t="n"/>
      <c r="Q1076" s="120" t="n"/>
    </row>
    <row r="1077">
      <c r="B1077" s="161" t="n">
        <v>44820</v>
      </c>
      <c r="C1077" s="64" t="n">
        <v>6</v>
      </c>
      <c r="D1077" s="158" t="inlineStr">
        <is>
          <t>Google Workspace PT. EWI</t>
        </is>
      </c>
      <c r="E1077" s="158" t="n"/>
      <c r="F1077" s="159">
        <f>107437*1</f>
        <v/>
      </c>
      <c r="G1077" s="64" t="inlineStr">
        <is>
          <t>IDR</t>
        </is>
      </c>
      <c r="H1077" s="64" t="n">
        <v>1</v>
      </c>
      <c r="I1077" s="120" t="n"/>
      <c r="J1077" s="120" t="n"/>
      <c r="K1077" s="120" t="n"/>
      <c r="L1077" s="120" t="n"/>
      <c r="M1077" s="120">
        <f>F717</f>
        <v/>
      </c>
      <c r="N1077" s="120" t="n"/>
      <c r="O1077" s="120" t="n"/>
      <c r="P1077" s="120" t="n"/>
      <c r="Q1077" s="120" t="n"/>
    </row>
    <row r="1078">
      <c r="B1078" s="161" t="n">
        <v>44850</v>
      </c>
      <c r="C1078" s="64" t="n">
        <v>7</v>
      </c>
      <c r="D1078" s="158" t="inlineStr">
        <is>
          <t>Google Workspace PT. EWI</t>
        </is>
      </c>
      <c r="E1078" s="158" t="n"/>
      <c r="F1078" s="159" t="n">
        <v>177258</v>
      </c>
      <c r="G1078" s="64" t="inlineStr">
        <is>
          <t>IDR</t>
        </is>
      </c>
      <c r="H1078" s="64" t="n">
        <v>1</v>
      </c>
      <c r="I1078" s="120" t="n"/>
      <c r="J1078" s="120" t="n"/>
      <c r="K1078" s="120" t="n"/>
      <c r="L1078" s="120" t="n"/>
      <c r="M1078" s="120">
        <f>F718</f>
        <v/>
      </c>
      <c r="N1078" s="120" t="n"/>
      <c r="O1078" s="120" t="n"/>
      <c r="P1078" s="120" t="n"/>
      <c r="Q1078" s="120" t="n"/>
    </row>
    <row r="1079">
      <c r="B1079" s="161" t="n">
        <v>44881</v>
      </c>
      <c r="C1079" s="64" t="n">
        <v>8</v>
      </c>
      <c r="D1079" s="158" t="inlineStr">
        <is>
          <t>Google Workspace PT. EWI</t>
        </is>
      </c>
      <c r="E1079" s="158" t="n"/>
      <c r="F1079" s="159" t="n">
        <v>214896</v>
      </c>
      <c r="G1079" s="64" t="inlineStr">
        <is>
          <t>IDR</t>
        </is>
      </c>
      <c r="H1079" s="64" t="n">
        <v>1</v>
      </c>
      <c r="I1079" s="120" t="n"/>
      <c r="J1079" s="120" t="n"/>
      <c r="K1079" s="120" t="n"/>
      <c r="L1079" s="120" t="n"/>
      <c r="M1079" s="120">
        <f>F719</f>
        <v/>
      </c>
      <c r="N1079" s="120" t="n"/>
      <c r="O1079" s="120" t="n"/>
      <c r="P1079" s="120" t="n"/>
      <c r="Q1079" s="120" t="n"/>
    </row>
    <row r="1080">
      <c r="B1080" s="161" t="n">
        <v>44911</v>
      </c>
      <c r="C1080" s="64" t="n">
        <v>9</v>
      </c>
      <c r="D1080" s="158" t="inlineStr">
        <is>
          <t>Google Workspace PT. EWI</t>
        </is>
      </c>
      <c r="E1080" s="158" t="n"/>
      <c r="F1080" s="159" t="n">
        <v>214896</v>
      </c>
      <c r="G1080" s="64" t="inlineStr">
        <is>
          <t>IDR</t>
        </is>
      </c>
      <c r="H1080" s="64" t="n">
        <v>1</v>
      </c>
      <c r="I1080" s="120" t="n"/>
      <c r="J1080" s="120" t="n"/>
      <c r="K1080" s="120" t="n"/>
      <c r="L1080" s="120" t="n"/>
      <c r="M1080" s="120">
        <f>F720</f>
        <v/>
      </c>
      <c r="N1080" s="120" t="n"/>
      <c r="O1080" s="120" t="n"/>
      <c r="P1080" s="120" t="n"/>
      <c r="Q1080" s="120" t="n"/>
    </row>
    <row r="1081">
      <c r="B1081" s="161" t="n">
        <v>44942</v>
      </c>
      <c r="C1081" s="64" t="n">
        <v>10</v>
      </c>
      <c r="D1081" s="158" t="inlineStr">
        <is>
          <t>Google Workspace PT. EWI</t>
        </is>
      </c>
      <c r="E1081" s="158" t="n"/>
      <c r="F1081" s="159" t="n">
        <v>214896</v>
      </c>
      <c r="G1081" s="64" t="inlineStr">
        <is>
          <t>IDR</t>
        </is>
      </c>
      <c r="H1081" s="64" t="n">
        <v>1</v>
      </c>
      <c r="I1081" s="120" t="n"/>
      <c r="J1081" s="120" t="n"/>
      <c r="K1081" s="120" t="n"/>
      <c r="L1081" s="120" t="n"/>
      <c r="M1081" s="120">
        <f>F721</f>
        <v/>
      </c>
      <c r="N1081" s="120" t="n"/>
      <c r="O1081" s="120" t="n"/>
      <c r="P1081" s="120" t="n"/>
      <c r="Q1081" s="120" t="n"/>
    </row>
    <row r="1082">
      <c r="B1082" s="161" t="n">
        <v>44973</v>
      </c>
      <c r="C1082" s="64" t="n">
        <v>11</v>
      </c>
      <c r="D1082" s="158" t="inlineStr">
        <is>
          <t>Google Workspace PT. EWI</t>
        </is>
      </c>
      <c r="E1082" s="158" t="n"/>
      <c r="F1082" s="159" t="n">
        <v>214896</v>
      </c>
      <c r="G1082" s="64" t="inlineStr">
        <is>
          <t>IDR</t>
        </is>
      </c>
      <c r="H1082" s="64" t="n">
        <v>1</v>
      </c>
      <c r="I1082" s="120" t="n"/>
      <c r="J1082" s="120" t="n"/>
      <c r="K1082" s="120" t="n"/>
      <c r="L1082" s="120" t="n"/>
      <c r="M1082" s="120">
        <f>F722</f>
        <v/>
      </c>
      <c r="N1082" s="120" t="n"/>
      <c r="O1082" s="120" t="n"/>
      <c r="P1082" s="120" t="n"/>
      <c r="Q1082" s="120" t="n"/>
    </row>
    <row r="1083">
      <c r="B1083" s="161" t="n">
        <v>45001</v>
      </c>
      <c r="C1083" s="64" t="n">
        <v>12</v>
      </c>
      <c r="D1083" s="158" t="inlineStr">
        <is>
          <t>Google Workspace PT. EWI</t>
        </is>
      </c>
      <c r="E1083" s="158" t="n"/>
      <c r="F1083" s="159" t="n">
        <v>214896</v>
      </c>
      <c r="G1083" s="64" t="inlineStr">
        <is>
          <t>IDR</t>
        </is>
      </c>
      <c r="H1083" s="64" t="n">
        <v>1</v>
      </c>
      <c r="I1083" s="120" t="n"/>
      <c r="J1083" s="120" t="n"/>
      <c r="K1083" s="120" t="n"/>
      <c r="L1083" s="120" t="n"/>
      <c r="M1083" s="120">
        <f>F723</f>
        <v/>
      </c>
      <c r="N1083" s="120" t="n"/>
      <c r="O1083" s="120" t="n"/>
      <c r="P1083" s="120" t="n"/>
      <c r="Q1083" s="120" t="n"/>
    </row>
    <row r="1084">
      <c r="B1084" s="161" t="n">
        <v>45032</v>
      </c>
      <c r="C1084" s="64" t="n">
        <v>13</v>
      </c>
      <c r="D1084" s="158" t="inlineStr">
        <is>
          <t>Google Workspace PT. EWI</t>
        </is>
      </c>
      <c r="E1084" s="158" t="n"/>
      <c r="F1084" s="159" t="n">
        <v>214896</v>
      </c>
      <c r="G1084" s="64" t="inlineStr">
        <is>
          <t>IDR</t>
        </is>
      </c>
      <c r="H1084" s="64" t="n">
        <v>1</v>
      </c>
      <c r="I1084" s="120" t="n"/>
      <c r="J1084" s="120" t="n"/>
      <c r="K1084" s="120" t="n"/>
      <c r="L1084" s="120" t="n"/>
      <c r="M1084" s="120">
        <f>F724</f>
        <v/>
      </c>
      <c r="N1084" s="120" t="n"/>
      <c r="O1084" s="120" t="n"/>
      <c r="P1084" s="120" t="n"/>
      <c r="Q1084" s="120" t="n"/>
    </row>
    <row r="1085">
      <c r="B1085" s="161" t="n">
        <v>45062</v>
      </c>
      <c r="C1085" s="64" t="n">
        <v>14</v>
      </c>
      <c r="D1085" s="158" t="inlineStr">
        <is>
          <t>Google Workspace PT. EWI</t>
        </is>
      </c>
      <c r="E1085" s="158" t="n"/>
      <c r="F1085" s="159" t="n">
        <v>214896</v>
      </c>
      <c r="G1085" s="64" t="inlineStr">
        <is>
          <t>IDR</t>
        </is>
      </c>
      <c r="H1085" s="64" t="n">
        <v>1</v>
      </c>
      <c r="I1085" s="120" t="n"/>
      <c r="J1085" s="120" t="n"/>
      <c r="K1085" s="120" t="n"/>
      <c r="L1085" s="120" t="n"/>
      <c r="M1085" s="120">
        <f>F725</f>
        <v/>
      </c>
      <c r="N1085" s="120" t="n"/>
      <c r="O1085" s="120" t="n"/>
      <c r="P1085" s="120" t="n"/>
      <c r="Q1085" s="120" t="n"/>
    </row>
    <row r="1086">
      <c r="B1086" s="161" t="n">
        <v>45093</v>
      </c>
      <c r="C1086" s="64" t="n">
        <v>15</v>
      </c>
      <c r="D1086" s="158" t="inlineStr">
        <is>
          <t>Google Workspace PT. EWI</t>
        </is>
      </c>
      <c r="E1086" s="158" t="n"/>
      <c r="F1086" s="159" t="n">
        <v>214896</v>
      </c>
      <c r="G1086" s="64" t="inlineStr">
        <is>
          <t>IDR</t>
        </is>
      </c>
      <c r="H1086" s="64" t="n">
        <v>1</v>
      </c>
      <c r="I1086" s="120" t="n"/>
      <c r="J1086" s="120" t="n"/>
      <c r="K1086" s="120" t="n"/>
      <c r="L1086" s="120" t="n"/>
      <c r="M1086" s="120">
        <f>F726</f>
        <v/>
      </c>
      <c r="N1086" s="120" t="n"/>
      <c r="O1086" s="120" t="n"/>
      <c r="P1086" s="120" t="n"/>
      <c r="Q1086" s="120" t="n"/>
    </row>
    <row r="1087">
      <c r="B1087" s="161" t="n">
        <v>45123</v>
      </c>
      <c r="C1087" s="64" t="n">
        <v>16</v>
      </c>
      <c r="D1087" s="158" t="inlineStr">
        <is>
          <t>Google Workspace PT. EWI</t>
        </is>
      </c>
      <c r="E1087" s="158" t="n"/>
      <c r="F1087" s="159" t="n">
        <v>214896</v>
      </c>
      <c r="G1087" s="64" t="inlineStr">
        <is>
          <t>IDR</t>
        </is>
      </c>
      <c r="H1087" s="64" t="n">
        <v>1</v>
      </c>
      <c r="I1087" s="120" t="n"/>
      <c r="J1087" s="120" t="n"/>
      <c r="K1087" s="120" t="n"/>
      <c r="L1087" s="120" t="n"/>
      <c r="M1087" s="120">
        <f>F727</f>
        <v/>
      </c>
      <c r="N1087" s="120" t="n"/>
      <c r="O1087" s="120" t="n"/>
      <c r="P1087" s="120" t="n"/>
      <c r="Q1087" s="120" t="n"/>
    </row>
    <row r="1088">
      <c r="B1088" s="161" t="n">
        <v>45154</v>
      </c>
      <c r="C1088" s="64" t="n">
        <v>17</v>
      </c>
      <c r="D1088" s="158" t="inlineStr">
        <is>
          <t>Domain + Google Workspace PT. EWI</t>
        </is>
      </c>
      <c r="E1088" s="158" t="n"/>
      <c r="F1088" s="159" t="n">
        <v>399078</v>
      </c>
      <c r="G1088" s="64" t="inlineStr">
        <is>
          <t>IDR</t>
        </is>
      </c>
      <c r="H1088" s="64" t="n">
        <v>1</v>
      </c>
      <c r="I1088" s="120" t="n"/>
      <c r="J1088" s="120" t="n"/>
      <c r="K1088" s="120" t="n"/>
      <c r="L1088" s="120" t="n"/>
      <c r="M1088" s="120">
        <f>F728</f>
        <v/>
      </c>
      <c r="N1088" s="120" t="n"/>
      <c r="O1088" s="120" t="n"/>
      <c r="P1088" s="120" t="n"/>
      <c r="Q1088" s="120" t="n"/>
    </row>
    <row r="1089">
      <c r="B1089" s="161" t="n">
        <v>45185</v>
      </c>
      <c r="C1089" s="64" t="n">
        <v>18</v>
      </c>
      <c r="D1089" s="158" t="inlineStr">
        <is>
          <t>Google Workspace PT. EWI</t>
        </is>
      </c>
      <c r="E1089" s="158" t="n"/>
      <c r="F1089" s="159" t="n">
        <v>214896</v>
      </c>
      <c r="G1089" s="64" t="inlineStr">
        <is>
          <t>IDR</t>
        </is>
      </c>
      <c r="H1089" s="64" t="n">
        <v>1</v>
      </c>
      <c r="I1089" s="120" t="n"/>
      <c r="J1089" s="120" t="n"/>
      <c r="K1089" s="120" t="n"/>
      <c r="L1089" s="120" t="n"/>
      <c r="M1089" s="120">
        <f>F729</f>
        <v/>
      </c>
      <c r="N1089" s="120" t="n"/>
      <c r="O1089" s="120" t="n"/>
      <c r="P1089" s="120" t="n"/>
      <c r="Q1089" s="120" t="n"/>
    </row>
    <row r="1090">
      <c r="B1090" s="161" t="n">
        <v>45215</v>
      </c>
      <c r="C1090" s="64" t="n">
        <v>19</v>
      </c>
      <c r="D1090" s="158" t="inlineStr">
        <is>
          <t>Google Workspace PT. EWI</t>
        </is>
      </c>
      <c r="E1090" s="158" t="n"/>
      <c r="F1090" s="159" t="n">
        <v>306982</v>
      </c>
      <c r="G1090" s="64" t="inlineStr">
        <is>
          <t>IDR</t>
        </is>
      </c>
      <c r="H1090" s="64" t="n">
        <v>1</v>
      </c>
      <c r="I1090" s="120" t="n"/>
      <c r="J1090" s="120" t="n"/>
      <c r="K1090" s="120" t="n"/>
      <c r="L1090" s="120" t="n"/>
      <c r="M1090" s="120">
        <f>F730</f>
        <v/>
      </c>
      <c r="N1090" s="120" t="n"/>
      <c r="O1090" s="120" t="n"/>
      <c r="P1090" s="120" t="n"/>
      <c r="Q1090" s="120" t="n"/>
    </row>
    <row r="1091">
      <c r="B1091" s="161" t="n">
        <v>45246</v>
      </c>
      <c r="C1091" s="64" t="n">
        <v>20</v>
      </c>
      <c r="D1091" s="158" t="inlineStr">
        <is>
          <t>Google Workspace PT. EWI</t>
        </is>
      </c>
      <c r="E1091" s="158" t="n"/>
      <c r="F1091" s="159" t="n">
        <v>306982</v>
      </c>
      <c r="G1091" s="64" t="inlineStr">
        <is>
          <t>IDR</t>
        </is>
      </c>
      <c r="H1091" s="64" t="n">
        <v>1</v>
      </c>
      <c r="I1091" s="120" t="n"/>
      <c r="J1091" s="120" t="n"/>
      <c r="K1091" s="120" t="n"/>
      <c r="L1091" s="120" t="n"/>
      <c r="M1091" s="120">
        <f>F731</f>
        <v/>
      </c>
      <c r="N1091" s="120" t="n"/>
      <c r="O1091" s="120" t="n"/>
      <c r="P1091" s="120" t="n"/>
      <c r="Q1091" s="120" t="n"/>
    </row>
    <row r="1092">
      <c r="B1092" s="161" t="n">
        <v>45276</v>
      </c>
      <c r="C1092" s="64" t="n">
        <v>21</v>
      </c>
      <c r="D1092" s="158" t="inlineStr">
        <is>
          <t>Google Workspace PT. EWI</t>
        </is>
      </c>
      <c r="E1092" s="158" t="n"/>
      <c r="F1092" s="159" t="n">
        <v>306982</v>
      </c>
      <c r="G1092" s="64" t="inlineStr">
        <is>
          <t>IDR</t>
        </is>
      </c>
      <c r="H1092" s="64" t="n">
        <v>1</v>
      </c>
      <c r="I1092" s="120" t="n"/>
      <c r="J1092" s="120" t="n"/>
      <c r="K1092" s="120" t="n"/>
      <c r="L1092" s="120" t="n"/>
      <c r="M1092" s="120">
        <f>F732</f>
        <v/>
      </c>
      <c r="N1092" s="120" t="n"/>
      <c r="O1092" s="120" t="n"/>
      <c r="P1092" s="120" t="n"/>
      <c r="Q1092" s="120" t="n"/>
    </row>
    <row r="1093">
      <c r="B1093" s="161" t="n">
        <v>45307</v>
      </c>
      <c r="C1093" s="64" t="n">
        <v>22</v>
      </c>
      <c r="D1093" s="158" t="inlineStr">
        <is>
          <t>Google Workspace PT. EWI</t>
        </is>
      </c>
      <c r="E1093" s="158" t="n"/>
      <c r="F1093" s="159" t="n">
        <v>306982</v>
      </c>
      <c r="G1093" s="64" t="inlineStr">
        <is>
          <t>IDR</t>
        </is>
      </c>
      <c r="H1093" s="64" t="n">
        <v>1</v>
      </c>
      <c r="I1093" s="120" t="n"/>
      <c r="J1093" s="120" t="n"/>
      <c r="K1093" s="120" t="n"/>
      <c r="L1093" s="120" t="n"/>
      <c r="M1093" s="120">
        <f>F733</f>
        <v/>
      </c>
      <c r="N1093" s="120" t="n"/>
      <c r="O1093" s="120" t="n"/>
      <c r="P1093" s="120" t="n"/>
      <c r="Q1093" s="120" t="n"/>
    </row>
    <row r="1094">
      <c r="B1094" s="161" t="n">
        <v>45338</v>
      </c>
      <c r="C1094" s="64" t="n">
        <v>23</v>
      </c>
      <c r="D1094" s="158" t="inlineStr">
        <is>
          <t>Google Workspace PT. EWI</t>
        </is>
      </c>
      <c r="E1094" s="158" t="n"/>
      <c r="F1094" s="159" t="n">
        <v>306982</v>
      </c>
      <c r="G1094" s="64" t="inlineStr">
        <is>
          <t>IDR</t>
        </is>
      </c>
      <c r="H1094" s="64" t="n">
        <v>1</v>
      </c>
      <c r="I1094" s="120" t="n"/>
      <c r="J1094" s="120" t="n"/>
      <c r="K1094" s="120" t="n"/>
      <c r="L1094" s="120" t="n"/>
      <c r="M1094" s="120">
        <f>F734</f>
        <v/>
      </c>
      <c r="N1094" s="120" t="n"/>
      <c r="O1094" s="120" t="n"/>
      <c r="P1094" s="120" t="n"/>
      <c r="Q1094" s="120" t="n"/>
    </row>
    <row r="1095">
      <c r="B1095" s="161" t="n">
        <v>45367</v>
      </c>
      <c r="C1095" s="64" t="n">
        <v>24</v>
      </c>
      <c r="D1095" s="158" t="inlineStr">
        <is>
          <t>Google Workspace PT. EWI</t>
        </is>
      </c>
      <c r="E1095" s="158" t="n"/>
      <c r="F1095" s="159" t="n">
        <v>306982</v>
      </c>
      <c r="G1095" s="64" t="inlineStr">
        <is>
          <t>IDR</t>
        </is>
      </c>
      <c r="H1095" s="64" t="n">
        <v>1</v>
      </c>
      <c r="I1095" s="120" t="n"/>
      <c r="J1095" s="120" t="n"/>
      <c r="K1095" s="120" t="n"/>
      <c r="L1095" s="120" t="n"/>
      <c r="M1095" s="120">
        <f>F735</f>
        <v/>
      </c>
      <c r="N1095" s="120" t="n"/>
      <c r="O1095" s="120" t="n"/>
      <c r="P1095" s="120" t="n"/>
      <c r="Q1095" s="120" t="n"/>
    </row>
    <row r="1096">
      <c r="B1096" s="161" t="n">
        <v>45398</v>
      </c>
      <c r="C1096" s="64" t="n">
        <v>25</v>
      </c>
      <c r="D1096" s="158" t="inlineStr">
        <is>
          <t>Google Workspace PT. EWI</t>
        </is>
      </c>
      <c r="E1096" s="158" t="n"/>
      <c r="F1096" s="159" t="n">
        <v>306982</v>
      </c>
      <c r="G1096" s="64" t="inlineStr">
        <is>
          <t>IDR</t>
        </is>
      </c>
      <c r="H1096" s="64" t="n">
        <v>1</v>
      </c>
      <c r="I1096" s="120" t="n"/>
      <c r="J1096" s="120" t="n"/>
      <c r="K1096" s="120" t="n"/>
      <c r="L1096" s="120" t="n"/>
      <c r="M1096" s="120">
        <f>F736</f>
        <v/>
      </c>
      <c r="N1096" s="120" t="n"/>
      <c r="O1096" s="120" t="n"/>
      <c r="P1096" s="120" t="n"/>
      <c r="Q1096" s="120" t="n"/>
    </row>
    <row r="1097">
      <c r="B1097" s="161" t="n">
        <v>45428</v>
      </c>
      <c r="C1097" s="64" t="n">
        <v>26</v>
      </c>
      <c r="D1097" s="158" t="inlineStr">
        <is>
          <t>Google Workspace PT. EWI</t>
        </is>
      </c>
      <c r="E1097" s="158" t="n"/>
      <c r="F1097" s="159" t="n">
        <v>306982</v>
      </c>
      <c r="G1097" s="64" t="inlineStr">
        <is>
          <t>IDR</t>
        </is>
      </c>
      <c r="H1097" s="64" t="n">
        <v>1</v>
      </c>
      <c r="I1097" s="120" t="n"/>
      <c r="J1097" s="120" t="n"/>
      <c r="K1097" s="120" t="n"/>
      <c r="L1097" s="120" t="n"/>
      <c r="M1097" s="120">
        <f>F737</f>
        <v/>
      </c>
      <c r="N1097" s="120" t="n"/>
      <c r="O1097" s="120" t="n"/>
      <c r="P1097" s="120" t="n"/>
      <c r="Q1097" s="120" t="n"/>
    </row>
    <row r="1098">
      <c r="A1098" s="162" t="n"/>
      <c r="B1098" s="78" t="inlineStr">
        <is>
          <t>Expense#46</t>
        </is>
      </c>
      <c r="C1098" s="85" t="inlineStr">
        <is>
          <t>:</t>
        </is>
      </c>
      <c r="D1098" s="112" t="inlineStr">
        <is>
          <t>Non trip - Training BSS - AC</t>
        </is>
      </c>
      <c r="E1098" s="112" t="n"/>
      <c r="F1098" s="87" t="n"/>
      <c r="G1098" s="73" t="n"/>
      <c r="H1098" s="73" t="n"/>
      <c r="I1098" s="152" t="n"/>
      <c r="J1098" s="152" t="n"/>
      <c r="K1098" s="152" t="n"/>
      <c r="L1098" s="152" t="n"/>
      <c r="M1098" s="152" t="n"/>
      <c r="N1098" s="152" t="n"/>
      <c r="O1098" s="152" t="n"/>
      <c r="P1098" s="152" t="n"/>
      <c r="Q1098" s="152" t="n"/>
    </row>
    <row r="1099">
      <c r="B1099" s="14" t="n">
        <v>45636</v>
      </c>
      <c r="C1099" s="15" t="n">
        <v>1</v>
      </c>
      <c r="D1099" s="18" t="inlineStr">
        <is>
          <t>Traning Basic Sea Survival (BSS)</t>
        </is>
      </c>
      <c r="E1099" s="18" t="n"/>
      <c r="F1099" s="21" t="n">
        <v>2700000</v>
      </c>
      <c r="G1099" s="15" t="inlineStr">
        <is>
          <t>IDR</t>
        </is>
      </c>
      <c r="H1099" s="15" t="n">
        <v>1</v>
      </c>
      <c r="I1099" s="61">
        <f>$F739*$H739</f>
        <v/>
      </c>
      <c r="J1099" s="120" t="n"/>
      <c r="K1099" s="120" t="n"/>
      <c r="L1099" s="120" t="n"/>
      <c r="M1099" s="120" t="n"/>
      <c r="N1099" s="120" t="n"/>
      <c r="O1099" s="120" t="n"/>
      <c r="P1099" s="120" t="n"/>
      <c r="Q1099" s="120" t="n"/>
    </row>
    <row r="1100">
      <c r="B1100" s="78" t="inlineStr">
        <is>
          <t>Expense#47</t>
        </is>
      </c>
      <c r="C1100" s="163" t="n"/>
      <c r="D1100" s="164" t="inlineStr">
        <is>
          <t>Trip Rakan : BSTTraining at HSSE Training Center PT Pertamina EP Zone 7 Cirebon</t>
        </is>
      </c>
      <c r="E1100" s="164" t="n"/>
      <c r="F1100" s="163" t="n"/>
      <c r="G1100" s="163" t="n"/>
      <c r="H1100" s="163" t="n"/>
      <c r="I1100" s="163" t="n"/>
      <c r="J1100" s="163" t="n"/>
      <c r="K1100" s="163" t="n"/>
      <c r="L1100" s="163" t="n"/>
      <c r="M1100" s="163" t="n"/>
      <c r="N1100" s="163" t="n"/>
      <c r="O1100" s="163" t="n"/>
      <c r="P1100" s="152" t="n"/>
      <c r="Q1100" s="152" t="n"/>
    </row>
    <row r="1101">
      <c r="B1101" s="165" t="n">
        <v>45655</v>
      </c>
      <c r="C1101" s="60" t="n">
        <v>1</v>
      </c>
      <c r="D1101" s="166" t="inlineStr">
        <is>
          <t xml:space="preserve">Transport Train, (Jakarta to Cirebon) </t>
        </is>
      </c>
      <c r="E1101" s="166" t="n"/>
      <c r="F1101" s="167" t="n">
        <v>200000</v>
      </c>
      <c r="G1101" s="60" t="inlineStr">
        <is>
          <t>IDR</t>
        </is>
      </c>
      <c r="H1101" s="60" t="n">
        <v>1</v>
      </c>
      <c r="I1101" s="61">
        <f>$H741*$F741</f>
        <v/>
      </c>
      <c r="J1101" s="459" t="n"/>
      <c r="K1101" s="459" t="n"/>
      <c r="L1101" s="459" t="n"/>
      <c r="M1101" s="459" t="n"/>
      <c r="N1101" s="459" t="n"/>
      <c r="O1101" s="459" t="n"/>
      <c r="P1101" s="120" t="n"/>
      <c r="Q1101" s="120" t="n"/>
    </row>
    <row r="1102">
      <c r="B1102" s="165" t="n">
        <v>45655</v>
      </c>
      <c r="C1102" s="15" t="n">
        <v>2</v>
      </c>
      <c r="D1102" s="166" t="inlineStr">
        <is>
          <t>Gojek (Cirendeu to Gambir Station)</t>
        </is>
      </c>
      <c r="E1102" s="166" t="n"/>
      <c r="F1102" s="180" t="n">
        <v>61500</v>
      </c>
      <c r="G1102" s="15" t="inlineStr">
        <is>
          <t>IDR</t>
        </is>
      </c>
      <c r="H1102" s="15" t="n">
        <v>1</v>
      </c>
      <c r="I1102" s="61">
        <f>$H742*$F742</f>
        <v/>
      </c>
      <c r="J1102" s="460" t="n"/>
      <c r="K1102" s="460" t="n"/>
      <c r="L1102" s="459" t="n"/>
      <c r="M1102" s="460" t="n"/>
      <c r="N1102" s="460" t="n"/>
      <c r="O1102" s="459" t="n"/>
      <c r="P1102" s="120" t="n"/>
      <c r="Q1102" s="120" t="n"/>
    </row>
    <row r="1103">
      <c r="B1103" s="165" t="n">
        <v>45655</v>
      </c>
      <c r="C1103" s="15" t="n">
        <v>3</v>
      </c>
      <c r="D1103" s="166" t="inlineStr">
        <is>
          <t xml:space="preserve">Gojek (Cirebon Station to Hotel) </t>
        </is>
      </c>
      <c r="E1103" s="166" t="n"/>
      <c r="F1103" s="180" t="n">
        <v>12500</v>
      </c>
      <c r="G1103" s="15" t="inlineStr">
        <is>
          <t>IDR</t>
        </is>
      </c>
      <c r="H1103" s="15" t="n">
        <v>1</v>
      </c>
      <c r="I1103" s="61">
        <f>$H743*$F743</f>
        <v/>
      </c>
      <c r="J1103" s="460" t="n"/>
      <c r="K1103" s="460" t="n"/>
      <c r="L1103" s="459" t="n"/>
      <c r="M1103" s="460" t="n"/>
      <c r="N1103" s="460" t="n"/>
      <c r="O1103" s="459" t="n"/>
      <c r="P1103" s="120" t="n"/>
      <c r="Q1103" s="120" t="n"/>
    </row>
    <row r="1104">
      <c r="B1104" s="165" t="n">
        <v>45655</v>
      </c>
      <c r="C1104" s="15" t="n">
        <v>4</v>
      </c>
      <c r="D1104" s="166" t="inlineStr">
        <is>
          <t>Accomodation Hotel (Pia Hotel 29 - 30 des, 1 Night)</t>
        </is>
      </c>
      <c r="E1104" s="166" t="n"/>
      <c r="F1104" s="180" t="n">
        <v>224000</v>
      </c>
      <c r="G1104" s="15" t="inlineStr">
        <is>
          <t>IDR</t>
        </is>
      </c>
      <c r="H1104" s="15" t="n">
        <v>1</v>
      </c>
      <c r="I1104" s="61">
        <f>$H744*$F744</f>
        <v/>
      </c>
      <c r="J1104" s="460" t="n"/>
      <c r="K1104" s="460" t="n"/>
      <c r="L1104" s="459" t="n"/>
      <c r="M1104" s="460" t="n"/>
      <c r="N1104" s="460" t="n"/>
      <c r="O1104" s="459" t="n"/>
      <c r="P1104" s="120" t="n"/>
      <c r="Q1104" s="120" t="n"/>
    </row>
    <row r="1105">
      <c r="B1105" s="165" t="n">
        <v>45656</v>
      </c>
      <c r="C1105" s="15" t="n">
        <v>6</v>
      </c>
      <c r="D1105" s="166" t="inlineStr">
        <is>
          <t>Transport Train (Cirebon to Jakarta)</t>
        </is>
      </c>
      <c r="E1105" s="166" t="n"/>
      <c r="F1105" s="180" t="n">
        <v>140000</v>
      </c>
      <c r="G1105" s="15" t="inlineStr">
        <is>
          <t>IDR</t>
        </is>
      </c>
      <c r="H1105" s="15" t="n">
        <v>1</v>
      </c>
      <c r="I1105" s="61">
        <f>$H745*$F745</f>
        <v/>
      </c>
      <c r="J1105" s="460" t="n"/>
      <c r="K1105" s="460" t="n"/>
      <c r="L1105" s="459" t="n"/>
      <c r="M1105" s="460" t="n"/>
      <c r="N1105" s="460" t="n"/>
      <c r="O1105" s="459" t="n"/>
      <c r="P1105" s="120" t="n"/>
      <c r="Q1105" s="120" t="n"/>
    </row>
    <row r="1106">
      <c r="B1106" s="165" t="n">
        <v>45656</v>
      </c>
      <c r="C1106" s="15" t="n">
        <v>7</v>
      </c>
      <c r="D1106" s="166" t="inlineStr">
        <is>
          <t xml:space="preserve">Gojek (Hotel to HSSE Training Center PEP Zone 7) </t>
        </is>
      </c>
      <c r="E1106" s="166" t="n"/>
      <c r="F1106" s="180" t="n">
        <v>11000</v>
      </c>
      <c r="G1106" s="15" t="inlineStr">
        <is>
          <t>IDR</t>
        </is>
      </c>
      <c r="H1106" s="15" t="n">
        <v>1</v>
      </c>
      <c r="I1106" s="61">
        <f>$H746*$F746</f>
        <v/>
      </c>
      <c r="J1106" s="460" t="n"/>
      <c r="K1106" s="460" t="n"/>
      <c r="L1106" s="459" t="n"/>
      <c r="M1106" s="460" t="n"/>
      <c r="N1106" s="460" t="n"/>
      <c r="O1106" s="459" t="n"/>
      <c r="P1106" s="120" t="n"/>
      <c r="Q1106" s="120" t="n"/>
    </row>
    <row r="1107">
      <c r="B1107" s="165" t="n">
        <v>45656</v>
      </c>
      <c r="C1107" s="15" t="n">
        <v>8</v>
      </c>
      <c r="D1107" s="166" t="inlineStr">
        <is>
          <t xml:space="preserve">Gojek (CSB to Cirebon Train Station) </t>
        </is>
      </c>
      <c r="E1107" s="166" t="n"/>
      <c r="F1107" s="180" t="n">
        <v>11000</v>
      </c>
      <c r="G1107" s="15" t="inlineStr">
        <is>
          <t>IDR</t>
        </is>
      </c>
      <c r="H1107" s="15" t="n">
        <v>1</v>
      </c>
      <c r="I1107" s="61">
        <f>$H747*$F747</f>
        <v/>
      </c>
      <c r="J1107" s="460" t="n"/>
      <c r="K1107" s="460" t="n"/>
      <c r="L1107" s="459" t="n"/>
      <c r="M1107" s="460" t="n"/>
      <c r="N1107" s="460" t="n"/>
      <c r="O1107" s="459" t="n"/>
      <c r="P1107" s="120" t="n"/>
      <c r="Q1107" s="120" t="n"/>
    </row>
    <row r="1108">
      <c r="B1108" s="165" t="n">
        <v>45656</v>
      </c>
      <c r="C1108" s="15" t="n">
        <v>9</v>
      </c>
      <c r="D1108" s="166" t="inlineStr">
        <is>
          <t xml:space="preserve">Gojek (Gambir Station to Cirendeu) </t>
        </is>
      </c>
      <c r="E1108" s="166" t="n"/>
      <c r="F1108" s="180" t="n">
        <v>66000</v>
      </c>
      <c r="G1108" s="15" t="inlineStr">
        <is>
          <t>IDR</t>
        </is>
      </c>
      <c r="H1108" s="15" t="n">
        <v>1</v>
      </c>
      <c r="I1108" s="61">
        <f>$H748*$F748</f>
        <v/>
      </c>
      <c r="J1108" s="460" t="n"/>
      <c r="K1108" s="460" t="n"/>
      <c r="L1108" s="459" t="n"/>
      <c r="M1108" s="460" t="n"/>
      <c r="N1108" s="460" t="n"/>
      <c r="O1108" s="459" t="n"/>
      <c r="P1108" s="120" t="n"/>
      <c r="Q1108" s="120" t="n"/>
    </row>
    <row r="1109">
      <c r="B1109" s="165" t="n">
        <v>45656</v>
      </c>
      <c r="C1109" s="15" t="n">
        <v>10</v>
      </c>
      <c r="D1109" s="166" t="inlineStr">
        <is>
          <t>Meal Allowance 2 Days (29 - 30 December 2024)@ 150 rb</t>
        </is>
      </c>
      <c r="E1109" s="166" t="n"/>
      <c r="F1109" s="180" t="n">
        <v>300000</v>
      </c>
      <c r="G1109" s="15" t="inlineStr">
        <is>
          <t>IDR</t>
        </is>
      </c>
      <c r="H1109" s="15" t="n">
        <v>1</v>
      </c>
      <c r="I1109" s="61">
        <f>$H749*$F749</f>
        <v/>
      </c>
      <c r="J1109" s="460" t="n"/>
      <c r="K1109" s="460" t="n"/>
      <c r="L1109" s="460" t="n"/>
      <c r="M1109" s="460" t="n"/>
      <c r="N1109" s="460" t="n"/>
      <c r="O1109" s="459" t="n"/>
      <c r="P1109" s="120" t="n"/>
      <c r="Q1109" s="120" t="n"/>
    </row>
    <row r="1110">
      <c r="B1110" s="128" t="n"/>
      <c r="C1110" s="277" t="inlineStr">
        <is>
          <t>TOTAL</t>
        </is>
      </c>
      <c r="D1110" s="278" t="n"/>
      <c r="E1110" s="278" t="n"/>
      <c r="F1110" s="278" t="n"/>
      <c r="G1110" s="278" t="n"/>
      <c r="H1110" s="279" t="n"/>
      <c r="I1110" s="120">
        <f>SUM(I41:I749)</f>
        <v/>
      </c>
      <c r="J1110" s="120">
        <f>SUM(J41:J749)</f>
        <v/>
      </c>
      <c r="K1110" s="120">
        <f>SUM(K41:K749)</f>
        <v/>
      </c>
      <c r="L1110" s="120">
        <f>SUM(L41:L749)</f>
        <v/>
      </c>
      <c r="M1110" s="120">
        <f>SUM(M41:M749)</f>
        <v/>
      </c>
      <c r="N1110" s="120">
        <f>SUM(N41:N749)</f>
        <v/>
      </c>
      <c r="O1110" s="120">
        <f>SUM(O41:O749)</f>
        <v/>
      </c>
      <c r="P1110" s="120">
        <f>SUM(P41:P749)</f>
        <v/>
      </c>
      <c r="Q1110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61" t="n"/>
      <c r="B1" s="461" t="n"/>
      <c r="C1" s="461" t="n"/>
      <c r="D1" s="461" t="n"/>
      <c r="E1" s="462" t="n"/>
    </row>
    <row r="2" ht="37.25" customHeight="1" s="297">
      <c r="A2" s="461" t="n"/>
      <c r="B2" s="461" t="n"/>
      <c r="C2" s="461" t="n"/>
      <c r="D2" s="461" t="n"/>
      <c r="E2" s="462" t="n"/>
    </row>
    <row r="3" ht="33.65" customHeight="1" s="297">
      <c r="A3" s="461" t="n"/>
      <c r="B3" s="463" t="inlineStr">
        <is>
          <t>PT. EXSPAN WIRELINE INDONESIA</t>
        </is>
      </c>
      <c r="F3" s="464" t="n"/>
      <c r="G3" s="465" t="inlineStr">
        <is>
          <t>PT. EXSPAN WIRELINE INDONESIA</t>
        </is>
      </c>
      <c r="H3" s="465" t="n"/>
      <c r="I3" s="465" t="n"/>
      <c r="J3" s="465" t="n"/>
    </row>
    <row r="4" ht="20.5" customHeight="1" s="297">
      <c r="A4" s="461" t="n"/>
      <c r="B4" s="466" t="inlineStr">
        <is>
          <t>LABA RUGI | TAHUN 2024</t>
        </is>
      </c>
      <c r="F4" s="464" t="n"/>
      <c r="G4" s="467" t="inlineStr">
        <is>
          <t>NERACA | TAHUN YANG BERAKHIR, 31 DESEMBER 2024</t>
        </is>
      </c>
      <c r="H4" s="467" t="n"/>
      <c r="I4" s="467" t="n"/>
      <c r="J4" s="467" t="n"/>
      <c r="K4" s="468" t="inlineStr">
        <is>
          <t>CATATAN KEAMANAN</t>
        </is>
      </c>
    </row>
    <row r="5" ht="6" customHeight="1" s="297">
      <c r="A5" s="461" t="n"/>
      <c r="B5" s="461" t="n"/>
      <c r="C5" s="461" t="n"/>
      <c r="D5" s="461" t="n"/>
      <c r="E5" s="462" t="n"/>
      <c r="F5" s="464" t="n"/>
      <c r="G5" s="464" t="n"/>
      <c r="H5" s="469" t="n"/>
      <c r="I5" s="469" t="n"/>
      <c r="J5" s="469" t="n"/>
      <c r="K5" t="inlineStr">
        <is>
          <t>Kolom ini aman dari overwrite sistem.</t>
        </is>
      </c>
    </row>
    <row r="6" ht="15.5" customHeight="1" s="297">
      <c r="A6" s="461" t="n"/>
      <c r="B6" s="470" t="n"/>
      <c r="C6" s="471" t="n"/>
      <c r="D6" s="472" t="inlineStr">
        <is>
          <t>PT. Exspan Wireline Indonesia</t>
        </is>
      </c>
      <c r="E6" s="289" t="n"/>
      <c r="F6" s="464" t="n"/>
      <c r="G6" s="473" t="n"/>
      <c r="H6" s="474" t="n"/>
      <c r="I6" s="472" t="inlineStr">
        <is>
          <t>PT. Exspan Wireline Indonesia</t>
        </is>
      </c>
      <c r="J6" s="289" t="n"/>
      <c r="K6" t="inlineStr">
        <is>
          <t>Diverifikasi pada: 2026-03-29 20:07</t>
        </is>
      </c>
    </row>
    <row r="7" ht="15.5" customHeight="1" s="297">
      <c r="A7" s="461" t="n"/>
      <c r="B7" s="475" t="n"/>
      <c r="C7" s="476" t="n"/>
      <c r="D7" s="477" t="inlineStr">
        <is>
          <t>(Rp)</t>
        </is>
      </c>
      <c r="E7" s="290" t="n"/>
      <c r="F7" s="464" t="n"/>
      <c r="G7" s="478" t="n"/>
      <c r="H7" s="479" t="n"/>
      <c r="I7" s="477" t="inlineStr">
        <is>
          <t>(Rp)</t>
        </is>
      </c>
      <c r="J7" s="290" t="n"/>
    </row>
    <row r="8">
      <c r="A8" s="461" t="n"/>
      <c r="B8" s="480" t="inlineStr">
        <is>
          <t>PENDAPATAN</t>
        </is>
      </c>
      <c r="C8" s="481" t="n"/>
      <c r="D8" s="482" t="n"/>
      <c r="E8" s="483" t="n"/>
      <c r="F8" s="464" t="n"/>
      <c r="G8" s="484" t="inlineStr">
        <is>
          <t>AKTIVA</t>
        </is>
      </c>
      <c r="H8" s="485" t="n"/>
      <c r="I8" s="486" t="n"/>
      <c r="J8" s="487" t="n"/>
    </row>
    <row r="9">
      <c r="A9" s="461" t="n"/>
      <c r="B9" s="488" t="n"/>
      <c r="C9" s="481" t="inlineStr">
        <is>
          <t>PENDAPATAN LANGSUNG</t>
        </is>
      </c>
      <c r="D9" s="488" t="inlineStr">
        <is>
          <t>Rp</t>
        </is>
      </c>
      <c r="E9" s="489">
        <f>SUM('Revenue-Cost_2024'!F8:F20)</f>
        <v/>
      </c>
      <c r="F9" s="464" t="n"/>
      <c r="G9" s="490" t="inlineStr">
        <is>
          <t>AKTIVA LANCAR</t>
        </is>
      </c>
      <c r="H9" s="491" t="n"/>
      <c r="I9" s="490" t="n"/>
      <c r="J9" s="492" t="n"/>
    </row>
    <row r="10">
      <c r="A10" s="461" t="n"/>
      <c r="B10" s="488" t="n"/>
      <c r="C10" s="481" t="inlineStr">
        <is>
          <t>PENDAPATAN LAIN LAIN</t>
        </is>
      </c>
      <c r="D10" s="488" t="inlineStr">
        <is>
          <t>Rp</t>
        </is>
      </c>
      <c r="E10" s="489">
        <f>SUM('Revenue-Cost_2024'!F21)</f>
        <v/>
      </c>
      <c r="F10" s="464" t="n"/>
      <c r="G10" s="493" t="n"/>
      <c r="H10" s="494" t="inlineStr">
        <is>
          <t>KAS DAN SETARA KAS TAHUN SEBELUMNYA</t>
        </is>
      </c>
      <c r="I10" s="488" t="inlineStr">
        <is>
          <t>Rp</t>
        </is>
      </c>
      <c r="J10" s="495" t="n">
        <v>0</v>
      </c>
    </row>
    <row r="11">
      <c r="A11" s="461" t="n"/>
      <c r="B11" s="488" t="n"/>
      <c r="C11" s="481" t="n"/>
      <c r="D11" s="496" t="n"/>
      <c r="E11" s="497" t="n"/>
      <c r="F11" s="464" t="n"/>
      <c r="G11" s="493" t="n"/>
      <c r="H11" s="494" t="inlineStr">
        <is>
          <t>KAS DAN SETARA KAS TAHUN LAPORAN</t>
        </is>
      </c>
      <c r="I11" s="488" t="inlineStr">
        <is>
          <t>Rp</t>
        </is>
      </c>
      <c r="J11" s="495">
        <f>E46-'Business Summary'!E13</f>
        <v/>
      </c>
    </row>
    <row r="12">
      <c r="A12" s="461" t="n"/>
      <c r="B12" s="498" t="inlineStr">
        <is>
          <t>TOTALPENDAPATAN</t>
        </is>
      </c>
      <c r="C12" s="499" t="n"/>
      <c r="D12" s="500" t="inlineStr">
        <is>
          <t>Rp</t>
        </is>
      </c>
      <c r="E12" s="501">
        <f>SUM(E9:E11)</f>
        <v/>
      </c>
      <c r="F12" s="464" t="n"/>
      <c r="G12" s="493" t="n"/>
      <c r="H12" s="494" t="inlineStr">
        <is>
          <t>PIUTANG USAHA</t>
        </is>
      </c>
      <c r="I12" s="488" t="inlineStr">
        <is>
          <t>Rp</t>
        </is>
      </c>
      <c r="J12" s="495" t="n">
        <v>0</v>
      </c>
    </row>
    <row r="13">
      <c r="A13" s="461" t="n"/>
      <c r="B13" s="488" t="n"/>
      <c r="C13" s="481" t="n"/>
      <c r="D13" s="482" t="n"/>
      <c r="E13" s="502" t="n"/>
      <c r="F13" s="464" t="n"/>
      <c r="G13" s="493" t="n"/>
      <c r="H13" s="494" t="inlineStr">
        <is>
          <t>PAJAK BAYAR DI MUKA (pph23)</t>
        </is>
      </c>
      <c r="I13" s="488" t="inlineStr">
        <is>
          <t>Rp</t>
        </is>
      </c>
      <c r="J13" s="495" t="n">
        <v>0</v>
      </c>
    </row>
    <row r="14">
      <c r="A14" s="461" t="n"/>
      <c r="B14" s="503" t="inlineStr">
        <is>
          <t>BEBAN LANGSUNG</t>
        </is>
      </c>
      <c r="C14" s="481" t="n"/>
      <c r="D14" s="488" t="n"/>
      <c r="E14" s="504" t="n"/>
      <c r="F14" s="464" t="n"/>
      <c r="G14" s="493" t="n"/>
      <c r="H14" s="494" t="inlineStr">
        <is>
          <t>BIAYA BAYAR DI MUKA</t>
        </is>
      </c>
      <c r="I14" s="488" t="inlineStr">
        <is>
          <t>Rp</t>
        </is>
      </c>
      <c r="J14" s="495" t="n">
        <v>0</v>
      </c>
    </row>
    <row r="15">
      <c r="A15" s="461" t="n"/>
      <c r="B15" s="505" t="n"/>
      <c r="C15" s="481" t="inlineStr">
        <is>
          <t xml:space="preserve">Biaya Operasi </t>
        </is>
      </c>
      <c r="D15" s="488" t="inlineStr">
        <is>
          <t>Rp</t>
        </is>
      </c>
      <c r="E15" s="504">
        <f>'Revenue-Cost_2024'!I750</f>
        <v/>
      </c>
      <c r="F15" s="464" t="n"/>
      <c r="G15" s="506" t="n"/>
      <c r="H15" s="494" t="inlineStr">
        <is>
          <t>PIUTANG LAIN LAIN</t>
        </is>
      </c>
      <c r="I15" s="488" t="inlineStr">
        <is>
          <t>Rp</t>
        </is>
      </c>
      <c r="J15" s="495" t="n">
        <v>0</v>
      </c>
    </row>
    <row r="16">
      <c r="A16" s="461" t="n"/>
      <c r="B16" s="505" t="n"/>
      <c r="C16" s="481" t="inlineStr">
        <is>
          <t>Biaya research (R &amp; D)</t>
        </is>
      </c>
      <c r="D16" s="488" t="inlineStr">
        <is>
          <t>Rp</t>
        </is>
      </c>
      <c r="E16" s="504">
        <f>'Revenue-Cost_2024'!J750</f>
        <v/>
      </c>
      <c r="F16" s="464" t="n"/>
      <c r="G16" s="507" t="n"/>
      <c r="H16" s="508" t="inlineStr">
        <is>
          <t>TOTAL AKTIVA LANCAR</t>
        </is>
      </c>
      <c r="I16" s="500" t="inlineStr">
        <is>
          <t>Rp</t>
        </is>
      </c>
      <c r="J16" s="509">
        <f>SUM(J10:J15)</f>
        <v/>
      </c>
    </row>
    <row r="17">
      <c r="A17" s="461" t="n"/>
      <c r="B17" s="505" t="n"/>
      <c r="C17" s="481" t="inlineStr">
        <is>
          <t>BIAYA SEWA PERALATAN</t>
        </is>
      </c>
      <c r="D17" s="488" t="inlineStr">
        <is>
          <t>Rp</t>
        </is>
      </c>
      <c r="E17" s="504">
        <f>'Revenue-Cost_2024'!K750</f>
        <v/>
      </c>
      <c r="F17" s="464" t="n"/>
      <c r="G17" s="493" t="n"/>
      <c r="H17" s="494" t="n"/>
      <c r="I17" s="510" t="n"/>
      <c r="J17" s="511" t="n"/>
    </row>
    <row r="18">
      <c r="A18" s="461" t="n"/>
      <c r="B18" s="505" t="n"/>
      <c r="C18" s="481" t="inlineStr">
        <is>
          <t>BIAYA Data Processing</t>
        </is>
      </c>
      <c r="D18" s="488" t="inlineStr">
        <is>
          <t>Rp</t>
        </is>
      </c>
      <c r="E18" s="504">
        <f>'Revenue-Cost_2024'!L750</f>
        <v/>
      </c>
      <c r="F18" s="464" t="n"/>
      <c r="G18" s="490" t="inlineStr">
        <is>
          <t>ACTIVA TETAP</t>
        </is>
      </c>
      <c r="H18" s="512" t="n"/>
      <c r="I18" s="484" t="n"/>
      <c r="J18" s="495" t="n"/>
    </row>
    <row r="19">
      <c r="A19" s="461" t="n"/>
      <c r="B19" s="505" t="n"/>
      <c r="C19" s="481" t="n"/>
      <c r="D19" s="488" t="n"/>
      <c r="E19" s="504" t="n"/>
      <c r="F19" s="464" t="n"/>
      <c r="G19" s="490" t="n"/>
      <c r="H19" s="512" t="n"/>
      <c r="I19" s="484" t="n"/>
      <c r="J19" s="495" t="n"/>
    </row>
    <row r="20">
      <c r="A20" s="461" t="n"/>
      <c r="B20" s="505" t="n"/>
      <c r="C20" s="481" t="n"/>
      <c r="D20" s="496" t="n"/>
      <c r="E20" s="513" t="n"/>
      <c r="F20" s="464" t="n"/>
      <c r="G20" s="493" t="n"/>
      <c r="H20" s="494" t="inlineStr">
        <is>
          <t>INVENTARIS KANTOR</t>
        </is>
      </c>
      <c r="I20" s="488" t="inlineStr">
        <is>
          <t>Rp</t>
        </is>
      </c>
      <c r="J20" s="495" t="n">
        <v>0</v>
      </c>
    </row>
    <row r="21">
      <c r="A21" s="461" t="n"/>
      <c r="B21" s="498" t="inlineStr">
        <is>
          <t>TOTAL BIAYA LANGSUNG</t>
        </is>
      </c>
      <c r="C21" s="499" t="n"/>
      <c r="D21" s="500" t="inlineStr">
        <is>
          <t>Rp</t>
        </is>
      </c>
      <c r="E21" s="514">
        <f>SUM(E15:E20)</f>
        <v/>
      </c>
      <c r="F21" s="464" t="n"/>
      <c r="G21" s="493" t="n"/>
      <c r="H21" s="512" t="n"/>
      <c r="I21" s="515" t="n"/>
      <c r="J21" s="516" t="n"/>
    </row>
    <row r="22">
      <c r="A22" s="461" t="n"/>
      <c r="B22" s="488" t="n"/>
      <c r="C22" s="481" t="n"/>
      <c r="D22" s="482" t="n"/>
      <c r="E22" s="517" t="n"/>
      <c r="F22" s="464" t="n"/>
      <c r="G22" s="507" t="n"/>
      <c r="H22" s="508" t="inlineStr">
        <is>
          <t>TOTAL AKTIVA TETAP</t>
        </is>
      </c>
      <c r="I22" s="500" t="inlineStr">
        <is>
          <t>Rp</t>
        </is>
      </c>
      <c r="J22" s="509">
        <f>J20</f>
        <v/>
      </c>
    </row>
    <row r="23">
      <c r="A23" s="461" t="n"/>
      <c r="B23" s="503" t="inlineStr">
        <is>
          <t>BEBAN TIDAK LANGSUNG</t>
        </is>
      </c>
      <c r="C23" s="481" t="n"/>
      <c r="D23" s="488" t="n"/>
      <c r="E23" s="504">
        <f>'Revenue-Cost_2024'!Q750</f>
        <v/>
      </c>
      <c r="F23" s="464" t="n"/>
      <c r="G23" s="493" t="n"/>
      <c r="H23" s="494" t="n"/>
      <c r="I23" s="510" t="n"/>
      <c r="J23" s="487" t="n"/>
    </row>
    <row r="24">
      <c r="A24" s="461" t="n"/>
      <c r="B24" s="488" t="n"/>
      <c r="C24" s="481" t="n"/>
      <c r="D24" s="488" t="n"/>
      <c r="E24" s="504" t="n"/>
      <c r="F24" s="464" t="n"/>
      <c r="G24" s="490" t="inlineStr">
        <is>
          <t>ACTIVA LAIN LAIN</t>
        </is>
      </c>
      <c r="H24" s="512" t="n"/>
      <c r="I24" s="484" t="n"/>
      <c r="J24" s="495" t="n">
        <v>0</v>
      </c>
    </row>
    <row r="25">
      <c r="A25" s="461" t="n"/>
      <c r="B25" s="488" t="n"/>
      <c r="C25" s="481" t="n"/>
      <c r="D25" s="488" t="inlineStr">
        <is>
          <t>Rp</t>
        </is>
      </c>
      <c r="E25" s="504" t="n"/>
      <c r="F25" s="464" t="n"/>
      <c r="G25" s="493" t="n"/>
      <c r="H25" s="494" t="n"/>
      <c r="I25" s="518" t="n"/>
      <c r="J25" s="519" t="n">
        <v>0</v>
      </c>
    </row>
    <row r="26">
      <c r="A26" s="461" t="n"/>
      <c r="B26" s="488" t="n"/>
      <c r="C26" s="481" t="n"/>
      <c r="D26" s="496" t="n"/>
      <c r="E26" s="513" t="n"/>
      <c r="F26" s="464" t="n"/>
      <c r="G26" s="507" t="n"/>
      <c r="H26" s="508" t="inlineStr">
        <is>
          <t>TOTAL AKTIVA LAIN LAIN</t>
        </is>
      </c>
      <c r="I26" s="500" t="inlineStr">
        <is>
          <t>Rp</t>
        </is>
      </c>
      <c r="J26" s="509">
        <f>SUM(J25:J25)</f>
        <v/>
      </c>
    </row>
    <row r="27">
      <c r="A27" s="461" t="n"/>
      <c r="B27" s="498" t="inlineStr">
        <is>
          <t>TOTAL BIAYA TIDAK LANGSUNG</t>
        </is>
      </c>
      <c r="C27" s="499" t="n"/>
      <c r="D27" s="500" t="inlineStr">
        <is>
          <t>Rp</t>
        </is>
      </c>
      <c r="E27" s="514">
        <f>SUM(E22:E26)</f>
        <v/>
      </c>
      <c r="F27" s="464" t="n"/>
      <c r="G27" s="493" t="n"/>
      <c r="H27" s="494" t="n"/>
      <c r="I27" s="520" t="n"/>
      <c r="J27" s="521" t="n"/>
    </row>
    <row r="28">
      <c r="A28" s="461" t="n"/>
      <c r="B28" s="488" t="n"/>
      <c r="C28" s="481" t="n"/>
      <c r="D28" s="482" t="n"/>
      <c r="E28" s="517" t="n"/>
      <c r="F28" s="464" t="n"/>
      <c r="G28" s="498" t="inlineStr">
        <is>
          <t>TOTAL AKTIVA</t>
        </is>
      </c>
      <c r="H28" s="499" t="n"/>
      <c r="I28" s="500" t="inlineStr">
        <is>
          <t>Rp</t>
        </is>
      </c>
      <c r="J28" s="522">
        <f>J26+J22+J16</f>
        <v/>
      </c>
    </row>
    <row r="29">
      <c r="A29" s="461" t="n"/>
      <c r="B29" s="503" t="inlineStr">
        <is>
          <t>BIAYA ADMINISTRASI DAN UMUM</t>
        </is>
      </c>
      <c r="C29" s="481" t="n"/>
      <c r="D29" s="488" t="n"/>
      <c r="E29" s="504" t="n"/>
      <c r="F29" s="464" t="n"/>
      <c r="G29" s="523" t="n"/>
      <c r="H29" s="524" t="n"/>
      <c r="I29" s="523" t="n"/>
      <c r="J29" s="511" t="n"/>
    </row>
    <row r="30">
      <c r="A30" s="461" t="n"/>
      <c r="B30" s="505" t="n"/>
      <c r="C30" s="481" t="inlineStr">
        <is>
          <t>BIAYA ADMINISTRASI</t>
        </is>
      </c>
      <c r="D30" s="488" t="inlineStr">
        <is>
          <t>Rp</t>
        </is>
      </c>
      <c r="E30" s="504">
        <f>'Revenue-Cost_2024'!M750</f>
        <v/>
      </c>
      <c r="F30" s="464" t="n"/>
      <c r="G30" s="525" t="inlineStr">
        <is>
          <t>HUTANG DAN MODAL</t>
        </is>
      </c>
      <c r="H30" s="485" t="n"/>
      <c r="I30" s="525" t="n"/>
      <c r="J30" s="526" t="n"/>
    </row>
    <row r="31">
      <c r="A31" s="461" t="n"/>
      <c r="B31" s="505" t="n"/>
      <c r="C31" s="481" t="inlineStr">
        <is>
          <t>BIAYA PEMBELIAN Barang</t>
        </is>
      </c>
      <c r="D31" s="488" t="inlineStr">
        <is>
          <t>Rp</t>
        </is>
      </c>
      <c r="E31" s="504">
        <f>'Revenue-Cost_2024'!N750</f>
        <v/>
      </c>
      <c r="F31" s="464" t="n"/>
      <c r="G31" s="525" t="n"/>
      <c r="H31" s="485" t="n"/>
      <c r="I31" s="525" t="n"/>
      <c r="J31" s="526" t="n"/>
    </row>
    <row r="32">
      <c r="A32" s="461" t="n"/>
      <c r="B32" s="505" t="n"/>
      <c r="C32" s="481" t="inlineStr">
        <is>
          <t>BIAYA SEWA KANTOR</t>
        </is>
      </c>
      <c r="D32" s="488" t="inlineStr">
        <is>
          <t>Rp</t>
        </is>
      </c>
      <c r="E32" s="504">
        <f>'Revenue-Cost_2024'!O750</f>
        <v/>
      </c>
      <c r="F32" s="464" t="n"/>
      <c r="G32" s="490" t="inlineStr">
        <is>
          <t>HUTANG LANCAR</t>
        </is>
      </c>
      <c r="H32" s="491" t="n"/>
      <c r="I32" s="490" t="n"/>
      <c r="J32" s="492" t="n"/>
    </row>
    <row r="33">
      <c r="A33" s="461" t="n"/>
      <c r="B33" s="505" t="n"/>
      <c r="C33" s="481" t="inlineStr">
        <is>
          <t>BIAYA KESEHATAN</t>
        </is>
      </c>
      <c r="D33" s="488" t="inlineStr">
        <is>
          <t>Rp</t>
        </is>
      </c>
      <c r="E33" s="504">
        <f>'Revenue-Cost_2024'!P750</f>
        <v/>
      </c>
      <c r="F33" s="464" t="n"/>
      <c r="G33" s="493" t="n"/>
      <c r="H33" s="494" t="inlineStr">
        <is>
          <t>HUTANG USAHA</t>
        </is>
      </c>
      <c r="I33" s="488" t="inlineStr">
        <is>
          <t>Rp</t>
        </is>
      </c>
      <c r="J33" s="495" t="n">
        <v>0</v>
      </c>
    </row>
    <row r="34">
      <c r="A34" s="461" t="n"/>
      <c r="B34" s="505" t="n"/>
      <c r="C34" s="481" t="n"/>
      <c r="D34" s="496" t="n"/>
      <c r="E34" s="513" t="n"/>
      <c r="F34" s="464" t="n"/>
      <c r="G34" s="493" t="n"/>
      <c r="H34" s="527" t="inlineStr">
        <is>
          <t>HUTANG GAJI</t>
        </is>
      </c>
      <c r="I34" s="488" t="inlineStr">
        <is>
          <t>Rp</t>
        </is>
      </c>
      <c r="J34" s="495" t="n">
        <v>0</v>
      </c>
    </row>
    <row r="35">
      <c r="A35" s="461" t="n"/>
      <c r="B35" s="498" t="inlineStr">
        <is>
          <t>TOTAL BIAYA ADMINISTRASI DAN UMUM</t>
        </is>
      </c>
      <c r="C35" s="499" t="n"/>
      <c r="D35" s="500" t="inlineStr">
        <is>
          <t>Rp</t>
        </is>
      </c>
      <c r="E35" s="501">
        <f>SUM(E30:E34)</f>
        <v/>
      </c>
      <c r="F35" s="464" t="n"/>
      <c r="G35" s="493" t="n"/>
      <c r="H35" s="494" t="inlineStr">
        <is>
          <t>HUTANG PEMEGANG SAHAM</t>
        </is>
      </c>
      <c r="I35" s="488" t="inlineStr">
        <is>
          <t>Rp</t>
        </is>
      </c>
      <c r="J35" s="495" t="n">
        <v>0</v>
      </c>
    </row>
    <row r="36">
      <c r="A36" s="461" t="n"/>
      <c r="B36" s="505" t="n"/>
      <c r="C36" s="481" t="n"/>
      <c r="D36" s="500" t="n"/>
      <c r="E36" s="528" t="n"/>
      <c r="F36" s="464" t="n"/>
      <c r="G36" s="493" t="n"/>
      <c r="H36" s="494" t="inlineStr">
        <is>
          <t>BIAYA YANG MASIH HARUS DI BAYAR</t>
        </is>
      </c>
      <c r="I36" s="488" t="inlineStr">
        <is>
          <t>Rp</t>
        </is>
      </c>
      <c r="J36" s="495" t="n">
        <v>0</v>
      </c>
    </row>
    <row r="37">
      <c r="A37" s="461" t="n"/>
      <c r="B37" s="498" t="inlineStr">
        <is>
          <t>TOTAL BIAYA</t>
        </is>
      </c>
      <c r="C37" s="499" t="n"/>
      <c r="D37" s="500" t="inlineStr">
        <is>
          <t>Rp</t>
        </is>
      </c>
      <c r="E37" s="501">
        <f>E35+E21+E27</f>
        <v/>
      </c>
      <c r="F37" s="464" t="n"/>
      <c r="G37" s="529" t="n"/>
      <c r="H37" s="530" t="n"/>
      <c r="I37" s="529" t="n"/>
      <c r="J37" s="531" t="n"/>
    </row>
    <row r="38">
      <c r="A38" s="461" t="n"/>
      <c r="B38" s="480" t="n"/>
      <c r="C38" s="532" t="n"/>
      <c r="D38" s="482" t="n"/>
      <c r="E38" s="533" t="n"/>
      <c r="F38" s="464" t="n"/>
      <c r="G38" s="507" t="n"/>
      <c r="H38" s="508" t="inlineStr">
        <is>
          <t>TOTAL HUTANG LANCAR</t>
        </is>
      </c>
      <c r="I38" s="534" t="n"/>
      <c r="J38" s="509">
        <f>SUM(J33:J36)</f>
        <v/>
      </c>
    </row>
    <row r="39">
      <c r="A39" s="461" t="n"/>
      <c r="B39" s="503" t="inlineStr">
        <is>
          <t xml:space="preserve">PENDAPATAN/BEBAN LAIN LAIN </t>
        </is>
      </c>
      <c r="C39" s="481" t="n"/>
      <c r="D39" s="488" t="inlineStr">
        <is>
          <t>Rp</t>
        </is>
      </c>
      <c r="E39" s="535" t="n"/>
      <c r="F39" s="464" t="n"/>
      <c r="G39" s="493" t="n"/>
      <c r="H39" s="512" t="n"/>
      <c r="I39" s="536" t="n"/>
      <c r="J39" s="487" t="n"/>
    </row>
    <row r="40">
      <c r="A40" s="461" t="n"/>
      <c r="B40" s="503" t="n"/>
      <c r="C40" s="481" t="inlineStr">
        <is>
          <t>PENDAPATAN LAINNYA</t>
        </is>
      </c>
      <c r="D40" s="488" t="inlineStr">
        <is>
          <t>Rp</t>
        </is>
      </c>
      <c r="E40" s="489" t="n">
        <v>0</v>
      </c>
      <c r="F40" s="464" t="n"/>
      <c r="G40" s="490" t="inlineStr">
        <is>
          <t>MODAL</t>
        </is>
      </c>
      <c r="H40" s="491" t="n"/>
      <c r="I40" s="490" t="n"/>
      <c r="J40" s="492" t="n"/>
    </row>
    <row r="41">
      <c r="A41" s="461" t="n"/>
      <c r="B41" s="503" t="n"/>
      <c r="C41" s="481" t="n"/>
      <c r="D41" s="496" t="n"/>
      <c r="E41" s="537" t="n"/>
      <c r="F41" s="464" t="n"/>
      <c r="G41" s="493" t="n"/>
      <c r="H41" s="494" t="inlineStr">
        <is>
          <t>MODAL SAHAM</t>
        </is>
      </c>
      <c r="I41" s="488" t="inlineStr">
        <is>
          <t>Rp</t>
        </is>
      </c>
      <c r="J41" s="495" t="n">
        <v>0</v>
      </c>
    </row>
    <row r="42">
      <c r="A42" s="461" t="n"/>
      <c r="B42" s="498" t="inlineStr">
        <is>
          <t>LABA RUGI SEBELUM PAJAK</t>
        </is>
      </c>
      <c r="C42" s="499" t="n"/>
      <c r="D42" s="500" t="inlineStr">
        <is>
          <t>Rp</t>
        </is>
      </c>
      <c r="E42" s="501">
        <f>E12-E37</f>
        <v/>
      </c>
      <c r="F42" s="464" t="n"/>
      <c r="G42" s="493" t="n"/>
      <c r="H42" s="494" t="inlineStr">
        <is>
          <t>LABA DI TAHAN</t>
        </is>
      </c>
      <c r="I42" s="488" t="inlineStr">
        <is>
          <t>Rp</t>
        </is>
      </c>
      <c r="J42" s="495" t="n">
        <v>0</v>
      </c>
    </row>
    <row r="43">
      <c r="A43" s="461" t="n"/>
      <c r="B43" s="538" t="n"/>
      <c r="C43" s="532" t="n"/>
      <c r="D43" s="482" t="n"/>
      <c r="E43" s="502" t="n"/>
      <c r="F43" s="464" t="n"/>
      <c r="G43" s="490" t="n"/>
      <c r="H43" s="494" t="inlineStr">
        <is>
          <t>TOTAL LABA (RUGI) DITAHAN</t>
        </is>
      </c>
      <c r="I43" s="496" t="inlineStr">
        <is>
          <t>Rp</t>
        </is>
      </c>
      <c r="J43" s="519">
        <f>J28-J38-J41-J42</f>
        <v/>
      </c>
    </row>
    <row r="44">
      <c r="A44" s="461" t="n"/>
      <c r="B44" s="503" t="inlineStr">
        <is>
          <t>CORPORATE TAX (PPh 29)</t>
        </is>
      </c>
      <c r="D44" s="488" t="inlineStr">
        <is>
          <t>Rp</t>
        </is>
      </c>
      <c r="E44" s="489" t="n">
        <v>0</v>
      </c>
      <c r="F44" s="464" t="n"/>
      <c r="G44" s="507" t="n"/>
      <c r="H44" s="508" t="inlineStr">
        <is>
          <t>TOTAL MODAL</t>
        </is>
      </c>
      <c r="I44" s="500" t="inlineStr">
        <is>
          <t>Rp</t>
        </is>
      </c>
      <c r="J44" s="509">
        <f>SUM(J41:J43)</f>
        <v/>
      </c>
    </row>
    <row r="45">
      <c r="A45" s="461" t="n"/>
      <c r="B45" s="503" t="n"/>
      <c r="C45" s="481" t="n"/>
      <c r="D45" s="496" t="n"/>
      <c r="E45" s="537" t="n"/>
      <c r="F45" s="464" t="n"/>
      <c r="G45" s="493" t="n"/>
      <c r="H45" s="494" t="n"/>
      <c r="I45" s="520" t="n"/>
      <c r="J45" s="521" t="n"/>
    </row>
    <row r="46" ht="15" customHeight="1" s="297">
      <c r="A46" s="461" t="n"/>
      <c r="B46" s="539" t="inlineStr">
        <is>
          <t>LABA / RUGI BERSIH</t>
        </is>
      </c>
      <c r="C46" s="303" t="n"/>
      <c r="D46" s="540" t="n"/>
      <c r="E46" s="541">
        <f>E42-E44</f>
        <v/>
      </c>
      <c r="F46" s="464" t="n"/>
      <c r="G46" s="542" t="inlineStr">
        <is>
          <t>TOTAL HUTANG DAN MODAL</t>
        </is>
      </c>
      <c r="H46" s="543" t="n"/>
      <c r="I46" s="540" t="inlineStr">
        <is>
          <t>Rp</t>
        </is>
      </c>
      <c r="J46" s="544">
        <f>J44+J38</f>
        <v/>
      </c>
    </row>
    <row r="47" ht="4.5" customHeight="1" s="297">
      <c r="A47" s="461" t="n"/>
      <c r="F47" s="464" t="n"/>
    </row>
    <row r="48" ht="50.65" customHeight="1" s="297">
      <c r="A48" s="461" t="n"/>
      <c r="F48" s="464" t="n"/>
      <c r="G48" s="545" t="n"/>
    </row>
    <row r="49" ht="16.75" customHeight="1" s="297">
      <c r="A49" s="461" t="n"/>
      <c r="B49" s="546" t="n"/>
      <c r="F49" s="464" t="n"/>
      <c r="G49" s="546" t="n"/>
    </row>
    <row r="50" ht="15.65" customHeight="1" s="297">
      <c r="A50" s="481" t="n"/>
      <c r="B50" s="547" t="inlineStr">
        <is>
          <t>Direktur</t>
        </is>
      </c>
      <c r="F50" s="464" t="n"/>
      <c r="G50" s="547" t="inlineStr">
        <is>
          <t>Direktur</t>
        </is>
      </c>
    </row>
    <row r="51">
      <c r="A51" s="481" t="n"/>
      <c r="F51" s="464" t="n"/>
    </row>
    <row r="52">
      <c r="A52" s="481" t="n"/>
      <c r="F52" s="464" t="n"/>
      <c r="J52" s="548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61" t="n"/>
      <c r="B1" s="461" t="n"/>
      <c r="C1" s="461" t="n"/>
      <c r="D1" s="461" t="n"/>
      <c r="E1" s="462" t="n"/>
    </row>
    <row r="2" ht="37.25" customHeight="1" s="297">
      <c r="A2" s="461" t="n"/>
      <c r="B2" s="461" t="n"/>
      <c r="C2" s="461" t="n"/>
      <c r="D2" s="461" t="n"/>
      <c r="E2" s="462" t="n"/>
    </row>
    <row r="3" ht="33.65" customHeight="1" s="297">
      <c r="A3" s="461" t="n"/>
      <c r="B3" s="463" t="inlineStr">
        <is>
          <t>PT. EXSPAN WIRELINE INDONESIA</t>
        </is>
      </c>
      <c r="F3" s="464" t="n"/>
    </row>
    <row r="4" ht="20.5" customHeight="1" s="297">
      <c r="A4" s="461" t="n"/>
      <c r="B4" s="466" t="inlineStr">
        <is>
          <t>BUSINESS SUMMARY | TAHUN 2024</t>
        </is>
      </c>
      <c r="F4" s="464" t="n"/>
    </row>
    <row r="5" ht="6" customHeight="1" s="297">
      <c r="A5" s="461" t="n"/>
      <c r="B5" s="461" t="n"/>
      <c r="C5" s="461" t="n"/>
      <c r="D5" s="461" t="n"/>
      <c r="E5" s="462" t="n"/>
      <c r="F5" s="464" t="n"/>
    </row>
    <row r="6" ht="19" customHeight="1" s="297">
      <c r="A6" s="461" t="n"/>
      <c r="B6" s="549" t="inlineStr">
        <is>
          <t>#</t>
        </is>
      </c>
      <c r="C6" s="549" t="inlineStr">
        <is>
          <t>Items</t>
        </is>
      </c>
      <c r="D6" s="550" t="inlineStr">
        <is>
          <t>Amount</t>
        </is>
      </c>
      <c r="E6" s="279" t="n"/>
      <c r="F6" s="464" t="n"/>
    </row>
    <row r="7" ht="19" customHeight="1" s="297">
      <c r="A7" s="461" t="n"/>
      <c r="B7" s="551" t="n">
        <v>1</v>
      </c>
      <c r="C7" s="552" t="inlineStr">
        <is>
          <t>Revenue</t>
        </is>
      </c>
      <c r="D7" s="553" t="inlineStr">
        <is>
          <t>Rp</t>
        </is>
      </c>
      <c r="E7" s="554">
        <f>'Revenue-Cost_2024'!F22</f>
        <v/>
      </c>
      <c r="F7" s="464" t="n"/>
    </row>
    <row r="8" ht="19" customHeight="1" s="297">
      <c r="A8" s="461" t="n"/>
      <c r="B8" s="551" t="n">
        <v>2</v>
      </c>
      <c r="C8" s="552" t="inlineStr">
        <is>
          <t>Revenue Diterima (Setelah Pajak)</t>
        </is>
      </c>
      <c r="D8" s="553" t="inlineStr">
        <is>
          <t>Rp</t>
        </is>
      </c>
      <c r="E8" s="554">
        <f>E7-'Revenue-Cost_2024'!N22</f>
        <v/>
      </c>
      <c r="F8" s="464" t="n"/>
    </row>
    <row r="9" ht="19" customHeight="1" s="297">
      <c r="A9" s="461" t="n"/>
      <c r="B9" s="551" t="n">
        <v>3</v>
      </c>
      <c r="C9" s="552" t="inlineStr">
        <is>
          <t>Biaya</t>
        </is>
      </c>
      <c r="D9" s="553" t="inlineStr">
        <is>
          <t>Rp</t>
        </is>
      </c>
      <c r="E9" s="554">
        <f>SUM('Revenue-Cost_2024'!I750:Q750)</f>
        <v/>
      </c>
      <c r="F9" s="464" t="n"/>
    </row>
    <row r="10" ht="19" customHeight="1" s="297">
      <c r="A10" s="461" t="n"/>
      <c r="B10" s="551" t="n">
        <v>4</v>
      </c>
      <c r="C10" s="552" t="inlineStr">
        <is>
          <t>Profit SebelumTax</t>
        </is>
      </c>
      <c r="D10" s="553" t="inlineStr">
        <is>
          <t>Rp</t>
        </is>
      </c>
      <c r="E10" s="554">
        <f>E7-E9</f>
        <v/>
      </c>
      <c r="F10" s="464" t="n"/>
    </row>
    <row r="11" ht="19" customHeight="1" s="297">
      <c r="A11" s="461" t="n"/>
      <c r="B11" s="551" t="n">
        <v>5</v>
      </c>
      <c r="C11" s="552" t="inlineStr">
        <is>
          <t>PPh Badan (22%*50%)</t>
        </is>
      </c>
      <c r="D11" s="553" t="inlineStr">
        <is>
          <t>Rp</t>
        </is>
      </c>
      <c r="E11" s="554">
        <f>E10*22%*50%</f>
        <v/>
      </c>
      <c r="F11" s="464" t="n"/>
    </row>
    <row r="12" ht="19" customHeight="1" s="297">
      <c r="A12" s="461" t="n"/>
      <c r="B12" s="551" t="n">
        <v>6</v>
      </c>
      <c r="C12" s="552" t="inlineStr">
        <is>
          <t>PPh 23 Dipotong oleh client</t>
        </is>
      </c>
      <c r="D12" s="553" t="inlineStr">
        <is>
          <t>Rp</t>
        </is>
      </c>
      <c r="E12" s="554">
        <f>'Revenue-Cost_2024'!N22</f>
        <v/>
      </c>
      <c r="F12" s="464" t="n"/>
    </row>
    <row r="13" ht="19" customHeight="1" s="297">
      <c r="A13" s="461" t="n"/>
      <c r="B13" s="551" t="n">
        <v>7</v>
      </c>
      <c r="C13" s="552" t="inlineStr">
        <is>
          <t>Kekurangan Bayar PPh Badan</t>
        </is>
      </c>
      <c r="D13" s="553" t="inlineStr">
        <is>
          <t>Rp</t>
        </is>
      </c>
      <c r="E13" s="555">
        <f>E11-E12</f>
        <v/>
      </c>
      <c r="F13" s="464" t="n"/>
    </row>
    <row r="14" ht="19" customHeight="1" s="297">
      <c r="A14" s="461" t="n"/>
      <c r="B14" s="551" t="n">
        <v>8</v>
      </c>
      <c r="C14" s="552" t="inlineStr">
        <is>
          <t>Profit After Tax</t>
        </is>
      </c>
      <c r="D14" s="553" t="inlineStr">
        <is>
          <t>Rp</t>
        </is>
      </c>
      <c r="E14" s="554">
        <f>E10-E13</f>
        <v/>
      </c>
      <c r="F14" s="464" t="n"/>
    </row>
    <row r="15" ht="19" customHeight="1" s="297">
      <c r="A15" s="461" t="n"/>
      <c r="B15" s="551" t="n">
        <v>9</v>
      </c>
      <c r="C15" s="552" t="inlineStr">
        <is>
          <t>Deviden Dibagi</t>
        </is>
      </c>
      <c r="D15" s="553" t="inlineStr">
        <is>
          <t>Rp</t>
        </is>
      </c>
      <c r="E15" s="554">
        <f>E14-E16</f>
        <v/>
      </c>
      <c r="F15" s="464" t="n"/>
    </row>
    <row r="16" ht="19" customHeight="1" s="297">
      <c r="A16" s="461" t="n"/>
      <c r="B16" s="551" t="n">
        <v>10</v>
      </c>
      <c r="C16" s="552" t="inlineStr">
        <is>
          <t>Profit Ditahan</t>
        </is>
      </c>
      <c r="D16" s="553" t="inlineStr">
        <is>
          <t>Rp</t>
        </is>
      </c>
      <c r="E16" s="554" t="n">
        <v>33763737</v>
      </c>
      <c r="F16" s="464" t="n"/>
    </row>
    <row r="17">
      <c r="A17" s="461" t="n"/>
      <c r="B17" s="461" t="n"/>
      <c r="C17" s="461" t="n"/>
      <c r="D17" s="461" t="n"/>
      <c r="E17" s="462" t="n"/>
      <c r="F17" s="464" t="n"/>
    </row>
    <row r="18" ht="18" customHeight="1" s="297">
      <c r="A18" s="461" t="n"/>
      <c r="B18" s="556" t="inlineStr">
        <is>
          <t>DEVIDEN</t>
        </is>
      </c>
      <c r="F18" s="464" t="n"/>
    </row>
    <row r="19" ht="19" customHeight="1" s="297">
      <c r="A19" s="461" t="n"/>
      <c r="B19" s="557" t="inlineStr">
        <is>
          <t>#</t>
        </is>
      </c>
      <c r="C19" s="557" t="inlineStr">
        <is>
          <t>Nama Lengkap</t>
        </is>
      </c>
      <c r="D19" s="557" t="inlineStr"/>
      <c r="E19" s="558" t="inlineStr">
        <is>
          <t>Amount</t>
        </is>
      </c>
      <c r="F19" s="464" t="inlineStr"/>
      <c r="G19" s="559" t="inlineStr">
        <is>
          <t>Pajak</t>
        </is>
      </c>
    </row>
    <row r="20" ht="19" customHeight="1" s="297">
      <c r="A20" s="461" t="n"/>
      <c r="B20" s="560" t="n">
        <v>1</v>
      </c>
      <c r="C20" s="561" t="inlineStr">
        <is>
          <t>Anevril Chairulsyah</t>
        </is>
      </c>
      <c r="D20" s="561" t="inlineStr">
        <is>
          <t>Rp</t>
        </is>
      </c>
      <c r="E20" s="562">
        <f>IF(C20="","",INT($E$15/COUNTA($C$20:$C$21)))</f>
        <v/>
      </c>
      <c r="F20" s="464" t="n"/>
      <c r="G20" s="563" t="inlineStr">
        <is>
          <t>Pajak 10%</t>
        </is>
      </c>
    </row>
    <row r="21" ht="48.75" customHeight="1" s="297">
      <c r="A21" s="481" t="n"/>
      <c r="B21" s="564" t="n">
        <v>2</v>
      </c>
      <c r="C21" s="564" t="inlineStr">
        <is>
          <t>Alan Muhadjir</t>
        </is>
      </c>
      <c r="D21" s="564" t="inlineStr">
        <is>
          <t>Rp</t>
        </is>
      </c>
      <c r="E21" s="565">
        <f>IF(C21="","",INT($E$15/COUNTA($C$20:$C$21)))</f>
        <v/>
      </c>
      <c r="F21" s="464" t="n"/>
      <c r="G21" t="inlineStr">
        <is>
          <t>Pajak 10%</t>
        </is>
      </c>
    </row>
    <row r="22">
      <c r="A22" s="481" t="n"/>
      <c r="F22" s="46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2026-03-29T13:07:29Z</dcterms:modified>
  <cp:lastModifiedBy>Diofavian - Student</cp:lastModifiedBy>
</cp:coreProperties>
</file>