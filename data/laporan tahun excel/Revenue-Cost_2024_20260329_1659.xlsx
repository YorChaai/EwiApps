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36" fillId="5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36" fillId="5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409" t="inlineStr">
        <is>
          <t>TIS-Blora Field-PLT ALFA BHS by BARIKIN - IC</t>
        </is>
      </c>
      <c r="E400" s="410" t="n"/>
      <c r="F400" s="411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2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2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3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4" t="n"/>
      <c r="C454" s="384" t="n"/>
      <c r="D454" s="415" t="n"/>
      <c r="E454" s="415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6" t="n"/>
      <c r="J503" s="416" t="n"/>
      <c r="K503" s="416" t="n"/>
      <c r="L503" s="416" t="n"/>
      <c r="M503" s="416" t="n"/>
      <c r="N503" s="416" t="n"/>
      <c r="O503" s="416" t="n"/>
      <c r="P503" s="416" t="n"/>
      <c r="Q503" s="416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7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7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8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9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9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9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8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9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8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9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20" t="n"/>
      <c r="H532" s="421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9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2" t="n"/>
      <c r="C589" s="422" t="n"/>
      <c r="D589" s="423" t="inlineStr">
        <is>
          <t>Meal</t>
        </is>
      </c>
      <c r="E589" s="424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5" t="n"/>
      <c r="C654" s="426" t="n"/>
      <c r="D654" s="315" t="inlineStr">
        <is>
          <t>Shipping</t>
        </is>
      </c>
      <c r="E654" s="427" t="n"/>
      <c r="F654" s="428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9" t="n">
        <v>45572</v>
      </c>
      <c r="C655" s="426" t="n">
        <v>1</v>
      </c>
      <c r="D655" s="430" t="inlineStr">
        <is>
          <t>Materai 6 pcs</t>
        </is>
      </c>
      <c r="E655" s="430" t="n"/>
      <c r="F655" s="431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9" t="n">
        <v>45555</v>
      </c>
      <c r="C656" s="426" t="n">
        <v>2</v>
      </c>
      <c r="D656" s="430" t="inlineStr">
        <is>
          <t>JNE courier</t>
        </is>
      </c>
      <c r="E656" s="430" t="n"/>
      <c r="F656" s="432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9" t="n"/>
      <c r="C657" s="426" t="n"/>
      <c r="D657" s="433" t="inlineStr">
        <is>
          <t>Transportation</t>
        </is>
      </c>
      <c r="E657" s="430" t="n"/>
      <c r="F657" s="434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9" t="n">
        <v>45560</v>
      </c>
      <c r="C658" s="426" t="n">
        <v>3</v>
      </c>
      <c r="D658" s="430" t="inlineStr">
        <is>
          <t>POS courier</t>
        </is>
      </c>
      <c r="E658" s="430" t="n"/>
      <c r="F658" s="435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9" t="n">
        <v>45574</v>
      </c>
      <c r="C659" s="426" t="n">
        <v>4</v>
      </c>
      <c r="D659" s="430" t="inlineStr">
        <is>
          <t>POS courier</t>
        </is>
      </c>
      <c r="E659" s="430" t="n"/>
      <c r="F659" s="435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9" t="n">
        <v>45579</v>
      </c>
      <c r="C660" s="426" t="n">
        <v>5</v>
      </c>
      <c r="D660" s="430" t="inlineStr">
        <is>
          <t>JNE courier</t>
        </is>
      </c>
      <c r="E660" s="430" t="n"/>
      <c r="F660" s="435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9" t="n">
        <v>45579</v>
      </c>
      <c r="C661" s="426" t="n">
        <v>6</v>
      </c>
      <c r="D661" s="430" t="inlineStr">
        <is>
          <t>Materai 10 pcs</t>
        </is>
      </c>
      <c r="E661" s="430" t="n"/>
      <c r="F661" s="435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9" t="n">
        <v>45582</v>
      </c>
      <c r="C662" s="426" t="n">
        <v>7</v>
      </c>
      <c r="D662" s="430" t="inlineStr">
        <is>
          <t>Materai 5 pcs</t>
        </is>
      </c>
      <c r="E662" s="430" t="n"/>
      <c r="F662" s="435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9" t="n">
        <v>45617</v>
      </c>
      <c r="C663" s="426" t="n">
        <v>8</v>
      </c>
      <c r="D663" s="430" t="inlineStr">
        <is>
          <t>Materai 10 pcs</t>
        </is>
      </c>
      <c r="E663" s="430" t="n"/>
      <c r="F663" s="435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9" t="n">
        <v>45579</v>
      </c>
      <c r="C664" s="426" t="n">
        <v>9</v>
      </c>
      <c r="D664" s="430" t="inlineStr">
        <is>
          <t>GoCar to Elnusa PP</t>
        </is>
      </c>
      <c r="E664" s="430" t="n"/>
      <c r="F664" s="435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9" t="n">
        <v>45579</v>
      </c>
      <c r="C665" s="426" t="n">
        <v>10</v>
      </c>
      <c r="D665" s="430" t="inlineStr">
        <is>
          <t>Tol &amp; parking fee</t>
        </is>
      </c>
      <c r="E665" s="430" t="n"/>
      <c r="F665" s="435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9" t="n">
        <v>45582</v>
      </c>
      <c r="C666" s="426" t="n">
        <v>11</v>
      </c>
      <c r="D666" s="430" t="inlineStr">
        <is>
          <t>GoCar to Elnusa PP</t>
        </is>
      </c>
      <c r="E666" s="430" t="n"/>
      <c r="F666" s="435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9" t="n">
        <v>45582</v>
      </c>
      <c r="C667" s="426" t="n">
        <v>12</v>
      </c>
      <c r="D667" s="430" t="inlineStr">
        <is>
          <t>Tol &amp; parking fee</t>
        </is>
      </c>
      <c r="E667" s="430" t="n"/>
      <c r="F667" s="435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9" t="n">
        <v>45617</v>
      </c>
      <c r="C668" s="426" t="n">
        <v>13</v>
      </c>
      <c r="D668" s="430" t="inlineStr">
        <is>
          <t>GoCar to Elnusa PP</t>
        </is>
      </c>
      <c r="E668" s="430" t="n"/>
      <c r="F668" s="435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6" t="n"/>
      <c r="C669" s="437" t="n"/>
      <c r="D669" s="438" t="n"/>
      <c r="E669" s="438" t="n"/>
      <c r="F669" s="439" t="n"/>
      <c r="G669" s="384" t="n"/>
      <c r="H669" s="384" t="n"/>
      <c r="I669" s="440" t="n"/>
      <c r="J669" s="440" t="n"/>
      <c r="K669" s="440" t="n"/>
      <c r="L669" s="440" t="n"/>
      <c r="M669" s="440" t="n"/>
      <c r="N669" s="440" t="n"/>
      <c r="O669" s="440" t="n"/>
      <c r="P669" s="440" t="n"/>
      <c r="Q669" s="440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9" t="n">
        <v>45617</v>
      </c>
      <c r="C670" s="426" t="n">
        <v>14</v>
      </c>
      <c r="D670" s="430" t="inlineStr">
        <is>
          <t>Tol &amp; parking fee</t>
        </is>
      </c>
      <c r="E670" s="430" t="n"/>
      <c r="F670" s="435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9" t="n">
        <v>45636</v>
      </c>
      <c r="C671" s="426" t="n">
        <v>15</v>
      </c>
      <c r="D671" s="430" t="inlineStr">
        <is>
          <t>GoCar to Elnusa PP</t>
        </is>
      </c>
      <c r="E671" s="430" t="n"/>
      <c r="F671" s="435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9" t="n">
        <v>45636</v>
      </c>
      <c r="C672" s="426" t="n">
        <v>16</v>
      </c>
      <c r="D672" s="430" t="inlineStr">
        <is>
          <t>Tol &amp; parking fee</t>
        </is>
      </c>
      <c r="E672" s="430" t="n"/>
      <c r="F672" s="435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1" t="n"/>
      <c r="C673" s="437" t="n"/>
      <c r="D673" s="442" t="n"/>
      <c r="E673" s="442" t="n"/>
      <c r="F673" s="439" t="n"/>
      <c r="G673" s="384" t="n"/>
      <c r="H673" s="384" t="n"/>
      <c r="I673" s="392" t="n"/>
      <c r="J673" s="440" t="n"/>
      <c r="K673" s="440" t="n"/>
      <c r="L673" s="440" t="n"/>
      <c r="M673" s="440" t="n"/>
      <c r="N673" s="440" t="n"/>
      <c r="O673" s="440" t="n"/>
      <c r="P673" s="440" t="n"/>
      <c r="Q673" s="440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1" t="n"/>
      <c r="C674" s="437" t="n"/>
      <c r="D674" s="442" t="n"/>
      <c r="E674" s="442" t="n"/>
      <c r="F674" s="439" t="n"/>
      <c r="G674" s="384" t="n"/>
      <c r="H674" s="384" t="n"/>
      <c r="I674" s="392" t="n"/>
      <c r="J674" s="440" t="n"/>
      <c r="K674" s="440" t="n"/>
      <c r="L674" s="440" t="n"/>
      <c r="M674" s="440" t="n"/>
      <c r="N674" s="440" t="n"/>
      <c r="O674" s="440" t="n"/>
      <c r="P674" s="440" t="n"/>
      <c r="Q674" s="440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1" t="n"/>
      <c r="C675" s="437" t="n"/>
      <c r="D675" s="442" t="n"/>
      <c r="E675" s="442" t="n"/>
      <c r="F675" s="439" t="n"/>
      <c r="G675" s="384" t="n"/>
      <c r="H675" s="384" t="n"/>
      <c r="I675" s="392" t="n"/>
      <c r="J675" s="440" t="n"/>
      <c r="K675" s="440" t="n"/>
      <c r="L675" s="440" t="n"/>
      <c r="M675" s="440" t="n"/>
      <c r="N675" s="440" t="n"/>
      <c r="O675" s="440" t="n"/>
      <c r="P675" s="440" t="n"/>
      <c r="Q675" s="440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1" t="n"/>
      <c r="C676" s="437" t="n"/>
      <c r="D676" s="442" t="n"/>
      <c r="E676" s="442" t="n"/>
      <c r="F676" s="439" t="n"/>
      <c r="G676" s="384" t="n"/>
      <c r="H676" s="384" t="n"/>
      <c r="I676" s="392" t="n"/>
      <c r="J676" s="440" t="n"/>
      <c r="K676" s="440" t="n"/>
      <c r="L676" s="440" t="n"/>
      <c r="M676" s="440" t="n"/>
      <c r="N676" s="440" t="n"/>
      <c r="O676" s="440" t="n"/>
      <c r="P676" s="440" t="n"/>
      <c r="Q676" s="440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1" t="n"/>
      <c r="C677" s="437" t="n"/>
      <c r="D677" s="442" t="n"/>
      <c r="E677" s="442" t="n"/>
      <c r="F677" s="439" t="n"/>
      <c r="G677" s="384" t="n"/>
      <c r="H677" s="384" t="n"/>
      <c r="I677" s="392" t="n"/>
      <c r="J677" s="440" t="n"/>
      <c r="K677" s="440" t="n"/>
      <c r="L677" s="440" t="n"/>
      <c r="M677" s="440" t="n"/>
      <c r="N677" s="440" t="n"/>
      <c r="O677" s="440" t="n"/>
      <c r="P677" s="440" t="n"/>
      <c r="Q677" s="440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3" t="inlineStr">
        <is>
          <t>Expense#41</t>
        </is>
      </c>
      <c r="C678" s="358" t="inlineStr">
        <is>
          <t>:</t>
        </is>
      </c>
      <c r="D678" s="444" t="inlineStr">
        <is>
          <t>Starlink Kit_DS</t>
        </is>
      </c>
      <c r="E678" s="445" t="n"/>
      <c r="F678" s="446" t="n"/>
      <c r="G678" s="358" t="n"/>
      <c r="H678" s="358" t="n"/>
      <c r="I678" s="447" t="n"/>
      <c r="J678" s="447" t="n"/>
      <c r="K678" s="447" t="n"/>
      <c r="L678" s="447" t="n"/>
      <c r="M678" s="447" t="n"/>
      <c r="N678" s="447" t="n"/>
      <c r="O678" s="447" t="n"/>
      <c r="P678" s="447" t="n"/>
      <c r="Q678" s="447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3" t="inlineStr">
        <is>
          <t>Expense#42</t>
        </is>
      </c>
      <c r="C680" s="358" t="inlineStr">
        <is>
          <t>:</t>
        </is>
      </c>
      <c r="D680" s="444" t="inlineStr">
        <is>
          <t>Pelican Case 1650 TMA</t>
        </is>
      </c>
      <c r="E680" s="445" t="n"/>
      <c r="F680" s="446" t="n"/>
      <c r="G680" s="358" t="n"/>
      <c r="H680" s="358" t="n"/>
      <c r="I680" s="447" t="n"/>
      <c r="J680" s="447" t="n"/>
      <c r="K680" s="447" t="n"/>
      <c r="L680" s="447" t="n"/>
      <c r="M680" s="447" t="n"/>
      <c r="N680" s="447" t="n"/>
      <c r="O680" s="447" t="n"/>
      <c r="P680" s="447" t="n"/>
      <c r="Q680" s="447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8" t="inlineStr">
        <is>
          <t>Pelican Case 1650</t>
        </is>
      </c>
      <c r="E681" s="448" t="n"/>
      <c r="F681" s="449" t="n">
        <v>8156000</v>
      </c>
      <c r="G681" s="450" t="inlineStr">
        <is>
          <t>IDR</t>
        </is>
      </c>
      <c r="H681" s="451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6" t="n"/>
      <c r="G682" s="358" t="n"/>
      <c r="H682" s="358" t="n"/>
      <c r="I682" s="447" t="n"/>
      <c r="J682" s="447" t="n"/>
      <c r="K682" s="447" t="n"/>
      <c r="L682" s="447" t="n"/>
      <c r="M682" s="447" t="n"/>
      <c r="N682" s="447" t="n"/>
      <c r="O682" s="447" t="n"/>
      <c r="P682" s="447" t="n"/>
      <c r="Q682" s="447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2" t="n"/>
      <c r="C683" s="452" t="n"/>
      <c r="D683" s="453" t="inlineStr">
        <is>
          <t>Medical</t>
        </is>
      </c>
      <c r="E683" s="448" t="n"/>
      <c r="F683" s="452" t="n"/>
      <c r="G683" s="450" t="n"/>
      <c r="H683" s="450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7" t="n"/>
      <c r="J699" s="447" t="n"/>
      <c r="K699" s="447" t="n"/>
      <c r="L699" s="447" t="n"/>
      <c r="M699" s="447" t="n"/>
      <c r="N699" s="447" t="n"/>
      <c r="O699" s="447" t="n"/>
      <c r="P699" s="447" t="n"/>
      <c r="Q699" s="447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5" t="n"/>
      <c r="E709" s="415" t="n"/>
      <c r="F709" s="386" t="n"/>
      <c r="G709" s="384" t="n"/>
      <c r="H709" s="384" t="n"/>
      <c r="I709" s="440" t="n"/>
      <c r="J709" s="440" t="n"/>
      <c r="K709" s="440" t="n"/>
      <c r="L709" s="440" t="n"/>
      <c r="M709" s="440" t="n"/>
      <c r="N709" s="440" t="n"/>
      <c r="O709" s="440" t="n"/>
      <c r="P709" s="440" t="n"/>
      <c r="Q709" s="440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4" t="n"/>
      <c r="F710" s="361" t="n"/>
      <c r="G710" s="375" t="n"/>
      <c r="H710" s="375" t="n"/>
      <c r="I710" s="447" t="n"/>
      <c r="J710" s="447" t="n"/>
      <c r="K710" s="447" t="n"/>
      <c r="L710" s="447" t="n"/>
      <c r="M710" s="447" t="n"/>
      <c r="N710" s="447" t="n"/>
      <c r="O710" s="447" t="n"/>
      <c r="P710" s="447" t="n"/>
      <c r="Q710" s="447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5" t="n"/>
      <c r="C711" s="314" t="n"/>
      <c r="D711" s="456" t="inlineStr">
        <is>
          <t>IT Services</t>
        </is>
      </c>
      <c r="E711" s="455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7" t="n">
        <v>45307</v>
      </c>
      <c r="C712" s="327" t="n">
        <v>1</v>
      </c>
      <c r="D712" s="458" t="inlineStr">
        <is>
          <t>Google Workspace PT. EWI</t>
        </is>
      </c>
      <c r="E712" s="458" t="n"/>
      <c r="F712" s="459" t="n">
        <v>306982</v>
      </c>
      <c r="G712" s="327" t="inlineStr">
        <is>
          <t>IDR</t>
        </is>
      </c>
      <c r="H712" s="460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7" t="n">
        <v>45338</v>
      </c>
      <c r="C713" s="327" t="n">
        <v>2</v>
      </c>
      <c r="D713" s="458" t="inlineStr">
        <is>
          <t>Google Workspace PT. EWI</t>
        </is>
      </c>
      <c r="E713" s="458" t="n"/>
      <c r="F713" s="459" t="n">
        <v>306982</v>
      </c>
      <c r="G713" s="327" t="inlineStr">
        <is>
          <t>IDR</t>
        </is>
      </c>
      <c r="H713" s="460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7" t="n">
        <v>45367</v>
      </c>
      <c r="C714" s="327" t="n">
        <v>3</v>
      </c>
      <c r="D714" s="458" t="inlineStr">
        <is>
          <t>Google Workspace PT. EWI</t>
        </is>
      </c>
      <c r="E714" s="458" t="n"/>
      <c r="F714" s="459" t="n">
        <v>306982</v>
      </c>
      <c r="G714" s="327" t="inlineStr">
        <is>
          <t>IDR</t>
        </is>
      </c>
      <c r="H714" s="460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7" t="n">
        <v>45398</v>
      </c>
      <c r="C715" s="327" t="n">
        <v>4</v>
      </c>
      <c r="D715" s="461" t="inlineStr">
        <is>
          <t>Google Workspace PT. EWI</t>
        </is>
      </c>
      <c r="E715" s="461" t="n"/>
      <c r="F715" s="459" t="n">
        <v>306982</v>
      </c>
      <c r="G715" s="327" t="inlineStr">
        <is>
          <t>IDR</t>
        </is>
      </c>
      <c r="H715" s="460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7" t="n">
        <v>45428</v>
      </c>
      <c r="C716" s="327" t="n">
        <v>5</v>
      </c>
      <c r="D716" s="461" t="inlineStr">
        <is>
          <t>Google Workspace PT. EWI</t>
        </is>
      </c>
      <c r="E716" s="461" t="n"/>
      <c r="F716" s="459" t="n">
        <v>306982</v>
      </c>
      <c r="G716" s="327" t="inlineStr">
        <is>
          <t>IDR</t>
        </is>
      </c>
      <c r="H716" s="460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7" t="n">
        <v>45646</v>
      </c>
      <c r="C717" s="327" t="n">
        <v>6</v>
      </c>
      <c r="D717" s="458" t="inlineStr">
        <is>
          <t>Taxi Home to KCIC Train station</t>
        </is>
      </c>
      <c r="E717" s="458" t="n"/>
      <c r="F717" s="459" t="n">
        <v>100000</v>
      </c>
      <c r="G717" s="327" t="inlineStr">
        <is>
          <t>IDR</t>
        </is>
      </c>
      <c r="H717" s="460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7" t="n">
        <v>45646</v>
      </c>
      <c r="C718" s="327" t="n">
        <v>7</v>
      </c>
      <c r="D718" s="458" t="inlineStr">
        <is>
          <t>Train Round trip Jakarta - Bandung @200K/trip</t>
        </is>
      </c>
      <c r="E718" s="458" t="n"/>
      <c r="F718" s="459" t="n">
        <v>400000</v>
      </c>
      <c r="G718" s="327" t="inlineStr">
        <is>
          <t>IDR</t>
        </is>
      </c>
      <c r="H718" s="460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7" t="n">
        <v>45647</v>
      </c>
      <c r="C719" s="327" t="n">
        <v>8</v>
      </c>
      <c r="D719" s="461" t="inlineStr">
        <is>
          <t>Hotel 1 night 20 - 21 Dec 2024</t>
        </is>
      </c>
      <c r="E719" s="461" t="n"/>
      <c r="F719" s="459" t="n">
        <v>784000</v>
      </c>
      <c r="G719" s="327" t="inlineStr">
        <is>
          <t>IDR</t>
        </is>
      </c>
      <c r="H719" s="460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5" t="n"/>
      <c r="C720" s="327" t="n"/>
      <c r="D720" s="456" t="inlineStr">
        <is>
          <t>Training</t>
        </is>
      </c>
      <c r="E720" s="455" t="n"/>
      <c r="F720" s="462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3" t="n">
        <v>45647</v>
      </c>
      <c r="C721" s="327" t="n">
        <v>9</v>
      </c>
      <c r="D721" s="458" t="inlineStr">
        <is>
          <t>Taxi from KCIC Stationa Halim to Home</t>
        </is>
      </c>
      <c r="E721" s="458" t="n"/>
      <c r="F721" s="459" t="n">
        <v>100000</v>
      </c>
      <c r="G721" s="327" t="inlineStr">
        <is>
          <t>IDR</t>
        </is>
      </c>
      <c r="H721" s="460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7" t="n">
        <v>45647</v>
      </c>
      <c r="C722" s="327" t="n">
        <v>10</v>
      </c>
      <c r="D722" s="458" t="inlineStr">
        <is>
          <t>Meals 2 days @ 150,000/day</t>
        </is>
      </c>
      <c r="E722" s="458" t="n"/>
      <c r="F722" s="459" t="n">
        <v>300000</v>
      </c>
      <c r="G722" s="327" t="inlineStr">
        <is>
          <t>IDR</t>
        </is>
      </c>
      <c r="H722" s="460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7" t="n">
        <v>45335</v>
      </c>
      <c r="C723" s="327" t="n">
        <v>11</v>
      </c>
      <c r="D723" s="461" t="inlineStr">
        <is>
          <t>Shipment Benchmark DTR to Malaysia</t>
        </is>
      </c>
      <c r="E723" s="461" t="n"/>
      <c r="F723" s="459" t="n">
        <v>13201183.322</v>
      </c>
      <c r="G723" s="327" t="inlineStr">
        <is>
          <t>MYR</t>
        </is>
      </c>
      <c r="H723" s="460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5" t="n"/>
      <c r="C724" s="327" t="n"/>
      <c r="D724" s="456" t="inlineStr">
        <is>
          <t>Trip</t>
        </is>
      </c>
      <c r="E724" s="455" t="n"/>
      <c r="F724" s="462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7" t="n">
        <v>45362</v>
      </c>
      <c r="C725" s="327" t="n">
        <v>12</v>
      </c>
      <c r="D725" s="458" t="inlineStr">
        <is>
          <t>Taxi Home - CGK Airport</t>
        </is>
      </c>
      <c r="E725" s="458" t="n"/>
      <c r="F725" s="459" t="n">
        <v>200000</v>
      </c>
      <c r="G725" s="327" t="inlineStr">
        <is>
          <t>IDR</t>
        </is>
      </c>
      <c r="H725" s="460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4" t="n"/>
      <c r="C726" s="465" t="n"/>
      <c r="D726" s="464" t="n"/>
      <c r="E726" s="464" t="n"/>
      <c r="F726" s="466" t="n"/>
      <c r="G726" s="465" t="n"/>
      <c r="H726" s="465" t="n"/>
      <c r="I726" s="440" t="n"/>
      <c r="J726" s="440" t="n"/>
      <c r="K726" s="440" t="n"/>
      <c r="L726" s="440" t="n"/>
      <c r="M726" s="440" t="n"/>
      <c r="N726" s="440" t="n"/>
      <c r="O726" s="440" t="n"/>
      <c r="P726" s="440" t="n"/>
      <c r="Q726" s="440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3" t="n">
        <v>45362</v>
      </c>
      <c r="C727" s="327" t="n">
        <v>13</v>
      </c>
      <c r="D727" s="458" t="inlineStr">
        <is>
          <t>Flight CGK-KUL + Hotel 1 night</t>
        </is>
      </c>
      <c r="E727" s="458" t="n"/>
      <c r="F727" s="459" t="n">
        <v>1803353</v>
      </c>
      <c r="G727" s="327" t="inlineStr">
        <is>
          <t>IDR</t>
        </is>
      </c>
      <c r="H727" s="460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3" t="n">
        <v>45362</v>
      </c>
      <c r="C728" s="327" t="n">
        <v>14</v>
      </c>
      <c r="D728" s="458" t="inlineStr">
        <is>
          <t>Train KLIA Airport to Hyperseal</t>
        </is>
      </c>
      <c r="E728" s="458" t="n"/>
      <c r="F728" s="459" t="n">
        <v>181844.5</v>
      </c>
      <c r="G728" s="327" t="inlineStr">
        <is>
          <t>MYR</t>
        </is>
      </c>
      <c r="H728" s="460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3" t="n">
        <v>45363</v>
      </c>
      <c r="C729" s="327" t="n">
        <v>15</v>
      </c>
      <c r="D729" s="461" t="inlineStr">
        <is>
          <t>Flight KUL- CGK</t>
        </is>
      </c>
      <c r="E729" s="461" t="n"/>
      <c r="F729" s="459" t="n">
        <v>1897983</v>
      </c>
      <c r="G729" s="327" t="inlineStr">
        <is>
          <t>IDR</t>
        </is>
      </c>
      <c r="H729" s="460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3" t="n">
        <v>45363</v>
      </c>
      <c r="C730" s="327" t="n">
        <v>16</v>
      </c>
      <c r="D730" s="461" t="inlineStr">
        <is>
          <t>Train Hyperseal to KLIA Airport</t>
        </is>
      </c>
      <c r="E730" s="461" t="n"/>
      <c r="F730" s="459" t="n">
        <v>181844.5</v>
      </c>
      <c r="G730" s="327" t="inlineStr">
        <is>
          <t>MYR</t>
        </is>
      </c>
      <c r="H730" s="460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3" t="n">
        <v>45363</v>
      </c>
      <c r="C731" s="327" t="n">
        <v>17</v>
      </c>
      <c r="D731" s="461" t="inlineStr">
        <is>
          <t>Taxi CGK Airport to Home</t>
        </is>
      </c>
      <c r="E731" s="461" t="n"/>
      <c r="F731" s="459" t="n">
        <v>200000</v>
      </c>
      <c r="G731" s="327" t="inlineStr">
        <is>
          <t>IDR</t>
        </is>
      </c>
      <c r="H731" s="460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4" t="n"/>
      <c r="C732" s="465" t="n"/>
      <c r="D732" s="464" t="n"/>
      <c r="E732" s="464" t="n"/>
      <c r="F732" s="466" t="n"/>
      <c r="G732" s="465" t="n"/>
      <c r="H732" s="465" t="n"/>
      <c r="I732" s="440" t="n"/>
      <c r="J732" s="440" t="n"/>
      <c r="K732" s="440" t="n"/>
      <c r="L732" s="440" t="n"/>
      <c r="M732" s="440" t="n"/>
      <c r="N732" s="440" t="n"/>
      <c r="O732" s="440" t="n"/>
      <c r="P732" s="440" t="n"/>
      <c r="Q732" s="440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3" t="n">
        <v>45363</v>
      </c>
      <c r="C733" s="327" t="n">
        <v>18</v>
      </c>
      <c r="D733" s="458" t="inlineStr">
        <is>
          <t>Meals 2 days @ 300,000/day</t>
        </is>
      </c>
      <c r="E733" s="458" t="n"/>
      <c r="F733" s="459" t="n">
        <v>600000</v>
      </c>
      <c r="G733" s="327" t="inlineStr">
        <is>
          <t>IDR</t>
        </is>
      </c>
      <c r="H733" s="460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3" t="n">
        <v>45404</v>
      </c>
      <c r="C734" s="327" t="n">
        <v>19</v>
      </c>
      <c r="D734" s="458" t="inlineStr">
        <is>
          <t>Car 22-23 Apr 2024 (2 days) incl. Fuel &amp; Tol</t>
        </is>
      </c>
      <c r="E734" s="458" t="n"/>
      <c r="F734" s="459" t="n">
        <v>3000000</v>
      </c>
      <c r="G734" s="327" t="inlineStr">
        <is>
          <t>IDR</t>
        </is>
      </c>
      <c r="H734" s="460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3" t="n">
        <v>45405</v>
      </c>
      <c r="C735" s="327" t="n">
        <v>20</v>
      </c>
      <c r="D735" s="458" t="inlineStr">
        <is>
          <t>Tunjangan Lapangan @ 1.5 juta/day x 2 days</t>
        </is>
      </c>
      <c r="E735" s="458" t="n"/>
      <c r="F735" s="459" t="n">
        <v>3000000</v>
      </c>
      <c r="G735" s="327" t="inlineStr">
        <is>
          <t>IDR</t>
        </is>
      </c>
      <c r="H735" s="460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3" t="n">
        <v>45405</v>
      </c>
      <c r="C736" s="327" t="n">
        <v>21</v>
      </c>
      <c r="D736" s="458" t="inlineStr">
        <is>
          <t>Meals 2 days @ 150,000/day</t>
        </is>
      </c>
      <c r="E736" s="458" t="n"/>
      <c r="F736" s="459" t="n">
        <v>300000</v>
      </c>
      <c r="G736" s="327" t="inlineStr">
        <is>
          <t>IDR</t>
        </is>
      </c>
      <c r="H736" s="460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3" t="n">
        <v>45412</v>
      </c>
      <c r="C737" s="327" t="n">
        <v>22</v>
      </c>
      <c r="D737" s="458" t="inlineStr">
        <is>
          <t>Car 30 Apr-01 May 2024 (2 days) incl. Fuel &amp; Tol</t>
        </is>
      </c>
      <c r="E737" s="458" t="n"/>
      <c r="F737" s="459" t="n">
        <v>3000000</v>
      </c>
      <c r="G737" s="327" t="inlineStr">
        <is>
          <t>IDR</t>
        </is>
      </c>
      <c r="H737" s="460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7" t="n"/>
      <c r="C738" s="465" t="n"/>
      <c r="D738" s="468" t="n"/>
      <c r="E738" s="468" t="n"/>
      <c r="F738" s="466" t="n"/>
      <c r="G738" s="465" t="n"/>
      <c r="H738" s="465" t="n"/>
      <c r="I738" s="440" t="n"/>
      <c r="J738" s="440" t="n"/>
      <c r="K738" s="440" t="n"/>
      <c r="L738" s="440" t="n"/>
      <c r="M738" s="440" t="n"/>
      <c r="N738" s="440" t="n"/>
      <c r="O738" s="440" t="n"/>
      <c r="P738" s="440" t="n"/>
      <c r="Q738" s="440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7" t="n"/>
      <c r="C739" s="465" t="n"/>
      <c r="D739" s="468" t="n"/>
      <c r="E739" s="468" t="n"/>
      <c r="F739" s="466" t="n"/>
      <c r="G739" s="465" t="n"/>
      <c r="H739" s="465" t="n"/>
      <c r="I739" s="440" t="n"/>
      <c r="J739" s="440" t="n"/>
      <c r="K739" s="440" t="n"/>
      <c r="L739" s="440" t="n"/>
      <c r="M739" s="440" t="n"/>
      <c r="N739" s="440" t="n"/>
      <c r="O739" s="440" t="n"/>
      <c r="P739" s="440" t="n"/>
      <c r="Q739" s="440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7" t="n"/>
      <c r="C740" s="465" t="n"/>
      <c r="D740" s="468" t="n"/>
      <c r="E740" s="468" t="n"/>
      <c r="F740" s="466" t="n"/>
      <c r="G740" s="465" t="n"/>
      <c r="H740" s="465" t="n"/>
      <c r="I740" s="440" t="n"/>
      <c r="J740" s="440" t="n"/>
      <c r="K740" s="440" t="n"/>
      <c r="L740" s="440" t="n"/>
      <c r="M740" s="440" t="n"/>
      <c r="N740" s="440" t="n"/>
      <c r="O740" s="440" t="n"/>
      <c r="P740" s="440" t="n"/>
      <c r="Q740" s="440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7" t="n"/>
      <c r="C741" s="465" t="n"/>
      <c r="D741" s="468" t="n"/>
      <c r="E741" s="468" t="n"/>
      <c r="F741" s="466" t="n"/>
      <c r="G741" s="465" t="n"/>
      <c r="H741" s="465" t="n"/>
      <c r="I741" s="440" t="n"/>
      <c r="J741" s="440" t="n"/>
      <c r="K741" s="440" t="n"/>
      <c r="L741" s="440" t="n"/>
      <c r="M741" s="440" t="n"/>
      <c r="N741" s="440" t="n"/>
      <c r="O741" s="440" t="n"/>
      <c r="P741" s="440" t="n"/>
      <c r="Q741" s="440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7" t="n"/>
      <c r="C742" s="465" t="n"/>
      <c r="D742" s="468" t="n"/>
      <c r="E742" s="468" t="n"/>
      <c r="F742" s="466" t="n"/>
      <c r="G742" s="465" t="n"/>
      <c r="H742" s="465" t="n"/>
      <c r="I742" s="440" t="n"/>
      <c r="J742" s="440" t="n"/>
      <c r="K742" s="440" t="n"/>
      <c r="L742" s="440" t="n"/>
      <c r="M742" s="440" t="n"/>
      <c r="N742" s="440" t="n"/>
      <c r="O742" s="440" t="n"/>
      <c r="P742" s="440" t="n"/>
      <c r="Q742" s="440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7" t="n"/>
      <c r="C743" s="465" t="n"/>
      <c r="D743" s="468" t="n"/>
      <c r="E743" s="468" t="n"/>
      <c r="F743" s="466" t="n"/>
      <c r="G743" s="465" t="n"/>
      <c r="H743" s="465" t="n"/>
      <c r="I743" s="440" t="n"/>
      <c r="J743" s="440" t="n"/>
      <c r="K743" s="440" t="n"/>
      <c r="L743" s="440" t="n"/>
      <c r="M743" s="440" t="n"/>
      <c r="N743" s="440" t="n"/>
      <c r="O743" s="440" t="n"/>
      <c r="P743" s="440" t="n"/>
      <c r="Q743" s="440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7" t="n"/>
      <c r="C744" s="465" t="n"/>
      <c r="D744" s="468" t="n"/>
      <c r="E744" s="468" t="n"/>
      <c r="F744" s="466" t="n"/>
      <c r="G744" s="465" t="n"/>
      <c r="H744" s="465" t="n"/>
      <c r="I744" s="440" t="n"/>
      <c r="J744" s="440" t="n"/>
      <c r="K744" s="440" t="n"/>
      <c r="L744" s="440" t="n"/>
      <c r="M744" s="440" t="n"/>
      <c r="N744" s="440" t="n"/>
      <c r="O744" s="440" t="n"/>
      <c r="P744" s="440" t="n"/>
      <c r="Q744" s="440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7" t="n"/>
      <c r="C745" s="465" t="n"/>
      <c r="D745" s="468" t="n"/>
      <c r="E745" s="468" t="n"/>
      <c r="F745" s="466" t="n"/>
      <c r="G745" s="465" t="n"/>
      <c r="H745" s="465" t="n"/>
      <c r="I745" s="440" t="n"/>
      <c r="J745" s="440" t="n"/>
      <c r="K745" s="440" t="n"/>
      <c r="L745" s="440" t="n"/>
      <c r="M745" s="440" t="n"/>
      <c r="N745" s="440" t="n"/>
      <c r="O745" s="440" t="n"/>
      <c r="P745" s="440" t="n"/>
      <c r="Q745" s="440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7" t="n"/>
      <c r="C746" s="465" t="n"/>
      <c r="D746" s="468" t="n"/>
      <c r="E746" s="468" t="n"/>
      <c r="F746" s="466" t="n"/>
      <c r="G746" s="465" t="n"/>
      <c r="H746" s="465" t="n"/>
      <c r="I746" s="440" t="n"/>
      <c r="J746" s="440" t="n"/>
      <c r="K746" s="440" t="n"/>
      <c r="L746" s="440" t="n"/>
      <c r="M746" s="440" t="n"/>
      <c r="N746" s="440" t="n"/>
      <c r="O746" s="440" t="n"/>
      <c r="P746" s="440" t="n"/>
      <c r="Q746" s="440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7" t="n"/>
      <c r="C747" s="465" t="n"/>
      <c r="D747" s="468" t="n"/>
      <c r="E747" s="468" t="n"/>
      <c r="F747" s="466" t="n"/>
      <c r="G747" s="465" t="n"/>
      <c r="H747" s="465" t="n"/>
      <c r="I747" s="440" t="n"/>
      <c r="J747" s="440" t="n"/>
      <c r="K747" s="440" t="n"/>
      <c r="L747" s="440" t="n"/>
      <c r="M747" s="440" t="n"/>
      <c r="N747" s="440" t="n"/>
      <c r="O747" s="440" t="n"/>
      <c r="P747" s="440" t="n"/>
      <c r="Q747" s="440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7" t="n"/>
      <c r="C748" s="465" t="n"/>
      <c r="D748" s="468" t="n"/>
      <c r="E748" s="468" t="n"/>
      <c r="F748" s="466" t="n"/>
      <c r="G748" s="465" t="n"/>
      <c r="H748" s="465" t="n"/>
      <c r="I748" s="440" t="n"/>
      <c r="J748" s="440" t="n"/>
      <c r="K748" s="440" t="n"/>
      <c r="L748" s="440" t="n"/>
      <c r="M748" s="440" t="n"/>
      <c r="N748" s="440" t="n"/>
      <c r="O748" s="440" t="n"/>
      <c r="P748" s="440" t="n"/>
      <c r="Q748" s="440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7" t="n"/>
      <c r="C749" s="465" t="n"/>
      <c r="D749" s="468" t="n"/>
      <c r="E749" s="468" t="n"/>
      <c r="F749" s="466" t="n"/>
      <c r="G749" s="465" t="n"/>
      <c r="H749" s="465" t="n"/>
      <c r="I749" s="440" t="n"/>
      <c r="J749" s="440" t="n"/>
      <c r="K749" s="440" t="n"/>
      <c r="L749" s="440" t="n"/>
      <c r="M749" s="440" t="n"/>
      <c r="N749" s="440" t="n"/>
      <c r="O749" s="440" t="n"/>
      <c r="P749" s="440" t="n"/>
      <c r="Q749" s="440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7" t="n"/>
      <c r="C750" s="465" t="n"/>
      <c r="D750" s="468" t="n"/>
      <c r="E750" s="468" t="n"/>
      <c r="F750" s="466" t="n"/>
      <c r="G750" s="465" t="n"/>
      <c r="H750" s="465" t="n"/>
      <c r="I750" s="440" t="n">
        <v>991500000</v>
      </c>
      <c r="J750" s="440" t="n">
        <v>1165223146.932</v>
      </c>
      <c r="K750" s="440" t="n">
        <v>356012003</v>
      </c>
      <c r="L750" s="440" t="n">
        <v>367745000</v>
      </c>
      <c r="M750" s="440" t="n">
        <v>8769780</v>
      </c>
      <c r="N750" s="440" t="n">
        <v>200517570</v>
      </c>
      <c r="O750" s="440" t="n">
        <v>4995000</v>
      </c>
      <c r="P750" s="440" t="n">
        <v>38548717.5</v>
      </c>
      <c r="Q750" s="440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7" t="n"/>
      <c r="C751" s="465" t="n"/>
      <c r="D751" s="468" t="n"/>
      <c r="E751" s="468" t="n"/>
      <c r="F751" s="466" t="n"/>
      <c r="G751" s="465" t="n"/>
      <c r="H751" s="465" t="n"/>
      <c r="I751" s="440" t="n"/>
      <c r="J751" s="440" t="n"/>
      <c r="K751" s="440" t="n"/>
      <c r="L751" s="440" t="n"/>
      <c r="M751" s="440" t="n"/>
      <c r="N751" s="440" t="n"/>
      <c r="O751" s="440" t="n"/>
      <c r="P751" s="440" t="n"/>
      <c r="Q751" s="440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7" t="n"/>
      <c r="C752" s="465" t="n"/>
      <c r="D752" s="468" t="n"/>
      <c r="E752" s="468" t="n"/>
      <c r="F752" s="466" t="n"/>
      <c r="G752" s="465" t="n"/>
      <c r="H752" s="465" t="n"/>
      <c r="I752" s="440" t="n"/>
      <c r="J752" s="440" t="n"/>
      <c r="K752" s="440" t="n"/>
      <c r="L752" s="440" t="n"/>
      <c r="M752" s="440" t="n"/>
      <c r="N752" s="440" t="n"/>
      <c r="O752" s="440" t="n"/>
      <c r="P752" s="440" t="n"/>
      <c r="Q752" s="440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7" t="n"/>
      <c r="C753" s="465" t="n"/>
      <c r="D753" s="468" t="n"/>
      <c r="E753" s="468" t="n"/>
      <c r="F753" s="466" t="n"/>
      <c r="G753" s="465" t="n"/>
      <c r="H753" s="465" t="n"/>
      <c r="I753" s="440" t="n"/>
      <c r="J753" s="440" t="n"/>
      <c r="K753" s="440" t="n"/>
      <c r="L753" s="440" t="n"/>
      <c r="M753" s="440" t="n"/>
      <c r="N753" s="440" t="n"/>
      <c r="O753" s="440" t="n"/>
      <c r="P753" s="440" t="n"/>
      <c r="Q753" s="440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7" t="n"/>
      <c r="C754" s="465" t="n"/>
      <c r="D754" s="468" t="n"/>
      <c r="E754" s="468" t="n"/>
      <c r="F754" s="466" t="n"/>
      <c r="G754" s="465" t="n"/>
      <c r="H754" s="465" t="n"/>
      <c r="I754" s="440" t="n"/>
      <c r="J754" s="440" t="n"/>
      <c r="K754" s="440" t="n"/>
      <c r="L754" s="440" t="n"/>
      <c r="M754" s="440" t="n"/>
      <c r="N754" s="440" t="n"/>
      <c r="O754" s="440" t="n"/>
      <c r="P754" s="440" t="n"/>
      <c r="Q754" s="440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7" t="n"/>
      <c r="J755" s="447" t="n"/>
      <c r="K755" s="447" t="n"/>
      <c r="L755" s="447" t="n"/>
      <c r="M755" s="447" t="n"/>
      <c r="N755" s="447" t="n"/>
      <c r="O755" s="447" t="n"/>
      <c r="P755" s="447" t="n"/>
      <c r="Q755" s="447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9" t="n"/>
      <c r="D757" s="470" t="inlineStr">
        <is>
          <t>Trip Rakan : BSTTraining at HSSE Training Center PT Pertamina EP Zone 7 Cirebon</t>
        </is>
      </c>
      <c r="E757" s="471" t="n"/>
      <c r="F757" s="469" t="n"/>
      <c r="G757" s="469" t="n"/>
      <c r="H757" s="469" t="n"/>
      <c r="I757" s="469" t="n"/>
      <c r="J757" s="469" t="n"/>
      <c r="K757" s="469" t="n"/>
      <c r="L757" s="469" t="n"/>
      <c r="M757" s="469" t="n"/>
      <c r="N757" s="469" t="n"/>
      <c r="O757" s="469" t="n"/>
      <c r="P757" s="447" t="n"/>
      <c r="Q757" s="447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2" t="n">
        <v>45656</v>
      </c>
      <c r="C758" s="318" t="n">
        <v>1</v>
      </c>
      <c r="D758" s="473" t="inlineStr">
        <is>
          <t>Meal Allowance 2 Days (29 - 30 December 2024)@ 150 rb</t>
        </is>
      </c>
      <c r="E758" s="473" t="n"/>
      <c r="F758" s="474" t="n">
        <v>300000</v>
      </c>
      <c r="G758" s="318" t="inlineStr">
        <is>
          <t>IDR</t>
        </is>
      </c>
      <c r="H758" s="324" t="n">
        <v>1</v>
      </c>
      <c r="I758" s="319" t="n"/>
      <c r="J758" s="475" t="n">
        <v>300000</v>
      </c>
      <c r="K758" s="476" t="n"/>
      <c r="L758" s="476" t="n"/>
      <c r="M758" s="476" t="n"/>
      <c r="N758" s="476" t="n"/>
      <c r="O758" s="476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2" t="n">
        <v>45655</v>
      </c>
      <c r="C759" s="314" t="n">
        <v>2</v>
      </c>
      <c r="D759" s="473" t="inlineStr">
        <is>
          <t>Transport Train, (Jakarta to Cirebon)</t>
        </is>
      </c>
      <c r="E759" s="473" t="n"/>
      <c r="F759" s="477" t="n">
        <v>200000</v>
      </c>
      <c r="G759" s="314" t="inlineStr">
        <is>
          <t>IDR</t>
        </is>
      </c>
      <c r="H759" s="345" t="n">
        <v>1</v>
      </c>
      <c r="I759" s="319" t="n"/>
      <c r="J759" s="478" t="n">
        <v>200000</v>
      </c>
      <c r="K759" s="479" t="n"/>
      <c r="L759" s="476" t="n"/>
      <c r="M759" s="479" t="n"/>
      <c r="N759" s="479" t="n"/>
      <c r="O759" s="476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2" t="n">
        <v>45655</v>
      </c>
      <c r="C760" s="314" t="n">
        <v>3</v>
      </c>
      <c r="D760" s="473" t="inlineStr">
        <is>
          <t>Gojek (Cirendeu to Gambir Station)</t>
        </is>
      </c>
      <c r="E760" s="473" t="n"/>
      <c r="F760" s="477" t="n">
        <v>61500</v>
      </c>
      <c r="G760" s="314" t="inlineStr">
        <is>
          <t>IDR</t>
        </is>
      </c>
      <c r="H760" s="345" t="n">
        <v>1</v>
      </c>
      <c r="I760" s="319" t="n"/>
      <c r="J760" s="478" t="n">
        <v>61500</v>
      </c>
      <c r="K760" s="479" t="n"/>
      <c r="L760" s="476" t="n"/>
      <c r="M760" s="479" t="n"/>
      <c r="N760" s="479" t="n"/>
      <c r="O760" s="476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2" t="n">
        <v>45655</v>
      </c>
      <c r="C761" s="314" t="n">
        <v>4</v>
      </c>
      <c r="D761" s="473" t="inlineStr">
        <is>
          <t>Gojek (Cirebon Station to Hotel)</t>
        </is>
      </c>
      <c r="E761" s="473" t="n"/>
      <c r="F761" s="477" t="n">
        <v>12500</v>
      </c>
      <c r="G761" s="314" t="inlineStr">
        <is>
          <t>IDR</t>
        </is>
      </c>
      <c r="H761" s="345" t="n">
        <v>1</v>
      </c>
      <c r="I761" s="319" t="n"/>
      <c r="J761" s="478" t="n">
        <v>12500</v>
      </c>
      <c r="K761" s="479" t="n"/>
      <c r="L761" s="476" t="n"/>
      <c r="M761" s="479" t="n"/>
      <c r="N761" s="479" t="n"/>
      <c r="O761" s="476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2" t="n">
        <v>45655</v>
      </c>
      <c r="C762" s="314" t="n">
        <v>5</v>
      </c>
      <c r="D762" s="473" t="inlineStr">
        <is>
          <t>Accomodation Hotel (Pia Hotel 29 - 30 des, 1 Night)</t>
        </is>
      </c>
      <c r="E762" s="473" t="n"/>
      <c r="F762" s="477" t="n">
        <v>224000</v>
      </c>
      <c r="G762" s="314" t="inlineStr">
        <is>
          <t>IDR</t>
        </is>
      </c>
      <c r="H762" s="345" t="n">
        <v>1</v>
      </c>
      <c r="I762" s="319" t="n"/>
      <c r="J762" s="478" t="n">
        <v>224000</v>
      </c>
      <c r="K762" s="479" t="n"/>
      <c r="L762" s="476" t="n"/>
      <c r="M762" s="479" t="n"/>
      <c r="N762" s="479" t="n"/>
      <c r="O762" s="476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2" t="n">
        <v>45656</v>
      </c>
      <c r="C763" s="314" t="n">
        <v>6</v>
      </c>
      <c r="D763" s="473" t="inlineStr">
        <is>
          <t>Transport Train (Cirebon to Jakarta)</t>
        </is>
      </c>
      <c r="E763" s="473" t="n"/>
      <c r="F763" s="477" t="n">
        <v>140000</v>
      </c>
      <c r="G763" s="314" t="inlineStr">
        <is>
          <t>IDR</t>
        </is>
      </c>
      <c r="H763" s="345" t="n">
        <v>1</v>
      </c>
      <c r="I763" s="319" t="n"/>
      <c r="J763" s="478" t="n">
        <v>140000</v>
      </c>
      <c r="K763" s="479" t="n"/>
      <c r="L763" s="476" t="n"/>
      <c r="M763" s="479" t="n"/>
      <c r="N763" s="479" t="n"/>
      <c r="O763" s="476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2" t="n">
        <v>45656</v>
      </c>
      <c r="C764" s="314" t="n">
        <v>7</v>
      </c>
      <c r="D764" s="473" t="inlineStr">
        <is>
          <t>Gojek (Hotel to HSSE Training Center PEP Zone 7)</t>
        </is>
      </c>
      <c r="E764" s="473" t="n"/>
      <c r="F764" s="477" t="n">
        <v>11000</v>
      </c>
      <c r="G764" s="314" t="inlineStr">
        <is>
          <t>IDR</t>
        </is>
      </c>
      <c r="H764" s="345" t="n">
        <v>1</v>
      </c>
      <c r="I764" s="319" t="n"/>
      <c r="J764" s="478" t="n">
        <v>11000</v>
      </c>
      <c r="K764" s="479" t="n"/>
      <c r="L764" s="476" t="n"/>
      <c r="M764" s="479" t="n"/>
      <c r="N764" s="479" t="n"/>
      <c r="O764" s="476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2" t="n">
        <v>45656</v>
      </c>
      <c r="C765" s="314" t="n">
        <v>8</v>
      </c>
      <c r="D765" s="473" t="inlineStr">
        <is>
          <t>Gojek (CSB to Cirebon Train Station)</t>
        </is>
      </c>
      <c r="E765" s="473" t="n"/>
      <c r="F765" s="477" t="n">
        <v>11000</v>
      </c>
      <c r="G765" s="314" t="inlineStr">
        <is>
          <t>IDR</t>
        </is>
      </c>
      <c r="H765" s="345" t="n">
        <v>1</v>
      </c>
      <c r="I765" s="319" t="n"/>
      <c r="J765" s="478" t="n">
        <v>11000</v>
      </c>
      <c r="K765" s="479" t="n"/>
      <c r="L765" s="476" t="n"/>
      <c r="M765" s="479" t="n"/>
      <c r="N765" s="479" t="n"/>
      <c r="O765" s="476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2" t="n">
        <v>45656</v>
      </c>
      <c r="C766" s="314" t="n">
        <v>9</v>
      </c>
      <c r="D766" s="473" t="inlineStr">
        <is>
          <t>Gojek (Gambir Station to Cirendeu)</t>
        </is>
      </c>
      <c r="E766" s="473" t="n"/>
      <c r="F766" s="477" t="n">
        <v>66000</v>
      </c>
      <c r="G766" s="314" t="inlineStr">
        <is>
          <t>IDR</t>
        </is>
      </c>
      <c r="H766" s="345" t="n">
        <v>1</v>
      </c>
      <c r="I766" s="319" t="n"/>
      <c r="J766" s="478" t="n">
        <v>66000</v>
      </c>
      <c r="K766" s="479" t="n"/>
      <c r="L766" s="479" t="n"/>
      <c r="M766" s="479" t="n"/>
      <c r="N766" s="479" t="n"/>
      <c r="O766" s="476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80" t="n"/>
      <c r="D767" s="278" t="n"/>
      <c r="E767" s="278" t="n"/>
      <c r="F767" s="278" t="n"/>
      <c r="G767" s="278" t="n"/>
      <c r="H767" s="279" t="n"/>
      <c r="I767" s="440" t="n"/>
      <c r="J767" s="440" t="n"/>
      <c r="K767" s="440" t="n"/>
      <c r="L767" s="440" t="n"/>
      <c r="M767" s="440" t="n"/>
      <c r="N767" s="440" t="n"/>
      <c r="O767" s="440" t="n"/>
      <c r="P767" s="440" t="n"/>
      <c r="Q767" s="440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81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81" t="n">
        <v>991500000</v>
      </c>
      <c r="J768" s="481" t="n">
        <v>1165223146.932</v>
      </c>
      <c r="K768" s="481" t="n">
        <v>356012003</v>
      </c>
      <c r="L768" s="481" t="n">
        <v>367745000</v>
      </c>
      <c r="M768" s="481" t="n">
        <v>8769780</v>
      </c>
      <c r="N768" s="481" t="n">
        <v>200517570</v>
      </c>
      <c r="O768" s="481" t="n">
        <v>4995000</v>
      </c>
      <c r="P768" s="481" t="n">
        <v>38548717.5</v>
      </c>
      <c r="Q768" s="481" t="n">
        <v>202920000</v>
      </c>
      <c r="R768" s="481" t="n">
        <v>0</v>
      </c>
      <c r="S768" s="481" t="n">
        <v>0</v>
      </c>
      <c r="T768" s="481" t="n">
        <v>0</v>
      </c>
      <c r="U768" s="481" t="n">
        <v>0</v>
      </c>
      <c r="V768" s="481" t="n">
        <v>0</v>
      </c>
      <c r="W768" s="481" t="n">
        <v>0</v>
      </c>
      <c r="X768" s="481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  <c r="G3" s="486" t="inlineStr">
        <is>
          <t>PT. EXSPAN WIRELINE INDONESIA</t>
        </is>
      </c>
      <c r="H3" s="486" t="n"/>
      <c r="I3" s="486" t="n"/>
      <c r="J3" s="486" t="n"/>
    </row>
    <row r="4" ht="20.5" customHeight="1" s="297">
      <c r="A4" s="482" t="n"/>
      <c r="B4" s="487" t="inlineStr">
        <is>
          <t>LABA RUGI | TAHUN 2024</t>
        </is>
      </c>
      <c r="F4" s="485" t="n"/>
      <c r="G4" s="488" t="inlineStr">
        <is>
          <t>NERACA | TAHUN YANG BERAKHIR, 31 DESEMBER 2024</t>
        </is>
      </c>
      <c r="H4" s="488" t="n"/>
      <c r="I4" s="488" t="n"/>
      <c r="J4" s="488" t="n"/>
      <c r="K4" s="489" t="inlineStr">
        <is>
          <t>CATATAN KEAMANAN</t>
        </is>
      </c>
    </row>
    <row r="5" ht="6" customHeight="1" s="297">
      <c r="A5" s="482" t="n"/>
      <c r="B5" s="482" t="n"/>
      <c r="C5" s="482" t="n"/>
      <c r="D5" s="482" t="n"/>
      <c r="E5" s="483" t="n"/>
      <c r="F5" s="485" t="n"/>
      <c r="G5" s="485" t="n"/>
      <c r="H5" s="490" t="n"/>
      <c r="I5" s="490" t="n"/>
      <c r="J5" s="490" t="n"/>
      <c r="K5" t="inlineStr">
        <is>
          <t>Kolom ini aman dari overwrite sistem.</t>
        </is>
      </c>
    </row>
    <row r="6" ht="15.5" customHeight="1" s="297">
      <c r="A6" s="482" t="n"/>
      <c r="B6" s="491" t="n"/>
      <c r="C6" s="492" t="n"/>
      <c r="D6" s="493" t="inlineStr">
        <is>
          <t>PT. Exspan Wireline Indonesia</t>
        </is>
      </c>
      <c r="E6" s="289" t="n"/>
      <c r="F6" s="485" t="n"/>
      <c r="G6" s="494" t="n"/>
      <c r="H6" s="495" t="n"/>
      <c r="I6" s="493" t="inlineStr">
        <is>
          <t>PT. Exspan Wireline Indonesia</t>
        </is>
      </c>
      <c r="J6" s="289" t="n"/>
      <c r="K6" t="inlineStr">
        <is>
          <t>Diverifikasi pada: 2026-03-29 16:59</t>
        </is>
      </c>
    </row>
    <row r="7" ht="15.5" customHeight="1" s="297">
      <c r="A7" s="482" t="n"/>
      <c r="B7" s="496" t="n"/>
      <c r="C7" s="497" t="n"/>
      <c r="D7" s="498" t="inlineStr">
        <is>
          <t>(Rp)</t>
        </is>
      </c>
      <c r="E7" s="290" t="n"/>
      <c r="F7" s="485" t="n"/>
      <c r="G7" s="499" t="n"/>
      <c r="H7" s="500" t="n"/>
      <c r="I7" s="498" t="inlineStr">
        <is>
          <t>(Rp)</t>
        </is>
      </c>
      <c r="J7" s="290" t="n"/>
    </row>
    <row r="8">
      <c r="A8" s="482" t="n"/>
      <c r="B8" s="501" t="inlineStr">
        <is>
          <t>PENDAPATAN</t>
        </is>
      </c>
      <c r="C8" s="502" t="n"/>
      <c r="D8" s="503" t="n"/>
      <c r="E8" s="504" t="n"/>
      <c r="F8" s="485" t="n"/>
      <c r="G8" s="505" t="inlineStr">
        <is>
          <t>AKTIVA</t>
        </is>
      </c>
      <c r="H8" s="506" t="n"/>
      <c r="I8" s="507" t="n"/>
      <c r="J8" s="508" t="n"/>
    </row>
    <row r="9">
      <c r="A9" s="482" t="n"/>
      <c r="B9" s="509" t="n"/>
      <c r="C9" s="502" t="inlineStr">
        <is>
          <t>PENDAPATAN LANGSUNG</t>
        </is>
      </c>
      <c r="D9" s="509" t="inlineStr">
        <is>
          <t>Rp</t>
        </is>
      </c>
      <c r="E9" s="510">
        <f>SUM('Revenue-Cost_2024'!F8:F20)</f>
        <v/>
      </c>
      <c r="F9" s="485" t="n"/>
      <c r="G9" s="511" t="inlineStr">
        <is>
          <t>AKTIVA LANCAR</t>
        </is>
      </c>
      <c r="H9" s="512" t="n"/>
      <c r="I9" s="511" t="n"/>
      <c r="J9" s="513" t="n"/>
    </row>
    <row r="10">
      <c r="A10" s="482" t="n"/>
      <c r="B10" s="509" t="n"/>
      <c r="C10" s="502" t="inlineStr">
        <is>
          <t>PENDAPATAN LAIN LAIN</t>
        </is>
      </c>
      <c r="D10" s="509" t="inlineStr">
        <is>
          <t>Rp</t>
        </is>
      </c>
      <c r="E10" s="510">
        <f>SUM('Revenue-Cost_2024'!F21)</f>
        <v/>
      </c>
      <c r="F10" s="485" t="n"/>
      <c r="G10" s="514" t="n"/>
      <c r="H10" s="515" t="inlineStr">
        <is>
          <t>KAS DAN SETARA KAS TAHUN SEBELUMNYA</t>
        </is>
      </c>
      <c r="I10" s="509" t="inlineStr">
        <is>
          <t>Rp</t>
        </is>
      </c>
      <c r="J10" s="516" t="n">
        <v>0</v>
      </c>
    </row>
    <row r="11">
      <c r="A11" s="482" t="n"/>
      <c r="B11" s="509" t="n"/>
      <c r="C11" s="502" t="n"/>
      <c r="D11" s="517" t="n"/>
      <c r="E11" s="518" t="n"/>
      <c r="F11" s="485" t="n"/>
      <c r="G11" s="514" t="n"/>
      <c r="H11" s="515" t="inlineStr">
        <is>
          <t>KAS DAN SETARA KAS TAHUN LAPORAN</t>
        </is>
      </c>
      <c r="I11" s="509" t="inlineStr">
        <is>
          <t>Rp</t>
        </is>
      </c>
      <c r="J11" s="516">
        <f>E46-'Business Summary'!E13</f>
        <v/>
      </c>
    </row>
    <row r="12">
      <c r="A12" s="482" t="n"/>
      <c r="B12" s="519" t="inlineStr">
        <is>
          <t>TOTALPENDAPATAN</t>
        </is>
      </c>
      <c r="C12" s="520" t="n"/>
      <c r="D12" s="521" t="inlineStr">
        <is>
          <t>Rp</t>
        </is>
      </c>
      <c r="E12" s="522">
        <f>SUM(E9:E11)</f>
        <v/>
      </c>
      <c r="F12" s="485" t="n"/>
      <c r="G12" s="514" t="n"/>
      <c r="H12" s="515" t="inlineStr">
        <is>
          <t>PIUTANG USAHA</t>
        </is>
      </c>
      <c r="I12" s="509" t="inlineStr">
        <is>
          <t>Rp</t>
        </is>
      </c>
      <c r="J12" s="516" t="n">
        <v>0</v>
      </c>
    </row>
    <row r="13">
      <c r="A13" s="482" t="n"/>
      <c r="B13" s="509" t="n"/>
      <c r="C13" s="502" t="n"/>
      <c r="D13" s="503" t="n"/>
      <c r="E13" s="523" t="n"/>
      <c r="F13" s="485" t="n"/>
      <c r="G13" s="514" t="n"/>
      <c r="H13" s="515" t="inlineStr">
        <is>
          <t>PAJAK BAYAR DI MUKA (pph23)</t>
        </is>
      </c>
      <c r="I13" s="509" t="inlineStr">
        <is>
          <t>Rp</t>
        </is>
      </c>
      <c r="J13" s="516" t="n">
        <v>0</v>
      </c>
    </row>
    <row r="14">
      <c r="A14" s="482" t="n"/>
      <c r="B14" s="524" t="inlineStr">
        <is>
          <t>BEBAN LANGSUNG</t>
        </is>
      </c>
      <c r="C14" s="502" t="n"/>
      <c r="D14" s="509" t="n"/>
      <c r="E14" s="525" t="n"/>
      <c r="F14" s="485" t="n"/>
      <c r="G14" s="514" t="n"/>
      <c r="H14" s="515" t="inlineStr">
        <is>
          <t>BIAYA BAYAR DI MUKA</t>
        </is>
      </c>
      <c r="I14" s="509" t="inlineStr">
        <is>
          <t>Rp</t>
        </is>
      </c>
      <c r="J14" s="516" t="n">
        <v>0</v>
      </c>
    </row>
    <row r="15">
      <c r="A15" s="482" t="n"/>
      <c r="B15" s="526" t="n"/>
      <c r="C15" s="502" t="inlineStr">
        <is>
          <t xml:space="preserve">Biaya Operasi </t>
        </is>
      </c>
      <c r="D15" s="509" t="inlineStr">
        <is>
          <t>Rp</t>
        </is>
      </c>
      <c r="E15" s="525">
        <f>'Revenue-Cost_2024'!I750</f>
        <v/>
      </c>
      <c r="F15" s="485" t="n"/>
      <c r="G15" s="527" t="n"/>
      <c r="H15" s="515" t="inlineStr">
        <is>
          <t>PIUTANG LAIN LAIN</t>
        </is>
      </c>
      <c r="I15" s="509" t="inlineStr">
        <is>
          <t>Rp</t>
        </is>
      </c>
      <c r="J15" s="516" t="n">
        <v>0</v>
      </c>
    </row>
    <row r="16">
      <c r="A16" s="482" t="n"/>
      <c r="B16" s="526" t="n"/>
      <c r="C16" s="502" t="inlineStr">
        <is>
          <t>Biaya research (R &amp; D)</t>
        </is>
      </c>
      <c r="D16" s="509" t="inlineStr">
        <is>
          <t>Rp</t>
        </is>
      </c>
      <c r="E16" s="525">
        <f>'Revenue-Cost_2024'!J750</f>
        <v/>
      </c>
      <c r="F16" s="485" t="n"/>
      <c r="G16" s="528" t="n"/>
      <c r="H16" s="529" t="inlineStr">
        <is>
          <t>TOTAL AKTIVA LANCAR</t>
        </is>
      </c>
      <c r="I16" s="521" t="inlineStr">
        <is>
          <t>Rp</t>
        </is>
      </c>
      <c r="J16" s="530">
        <f>SUM(J10:J15)</f>
        <v/>
      </c>
    </row>
    <row r="17">
      <c r="A17" s="482" t="n"/>
      <c r="B17" s="526" t="n"/>
      <c r="C17" s="502" t="inlineStr">
        <is>
          <t>BIAYA SEWA PERALATAN</t>
        </is>
      </c>
      <c r="D17" s="509" t="inlineStr">
        <is>
          <t>Rp</t>
        </is>
      </c>
      <c r="E17" s="525">
        <f>'Revenue-Cost_2024'!K750</f>
        <v/>
      </c>
      <c r="F17" s="485" t="n"/>
      <c r="G17" s="514" t="n"/>
      <c r="H17" s="515" t="n"/>
      <c r="I17" s="531" t="n"/>
      <c r="J17" s="532" t="n"/>
    </row>
    <row r="18">
      <c r="A18" s="482" t="n"/>
      <c r="B18" s="526" t="n"/>
      <c r="C18" s="502" t="inlineStr">
        <is>
          <t>BIAYA Data Processing</t>
        </is>
      </c>
      <c r="D18" s="509" t="inlineStr">
        <is>
          <t>Rp</t>
        </is>
      </c>
      <c r="E18" s="525">
        <f>'Revenue-Cost_2024'!L750</f>
        <v/>
      </c>
      <c r="F18" s="485" t="n"/>
      <c r="G18" s="511" t="inlineStr">
        <is>
          <t>ACTIVA TETAP</t>
        </is>
      </c>
      <c r="H18" s="533" t="n"/>
      <c r="I18" s="505" t="n"/>
      <c r="J18" s="516" t="n"/>
    </row>
    <row r="19">
      <c r="A19" s="482" t="n"/>
      <c r="B19" s="526" t="n"/>
      <c r="C19" s="502" t="n"/>
      <c r="D19" s="509" t="n"/>
      <c r="E19" s="525" t="n"/>
      <c r="F19" s="485" t="n"/>
      <c r="G19" s="511" t="n"/>
      <c r="H19" s="533" t="n"/>
      <c r="I19" s="505" t="n"/>
      <c r="J19" s="516" t="n"/>
    </row>
    <row r="20">
      <c r="A20" s="482" t="n"/>
      <c r="B20" s="526" t="n"/>
      <c r="C20" s="502" t="n"/>
      <c r="D20" s="517" t="n"/>
      <c r="E20" s="534" t="n"/>
      <c r="F20" s="485" t="n"/>
      <c r="G20" s="514" t="n"/>
      <c r="H20" s="515" t="inlineStr">
        <is>
          <t>INVENTARIS KANTOR</t>
        </is>
      </c>
      <c r="I20" s="509" t="inlineStr">
        <is>
          <t>Rp</t>
        </is>
      </c>
      <c r="J20" s="516" t="n">
        <v>0</v>
      </c>
    </row>
    <row r="21">
      <c r="A21" s="482" t="n"/>
      <c r="B21" s="519" t="inlineStr">
        <is>
          <t>TOTAL BIAYA LANGSUNG</t>
        </is>
      </c>
      <c r="C21" s="520" t="n"/>
      <c r="D21" s="521" t="inlineStr">
        <is>
          <t>Rp</t>
        </is>
      </c>
      <c r="E21" s="535">
        <f>SUM(E15:E20)</f>
        <v/>
      </c>
      <c r="F21" s="485" t="n"/>
      <c r="G21" s="514" t="n"/>
      <c r="H21" s="533" t="n"/>
      <c r="I21" s="536" t="n"/>
      <c r="J21" s="537" t="n"/>
    </row>
    <row r="22">
      <c r="A22" s="482" t="n"/>
      <c r="B22" s="509" t="n"/>
      <c r="C22" s="502" t="n"/>
      <c r="D22" s="503" t="n"/>
      <c r="E22" s="538" t="n"/>
      <c r="F22" s="485" t="n"/>
      <c r="G22" s="528" t="n"/>
      <c r="H22" s="529" t="inlineStr">
        <is>
          <t>TOTAL AKTIVA TETAP</t>
        </is>
      </c>
      <c r="I22" s="521" t="inlineStr">
        <is>
          <t>Rp</t>
        </is>
      </c>
      <c r="J22" s="530">
        <f>J20</f>
        <v/>
      </c>
    </row>
    <row r="23">
      <c r="A23" s="482" t="n"/>
      <c r="B23" s="524" t="inlineStr">
        <is>
          <t>BEBAN TIDAK LANGSUNG</t>
        </is>
      </c>
      <c r="C23" s="502" t="n"/>
      <c r="D23" s="509" t="n"/>
      <c r="E23" s="525">
        <f>'Revenue-Cost_2024'!Q750</f>
        <v/>
      </c>
      <c r="F23" s="485" t="n"/>
      <c r="G23" s="514" t="n"/>
      <c r="H23" s="515" t="n"/>
      <c r="I23" s="531" t="n"/>
      <c r="J23" s="508" t="n"/>
    </row>
    <row r="24">
      <c r="A24" s="482" t="n"/>
      <c r="B24" s="509" t="n"/>
      <c r="C24" s="502" t="n"/>
      <c r="D24" s="509" t="n"/>
      <c r="E24" s="525" t="n"/>
      <c r="F24" s="485" t="n"/>
      <c r="G24" s="511" t="inlineStr">
        <is>
          <t>ACTIVA LAIN LAIN</t>
        </is>
      </c>
      <c r="H24" s="533" t="n"/>
      <c r="I24" s="505" t="n"/>
      <c r="J24" s="516" t="n">
        <v>0</v>
      </c>
    </row>
    <row r="25">
      <c r="A25" s="482" t="n"/>
      <c r="B25" s="509" t="n"/>
      <c r="C25" s="502" t="n"/>
      <c r="D25" s="509" t="inlineStr">
        <is>
          <t>Rp</t>
        </is>
      </c>
      <c r="E25" s="525" t="n"/>
      <c r="F25" s="485" t="n"/>
      <c r="G25" s="514" t="n"/>
      <c r="H25" s="515" t="n"/>
      <c r="I25" s="539" t="n"/>
      <c r="J25" s="540" t="n">
        <v>0</v>
      </c>
    </row>
    <row r="26">
      <c r="A26" s="482" t="n"/>
      <c r="B26" s="509" t="n"/>
      <c r="C26" s="502" t="n"/>
      <c r="D26" s="517" t="n"/>
      <c r="E26" s="534" t="n"/>
      <c r="F26" s="485" t="n"/>
      <c r="G26" s="528" t="n"/>
      <c r="H26" s="529" t="inlineStr">
        <is>
          <t>TOTAL AKTIVA LAIN LAIN</t>
        </is>
      </c>
      <c r="I26" s="521" t="inlineStr">
        <is>
          <t>Rp</t>
        </is>
      </c>
      <c r="J26" s="530">
        <f>SUM(J25:J25)</f>
        <v/>
      </c>
    </row>
    <row r="27">
      <c r="A27" s="482" t="n"/>
      <c r="B27" s="519" t="inlineStr">
        <is>
          <t>TOTAL BIAYA TIDAK LANGSUNG</t>
        </is>
      </c>
      <c r="C27" s="520" t="n"/>
      <c r="D27" s="521" t="inlineStr">
        <is>
          <t>Rp</t>
        </is>
      </c>
      <c r="E27" s="535">
        <f>SUM(E22:E26)</f>
        <v/>
      </c>
      <c r="F27" s="485" t="n"/>
      <c r="G27" s="514" t="n"/>
      <c r="H27" s="515" t="n"/>
      <c r="I27" s="541" t="n"/>
      <c r="J27" s="542" t="n"/>
    </row>
    <row r="28">
      <c r="A28" s="482" t="n"/>
      <c r="B28" s="509" t="n"/>
      <c r="C28" s="502" t="n"/>
      <c r="D28" s="503" t="n"/>
      <c r="E28" s="538" t="n"/>
      <c r="F28" s="485" t="n"/>
      <c r="G28" s="519" t="inlineStr">
        <is>
          <t>TOTAL AKTIVA</t>
        </is>
      </c>
      <c r="H28" s="520" t="n"/>
      <c r="I28" s="521" t="inlineStr">
        <is>
          <t>Rp</t>
        </is>
      </c>
      <c r="J28" s="543">
        <f>J26+J22+J16</f>
        <v/>
      </c>
    </row>
    <row r="29">
      <c r="A29" s="482" t="n"/>
      <c r="B29" s="524" t="inlineStr">
        <is>
          <t>BIAYA ADMINISTRASI DAN UMUM</t>
        </is>
      </c>
      <c r="C29" s="502" t="n"/>
      <c r="D29" s="509" t="n"/>
      <c r="E29" s="525" t="n"/>
      <c r="F29" s="485" t="n"/>
      <c r="G29" s="544" t="n"/>
      <c r="H29" s="545" t="n"/>
      <c r="I29" s="544" t="n"/>
      <c r="J29" s="532" t="n"/>
    </row>
    <row r="30">
      <c r="A30" s="482" t="n"/>
      <c r="B30" s="526" t="n"/>
      <c r="C30" s="502" t="inlineStr">
        <is>
          <t>BIAYA ADMINISTRASI</t>
        </is>
      </c>
      <c r="D30" s="509" t="inlineStr">
        <is>
          <t>Rp</t>
        </is>
      </c>
      <c r="E30" s="525">
        <f>'Revenue-Cost_2024'!M750</f>
        <v/>
      </c>
      <c r="F30" s="485" t="n"/>
      <c r="G30" s="546" t="inlineStr">
        <is>
          <t>HUTANG DAN MODAL</t>
        </is>
      </c>
      <c r="H30" s="506" t="n"/>
      <c r="I30" s="546" t="n"/>
      <c r="J30" s="547" t="n"/>
    </row>
    <row r="31">
      <c r="A31" s="482" t="n"/>
      <c r="B31" s="526" t="n"/>
      <c r="C31" s="502" t="inlineStr">
        <is>
          <t>BIAYA PEMBELIAN Barang</t>
        </is>
      </c>
      <c r="D31" s="509" t="inlineStr">
        <is>
          <t>Rp</t>
        </is>
      </c>
      <c r="E31" s="525">
        <f>'Revenue-Cost_2024'!N750</f>
        <v/>
      </c>
      <c r="F31" s="485" t="n"/>
      <c r="G31" s="546" t="n"/>
      <c r="H31" s="506" t="n"/>
      <c r="I31" s="546" t="n"/>
      <c r="J31" s="547" t="n"/>
    </row>
    <row r="32">
      <c r="A32" s="482" t="n"/>
      <c r="B32" s="526" t="n"/>
      <c r="C32" s="502" t="inlineStr">
        <is>
          <t>BIAYA SEWA KANTOR</t>
        </is>
      </c>
      <c r="D32" s="509" t="inlineStr">
        <is>
          <t>Rp</t>
        </is>
      </c>
      <c r="E32" s="525">
        <f>'Revenue-Cost_2024'!O750</f>
        <v/>
      </c>
      <c r="F32" s="485" t="n"/>
      <c r="G32" s="511" t="inlineStr">
        <is>
          <t>HUTANG LANCAR</t>
        </is>
      </c>
      <c r="H32" s="512" t="n"/>
      <c r="I32" s="511" t="n"/>
      <c r="J32" s="513" t="n"/>
    </row>
    <row r="33">
      <c r="A33" s="482" t="n"/>
      <c r="B33" s="526" t="n"/>
      <c r="C33" s="502" t="inlineStr">
        <is>
          <t>BIAYA KESEHATAN</t>
        </is>
      </c>
      <c r="D33" s="509" t="inlineStr">
        <is>
          <t>Rp</t>
        </is>
      </c>
      <c r="E33" s="525">
        <f>'Revenue-Cost_2024'!P750</f>
        <v/>
      </c>
      <c r="F33" s="485" t="n"/>
      <c r="G33" s="514" t="n"/>
      <c r="H33" s="515" t="inlineStr">
        <is>
          <t>HUTANG USAHA</t>
        </is>
      </c>
      <c r="I33" s="509" t="inlineStr">
        <is>
          <t>Rp</t>
        </is>
      </c>
      <c r="J33" s="516" t="n">
        <v>0</v>
      </c>
    </row>
    <row r="34">
      <c r="A34" s="482" t="n"/>
      <c r="B34" s="526" t="n"/>
      <c r="C34" s="502" t="n"/>
      <c r="D34" s="517" t="n"/>
      <c r="E34" s="534" t="n"/>
      <c r="F34" s="485" t="n"/>
      <c r="G34" s="514" t="n"/>
      <c r="H34" s="548" t="inlineStr">
        <is>
          <t>HUTANG GAJI</t>
        </is>
      </c>
      <c r="I34" s="509" t="inlineStr">
        <is>
          <t>Rp</t>
        </is>
      </c>
      <c r="J34" s="516" t="n">
        <v>0</v>
      </c>
    </row>
    <row r="35">
      <c r="A35" s="482" t="n"/>
      <c r="B35" s="519" t="inlineStr">
        <is>
          <t>TOTAL BIAYA ADMINISTRASI DAN UMUM</t>
        </is>
      </c>
      <c r="C35" s="520" t="n"/>
      <c r="D35" s="521" t="inlineStr">
        <is>
          <t>Rp</t>
        </is>
      </c>
      <c r="E35" s="522">
        <f>SUM(E30:E34)</f>
        <v/>
      </c>
      <c r="F35" s="485" t="n"/>
      <c r="G35" s="514" t="n"/>
      <c r="H35" s="515" t="inlineStr">
        <is>
          <t>HUTANG PEMEGANG SAHAM</t>
        </is>
      </c>
      <c r="I35" s="509" t="inlineStr">
        <is>
          <t>Rp</t>
        </is>
      </c>
      <c r="J35" s="516" t="n">
        <v>0</v>
      </c>
    </row>
    <row r="36">
      <c r="A36" s="482" t="n"/>
      <c r="B36" s="526" t="n"/>
      <c r="C36" s="502" t="n"/>
      <c r="D36" s="521" t="n"/>
      <c r="E36" s="549" t="n"/>
      <c r="F36" s="485" t="n"/>
      <c r="G36" s="514" t="n"/>
      <c r="H36" s="515" t="inlineStr">
        <is>
          <t>BIAYA YANG MASIH HARUS DI BAYAR</t>
        </is>
      </c>
      <c r="I36" s="509" t="inlineStr">
        <is>
          <t>Rp</t>
        </is>
      </c>
      <c r="J36" s="516" t="n">
        <v>0</v>
      </c>
    </row>
    <row r="37">
      <c r="A37" s="482" t="n"/>
      <c r="B37" s="519" t="inlineStr">
        <is>
          <t>TOTAL BIAYA</t>
        </is>
      </c>
      <c r="C37" s="520" t="n"/>
      <c r="D37" s="521" t="inlineStr">
        <is>
          <t>Rp</t>
        </is>
      </c>
      <c r="E37" s="522">
        <f>E35+E21+E27</f>
        <v/>
      </c>
      <c r="F37" s="485" t="n"/>
      <c r="G37" s="550" t="n"/>
      <c r="H37" s="551" t="n"/>
      <c r="I37" s="550" t="n"/>
      <c r="J37" s="552" t="n"/>
    </row>
    <row r="38">
      <c r="A38" s="482" t="n"/>
      <c r="B38" s="501" t="n"/>
      <c r="C38" s="553" t="n"/>
      <c r="D38" s="503" t="n"/>
      <c r="E38" s="554" t="n"/>
      <c r="F38" s="485" t="n"/>
      <c r="G38" s="528" t="n"/>
      <c r="H38" s="529" t="inlineStr">
        <is>
          <t>TOTAL HUTANG LANCAR</t>
        </is>
      </c>
      <c r="I38" s="555" t="n"/>
      <c r="J38" s="530">
        <f>SUM(J33:J36)</f>
        <v/>
      </c>
    </row>
    <row r="39">
      <c r="A39" s="482" t="n"/>
      <c r="B39" s="524" t="inlineStr">
        <is>
          <t xml:space="preserve">PENDAPATAN/BEBAN LAIN LAIN </t>
        </is>
      </c>
      <c r="C39" s="502" t="n"/>
      <c r="D39" s="509" t="inlineStr">
        <is>
          <t>Rp</t>
        </is>
      </c>
      <c r="E39" s="556" t="n"/>
      <c r="F39" s="485" t="n"/>
      <c r="G39" s="514" t="n"/>
      <c r="H39" s="533" t="n"/>
      <c r="I39" s="557" t="n"/>
      <c r="J39" s="508" t="n"/>
    </row>
    <row r="40">
      <c r="A40" s="482" t="n"/>
      <c r="B40" s="524" t="n"/>
      <c r="C40" s="502" t="inlineStr">
        <is>
          <t>PENDAPATAN LAINNYA</t>
        </is>
      </c>
      <c r="D40" s="509" t="inlineStr">
        <is>
          <t>Rp</t>
        </is>
      </c>
      <c r="E40" s="510" t="n">
        <v>0</v>
      </c>
      <c r="F40" s="485" t="n"/>
      <c r="G40" s="511" t="inlineStr">
        <is>
          <t>MODAL</t>
        </is>
      </c>
      <c r="H40" s="512" t="n"/>
      <c r="I40" s="511" t="n"/>
      <c r="J40" s="513" t="n"/>
    </row>
    <row r="41">
      <c r="A41" s="482" t="n"/>
      <c r="B41" s="524" t="n"/>
      <c r="C41" s="502" t="n"/>
      <c r="D41" s="517" t="n"/>
      <c r="E41" s="558" t="n"/>
      <c r="F41" s="485" t="n"/>
      <c r="G41" s="514" t="n"/>
      <c r="H41" s="515" t="inlineStr">
        <is>
          <t>MODAL SAHAM</t>
        </is>
      </c>
      <c r="I41" s="509" t="inlineStr">
        <is>
          <t>Rp</t>
        </is>
      </c>
      <c r="J41" s="516" t="n">
        <v>0</v>
      </c>
    </row>
    <row r="42">
      <c r="A42" s="482" t="n"/>
      <c r="B42" s="519" t="inlineStr">
        <is>
          <t>LABA RUGI SEBELUM PAJAK</t>
        </is>
      </c>
      <c r="C42" s="520" t="n"/>
      <c r="D42" s="521" t="inlineStr">
        <is>
          <t>Rp</t>
        </is>
      </c>
      <c r="E42" s="522">
        <f>E12-E37</f>
        <v/>
      </c>
      <c r="F42" s="485" t="n"/>
      <c r="G42" s="514" t="n"/>
      <c r="H42" s="515" t="inlineStr">
        <is>
          <t>LABA DI TAHAN</t>
        </is>
      </c>
      <c r="I42" s="509" t="inlineStr">
        <is>
          <t>Rp</t>
        </is>
      </c>
      <c r="J42" s="516" t="n">
        <v>0</v>
      </c>
    </row>
    <row r="43">
      <c r="A43" s="482" t="n"/>
      <c r="B43" s="559" t="n"/>
      <c r="C43" s="553" t="n"/>
      <c r="D43" s="503" t="n"/>
      <c r="E43" s="523" t="n"/>
      <c r="F43" s="485" t="n"/>
      <c r="G43" s="511" t="n"/>
      <c r="H43" s="515" t="inlineStr">
        <is>
          <t>TOTAL LABA (RUGI) DITAHAN</t>
        </is>
      </c>
      <c r="I43" s="517" t="inlineStr">
        <is>
          <t>Rp</t>
        </is>
      </c>
      <c r="J43" s="540">
        <f>J28-J38-J41-J42</f>
        <v/>
      </c>
    </row>
    <row r="44">
      <c r="A44" s="482" t="n"/>
      <c r="B44" s="524" t="inlineStr">
        <is>
          <t>CORPORATE TAX (PPh 29)</t>
        </is>
      </c>
      <c r="D44" s="509" t="inlineStr">
        <is>
          <t>Rp</t>
        </is>
      </c>
      <c r="E44" s="510" t="n">
        <v>0</v>
      </c>
      <c r="F44" s="485" t="n"/>
      <c r="G44" s="528" t="n"/>
      <c r="H44" s="529" t="inlineStr">
        <is>
          <t>TOTAL MODAL</t>
        </is>
      </c>
      <c r="I44" s="521" t="inlineStr">
        <is>
          <t>Rp</t>
        </is>
      </c>
      <c r="J44" s="530">
        <f>SUM(J41:J43)</f>
        <v/>
      </c>
    </row>
    <row r="45">
      <c r="A45" s="482" t="n"/>
      <c r="B45" s="524" t="n"/>
      <c r="C45" s="502" t="n"/>
      <c r="D45" s="517" t="n"/>
      <c r="E45" s="558" t="n"/>
      <c r="F45" s="485" t="n"/>
      <c r="G45" s="514" t="n"/>
      <c r="H45" s="515" t="n"/>
      <c r="I45" s="541" t="n"/>
      <c r="J45" s="542" t="n"/>
    </row>
    <row r="46" ht="15" customHeight="1" s="297">
      <c r="A46" s="482" t="n"/>
      <c r="B46" s="560" t="inlineStr">
        <is>
          <t>LABA / RUGI BERSIH</t>
        </is>
      </c>
      <c r="C46" s="303" t="n"/>
      <c r="D46" s="561" t="n"/>
      <c r="E46" s="562">
        <f>E42-E44</f>
        <v/>
      </c>
      <c r="F46" s="485" t="n"/>
      <c r="G46" s="563" t="inlineStr">
        <is>
          <t>TOTAL HUTANG DAN MODAL</t>
        </is>
      </c>
      <c r="H46" s="564" t="n"/>
      <c r="I46" s="561" t="inlineStr">
        <is>
          <t>Rp</t>
        </is>
      </c>
      <c r="J46" s="565">
        <f>J44+J38</f>
        <v/>
      </c>
    </row>
    <row r="47" ht="4.5" customHeight="1" s="297">
      <c r="A47" s="482" t="n"/>
      <c r="F47" s="485" t="n"/>
    </row>
    <row r="48" ht="50.65" customHeight="1" s="297">
      <c r="A48" s="482" t="n"/>
      <c r="F48" s="485" t="n"/>
      <c r="G48" s="566" t="n"/>
    </row>
    <row r="49" ht="16.75" customHeight="1" s="297">
      <c r="A49" s="482" t="n"/>
      <c r="B49" s="567" t="n"/>
      <c r="F49" s="485" t="n"/>
      <c r="G49" s="567" t="n"/>
    </row>
    <row r="50" ht="15.65" customHeight="1" s="297">
      <c r="A50" s="502" t="n"/>
      <c r="B50" s="568" t="inlineStr">
        <is>
          <t>Direktur</t>
        </is>
      </c>
      <c r="F50" s="485" t="n"/>
      <c r="G50" s="568" t="inlineStr">
        <is>
          <t>Direktur</t>
        </is>
      </c>
    </row>
    <row r="51">
      <c r="A51" s="502" t="n"/>
      <c r="F51" s="485" t="n"/>
    </row>
    <row r="52">
      <c r="A52" s="502" t="n"/>
      <c r="F52" s="485" t="n"/>
      <c r="J52" s="5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</row>
    <row r="4" ht="20.5" customHeight="1" s="297">
      <c r="A4" s="482" t="n"/>
      <c r="B4" s="487" t="inlineStr">
        <is>
          <t>BUSINESS SUMMARY | TAHUN 2024</t>
        </is>
      </c>
      <c r="F4" s="485" t="n"/>
    </row>
    <row r="5" ht="6" customHeight="1" s="297">
      <c r="A5" s="482" t="n"/>
      <c r="B5" s="482" t="n"/>
      <c r="C5" s="482" t="n"/>
      <c r="D5" s="482" t="n"/>
      <c r="E5" s="483" t="n"/>
      <c r="F5" s="485" t="n"/>
    </row>
    <row r="6" ht="19" customHeight="1" s="297">
      <c r="A6" s="482" t="n"/>
      <c r="B6" s="570" t="inlineStr">
        <is>
          <t>#</t>
        </is>
      </c>
      <c r="C6" s="570" t="inlineStr">
        <is>
          <t>Items</t>
        </is>
      </c>
      <c r="D6" s="571" t="inlineStr">
        <is>
          <t>Amount</t>
        </is>
      </c>
      <c r="E6" s="279" t="n"/>
      <c r="F6" s="485" t="n"/>
    </row>
    <row r="7" ht="19" customHeight="1" s="297">
      <c r="A7" s="482" t="n"/>
      <c r="B7" s="572" t="n">
        <v>1</v>
      </c>
      <c r="C7" s="573" t="inlineStr">
        <is>
          <t>Revenue</t>
        </is>
      </c>
      <c r="D7" s="574" t="inlineStr">
        <is>
          <t>Rp</t>
        </is>
      </c>
      <c r="E7" s="575">
        <f>'Revenue-Cost_2024'!F22</f>
        <v/>
      </c>
      <c r="F7" s="485" t="n"/>
    </row>
    <row r="8" ht="19" customHeight="1" s="297">
      <c r="A8" s="482" t="n"/>
      <c r="B8" s="572" t="n">
        <v>2</v>
      </c>
      <c r="C8" s="573" t="inlineStr">
        <is>
          <t>Revenue Diterima (Setelah Pajak)</t>
        </is>
      </c>
      <c r="D8" s="574" t="inlineStr">
        <is>
          <t>Rp</t>
        </is>
      </c>
      <c r="E8" s="575">
        <f>E7-'Revenue-Cost_2024'!N22</f>
        <v/>
      </c>
      <c r="F8" s="485" t="n"/>
    </row>
    <row r="9" ht="19" customHeight="1" s="297">
      <c r="A9" s="482" t="n"/>
      <c r="B9" s="572" t="n">
        <v>3</v>
      </c>
      <c r="C9" s="573" t="inlineStr">
        <is>
          <t>Biaya</t>
        </is>
      </c>
      <c r="D9" s="574" t="inlineStr">
        <is>
          <t>Rp</t>
        </is>
      </c>
      <c r="E9" s="575">
        <f>SUM('Revenue-Cost_2024'!I750:Q750)</f>
        <v/>
      </c>
      <c r="F9" s="485" t="n"/>
    </row>
    <row r="10" ht="19" customHeight="1" s="297">
      <c r="A10" s="482" t="n"/>
      <c r="B10" s="572" t="n">
        <v>4</v>
      </c>
      <c r="C10" s="573" t="inlineStr">
        <is>
          <t>Profit SebelumTax</t>
        </is>
      </c>
      <c r="D10" s="574" t="inlineStr">
        <is>
          <t>Rp</t>
        </is>
      </c>
      <c r="E10" s="575">
        <f>E7-E9</f>
        <v/>
      </c>
      <c r="F10" s="485" t="n"/>
    </row>
    <row r="11" ht="19" customHeight="1" s="297">
      <c r="A11" s="482" t="n"/>
      <c r="B11" s="572" t="n">
        <v>5</v>
      </c>
      <c r="C11" s="573" t="inlineStr">
        <is>
          <t>PPh Badan (22%*50%)</t>
        </is>
      </c>
      <c r="D11" s="574" t="inlineStr">
        <is>
          <t>Rp</t>
        </is>
      </c>
      <c r="E11" s="575">
        <f>E10*22%*50%</f>
        <v/>
      </c>
      <c r="F11" s="485" t="n"/>
    </row>
    <row r="12" ht="19" customHeight="1" s="297">
      <c r="A12" s="482" t="n"/>
      <c r="B12" s="572" t="n">
        <v>6</v>
      </c>
      <c r="C12" s="573" t="inlineStr">
        <is>
          <t>PPh 23 Dipotong oleh client</t>
        </is>
      </c>
      <c r="D12" s="574" t="inlineStr">
        <is>
          <t>Rp</t>
        </is>
      </c>
      <c r="E12" s="575">
        <f>'Revenue-Cost_2024'!N22</f>
        <v/>
      </c>
      <c r="F12" s="485" t="n"/>
    </row>
    <row r="13" ht="19" customHeight="1" s="297">
      <c r="A13" s="482" t="n"/>
      <c r="B13" s="572" t="n">
        <v>7</v>
      </c>
      <c r="C13" s="573" t="inlineStr">
        <is>
          <t>Kekurangan Bayar PPh Badan</t>
        </is>
      </c>
      <c r="D13" s="574" t="inlineStr">
        <is>
          <t>Rp</t>
        </is>
      </c>
      <c r="E13" s="576">
        <f>E11-E12</f>
        <v/>
      </c>
      <c r="F13" s="485" t="n"/>
    </row>
    <row r="14" ht="19" customHeight="1" s="297">
      <c r="A14" s="482" t="n"/>
      <c r="B14" s="572" t="n">
        <v>8</v>
      </c>
      <c r="C14" s="573" t="inlineStr">
        <is>
          <t>Profit After Tax</t>
        </is>
      </c>
      <c r="D14" s="574" t="inlineStr">
        <is>
          <t>Rp</t>
        </is>
      </c>
      <c r="E14" s="575">
        <f>E10-E13</f>
        <v/>
      </c>
      <c r="F14" s="485" t="n"/>
    </row>
    <row r="15" ht="19" customHeight="1" s="297">
      <c r="A15" s="482" t="n"/>
      <c r="B15" s="572" t="n">
        <v>9</v>
      </c>
      <c r="C15" s="573" t="inlineStr">
        <is>
          <t>Deviden Dibagi</t>
        </is>
      </c>
      <c r="D15" s="574" t="inlineStr">
        <is>
          <t>Rp</t>
        </is>
      </c>
      <c r="E15" s="575">
        <f>E14-E16</f>
        <v/>
      </c>
      <c r="F15" s="485" t="n"/>
    </row>
    <row r="16" ht="19" customHeight="1" s="297">
      <c r="A16" s="482" t="n"/>
      <c r="B16" s="572" t="n">
        <v>10</v>
      </c>
      <c r="C16" s="573" t="inlineStr">
        <is>
          <t>Profit Ditahan</t>
        </is>
      </c>
      <c r="D16" s="574" t="inlineStr">
        <is>
          <t>Rp</t>
        </is>
      </c>
      <c r="E16" s="575" t="n">
        <v>33763737</v>
      </c>
      <c r="F16" s="485" t="n"/>
    </row>
    <row r="17">
      <c r="A17" s="482" t="n"/>
      <c r="B17" s="482" t="n"/>
      <c r="C17" s="482" t="n"/>
      <c r="D17" s="482" t="n"/>
      <c r="E17" s="483" t="n"/>
      <c r="F17" s="485" t="n"/>
    </row>
    <row r="18" ht="18" customHeight="1" s="297">
      <c r="A18" s="482" t="n"/>
      <c r="B18" s="270" t="inlineStr">
        <is>
          <t>DEVIDEN</t>
        </is>
      </c>
      <c r="F18" s="485" t="n"/>
    </row>
    <row r="19" ht="19" customHeight="1" s="297">
      <c r="A19" s="482" t="n">
        <v>1</v>
      </c>
      <c r="B19" s="271" t="inlineStr">
        <is>
          <t>Anevril Chairulsyah</t>
        </is>
      </c>
      <c r="C19" s="272" t="n"/>
      <c r="D19" s="573" t="inlineStr">
        <is>
          <t>Rp</t>
        </is>
      </c>
      <c r="E19" s="577">
        <f>IF(B19="","",$E$15/COUNTA($B$19:$B$79))</f>
        <v/>
      </c>
      <c r="F19" s="485" t="n"/>
      <c r="G19" s="578" t="inlineStr">
        <is>
          <t>Pajak 10%</t>
        </is>
      </c>
    </row>
    <row r="20" ht="19" customHeight="1" s="297">
      <c r="A20" s="482" t="n">
        <v>2</v>
      </c>
      <c r="B20" s="271" t="inlineStr">
        <is>
          <t>Alan Muhadjir</t>
        </is>
      </c>
      <c r="C20" s="272" t="n"/>
      <c r="D20" s="573" t="inlineStr">
        <is>
          <t>Rp</t>
        </is>
      </c>
      <c r="E20" s="577">
        <f>IF(B20="","",$E$15/COUNTA($B$19:$B$79))</f>
        <v/>
      </c>
      <c r="F20" s="485" t="n"/>
      <c r="G20" s="578" t="inlineStr">
        <is>
          <t>Pajak 10%</t>
        </is>
      </c>
    </row>
    <row r="21" ht="48.75" customHeight="1" s="297">
      <c r="A21" s="502" t="n"/>
      <c r="F21" s="485" t="n"/>
    </row>
    <row r="22">
      <c r="A22" s="502" t="n"/>
      <c r="F22" s="4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2026-03-29T09:59:32Z</dcterms:modified>
  <cp:lastModifiedBy>Diofavian - Student</cp:lastModifiedBy>
</cp:coreProperties>
</file>