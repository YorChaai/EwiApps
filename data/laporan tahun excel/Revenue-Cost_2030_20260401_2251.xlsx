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30" sheetId="1" state="visible" r:id="rId1"/>
    <sheet name="Laba rugi -2030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2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name val="Trebuchet MS"/>
      <b val="1"/>
      <sz val="14"/>
    </font>
  </fonts>
  <fills count="12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86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0" applyAlignment="1" pivotButton="0" quotePrefix="0" xfId="0">
      <alignment horizontal="center"/>
    </xf>
    <xf numFmtId="0" fontId="36" fillId="0" borderId="4" applyAlignment="1" pivotButton="0" quotePrefix="0" xfId="0">
      <alignment horizontal="center"/>
    </xf>
    <xf numFmtId="0" fontId="1" fillId="0" borderId="0" pivotButton="0" quotePrefix="0" xfId="0"/>
    <xf numFmtId="0" fontId="37" fillId="0" borderId="4" applyAlignment="1" pivotButton="0" quotePrefix="0" xfId="0">
      <alignment horizontal="right" vertical="center"/>
    </xf>
    <xf numFmtId="0" fontId="10" fillId="0" borderId="4" pivotButton="0" quotePrefix="0" xfId="1"/>
    <xf numFmtId="0" fontId="10" fillId="10" borderId="4" applyAlignment="1" pivotButton="0" quotePrefix="0" xfId="0">
      <alignment horizontal="center"/>
    </xf>
    <xf numFmtId="0" fontId="10" fillId="10" borderId="4" pivotButton="0" quotePrefix="0" xfId="0"/>
    <xf numFmtId="0" fontId="10" fillId="10" borderId="4" pivotButton="0" quotePrefix="0" xfId="1"/>
    <xf numFmtId="0" fontId="11" fillId="10" borderId="4" pivotButton="0" quotePrefix="0" xfId="0"/>
    <xf numFmtId="0" fontId="13" fillId="0" borderId="0" pivotButton="0" quotePrefix="0" xfId="0"/>
    <xf numFmtId="0" fontId="10" fillId="0" borderId="9" pivotButton="0" quotePrefix="0" xfId="1"/>
    <xf numFmtId="0" fontId="10" fillId="0" borderId="10" pivotButton="0" quotePrefix="0" xfId="1"/>
    <xf numFmtId="0" fontId="10" fillId="0" borderId="0" pivotButton="0" quotePrefix="0" xfId="1"/>
    <xf numFmtId="0" fontId="10" fillId="6" borderId="4" applyAlignment="1" pivotButton="0" quotePrefix="0" xfId="0">
      <alignment horizontal="right" vertical="center"/>
    </xf>
    <xf numFmtId="0" fontId="10" fillId="0" borderId="4" applyAlignment="1" pivotButton="0" quotePrefix="0" xfId="1">
      <alignment horizontal="center" vertical="center"/>
    </xf>
    <xf numFmtId="0" fontId="10" fillId="0" borderId="4" applyAlignment="1" pivotButton="0" quotePrefix="0" xfId="0">
      <alignment vertical="center"/>
    </xf>
    <xf numFmtId="0" fontId="10" fillId="6" borderId="6" applyAlignment="1" pivotButton="0" quotePrefix="0" xfId="0">
      <alignment horizontal="right" vertical="center"/>
    </xf>
    <xf numFmtId="0" fontId="10" fillId="0" borderId="5" applyAlignment="1" pivotButton="0" quotePrefix="0" xfId="1">
      <alignment horizontal="center" vertical="center"/>
    </xf>
    <xf numFmtId="0" fontId="10" fillId="0" borderId="5" applyAlignment="1" pivotButton="0" quotePrefix="0" xfId="0">
      <alignment vertical="center"/>
    </xf>
    <xf numFmtId="0" fontId="8" fillId="0" borderId="8" pivotButton="0" quotePrefix="0" xfId="0"/>
    <xf numFmtId="0" fontId="8" fillId="7" borderId="10" pivotButton="0" quotePrefix="0" xfId="0"/>
    <xf numFmtId="0" fontId="8" fillId="7" borderId="8" pivotButton="0" quotePrefix="0" xfId="0"/>
    <xf numFmtId="0" fontId="8" fillId="7" borderId="4" pivotButton="0" quotePrefix="0" xfId="0"/>
    <xf numFmtId="3" fontId="10" fillId="0" borderId="4" applyAlignment="1" pivotButton="0" quotePrefix="0" xfId="0">
      <alignment horizontal="center"/>
    </xf>
    <xf numFmtId="15" fontId="37" fillId="0" borderId="4" applyAlignment="1" pivotButton="0" quotePrefix="0" xfId="0">
      <alignment horizontal="right" vertical="center"/>
    </xf>
    <xf numFmtId="0" fontId="37" fillId="0" borderId="9" pivotButton="0" quotePrefix="0" xfId="0"/>
    <xf numFmtId="0" fontId="37" fillId="0" borderId="8" pivotButton="0" quotePrefix="0" xfId="0"/>
    <xf numFmtId="0" fontId="37" fillId="0" borderId="4" pivotButton="0" quotePrefix="0" xfId="0"/>
    <xf numFmtId="165" fontId="37" fillId="0" borderId="4" pivotButton="0" quotePrefix="0" xfId="1"/>
    <xf numFmtId="15" fontId="37" fillId="6" borderId="4" pivotButton="0" quotePrefix="0" xfId="0"/>
    <xf numFmtId="165" fontId="37" fillId="0" borderId="0" pivotButton="0" quotePrefix="0" xfId="1"/>
    <xf numFmtId="15" fontId="38" fillId="2" borderId="4" applyAlignment="1" pivotButton="0" quotePrefix="0" xfId="0">
      <alignment horizontal="center" vertical="center"/>
    </xf>
    <xf numFmtId="0" fontId="38" fillId="2" borderId="4" applyAlignment="1" pivotButton="0" quotePrefix="0" xfId="0">
      <alignment horizontal="center" vertical="center"/>
    </xf>
    <xf numFmtId="0" fontId="38" fillId="2" borderId="4" applyAlignment="1" pivotButton="0" quotePrefix="0" xfId="0">
      <alignment horizontal="center" vertical="center" textRotation="90" wrapText="1"/>
    </xf>
    <xf numFmtId="165" fontId="38" fillId="2" borderId="4" applyAlignment="1" pivotButton="0" quotePrefix="0" xfId="2">
      <alignment horizontal="center" vertical="center"/>
    </xf>
    <xf numFmtId="167" fontId="38" fillId="11" borderId="20" applyAlignment="1" pivotButton="0" quotePrefix="0" xfId="0">
      <alignment horizontal="center" vertical="center" wrapText="1"/>
    </xf>
    <xf numFmtId="165" fontId="38" fillId="11" borderId="20" applyAlignment="1" pivotButton="0" quotePrefix="0" xfId="0">
      <alignment horizontal="center" vertical="center" wrapText="1"/>
    </xf>
    <xf numFmtId="0" fontId="38" fillId="11" borderId="20" applyAlignment="1" pivotButton="0" quotePrefix="0" xfId="0">
      <alignment horizontal="center" vertical="center" wrapText="1"/>
    </xf>
    <xf numFmtId="0" fontId="38" fillId="11" borderId="20" applyAlignment="1" pivotButton="0" quotePrefix="0" xfId="3">
      <alignment horizontal="center" vertical="center" wrapText="1"/>
    </xf>
    <xf numFmtId="15" fontId="10" fillId="0" borderId="20" pivotButton="0" quotePrefix="0" xfId="0"/>
    <xf numFmtId="0" fontId="10" fillId="0" borderId="20" applyAlignment="1" pivotButton="0" quotePrefix="0" xfId="0">
      <alignment horizontal="center"/>
    </xf>
    <xf numFmtId="0" fontId="36" fillId="0" borderId="20" applyAlignment="1" pivotButton="0" quotePrefix="0" xfId="0">
      <alignment horizontal="center"/>
    </xf>
    <xf numFmtId="0" fontId="10" fillId="0" borderId="20" pivotButton="0" quotePrefix="0" xfId="0"/>
    <xf numFmtId="165" fontId="10" fillId="0" borderId="20" pivotButton="0" quotePrefix="0" xfId="1"/>
    <xf numFmtId="0" fontId="10" fillId="0" borderId="20" applyAlignment="1" pivotButton="0" quotePrefix="0" xfId="0">
      <alignment horizontal="center" vertical="center"/>
    </xf>
    <xf numFmtId="165" fontId="8" fillId="0" borderId="20" applyAlignment="1" pivotButton="0" quotePrefix="0" xfId="0">
      <alignment vertical="top"/>
    </xf>
    <xf numFmtId="165" fontId="8" fillId="0" borderId="20" pivotButton="0" quotePrefix="0" xfId="0"/>
    <xf numFmtId="0" fontId="8" fillId="0" borderId="20" pivotButton="0" quotePrefix="0" xfId="0"/>
    <xf numFmtId="0" fontId="1" fillId="0" borderId="20" pivotButton="0" quotePrefix="0" xfId="0"/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7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7" fillId="0" borderId="20" applyAlignment="1" pivotButton="0" quotePrefix="0" xfId="0">
      <alignment horizontal="right" vertical="center"/>
    </xf>
    <xf numFmtId="167" fontId="8" fillId="0" borderId="20" applyAlignment="1" pivotButton="0" quotePrefix="0" xfId="1">
      <alignment vertical="top"/>
    </xf>
    <xf numFmtId="0" fontId="0" fillId="0" borderId="20" pivotButton="0" quotePrefix="0" xfId="0"/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7" fontId="8" fillId="0" borderId="4" applyAlignment="1" pivotButton="0" quotePrefix="0" xfId="1">
      <alignment vertical="top"/>
    </xf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9" fillId="6" borderId="0" pivotButton="0" quotePrefix="0" xfId="0"/>
    <xf numFmtId="0" fontId="39" fillId="6" borderId="20" applyAlignment="1" pivotButton="0" quotePrefix="0" xfId="0">
      <alignment horizontal="center" vertical="center"/>
    </xf>
    <xf numFmtId="165" fontId="39" fillId="6" borderId="20" applyAlignment="1" pivotButton="0" quotePrefix="0" xfId="0">
      <alignment horizontal="center" vertical="center"/>
    </xf>
    <xf numFmtId="0" fontId="39" fillId="6" borderId="0" applyAlignment="1" pivotButton="0" quotePrefix="0" xfId="0">
      <alignment horizontal="center" vertical="center"/>
    </xf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18" customWidth="1" style="298" min="7" max="7"/>
    <col width="3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2030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2030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  <c r="Q7" s="309" t="inlineStr">
        <is>
          <t>con: inc.PPN11%</t>
        </is>
      </c>
    </row>
    <row r="8" ht="15.5" customHeight="1" s="297">
      <c r="B8" s="18" t="n"/>
      <c r="C8" s="15" t="n"/>
      <c r="D8" s="310" t="inlineStr">
        <is>
          <t>Belum ada data revenue dan pajak</t>
        </is>
      </c>
      <c r="E8" s="279" t="n"/>
      <c r="F8" s="28" t="n"/>
      <c r="G8" s="15" t="n"/>
      <c r="H8" s="15" t="n"/>
      <c r="I8" s="15" t="n"/>
      <c r="J8" s="18" t="n"/>
      <c r="K8" s="18" t="n"/>
      <c r="L8" s="18" t="n"/>
      <c r="M8" s="143" t="n"/>
      <c r="N8" s="143" t="n"/>
      <c r="O8" s="18" t="n"/>
      <c r="P8" s="18" t="n"/>
      <c r="Q8" s="311" t="n"/>
    </row>
    <row r="9" ht="15.5" customHeight="1" s="297">
      <c r="B9" s="312" t="inlineStr">
        <is>
          <t>REVENUE (IDR)</t>
        </is>
      </c>
      <c r="C9" s="278" t="n"/>
      <c r="D9" s="278" t="n"/>
      <c r="E9" s="279" t="n"/>
      <c r="F9" s="313">
        <f>SUM(F8:F8)</f>
        <v/>
      </c>
      <c r="G9" s="15" t="n"/>
      <c r="H9" s="15" t="n"/>
      <c r="I9" s="314" t="n"/>
      <c r="J9" s="315" t="n"/>
      <c r="K9" s="315" t="n"/>
      <c r="L9" s="316">
        <f>SUM(L8:L8)</f>
        <v/>
      </c>
      <c r="M9" s="317">
        <f>SUM(M8:M8)</f>
        <v/>
      </c>
      <c r="N9" s="317">
        <f>SUM(N8:N8)</f>
        <v/>
      </c>
      <c r="O9" s="18">
        <f>SUM(O8:O8)</f>
        <v/>
      </c>
      <c r="P9" s="18" t="inlineStr"/>
    </row>
    <row r="10" hidden="1" ht="15.5" customHeight="1" s="297">
      <c r="B10" s="18" t="n"/>
      <c r="C10" s="15" t="n"/>
      <c r="D10" s="284" t="n"/>
      <c r="F10" s="28" t="n"/>
      <c r="G10" s="15" t="n"/>
      <c r="H10" s="15" t="n"/>
      <c r="I10" s="15" t="n"/>
      <c r="J10" s="18" t="n"/>
      <c r="K10" s="18" t="n"/>
      <c r="L10" s="18" t="n"/>
      <c r="M10" s="143" t="n"/>
      <c r="N10" s="143" t="n"/>
      <c r="O10" s="18" t="n"/>
      <c r="P10" s="18" t="n"/>
      <c r="Q10" s="318" t="n"/>
    </row>
    <row r="11" hidden="1" ht="15.5" customHeight="1" s="297">
      <c r="B11" s="18" t="n"/>
      <c r="C11" s="15" t="n"/>
      <c r="D11" s="284" t="n"/>
      <c r="F11" s="28" t="n"/>
      <c r="G11" s="15" t="n"/>
      <c r="H11" s="15" t="n"/>
      <c r="I11" s="15" t="n"/>
      <c r="J11" s="18" t="n"/>
      <c r="K11" s="18" t="n"/>
      <c r="L11" s="18" t="n"/>
      <c r="M11" s="143" t="n"/>
      <c r="N11" s="143" t="n"/>
      <c r="O11" s="18" t="n"/>
      <c r="P11" s="18" t="n"/>
    </row>
    <row r="12" hidden="1" ht="15.5" customHeight="1" s="297">
      <c r="B12" s="18" t="n"/>
      <c r="C12" s="15" t="n"/>
      <c r="D12" s="284" t="n"/>
      <c r="F12" s="28" t="n"/>
      <c r="G12" s="15" t="n"/>
      <c r="H12" s="15" t="n"/>
      <c r="I12" s="15" t="n"/>
      <c r="J12" s="18" t="n"/>
      <c r="K12" s="98" t="n"/>
      <c r="L12" s="18" t="n"/>
      <c r="M12" s="143" t="n"/>
      <c r="N12" s="143" t="n"/>
      <c r="O12" s="18" t="n"/>
      <c r="P12" s="18" t="n"/>
    </row>
    <row r="13" hidden="1" ht="15.5" customHeight="1" s="297">
      <c r="B13" s="18" t="n"/>
      <c r="C13" s="15" t="n"/>
      <c r="D13" s="284" t="n"/>
      <c r="F13" s="28" t="n"/>
      <c r="G13" s="15" t="n"/>
      <c r="H13" s="15" t="n"/>
      <c r="I13" s="15" t="n"/>
      <c r="J13" s="18" t="n"/>
      <c r="K13" s="98" t="n"/>
      <c r="L13" s="18" t="n"/>
      <c r="M13" s="143" t="n"/>
      <c r="N13" s="143" t="n"/>
      <c r="O13" s="18" t="n"/>
      <c r="P13" s="18" t="n"/>
    </row>
    <row r="14" hidden="1" ht="15.5" customHeight="1" s="297">
      <c r="B14" s="18" t="n"/>
      <c r="C14" s="15" t="n"/>
      <c r="D14" s="284" t="n"/>
      <c r="F14" s="28" t="n"/>
      <c r="G14" s="15" t="n"/>
      <c r="H14" s="15" t="n"/>
      <c r="I14" s="15" t="n"/>
      <c r="J14" s="18" t="n"/>
      <c r="K14" s="18" t="n"/>
      <c r="L14" s="18" t="n"/>
      <c r="M14" s="143" t="n"/>
      <c r="N14" s="143" t="n"/>
      <c r="O14" s="18" t="n"/>
      <c r="P14" s="18" t="n"/>
    </row>
    <row r="15" hidden="1" ht="15.5" customHeight="1" s="297">
      <c r="B15" s="18" t="n"/>
      <c r="C15" s="15" t="n"/>
      <c r="D15" s="284" t="n"/>
      <c r="F15" s="28" t="n"/>
      <c r="G15" s="15" t="n"/>
      <c r="H15" s="15" t="n"/>
      <c r="I15" s="15" t="n"/>
      <c r="J15" s="18" t="n"/>
      <c r="K15" s="98" t="n"/>
      <c r="L15" s="18" t="n"/>
      <c r="M15" s="143" t="n"/>
      <c r="N15" s="143" t="n"/>
      <c r="O15" s="18" t="n"/>
      <c r="P15" s="18" t="n"/>
    </row>
    <row r="16" hidden="1" ht="15.5" customHeight="1" s="297">
      <c r="B16" s="18" t="n"/>
      <c r="C16" s="15" t="n"/>
      <c r="D16" s="284" t="n"/>
      <c r="F16" s="28" t="n"/>
      <c r="G16" s="15" t="n"/>
      <c r="H16" s="15" t="n"/>
      <c r="I16" s="15" t="n"/>
      <c r="J16" s="18" t="n"/>
      <c r="K16" s="98" t="n"/>
      <c r="L16" s="18" t="n"/>
      <c r="M16" s="143" t="n"/>
      <c r="N16" s="143" t="n"/>
      <c r="O16" s="18" t="n"/>
      <c r="P16" s="18" t="n"/>
    </row>
    <row r="17" hidden="1" ht="15.5" customHeight="1" s="297">
      <c r="B17" s="18" t="n"/>
      <c r="C17" s="15" t="n"/>
      <c r="D17" s="284" t="n"/>
      <c r="F17" s="28" t="n"/>
      <c r="G17" s="15" t="n"/>
      <c r="H17" s="15" t="n"/>
      <c r="I17" s="15" t="n"/>
      <c r="J17" s="18" t="n"/>
      <c r="K17" s="98" t="n"/>
      <c r="L17" s="18" t="n"/>
      <c r="M17" s="143" t="n"/>
      <c r="N17" s="143" t="n"/>
      <c r="O17" s="18" t="n"/>
      <c r="P17" s="18" t="n"/>
    </row>
    <row r="18" hidden="1" ht="15.5" customHeight="1" s="297">
      <c r="B18" s="18" t="n"/>
      <c r="C18" s="15" t="n"/>
      <c r="D18" s="284" t="n"/>
      <c r="F18" s="319" t="n"/>
      <c r="G18" s="15" t="n"/>
      <c r="H18" s="15" t="n"/>
      <c r="I18" s="15" t="n"/>
      <c r="J18" s="18" t="n"/>
      <c r="K18" s="98" t="n"/>
      <c r="L18" s="320" t="n"/>
      <c r="M18" s="143" t="n"/>
      <c r="N18" s="143" t="n"/>
      <c r="O18" s="18" t="n"/>
      <c r="P18" s="18" t="n"/>
    </row>
    <row r="19" hidden="1" ht="15.5" customHeight="1" s="297">
      <c r="B19" s="18" t="n"/>
      <c r="C19" s="15" t="n"/>
      <c r="D19" s="284" t="n"/>
      <c r="F19" s="321" t="n"/>
      <c r="G19" s="15" t="n"/>
      <c r="H19" s="15" t="n"/>
      <c r="I19" s="15" t="n"/>
      <c r="J19" s="18" t="n"/>
      <c r="K19" s="322" t="n"/>
      <c r="L19" s="323" t="n"/>
      <c r="M19" s="143" t="n"/>
      <c r="N19" s="143" t="n"/>
      <c r="O19" s="324" t="n"/>
      <c r="P19" s="18" t="n"/>
    </row>
    <row r="20" hidden="1" ht="15.5" customHeight="1" s="297">
      <c r="B20" s="18" t="n"/>
      <c r="C20" s="15" t="n"/>
      <c r="D20" s="284" t="n"/>
      <c r="F20" s="28" t="n"/>
      <c r="G20" s="15" t="n"/>
      <c r="H20" s="15" t="n"/>
      <c r="I20" s="15" t="n"/>
      <c r="J20" s="18" t="n"/>
      <c r="M20" s="143" t="n"/>
      <c r="N20" s="143" t="n"/>
      <c r="P20" s="18" t="n"/>
    </row>
    <row r="21" hidden="1" ht="15.5" customHeight="1" s="297">
      <c r="B21" s="18" t="n"/>
      <c r="C21" s="15" t="n"/>
      <c r="D21" s="284" t="n"/>
      <c r="F21" s="28" t="n"/>
      <c r="G21" s="15" t="n"/>
      <c r="H21" s="15" t="n"/>
      <c r="I21" s="27" t="n"/>
      <c r="J21" s="28" t="n"/>
      <c r="K21" s="325" t="n"/>
      <c r="L21" s="326" t="n"/>
      <c r="M21" s="143" t="n"/>
      <c r="N21" s="143" t="n"/>
      <c r="O21" s="327" t="n"/>
      <c r="P21" s="18" t="n"/>
    </row>
    <row r="22" hidden="1" ht="15.5" customHeight="1" s="297">
      <c r="B22" s="286" t="n"/>
      <c r="F22" s="328" t="n"/>
      <c r="G22" s="33" t="n"/>
      <c r="H22" s="33" t="n"/>
      <c r="I22" s="329" t="n"/>
      <c r="J22" s="330" t="n"/>
      <c r="K22" s="329" t="n"/>
      <c r="L22" s="331" t="n"/>
      <c r="M22" s="331" t="n"/>
      <c r="N22" s="331" t="n"/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/>
      <c r="C27" s="15" t="n"/>
      <c r="D27" s="310" t="inlineStr">
        <is>
          <t>Belum ada data pajak</t>
        </is>
      </c>
      <c r="E27" s="279" t="n"/>
      <c r="F27" s="19" t="n"/>
      <c r="G27" s="15" t="inlineStr">
        <is>
          <t>IDR</t>
        </is>
      </c>
      <c r="H27" s="332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333" t="inlineStr">
        <is>
          <t>PENERIMAAN NEGARA (TAX) (IDR)</t>
        </is>
      </c>
      <c r="C28" s="334" t="n"/>
      <c r="D28" s="334" t="n"/>
      <c r="E28" s="334" t="n"/>
      <c r="F28" s="334" t="n"/>
      <c r="G28" s="334" t="n"/>
      <c r="H28" s="335" t="n"/>
      <c r="I28" s="336" t="inlineStr">
        <is>
          <t>PPN</t>
        </is>
      </c>
      <c r="J28" s="337">
        <f>SUM(J27:J27)</f>
        <v/>
      </c>
      <c r="K28" s="338" t="inlineStr">
        <is>
          <t>PPh</t>
        </is>
      </c>
      <c r="L28" s="337">
        <f>SUM(L27:L27)</f>
        <v/>
      </c>
      <c r="M28" s="338" t="inlineStr">
        <is>
          <t>PPh</t>
        </is>
      </c>
      <c r="N28" s="337">
        <f>SUM(N27:N27)</f>
        <v/>
      </c>
      <c r="O28" s="338" t="inlineStr">
        <is>
          <t>PPh</t>
        </is>
      </c>
      <c r="P28" s="337">
        <f>SUM(P27:P27)</f>
        <v/>
      </c>
      <c r="Q28" s="339" t="inlineStr">
        <is>
          <t>-</t>
        </is>
      </c>
    </row>
    <row r="29" hidden="1" ht="15.5" customHeight="1" s="297">
      <c r="B29" s="14" t="n"/>
      <c r="C29" s="15" t="n"/>
      <c r="D29" s="284" t="n"/>
      <c r="F29" s="19" t="n"/>
      <c r="G29" s="15" t="n"/>
      <c r="H29" s="15" t="n"/>
      <c r="I29" s="18" t="n"/>
      <c r="J29" s="21" t="n"/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/>
      <c r="C30" s="15" t="n"/>
      <c r="D30" s="284" t="n"/>
      <c r="F30" s="19" t="n"/>
      <c r="G30" s="15" t="n"/>
      <c r="H30" s="15" t="n"/>
      <c r="I30" s="18" t="n"/>
      <c r="J30" s="21" t="n"/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/>
      <c r="C31" s="15" t="n"/>
      <c r="D31" s="284" t="n"/>
      <c r="F31" s="19" t="n"/>
      <c r="G31" s="15" t="n"/>
      <c r="H31" s="15" t="n"/>
      <c r="I31" s="18" t="n"/>
      <c r="J31" s="18" t="n"/>
      <c r="K31" s="24" t="n"/>
      <c r="L31" s="21" t="n"/>
      <c r="M31" s="24" t="n"/>
      <c r="N31" s="21" t="n"/>
      <c r="O31" s="24" t="n"/>
      <c r="P31" s="21" t="n"/>
      <c r="Q31" s="42" t="n"/>
    </row>
    <row r="32" hidden="1" ht="15.5" customHeight="1" s="297">
      <c r="B32" s="14" t="n"/>
      <c r="C32" s="15" t="n"/>
      <c r="D32" s="284" t="n"/>
      <c r="F32" s="19" t="n"/>
      <c r="G32" s="15" t="n"/>
      <c r="H32" s="15" t="n"/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/>
      <c r="C33" s="15" t="n"/>
      <c r="D33" s="284" t="n"/>
      <c r="F33" s="19" t="n"/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/>
      <c r="C34" s="15" t="n"/>
      <c r="D34" s="284" t="n"/>
      <c r="F34" s="19" t="n"/>
      <c r="G34" s="15" t="n"/>
      <c r="H34" s="15" t="n"/>
      <c r="I34" s="18" t="n"/>
      <c r="J34" s="21" t="n"/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/>
      <c r="C35" s="15" t="n"/>
      <c r="D35" s="284" t="n"/>
      <c r="F35" s="19" t="n"/>
      <c r="G35" s="15" t="n"/>
      <c r="H35" s="15" t="n"/>
      <c r="I35" s="18" t="n"/>
      <c r="J35" s="21" t="n"/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/>
      <c r="C36" s="15" t="n"/>
      <c r="D36" s="284" t="n"/>
      <c r="F36" s="19" t="n"/>
      <c r="G36" s="15" t="n"/>
      <c r="H36" s="15" t="n"/>
      <c r="I36" s="18" t="n"/>
      <c r="J36" s="18" t="n"/>
      <c r="K36" s="24" t="n"/>
      <c r="L36" s="21" t="n"/>
      <c r="M36" s="24" t="n"/>
      <c r="N36" s="21" t="n"/>
      <c r="O36" s="24" t="n"/>
      <c r="P36" s="21" t="n"/>
      <c r="Q36" s="42" t="n"/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60" customFormat="1" customHeight="1" s="49">
      <c r="B40" s="340" t="inlineStr">
        <is>
          <t>Date</t>
        </is>
      </c>
      <c r="C40" s="341" t="inlineStr">
        <is>
          <t>#</t>
        </is>
      </c>
      <c r="D40" s="341" t="inlineStr">
        <is>
          <t>Activity</t>
        </is>
      </c>
      <c r="E40" s="342" t="inlineStr">
        <is>
          <t>Source</t>
        </is>
      </c>
      <c r="F40" s="343" t="inlineStr">
        <is>
          <t>Jumlah</t>
        </is>
      </c>
      <c r="G40" s="342" t="inlineStr">
        <is>
          <t>Currency</t>
        </is>
      </c>
      <c r="H40" s="342" t="inlineStr">
        <is>
          <t>urrency Exchange</t>
        </is>
      </c>
      <c r="I40" s="344" t="inlineStr">
        <is>
          <t>Biaya Operasi</t>
        </is>
      </c>
      <c r="J40" s="345" t="inlineStr">
        <is>
          <t>Biaya Research (R&amp;D)</t>
        </is>
      </c>
      <c r="K40" s="346" t="inlineStr">
        <is>
          <t>Biaya Sewa Peralatan</t>
        </is>
      </c>
      <c r="L40" s="346" t="inlineStr">
        <is>
          <t>Biaya Interpretasi Log Data</t>
        </is>
      </c>
      <c r="M40" s="347" t="inlineStr">
        <is>
          <t>Administrasi</t>
        </is>
      </c>
      <c r="N40" s="347" t="inlineStr">
        <is>
          <t>Pembelian Barang</t>
        </is>
      </c>
      <c r="O40" s="347" t="inlineStr">
        <is>
          <t>Sewa Kantor</t>
        </is>
      </c>
      <c r="P40" s="347" t="inlineStr">
        <is>
          <t>Kesehatan</t>
        </is>
      </c>
      <c r="Q40" s="347" t="inlineStr">
        <is>
          <t>Bisnis Dev</t>
        </is>
      </c>
      <c r="R40" s="346" t="inlineStr">
        <is>
          <t>asdasd</t>
        </is>
      </c>
      <c r="S40" s="346" t="inlineStr">
        <is>
          <t>makanan jepang</t>
        </is>
      </c>
      <c r="T40" s="346" t="inlineStr">
        <is>
          <t>aaaaa</t>
        </is>
      </c>
      <c r="U40" s="346" t="inlineStr">
        <is>
          <t>bbbbb</t>
        </is>
      </c>
      <c r="V40" s="346" t="inlineStr">
        <is>
          <t>asdsad</t>
        </is>
      </c>
      <c r="W40" s="346" t="inlineStr">
        <is>
          <t>dfgdfgdfgd</t>
        </is>
      </c>
      <c r="X40" s="346" t="inlineStr">
        <is>
          <t>12312</t>
        </is>
      </c>
    </row>
    <row r="41" ht="15.5" customHeight="1" s="297">
      <c r="B41" s="348" t="n"/>
      <c r="C41" s="349" t="n"/>
      <c r="D41" s="350" t="inlineStr">
        <is>
          <t>Belum ada data single pengeluaran</t>
        </is>
      </c>
      <c r="E41" s="351" t="n"/>
      <c r="F41" s="352" t="n"/>
      <c r="G41" s="353" t="n"/>
      <c r="H41" s="353" t="n"/>
      <c r="I41" s="354" t="n"/>
      <c r="J41" s="354" t="n"/>
      <c r="K41" s="355" t="n"/>
      <c r="L41" s="356" t="n"/>
      <c r="M41" s="356" t="n"/>
      <c r="N41" s="356" t="n"/>
      <c r="O41" s="356" t="n"/>
      <c r="P41" s="356" t="n"/>
      <c r="Q41" s="356" t="n"/>
      <c r="R41" s="357" t="n"/>
      <c r="S41" s="357" t="n"/>
      <c r="T41" s="357" t="n"/>
      <c r="U41" s="357" t="n"/>
      <c r="V41" s="357" t="n"/>
      <c r="W41" s="357" t="n"/>
      <c r="X41" s="357" t="n"/>
    </row>
    <row r="42" ht="15.5" customHeight="1" s="297">
      <c r="B42" s="358" t="n"/>
      <c r="C42" s="359" t="n"/>
      <c r="D42" s="360" t="inlineStr">
        <is>
          <t>OPERATION COST AND OFFICE - Expenses Report</t>
        </is>
      </c>
      <c r="E42" s="361" t="n"/>
      <c r="F42" s="362" t="n"/>
      <c r="G42" s="363" t="n"/>
      <c r="H42" s="363" t="n"/>
      <c r="I42" s="364" t="n"/>
      <c r="J42" s="364" t="n"/>
      <c r="K42" s="365" t="n"/>
      <c r="L42" s="366" t="n"/>
      <c r="M42" s="366" t="n"/>
      <c r="N42" s="366" t="n"/>
      <c r="O42" s="366" t="n"/>
      <c r="P42" s="366" t="n"/>
      <c r="Q42" s="366" t="n"/>
      <c r="R42" s="367" t="n"/>
      <c r="S42" s="367" t="n"/>
      <c r="T42" s="367" t="n"/>
      <c r="U42" s="367" t="n"/>
      <c r="V42" s="367" t="n"/>
      <c r="W42" s="367" t="n"/>
      <c r="X42" s="367" t="n"/>
    </row>
    <row r="43" ht="15.5" customHeight="1" s="297">
      <c r="B43" s="348" t="n"/>
      <c r="C43" s="349" t="n"/>
      <c r="D43" s="350" t="inlineStr">
        <is>
          <t>Belum ada data batch pengeluaran</t>
        </is>
      </c>
      <c r="E43" s="351" t="n"/>
      <c r="F43" s="352" t="n"/>
      <c r="G43" s="353" t="n"/>
      <c r="H43" s="353" t="n"/>
      <c r="I43" s="354" t="n"/>
      <c r="J43" s="354" t="n"/>
      <c r="K43" s="355" t="n"/>
      <c r="L43" s="356" t="n"/>
      <c r="M43" s="356" t="n"/>
      <c r="N43" s="356" t="n"/>
      <c r="O43" s="356" t="n"/>
      <c r="P43" s="356" t="n"/>
      <c r="Q43" s="356" t="n"/>
      <c r="R43" s="357" t="n"/>
      <c r="S43" s="357" t="n"/>
      <c r="T43" s="357" t="n"/>
      <c r="U43" s="357" t="n"/>
      <c r="V43" s="357" t="n"/>
      <c r="W43" s="357" t="n"/>
      <c r="X43" s="357" t="n"/>
    </row>
    <row r="44" ht="15.5" customHeight="1" s="297">
      <c r="B44" s="368" t="inlineStr">
        <is>
          <t>TOTAL</t>
        </is>
      </c>
      <c r="C44" s="278" t="n"/>
      <c r="D44" s="278" t="n"/>
      <c r="E44" s="278" t="n"/>
      <c r="F44" s="278" t="n"/>
      <c r="G44" s="278" t="n"/>
      <c r="H44" s="279" t="n"/>
      <c r="I44" s="355" t="n">
        <v>0</v>
      </c>
      <c r="J44" s="356" t="n">
        <v>0</v>
      </c>
      <c r="K44" s="369" t="n">
        <v>0</v>
      </c>
      <c r="L44" s="356" t="n">
        <v>0</v>
      </c>
      <c r="M44" s="356" t="n">
        <v>0</v>
      </c>
      <c r="N44" s="356" t="n">
        <v>0</v>
      </c>
      <c r="O44" s="356" t="n">
        <v>0</v>
      </c>
      <c r="P44" s="356" t="n">
        <v>0</v>
      </c>
      <c r="Q44" s="356" t="n">
        <v>0</v>
      </c>
      <c r="R44" s="370" t="n">
        <v>0</v>
      </c>
      <c r="S44" s="370" t="n">
        <v>0</v>
      </c>
      <c r="T44" s="370" t="n">
        <v>0</v>
      </c>
      <c r="U44" s="370" t="n">
        <v>0</v>
      </c>
      <c r="V44" s="370" t="n">
        <v>0</v>
      </c>
      <c r="W44" s="370" t="n">
        <v>0</v>
      </c>
      <c r="X44" s="370" t="n">
        <v>0</v>
      </c>
    </row>
    <row r="45" hidden="1" ht="15.5" customHeight="1" s="297">
      <c r="B45" s="14" t="n">
        <v>45323</v>
      </c>
      <c r="C45" s="15" t="n">
        <v>5</v>
      </c>
      <c r="D45" s="63" t="inlineStr">
        <is>
          <t>Gaji Januari 2024 _Yufitri</t>
        </is>
      </c>
      <c r="E45" s="63" t="inlineStr">
        <is>
          <t>BCA</t>
        </is>
      </c>
      <c r="F45" s="371" t="n">
        <v>2500000</v>
      </c>
      <c r="G45" s="60" t="inlineStr">
        <is>
          <t>IDR</t>
        </is>
      </c>
      <c r="H45" s="60" t="n">
        <v>1</v>
      </c>
      <c r="I45" s="61">
        <f>F45</f>
        <v/>
      </c>
      <c r="J45" s="61" t="n"/>
      <c r="K45" s="44" t="n"/>
      <c r="L45" s="44" t="n"/>
      <c r="M45" s="44" t="n"/>
      <c r="N45" s="44" t="n"/>
      <c r="O45" s="44" t="n"/>
      <c r="P45" s="44" t="n"/>
      <c r="Q45" s="44" t="n"/>
    </row>
    <row r="46" hidden="1" ht="15.5" customHeight="1" s="297">
      <c r="B46" s="14" t="n">
        <v>45356</v>
      </c>
      <c r="C46" s="15" t="n">
        <v>6</v>
      </c>
      <c r="D46" s="63" t="inlineStr">
        <is>
          <t>Gaji Februari 2024 + raple gaji Januari 2024_Yufitri</t>
        </is>
      </c>
      <c r="E46" s="63" t="inlineStr">
        <is>
          <t>BCA</t>
        </is>
      </c>
      <c r="F46" s="371" t="n">
        <v>3500000</v>
      </c>
      <c r="G46" s="60" t="inlineStr">
        <is>
          <t>IDR</t>
        </is>
      </c>
      <c r="H46" s="60" t="n">
        <v>1</v>
      </c>
      <c r="I46" s="61" t="n">
        <v>3500000</v>
      </c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idden="1" ht="15.5" customHeight="1" s="297">
      <c r="A47" s="66" t="n"/>
      <c r="B47" s="14" t="n">
        <v>45364</v>
      </c>
      <c r="C47" s="15" t="n">
        <v>7</v>
      </c>
      <c r="D47" s="63" t="inlineStr">
        <is>
          <t>Ralika Jaya Utama | Permbuatan alat Downhole Wireless Telemetry</t>
        </is>
      </c>
      <c r="E47" s="63" t="inlineStr">
        <is>
          <t>BCA</t>
        </is>
      </c>
      <c r="F47" s="372" t="n">
        <v>100000000</v>
      </c>
      <c r="G47" s="60" t="inlineStr">
        <is>
          <t>IDR</t>
        </is>
      </c>
      <c r="H47" s="60" t="n">
        <v>1</v>
      </c>
      <c r="I47" s="61" t="n"/>
      <c r="J47" s="62">
        <f>$F47*$H47</f>
        <v/>
      </c>
      <c r="K47" s="44" t="n"/>
      <c r="L47" s="44" t="n"/>
      <c r="M47" s="44" t="n"/>
      <c r="N47" s="44" t="n"/>
      <c r="O47" s="44" t="n"/>
      <c r="P47" s="44" t="n"/>
      <c r="Q47" s="44" t="n"/>
    </row>
    <row r="48" hidden="1" ht="15.5" customHeight="1" s="297">
      <c r="B48" s="14" t="n">
        <v>45379</v>
      </c>
      <c r="C48" s="15" t="n">
        <v>8</v>
      </c>
      <c r="D48" s="63" t="inlineStr">
        <is>
          <t>Gaji Maret 2024_Yufitri</t>
        </is>
      </c>
      <c r="E48" s="63" t="inlineStr">
        <is>
          <t>BCA</t>
        </is>
      </c>
      <c r="F48" s="174" t="n">
        <v>3000000</v>
      </c>
      <c r="G48" s="60" t="inlineStr">
        <is>
          <t>IDR</t>
        </is>
      </c>
      <c r="H48" s="60" t="n">
        <v>1</v>
      </c>
      <c r="I48" s="61" t="n">
        <v>3000000</v>
      </c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idden="1" ht="15.5" customHeight="1" s="297">
      <c r="B49" s="292" t="n">
        <v>45388</v>
      </c>
      <c r="C49" s="15" t="n">
        <v>9</v>
      </c>
      <c r="D49" s="63" t="inlineStr">
        <is>
          <t>THR 2024_Yufitri</t>
        </is>
      </c>
      <c r="E49" s="63" t="inlineStr">
        <is>
          <t>BCA</t>
        </is>
      </c>
      <c r="F49" s="174" t="n">
        <v>3000000</v>
      </c>
      <c r="G49" s="60" t="inlineStr">
        <is>
          <t>IDR</t>
        </is>
      </c>
      <c r="H49" s="60" t="n">
        <v>1</v>
      </c>
      <c r="I49" s="61" t="n">
        <v>3000000</v>
      </c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idden="1" ht="15.5" customHeight="1" s="297">
      <c r="B50" s="14" t="n">
        <v>45413</v>
      </c>
      <c r="C50" s="15" t="n">
        <v>10</v>
      </c>
      <c r="D50" s="63" t="inlineStr">
        <is>
          <t>Data proccesing MTD 4 well, project Tomori-Alan</t>
        </is>
      </c>
      <c r="E50" s="63" t="inlineStr">
        <is>
          <t>BCA</t>
        </is>
      </c>
      <c r="F50" s="373" t="n">
        <v>122625000</v>
      </c>
      <c r="G50" s="60" t="inlineStr">
        <is>
          <t>IDR</t>
        </is>
      </c>
      <c r="H50" s="60" t="n">
        <v>1</v>
      </c>
      <c r="I50" s="61" t="n"/>
      <c r="J50" s="61" t="n"/>
      <c r="K50" s="44" t="n"/>
      <c r="L50" s="68" t="n">
        <v>122625000</v>
      </c>
      <c r="M50" s="44" t="n"/>
      <c r="N50" s="44" t="n"/>
      <c r="O50" s="44" t="n"/>
      <c r="P50" s="44" t="n"/>
      <c r="Q50" s="44" t="n"/>
    </row>
    <row r="51" hidden="1" ht="15.5" customHeight="1" s="297">
      <c r="B51" s="14" t="n">
        <v>45416</v>
      </c>
      <c r="C51" s="15" t="n">
        <v>11</v>
      </c>
      <c r="D51" s="63" t="inlineStr">
        <is>
          <t>Gaji April_Yufitri</t>
        </is>
      </c>
      <c r="E51" s="63" t="inlineStr">
        <is>
          <t>BCA</t>
        </is>
      </c>
      <c r="F51" s="372" t="n">
        <v>3000000</v>
      </c>
      <c r="G51" s="60" t="inlineStr">
        <is>
          <t>IDR</t>
        </is>
      </c>
      <c r="H51" s="60" t="n">
        <v>1</v>
      </c>
      <c r="I51" s="61" t="n">
        <v>3000000</v>
      </c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idden="1" ht="15.5" customFormat="1" customHeight="1" s="66">
      <c r="B52" s="14" t="n">
        <v>45418</v>
      </c>
      <c r="C52" s="15" t="n">
        <v>12</v>
      </c>
      <c r="D52" s="63" t="inlineStr">
        <is>
          <t>Ralika Jaya Utama | Permbuatan alat Downhole Wireless Telemetry</t>
        </is>
      </c>
      <c r="E52" s="63" t="inlineStr">
        <is>
          <t>BRI</t>
        </is>
      </c>
      <c r="F52" s="176" t="n">
        <v>100000000</v>
      </c>
      <c r="G52" s="60" t="inlineStr">
        <is>
          <t>IDR</t>
        </is>
      </c>
      <c r="H52" s="60" t="n">
        <v>1</v>
      </c>
      <c r="I52" s="61" t="n"/>
      <c r="J52" s="62">
        <f>$F52*$H52</f>
        <v/>
      </c>
      <c r="K52" s="44" t="n"/>
      <c r="L52" s="44" t="n"/>
      <c r="M52" s="44" t="n"/>
      <c r="N52" s="44" t="n"/>
      <c r="O52" s="44" t="n"/>
      <c r="P52" s="44" t="n"/>
      <c r="Q52" s="44" t="n"/>
    </row>
    <row r="53" hidden="1" ht="15.5" customFormat="1" customHeight="1" s="66">
      <c r="B53" s="14" t="n">
        <v>45422</v>
      </c>
      <c r="C53" s="15" t="n">
        <v>13</v>
      </c>
      <c r="D53" s="63" t="inlineStr">
        <is>
          <t>Aro Energy | Moving slickline dari Duri (Toni Supriadi) ke Sungai lilin</t>
        </is>
      </c>
      <c r="E53" s="63" t="inlineStr">
        <is>
          <t>BCA</t>
        </is>
      </c>
      <c r="F53" s="372" t="n">
        <v>18000000</v>
      </c>
      <c r="G53" s="60" t="inlineStr">
        <is>
          <t>IDR</t>
        </is>
      </c>
      <c r="H53" s="60" t="n">
        <v>1</v>
      </c>
      <c r="I53" s="62">
        <f>$F53*$H53</f>
        <v/>
      </c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idden="1" ht="15.5" customFormat="1" customHeight="1" s="66">
      <c r="B54" s="14" t="n">
        <v>45446</v>
      </c>
      <c r="C54" s="15" t="n">
        <v>14</v>
      </c>
      <c r="D54" s="18" t="inlineStr">
        <is>
          <t>ALFA Service TLJ-58 Pertamina Zona#4 - Rental Tool</t>
        </is>
      </c>
      <c r="E54" s="18" t="inlineStr">
        <is>
          <t>BCA</t>
        </is>
      </c>
      <c r="F54" s="176" t="n">
        <v>29640916</v>
      </c>
      <c r="G54" s="60" t="inlineStr">
        <is>
          <t>IDR</t>
        </is>
      </c>
      <c r="H54" s="60" t="n">
        <v>1</v>
      </c>
      <c r="I54" s="61" t="n"/>
      <c r="J54" s="61" t="n"/>
      <c r="K54" s="62">
        <f>$F54*$H54</f>
        <v/>
      </c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>
        <v>45446</v>
      </c>
      <c r="C55" s="15" t="n">
        <v>15</v>
      </c>
      <c r="D55" s="63" t="inlineStr">
        <is>
          <t>PT Laka Indonesia |  Wastafel for WIKA Anantara Ubud Bali</t>
        </is>
      </c>
      <c r="E55" s="63" t="inlineStr">
        <is>
          <t>BCA</t>
        </is>
      </c>
      <c r="F55" s="374" t="n">
        <v>300000000</v>
      </c>
      <c r="G55" s="60" t="inlineStr">
        <is>
          <t>IDR</t>
        </is>
      </c>
      <c r="H55" s="60" t="n">
        <v>1</v>
      </c>
      <c r="I55" s="62">
        <f>$F55*$H55</f>
        <v/>
      </c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>
        <v>45446</v>
      </c>
      <c r="C56" s="15" t="n">
        <v>16</v>
      </c>
      <c r="D56" s="63" t="inlineStr">
        <is>
          <t>Gaji Mei_Yufitri</t>
        </is>
      </c>
      <c r="E56" s="63" t="inlineStr">
        <is>
          <t>BCA</t>
        </is>
      </c>
      <c r="F56" s="374" t="n">
        <v>3000000</v>
      </c>
      <c r="G56" s="60" t="inlineStr">
        <is>
          <t>IDR</t>
        </is>
      </c>
      <c r="H56" s="60" t="n">
        <v>1</v>
      </c>
      <c r="I56" s="61" t="n">
        <v>3000000</v>
      </c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>
        <v>45447</v>
      </c>
      <c r="C57" s="15" t="n">
        <v>17</v>
      </c>
      <c r="D57" s="18" t="inlineStr">
        <is>
          <t>ALFA Service JRK-193 Pertamina Zona#4 - Rental Tool</t>
        </is>
      </c>
      <c r="E57" s="18" t="inlineStr">
        <is>
          <t>BCA</t>
        </is>
      </c>
      <c r="F57" s="21" t="n">
        <v>29640916</v>
      </c>
      <c r="G57" s="60" t="inlineStr">
        <is>
          <t>IDR</t>
        </is>
      </c>
      <c r="H57" s="60" t="n">
        <v>1</v>
      </c>
      <c r="I57" s="61" t="n"/>
      <c r="J57" s="61" t="n"/>
      <c r="K57" s="62">
        <f>$F57*$H57</f>
        <v/>
      </c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>
        <v>45473</v>
      </c>
      <c r="C58" s="15" t="n">
        <v>18</v>
      </c>
      <c r="D58" s="63" t="inlineStr">
        <is>
          <t>Gaji Juni 2024_Yufitri</t>
        </is>
      </c>
      <c r="E58" s="63" t="inlineStr">
        <is>
          <t>BCA</t>
        </is>
      </c>
      <c r="F58" s="374" t="n">
        <v>3000000</v>
      </c>
      <c r="G58" s="60" t="inlineStr">
        <is>
          <t>IDR</t>
        </is>
      </c>
      <c r="H58" s="60" t="n">
        <v>1</v>
      </c>
      <c r="I58" s="61" t="n">
        <v>3000000</v>
      </c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>
        <v>45473</v>
      </c>
      <c r="C59" s="15" t="n">
        <v>19</v>
      </c>
      <c r="D59" s="63" t="inlineStr">
        <is>
          <t>Downhole Sampling tool #1-1 GARINDO SARANA BARU</t>
        </is>
      </c>
      <c r="E59" s="63" t="inlineStr">
        <is>
          <t>BCA</t>
        </is>
      </c>
      <c r="F59" s="374" t="n">
        <v>39800000</v>
      </c>
      <c r="G59" s="60" t="inlineStr">
        <is>
          <t>IDR</t>
        </is>
      </c>
      <c r="H59" s="60" t="n">
        <v>1</v>
      </c>
      <c r="I59" s="61" t="n"/>
      <c r="J59" s="61" t="n"/>
      <c r="K59" s="44" t="n"/>
      <c r="L59" s="44" t="n"/>
      <c r="M59" s="44" t="n"/>
      <c r="N59" s="68" t="n">
        <v>3980000</v>
      </c>
      <c r="O59" s="44" t="n"/>
      <c r="P59" s="44" t="n"/>
      <c r="Q59" s="44" t="n"/>
    </row>
    <row r="60" hidden="1" ht="15.5" customFormat="1" customHeight="1" s="66">
      <c r="B60" s="14" t="n">
        <v>45476</v>
      </c>
      <c r="C60" s="15" t="n">
        <v>20</v>
      </c>
      <c r="D60" s="63" t="inlineStr">
        <is>
          <t>Kekurangan (PPN ) ke PT Garindo sarana Baru (Downhole Sampling)</t>
        </is>
      </c>
      <c r="E60" s="63" t="inlineStr">
        <is>
          <t>BCA</t>
        </is>
      </c>
      <c r="F60" s="374" t="n">
        <v>3582000</v>
      </c>
      <c r="G60" s="60" t="inlineStr">
        <is>
          <t>IDR</t>
        </is>
      </c>
      <c r="H60" s="60" t="n">
        <v>1</v>
      </c>
      <c r="I60" s="61" t="n"/>
      <c r="J60" s="61" t="n"/>
      <c r="K60" s="44" t="n"/>
      <c r="L60" s="44" t="n"/>
      <c r="M60" s="44" t="n"/>
      <c r="N60" s="68" t="n">
        <v>3582000</v>
      </c>
      <c r="O60" s="44" t="n"/>
      <c r="P60" s="44" t="n"/>
      <c r="Q60" s="44" t="n"/>
    </row>
    <row r="61" hidden="1" ht="15.5" customFormat="1" customHeight="1" s="66">
      <c r="B61" s="14" t="n">
        <v>45478</v>
      </c>
      <c r="C61" s="15" t="n">
        <v>21</v>
      </c>
      <c r="D61" s="70" t="inlineStr">
        <is>
          <t>Repair ESOR panel &amp; Fabricate dummy test load, Payment#2</t>
        </is>
      </c>
      <c r="E61" s="63" t="inlineStr">
        <is>
          <t>BRI</t>
        </is>
      </c>
      <c r="F61" s="21" t="n">
        <v>25000000</v>
      </c>
      <c r="G61" s="64" t="inlineStr">
        <is>
          <t>IDR</t>
        </is>
      </c>
      <c r="H61" s="60" t="n">
        <v>1</v>
      </c>
      <c r="I61" s="61">
        <f>$F61</f>
        <v/>
      </c>
      <c r="J61" s="62" t="n"/>
      <c r="K61" s="375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>
        <v>45480</v>
      </c>
      <c r="C62" s="15" t="n">
        <v>22</v>
      </c>
      <c r="D62" s="63" t="inlineStr">
        <is>
          <t>PT Laka Indonesia |  Wastafel for WIKA Anantara Ubud Bali</t>
        </is>
      </c>
      <c r="E62" s="63" t="inlineStr">
        <is>
          <t>BCA</t>
        </is>
      </c>
      <c r="F62" s="374" t="n">
        <v>25000000</v>
      </c>
      <c r="G62" s="60" t="inlineStr">
        <is>
          <t>IDR</t>
        </is>
      </c>
      <c r="H62" s="60" t="n">
        <v>1</v>
      </c>
      <c r="I62" s="62">
        <f>$F62*$H62</f>
        <v/>
      </c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>
        <v>45483</v>
      </c>
      <c r="C63" s="15" t="n">
        <v>23</v>
      </c>
      <c r="D63" s="63" t="inlineStr">
        <is>
          <t>Pembelian Lisence Sonoechometer to PT Weebz Mandiri</t>
        </is>
      </c>
      <c r="E63" s="63" t="inlineStr">
        <is>
          <t>BCA</t>
        </is>
      </c>
      <c r="F63" s="374" t="n">
        <v>16650000</v>
      </c>
      <c r="G63" s="60" t="inlineStr">
        <is>
          <t>IDR</t>
        </is>
      </c>
      <c r="H63" s="60" t="n">
        <v>1</v>
      </c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>
        <f>$F63*$H63</f>
        <v/>
      </c>
    </row>
    <row r="64" hidden="1" ht="15.5" customFormat="1" customHeight="1" s="66">
      <c r="B64" s="14" t="n">
        <v>45492</v>
      </c>
      <c r="C64" s="15" t="n">
        <v>24</v>
      </c>
      <c r="D64" s="63" t="inlineStr">
        <is>
          <t>PT Laka Indonesia |  Wastafel for WIKA Anantara Ubud Bali</t>
        </is>
      </c>
      <c r="E64" s="63" t="inlineStr">
        <is>
          <t>BCA</t>
        </is>
      </c>
      <c r="F64" s="374" t="n">
        <v>25000000</v>
      </c>
      <c r="G64" s="60" t="inlineStr">
        <is>
          <t>IDR</t>
        </is>
      </c>
      <c r="H64" s="60" t="n">
        <v>1</v>
      </c>
      <c r="I64" s="62">
        <f>$F64*$H64</f>
        <v/>
      </c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>
        <v>45493</v>
      </c>
      <c r="C65" s="15" t="n">
        <v>25</v>
      </c>
      <c r="D65" s="70" t="inlineStr">
        <is>
          <t>Repair ESOR panel &amp; Fabricate dummy test load, Payment#1</t>
        </is>
      </c>
      <c r="E65" s="63" t="inlineStr">
        <is>
          <t>BCA</t>
        </is>
      </c>
      <c r="F65" s="374" t="n">
        <v>20000000</v>
      </c>
      <c r="G65" s="60" t="inlineStr">
        <is>
          <t>IDR</t>
        </is>
      </c>
      <c r="H65" s="60" t="n">
        <v>1</v>
      </c>
      <c r="I65" s="61">
        <f>$F65</f>
        <v/>
      </c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>
        <v>45501</v>
      </c>
      <c r="C66" s="15" t="n">
        <v>26</v>
      </c>
      <c r="D66" s="63" t="inlineStr">
        <is>
          <t>Gaji Juli 2024_Yufitri</t>
        </is>
      </c>
      <c r="E66" s="63" t="inlineStr">
        <is>
          <t>BCA</t>
        </is>
      </c>
      <c r="F66" s="374" t="n">
        <v>3000000</v>
      </c>
      <c r="G66" s="60" t="inlineStr">
        <is>
          <t>IDR</t>
        </is>
      </c>
      <c r="H66" s="60" t="n">
        <v>1</v>
      </c>
      <c r="I66" s="61" t="n">
        <v>3000000</v>
      </c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>
        <v>45501</v>
      </c>
      <c r="C67" s="15" t="n">
        <v>27</v>
      </c>
      <c r="D67" s="63" t="inlineStr">
        <is>
          <t>Handphone Operational untuk Secretary (Yufitri)</t>
        </is>
      </c>
      <c r="E67" s="63" t="inlineStr">
        <is>
          <t>BCA</t>
        </is>
      </c>
      <c r="F67" s="374" t="n">
        <v>2600000</v>
      </c>
      <c r="G67" s="60" t="inlineStr">
        <is>
          <t>IDR</t>
        </is>
      </c>
      <c r="H67" s="60" t="n">
        <v>1</v>
      </c>
      <c r="I67" s="61" t="n"/>
      <c r="J67" s="61" t="n"/>
      <c r="K67" s="44" t="n"/>
      <c r="L67" s="44" t="n"/>
      <c r="M67" s="44" t="n"/>
      <c r="N67" s="68" t="n">
        <v>2600000</v>
      </c>
      <c r="O67" s="44" t="n"/>
      <c r="P67" s="44" t="n"/>
      <c r="Q67" s="44" t="n"/>
    </row>
    <row r="68" hidden="1" ht="15.5" customHeight="1" s="297">
      <c r="A68" s="66" t="n"/>
      <c r="B68" s="14" t="n">
        <v>45502</v>
      </c>
      <c r="C68" s="15" t="n">
        <v>28</v>
      </c>
      <c r="D68" s="63" t="inlineStr">
        <is>
          <t>Ralika Jaya Utama | Permbuatan alat injeksi listrik (EAS)</t>
        </is>
      </c>
      <c r="E68" s="63" t="inlineStr">
        <is>
          <t>BRI</t>
        </is>
      </c>
      <c r="F68" s="21" t="n">
        <v>100000000</v>
      </c>
      <c r="G68" s="60" t="inlineStr">
        <is>
          <t>IDR</t>
        </is>
      </c>
      <c r="H68" s="60" t="n">
        <v>1</v>
      </c>
      <c r="I68" s="61" t="n"/>
      <c r="J68" s="62">
        <f>$F68*$H68</f>
        <v/>
      </c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>
        <v>45519</v>
      </c>
      <c r="C69" s="15" t="n">
        <v>29</v>
      </c>
      <c r="D69" s="63" t="inlineStr">
        <is>
          <t>MUTRI | Sewa ruangan kantor BBC 2 bulan</t>
        </is>
      </c>
      <c r="E69" s="63" t="inlineStr">
        <is>
          <t>BCA</t>
        </is>
      </c>
      <c r="F69" s="374" t="n">
        <v>11270000</v>
      </c>
      <c r="G69" s="60" t="inlineStr">
        <is>
          <t>IDR</t>
        </is>
      </c>
      <c r="H69" s="60" t="n">
        <v>1</v>
      </c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>
        <f>$F69*$H69</f>
        <v/>
      </c>
    </row>
    <row r="70" hidden="1" ht="15.5" customHeight="1" s="297">
      <c r="B70" s="14" t="n">
        <v>45519</v>
      </c>
      <c r="C70" s="15" t="n">
        <v>30</v>
      </c>
      <c r="D70" s="63" t="inlineStr">
        <is>
          <t>Downhole Sampling tool #1-2 GARINDO SARANA BARU</t>
        </is>
      </c>
      <c r="E70" s="63" t="inlineStr">
        <is>
          <t>BCA</t>
        </is>
      </c>
      <c r="F70" s="374" t="n">
        <v>53835000</v>
      </c>
      <c r="G70" s="60" t="inlineStr">
        <is>
          <t>IDR</t>
        </is>
      </c>
      <c r="H70" s="60" t="n">
        <v>1</v>
      </c>
      <c r="I70" s="61" t="n"/>
      <c r="J70" s="61" t="n"/>
      <c r="K70" s="44" t="n"/>
      <c r="L70" s="44" t="n"/>
      <c r="M70" s="44" t="n"/>
      <c r="N70" s="376">
        <f>F70</f>
        <v/>
      </c>
      <c r="O70" s="44" t="n"/>
      <c r="P70" s="44" t="n"/>
      <c r="Q70" s="44" t="n"/>
    </row>
    <row r="71" hidden="1" ht="15.5" customHeight="1" s="297">
      <c r="B71" s="14" t="n">
        <v>45525</v>
      </c>
      <c r="C71" s="15" t="n">
        <v>31</v>
      </c>
      <c r="D71" s="63" t="inlineStr">
        <is>
          <t>Data proccesing TGB-33 DAN TIS (RBG-3b)-Alan</t>
        </is>
      </c>
      <c r="E71" s="63" t="inlineStr">
        <is>
          <t>BCA</t>
        </is>
      </c>
      <c r="F71" s="374" t="n">
        <v>101120000</v>
      </c>
      <c r="G71" s="60" t="inlineStr">
        <is>
          <t>IDR</t>
        </is>
      </c>
      <c r="H71" s="60" t="n">
        <v>1</v>
      </c>
      <c r="I71" s="61" t="n"/>
      <c r="J71" s="61" t="n"/>
      <c r="K71" s="44" t="n"/>
      <c r="L71" s="376">
        <f>F71</f>
        <v/>
      </c>
      <c r="M71" s="44" t="n"/>
      <c r="N71" s="44" t="n"/>
      <c r="O71" s="44" t="n"/>
      <c r="P71" s="44" t="n"/>
      <c r="Q71" s="44" t="n"/>
    </row>
    <row r="72" hidden="1" ht="15.5" customHeight="1" s="297">
      <c r="B72" s="14" t="n">
        <v>45535</v>
      </c>
      <c r="C72" s="15" t="n">
        <v>32</v>
      </c>
      <c r="D72" s="63" t="inlineStr">
        <is>
          <t>Gaji Agustus 2024_Yufitri</t>
        </is>
      </c>
      <c r="E72" s="63" t="inlineStr">
        <is>
          <t>BCA</t>
        </is>
      </c>
      <c r="F72" s="374" t="n">
        <v>3000000</v>
      </c>
      <c r="G72" s="60" t="inlineStr">
        <is>
          <t>IDR</t>
        </is>
      </c>
      <c r="H72" s="60" t="n">
        <v>1</v>
      </c>
      <c r="I72" s="61">
        <f>F72</f>
        <v/>
      </c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>
        <v>45537</v>
      </c>
      <c r="C73" s="15" t="n">
        <v>33</v>
      </c>
      <c r="D73" s="18" t="inlineStr">
        <is>
          <t>ALFA Service JRK-163 Pertamina Zona#4 - Rental Tool</t>
        </is>
      </c>
      <c r="E73" s="18" t="inlineStr">
        <is>
          <t>BCA</t>
        </is>
      </c>
      <c r="F73" s="21" t="n">
        <v>29640916</v>
      </c>
      <c r="G73" s="60" t="inlineStr">
        <is>
          <t>IDR</t>
        </is>
      </c>
      <c r="H73" s="60" t="n">
        <v>1</v>
      </c>
      <c r="I73" s="61" t="n"/>
      <c r="J73" s="61" t="n"/>
      <c r="K73" s="62">
        <f>$F73*$H73</f>
        <v/>
      </c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>
        <v>45539</v>
      </c>
      <c r="C74" s="15" t="n">
        <v>34</v>
      </c>
      <c r="D74" s="63" t="inlineStr">
        <is>
          <t>MUTRI | Penambahan modal biaya kerja</t>
        </is>
      </c>
      <c r="E74" s="63" t="inlineStr">
        <is>
          <t>BRI</t>
        </is>
      </c>
      <c r="F74" s="21" t="n">
        <v>100000000</v>
      </c>
      <c r="G74" s="60" t="inlineStr">
        <is>
          <t>IDR</t>
        </is>
      </c>
      <c r="H74" s="60" t="n">
        <v>1</v>
      </c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>
        <f>$F74*$H74</f>
        <v/>
      </c>
    </row>
    <row r="75" hidden="1" ht="15.5" customHeight="1" s="297">
      <c r="A75" s="66" t="n"/>
      <c r="B75" s="14" t="n">
        <v>45548</v>
      </c>
      <c r="C75" s="15" t="n">
        <v>35</v>
      </c>
      <c r="D75" s="63" t="inlineStr">
        <is>
          <t>Ralika Jaya Utama | Permbuatan alat EMR</t>
        </is>
      </c>
      <c r="E75" s="63" t="inlineStr">
        <is>
          <t>BRI</t>
        </is>
      </c>
      <c r="F75" s="21" t="n">
        <v>150000000</v>
      </c>
      <c r="G75" s="60" t="inlineStr">
        <is>
          <t>IDR</t>
        </is>
      </c>
      <c r="H75" s="60" t="n">
        <v>1</v>
      </c>
      <c r="I75" s="61" t="n"/>
      <c r="J75" s="62">
        <f>$F75*$H75</f>
        <v/>
      </c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>
        <v>45556</v>
      </c>
      <c r="C76" s="15" t="n">
        <v>36</v>
      </c>
      <c r="D76" s="63" t="inlineStr">
        <is>
          <t>Downhole Sampling tool #2 GARINDO SARANA BARU</t>
        </is>
      </c>
      <c r="E76" s="63" t="inlineStr">
        <is>
          <t>BCA</t>
        </is>
      </c>
      <c r="F76" s="374" t="n">
        <v>34299000</v>
      </c>
      <c r="G76" s="60" t="inlineStr">
        <is>
          <t>IDR</t>
        </is>
      </c>
      <c r="H76" s="60" t="n">
        <v>1</v>
      </c>
      <c r="I76" s="61" t="n"/>
      <c r="J76" s="61" t="n"/>
      <c r="K76" s="44" t="n"/>
      <c r="L76" s="44" t="n"/>
      <c r="M76" s="44" t="n"/>
      <c r="N76" s="376">
        <f>F76</f>
        <v/>
      </c>
      <c r="O76" s="44" t="n"/>
      <c r="P76" s="44" t="n"/>
      <c r="Q76" s="44" t="n"/>
    </row>
    <row r="77" hidden="1" ht="15.5" customHeight="1" s="297">
      <c r="B77" s="14" t="n">
        <v>45568</v>
      </c>
      <c r="C77" s="15" t="n">
        <v>37</v>
      </c>
      <c r="D77" s="63" t="inlineStr">
        <is>
          <t>Gaji fitri bulan september 2024</t>
        </is>
      </c>
      <c r="E77" s="63" t="inlineStr">
        <is>
          <t>BRI</t>
        </is>
      </c>
      <c r="F77" s="21" t="n">
        <v>3000000</v>
      </c>
      <c r="G77" s="64" t="inlineStr">
        <is>
          <t>IDR</t>
        </is>
      </c>
      <c r="H77" s="60" t="n">
        <v>1</v>
      </c>
      <c r="I77" s="61">
        <f>F77</f>
        <v/>
      </c>
      <c r="J77" s="44" t="n"/>
      <c r="K77" s="375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>
        <v>45568</v>
      </c>
      <c r="C78" s="15" t="n">
        <v>38</v>
      </c>
      <c r="D78" s="63" t="inlineStr">
        <is>
          <t>Gaji fitri bulan October 2024</t>
        </is>
      </c>
      <c r="E78" s="63" t="inlineStr">
        <is>
          <t>BRI</t>
        </is>
      </c>
      <c r="F78" s="21" t="n">
        <v>3000000</v>
      </c>
      <c r="G78" s="64" t="inlineStr">
        <is>
          <t>IDR</t>
        </is>
      </c>
      <c r="H78" s="60" t="n">
        <v>1</v>
      </c>
      <c r="I78" s="61">
        <f>F78</f>
        <v/>
      </c>
      <c r="J78" s="44" t="n"/>
      <c r="K78" s="375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>
        <v>45569</v>
      </c>
      <c r="C79" s="15" t="n">
        <v>41</v>
      </c>
      <c r="D79" s="18" t="inlineStr">
        <is>
          <t>PLT Service TGB-033 Pertamina Cirebon - Rental Tool</t>
        </is>
      </c>
      <c r="E79" s="18" t="inlineStr">
        <is>
          <t>BCA</t>
        </is>
      </c>
      <c r="F79" s="19" t="n">
        <v>16165271</v>
      </c>
      <c r="G79" s="60" t="inlineStr">
        <is>
          <t>IDR</t>
        </is>
      </c>
      <c r="H79" s="60" t="n">
        <v>1</v>
      </c>
      <c r="I79" s="61" t="n"/>
      <c r="J79" s="61" t="n"/>
      <c r="K79" s="62">
        <f>$F79*$H79</f>
        <v/>
      </c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>
        <v>45569</v>
      </c>
      <c r="C80" s="15" t="n">
        <v>39</v>
      </c>
      <c r="D80" s="18" t="inlineStr">
        <is>
          <t>ALFA Service TGB-033 Pertamina Cirebon - Rental Tool</t>
        </is>
      </c>
      <c r="E80" s="18" t="inlineStr">
        <is>
          <t>BCA</t>
        </is>
      </c>
      <c r="F80" s="21" t="n">
        <v>25967616</v>
      </c>
      <c r="G80" s="60" t="inlineStr">
        <is>
          <t>IDR</t>
        </is>
      </c>
      <c r="H80" s="60" t="n">
        <v>1</v>
      </c>
      <c r="I80" s="61" t="n"/>
      <c r="J80" s="61" t="n"/>
      <c r="K80" s="62">
        <f>$F80*$H80</f>
        <v/>
      </c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>
        <v>45569</v>
      </c>
      <c r="C81" s="15" t="n">
        <v>40</v>
      </c>
      <c r="D81" s="18" t="inlineStr">
        <is>
          <t>MFC Service TGB-033 Pertamina Cirebon - Rental Tool</t>
        </is>
      </c>
      <c r="E81" s="18" t="inlineStr">
        <is>
          <t>BCA</t>
        </is>
      </c>
      <c r="F81" s="177" t="n">
        <v>32101247</v>
      </c>
      <c r="G81" s="60" t="inlineStr">
        <is>
          <t>IDR</t>
        </is>
      </c>
      <c r="H81" s="60" t="n">
        <v>1</v>
      </c>
      <c r="I81" s="61" t="n"/>
      <c r="J81" s="61" t="n"/>
      <c r="K81" s="62">
        <f>$F81*$H81</f>
        <v/>
      </c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>
        <v>45572</v>
      </c>
      <c r="C82" s="15" t="n">
        <v>42</v>
      </c>
      <c r="D82" s="18" t="inlineStr">
        <is>
          <t>ALFA Service JRK-095 Pertamina Zona#4 - Rental Tool</t>
        </is>
      </c>
      <c r="E82" s="18" t="inlineStr">
        <is>
          <t>BCA</t>
        </is>
      </c>
      <c r="F82" s="21" t="n">
        <v>29640916</v>
      </c>
      <c r="G82" s="60" t="inlineStr">
        <is>
          <t>IDR</t>
        </is>
      </c>
      <c r="H82" s="60" t="n">
        <v>1</v>
      </c>
      <c r="I82" s="61" t="n"/>
      <c r="J82" s="61" t="n"/>
      <c r="K82" s="62">
        <f>$F82*$H82</f>
        <v/>
      </c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>
        <v>45576</v>
      </c>
      <c r="C83" s="15" t="n">
        <v>43</v>
      </c>
      <c r="D83" s="18" t="inlineStr">
        <is>
          <t>MPLT/GR-CCL/ALFA TIS - Rental Tool</t>
        </is>
      </c>
      <c r="E83" s="18" t="inlineStr">
        <is>
          <t>BCA</t>
        </is>
      </c>
      <c r="F83" s="19" t="n">
        <v>74291457</v>
      </c>
      <c r="G83" s="60" t="inlineStr">
        <is>
          <t>IDR</t>
        </is>
      </c>
      <c r="H83" s="60" t="n">
        <v>1</v>
      </c>
      <c r="I83" s="61" t="n"/>
      <c r="J83" s="61" t="n"/>
      <c r="K83" s="62">
        <f>$F83*$H83</f>
        <v/>
      </c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>
        <v>45581</v>
      </c>
      <c r="C84" s="15" t="n">
        <v>44</v>
      </c>
      <c r="D84" s="63" t="inlineStr">
        <is>
          <t>PT Laka Indonesia | Project Lampu Taman Istana Negara Jakarta</t>
        </is>
      </c>
      <c r="E84" s="63" t="inlineStr">
        <is>
          <t>BRI</t>
        </is>
      </c>
      <c r="F84" s="21" t="n">
        <v>100000000</v>
      </c>
      <c r="G84" s="60" t="inlineStr">
        <is>
          <t>IDR</t>
        </is>
      </c>
      <c r="H84" s="60" t="n">
        <v>1</v>
      </c>
      <c r="I84" s="62">
        <f>$F84*$H84</f>
        <v/>
      </c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375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 s="297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375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 s="297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375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375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 s="297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374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376">
        <f>F91</f>
        <v/>
      </c>
      <c r="P91" s="44" t="n"/>
      <c r="Q91" s="44" t="n"/>
    </row>
    <row r="92" hidden="1" ht="15.5" customHeight="1" s="297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374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374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374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374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 s="297">
      <c r="B97" s="79" t="n"/>
      <c r="C97" s="80" t="n"/>
      <c r="D97" s="80" t="inlineStr">
        <is>
          <t>OPERATION COST AND OFFICE - Expenses Report</t>
        </is>
      </c>
      <c r="E97" s="80" t="n"/>
      <c r="F97" s="377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 s="297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 s="297">
      <c r="B99" s="24" t="n"/>
      <c r="C99" s="91" t="n"/>
      <c r="D99" s="92" t="inlineStr">
        <is>
          <t>Transportation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 s="297">
      <c r="B100" s="24" t="n"/>
      <c r="C100" s="91" t="n"/>
      <c r="D100" s="94" t="inlineStr">
        <is>
          <t>Transportation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 s="297">
      <c r="B101" s="292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 s="297">
      <c r="B102" s="292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94" t="inlineStr">
        <is>
          <t>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97" t="inlineStr">
        <is>
          <t>Accommodation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97" t="inlineStr">
        <is>
          <t>Logistic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 s="297">
      <c r="B116" s="292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 s="297">
      <c r="B117" s="292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 s="297">
      <c r="B118" s="292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 s="297">
      <c r="B119" s="292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 s="297">
      <c r="B120" s="292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 s="297">
      <c r="B121" s="292" t="n"/>
      <c r="C121" s="91" t="n"/>
      <c r="D121" s="97" t="inlineStr">
        <is>
          <t>Meal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97" t="inlineStr">
        <is>
          <t>Meal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 s="297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 s="297">
      <c r="B128" s="24" t="n"/>
      <c r="C128" s="91" t="n"/>
      <c r="D128" s="94" t="inlineStr">
        <is>
          <t>Transportation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 s="297">
      <c r="B129" s="292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 s="297">
      <c r="B130" s="292" t="n"/>
      <c r="C130" s="91" t="n"/>
      <c r="D130" s="94" t="inlineStr">
        <is>
          <t>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 s="297">
      <c r="B131" s="292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 s="297">
      <c r="B132" s="292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97" t="inlineStr">
        <is>
          <t>Accommodation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97" t="inlineStr">
        <is>
          <t>Logistic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 s="297">
      <c r="B139" s="292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 s="297">
      <c r="B140" s="292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 s="297">
      <c r="B141" s="292" t="n"/>
      <c r="C141" s="91" t="n">
        <v>9</v>
      </c>
      <c r="D141" s="97" t="inlineStr">
        <is>
          <t>Meal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 s="297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 s="297">
      <c r="B146" s="292" t="n"/>
      <c r="C146" s="91" t="n"/>
      <c r="D146" s="94" t="inlineStr">
        <is>
          <t>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 s="297">
      <c r="B147" s="292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 s="297">
      <c r="B148" s="292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97" t="inlineStr">
        <is>
          <t>Accommodation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97" t="inlineStr">
        <is>
          <t>Meal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 s="297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 s="297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 s="297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 s="297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 s="297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 s="297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 s="297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 s="297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 s="297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 s="297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 s="297">
      <c r="B165" s="292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 s="297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 s="297">
      <c r="B167" s="292" t="n"/>
      <c r="C167" s="91" t="n"/>
      <c r="D167" s="94" t="inlineStr">
        <is>
          <t>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 s="297">
      <c r="B168" s="292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97" t="inlineStr">
        <is>
          <t>Accommodation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97" t="inlineStr">
        <is>
          <t>Meal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97" t="inlineStr">
        <is>
          <t>Meal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378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79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79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78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78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78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78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78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78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380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78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380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78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78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78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78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78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81" t="n">
        <v>45071</v>
      </c>
      <c r="C638" s="141" t="n"/>
      <c r="D638" s="145" t="inlineStr">
        <is>
          <t>Materai 15 pcs</t>
        </is>
      </c>
      <c r="E638" s="145" t="n"/>
      <c r="F638" s="382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81" t="n">
        <v>45085</v>
      </c>
      <c r="C639" s="141" t="n"/>
      <c r="D639" s="145" t="inlineStr">
        <is>
          <t>Plastic folder 3 pcs</t>
        </is>
      </c>
      <c r="E639" s="145" t="n"/>
      <c r="F639" s="383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81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81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81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81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81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81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81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81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81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81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81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81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81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81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81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81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81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81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81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81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84" t="n"/>
      <c r="K741" s="384" t="n"/>
      <c r="L741" s="384" t="n"/>
      <c r="M741" s="384" t="n"/>
      <c r="N741" s="384" t="n"/>
      <c r="O741" s="384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85" t="n"/>
      <c r="K742" s="385" t="n"/>
      <c r="L742" s="384" t="n"/>
      <c r="M742" s="385" t="n"/>
      <c r="N742" s="385" t="n"/>
      <c r="O742" s="384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85" t="n"/>
      <c r="K743" s="385" t="n"/>
      <c r="L743" s="384" t="n"/>
      <c r="M743" s="385" t="n"/>
      <c r="N743" s="385" t="n"/>
      <c r="O743" s="384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85" t="n"/>
      <c r="K744" s="385" t="n"/>
      <c r="L744" s="384" t="n"/>
      <c r="M744" s="385" t="n"/>
      <c r="N744" s="385" t="n"/>
      <c r="O744" s="384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85" t="n"/>
      <c r="K745" s="385" t="n"/>
      <c r="L745" s="384" t="n"/>
      <c r="M745" s="385" t="n"/>
      <c r="N745" s="385" t="n"/>
      <c r="O745" s="384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85" t="n"/>
      <c r="K746" s="385" t="n"/>
      <c r="L746" s="384" t="n"/>
      <c r="M746" s="385" t="n"/>
      <c r="N746" s="385" t="n"/>
      <c r="O746" s="384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85" t="n"/>
      <c r="K747" s="385" t="n"/>
      <c r="L747" s="384" t="n"/>
      <c r="M747" s="385" t="n"/>
      <c r="N747" s="385" t="n"/>
      <c r="O747" s="384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85" t="n"/>
      <c r="K748" s="385" t="n"/>
      <c r="L748" s="384" t="n"/>
      <c r="M748" s="385" t="n"/>
      <c r="N748" s="385" t="n"/>
      <c r="O748" s="384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85" t="n"/>
      <c r="K749" s="385" t="n"/>
      <c r="L749" s="385" t="n"/>
      <c r="M749" s="385" t="n"/>
      <c r="N749" s="385" t="n"/>
      <c r="O749" s="384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7">
    <mergeCell ref="B9:E9"/>
    <mergeCell ref="K25:L25"/>
    <mergeCell ref="H6:H7"/>
    <mergeCell ref="J6:J7"/>
    <mergeCell ref="B1:J1"/>
    <mergeCell ref="P6:P7"/>
    <mergeCell ref="D25:E26"/>
    <mergeCell ref="I25:J25"/>
    <mergeCell ref="C25:C26"/>
    <mergeCell ref="D27:E27"/>
    <mergeCell ref="G6:G7"/>
    <mergeCell ref="B6:B7"/>
    <mergeCell ref="M25:N25"/>
    <mergeCell ref="O25:P25"/>
    <mergeCell ref="D6:E7"/>
    <mergeCell ref="G25:G26"/>
    <mergeCell ref="D8:E8"/>
    <mergeCell ref="B44:H44"/>
    <mergeCell ref="C750:H750"/>
    <mergeCell ref="I6:I7"/>
    <mergeCell ref="B25:B26"/>
    <mergeCell ref="K6:K7"/>
    <mergeCell ref="C6:C7"/>
    <mergeCell ref="O6:O7"/>
    <mergeCell ref="H25:H26"/>
    <mergeCell ref="B37:H37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86" t="n"/>
      <c r="B1" s="386" t="n"/>
      <c r="C1" s="386" t="n"/>
      <c r="D1" s="386" t="n"/>
      <c r="E1" s="387" t="n"/>
    </row>
    <row r="2" ht="37.25" customHeight="1" s="297">
      <c r="A2" s="386" t="n"/>
      <c r="B2" s="386" t="n"/>
      <c r="C2" s="386" t="n"/>
      <c r="D2" s="386" t="n"/>
      <c r="E2" s="387" t="n"/>
    </row>
    <row r="3" ht="33.65" customHeight="1" s="297">
      <c r="A3" s="386" t="n"/>
      <c r="B3" s="388" t="inlineStr">
        <is>
          <t>PT. EXSPAN WIRELINE INDONESIA</t>
        </is>
      </c>
      <c r="F3" s="389" t="n"/>
      <c r="G3" s="390" t="inlineStr">
        <is>
          <t>PT. EXSPAN WIRELINE INDONESIA</t>
        </is>
      </c>
      <c r="H3" s="390" t="n"/>
      <c r="I3" s="390" t="n"/>
      <c r="J3" s="390" t="n"/>
    </row>
    <row r="4" ht="20.5" customHeight="1" s="297">
      <c r="A4" s="386" t="n"/>
      <c r="B4" s="391" t="inlineStr">
        <is>
          <t>LABA RUGI | TAHUN 2024</t>
        </is>
      </c>
      <c r="F4" s="389" t="n"/>
      <c r="G4" s="392" t="inlineStr">
        <is>
          <t>NERACA |TAHUN YANG BERAKHIR, 31 DESEMBER 2024</t>
        </is>
      </c>
      <c r="H4" s="392" t="n"/>
      <c r="I4" s="392" t="n"/>
      <c r="J4" s="392" t="n"/>
    </row>
    <row r="5" ht="6" customHeight="1" s="297">
      <c r="A5" s="386" t="n"/>
      <c r="B5" s="386" t="n"/>
      <c r="C5" s="386" t="n"/>
      <c r="D5" s="386" t="n"/>
      <c r="E5" s="387" t="n"/>
      <c r="F5" s="389" t="n"/>
      <c r="G5" s="389" t="n"/>
      <c r="H5" s="393" t="n"/>
      <c r="I5" s="393" t="n"/>
      <c r="J5" s="393" t="n"/>
    </row>
    <row r="6" ht="15.5" customHeight="1" s="297">
      <c r="A6" s="386" t="n"/>
      <c r="B6" s="394" t="n"/>
      <c r="C6" s="395" t="n"/>
      <c r="D6" s="396" t="inlineStr">
        <is>
          <t>PT. Exspan Wireline Indonesia</t>
        </is>
      </c>
      <c r="E6" s="289" t="n"/>
      <c r="F6" s="389" t="n"/>
      <c r="G6" s="397" t="n"/>
      <c r="H6" s="398" t="n"/>
      <c r="I6" s="396" t="inlineStr">
        <is>
          <t>PT. Exspan Wireline Indonesia</t>
        </is>
      </c>
      <c r="J6" s="289" t="n"/>
    </row>
    <row r="7" ht="15.5" customHeight="1" s="297">
      <c r="A7" s="386" t="n"/>
      <c r="B7" s="399" t="n"/>
      <c r="C7" s="400" t="n"/>
      <c r="D7" s="401" t="inlineStr">
        <is>
          <t>(Rp)</t>
        </is>
      </c>
      <c r="E7" s="290" t="n"/>
      <c r="F7" s="389" t="n"/>
      <c r="G7" s="402" t="n"/>
      <c r="H7" s="403" t="n"/>
      <c r="I7" s="401" t="inlineStr">
        <is>
          <t>(Rp)</t>
        </is>
      </c>
      <c r="J7" s="290" t="n"/>
    </row>
    <row r="8">
      <c r="A8" s="386" t="n"/>
      <c r="B8" s="404" t="inlineStr">
        <is>
          <t>PENDAPATAN</t>
        </is>
      </c>
      <c r="C8" s="405" t="n"/>
      <c r="D8" s="406" t="n"/>
      <c r="E8" s="407" t="n"/>
      <c r="F8" s="389" t="n"/>
      <c r="G8" s="408" t="inlineStr">
        <is>
          <t>AKTIVA</t>
        </is>
      </c>
      <c r="H8" s="409" t="n"/>
      <c r="I8" s="410" t="n"/>
      <c r="J8" s="411" t="n"/>
    </row>
    <row r="9">
      <c r="A9" s="386" t="n"/>
      <c r="B9" s="412" t="n"/>
      <c r="C9" s="405" t="inlineStr">
        <is>
          <t>PENDAPATAN LANGSUNG</t>
        </is>
      </c>
      <c r="D9" s="412" t="inlineStr">
        <is>
          <t>Rp</t>
        </is>
      </c>
      <c r="E9" s="413">
        <f>SUM('Revenue-Cost_2030'!L8:'Revenue-Cost_2030'!L22)</f>
        <v/>
      </c>
      <c r="F9" s="389" t="n"/>
      <c r="G9" s="414" t="inlineStr">
        <is>
          <t>AKTIVA LANCAR</t>
        </is>
      </c>
      <c r="H9" s="415" t="n"/>
      <c r="I9" s="414" t="n"/>
      <c r="J9" s="416" t="n"/>
    </row>
    <row r="10">
      <c r="A10" s="386" t="n"/>
      <c r="B10" s="412" t="n"/>
      <c r="C10" s="405" t="inlineStr">
        <is>
          <t>PENDAPATAN LAIN LAIN</t>
        </is>
      </c>
      <c r="D10" s="412" t="inlineStr">
        <is>
          <t>Rp</t>
        </is>
      </c>
      <c r="E10" s="413">
        <f>SUM('Revenue-Cost_2030'!L8:'Revenue-Cost_2030'!L22)</f>
        <v/>
      </c>
      <c r="F10" s="389" t="n"/>
      <c r="G10" s="417" t="n"/>
      <c r="H10" s="418" t="inlineStr">
        <is>
          <t>KAS DAN SETARA KAS TAHUN SEBELUMNYA</t>
        </is>
      </c>
      <c r="I10" s="412" t="inlineStr">
        <is>
          <t>Rp</t>
        </is>
      </c>
      <c r="J10" s="419" t="n">
        <v>0</v>
      </c>
    </row>
    <row r="11">
      <c r="A11" s="386" t="n"/>
      <c r="B11" s="412" t="n"/>
      <c r="C11" s="405" t="n"/>
      <c r="D11" s="420" t="n"/>
      <c r="E11" s="421" t="n"/>
      <c r="F11" s="389" t="n"/>
      <c r="G11" s="417" t="n"/>
      <c r="H11" s="418" t="inlineStr">
        <is>
          <t>KAS DAN SETARA KAS TAHUN LAPORAN</t>
        </is>
      </c>
      <c r="I11" s="412" t="inlineStr">
        <is>
          <t>Rp</t>
        </is>
      </c>
      <c r="J11" s="419">
        <f>E46-'Business Summary'!E13</f>
        <v/>
      </c>
    </row>
    <row r="12">
      <c r="A12" s="386" t="n"/>
      <c r="B12" s="422" t="inlineStr">
        <is>
          <t>TOTALPENDAPATAN</t>
        </is>
      </c>
      <c r="C12" s="423" t="n"/>
      <c r="D12" s="424" t="inlineStr">
        <is>
          <t>Rp</t>
        </is>
      </c>
      <c r="E12" s="425">
        <f>SUM(E9:E11)</f>
        <v/>
      </c>
      <c r="F12" s="389" t="n"/>
      <c r="G12" s="417" t="n"/>
      <c r="H12" s="418" t="inlineStr">
        <is>
          <t>PIUTANG USAHA</t>
        </is>
      </c>
      <c r="I12" s="412" t="inlineStr">
        <is>
          <t>Rp</t>
        </is>
      </c>
      <c r="J12" s="419" t="n">
        <v>0</v>
      </c>
    </row>
    <row r="13">
      <c r="A13" s="386" t="n"/>
      <c r="B13" s="412" t="n"/>
      <c r="C13" s="405" t="n"/>
      <c r="D13" s="406" t="n"/>
      <c r="E13" s="426" t="n"/>
      <c r="F13" s="389" t="n"/>
      <c r="G13" s="417" t="n"/>
      <c r="H13" s="418" t="inlineStr">
        <is>
          <t>PAJAK BAYAR DI MUKA (pph23)</t>
        </is>
      </c>
      <c r="I13" s="412" t="inlineStr">
        <is>
          <t>Rp</t>
        </is>
      </c>
      <c r="J13" s="419" t="n">
        <v>0</v>
      </c>
    </row>
    <row r="14">
      <c r="A14" s="386" t="n"/>
      <c r="B14" s="427" t="inlineStr">
        <is>
          <t>BEBAN LANGSUNG</t>
        </is>
      </c>
      <c r="C14" s="405" t="n"/>
      <c r="D14" s="412" t="n"/>
      <c r="E14" s="428" t="n"/>
      <c r="F14" s="389" t="n"/>
      <c r="G14" s="417" t="n"/>
      <c r="H14" s="418" t="inlineStr">
        <is>
          <t>BIAYA BAYAR DI MUKA</t>
        </is>
      </c>
      <c r="I14" s="412" t="inlineStr">
        <is>
          <t>Rp</t>
        </is>
      </c>
      <c r="J14" s="419" t="n">
        <v>0</v>
      </c>
    </row>
    <row r="15">
      <c r="A15" s="386" t="n"/>
      <c r="B15" s="429" t="n"/>
      <c r="C15" s="405" t="inlineStr">
        <is>
          <t xml:space="preserve">Biaya Operasi </t>
        </is>
      </c>
      <c r="D15" s="412" t="inlineStr">
        <is>
          <t>Rp</t>
        </is>
      </c>
      <c r="E15" s="428">
        <f>'Revenue-Cost_2030'!I44</f>
        <v/>
      </c>
      <c r="F15" s="389" t="n"/>
      <c r="G15" s="430" t="n"/>
      <c r="H15" s="418" t="inlineStr">
        <is>
          <t>PIUTANG LAIN LAIN</t>
        </is>
      </c>
      <c r="I15" s="412" t="inlineStr">
        <is>
          <t>Rp</t>
        </is>
      </c>
      <c r="J15" s="419" t="n">
        <v>0</v>
      </c>
    </row>
    <row r="16">
      <c r="A16" s="386" t="n"/>
      <c r="B16" s="429" t="n"/>
      <c r="C16" s="405" t="inlineStr">
        <is>
          <t>Biaya research (R &amp; D)</t>
        </is>
      </c>
      <c r="D16" s="412" t="inlineStr">
        <is>
          <t>Rp</t>
        </is>
      </c>
      <c r="E16" s="428">
        <f>'Revenue-Cost_2030'!J44</f>
        <v/>
      </c>
      <c r="F16" s="389" t="n"/>
      <c r="G16" s="431" t="n"/>
      <c r="H16" s="432" t="inlineStr">
        <is>
          <t>TOTAL AKTIVA LANCAR</t>
        </is>
      </c>
      <c r="I16" s="424" t="inlineStr">
        <is>
          <t>Rp</t>
        </is>
      </c>
      <c r="J16" s="433">
        <f>SUM(J10:J15)</f>
        <v/>
      </c>
    </row>
    <row r="17">
      <c r="A17" s="386" t="n"/>
      <c r="B17" s="429" t="n"/>
      <c r="C17" s="405" t="inlineStr">
        <is>
          <t>BIAYA SEWA PERALATAN</t>
        </is>
      </c>
      <c r="D17" s="412" t="inlineStr">
        <is>
          <t>Rp</t>
        </is>
      </c>
      <c r="E17" s="428">
        <f>'Revenue-Cost_2030'!K44</f>
        <v/>
      </c>
      <c r="F17" s="389" t="n"/>
      <c r="G17" s="417" t="n"/>
      <c r="H17" s="418" t="n"/>
      <c r="I17" s="434" t="n"/>
      <c r="J17" s="435" t="n"/>
    </row>
    <row r="18">
      <c r="A18" s="386" t="n"/>
      <c r="B18" s="429" t="n"/>
      <c r="C18" s="405" t="inlineStr">
        <is>
          <t>BIAYA Data Processing</t>
        </is>
      </c>
      <c r="D18" s="412" t="inlineStr">
        <is>
          <t>Rp</t>
        </is>
      </c>
      <c r="E18" s="428">
        <f>'Revenue-Cost_2030'!L44</f>
        <v/>
      </c>
      <c r="F18" s="389" t="n"/>
      <c r="G18" s="414" t="inlineStr">
        <is>
          <t>ACTIVA TETAP</t>
        </is>
      </c>
      <c r="H18" s="436" t="n"/>
      <c r="I18" s="408" t="n"/>
      <c r="J18" s="419" t="n"/>
    </row>
    <row r="19">
      <c r="A19" s="386" t="n"/>
      <c r="B19" s="429" t="n"/>
      <c r="C19" s="405" t="n"/>
      <c r="D19" s="412" t="n"/>
      <c r="E19" s="428" t="n"/>
      <c r="F19" s="389" t="n"/>
      <c r="G19" s="414" t="n"/>
      <c r="H19" s="436" t="n"/>
      <c r="I19" s="408" t="n"/>
      <c r="J19" s="419" t="n"/>
    </row>
    <row r="20">
      <c r="A20" s="386" t="n"/>
      <c r="B20" s="429" t="n"/>
      <c r="C20" s="405" t="n"/>
      <c r="D20" s="420" t="n"/>
      <c r="E20" s="437" t="n"/>
      <c r="F20" s="389" t="n"/>
      <c r="G20" s="417" t="n"/>
      <c r="H20" s="418" t="inlineStr">
        <is>
          <t>INVENTARIS KANTOR</t>
        </is>
      </c>
      <c r="I20" s="412" t="inlineStr">
        <is>
          <t>Rp</t>
        </is>
      </c>
      <c r="J20" s="419" t="n">
        <v>0</v>
      </c>
    </row>
    <row r="21">
      <c r="A21" s="386" t="n"/>
      <c r="B21" s="422" t="inlineStr">
        <is>
          <t>TOTAL BIAYA LANGSUNG</t>
        </is>
      </c>
      <c r="C21" s="423" t="n"/>
      <c r="D21" s="424" t="inlineStr">
        <is>
          <t>Rp</t>
        </is>
      </c>
      <c r="E21" s="438">
        <f>SUM(E15:E20)</f>
        <v/>
      </c>
      <c r="F21" s="389" t="n"/>
      <c r="G21" s="417" t="n"/>
      <c r="H21" s="436" t="n"/>
      <c r="I21" s="439" t="n"/>
      <c r="J21" s="440" t="n"/>
    </row>
    <row r="22">
      <c r="A22" s="386" t="n"/>
      <c r="B22" s="412" t="n"/>
      <c r="C22" s="405" t="n"/>
      <c r="D22" s="406" t="n"/>
      <c r="E22" s="441" t="n"/>
      <c r="F22" s="389" t="n"/>
      <c r="G22" s="431" t="n"/>
      <c r="H22" s="432" t="inlineStr">
        <is>
          <t>TOTAL AKTIVA TETAP</t>
        </is>
      </c>
      <c r="I22" s="424" t="inlineStr">
        <is>
          <t>Rp</t>
        </is>
      </c>
      <c r="J22" s="433">
        <f>J20</f>
        <v/>
      </c>
    </row>
    <row r="23">
      <c r="A23" s="386" t="n"/>
      <c r="B23" s="427" t="inlineStr">
        <is>
          <t>BEBAN TIDAK LANGSUNG</t>
        </is>
      </c>
      <c r="C23" s="405" t="n"/>
      <c r="D23" s="412" t="n"/>
      <c r="E23" s="428">
        <f>'Revenue-Cost_2030'!Q44</f>
        <v/>
      </c>
      <c r="F23" s="389" t="n"/>
      <c r="G23" s="417" t="n"/>
      <c r="H23" s="418" t="n"/>
      <c r="I23" s="434" t="n"/>
      <c r="J23" s="411" t="n"/>
    </row>
    <row r="24">
      <c r="A24" s="386" t="n"/>
      <c r="B24" s="412" t="n"/>
      <c r="C24" s="405" t="n"/>
      <c r="D24" s="412" t="n"/>
      <c r="E24" s="428" t="n"/>
      <c r="F24" s="389" t="n"/>
      <c r="G24" s="414" t="inlineStr">
        <is>
          <t>ACTIVA LAIN LAIN</t>
        </is>
      </c>
      <c r="H24" s="436" t="n"/>
      <c r="I24" s="408" t="n"/>
      <c r="J24" s="419" t="n">
        <v>0</v>
      </c>
    </row>
    <row r="25">
      <c r="A25" s="386" t="n"/>
      <c r="B25" s="412" t="n"/>
      <c r="C25" s="405" t="n"/>
      <c r="D25" s="412" t="inlineStr">
        <is>
          <t>Rp</t>
        </is>
      </c>
      <c r="E25" s="428" t="n"/>
      <c r="F25" s="389" t="n"/>
      <c r="G25" s="417" t="n"/>
      <c r="H25" s="418" t="n"/>
      <c r="I25" s="442" t="n"/>
      <c r="J25" s="443" t="n">
        <v>0</v>
      </c>
    </row>
    <row r="26">
      <c r="A26" s="386" t="n"/>
      <c r="B26" s="412" t="n"/>
      <c r="C26" s="405" t="n"/>
      <c r="D26" s="420" t="n"/>
      <c r="E26" s="437" t="n"/>
      <c r="F26" s="389" t="n"/>
      <c r="G26" s="431" t="n"/>
      <c r="H26" s="432" t="inlineStr">
        <is>
          <t>TOTAL AKTIVA LAIN LAIN</t>
        </is>
      </c>
      <c r="I26" s="424" t="inlineStr">
        <is>
          <t>Rp</t>
        </is>
      </c>
      <c r="J26" s="433">
        <f>SUM(J25:J25)</f>
        <v/>
      </c>
    </row>
    <row r="27">
      <c r="A27" s="386" t="n"/>
      <c r="B27" s="422" t="inlineStr">
        <is>
          <t>TOTAL BIAYA TIDAK LANGSUNG</t>
        </is>
      </c>
      <c r="C27" s="423" t="n"/>
      <c r="D27" s="424" t="inlineStr">
        <is>
          <t>Rp</t>
        </is>
      </c>
      <c r="E27" s="438">
        <f>SUM(E22:E26)</f>
        <v/>
      </c>
      <c r="F27" s="389" t="n"/>
      <c r="G27" s="417" t="n"/>
      <c r="H27" s="418" t="n"/>
      <c r="I27" s="444" t="n"/>
      <c r="J27" s="445" t="n"/>
    </row>
    <row r="28">
      <c r="A28" s="386" t="n"/>
      <c r="B28" s="412" t="n"/>
      <c r="C28" s="405" t="n"/>
      <c r="D28" s="406" t="n"/>
      <c r="E28" s="441" t="n"/>
      <c r="F28" s="389" t="n"/>
      <c r="G28" s="422" t="inlineStr">
        <is>
          <t>TOTAL AKTIVA</t>
        </is>
      </c>
      <c r="H28" s="423" t="n"/>
      <c r="I28" s="424" t="inlineStr">
        <is>
          <t>Rp</t>
        </is>
      </c>
      <c r="J28" s="446">
        <f>J26+J22+J16</f>
        <v/>
      </c>
    </row>
    <row r="29">
      <c r="A29" s="386" t="n"/>
      <c r="B29" s="427" t="inlineStr">
        <is>
          <t>BIAYA ADMINISTRASI DAN UMUM</t>
        </is>
      </c>
      <c r="C29" s="405" t="n"/>
      <c r="D29" s="412" t="n"/>
      <c r="E29" s="428" t="n"/>
      <c r="F29" s="389" t="n"/>
      <c r="G29" s="447" t="n"/>
      <c r="H29" s="448" t="n"/>
      <c r="I29" s="447" t="n"/>
      <c r="J29" s="435" t="n"/>
    </row>
    <row r="30">
      <c r="A30" s="386" t="n"/>
      <c r="B30" s="429" t="n"/>
      <c r="C30" s="405" t="inlineStr">
        <is>
          <t>BIAYA ADMINISTRASI</t>
        </is>
      </c>
      <c r="D30" s="412" t="inlineStr">
        <is>
          <t>Rp</t>
        </is>
      </c>
      <c r="E30" s="428">
        <f>'Revenue-Cost_2030'!M44</f>
        <v/>
      </c>
      <c r="F30" s="389" t="n"/>
      <c r="G30" s="449" t="inlineStr">
        <is>
          <t>HUTANG DAN MODAL</t>
        </is>
      </c>
      <c r="H30" s="409" t="n"/>
      <c r="I30" s="449" t="n"/>
      <c r="J30" s="450" t="n"/>
    </row>
    <row r="31">
      <c r="A31" s="386" t="n"/>
      <c r="B31" s="429" t="n"/>
      <c r="C31" s="405" t="inlineStr">
        <is>
          <t>BIAYA PEMBELIAN Barang</t>
        </is>
      </c>
      <c r="D31" s="412" t="inlineStr">
        <is>
          <t>Rp</t>
        </is>
      </c>
      <c r="E31" s="428">
        <f>'Revenue-Cost_2030'!N44</f>
        <v/>
      </c>
      <c r="F31" s="389" t="n"/>
      <c r="G31" s="449" t="n"/>
      <c r="H31" s="409" t="n"/>
      <c r="I31" s="449" t="n"/>
      <c r="J31" s="450" t="n"/>
    </row>
    <row r="32">
      <c r="A32" s="386" t="n"/>
      <c r="B32" s="429" t="n"/>
      <c r="C32" s="405" t="inlineStr">
        <is>
          <t>BIAYA SEWA KANTOR</t>
        </is>
      </c>
      <c r="D32" s="412" t="inlineStr">
        <is>
          <t>Rp</t>
        </is>
      </c>
      <c r="E32" s="428">
        <f>'Revenue-Cost_2030'!O44</f>
        <v/>
      </c>
      <c r="F32" s="389" t="n"/>
      <c r="G32" s="414" t="inlineStr">
        <is>
          <t>HUTANG LANCAR</t>
        </is>
      </c>
      <c r="H32" s="415" t="n"/>
      <c r="I32" s="414" t="n"/>
      <c r="J32" s="416" t="n"/>
    </row>
    <row r="33">
      <c r="A33" s="386" t="n"/>
      <c r="B33" s="429" t="n"/>
      <c r="C33" s="405" t="inlineStr">
        <is>
          <t>BIAYA KESEHATAN</t>
        </is>
      </c>
      <c r="D33" s="412" t="inlineStr">
        <is>
          <t>Rp</t>
        </is>
      </c>
      <c r="E33" s="428">
        <f>'Revenue-Cost_2030'!P44</f>
        <v/>
      </c>
      <c r="F33" s="389" t="n"/>
      <c r="G33" s="417" t="n"/>
      <c r="H33" s="418" t="inlineStr">
        <is>
          <t>HUTANG USAHA</t>
        </is>
      </c>
      <c r="I33" s="412" t="inlineStr">
        <is>
          <t>Rp</t>
        </is>
      </c>
      <c r="J33" s="419" t="n">
        <v>0</v>
      </c>
    </row>
    <row r="34">
      <c r="A34" s="386" t="n"/>
      <c r="B34" s="429" t="n"/>
      <c r="C34" s="405" t="n"/>
      <c r="D34" s="420" t="n"/>
      <c r="E34" s="437" t="n"/>
      <c r="F34" s="389" t="n"/>
      <c r="G34" s="417" t="n"/>
      <c r="H34" s="451" t="inlineStr">
        <is>
          <t>HUTANG GAJI</t>
        </is>
      </c>
      <c r="I34" s="412" t="inlineStr">
        <is>
          <t>Rp</t>
        </is>
      </c>
      <c r="J34" s="419" t="n">
        <v>0</v>
      </c>
    </row>
    <row r="35">
      <c r="A35" s="386" t="n"/>
      <c r="B35" s="422" t="inlineStr">
        <is>
          <t>TOTAL BIAYA ADMINISTRASI DAN UMUM</t>
        </is>
      </c>
      <c r="C35" s="423" t="n"/>
      <c r="D35" s="424" t="inlineStr">
        <is>
          <t>Rp</t>
        </is>
      </c>
      <c r="E35" s="425">
        <f>SUM(E30:E34)</f>
        <v/>
      </c>
      <c r="F35" s="389" t="n"/>
      <c r="G35" s="417" t="n"/>
      <c r="H35" s="418" t="inlineStr">
        <is>
          <t>HUTANG PEMEGANG SAHAM</t>
        </is>
      </c>
      <c r="I35" s="412" t="inlineStr">
        <is>
          <t>Rp</t>
        </is>
      </c>
      <c r="J35" s="419" t="n">
        <v>0</v>
      </c>
    </row>
    <row r="36">
      <c r="A36" s="386" t="n"/>
      <c r="B36" s="429" t="n"/>
      <c r="C36" s="405" t="n"/>
      <c r="D36" s="424" t="n"/>
      <c r="E36" s="452" t="n"/>
      <c r="F36" s="389" t="n"/>
      <c r="G36" s="417" t="n"/>
      <c r="H36" s="418" t="inlineStr">
        <is>
          <t>BIAYA YANG MASIH HARUS DI BAYAR</t>
        </is>
      </c>
      <c r="I36" s="412" t="inlineStr">
        <is>
          <t>Rp</t>
        </is>
      </c>
      <c r="J36" s="419" t="n">
        <v>0</v>
      </c>
    </row>
    <row r="37">
      <c r="A37" s="386" t="n"/>
      <c r="B37" s="422" t="inlineStr">
        <is>
          <t>TOTAL BIAYA</t>
        </is>
      </c>
      <c r="C37" s="423" t="n"/>
      <c r="D37" s="424" t="inlineStr">
        <is>
          <t>Rp</t>
        </is>
      </c>
      <c r="E37" s="425">
        <f>E35+E21+E27</f>
        <v/>
      </c>
      <c r="F37" s="389" t="n"/>
      <c r="G37" s="453" t="n"/>
      <c r="H37" s="454" t="n"/>
      <c r="I37" s="453" t="n"/>
      <c r="J37" s="455" t="n"/>
    </row>
    <row r="38">
      <c r="A38" s="386" t="n"/>
      <c r="B38" s="404" t="n"/>
      <c r="C38" s="456" t="n"/>
      <c r="D38" s="406" t="n"/>
      <c r="E38" s="457" t="n"/>
      <c r="F38" s="389" t="n"/>
      <c r="G38" s="431" t="n"/>
      <c r="H38" s="432" t="inlineStr">
        <is>
          <t>TOTAL HUTANG LANCAR</t>
        </is>
      </c>
      <c r="I38" s="458" t="n"/>
      <c r="J38" s="433">
        <f>SUM(J33:J36)</f>
        <v/>
      </c>
    </row>
    <row r="39">
      <c r="A39" s="386" t="n"/>
      <c r="B39" s="427" t="inlineStr">
        <is>
          <t xml:space="preserve">PENDAPATAN/BEBAN LAIN LAIN </t>
        </is>
      </c>
      <c r="C39" s="405" t="n"/>
      <c r="D39" s="412" t="inlineStr">
        <is>
          <t>Rp</t>
        </is>
      </c>
      <c r="E39" s="459" t="n"/>
      <c r="F39" s="389" t="n"/>
      <c r="G39" s="417" t="n"/>
      <c r="H39" s="436" t="n"/>
      <c r="I39" s="460" t="n"/>
      <c r="J39" s="411" t="n"/>
    </row>
    <row r="40">
      <c r="A40" s="386" t="n"/>
      <c r="B40" s="427" t="n"/>
      <c r="C40" s="405" t="inlineStr">
        <is>
          <t>PENDAPATAN LAINNYA</t>
        </is>
      </c>
      <c r="D40" s="412" t="inlineStr">
        <is>
          <t>Rp</t>
        </is>
      </c>
      <c r="E40" s="413" t="n">
        <v>0</v>
      </c>
      <c r="F40" s="389" t="n"/>
      <c r="G40" s="414" t="inlineStr">
        <is>
          <t>MODAL</t>
        </is>
      </c>
      <c r="H40" s="415" t="n"/>
      <c r="I40" s="414" t="n"/>
      <c r="J40" s="416" t="n"/>
    </row>
    <row r="41">
      <c r="A41" s="386" t="n"/>
      <c r="B41" s="427" t="n"/>
      <c r="C41" s="405" t="n"/>
      <c r="D41" s="420" t="n"/>
      <c r="E41" s="461" t="n"/>
      <c r="F41" s="389" t="n"/>
      <c r="G41" s="417" t="n"/>
      <c r="H41" s="418" t="inlineStr">
        <is>
          <t>MODAL SAHAM</t>
        </is>
      </c>
      <c r="I41" s="412" t="inlineStr">
        <is>
          <t>Rp</t>
        </is>
      </c>
      <c r="J41" s="419" t="n">
        <v>0</v>
      </c>
    </row>
    <row r="42">
      <c r="A42" s="386" t="n"/>
      <c r="B42" s="422" t="inlineStr">
        <is>
          <t>LABA RUGI SEBELUM PAJAK</t>
        </is>
      </c>
      <c r="C42" s="423" t="n"/>
      <c r="D42" s="424" t="inlineStr">
        <is>
          <t>Rp</t>
        </is>
      </c>
      <c r="E42" s="425">
        <f>E12-E37</f>
        <v/>
      </c>
      <c r="F42" s="389" t="n"/>
      <c r="G42" s="417" t="n"/>
      <c r="H42" s="418" t="inlineStr">
        <is>
          <t>LABA DI TAHAN</t>
        </is>
      </c>
      <c r="I42" s="412" t="inlineStr">
        <is>
          <t>Rp</t>
        </is>
      </c>
      <c r="J42" s="419" t="n">
        <v>0</v>
      </c>
    </row>
    <row r="43">
      <c r="A43" s="386" t="n"/>
      <c r="B43" s="462" t="n"/>
      <c r="C43" s="456" t="n"/>
      <c r="D43" s="406" t="n"/>
      <c r="E43" s="426" t="n"/>
      <c r="F43" s="389" t="n"/>
      <c r="G43" s="414" t="n"/>
      <c r="H43" s="418" t="inlineStr">
        <is>
          <t>TOTAL LABA (RUGI) DITAHAN</t>
        </is>
      </c>
      <c r="I43" s="420" t="inlineStr">
        <is>
          <t>Rp</t>
        </is>
      </c>
      <c r="J43" s="443">
        <f>J28-J38-J41-J42</f>
        <v/>
      </c>
    </row>
    <row r="44">
      <c r="A44" s="386" t="n"/>
      <c r="B44" s="427" t="inlineStr">
        <is>
          <t>CORPORATE TAX (PPh 29)</t>
        </is>
      </c>
      <c r="D44" s="412" t="inlineStr">
        <is>
          <t>Rp</t>
        </is>
      </c>
      <c r="E44" s="413" t="n">
        <v>0</v>
      </c>
      <c r="F44" s="389" t="n"/>
      <c r="G44" s="431" t="n"/>
      <c r="H44" s="432" t="inlineStr">
        <is>
          <t>TOTAL MODAL</t>
        </is>
      </c>
      <c r="I44" s="424" t="inlineStr">
        <is>
          <t>Rp</t>
        </is>
      </c>
      <c r="J44" s="433">
        <f>SUM(J41:J43)</f>
        <v/>
      </c>
    </row>
    <row r="45">
      <c r="A45" s="386" t="n"/>
      <c r="B45" s="427" t="n"/>
      <c r="C45" s="405" t="n"/>
      <c r="D45" s="420" t="n"/>
      <c r="E45" s="461" t="n"/>
      <c r="F45" s="389" t="n"/>
      <c r="G45" s="417" t="n"/>
      <c r="H45" s="418" t="n"/>
      <c r="I45" s="444" t="n"/>
      <c r="J45" s="445" t="n"/>
    </row>
    <row r="46" ht="15" customHeight="1" s="297">
      <c r="A46" s="386" t="n"/>
      <c r="B46" s="463" t="inlineStr">
        <is>
          <t>LABA / RUGI BERSIH</t>
        </is>
      </c>
      <c r="C46" s="303" t="n"/>
      <c r="D46" s="464" t="n"/>
      <c r="E46" s="465">
        <f>E42-E44</f>
        <v/>
      </c>
      <c r="F46" s="389" t="n"/>
      <c r="G46" s="466" t="inlineStr">
        <is>
          <t>TOTAL HUTANG DAN MODAL</t>
        </is>
      </c>
      <c r="H46" s="467" t="n"/>
      <c r="I46" s="464" t="inlineStr">
        <is>
          <t>Rp</t>
        </is>
      </c>
      <c r="J46" s="468">
        <f>J44+J38</f>
        <v/>
      </c>
    </row>
    <row r="47" ht="4.5" customHeight="1" s="297">
      <c r="A47" s="386" t="n"/>
      <c r="F47" s="389" t="n"/>
    </row>
    <row r="48" ht="50.65" customHeight="1" s="297">
      <c r="A48" s="386" t="n"/>
      <c r="F48" s="389" t="n"/>
      <c r="G48" s="469" t="n"/>
    </row>
    <row r="49" ht="16.75" customHeight="1" s="297">
      <c r="A49" s="386" t="n"/>
      <c r="B49" s="470" t="n"/>
      <c r="F49" s="389" t="n"/>
      <c r="G49" s="470" t="n"/>
    </row>
    <row r="50" ht="15.65" customHeight="1" s="297">
      <c r="A50" s="405" t="n"/>
      <c r="B50" s="471" t="inlineStr">
        <is>
          <t>Direktur</t>
        </is>
      </c>
      <c r="F50" s="389" t="n"/>
      <c r="G50" s="471" t="inlineStr">
        <is>
          <t>Direktur</t>
        </is>
      </c>
    </row>
    <row r="51">
      <c r="A51" s="405" t="n"/>
      <c r="F51" s="389" t="n"/>
    </row>
    <row r="52">
      <c r="A52" s="405" t="n"/>
      <c r="F52" s="389" t="n"/>
      <c r="J52" s="472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4" customWidth="1" style="297" min="1" max="1"/>
    <col width="5" customWidth="1" style="297" min="2" max="2"/>
    <col width="28" customWidth="1" style="297" min="3" max="3"/>
    <col width="5" customWidth="1" style="297" min="4" max="4"/>
    <col width="18" customWidth="1" style="297" min="5" max="5"/>
    <col width="4" customWidth="1" style="297" min="6" max="6"/>
    <col width="10" customWidth="1" style="297" min="7" max="7"/>
  </cols>
  <sheetData>
    <row r="1" ht="15" customHeight="1" s="297">
      <c r="A1" s="386" t="n"/>
      <c r="B1" s="386" t="n"/>
      <c r="C1" s="386" t="n"/>
      <c r="D1" s="386" t="n"/>
      <c r="E1" s="387" t="n"/>
    </row>
    <row r="2" ht="37.25" customHeight="1" s="297">
      <c r="A2" s="386" t="n"/>
      <c r="B2" s="386" t="n"/>
      <c r="C2" s="386" t="n"/>
      <c r="D2" s="386" t="n"/>
      <c r="E2" s="387" t="n"/>
    </row>
    <row r="3" ht="33.65" customHeight="1" s="297">
      <c r="A3" s="386" t="n"/>
      <c r="B3" s="388" t="inlineStr">
        <is>
          <t>PT. EXSPAN WIRELINE INDONESIA</t>
        </is>
      </c>
      <c r="F3" s="389" t="n"/>
    </row>
    <row r="4" ht="20.5" customHeight="1" s="297">
      <c r="A4" s="386" t="n"/>
      <c r="B4" s="391" t="inlineStr">
        <is>
          <t>BUSINESS SUMMARY | TAHUN 2030</t>
        </is>
      </c>
      <c r="F4" s="389" t="n"/>
    </row>
    <row r="5" ht="6" customHeight="1" s="297">
      <c r="A5" s="386" t="n"/>
      <c r="B5" s="386" t="n"/>
      <c r="C5" s="386" t="n"/>
      <c r="D5" s="386" t="n"/>
      <c r="E5" s="387" t="n"/>
      <c r="F5" s="389" t="n"/>
    </row>
    <row r="6" ht="20" customHeight="1" s="297">
      <c r="A6" s="386" t="n"/>
      <c r="B6" s="473" t="inlineStr">
        <is>
          <t>#</t>
        </is>
      </c>
      <c r="C6" s="473" t="inlineStr">
        <is>
          <t>Items</t>
        </is>
      </c>
      <c r="D6" s="474" t="inlineStr">
        <is>
          <t>Amount</t>
        </is>
      </c>
      <c r="E6" s="279" t="n"/>
      <c r="F6" s="389" t="n"/>
    </row>
    <row r="7" ht="20" customHeight="1" s="297">
      <c r="A7" s="386" t="n"/>
      <c r="B7" s="475" t="n">
        <v>1</v>
      </c>
      <c r="C7" s="476" t="inlineStr">
        <is>
          <t>Revenue</t>
        </is>
      </c>
      <c r="D7" s="477" t="inlineStr">
        <is>
          <t>Rp</t>
        </is>
      </c>
      <c r="E7" s="478">
        <f>SUM('Revenue-Cost_2030'!L8:'Revenue-Cost_2030'!L22)</f>
        <v/>
      </c>
      <c r="F7" s="389" t="n"/>
    </row>
    <row r="8" ht="20" customHeight="1" s="297">
      <c r="A8" s="386" t="n"/>
      <c r="B8" s="475" t="n">
        <v>2</v>
      </c>
      <c r="C8" s="476" t="inlineStr">
        <is>
          <t>Revenue Diterima (Setelah Pajak)</t>
        </is>
      </c>
      <c r="D8" s="477" t="inlineStr">
        <is>
          <t>Rp</t>
        </is>
      </c>
      <c r="E8" s="478">
        <f>E7-SUM('Revenue-Cost_2030'!N8:'Revenue-Cost_2030'!N22)</f>
        <v/>
      </c>
      <c r="F8" s="389" t="n"/>
    </row>
    <row r="9" ht="20" customHeight="1" s="297">
      <c r="A9" s="386" t="n"/>
      <c r="B9" s="475" t="n">
        <v>3</v>
      </c>
      <c r="C9" s="476" t="inlineStr">
        <is>
          <t>Biaya</t>
        </is>
      </c>
      <c r="D9" s="477" t="inlineStr">
        <is>
          <t>Rp</t>
        </is>
      </c>
      <c r="E9" s="478">
        <f>SUM('Revenue-Cost_2030'!I44:Q44)</f>
        <v/>
      </c>
      <c r="F9" s="389" t="n"/>
    </row>
    <row r="10" ht="20" customHeight="1" s="297">
      <c r="A10" s="386" t="n"/>
      <c r="B10" s="475" t="n">
        <v>4</v>
      </c>
      <c r="C10" s="476" t="inlineStr">
        <is>
          <t>Profit SebelumTax</t>
        </is>
      </c>
      <c r="D10" s="477" t="inlineStr">
        <is>
          <t>Rp</t>
        </is>
      </c>
      <c r="E10" s="478">
        <f>E7-E9</f>
        <v/>
      </c>
      <c r="F10" s="389" t="n"/>
    </row>
    <row r="11" ht="20" customHeight="1" s="297">
      <c r="A11" s="386" t="n"/>
      <c r="B11" s="475" t="n">
        <v>5</v>
      </c>
      <c r="C11" s="476" t="inlineStr">
        <is>
          <t>PPh Badan (22%*50%)</t>
        </is>
      </c>
      <c r="D11" s="477" t="inlineStr">
        <is>
          <t>Rp</t>
        </is>
      </c>
      <c r="E11" s="478">
        <f>E10*22%*50%</f>
        <v/>
      </c>
      <c r="F11" s="389" t="n"/>
    </row>
    <row r="12" ht="20" customHeight="1" s="297">
      <c r="A12" s="386" t="n"/>
      <c r="B12" s="475" t="n">
        <v>6</v>
      </c>
      <c r="C12" s="476" t="inlineStr">
        <is>
          <t>PPh 23 Dipotong oleh client</t>
        </is>
      </c>
      <c r="D12" s="477" t="inlineStr">
        <is>
          <t>Rp</t>
        </is>
      </c>
      <c r="E12" s="478">
        <f>SUM('Revenue-Cost_2030'!N8:'Revenue-Cost_2030'!N22)</f>
        <v/>
      </c>
      <c r="F12" s="389" t="n"/>
    </row>
    <row r="13" ht="20" customHeight="1" s="297">
      <c r="A13" s="386" t="n"/>
      <c r="B13" s="475" t="n">
        <v>7</v>
      </c>
      <c r="C13" s="476" t="inlineStr">
        <is>
          <t>Kekurangan Bayar PPh Badan</t>
        </is>
      </c>
      <c r="D13" s="477" t="inlineStr">
        <is>
          <t>Rp</t>
        </is>
      </c>
      <c r="E13" s="479">
        <f>E11-E12</f>
        <v/>
      </c>
      <c r="F13" s="389" t="n"/>
    </row>
    <row r="14" ht="20" customHeight="1" s="297">
      <c r="A14" s="386" t="n"/>
      <c r="B14" s="475" t="n">
        <v>8</v>
      </c>
      <c r="C14" s="476" t="inlineStr">
        <is>
          <t>Profit After Tax</t>
        </is>
      </c>
      <c r="D14" s="477" t="inlineStr">
        <is>
          <t>Rp</t>
        </is>
      </c>
      <c r="E14" s="478">
        <f>E10-E13</f>
        <v/>
      </c>
      <c r="F14" s="389" t="n"/>
    </row>
    <row r="15" ht="20" customHeight="1" s="297">
      <c r="A15" s="386" t="n"/>
      <c r="B15" s="475" t="n">
        <v>9</v>
      </c>
      <c r="C15" s="476" t="inlineStr">
        <is>
          <t>Deviden Dibagi</t>
        </is>
      </c>
      <c r="D15" s="477" t="inlineStr">
        <is>
          <t>Rp</t>
        </is>
      </c>
      <c r="E15" s="478">
        <f>E14-E16</f>
        <v/>
      </c>
      <c r="F15" s="389" t="n"/>
    </row>
    <row r="16" ht="20" customHeight="1" s="297">
      <c r="A16" s="386" t="n"/>
      <c r="B16" s="475" t="n">
        <v>10</v>
      </c>
      <c r="C16" s="476" t="inlineStr">
        <is>
          <t>Profit Ditahan</t>
        </is>
      </c>
      <c r="D16" s="477" t="inlineStr">
        <is>
          <t>Rp</t>
        </is>
      </c>
      <c r="E16" s="478" t="n">
        <v>0</v>
      </c>
      <c r="F16" s="389" t="n"/>
    </row>
    <row r="17">
      <c r="A17" s="386" t="n"/>
      <c r="B17" s="386" t="n"/>
      <c r="C17" s="386" t="n"/>
      <c r="D17" s="386" t="n"/>
      <c r="E17" s="387" t="n"/>
      <c r="F17" s="389" t="n"/>
    </row>
    <row r="18" ht="18" customHeight="1" s="297">
      <c r="A18" s="386" t="n"/>
      <c r="B18" s="480" t="inlineStr">
        <is>
          <t>DEVIDEN</t>
        </is>
      </c>
      <c r="F18" s="389" t="n"/>
    </row>
    <row r="19" ht="20" customHeight="1" s="297">
      <c r="A19" s="386" t="n"/>
      <c r="B19" s="481" t="inlineStr">
        <is>
          <t>#</t>
        </is>
      </c>
      <c r="C19" s="481" t="inlineStr">
        <is>
          <t>Nama Lengkap</t>
        </is>
      </c>
      <c r="D19" s="481" t="inlineStr"/>
      <c r="E19" s="482" t="inlineStr">
        <is>
          <t>Amount</t>
        </is>
      </c>
      <c r="F19" s="389" t="inlineStr"/>
      <c r="G19" s="483" t="inlineStr">
        <is>
          <t>Pajak</t>
        </is>
      </c>
    </row>
    <row r="20" ht="19" customHeight="1" s="297">
      <c r="A20" s="386" t="n"/>
      <c r="B20" s="271" t="n"/>
      <c r="C20" s="272" t="n"/>
      <c r="D20" s="476" t="n"/>
      <c r="E20" s="484" t="n"/>
      <c r="F20" s="389" t="n"/>
      <c r="G20" s="485" t="n"/>
    </row>
    <row r="21" ht="48.75" customHeight="1" s="297">
      <c r="A21" s="405" t="n"/>
      <c r="F21" s="389" t="n"/>
    </row>
    <row r="22">
      <c r="A22" s="405" t="n"/>
      <c r="F22" s="389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2026-04-01T15:51:03Z</dcterms:modified>
  <cp:lastModifiedBy>Diofavian - Student</cp:lastModifiedBy>
</cp:coreProperties>
</file>