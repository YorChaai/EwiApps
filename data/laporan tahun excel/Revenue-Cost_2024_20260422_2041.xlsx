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349" t="inlineStr">
        <is>
          <t>Nama Lengkap</t>
        </is>
      </c>
      <c r="C643" s="230" t="n"/>
      <c r="D643" s="230" t="n"/>
      <c r="E643" s="227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0" t="inlineStr">
        <is>
          <t>Direktur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643:E643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  <c r="G3" s="355" t="inlineStr">
        <is>
          <t>PT. EXSPAN WIRELINE INDONESIA</t>
        </is>
      </c>
      <c r="H3" s="355" t="n"/>
      <c r="I3" s="355" t="n"/>
      <c r="J3" s="355" t="n"/>
    </row>
    <row r="4" ht="20.45" customHeight="1">
      <c r="A4" s="351" t="n"/>
      <c r="B4" s="356" t="inlineStr">
        <is>
          <t>LABA RUGI | TAHUN 2024</t>
        </is>
      </c>
      <c r="F4" s="354" t="n"/>
      <c r="G4" s="357" t="inlineStr">
        <is>
          <t>NERACA |TAHUN YANG BERAKHIR, 31 DESEMBER 2024</t>
        </is>
      </c>
      <c r="H4" s="357" t="n"/>
      <c r="I4" s="357" t="n"/>
      <c r="J4" s="357" t="n"/>
    </row>
    <row r="5" ht="6" customHeight="1">
      <c r="A5" s="351" t="n"/>
      <c r="B5" s="351" t="n"/>
      <c r="C5" s="351" t="n"/>
      <c r="D5" s="351" t="n"/>
      <c r="E5" s="352" t="n"/>
      <c r="F5" s="354" t="n"/>
      <c r="G5" s="354" t="n"/>
      <c r="H5" s="358" t="n"/>
      <c r="I5" s="358" t="n"/>
      <c r="J5" s="358" t="n"/>
    </row>
    <row r="6" ht="15.4" customHeight="1">
      <c r="A6" s="351" t="n"/>
      <c r="B6" s="359" t="n"/>
      <c r="C6" s="360" t="n"/>
      <c r="D6" s="361" t="inlineStr">
        <is>
          <t>PT. Exspan Wireline Indonesia</t>
        </is>
      </c>
      <c r="E6" s="221" t="n"/>
      <c r="F6" s="354" t="n"/>
      <c r="G6" s="362" t="n"/>
      <c r="H6" s="363" t="n"/>
      <c r="I6" s="361" t="inlineStr">
        <is>
          <t>PT. Exspan Wireline Indonesia</t>
        </is>
      </c>
      <c r="J6" s="221" t="n"/>
    </row>
    <row r="7" ht="15.4" customHeight="1">
      <c r="A7" s="351" t="n"/>
      <c r="B7" s="364" t="n"/>
      <c r="C7" s="365" t="n"/>
      <c r="D7" s="366" t="inlineStr">
        <is>
          <t>(Rp)</t>
        </is>
      </c>
      <c r="E7" s="226" t="n"/>
      <c r="F7" s="354" t="n"/>
      <c r="G7" s="367" t="n"/>
      <c r="H7" s="368" t="n"/>
      <c r="I7" s="366" t="inlineStr">
        <is>
          <t>(Rp)</t>
        </is>
      </c>
      <c r="J7" s="226" t="n"/>
    </row>
    <row r="8" ht="15" customHeight="1">
      <c r="A8" s="369" t="n"/>
      <c r="B8" s="370" t="inlineStr">
        <is>
          <t>PENDAPATAN</t>
        </is>
      </c>
      <c r="C8" s="371" t="n"/>
      <c r="D8" s="372" t="n"/>
      <c r="E8" s="373" t="n"/>
      <c r="F8" s="354" t="n"/>
      <c r="G8" s="374" t="inlineStr">
        <is>
          <t>AKTIVA</t>
        </is>
      </c>
      <c r="H8" s="375" t="n"/>
      <c r="I8" s="376" t="n"/>
      <c r="J8" s="373" t="n"/>
    </row>
    <row r="9" ht="15" customHeight="1">
      <c r="A9" s="369" t="n"/>
      <c r="B9" s="377" t="n"/>
      <c r="C9" s="378" t="inlineStr">
        <is>
          <t>PENDAPATAN LANGSUNG</t>
        </is>
      </c>
      <c r="D9" s="379" t="inlineStr">
        <is>
          <t>Rp</t>
        </is>
      </c>
      <c r="E9" s="380">
        <f>SUM('Revenue-Cost_2024'!L8:L20)</f>
        <v/>
      </c>
      <c r="F9" s="354" t="n"/>
      <c r="G9" s="381" t="inlineStr">
        <is>
          <t>AKTIVA LANCAR</t>
        </is>
      </c>
      <c r="H9" s="382" t="n"/>
      <c r="I9" s="383" t="n"/>
      <c r="J9" s="380" t="n"/>
    </row>
    <row r="10" ht="15" customHeight="1">
      <c r="A10" s="369" t="n"/>
      <c r="B10" s="377" t="n"/>
      <c r="C10" s="378" t="inlineStr">
        <is>
          <t>PENDAPATAN LAIN LAIN</t>
        </is>
      </c>
      <c r="D10" s="379" t="inlineStr">
        <is>
          <t>Rp</t>
        </is>
      </c>
      <c r="E10" s="380">
        <f>SUM('Revenue-Cost_2024'!L21:L21)</f>
        <v/>
      </c>
      <c r="F10" s="354" t="n"/>
      <c r="G10" s="381" t="n"/>
      <c r="H10" s="382" t="inlineStr">
        <is>
          <t>KAS DAN SETARA KAS TAHUN SEBELUMNYA</t>
        </is>
      </c>
      <c r="I10" s="379" t="inlineStr">
        <is>
          <t>Rp</t>
        </is>
      </c>
      <c r="J10" s="380" t="n">
        <v>0</v>
      </c>
    </row>
    <row r="11" ht="15" customHeight="1">
      <c r="A11" s="369" t="n"/>
      <c r="B11" s="377" t="n"/>
      <c r="C11" s="378" t="n"/>
      <c r="D11" s="379" t="n"/>
      <c r="E11" s="380" t="n"/>
      <c r="F11" s="354" t="n"/>
      <c r="G11" s="381" t="n"/>
      <c r="H11" s="382" t="inlineStr">
        <is>
          <t>KAS DAN SETARA KAS TAHUN LAPORAN</t>
        </is>
      </c>
      <c r="I11" s="379" t="inlineStr">
        <is>
          <t>Rp</t>
        </is>
      </c>
      <c r="J11" s="380">
        <f>E50-'Business Summary'!E13</f>
        <v/>
      </c>
    </row>
    <row r="12" ht="15" customHeight="1">
      <c r="A12" s="369" t="n"/>
      <c r="B12" s="384" t="inlineStr">
        <is>
          <t>TOTAL PENDAPATAN</t>
        </is>
      </c>
      <c r="C12" s="385" t="n"/>
      <c r="D12" s="386" t="inlineStr">
        <is>
          <t>Rp</t>
        </is>
      </c>
      <c r="E12" s="387">
        <f>SUM(E9:E11)</f>
        <v/>
      </c>
      <c r="F12" s="354" t="n"/>
      <c r="G12" s="388" t="n"/>
      <c r="H12" s="389" t="inlineStr">
        <is>
          <t>PIUTANG USAHA</t>
        </is>
      </c>
      <c r="I12" s="386" t="inlineStr">
        <is>
          <t>Rp</t>
        </is>
      </c>
      <c r="J12" s="387" t="n">
        <v>0</v>
      </c>
    </row>
    <row r="13" ht="15" customHeight="1">
      <c r="A13" s="369" t="n"/>
      <c r="B13" s="377" t="n"/>
      <c r="C13" s="378" t="n"/>
      <c r="D13" s="379" t="n"/>
      <c r="E13" s="380" t="n"/>
      <c r="F13" s="354" t="n"/>
      <c r="G13" s="381" t="n"/>
      <c r="H13" s="382" t="inlineStr">
        <is>
          <t>PAJAK BAYAR DI MUKA (pph23)</t>
        </is>
      </c>
      <c r="I13" s="379" t="inlineStr">
        <is>
          <t>Rp</t>
        </is>
      </c>
      <c r="J13" s="380" t="n">
        <v>0</v>
      </c>
    </row>
    <row r="14" ht="15" customHeight="1">
      <c r="A14" s="369" t="n"/>
      <c r="B14" s="370" t="inlineStr">
        <is>
          <t>BEBAN LANGSUNG</t>
        </is>
      </c>
      <c r="C14" s="371" t="n"/>
      <c r="D14" s="372" t="n"/>
      <c r="E14" s="373" t="n"/>
      <c r="F14" s="354" t="n"/>
      <c r="G14" s="374" t="n"/>
      <c r="H14" s="375" t="inlineStr">
        <is>
          <t>BIAYA BAYAR DI MUKA</t>
        </is>
      </c>
      <c r="I14" s="372" t="inlineStr">
        <is>
          <t>Rp</t>
        </is>
      </c>
      <c r="J14" s="373" t="n">
        <v>0</v>
      </c>
    </row>
    <row r="15" ht="15" customHeight="1">
      <c r="A15" s="369" t="n"/>
      <c r="B15" s="377" t="n"/>
      <c r="C15" s="378" t="inlineStr">
        <is>
          <t>BIAYA RESEARCH (R&amp;D)</t>
        </is>
      </c>
      <c r="D15" s="379" t="inlineStr">
        <is>
          <t>Rp</t>
        </is>
      </c>
      <c r="E15" s="380">
        <f>'Revenue-Cost_2024'!I639</f>
        <v/>
      </c>
      <c r="F15" s="354" t="n"/>
      <c r="G15" s="390" t="n"/>
      <c r="H15" s="382" t="inlineStr">
        <is>
          <t>PIUTANG LAIN LAIN</t>
        </is>
      </c>
      <c r="I15" s="379" t="inlineStr">
        <is>
          <t>Rp</t>
        </is>
      </c>
      <c r="J15" s="380" t="n">
        <v>0</v>
      </c>
    </row>
    <row r="16" ht="15" customHeight="1">
      <c r="A16" s="369" t="n"/>
      <c r="B16" s="377" t="n"/>
      <c r="C16" s="378" t="inlineStr">
        <is>
          <t>BIAYA SEWA PERALATAN</t>
        </is>
      </c>
      <c r="D16" s="379" t="inlineStr">
        <is>
          <t>Rp</t>
        </is>
      </c>
      <c r="E16" s="380">
        <f>'Revenue-Cost_2024'!J639</f>
        <v/>
      </c>
      <c r="F16" s="354" t="n"/>
      <c r="G16" s="381" t="n"/>
      <c r="H16" s="382" t="inlineStr">
        <is>
          <t>TOTAL AKTIVA LANCAR</t>
        </is>
      </c>
      <c r="I16" s="379" t="inlineStr">
        <is>
          <t>Rp</t>
        </is>
      </c>
      <c r="J16" s="380">
        <f>SUM(J10:J15)</f>
        <v/>
      </c>
    </row>
    <row r="17" ht="15" customHeight="1">
      <c r="A17" s="369" t="n"/>
      <c r="B17" s="377" t="n"/>
      <c r="C17" s="378" t="inlineStr">
        <is>
          <t>BIAYA INTERPRETASI LOG DATA</t>
        </is>
      </c>
      <c r="D17" s="379" t="inlineStr">
        <is>
          <t>Rp</t>
        </is>
      </c>
      <c r="E17" s="380">
        <f>'Revenue-Cost_2024'!K639</f>
        <v/>
      </c>
      <c r="F17" s="354" t="n"/>
      <c r="G17" s="381" t="n"/>
      <c r="H17" s="382" t="n"/>
      <c r="I17" s="383" t="n"/>
      <c r="J17" s="380" t="n"/>
    </row>
    <row r="18" ht="15" customHeight="1">
      <c r="A18" s="369" t="n"/>
      <c r="B18" s="377" t="n"/>
      <c r="C18" s="378" t="inlineStr">
        <is>
          <t>BIAYA OPERASI</t>
        </is>
      </c>
      <c r="D18" s="379" t="inlineStr">
        <is>
          <t>Rp</t>
        </is>
      </c>
      <c r="E18" s="380">
        <f>'Revenue-Cost_2024'!L639</f>
        <v/>
      </c>
      <c r="F18" s="354" t="n"/>
      <c r="G18" s="381" t="inlineStr">
        <is>
          <t>ACTIVA TETAP</t>
        </is>
      </c>
      <c r="H18" s="382" t="n"/>
      <c r="I18" s="383" t="n"/>
      <c r="J18" s="380" t="n"/>
    </row>
    <row r="19" ht="15" customHeight="1">
      <c r="A19" s="369" t="n"/>
      <c r="B19" s="377" t="n"/>
      <c r="C19" s="378" t="inlineStr">
        <is>
          <t>DIOFAVIAN</t>
        </is>
      </c>
      <c r="D19" s="379" t="inlineStr">
        <is>
          <t>Rp</t>
        </is>
      </c>
      <c r="E19" s="380">
        <f>'Revenue-Cost_2024'!M639</f>
        <v/>
      </c>
      <c r="F19" s="354" t="n"/>
      <c r="G19" s="381" t="n"/>
      <c r="H19" s="382" t="n"/>
      <c r="I19" s="383" t="n"/>
      <c r="J19" s="380" t="n"/>
    </row>
    <row r="20" ht="15" customHeight="1">
      <c r="A20" s="369" t="n"/>
      <c r="B20" s="384" t="inlineStr">
        <is>
          <t>TOTAL BIAYA LANGSUNG</t>
        </is>
      </c>
      <c r="C20" s="385" t="n"/>
      <c r="D20" s="386" t="inlineStr">
        <is>
          <t>Rp</t>
        </is>
      </c>
      <c r="E20" s="387">
        <f>SUM(E15:E19)</f>
        <v/>
      </c>
      <c r="F20" s="354" t="n"/>
      <c r="G20" s="388" t="n"/>
      <c r="H20" s="389" t="inlineStr">
        <is>
          <t>INVENTARIS KANTOR</t>
        </is>
      </c>
      <c r="I20" s="386" t="inlineStr">
        <is>
          <t>Rp</t>
        </is>
      </c>
      <c r="J20" s="387" t="n">
        <v>0</v>
      </c>
    </row>
    <row r="21" ht="15" customHeight="1">
      <c r="A21" s="369" t="n"/>
      <c r="B21" s="377" t="n"/>
      <c r="C21" s="378" t="n"/>
      <c r="D21" s="379" t="n"/>
      <c r="E21" s="380" t="n"/>
      <c r="F21" s="354" t="n"/>
      <c r="G21" s="381" t="n"/>
      <c r="H21" s="382" t="n"/>
      <c r="I21" s="383" t="n"/>
      <c r="J21" s="380" t="n"/>
    </row>
    <row r="22" ht="15" customHeight="1">
      <c r="A22" s="369" t="n"/>
      <c r="B22" s="370" t="inlineStr">
        <is>
          <t>BEBAN TIDAK LANGSUNG</t>
        </is>
      </c>
      <c r="C22" s="371" t="n"/>
      <c r="D22" s="372" t="n"/>
      <c r="E22" s="373" t="n"/>
      <c r="F22" s="354" t="n"/>
      <c r="G22" s="374" t="n"/>
      <c r="H22" s="375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69" t="n"/>
      <c r="B23" s="377" t="n"/>
      <c r="C23" s="378" t="n"/>
      <c r="D23" s="379" t="inlineStr">
        <is>
          <t>Rp</t>
        </is>
      </c>
      <c r="E23" s="380" t="n">
        <v>0</v>
      </c>
      <c r="F23" s="354" t="n"/>
      <c r="G23" s="381" t="n"/>
      <c r="H23" s="382" t="n"/>
      <c r="I23" s="383" t="n"/>
      <c r="J23" s="380" t="n"/>
    </row>
    <row r="24" ht="15" customHeight="1">
      <c r="A24" s="369" t="n"/>
      <c r="B24" s="384" t="inlineStr">
        <is>
          <t>TOTAL BIAYA TIDAK LANGSUNG</t>
        </is>
      </c>
      <c r="C24" s="385" t="n"/>
      <c r="D24" s="386" t="inlineStr">
        <is>
          <t>Rp</t>
        </is>
      </c>
      <c r="E24" s="387">
        <f>SUM(E23:E23)</f>
        <v/>
      </c>
      <c r="F24" s="354" t="n"/>
      <c r="G24" s="388" t="inlineStr">
        <is>
          <t>ACTIVA LAIN LAIN</t>
        </is>
      </c>
      <c r="H24" s="389" t="n"/>
      <c r="I24" s="391" t="n"/>
      <c r="J24" s="387" t="n">
        <v>0</v>
      </c>
    </row>
    <row r="25" ht="15" customHeight="1">
      <c r="A25" s="369" t="n"/>
      <c r="B25" s="377" t="n"/>
      <c r="C25" s="378" t="n"/>
      <c r="D25" s="379" t="n"/>
      <c r="E25" s="380" t="n"/>
      <c r="F25" s="354" t="n"/>
      <c r="G25" s="381" t="n"/>
      <c r="H25" s="382" t="n"/>
      <c r="I25" s="383" t="n"/>
      <c r="J25" s="380" t="n">
        <v>0</v>
      </c>
    </row>
    <row r="26" ht="15" customHeight="1">
      <c r="A26" s="369" t="n"/>
      <c r="B26" s="370" t="inlineStr">
        <is>
          <t>BIAYA ADMINISTRASI DAN UMUM</t>
        </is>
      </c>
      <c r="C26" s="371" t="n"/>
      <c r="D26" s="372" t="n"/>
      <c r="E26" s="373" t="n"/>
      <c r="F26" s="354" t="n"/>
      <c r="G26" s="374" t="n"/>
      <c r="H26" s="375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69" t="n"/>
      <c r="B27" s="377" t="n"/>
      <c r="C27" s="378" t="inlineStr">
        <is>
          <t>ADMINISTRASI</t>
        </is>
      </c>
      <c r="D27" s="379" t="inlineStr">
        <is>
          <t>Rp</t>
        </is>
      </c>
      <c r="E27" s="380">
        <f>'Revenue-Cost_2024'!N639</f>
        <v/>
      </c>
      <c r="F27" s="354" t="n"/>
      <c r="G27" s="381" t="n"/>
      <c r="H27" s="382" t="n"/>
      <c r="I27" s="383" t="n"/>
      <c r="J27" s="380" t="n"/>
    </row>
    <row r="28" ht="15" customHeight="1">
      <c r="A28" s="369" t="n"/>
      <c r="B28" s="377" t="n"/>
      <c r="C28" s="378" t="inlineStr">
        <is>
          <t>PEMBELIAN BARANG</t>
        </is>
      </c>
      <c r="D28" s="379" t="inlineStr">
        <is>
          <t>Rp</t>
        </is>
      </c>
      <c r="E28" s="380">
        <f>'Revenue-Cost_2024'!O639</f>
        <v/>
      </c>
      <c r="F28" s="354" t="n"/>
      <c r="G28" s="392" t="inlineStr">
        <is>
          <t>TOTAL AKTIVA</t>
        </is>
      </c>
      <c r="H28" s="378" t="n"/>
      <c r="I28" s="379" t="inlineStr">
        <is>
          <t>Rp</t>
        </is>
      </c>
      <c r="J28" s="380">
        <f>J26+J22+J16</f>
        <v/>
      </c>
    </row>
    <row r="29" ht="15" customHeight="1">
      <c r="A29" s="369" t="n"/>
      <c r="B29" s="377" t="n"/>
      <c r="C29" s="378" t="inlineStr">
        <is>
          <t>SEWA KANTOR</t>
        </is>
      </c>
      <c r="D29" s="379" t="inlineStr">
        <is>
          <t>Rp</t>
        </is>
      </c>
      <c r="E29" s="380">
        <f>'Revenue-Cost_2024'!P639</f>
        <v/>
      </c>
      <c r="F29" s="354" t="n"/>
      <c r="G29" s="381" t="n"/>
      <c r="H29" s="382" t="n"/>
      <c r="I29" s="383" t="n"/>
      <c r="J29" s="380" t="n"/>
    </row>
    <row r="30" ht="15" customHeight="1">
      <c r="A30" s="369" t="n"/>
      <c r="B30" s="377" t="n"/>
      <c r="C30" s="378" t="inlineStr">
        <is>
          <t>KESEHATAN</t>
        </is>
      </c>
      <c r="D30" s="379" t="inlineStr">
        <is>
          <t>Rp</t>
        </is>
      </c>
      <c r="E30" s="380">
        <f>'Revenue-Cost_2024'!Q639</f>
        <v/>
      </c>
      <c r="F30" s="354" t="n"/>
      <c r="G30" s="381" t="inlineStr">
        <is>
          <t>HUTANG DAN MODAL</t>
        </is>
      </c>
      <c r="H30" s="382" t="n"/>
      <c r="I30" s="383" t="n"/>
      <c r="J30" s="380" t="n"/>
    </row>
    <row r="31" ht="15" customHeight="1">
      <c r="A31" s="369" t="n"/>
      <c r="B31" s="377" t="n"/>
      <c r="C31" s="378" t="inlineStr">
        <is>
          <t>BISNIS DEV</t>
        </is>
      </c>
      <c r="D31" s="379" t="inlineStr">
        <is>
          <t>Rp</t>
        </is>
      </c>
      <c r="E31" s="380">
        <f>'Revenue-Cost_2024'!R639</f>
        <v/>
      </c>
      <c r="F31" s="354" t="n"/>
      <c r="G31" s="381" t="n"/>
      <c r="H31" s="382" t="n"/>
      <c r="I31" s="383" t="n"/>
      <c r="J31" s="380" t="n"/>
    </row>
    <row r="32" ht="15" customHeight="1">
      <c r="A32" s="369" t="n"/>
      <c r="B32" s="377" t="n"/>
      <c r="C32" s="378" t="inlineStr">
        <is>
          <t>ASDASD</t>
        </is>
      </c>
      <c r="D32" s="379" t="inlineStr">
        <is>
          <t>Rp</t>
        </is>
      </c>
      <c r="E32" s="380">
        <f>'Revenue-Cost_2024'!S639</f>
        <v/>
      </c>
      <c r="F32" s="354" t="n"/>
      <c r="G32" s="381" t="inlineStr">
        <is>
          <t>HUTANG LANCAR</t>
        </is>
      </c>
      <c r="H32" s="382" t="n"/>
      <c r="I32" s="383" t="n"/>
      <c r="J32" s="380" t="n"/>
    </row>
    <row r="33" ht="15" customHeight="1">
      <c r="A33" s="369" t="n"/>
      <c r="B33" s="377" t="n"/>
      <c r="C33" s="378" t="inlineStr">
        <is>
          <t>MAKANAN JEPANG</t>
        </is>
      </c>
      <c r="D33" s="379" t="inlineStr">
        <is>
          <t>Rp</t>
        </is>
      </c>
      <c r="E33" s="380">
        <f>'Revenue-Cost_2024'!T639</f>
        <v/>
      </c>
      <c r="F33" s="354" t="n"/>
      <c r="G33" s="381" t="n"/>
      <c r="H33" s="382" t="inlineStr">
        <is>
          <t>HUTANG USAHA</t>
        </is>
      </c>
      <c r="I33" s="379" t="inlineStr">
        <is>
          <t>Rp</t>
        </is>
      </c>
      <c r="J33" s="380" t="n">
        <v>0</v>
      </c>
    </row>
    <row r="34" ht="15" customHeight="1">
      <c r="A34" s="369" t="n"/>
      <c r="B34" s="377" t="n"/>
      <c r="C34" s="378" t="inlineStr">
        <is>
          <t>AAAAA</t>
        </is>
      </c>
      <c r="D34" s="379" t="inlineStr">
        <is>
          <t>Rp</t>
        </is>
      </c>
      <c r="E34" s="380">
        <f>'Revenue-Cost_2024'!U639</f>
        <v/>
      </c>
      <c r="F34" s="354" t="n"/>
      <c r="G34" s="381" t="n"/>
      <c r="H34" s="378" t="inlineStr">
        <is>
          <t>HUTANG GAJI</t>
        </is>
      </c>
      <c r="I34" s="379" t="inlineStr">
        <is>
          <t>Rp</t>
        </is>
      </c>
      <c r="J34" s="380" t="n">
        <v>0</v>
      </c>
    </row>
    <row r="35" ht="15" customHeight="1">
      <c r="A35" s="369" t="n"/>
      <c r="B35" s="377" t="n"/>
      <c r="C35" s="378" t="inlineStr">
        <is>
          <t>BBBBB</t>
        </is>
      </c>
      <c r="D35" s="379" t="inlineStr">
        <is>
          <t>Rp</t>
        </is>
      </c>
      <c r="E35" s="380">
        <f>'Revenue-Cost_2024'!V639</f>
        <v/>
      </c>
      <c r="F35" s="354" t="n"/>
      <c r="G35" s="381" t="n"/>
      <c r="H35" s="382" t="inlineStr">
        <is>
          <t>HUTANG PEMEGANG SAHAM</t>
        </is>
      </c>
      <c r="I35" s="379" t="inlineStr">
        <is>
          <t>Rp</t>
        </is>
      </c>
      <c r="J35" s="380" t="n">
        <v>0</v>
      </c>
    </row>
    <row r="36" ht="15" customHeight="1">
      <c r="A36" s="369" t="n"/>
      <c r="B36" s="377" t="n"/>
      <c r="C36" s="378" t="inlineStr">
        <is>
          <t>ASDSAD</t>
        </is>
      </c>
      <c r="D36" s="379" t="inlineStr">
        <is>
          <t>Rp</t>
        </is>
      </c>
      <c r="E36" s="380">
        <f>'Revenue-Cost_2024'!W639</f>
        <v/>
      </c>
      <c r="F36" s="354" t="n"/>
      <c r="G36" s="381" t="n"/>
      <c r="H36" s="382" t="inlineStr">
        <is>
          <t>BIAYA YANG MASIH HARUS DI BAYAR</t>
        </is>
      </c>
      <c r="I36" s="379" t="inlineStr">
        <is>
          <t>Rp</t>
        </is>
      </c>
      <c r="J36" s="380" t="n">
        <v>0</v>
      </c>
    </row>
    <row r="37" ht="15" customHeight="1">
      <c r="A37" s="369" t="n"/>
      <c r="B37" s="377" t="n"/>
      <c r="C37" s="378" t="inlineStr">
        <is>
          <t>DFGDFGDFGD</t>
        </is>
      </c>
      <c r="D37" s="379" t="inlineStr">
        <is>
          <t>Rp</t>
        </is>
      </c>
      <c r="E37" s="380">
        <f>'Revenue-Cost_2024'!X639</f>
        <v/>
      </c>
      <c r="F37" s="354" t="n"/>
      <c r="G37" s="377" t="n"/>
      <c r="H37" s="378" t="n"/>
      <c r="I37" s="379" t="n"/>
      <c r="J37" s="380" t="n"/>
    </row>
    <row r="38" ht="15" customHeight="1">
      <c r="A38" s="369" t="n"/>
      <c r="B38" s="377" t="n"/>
      <c r="C38" s="378" t="inlineStr">
        <is>
          <t>12312</t>
        </is>
      </c>
      <c r="D38" s="379" t="inlineStr">
        <is>
          <t>Rp</t>
        </is>
      </c>
      <c r="E38" s="380">
        <f>'Revenue-Cost_2024'!Y639</f>
        <v/>
      </c>
      <c r="F38" s="354" t="n"/>
      <c r="G38" s="381" t="n"/>
      <c r="H38" s="382" t="inlineStr">
        <is>
          <t>TOTAL HUTANG LANCAR</t>
        </is>
      </c>
      <c r="I38" s="383" t="n"/>
      <c r="J38" s="380">
        <f>SUM(J33:J36)</f>
        <v/>
      </c>
    </row>
    <row r="39" ht="15" customHeight="1">
      <c r="A39" s="369" t="n"/>
      <c r="B39" s="384" t="inlineStr">
        <is>
          <t>TOTAL BIAYA ADMINISTRASI DAN UMUM</t>
        </is>
      </c>
      <c r="C39" s="385" t="n"/>
      <c r="D39" s="386" t="inlineStr">
        <is>
          <t>Rp</t>
        </is>
      </c>
      <c r="E39" s="387">
        <f>SUM(E27:E38)</f>
        <v/>
      </c>
      <c r="F39" s="354" t="n"/>
      <c r="G39" s="388" t="n"/>
      <c r="H39" s="389" t="n"/>
      <c r="I39" s="391" t="n"/>
      <c r="J39" s="387" t="n"/>
    </row>
    <row r="40" ht="15" customHeight="1">
      <c r="A40" s="369" t="n"/>
      <c r="B40" s="377" t="n"/>
      <c r="C40" s="378" t="n"/>
      <c r="D40" s="379" t="n"/>
      <c r="E40" s="380" t="n"/>
      <c r="F40" s="354" t="n"/>
      <c r="G40" s="381" t="inlineStr">
        <is>
          <t>MODAL</t>
        </is>
      </c>
      <c r="H40" s="382" t="n"/>
      <c r="I40" s="383" t="n"/>
      <c r="J40" s="380" t="n"/>
    </row>
    <row r="41" ht="15" customHeight="1">
      <c r="A41" s="369" t="n"/>
      <c r="B41" s="384" t="inlineStr">
        <is>
          <t>TOTAL BIAYA</t>
        </is>
      </c>
      <c r="C41" s="385" t="n"/>
      <c r="D41" s="386" t="inlineStr">
        <is>
          <t>Rp</t>
        </is>
      </c>
      <c r="E41" s="387">
        <f>E20+E24+E39</f>
        <v/>
      </c>
      <c r="F41" s="354" t="n"/>
      <c r="G41" s="388" t="n"/>
      <c r="H41" s="389" t="inlineStr">
        <is>
          <t>MODAL SAHAM</t>
        </is>
      </c>
      <c r="I41" s="386" t="inlineStr">
        <is>
          <t>Rp</t>
        </is>
      </c>
      <c r="J41" s="387" t="n">
        <v>0</v>
      </c>
    </row>
    <row r="42" ht="15" customHeight="1">
      <c r="A42" s="369" t="n"/>
      <c r="B42" s="377" t="n"/>
      <c r="C42" s="378" t="n"/>
      <c r="D42" s="379" t="n"/>
      <c r="E42" s="380" t="n"/>
      <c r="F42" s="354" t="n"/>
      <c r="G42" s="381" t="n"/>
      <c r="H42" s="382" t="inlineStr">
        <is>
          <t>LABA DI TAHAN</t>
        </is>
      </c>
      <c r="I42" s="379" t="inlineStr">
        <is>
          <t>Rp</t>
        </is>
      </c>
      <c r="J42" s="380" t="n">
        <v>0</v>
      </c>
    </row>
    <row r="43" ht="15" customHeight="1">
      <c r="A43" s="369" t="n"/>
      <c r="B43" s="370" t="inlineStr">
        <is>
          <t>PENDAPATAN/BEBAN LAIN LAIN</t>
        </is>
      </c>
      <c r="C43" s="371" t="n"/>
      <c r="D43" s="372" t="n"/>
      <c r="E43" s="373" t="n"/>
      <c r="F43" s="354" t="n"/>
      <c r="G43" s="374" t="n"/>
      <c r="H43" s="375" t="inlineStr">
        <is>
          <t>TOTAL LABA (RUGI) DITAHAN</t>
        </is>
      </c>
      <c r="I43" s="372" t="inlineStr">
        <is>
          <t>Rp</t>
        </is>
      </c>
      <c r="J43" s="373">
        <f>J28-J38-J41-J42</f>
        <v/>
      </c>
    </row>
    <row r="44" ht="15" customHeight="1">
      <c r="A44" s="369" t="n"/>
      <c r="B44" s="377" t="n"/>
      <c r="C44" s="378" t="inlineStr">
        <is>
          <t>PENDAPATAN LAIN LAIN</t>
        </is>
      </c>
      <c r="D44" s="379" t="inlineStr">
        <is>
          <t>Rp</t>
        </is>
      </c>
      <c r="E44" s="380" t="n">
        <v>0</v>
      </c>
      <c r="F44" s="354" t="n"/>
      <c r="G44" s="381" t="n"/>
      <c r="H44" s="382" t="inlineStr">
        <is>
          <t>TOTAL MODAL</t>
        </is>
      </c>
      <c r="I44" s="379" t="inlineStr">
        <is>
          <t>Rp</t>
        </is>
      </c>
      <c r="J44" s="380">
        <f>SUM(J41:J43)</f>
        <v/>
      </c>
    </row>
    <row r="45" ht="15" customHeight="1">
      <c r="A45" s="369" t="n"/>
      <c r="B45" s="377" t="n"/>
      <c r="C45" s="378" t="n"/>
      <c r="D45" s="379" t="n"/>
      <c r="E45" s="380" t="n"/>
      <c r="F45" s="354" t="n"/>
      <c r="G45" s="381" t="n"/>
      <c r="H45" s="382" t="n"/>
      <c r="I45" s="383" t="n"/>
      <c r="J45" s="380" t="n"/>
    </row>
    <row r="46" ht="15" customHeight="1">
      <c r="A46" s="369" t="n"/>
      <c r="B46" s="384" t="inlineStr">
        <is>
          <t>LABA RUGI SEBELUM PAJAK</t>
        </is>
      </c>
      <c r="C46" s="385" t="n"/>
      <c r="D46" s="386" t="inlineStr">
        <is>
          <t>Rp</t>
        </is>
      </c>
      <c r="E46" s="387">
        <f>E12-E41</f>
        <v/>
      </c>
      <c r="F46" s="354" t="n"/>
      <c r="G46" s="388" t="inlineStr">
        <is>
          <t>TOTAL HUTANG DAN MODAL</t>
        </is>
      </c>
      <c r="H46" s="389" t="n"/>
      <c r="I46" s="386" t="inlineStr">
        <is>
          <t>Rp</t>
        </is>
      </c>
      <c r="J46" s="387">
        <f>J44+J38</f>
        <v/>
      </c>
    </row>
    <row r="47" ht="15" customHeight="1">
      <c r="A47" s="369" t="n"/>
      <c r="B47" s="377" t="n"/>
      <c r="C47" s="378" t="n"/>
      <c r="D47" s="379" t="n"/>
      <c r="E47" s="380" t="n"/>
      <c r="F47" s="354" t="n"/>
      <c r="G47" s="377" t="n"/>
      <c r="H47" s="378" t="n"/>
      <c r="I47" s="379" t="n"/>
      <c r="J47" s="380" t="n"/>
    </row>
    <row r="48" ht="15" customHeight="1">
      <c r="A48" s="369" t="n"/>
      <c r="B48" s="384" t="inlineStr">
        <is>
          <t>CORPORATE TAX (PPh 29)</t>
        </is>
      </c>
      <c r="C48" s="385" t="n"/>
      <c r="D48" s="386" t="inlineStr">
        <is>
          <t>Rp</t>
        </is>
      </c>
      <c r="E48" s="387" t="n">
        <v>0</v>
      </c>
      <c r="F48" s="369" t="n"/>
      <c r="G48" s="384" t="n"/>
      <c r="H48" s="385" t="n"/>
      <c r="I48" s="386" t="n"/>
      <c r="J48" s="387" t="n"/>
    </row>
    <row r="49" ht="15" customHeight="1">
      <c r="A49" s="369" t="n"/>
      <c r="B49" s="377" t="n"/>
      <c r="C49" s="378" t="n"/>
      <c r="D49" s="379" t="n"/>
      <c r="E49" s="380" t="n"/>
      <c r="F49" s="369" t="n"/>
      <c r="G49" s="377" t="n"/>
      <c r="H49" s="378" t="n"/>
      <c r="I49" s="379" t="n"/>
      <c r="J49" s="380" t="n"/>
    </row>
    <row r="50" ht="15" customHeight="1">
      <c r="A50" s="369" t="n"/>
      <c r="B50" s="393" t="inlineStr">
        <is>
          <t>LABA / RUGI BERSIH</t>
        </is>
      </c>
      <c r="C50" s="394" t="n"/>
      <c r="D50" s="395" t="inlineStr">
        <is>
          <t>Rp</t>
        </is>
      </c>
      <c r="E50" s="396">
        <f>E46-E48</f>
        <v/>
      </c>
      <c r="F50" s="369" t="n"/>
      <c r="G50" s="393" t="n"/>
      <c r="H50" s="394" t="n"/>
      <c r="I50" s="395" t="n"/>
      <c r="J50" s="396" t="n"/>
    </row>
    <row r="51" ht="14.25" customHeight="1">
      <c r="A51" s="369" t="n"/>
      <c r="B51" s="369" t="n"/>
      <c r="C51" s="369" t="n"/>
      <c r="D51" s="369" t="n"/>
      <c r="E51" s="369" t="n"/>
      <c r="F51" s="369" t="n"/>
      <c r="G51" s="369" t="n"/>
      <c r="H51" s="369" t="n"/>
    </row>
    <row r="52" ht="14.25" customHeight="1">
      <c r="A52" s="369" t="n"/>
      <c r="B52" s="369" t="n"/>
      <c r="C52" s="369" t="n"/>
      <c r="D52" s="369" t="n"/>
      <c r="E52" s="369" t="n"/>
      <c r="F52" s="369" t="n"/>
      <c r="G52" s="369" t="n"/>
      <c r="H52" s="369" t="n"/>
      <c r="J52" s="397" t="n"/>
    </row>
    <row r="53">
      <c r="A53" s="369" t="n"/>
      <c r="B53" s="369" t="n"/>
      <c r="C53" s="369" t="n"/>
      <c r="D53" s="369" t="n"/>
      <c r="E53" s="369" t="n"/>
      <c r="F53" s="369" t="n"/>
      <c r="G53" s="369" t="n"/>
      <c r="H53" s="369" t="n"/>
    </row>
    <row r="54">
      <c r="A54" s="369" t="n"/>
      <c r="B54" s="398" t="inlineStr">
        <is>
          <t>Nama Lengkap</t>
        </is>
      </c>
      <c r="F54" s="369" t="n"/>
      <c r="G54" s="398" t="inlineStr">
        <is>
          <t>Nama Lengkap</t>
        </is>
      </c>
    </row>
    <row r="55">
      <c r="A55" s="369" t="n"/>
      <c r="B55" s="399" t="inlineStr">
        <is>
          <t>Direktur</t>
        </is>
      </c>
      <c r="F55" s="369" t="n"/>
      <c r="G55" s="399" t="inlineStr">
        <is>
          <t>Direktur</t>
        </is>
      </c>
    </row>
    <row r="56">
      <c r="A56" s="369" t="n"/>
      <c r="B56" s="369" t="n"/>
      <c r="C56" s="369" t="n"/>
      <c r="D56" s="369" t="n"/>
      <c r="E56" s="369" t="n"/>
      <c r="F56" s="369" t="n"/>
      <c r="G56" s="369" t="n"/>
      <c r="H56" s="369" t="n"/>
    </row>
    <row r="57">
      <c r="A57" s="369" t="n"/>
      <c r="B57" s="369" t="n"/>
      <c r="C57" s="369" t="n"/>
      <c r="D57" s="369" t="n"/>
      <c r="E57" s="369" t="n"/>
      <c r="F57" s="369" t="n"/>
      <c r="G57" s="369" t="n"/>
      <c r="H57" s="369" t="n"/>
    </row>
    <row r="58">
      <c r="A58" s="369" t="n"/>
      <c r="B58" s="369" t="n"/>
      <c r="C58" s="369" t="n"/>
      <c r="D58" s="369" t="n"/>
      <c r="E58" s="369" t="n"/>
      <c r="F58" s="369" t="n"/>
      <c r="G58" s="369" t="n"/>
      <c r="H58" s="369" t="n"/>
    </row>
    <row r="59">
      <c r="A59" s="369" t="n"/>
      <c r="B59" s="369" t="n"/>
      <c r="C59" s="369" t="n"/>
      <c r="D59" s="369" t="n"/>
      <c r="E59" s="369" t="n"/>
      <c r="F59" s="369" t="n"/>
      <c r="G59" s="369" t="n"/>
      <c r="H59" s="369" t="n"/>
    </row>
    <row r="60">
      <c r="A60" s="369" t="n"/>
      <c r="B60" s="369" t="n"/>
      <c r="C60" s="369" t="n"/>
      <c r="D60" s="369" t="n"/>
      <c r="E60" s="369" t="n"/>
      <c r="F60" s="369" t="n"/>
      <c r="G60" s="369" t="n"/>
      <c r="H60" s="369" t="n"/>
    </row>
    <row r="61">
      <c r="A61" s="369" t="n"/>
      <c r="B61" s="369" t="n"/>
      <c r="C61" s="369" t="n"/>
      <c r="D61" s="369" t="n"/>
      <c r="E61" s="369" t="n"/>
      <c r="F61" s="369" t="n"/>
      <c r="G61" s="369" t="n"/>
      <c r="H61" s="369" t="n"/>
    </row>
    <row r="62">
      <c r="A62" s="369" t="n"/>
      <c r="B62" s="369" t="n"/>
      <c r="C62" s="369" t="n"/>
      <c r="D62" s="369" t="n"/>
      <c r="E62" s="369" t="n"/>
      <c r="F62" s="369" t="n"/>
      <c r="G62" s="369" t="n"/>
      <c r="H62" s="369" t="n"/>
    </row>
    <row r="63">
      <c r="A63" s="369" t="n"/>
      <c r="B63" s="369" t="n"/>
      <c r="C63" s="369" t="n"/>
      <c r="D63" s="369" t="n"/>
      <c r="E63" s="369" t="n"/>
      <c r="F63" s="369" t="n"/>
      <c r="G63" s="369" t="n"/>
      <c r="H63" s="369" t="n"/>
    </row>
    <row r="64">
      <c r="A64" s="369" t="n"/>
      <c r="B64" s="369" t="n"/>
      <c r="C64" s="369" t="n"/>
      <c r="D64" s="369" t="n"/>
      <c r="E64" s="369" t="n"/>
      <c r="F64" s="369" t="n"/>
      <c r="G64" s="369" t="n"/>
      <c r="H64" s="369" t="n"/>
    </row>
    <row r="65">
      <c r="A65" s="369" t="n"/>
      <c r="B65" s="369" t="n"/>
      <c r="C65" s="369" t="n"/>
      <c r="D65" s="369" t="n"/>
      <c r="E65" s="369" t="n"/>
      <c r="F65" s="369" t="n"/>
      <c r="G65" s="369" t="n"/>
      <c r="H65" s="369" t="n"/>
    </row>
    <row r="66">
      <c r="A66" s="369" t="n"/>
      <c r="B66" s="369" t="n"/>
      <c r="C66" s="369" t="n"/>
      <c r="D66" s="369" t="n"/>
      <c r="E66" s="369" t="n"/>
      <c r="F66" s="369" t="n"/>
      <c r="G66" s="369" t="n"/>
      <c r="H66" s="369" t="n"/>
    </row>
    <row r="67">
      <c r="A67" s="369" t="n"/>
      <c r="B67" s="369" t="n"/>
      <c r="C67" s="369" t="n"/>
      <c r="D67" s="369" t="n"/>
      <c r="E67" s="369" t="n"/>
      <c r="F67" s="369" t="n"/>
      <c r="G67" s="369" t="n"/>
      <c r="H67" s="369" t="n"/>
    </row>
    <row r="68">
      <c r="A68" s="369" t="n"/>
      <c r="B68" s="369" t="n"/>
      <c r="C68" s="369" t="n"/>
      <c r="D68" s="369" t="n"/>
      <c r="E68" s="369" t="n"/>
      <c r="F68" s="369" t="n"/>
      <c r="G68" s="369" t="n"/>
      <c r="H68" s="369" t="n"/>
    </row>
    <row r="69">
      <c r="A69" s="369" t="n"/>
      <c r="B69" s="369" t="n"/>
      <c r="C69" s="369" t="n"/>
      <c r="D69" s="369" t="n"/>
      <c r="E69" s="369" t="n"/>
      <c r="F69" s="369" t="n"/>
      <c r="G69" s="369" t="n"/>
      <c r="H69" s="369" t="n"/>
    </row>
    <row r="70">
      <c r="A70" s="369" t="n"/>
      <c r="B70" s="369" t="n"/>
      <c r="C70" s="369" t="n"/>
      <c r="D70" s="369" t="n"/>
      <c r="E70" s="369" t="n"/>
      <c r="F70" s="369" t="n"/>
      <c r="G70" s="369" t="n"/>
      <c r="H70" s="369" t="n"/>
    </row>
    <row r="71">
      <c r="A71" s="369" t="n"/>
      <c r="B71" s="369" t="n"/>
      <c r="C71" s="369" t="n"/>
      <c r="D71" s="369" t="n"/>
      <c r="E71" s="369" t="n"/>
      <c r="F71" s="369" t="n"/>
      <c r="G71" s="369" t="n"/>
      <c r="H71" s="369" t="n"/>
    </row>
    <row r="72">
      <c r="A72" s="369" t="n"/>
      <c r="B72" s="369" t="n"/>
      <c r="C72" s="369" t="n"/>
      <c r="D72" s="369" t="n"/>
      <c r="E72" s="369" t="n"/>
      <c r="F72" s="369" t="n"/>
      <c r="G72" s="369" t="n"/>
      <c r="H72" s="369" t="n"/>
    </row>
    <row r="73">
      <c r="A73" s="369" t="n"/>
      <c r="B73" s="369" t="n"/>
      <c r="C73" s="369" t="n"/>
      <c r="D73" s="369" t="n"/>
      <c r="E73" s="369" t="n"/>
      <c r="F73" s="369" t="n"/>
      <c r="G73" s="369" t="n"/>
      <c r="H73" s="369" t="n"/>
    </row>
    <row r="74">
      <c r="A74" s="369" t="n"/>
      <c r="B74" s="369" t="n"/>
      <c r="C74" s="369" t="n"/>
      <c r="D74" s="369" t="n"/>
      <c r="E74" s="369" t="n"/>
      <c r="F74" s="369" t="n"/>
      <c r="G74" s="369" t="n"/>
      <c r="H74" s="369" t="n"/>
    </row>
    <row r="75">
      <c r="A75" s="369" t="n"/>
      <c r="B75" s="369" t="n"/>
      <c r="C75" s="369" t="n"/>
      <c r="D75" s="369" t="n"/>
      <c r="E75" s="369" t="n"/>
      <c r="F75" s="369" t="n"/>
      <c r="G75" s="369" t="n"/>
      <c r="H75" s="369" t="n"/>
    </row>
    <row r="76">
      <c r="A76" s="369" t="n"/>
      <c r="B76" s="369" t="n"/>
      <c r="C76" s="369" t="n"/>
      <c r="D76" s="369" t="n"/>
      <c r="E76" s="369" t="n"/>
      <c r="F76" s="369" t="n"/>
      <c r="G76" s="369" t="n"/>
      <c r="H76" s="369" t="n"/>
    </row>
    <row r="77">
      <c r="A77" s="369" t="n"/>
      <c r="B77" s="369" t="n"/>
      <c r="C77" s="369" t="n"/>
      <c r="D77" s="369" t="n"/>
      <c r="E77" s="369" t="n"/>
      <c r="F77" s="369" t="n"/>
      <c r="G77" s="369" t="n"/>
      <c r="H77" s="369" t="n"/>
    </row>
    <row r="78">
      <c r="A78" s="369" t="n"/>
      <c r="B78" s="369" t="n"/>
      <c r="C78" s="369" t="n"/>
      <c r="D78" s="369" t="n"/>
      <c r="E78" s="369" t="n"/>
      <c r="F78" s="369" t="n"/>
      <c r="G78" s="369" t="n"/>
      <c r="H78" s="369" t="n"/>
    </row>
    <row r="79">
      <c r="A79" s="369" t="n"/>
      <c r="B79" s="369" t="n"/>
      <c r="C79" s="369" t="n"/>
      <c r="D79" s="369" t="n"/>
      <c r="E79" s="369" t="n"/>
      <c r="F79" s="369" t="n"/>
      <c r="G79" s="369" t="n"/>
      <c r="H79" s="369" t="n"/>
    </row>
    <row r="80">
      <c r="A80" s="369" t="n"/>
      <c r="B80" s="369" t="n"/>
      <c r="C80" s="369" t="n"/>
      <c r="D80" s="369" t="n"/>
      <c r="E80" s="369" t="n"/>
      <c r="F80" s="369" t="n"/>
      <c r="G80" s="369" t="n"/>
      <c r="H80" s="369" t="n"/>
    </row>
    <row r="81">
      <c r="A81" s="369" t="n"/>
      <c r="B81" s="369" t="n"/>
      <c r="C81" s="369" t="n"/>
      <c r="D81" s="369" t="n"/>
      <c r="E81" s="369" t="n"/>
      <c r="F81" s="369" t="n"/>
      <c r="G81" s="369" t="n"/>
      <c r="H81" s="369" t="n"/>
    </row>
    <row r="82">
      <c r="A82" s="369" t="n"/>
      <c r="B82" s="369" t="n"/>
      <c r="C82" s="369" t="n"/>
      <c r="D82" s="369" t="n"/>
      <c r="E82" s="369" t="n"/>
      <c r="F82" s="369" t="n"/>
      <c r="G82" s="369" t="n"/>
      <c r="H82" s="369" t="n"/>
    </row>
    <row r="83">
      <c r="A83" s="369" t="n"/>
      <c r="B83" s="369" t="n"/>
      <c r="C83" s="369" t="n"/>
      <c r="D83" s="369" t="n"/>
      <c r="E83" s="369" t="n"/>
      <c r="F83" s="369" t="n"/>
      <c r="G83" s="369" t="n"/>
      <c r="H83" s="369" t="n"/>
    </row>
    <row r="84">
      <c r="A84" s="369" t="n"/>
      <c r="B84" s="369" t="n"/>
      <c r="C84" s="369" t="n"/>
      <c r="D84" s="369" t="n"/>
      <c r="E84" s="369" t="n"/>
      <c r="F84" s="369" t="n"/>
      <c r="G84" s="369" t="n"/>
      <c r="H84" s="369" t="n"/>
    </row>
    <row r="85">
      <c r="A85" s="369" t="n"/>
      <c r="B85" s="369" t="n"/>
      <c r="C85" s="369" t="n"/>
      <c r="D85" s="369" t="n"/>
      <c r="E85" s="369" t="n"/>
      <c r="F85" s="369" t="n"/>
      <c r="G85" s="369" t="n"/>
      <c r="H85" s="369" t="n"/>
    </row>
    <row r="86">
      <c r="A86" s="369" t="n"/>
      <c r="B86" s="369" t="n"/>
      <c r="C86" s="369" t="n"/>
      <c r="D86" s="369" t="n"/>
      <c r="E86" s="369" t="n"/>
      <c r="F86" s="369" t="n"/>
      <c r="G86" s="369" t="n"/>
      <c r="H86" s="369" t="n"/>
    </row>
    <row r="87">
      <c r="A87" s="369" t="n"/>
      <c r="B87" s="369" t="n"/>
      <c r="C87" s="369" t="n"/>
      <c r="D87" s="369" t="n"/>
      <c r="E87" s="369" t="n"/>
      <c r="F87" s="369" t="n"/>
      <c r="G87" s="369" t="n"/>
      <c r="H87" s="369" t="n"/>
    </row>
    <row r="88">
      <c r="A88" s="369" t="n"/>
      <c r="B88" s="369" t="n"/>
      <c r="C88" s="369" t="n"/>
      <c r="D88" s="369" t="n"/>
      <c r="E88" s="369" t="n"/>
      <c r="F88" s="369" t="n"/>
      <c r="G88" s="369" t="n"/>
      <c r="H88" s="369" t="n"/>
    </row>
    <row r="89">
      <c r="A89" s="369" t="n"/>
      <c r="B89" s="369" t="n"/>
      <c r="C89" s="369" t="n"/>
      <c r="D89" s="369" t="n"/>
      <c r="E89" s="369" t="n"/>
      <c r="F89" s="369" t="n"/>
      <c r="G89" s="369" t="n"/>
      <c r="H89" s="369" t="n"/>
    </row>
    <row r="90">
      <c r="A90" s="369" t="n"/>
      <c r="B90" s="369" t="n"/>
      <c r="C90" s="369" t="n"/>
      <c r="D90" s="369" t="n"/>
      <c r="E90" s="369" t="n"/>
      <c r="F90" s="369" t="n"/>
      <c r="G90" s="369" t="n"/>
      <c r="H90" s="369" t="n"/>
    </row>
    <row r="91">
      <c r="A91" s="369" t="n"/>
      <c r="B91" s="369" t="n"/>
      <c r="C91" s="369" t="n"/>
      <c r="D91" s="369" t="n"/>
      <c r="E91" s="369" t="n"/>
      <c r="F91" s="369" t="n"/>
      <c r="G91" s="369" t="n"/>
      <c r="H91" s="369" t="n"/>
    </row>
    <row r="92">
      <c r="A92" s="369" t="n"/>
      <c r="B92" s="369" t="n"/>
      <c r="C92" s="369" t="n"/>
      <c r="D92" s="369" t="n"/>
      <c r="E92" s="369" t="n"/>
      <c r="F92" s="369" t="n"/>
      <c r="G92" s="369" t="n"/>
      <c r="H92" s="369" t="n"/>
    </row>
    <row r="93">
      <c r="A93" s="369" t="n"/>
      <c r="B93" s="369" t="n"/>
      <c r="C93" s="369" t="n"/>
      <c r="D93" s="369" t="n"/>
      <c r="E93" s="369" t="n"/>
      <c r="F93" s="369" t="n"/>
      <c r="G93" s="369" t="n"/>
      <c r="H93" s="369" t="n"/>
    </row>
    <row r="94">
      <c r="A94" s="369" t="n"/>
      <c r="B94" s="369" t="n"/>
      <c r="C94" s="369" t="n"/>
      <c r="D94" s="369" t="n"/>
      <c r="E94" s="369" t="n"/>
      <c r="F94" s="369" t="n"/>
      <c r="G94" s="369" t="n"/>
      <c r="H94" s="369" t="n"/>
    </row>
    <row r="95">
      <c r="A95" s="369" t="n"/>
      <c r="B95" s="369" t="n"/>
      <c r="C95" s="369" t="n"/>
      <c r="D95" s="369" t="n"/>
      <c r="E95" s="369" t="n"/>
      <c r="F95" s="369" t="n"/>
      <c r="G95" s="369" t="n"/>
      <c r="H95" s="369" t="n"/>
    </row>
    <row r="96" ht="64.5" customHeight="1">
      <c r="A96" s="369" t="n"/>
      <c r="B96" s="369" t="n"/>
      <c r="C96" s="369" t="n"/>
      <c r="D96" s="369" t="n"/>
      <c r="E96" s="369" t="n"/>
      <c r="F96" s="369" t="n"/>
      <c r="G96" s="369" t="n"/>
      <c r="H96" s="369" t="n"/>
    </row>
    <row r="97">
      <c r="A97" s="369" t="n"/>
      <c r="B97" s="369" t="n"/>
      <c r="C97" s="369" t="n"/>
      <c r="D97" s="369" t="n"/>
      <c r="E97" s="369" t="n"/>
      <c r="F97" s="369" t="n"/>
      <c r="G97" s="369" t="n"/>
      <c r="H97" s="369" t="n"/>
    </row>
    <row r="98">
      <c r="A98" s="369" t="n"/>
      <c r="B98" s="369" t="n"/>
      <c r="C98" s="369" t="n"/>
      <c r="D98" s="369" t="n"/>
      <c r="E98" s="369" t="n"/>
      <c r="F98" s="369" t="n"/>
      <c r="G98" s="369" t="n"/>
      <c r="H98" s="369" t="n"/>
    </row>
    <row r="99">
      <c r="A99" s="369" t="n"/>
      <c r="B99" s="369" t="n"/>
      <c r="C99" s="369" t="n"/>
      <c r="D99" s="369" t="n"/>
      <c r="E99" s="369" t="n"/>
      <c r="F99" s="369" t="n"/>
      <c r="G99" s="369" t="n"/>
      <c r="H99" s="369" t="n"/>
    </row>
    <row r="100">
      <c r="A100" s="369" t="n"/>
      <c r="B100" s="369" t="n"/>
      <c r="C100" s="369" t="n"/>
      <c r="D100" s="369" t="n"/>
      <c r="E100" s="369" t="n"/>
      <c r="F100" s="369" t="n"/>
      <c r="G100" s="369" t="n"/>
      <c r="H100" s="369" t="n"/>
    </row>
    <row r="101">
      <c r="A101" s="369" t="n"/>
      <c r="B101" s="369" t="n"/>
      <c r="C101" s="369" t="n"/>
      <c r="D101" s="369" t="n"/>
      <c r="E101" s="369" t="n"/>
      <c r="F101" s="369" t="n"/>
      <c r="G101" s="369" t="n"/>
      <c r="H101" s="369" t="n"/>
    </row>
    <row r="102">
      <c r="A102" s="369" t="n"/>
      <c r="B102" s="369" t="n"/>
      <c r="C102" s="369" t="n"/>
      <c r="D102" s="369" t="n"/>
      <c r="E102" s="369" t="n"/>
      <c r="F102" s="369" t="n"/>
      <c r="G102" s="369" t="n"/>
      <c r="H102" s="369" t="n"/>
    </row>
    <row r="103">
      <c r="A103" s="369" t="n"/>
      <c r="B103" s="369" t="n"/>
      <c r="C103" s="369" t="n"/>
      <c r="D103" s="369" t="n"/>
      <c r="E103" s="369" t="n"/>
      <c r="F103" s="369" t="n"/>
      <c r="G103" s="369" t="n"/>
      <c r="H103" s="369" t="n"/>
    </row>
    <row r="104">
      <c r="A104" s="369" t="n"/>
      <c r="B104" s="369" t="n"/>
      <c r="C104" s="369" t="n"/>
      <c r="D104" s="369" t="n"/>
      <c r="E104" s="369" t="n"/>
      <c r="F104" s="369" t="n"/>
      <c r="G104" s="369" t="n"/>
      <c r="H104" s="369" t="n"/>
    </row>
    <row r="105">
      <c r="A105" s="369" t="n"/>
      <c r="B105" s="369" t="n"/>
      <c r="C105" s="369" t="n"/>
      <c r="D105" s="369" t="n"/>
      <c r="E105" s="369" t="n"/>
      <c r="F105" s="369" t="n"/>
      <c r="G105" s="369" t="n"/>
      <c r="H105" s="369" t="n"/>
    </row>
    <row r="106">
      <c r="A106" s="369" t="n"/>
      <c r="B106" s="369" t="n"/>
      <c r="C106" s="369" t="n"/>
      <c r="D106" s="369" t="n"/>
      <c r="E106" s="369" t="n"/>
      <c r="F106" s="369" t="n"/>
      <c r="G106" s="369" t="n"/>
      <c r="H106" s="369" t="n"/>
    </row>
    <row r="107">
      <c r="A107" s="369" t="n"/>
      <c r="B107" s="369" t="n"/>
      <c r="C107" s="369" t="n"/>
      <c r="D107" s="369" t="n"/>
      <c r="E107" s="369" t="n"/>
      <c r="F107" s="369" t="n"/>
      <c r="G107" s="369" t="n"/>
      <c r="H107" s="369" t="n"/>
    </row>
    <row r="108">
      <c r="A108" s="369" t="n"/>
      <c r="B108" s="369" t="n"/>
      <c r="C108" s="369" t="n"/>
      <c r="D108" s="369" t="n"/>
      <c r="E108" s="369" t="n"/>
      <c r="F108" s="369" t="n"/>
      <c r="G108" s="369" t="n"/>
      <c r="H108" s="369" t="n"/>
    </row>
    <row r="109">
      <c r="A109" s="369" t="n"/>
      <c r="B109" s="369" t="n"/>
      <c r="C109" s="369" t="n"/>
      <c r="D109" s="369" t="n"/>
      <c r="E109" s="369" t="n"/>
      <c r="F109" s="369" t="n"/>
      <c r="G109" s="369" t="n"/>
      <c r="H109" s="369" t="n"/>
    </row>
    <row r="110">
      <c r="A110" s="369" t="n"/>
      <c r="B110" s="369" t="n"/>
      <c r="C110" s="369" t="n"/>
      <c r="D110" s="369" t="n"/>
      <c r="E110" s="369" t="n"/>
      <c r="F110" s="369" t="n"/>
      <c r="G110" s="369" t="n"/>
      <c r="H110" s="369" t="n"/>
    </row>
    <row r="111">
      <c r="A111" s="369" t="n"/>
      <c r="B111" s="369" t="n"/>
      <c r="C111" s="369" t="n"/>
      <c r="D111" s="369" t="n"/>
      <c r="E111" s="369" t="n"/>
      <c r="F111" s="369" t="n"/>
      <c r="G111" s="369" t="n"/>
      <c r="H111" s="369" t="n"/>
    </row>
    <row r="112">
      <c r="A112" s="369" t="n"/>
      <c r="B112" s="369" t="n"/>
      <c r="C112" s="369" t="n"/>
      <c r="D112" s="369" t="n"/>
      <c r="E112" s="369" t="n"/>
      <c r="F112" s="369" t="n"/>
      <c r="G112" s="369" t="n"/>
      <c r="H112" s="369" t="n"/>
    </row>
    <row r="113">
      <c r="A113" s="369" t="n"/>
      <c r="B113" s="369" t="n"/>
      <c r="C113" s="369" t="n"/>
      <c r="D113" s="369" t="n"/>
      <c r="E113" s="369" t="n"/>
      <c r="F113" s="369" t="n"/>
      <c r="G113" s="369" t="n"/>
      <c r="H113" s="369" t="n"/>
    </row>
    <row r="114">
      <c r="A114" s="369" t="n"/>
      <c r="B114" s="369" t="n"/>
      <c r="C114" s="369" t="n"/>
      <c r="D114" s="369" t="n"/>
      <c r="E114" s="369" t="n"/>
      <c r="F114" s="369" t="n"/>
      <c r="G114" s="369" t="n"/>
      <c r="H114" s="369" t="n"/>
    </row>
    <row r="115">
      <c r="A115" s="369" t="n"/>
      <c r="B115" s="369" t="n"/>
      <c r="C115" s="369" t="n"/>
      <c r="D115" s="369" t="n"/>
      <c r="E115" s="369" t="n"/>
      <c r="F115" s="369" t="n"/>
      <c r="G115" s="369" t="n"/>
      <c r="H115" s="369" t="n"/>
    </row>
    <row r="116">
      <c r="A116" s="369" t="n"/>
      <c r="B116" s="369" t="n"/>
      <c r="C116" s="369" t="n"/>
      <c r="D116" s="369" t="n"/>
      <c r="E116" s="369" t="n"/>
      <c r="F116" s="369" t="n"/>
      <c r="G116" s="369" t="n"/>
      <c r="H116" s="369" t="n"/>
    </row>
    <row r="117">
      <c r="A117" s="369" t="n"/>
      <c r="B117" s="369" t="n"/>
      <c r="C117" s="369" t="n"/>
      <c r="D117" s="369" t="n"/>
      <c r="E117" s="369" t="n"/>
      <c r="F117" s="369" t="n"/>
      <c r="G117" s="369" t="n"/>
      <c r="H117" s="369" t="n"/>
    </row>
    <row r="118">
      <c r="A118" s="369" t="n"/>
      <c r="B118" s="369" t="n"/>
      <c r="C118" s="369" t="n"/>
      <c r="D118" s="369" t="n"/>
      <c r="E118" s="369" t="n"/>
      <c r="F118" s="369" t="n"/>
      <c r="G118" s="369" t="n"/>
      <c r="H118" s="369" t="n"/>
    </row>
    <row r="119">
      <c r="A119" s="369" t="n"/>
      <c r="B119" s="369" t="n"/>
      <c r="C119" s="369" t="n"/>
      <c r="D119" s="369" t="n"/>
      <c r="E119" s="369" t="n"/>
      <c r="F119" s="369" t="n"/>
      <c r="G119" s="369" t="n"/>
      <c r="H119" s="369" t="n"/>
    </row>
    <row r="120">
      <c r="A120" s="369" t="n"/>
      <c r="B120" s="369" t="n"/>
      <c r="C120" s="369" t="n"/>
      <c r="D120" s="369" t="n"/>
      <c r="E120" s="369" t="n"/>
      <c r="F120" s="369" t="n"/>
      <c r="G120" s="369" t="n"/>
      <c r="H120" s="369" t="n"/>
    </row>
    <row r="121">
      <c r="A121" s="369" t="n"/>
      <c r="B121" s="369" t="n"/>
      <c r="C121" s="369" t="n"/>
      <c r="D121" s="369" t="n"/>
      <c r="E121" s="369" t="n"/>
      <c r="F121" s="369" t="n"/>
      <c r="G121" s="369" t="n"/>
      <c r="H121" s="369" t="n"/>
    </row>
    <row r="122">
      <c r="A122" s="369" t="n"/>
      <c r="B122" s="369" t="n"/>
      <c r="C122" s="369" t="n"/>
      <c r="D122" s="369" t="n"/>
      <c r="E122" s="369" t="n"/>
      <c r="F122" s="369" t="n"/>
      <c r="G122" s="369" t="n"/>
      <c r="H122" s="369" t="n"/>
    </row>
    <row r="123">
      <c r="A123" s="369" t="n"/>
      <c r="B123" s="369" t="n"/>
      <c r="C123" s="369" t="n"/>
      <c r="D123" s="369" t="n"/>
      <c r="E123" s="369" t="n"/>
      <c r="F123" s="369" t="n"/>
      <c r="G123" s="369" t="n"/>
      <c r="H123" s="369" t="n"/>
    </row>
    <row r="124">
      <c r="A124" s="369" t="n"/>
      <c r="B124" s="369" t="n"/>
      <c r="C124" s="369" t="n"/>
      <c r="D124" s="369" t="n"/>
      <c r="E124" s="369" t="n"/>
      <c r="F124" s="369" t="n"/>
      <c r="G124" s="369" t="n"/>
      <c r="H124" s="369" t="n"/>
    </row>
    <row r="125">
      <c r="A125" s="369" t="n"/>
      <c r="B125" s="369" t="n"/>
      <c r="C125" s="369" t="n"/>
      <c r="D125" s="369" t="n"/>
      <c r="E125" s="369" t="n"/>
      <c r="F125" s="369" t="n"/>
      <c r="G125" s="369" t="n"/>
      <c r="H125" s="369" t="n"/>
    </row>
    <row r="126">
      <c r="A126" s="369" t="n"/>
      <c r="B126" s="369" t="n"/>
      <c r="C126" s="369" t="n"/>
      <c r="D126" s="369" t="n"/>
      <c r="E126" s="369" t="n"/>
      <c r="F126" s="369" t="n"/>
      <c r="G126" s="369" t="n"/>
      <c r="H126" s="369" t="n"/>
    </row>
    <row r="127">
      <c r="A127" s="369" t="n"/>
      <c r="B127" s="369" t="n"/>
      <c r="C127" s="369" t="n"/>
      <c r="D127" s="369" t="n"/>
      <c r="E127" s="369" t="n"/>
      <c r="F127" s="369" t="n"/>
      <c r="G127" s="369" t="n"/>
      <c r="H127" s="369" t="n"/>
    </row>
    <row r="128">
      <c r="A128" s="369" t="n"/>
      <c r="B128" s="369" t="n"/>
      <c r="C128" s="369" t="n"/>
      <c r="D128" s="369" t="n"/>
      <c r="E128" s="369" t="n"/>
      <c r="F128" s="369" t="n"/>
      <c r="G128" s="369" t="n"/>
      <c r="H128" s="369" t="n"/>
    </row>
    <row r="129">
      <c r="A129" s="369" t="n"/>
      <c r="B129" s="369" t="n"/>
      <c r="C129" s="369" t="n"/>
      <c r="D129" s="369" t="n"/>
      <c r="E129" s="369" t="n"/>
      <c r="F129" s="369" t="n"/>
      <c r="G129" s="369" t="n"/>
      <c r="H129" s="369" t="n"/>
    </row>
    <row r="130">
      <c r="A130" s="369" t="n"/>
      <c r="B130" s="369" t="n"/>
      <c r="C130" s="369" t="n"/>
      <c r="D130" s="369" t="n"/>
      <c r="E130" s="369" t="n"/>
      <c r="F130" s="369" t="n"/>
      <c r="G130" s="369" t="n"/>
      <c r="H130" s="369" t="n"/>
    </row>
    <row r="131">
      <c r="A131" s="369" t="n"/>
      <c r="B131" s="369" t="n"/>
      <c r="C131" s="369" t="n"/>
      <c r="D131" s="369" t="n"/>
      <c r="E131" s="369" t="n"/>
      <c r="F131" s="369" t="n"/>
      <c r="G131" s="369" t="n"/>
      <c r="H131" s="369" t="n"/>
    </row>
    <row r="132">
      <c r="A132" s="369" t="n"/>
      <c r="B132" s="369" t="n"/>
      <c r="C132" s="369" t="n"/>
      <c r="D132" s="369" t="n"/>
      <c r="E132" s="369" t="n"/>
      <c r="F132" s="369" t="n"/>
      <c r="G132" s="369" t="n"/>
      <c r="H132" s="369" t="n"/>
    </row>
    <row r="133">
      <c r="A133" s="369" t="n"/>
      <c r="B133" s="369" t="n"/>
      <c r="C133" s="369" t="n"/>
      <c r="D133" s="369" t="n"/>
      <c r="E133" s="369" t="n"/>
      <c r="F133" s="369" t="n"/>
      <c r="G133" s="369" t="n"/>
      <c r="H133" s="369" t="n"/>
    </row>
    <row r="134">
      <c r="A134" s="369" t="n"/>
      <c r="B134" s="369" t="n"/>
      <c r="C134" s="369" t="n"/>
      <c r="D134" s="369" t="n"/>
      <c r="E134" s="369" t="n"/>
      <c r="F134" s="369" t="n"/>
      <c r="G134" s="369" t="n"/>
      <c r="H134" s="369" t="n"/>
    </row>
    <row r="135">
      <c r="A135" s="369" t="n"/>
      <c r="B135" s="369" t="n"/>
      <c r="C135" s="369" t="n"/>
      <c r="D135" s="369" t="n"/>
      <c r="E135" s="369" t="n"/>
      <c r="F135" s="369" t="n"/>
      <c r="G135" s="369" t="n"/>
      <c r="H135" s="369" t="n"/>
    </row>
    <row r="136">
      <c r="A136" s="369" t="n"/>
      <c r="B136" s="369" t="n"/>
      <c r="C136" s="369" t="n"/>
      <c r="D136" s="369" t="n"/>
      <c r="E136" s="369" t="n"/>
      <c r="F136" s="369" t="n"/>
      <c r="G136" s="369" t="n"/>
      <c r="H136" s="369" t="n"/>
    </row>
    <row r="137">
      <c r="A137" s="369" t="n"/>
      <c r="B137" s="369" t="n"/>
      <c r="C137" s="369" t="n"/>
      <c r="D137" s="369" t="n"/>
      <c r="E137" s="369" t="n"/>
      <c r="F137" s="369" t="n"/>
      <c r="G137" s="369" t="n"/>
      <c r="H137" s="369" t="n"/>
    </row>
    <row r="138">
      <c r="A138" s="369" t="n"/>
      <c r="B138" s="369" t="n"/>
      <c r="C138" s="369" t="n"/>
      <c r="D138" s="369" t="n"/>
      <c r="E138" s="369" t="n"/>
      <c r="F138" s="369" t="n"/>
      <c r="G138" s="369" t="n"/>
      <c r="H138" s="369" t="n"/>
    </row>
    <row r="139">
      <c r="A139" s="369" t="n"/>
      <c r="B139" s="369" t="n"/>
      <c r="C139" s="369" t="n"/>
      <c r="D139" s="369" t="n"/>
      <c r="E139" s="369" t="n"/>
      <c r="F139" s="369" t="n"/>
      <c r="G139" s="369" t="n"/>
      <c r="H139" s="369" t="n"/>
    </row>
    <row r="140">
      <c r="A140" s="369" t="n"/>
      <c r="B140" s="369" t="n"/>
      <c r="C140" s="369" t="n"/>
      <c r="D140" s="369" t="n"/>
      <c r="E140" s="369" t="n"/>
      <c r="F140" s="369" t="n"/>
      <c r="G140" s="369" t="n"/>
      <c r="H140" s="369" t="n"/>
    </row>
    <row r="141">
      <c r="A141" s="369" t="n"/>
      <c r="B141" s="369" t="n"/>
      <c r="C141" s="369" t="n"/>
      <c r="D141" s="369" t="n"/>
      <c r="E141" s="369" t="n"/>
      <c r="F141" s="369" t="n"/>
      <c r="G141" s="369" t="n"/>
      <c r="H141" s="369" t="n"/>
    </row>
    <row r="142">
      <c r="A142" s="369" t="n"/>
      <c r="B142" s="369" t="n"/>
      <c r="C142" s="369" t="n"/>
      <c r="D142" s="369" t="n"/>
      <c r="E142" s="369" t="n"/>
      <c r="F142" s="369" t="n"/>
      <c r="G142" s="369" t="n"/>
      <c r="H142" s="369" t="n"/>
    </row>
    <row r="143">
      <c r="A143" s="369" t="n"/>
      <c r="B143" s="369" t="n"/>
      <c r="C143" s="369" t="n"/>
      <c r="D143" s="369" t="n"/>
      <c r="E143" s="369" t="n"/>
      <c r="F143" s="369" t="n"/>
      <c r="G143" s="369" t="n"/>
      <c r="H143" s="369" t="n"/>
    </row>
    <row r="144">
      <c r="A144" s="369" t="n"/>
      <c r="B144" s="369" t="n"/>
      <c r="C144" s="369" t="n"/>
      <c r="D144" s="369" t="n"/>
      <c r="E144" s="369" t="n"/>
      <c r="F144" s="369" t="n"/>
      <c r="G144" s="369" t="n"/>
      <c r="H144" s="369" t="n"/>
    </row>
    <row r="145">
      <c r="A145" s="369" t="n"/>
      <c r="B145" s="369" t="n"/>
      <c r="C145" s="369" t="n"/>
      <c r="D145" s="369" t="n"/>
      <c r="E145" s="369" t="n"/>
      <c r="F145" s="369" t="n"/>
      <c r="G145" s="369" t="n"/>
      <c r="H145" s="369" t="n"/>
    </row>
    <row r="146">
      <c r="A146" s="369" t="n"/>
      <c r="B146" s="369" t="n"/>
      <c r="C146" s="369" t="n"/>
      <c r="D146" s="369" t="n"/>
      <c r="E146" s="369" t="n"/>
      <c r="F146" s="369" t="n"/>
      <c r="G146" s="369" t="n"/>
      <c r="H146" s="369" t="n"/>
    </row>
    <row r="147">
      <c r="A147" s="369" t="n"/>
      <c r="B147" s="369" t="n"/>
      <c r="C147" s="369" t="n"/>
      <c r="D147" s="369" t="n"/>
      <c r="E147" s="369" t="n"/>
      <c r="F147" s="369" t="n"/>
      <c r="G147" s="369" t="n"/>
      <c r="H147" s="369" t="n"/>
    </row>
    <row r="148">
      <c r="A148" s="369" t="n"/>
      <c r="B148" s="369" t="n"/>
      <c r="C148" s="369" t="n"/>
      <c r="D148" s="369" t="n"/>
      <c r="E148" s="369" t="n"/>
      <c r="F148" s="369" t="n"/>
      <c r="G148" s="369" t="n"/>
      <c r="H148" s="369" t="n"/>
    </row>
    <row r="149">
      <c r="A149" s="369" t="n"/>
      <c r="B149" s="369" t="n"/>
      <c r="C149" s="369" t="n"/>
      <c r="D149" s="369" t="n"/>
      <c r="E149" s="369" t="n"/>
      <c r="F149" s="369" t="n"/>
      <c r="G149" s="369" t="n"/>
      <c r="H149" s="369" t="n"/>
    </row>
    <row r="150">
      <c r="A150" s="369" t="n"/>
      <c r="B150" s="369" t="n"/>
      <c r="C150" s="369" t="n"/>
      <c r="D150" s="369" t="n"/>
      <c r="E150" s="369" t="n"/>
      <c r="F150" s="369" t="n"/>
      <c r="G150" s="369" t="n"/>
      <c r="H150" s="369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</row>
    <row r="4" ht="20.45" customHeight="1">
      <c r="A4" s="351" t="n"/>
      <c r="B4" s="356" t="inlineStr">
        <is>
          <t>BUSINESS SUMMARY | TAHUN 2024</t>
        </is>
      </c>
      <c r="F4" s="354" t="n"/>
    </row>
    <row r="5" ht="6" customHeight="1">
      <c r="A5" s="351" t="n"/>
      <c r="B5" s="351" t="n"/>
      <c r="C5" s="351" t="n"/>
      <c r="D5" s="351" t="n"/>
      <c r="E5" s="352" t="n"/>
      <c r="F5" s="354" t="n"/>
    </row>
    <row r="6" ht="20" customHeight="1">
      <c r="A6" s="351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54" t="n"/>
    </row>
    <row r="7" ht="20" customHeight="1">
      <c r="A7" s="351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SUM('Revenue-Cost_2024'!L8:L21)</f>
        <v/>
      </c>
      <c r="F7" s="354" t="n"/>
    </row>
    <row r="8" ht="20" customHeight="1">
      <c r="A8" s="351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E7-SUM('Revenue-Cost_2024'!N8:N21)</f>
        <v/>
      </c>
      <c r="F8" s="354" t="n"/>
    </row>
    <row r="9" ht="20" customHeight="1">
      <c r="A9" s="351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SUM('Revenue-Cost_2024'!I639:Y639)</f>
        <v/>
      </c>
      <c r="F9" s="354" t="n"/>
    </row>
    <row r="10" ht="20" customHeight="1">
      <c r="A10" s="351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54" t="n"/>
    </row>
    <row r="11" ht="20" customHeight="1">
      <c r="A11" s="351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54" t="n"/>
    </row>
    <row r="12" ht="20" customHeight="1">
      <c r="A12" s="351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SUM('Revenue-Cost_2024'!N8:N21)</f>
        <v/>
      </c>
      <c r="F12" s="354" t="n"/>
    </row>
    <row r="13" ht="20" customHeight="1">
      <c r="A13" s="351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54" t="n"/>
    </row>
    <row r="14" ht="20" customHeight="1">
      <c r="A14" s="351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54" t="n"/>
    </row>
    <row r="15" ht="20" customHeight="1">
      <c r="A15" s="351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54" t="n"/>
    </row>
    <row r="16" ht="20" customHeight="1">
      <c r="A16" s="351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33763737</v>
      </c>
      <c r="F16" s="354" t="n"/>
    </row>
    <row r="17" ht="13.9" customHeight="1">
      <c r="A17" s="351" t="n"/>
      <c r="B17" s="351" t="n"/>
      <c r="C17" s="351" t="n"/>
      <c r="D17" s="351" t="n"/>
      <c r="E17" s="352" t="n"/>
      <c r="F17" s="354" t="n"/>
    </row>
    <row r="18" ht="17.65" customHeight="1">
      <c r="A18" s="351" t="n"/>
      <c r="B18" s="407" t="inlineStr">
        <is>
          <t>DEVIDEN</t>
        </is>
      </c>
      <c r="F18" s="354" t="n"/>
    </row>
    <row r="19" ht="20" customHeight="1">
      <c r="A19" s="351" t="n"/>
      <c r="B19" s="408" t="inlineStr">
        <is>
          <t>#</t>
        </is>
      </c>
      <c r="C19" s="408" t="inlineStr">
        <is>
          <t>Nama Lengkap</t>
        </is>
      </c>
      <c r="D19" s="409" t="inlineStr">
        <is>
          <t>Rp</t>
        </is>
      </c>
      <c r="E19" s="410" t="inlineStr">
        <is>
          <t>Amount</t>
        </is>
      </c>
      <c r="F19" s="354" t="n"/>
      <c r="G19" s="411" t="inlineStr"/>
    </row>
    <row r="20" ht="20" customHeight="1">
      <c r="A20" s="351" t="n"/>
      <c r="B20" s="412" t="n">
        <v>1</v>
      </c>
      <c r="C20" s="413" t="inlineStr">
        <is>
          <t>Anevril Chairulsyah</t>
        </is>
      </c>
      <c r="D20" s="414" t="inlineStr">
        <is>
          <t>Rp</t>
        </is>
      </c>
      <c r="E20" s="415">
        <f>IF(C20="","",ROUND($E$15/COUNTA($C$20:$C$21), 0))</f>
        <v/>
      </c>
      <c r="F20" s="416" t="n"/>
      <c r="G20" s="417" t="inlineStr">
        <is>
          <t>Pajak 10%</t>
        </is>
      </c>
    </row>
    <row r="21" ht="20" customHeight="1">
      <c r="A21" s="418" t="n"/>
      <c r="B21" s="419" t="n">
        <v>2</v>
      </c>
      <c r="C21" s="420" t="inlineStr">
        <is>
          <t>Alan Muhadjir</t>
        </is>
      </c>
      <c r="D21" s="421" t="inlineStr">
        <is>
          <t>Rp</t>
        </is>
      </c>
      <c r="E21" s="422">
        <f>IF(C21="","",ROUND($E$15/COUNTA($C$20:$C$21), 0))</f>
        <v/>
      </c>
      <c r="F21" s="416" t="n"/>
      <c r="G21" s="423" t="inlineStr">
        <is>
          <t>Pajak 10%</t>
        </is>
      </c>
    </row>
    <row r="22" ht="14.25" customHeight="1">
      <c r="A22" s="418" t="n"/>
      <c r="B22" s="423" t="n"/>
      <c r="C22" s="423" t="n"/>
      <c r="D22" s="423" t="n"/>
      <c r="E22" s="423" t="n"/>
      <c r="F22" s="416" t="n"/>
      <c r="G22" s="423" t="n"/>
    </row>
    <row r="23">
      <c r="B23" s="423" t="n"/>
      <c r="C23" s="423" t="n"/>
      <c r="D23" s="423" t="n"/>
      <c r="E23" s="423" t="n"/>
      <c r="F23" s="423" t="n"/>
      <c r="G23" s="423" t="n"/>
    </row>
    <row r="24">
      <c r="B24" s="423" t="n"/>
      <c r="C24" s="423" t="n"/>
      <c r="D24" s="423" t="n"/>
      <c r="E24" s="423" t="n"/>
      <c r="F24" s="423" t="n"/>
      <c r="G24" s="423" t="n"/>
    </row>
    <row r="25">
      <c r="B25" s="423" t="n"/>
      <c r="C25" s="423" t="n"/>
      <c r="D25" s="423" t="n"/>
      <c r="E25" s="423" t="n"/>
      <c r="F25" s="423" t="n"/>
      <c r="G25" s="423" t="n"/>
    </row>
    <row r="26">
      <c r="B26" s="423" t="n"/>
      <c r="C26" s="423" t="n"/>
      <c r="D26" s="423" t="n"/>
      <c r="E26" s="423" t="n"/>
      <c r="F26" s="423" t="n"/>
      <c r="G26" s="423" t="n"/>
    </row>
    <row r="27">
      <c r="B27" s="423" t="n"/>
      <c r="C27" s="423" t="n"/>
      <c r="D27" s="423" t="n"/>
      <c r="E27" s="423" t="n"/>
      <c r="F27" s="423" t="n"/>
      <c r="G27" s="423" t="n"/>
    </row>
    <row r="28">
      <c r="B28" s="423" t="n"/>
      <c r="C28" s="423" t="n"/>
      <c r="D28" s="423" t="n"/>
      <c r="E28" s="423" t="n"/>
      <c r="F28" s="423" t="n"/>
      <c r="G28" s="423" t="n"/>
    </row>
    <row r="29">
      <c r="B29" s="423" t="n"/>
      <c r="C29" s="423" t="n"/>
      <c r="D29" s="423" t="n"/>
      <c r="E29" s="423" t="n"/>
      <c r="F29" s="423" t="n"/>
      <c r="G29" s="423" t="n"/>
    </row>
    <row r="30">
      <c r="B30" s="423" t="n"/>
      <c r="C30" s="423" t="n"/>
      <c r="D30" s="423" t="n"/>
      <c r="E30" s="423" t="n"/>
      <c r="F30" s="423" t="n"/>
      <c r="G30" s="423" t="n"/>
    </row>
    <row r="31">
      <c r="B31" s="423" t="n"/>
      <c r="C31" s="423" t="n"/>
      <c r="D31" s="423" t="n"/>
      <c r="E31" s="423" t="n"/>
      <c r="F31" s="423" t="n"/>
      <c r="G31" s="423" t="n"/>
    </row>
    <row r="32">
      <c r="B32" s="423" t="n"/>
      <c r="C32" s="423" t="n"/>
      <c r="D32" s="423" t="n"/>
      <c r="E32" s="423" t="n"/>
      <c r="F32" s="423" t="n"/>
      <c r="G32" s="423" t="n"/>
    </row>
    <row r="33">
      <c r="B33" s="423" t="n"/>
      <c r="C33" s="423" t="n"/>
      <c r="D33" s="423" t="n"/>
      <c r="E33" s="423" t="n"/>
      <c r="F33" s="423" t="n"/>
      <c r="G33" s="423" t="n"/>
    </row>
    <row r="34">
      <c r="B34" s="423" t="n"/>
      <c r="C34" s="423" t="n"/>
      <c r="D34" s="423" t="n"/>
      <c r="E34" s="423" t="n"/>
      <c r="F34" s="423" t="n"/>
      <c r="G34" s="423" t="n"/>
    </row>
    <row r="35">
      <c r="B35" s="423" t="n"/>
      <c r="C35" s="423" t="n"/>
      <c r="D35" s="423" t="n"/>
      <c r="E35" s="423" t="n"/>
      <c r="F35" s="423" t="n"/>
      <c r="G35" s="423" t="n"/>
    </row>
    <row r="36">
      <c r="B36" s="423" t="n"/>
      <c r="C36" s="423" t="n"/>
      <c r="D36" s="423" t="n"/>
      <c r="E36" s="423" t="n"/>
      <c r="F36" s="423" t="n"/>
      <c r="G36" s="423" t="n"/>
    </row>
    <row r="37">
      <c r="B37" s="423" t="n"/>
      <c r="C37" s="423" t="n"/>
      <c r="D37" s="423" t="n"/>
      <c r="E37" s="423" t="n"/>
      <c r="F37" s="423" t="n"/>
      <c r="G37" s="423" t="n"/>
    </row>
    <row r="38">
      <c r="B38" s="423" t="n"/>
      <c r="C38" s="423" t="n"/>
      <c r="D38" s="423" t="n"/>
      <c r="E38" s="423" t="n"/>
      <c r="F38" s="423" t="n"/>
      <c r="G38" s="423" t="n"/>
    </row>
    <row r="39">
      <c r="B39" s="423" t="n"/>
      <c r="C39" s="423" t="n"/>
      <c r="D39" s="423" t="n"/>
      <c r="E39" s="423" t="n"/>
      <c r="F39" s="423" t="n"/>
      <c r="G39" s="423" t="n"/>
    </row>
    <row r="40">
      <c r="B40" s="423" t="n"/>
      <c r="C40" s="423" t="n"/>
      <c r="D40" s="423" t="n"/>
      <c r="E40" s="423" t="n"/>
      <c r="F40" s="423" t="n"/>
      <c r="G40" s="423" t="n"/>
    </row>
    <row r="41">
      <c r="B41" s="423" t="n"/>
      <c r="C41" s="423" t="n"/>
      <c r="D41" s="423" t="n"/>
      <c r="E41" s="423" t="n"/>
      <c r="F41" s="423" t="n"/>
      <c r="G41" s="423" t="n"/>
    </row>
    <row r="42">
      <c r="B42" s="423" t="n"/>
      <c r="C42" s="423" t="n"/>
      <c r="D42" s="423" t="n"/>
      <c r="E42" s="423" t="n"/>
      <c r="F42" s="423" t="n"/>
      <c r="G42" s="423" t="n"/>
    </row>
    <row r="43">
      <c r="B43" s="423" t="n"/>
      <c r="C43" s="423" t="n"/>
      <c r="D43" s="423" t="n"/>
      <c r="E43" s="423" t="n"/>
      <c r="F43" s="423" t="n"/>
      <c r="G43" s="423" t="n"/>
    </row>
    <row r="44">
      <c r="B44" s="423" t="n"/>
      <c r="C44" s="423" t="n"/>
      <c r="D44" s="423" t="n"/>
      <c r="E44" s="423" t="n"/>
      <c r="F44" s="423" t="n"/>
      <c r="G44" s="423" t="n"/>
    </row>
    <row r="45">
      <c r="B45" s="423" t="n"/>
      <c r="C45" s="423" t="n"/>
      <c r="D45" s="423" t="n"/>
      <c r="E45" s="423" t="n"/>
      <c r="F45" s="423" t="n"/>
      <c r="G45" s="423" t="n"/>
    </row>
    <row r="46">
      <c r="B46" s="423" t="n"/>
      <c r="C46" s="423" t="n"/>
      <c r="D46" s="423" t="n"/>
      <c r="E46" s="423" t="n"/>
      <c r="F46" s="423" t="n"/>
      <c r="G46" s="423" t="n"/>
    </row>
    <row r="47">
      <c r="B47" s="423" t="n"/>
      <c r="C47" s="423" t="n"/>
      <c r="D47" s="423" t="n"/>
      <c r="E47" s="423" t="n"/>
      <c r="F47" s="423" t="n"/>
      <c r="G47" s="423" t="n"/>
    </row>
    <row r="48">
      <c r="B48" s="423" t="n"/>
      <c r="C48" s="423" t="n"/>
      <c r="D48" s="423" t="n"/>
      <c r="E48" s="423" t="n"/>
      <c r="F48" s="423" t="n"/>
      <c r="G48" s="423" t="n"/>
    </row>
    <row r="49">
      <c r="B49" s="423" t="n"/>
      <c r="C49" s="423" t="n"/>
      <c r="D49" s="423" t="n"/>
      <c r="E49" s="423" t="n"/>
      <c r="F49" s="423" t="n"/>
      <c r="G49" s="423" t="n"/>
    </row>
    <row r="50">
      <c r="B50" s="423" t="n"/>
      <c r="C50" s="423" t="n"/>
      <c r="D50" s="423" t="n"/>
      <c r="E50" s="423" t="n"/>
      <c r="F50" s="423" t="n"/>
      <c r="G50" s="423" t="n"/>
    </row>
    <row r="51">
      <c r="B51" s="423" t="n"/>
      <c r="C51" s="423" t="n"/>
      <c r="D51" s="423" t="n"/>
      <c r="E51" s="423" t="n"/>
      <c r="F51" s="423" t="n"/>
      <c r="G51" s="423" t="n"/>
    </row>
    <row r="52">
      <c r="B52" s="423" t="n"/>
      <c r="C52" s="423" t="n"/>
      <c r="D52" s="423" t="n"/>
      <c r="E52" s="423" t="n"/>
      <c r="F52" s="423" t="n"/>
      <c r="G52" s="423" t="n"/>
    </row>
    <row r="53">
      <c r="B53" s="423" t="n"/>
      <c r="C53" s="423" t="n"/>
      <c r="D53" s="423" t="n"/>
      <c r="E53" s="423" t="n"/>
      <c r="F53" s="423" t="n"/>
      <c r="G53" s="423" t="n"/>
    </row>
    <row r="54">
      <c r="B54" s="423" t="n"/>
      <c r="C54" s="423" t="n"/>
      <c r="D54" s="423" t="n"/>
      <c r="E54" s="423" t="n"/>
      <c r="F54" s="423" t="n"/>
      <c r="G54" s="423" t="n"/>
    </row>
    <row r="55">
      <c r="B55" s="423" t="n"/>
      <c r="C55" s="423" t="n"/>
      <c r="D55" s="423" t="n"/>
      <c r="E55" s="423" t="n"/>
      <c r="F55" s="423" t="n"/>
      <c r="G55" s="423" t="n"/>
    </row>
    <row r="56">
      <c r="B56" s="423" t="n"/>
      <c r="C56" s="423" t="n"/>
      <c r="D56" s="423" t="n"/>
      <c r="E56" s="423" t="n"/>
      <c r="F56" s="423" t="n"/>
      <c r="G56" s="423" t="n"/>
    </row>
    <row r="57">
      <c r="B57" s="423" t="n"/>
      <c r="C57" s="423" t="n"/>
      <c r="D57" s="423" t="n"/>
      <c r="E57" s="423" t="n"/>
      <c r="F57" s="423" t="n"/>
      <c r="G57" s="423" t="n"/>
    </row>
    <row r="58">
      <c r="B58" s="423" t="n"/>
      <c r="C58" s="423" t="n"/>
      <c r="D58" s="423" t="n"/>
      <c r="E58" s="423" t="n"/>
      <c r="F58" s="423" t="n"/>
      <c r="G58" s="423" t="n"/>
    </row>
    <row r="59">
      <c r="B59" s="423" t="n"/>
      <c r="C59" s="423" t="n"/>
      <c r="D59" s="423" t="n"/>
      <c r="E59" s="423" t="n"/>
      <c r="F59" s="423" t="n"/>
      <c r="G59" s="423" t="n"/>
    </row>
    <row r="60">
      <c r="B60" s="423" t="n"/>
      <c r="C60" s="423" t="n"/>
      <c r="D60" s="423" t="n"/>
      <c r="E60" s="423" t="n"/>
      <c r="F60" s="423" t="n"/>
      <c r="G60" s="423" t="n"/>
    </row>
    <row r="61">
      <c r="B61" s="423" t="n"/>
      <c r="C61" s="423" t="n"/>
      <c r="D61" s="423" t="n"/>
      <c r="E61" s="423" t="n"/>
      <c r="F61" s="423" t="n"/>
      <c r="G61" s="423" t="n"/>
    </row>
    <row r="62">
      <c r="B62" s="423" t="n"/>
      <c r="C62" s="423" t="n"/>
      <c r="D62" s="423" t="n"/>
      <c r="E62" s="423" t="n"/>
      <c r="F62" s="423" t="n"/>
      <c r="G62" s="423" t="n"/>
    </row>
    <row r="63" ht="64.5" customHeight="1">
      <c r="B63" s="423" t="n"/>
      <c r="C63" s="423" t="n"/>
      <c r="D63" s="423" t="n"/>
      <c r="E63" s="423" t="n"/>
      <c r="F63" s="423" t="n"/>
      <c r="G63" s="423" t="n"/>
    </row>
    <row r="64">
      <c r="B64" s="423" t="n"/>
      <c r="C64" s="423" t="n"/>
      <c r="D64" s="423" t="n"/>
      <c r="E64" s="423" t="n"/>
      <c r="F64" s="423" t="n"/>
      <c r="G64" s="423" t="n"/>
    </row>
    <row r="65">
      <c r="B65" s="423" t="n"/>
      <c r="C65" s="423" t="n"/>
      <c r="D65" s="423" t="n"/>
      <c r="E65" s="423" t="n"/>
      <c r="F65" s="423" t="n"/>
      <c r="G65" s="423" t="n"/>
    </row>
    <row r="66">
      <c r="B66" s="423" t="n"/>
      <c r="C66" s="423" t="n"/>
      <c r="D66" s="423" t="n"/>
      <c r="E66" s="423" t="n"/>
      <c r="F66" s="423" t="n"/>
      <c r="G66" s="423" t="n"/>
    </row>
    <row r="67">
      <c r="B67" s="423" t="n"/>
      <c r="C67" s="423" t="n"/>
      <c r="D67" s="423" t="n"/>
      <c r="E67" s="423" t="n"/>
      <c r="F67" s="423" t="n"/>
      <c r="G67" s="423" t="n"/>
    </row>
    <row r="68">
      <c r="B68" s="423" t="n"/>
      <c r="C68" s="423" t="n"/>
      <c r="D68" s="423" t="n"/>
      <c r="E68" s="423" t="n"/>
      <c r="F68" s="423" t="n"/>
      <c r="G68" s="423" t="n"/>
    </row>
    <row r="69">
      <c r="B69" s="423" t="n"/>
      <c r="C69" s="423" t="n"/>
      <c r="D69" s="423" t="n"/>
      <c r="E69" s="423" t="n"/>
      <c r="F69" s="423" t="n"/>
      <c r="G69" s="423" t="n"/>
    </row>
    <row r="70">
      <c r="B70" s="423" t="n"/>
      <c r="C70" s="423" t="n"/>
      <c r="D70" s="423" t="n"/>
      <c r="E70" s="423" t="n"/>
      <c r="F70" s="423" t="n"/>
      <c r="G70" s="423" t="n"/>
    </row>
    <row r="71">
      <c r="B71" s="423" t="n"/>
      <c r="C71" s="423" t="n"/>
      <c r="D71" s="423" t="n"/>
      <c r="E71" s="423" t="n"/>
      <c r="F71" s="423" t="n"/>
      <c r="G71" s="423" t="n"/>
    </row>
    <row r="72">
      <c r="B72" s="423" t="n"/>
      <c r="C72" s="423" t="n"/>
      <c r="D72" s="423" t="n"/>
      <c r="E72" s="423" t="n"/>
      <c r="F72" s="423" t="n"/>
      <c r="G72" s="423" t="n"/>
    </row>
    <row r="73">
      <c r="B73" s="423" t="n"/>
      <c r="C73" s="423" t="n"/>
      <c r="D73" s="423" t="n"/>
      <c r="E73" s="423" t="n"/>
      <c r="F73" s="423" t="n"/>
      <c r="G73" s="423" t="n"/>
    </row>
    <row r="74">
      <c r="B74" s="423" t="n"/>
      <c r="C74" s="423" t="n"/>
      <c r="D74" s="423" t="n"/>
      <c r="E74" s="423" t="n"/>
      <c r="F74" s="423" t="n"/>
      <c r="G74" s="423" t="n"/>
    </row>
    <row r="75">
      <c r="B75" s="423" t="n"/>
      <c r="C75" s="423" t="n"/>
      <c r="D75" s="423" t="n"/>
      <c r="E75" s="423" t="n"/>
      <c r="F75" s="423" t="n"/>
      <c r="G75" s="423" t="n"/>
    </row>
    <row r="76">
      <c r="B76" s="423" t="n"/>
      <c r="C76" s="423" t="n"/>
      <c r="D76" s="423" t="n"/>
      <c r="E76" s="423" t="n"/>
      <c r="F76" s="423" t="n"/>
      <c r="G76" s="423" t="n"/>
    </row>
    <row r="77">
      <c r="B77" s="423" t="n"/>
      <c r="C77" s="423" t="n"/>
      <c r="D77" s="423" t="n"/>
      <c r="E77" s="423" t="n"/>
      <c r="F77" s="423" t="n"/>
      <c r="G77" s="423" t="n"/>
    </row>
    <row r="78">
      <c r="B78" s="423" t="n"/>
      <c r="C78" s="423" t="n"/>
      <c r="D78" s="423" t="n"/>
      <c r="E78" s="423" t="n"/>
      <c r="F78" s="423" t="n"/>
      <c r="G78" s="423" t="n"/>
    </row>
    <row r="79">
      <c r="B79" s="423" t="n"/>
      <c r="C79" s="423" t="n"/>
      <c r="D79" s="423" t="n"/>
      <c r="E79" s="423" t="n"/>
      <c r="F79" s="423" t="n"/>
      <c r="G79" s="423" t="n"/>
    </row>
    <row r="80">
      <c r="B80" s="423" t="n"/>
      <c r="C80" s="423" t="n"/>
      <c r="D80" s="423" t="n"/>
      <c r="E80" s="423" t="n"/>
      <c r="F80" s="423" t="n"/>
      <c r="G80" s="42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2026-04-22T13:41:21Z</dcterms:modified>
  <cp:lastModifiedBy>Diofavian - Student</cp:lastModifiedBy>
</cp:coreProperties>
</file>