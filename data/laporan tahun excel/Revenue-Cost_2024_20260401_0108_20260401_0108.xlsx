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8" fillId="12" borderId="20" pivotButton="0" quotePrefix="0" xfId="0"/>
    <xf numFmtId="0" fontId="38" fillId="12" borderId="20" applyAlignment="1" pivotButton="0" quotePrefix="0" xfId="0">
      <alignment horizontal="center"/>
    </xf>
    <xf numFmtId="0" fontId="38" fillId="12" borderId="20" pivotButton="0" quotePrefix="0" xfId="0"/>
    <xf numFmtId="3" fontId="38" fillId="12" borderId="20" pivotButton="0" quotePrefix="0" xfId="1"/>
    <xf numFmtId="0" fontId="38" fillId="12" borderId="20" applyAlignment="1" pivotButton="0" quotePrefix="0" xfId="0">
      <alignment horizontal="center" vertical="center"/>
    </xf>
    <xf numFmtId="177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vertical="top"/>
    </xf>
    <xf numFmtId="165" fontId="38" fillId="12" borderId="20" applyAlignment="1" pivotButton="0" quotePrefix="0" xfId="0">
      <alignment vertical="top"/>
    </xf>
    <xf numFmtId="165" fontId="38" fillId="12" borderId="20" pivotButton="0" quotePrefix="0" xfId="0"/>
    <xf numFmtId="0" fontId="3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center" vertical="top"/>
    </xf>
    <xf numFmtId="3" fontId="38" fillId="12" borderId="20" pivotButton="0" quotePrefix="0" xfId="0"/>
    <xf numFmtId="167" fontId="38" fillId="12" borderId="20" applyAlignment="1" pivotButton="0" quotePrefix="0" xfId="1">
      <alignment vertical="top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8" fillId="12" borderId="20" applyAlignment="1" pivotButton="0" quotePrefix="0" xfId="0">
      <alignment horizontal="right" vertical="center"/>
    </xf>
    <xf numFmtId="3" fontId="38" fillId="12" borderId="20" pivotButton="0" quotePrefix="0" xfId="2"/>
    <xf numFmtId="165" fontId="38" fillId="12" borderId="20" pivotButton="0" quotePrefix="0" xfId="1"/>
    <xf numFmtId="0" fontId="38" fillId="12" borderId="20" applyAlignment="1" pivotButton="0" quotePrefix="0" xfId="0">
      <alignment vertical="center"/>
    </xf>
    <xf numFmtId="168" fontId="38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8" fillId="12" borderId="20" applyAlignment="1" pivotButton="0" quotePrefix="0" xfId="2">
      <alignment horizontal="center"/>
    </xf>
    <xf numFmtId="177" fontId="38" fillId="12" borderId="20" applyAlignment="1" pivotButton="0" quotePrefix="0" xfId="2">
      <alignment horizontal="center"/>
    </xf>
    <xf numFmtId="165" fontId="38" fillId="12" borderId="20" pivotButton="0" quotePrefix="0" xfId="2"/>
    <xf numFmtId="176" fontId="38" fillId="12" borderId="20" applyAlignment="1" pivotButton="0" quotePrefix="0" xfId="0">
      <alignment horizontal="center" vertical="center"/>
    </xf>
    <xf numFmtId="177" fontId="38" fillId="12" borderId="20" applyAlignment="1" pivotButton="0" quotePrefix="0" xfId="0">
      <alignment horizontal="center"/>
    </xf>
    <xf numFmtId="176" fontId="38" fillId="12" borderId="20" pivotButton="0" quotePrefix="0" xfId="0"/>
    <xf numFmtId="164" fontId="38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8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8" fillId="12" borderId="20" pivotButton="0" quotePrefix="0" xfId="0"/>
    <xf numFmtId="3" fontId="10" fillId="12" borderId="20" pivotButton="0" quotePrefix="0" xfId="0"/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left" vertical="center" wrapText="1"/>
    </xf>
    <xf numFmtId="3" fontId="38" fillId="12" borderId="20" applyAlignment="1" pivotButton="0" quotePrefix="0" xfId="1">
      <alignment vertical="center"/>
    </xf>
    <xf numFmtId="0" fontId="38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8" fillId="12" borderId="20" applyAlignment="1" pivotButton="0" quotePrefix="0" xfId="0">
      <alignment vertical="center"/>
    </xf>
    <xf numFmtId="165" fontId="38" fillId="12" borderId="20" applyAlignment="1" pivotButton="0" quotePrefix="0" xfId="0">
      <alignment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8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8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8" fillId="12" borderId="20" applyAlignment="1" pivotButton="0" quotePrefix="0" xfId="4">
      <alignment horizontal="right" vertical="center"/>
    </xf>
    <xf numFmtId="0" fontId="38" fillId="12" borderId="20" applyAlignment="1" pivotButton="0" quotePrefix="0" xfId="5">
      <alignment horizontal="left" vertical="center" wrapText="1"/>
    </xf>
    <xf numFmtId="3" fontId="38" fillId="12" borderId="20" applyAlignment="1" pivotButton="0" quotePrefix="0" xfId="5">
      <alignment horizontal="center" vertical="center" wrapText="1"/>
    </xf>
    <xf numFmtId="3" fontId="38" fillId="12" borderId="20" applyAlignment="1" pivotButton="0" quotePrefix="0" xfId="6">
      <alignment horizontal="center" vertical="center"/>
    </xf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8" fillId="12" borderId="20" applyAlignment="1" pivotButton="0" quotePrefix="0" xfId="0">
      <alignment horizontal="left"/>
    </xf>
    <xf numFmtId="3" fontId="38" fillId="12" borderId="20" applyAlignment="1" pivotButton="0" quotePrefix="0" xfId="0">
      <alignment horizontal="right"/>
    </xf>
    <xf numFmtId="176" fontId="38" fillId="12" borderId="20" applyAlignment="1" pivotButton="0" quotePrefix="0" xfId="0">
      <alignment horizontal="right"/>
    </xf>
    <xf numFmtId="0" fontId="38" fillId="12" borderId="20" applyAlignment="1" pivotButton="0" quotePrefix="0" xfId="0">
      <alignment horizontal="right"/>
    </xf>
    <xf numFmtId="15" fontId="38" fillId="12" borderId="20" applyAlignment="1" pivotButton="0" quotePrefix="0" xfId="0">
      <alignment vertical="top"/>
    </xf>
    <xf numFmtId="0" fontId="38" fillId="12" borderId="20" applyAlignment="1" pivotButton="0" quotePrefix="0" xfId="0">
      <alignment vertical="top" wrapText="1"/>
    </xf>
    <xf numFmtId="3" fontId="38" fillId="12" borderId="20" applyAlignment="1" pivotButton="0" quotePrefix="0" xfId="1">
      <alignment vertical="top"/>
    </xf>
    <xf numFmtId="177" fontId="38" fillId="12" borderId="20" applyAlignment="1" pivotButton="0" quotePrefix="0" xfId="0">
      <alignment horizontal="center" vertical="top"/>
    </xf>
    <xf numFmtId="0" fontId="38" fillId="12" borderId="20" applyAlignment="1" pivotButton="0" quotePrefix="0" xfId="0">
      <alignment horizontal="left" vertical="top" wrapText="1"/>
    </xf>
    <xf numFmtId="15" fontId="38" fillId="12" borderId="20" applyAlignment="1" pivotButton="0" quotePrefix="0" xfId="0">
      <alignment horizontal="right" vertical="top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0" fontId="40" fillId="6" borderId="20" applyAlignment="1" pivotButton="0" quotePrefix="0" xfId="0">
      <alignment horizontal="center"/>
    </xf>
    <xf numFmtId="0" fontId="40" fillId="6" borderId="20" pivotButton="0" quotePrefix="0" xfId="0"/>
    <xf numFmtId="3" fontId="40" fillId="6" borderId="20" pivotButton="0" quotePrefix="0" xfId="0"/>
    <xf numFmtId="0" fontId="1" fillId="6" borderId="0" pivotButton="0" quotePrefix="0" xfId="0"/>
    <xf numFmtId="0" fontId="40" fillId="0" borderId="20" pivotButton="0" quotePrefix="0" xfId="0"/>
    <xf numFmtId="3" fontId="40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5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5" t="n">
        <v>347125800</v>
      </c>
      <c r="M9" s="314" t="n">
        <v>38963100</v>
      </c>
      <c r="N9" s="314" t="n">
        <v>7084200</v>
      </c>
      <c r="O9" s="313" t="n">
        <v>0</v>
      </c>
      <c r="P9" s="18" t="inlineStr"/>
      <c r="Q9" s="22" t="inlineStr">
        <is>
          <t>inc.PPN11%</t>
        </is>
      </c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/>
      <c r="Q10" s="23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/>
      <c r="Q11" s="22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6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6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/>
      <c r="Q14" s="22" t="inlineStr">
        <is>
          <t>inc.PPN11%</t>
        </is>
      </c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6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6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/>
      <c r="Q16" s="22" t="inlineStr">
        <is>
          <t>inc.PPN11%</t>
        </is>
      </c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6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7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6" t="n">
        <v>45653</v>
      </c>
      <c r="L18" s="318" t="n">
        <v>0</v>
      </c>
      <c r="M18" s="314" t="n">
        <v>15510000</v>
      </c>
      <c r="N18" s="314" t="n">
        <v>2820000</v>
      </c>
      <c r="O18" s="313" t="n">
        <v>0</v>
      </c>
      <c r="P18" s="18" t="inlineStr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9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20" t="n">
        <v>45607</v>
      </c>
      <c r="L19" s="321" t="n">
        <v>347125800</v>
      </c>
      <c r="M19" s="314" t="n">
        <v>38963100</v>
      </c>
      <c r="N19" s="314" t="n">
        <v>7084200</v>
      </c>
      <c r="O19" s="322" t="n">
        <v>0</v>
      </c>
      <c r="P19" s="18" t="inlineStr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23" t="n">
        <v>45579</v>
      </c>
      <c r="L20" s="37" t="n">
        <v>892928000</v>
      </c>
      <c r="M20" s="314" t="n">
        <v>90112000</v>
      </c>
      <c r="N20" s="314" t="n">
        <v>16384000</v>
      </c>
      <c r="O20" s="37" t="n">
        <v>0</v>
      </c>
      <c r="P20" s="18" t="inlineStr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27" t="inlineStr"/>
      <c r="J21" s="28" t="inlineStr"/>
      <c r="K21" s="324" t="n"/>
      <c r="L21" s="325" t="n">
        <v>6925425</v>
      </c>
      <c r="M21" s="314" t="n">
        <v>0</v>
      </c>
      <c r="N21" s="314" t="n">
        <v>0</v>
      </c>
      <c r="O21" s="326" t="n">
        <v>0</v>
      </c>
      <c r="P21" s="18" t="inlineStr"/>
    </row>
    <row r="22" ht="15.5" customHeight="1" s="297">
      <c r="B22" s="327" t="inlineStr">
        <is>
          <t>REVENUE (IDR)</t>
        </is>
      </c>
      <c r="C22" s="278" t="n"/>
      <c r="D22" s="278" t="n"/>
      <c r="E22" s="279" t="n"/>
      <c r="F22" s="328">
        <f>SUM(F8:F21)</f>
        <v/>
      </c>
      <c r="G22" s="33" t="n"/>
      <c r="H22" s="33" t="n"/>
      <c r="I22" s="329" t="n"/>
      <c r="J22" s="330" t="n"/>
      <c r="K22" s="329" t="n"/>
      <c r="L22" s="331">
        <f>SUM(L8:L21)</f>
        <v/>
      </c>
      <c r="M22" s="331">
        <f>SUM(M8:M21)</f>
        <v/>
      </c>
      <c r="N22" s="331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15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5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15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15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15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15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15" t="n">
        <v>1726469</v>
      </c>
      <c r="O35" s="24" t="n"/>
      <c r="P35" s="21" t="n"/>
      <c r="Q35" s="42" t="n"/>
    </row>
    <row r="36" ht="15.5" customHeight="1" s="297">
      <c r="B36" s="332" t="inlineStr">
        <is>
          <t>PENERIMAAN NEGARA (TAX) (IDR)</t>
        </is>
      </c>
      <c r="C36" s="333" t="n"/>
      <c r="D36" s="333" t="n"/>
      <c r="E36" s="333" t="n"/>
      <c r="F36" s="333" t="n"/>
      <c r="G36" s="333" t="n"/>
      <c r="H36" s="334" t="n"/>
      <c r="I36" s="335" t="inlineStr">
        <is>
          <t>PPN</t>
        </is>
      </c>
      <c r="J36" s="335">
        <f>SUM(J27:J35)</f>
        <v/>
      </c>
      <c r="K36" s="336" t="inlineStr">
        <is>
          <t>PPh</t>
        </is>
      </c>
      <c r="L36" s="337">
        <f>SUM(L27:L35)</f>
        <v/>
      </c>
      <c r="M36" s="336" t="inlineStr">
        <is>
          <t>PPh</t>
        </is>
      </c>
      <c r="N36" s="337">
        <f>SUM(N27:N35)</f>
        <v/>
      </c>
      <c r="O36" s="336" t="inlineStr">
        <is>
          <t>PPh</t>
        </is>
      </c>
      <c r="P36" s="337">
        <f>SUM(P27:P35)</f>
        <v/>
      </c>
      <c r="Q36" s="33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83" t="n">
        <v>45569</v>
      </c>
      <c r="C98" s="354" t="n">
        <v>44</v>
      </c>
      <c r="D98" s="384" t="inlineStr">
        <is>
          <t>MFC Service TGB-033 Pertamina Cirebon - Rental Tool</t>
        </is>
      </c>
      <c r="E98" s="384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5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5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5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5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6" t="n"/>
      <c r="C114" s="387" t="n"/>
      <c r="D114" s="388" t="inlineStr">
        <is>
          <t>OPERATION COST AND OFFICE - Expenses Report</t>
        </is>
      </c>
      <c r="E114" s="389" t="n"/>
      <c r="F114" s="390" t="n"/>
      <c r="G114" s="387" t="n"/>
      <c r="H114" s="387" t="n"/>
      <c r="I114" s="391" t="n"/>
      <c r="J114" s="392" t="n"/>
      <c r="K114" s="393" t="n"/>
      <c r="L114" s="393" t="n"/>
      <c r="M114" s="393" t="n"/>
      <c r="N114" s="391" t="n"/>
      <c r="O114" s="393" t="n"/>
      <c r="P114" s="393" t="n"/>
      <c r="Q114" s="393" t="n"/>
      <c r="R114" s="394" t="n"/>
      <c r="S114" s="394" t="n"/>
      <c r="T114" s="394" t="n"/>
      <c r="U114" s="394" t="n"/>
      <c r="V114" s="394" t="n"/>
      <c r="W114" s="394" t="n"/>
      <c r="X114" s="394" t="n"/>
    </row>
    <row r="115" ht="15.5" customHeight="1" s="297">
      <c r="B115" s="395" t="inlineStr">
        <is>
          <t>Expense#1</t>
        </is>
      </c>
      <c r="C115" s="396" t="inlineStr">
        <is>
          <t>:</t>
        </is>
      </c>
      <c r="D115" s="397" t="inlineStr">
        <is>
          <t>ALFA_ TLJ-58 (PEPZ4-Prabumulih field) SIJak- IC</t>
        </is>
      </c>
      <c r="E115" s="398" t="n"/>
      <c r="F115" s="399" t="n"/>
      <c r="G115" s="396" t="n"/>
      <c r="H115" s="396" t="n"/>
      <c r="I115" s="400" t="n"/>
      <c r="J115" s="401" t="n"/>
      <c r="K115" s="402" t="n"/>
      <c r="L115" s="402" t="n"/>
      <c r="M115" s="402" t="n"/>
      <c r="N115" s="400" t="n"/>
      <c r="O115" s="402" t="n"/>
      <c r="P115" s="402" t="n"/>
      <c r="Q115" s="402" t="n"/>
      <c r="R115" s="403" t="n"/>
      <c r="S115" s="403" t="n"/>
      <c r="T115" s="403" t="n"/>
      <c r="U115" s="403" t="n"/>
      <c r="V115" s="403" t="n"/>
      <c r="W115" s="403" t="n"/>
      <c r="X115" s="403" t="n"/>
    </row>
    <row r="116" ht="15.5" customHeight="1" s="297">
      <c r="B116" s="385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5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5" t="n"/>
      <c r="C122" s="344" t="n"/>
      <c r="D122" s="366" t="inlineStr">
        <is>
          <t>Logistic</t>
        </is>
      </c>
      <c r="E122" s="367" t="n"/>
      <c r="F122" s="404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83" t="n">
        <v>45347</v>
      </c>
      <c r="C127" s="354" t="n">
        <v>9</v>
      </c>
      <c r="D127" s="384" t="inlineStr">
        <is>
          <t>White Marker</t>
        </is>
      </c>
      <c r="E127" s="384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5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5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5" t="inlineStr">
        <is>
          <t>Expense#2</t>
        </is>
      </c>
      <c r="C141" s="396" t="inlineStr">
        <is>
          <t>:</t>
        </is>
      </c>
      <c r="D141" s="405" t="inlineStr">
        <is>
          <t>Training ALFA _TLJ-58 (PEPZ4-Prabumulih field_ Titis Maulana</t>
        </is>
      </c>
      <c r="E141" s="406" t="n"/>
      <c r="F141" s="399" t="n"/>
      <c r="G141" s="396" t="n"/>
      <c r="H141" s="396" t="n"/>
      <c r="I141" s="401" t="n"/>
      <c r="J141" s="401" t="n"/>
      <c r="K141" s="402" t="n"/>
      <c r="L141" s="402" t="n"/>
      <c r="M141" s="402" t="n"/>
      <c r="N141" s="402" t="n"/>
      <c r="O141" s="402" t="n"/>
      <c r="P141" s="402" t="n"/>
      <c r="Q141" s="402" t="n"/>
      <c r="R141" s="403" t="n"/>
      <c r="S141" s="403" t="n"/>
      <c r="T141" s="403" t="n"/>
      <c r="U141" s="403" t="n"/>
      <c r="V141" s="403" t="n"/>
      <c r="W141" s="403" t="n"/>
      <c r="X141" s="403" t="n"/>
    </row>
    <row r="142" ht="15.5" customHeight="1" s="297">
      <c r="B142" s="385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5" t="n"/>
      <c r="C144" s="344" t="n"/>
      <c r="D144" s="366" t="inlineStr">
        <is>
          <t>Allowance</t>
        </is>
      </c>
      <c r="E144" s="367" t="n"/>
      <c r="F144" s="369" t="n"/>
      <c r="G144" s="344" t="n"/>
      <c r="H144" s="407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83" t="n">
        <v>45358</v>
      </c>
      <c r="C145" s="354" t="n">
        <v>2</v>
      </c>
      <c r="D145" s="384" t="inlineStr">
        <is>
          <t>Tunjangan Lapangan (Training) untuk 27 days</t>
        </is>
      </c>
      <c r="E145" s="384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5" t="n"/>
      <c r="C146" s="344" t="n"/>
      <c r="D146" s="345" t="inlineStr">
        <is>
          <t>Logistic</t>
        </is>
      </c>
      <c r="E146" s="408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5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5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83" t="n">
        <v>45357</v>
      </c>
      <c r="C155" s="354" t="n">
        <v>9</v>
      </c>
      <c r="D155" s="384" t="inlineStr">
        <is>
          <t>Airplane Ticket PLM-CGK</t>
        </is>
      </c>
      <c r="E155" s="384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5" t="inlineStr">
        <is>
          <t>Expense#3</t>
        </is>
      </c>
      <c r="C158" s="396" t="inlineStr">
        <is>
          <t>:</t>
        </is>
      </c>
      <c r="D158" s="405" t="inlineStr">
        <is>
          <t>MPLT (SAKA-UjungPangkah field) GOWell - TGE _IC</t>
        </is>
      </c>
      <c r="E158" s="409" t="n"/>
      <c r="F158" s="399" t="n"/>
      <c r="G158" s="396" t="n"/>
      <c r="H158" s="396" t="n"/>
      <c r="I158" s="401" t="n"/>
      <c r="J158" s="401" t="n"/>
      <c r="K158" s="402" t="n"/>
      <c r="L158" s="402" t="n"/>
      <c r="M158" s="400" t="n"/>
      <c r="N158" s="401" t="n"/>
      <c r="O158" s="402" t="n"/>
      <c r="P158" s="402" t="n"/>
      <c r="Q158" s="402" t="n"/>
      <c r="R158" s="403" t="n"/>
      <c r="S158" s="403" t="n"/>
      <c r="T158" s="403" t="n"/>
      <c r="U158" s="403" t="n"/>
      <c r="V158" s="403" t="n"/>
      <c r="W158" s="403" t="n"/>
      <c r="X158" s="403" t="n"/>
    </row>
    <row r="159" ht="15.5" customHeight="1" s="297">
      <c r="B159" s="385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5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5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83" t="n">
        <v>45375</v>
      </c>
      <c r="C164" s="354" t="n">
        <v>3</v>
      </c>
      <c r="D164" s="384" t="inlineStr">
        <is>
          <t>Meals 6 days 1 Persons @ 150K IDR/day</t>
        </is>
      </c>
      <c r="E164" s="384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5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83" t="n">
        <v>45370</v>
      </c>
      <c r="C166" s="354" t="n">
        <v>4</v>
      </c>
      <c r="D166" s="384" t="inlineStr">
        <is>
          <t>Taxi Bintaro-CGK</t>
        </is>
      </c>
      <c r="E166" s="384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5" t="inlineStr">
        <is>
          <t>Expense#4</t>
        </is>
      </c>
      <c r="C168" s="396" t="inlineStr">
        <is>
          <t>:</t>
        </is>
      </c>
      <c r="D168" s="405" t="inlineStr">
        <is>
          <t>Non project (3rd) _ Ivan Chairulsyah</t>
        </is>
      </c>
      <c r="E168" s="409" t="n"/>
      <c r="F168" s="399" t="n"/>
      <c r="G168" s="396" t="n"/>
      <c r="H168" s="396" t="n"/>
      <c r="I168" s="400" t="n"/>
      <c r="J168" s="401" t="n"/>
      <c r="K168" s="402" t="n"/>
      <c r="L168" s="402" t="n"/>
      <c r="M168" s="401" t="n"/>
      <c r="N168" s="402" t="n"/>
      <c r="O168" s="402" t="n"/>
      <c r="P168" s="402" t="n"/>
      <c r="Q168" s="402" t="n"/>
      <c r="R168" s="403" t="n"/>
      <c r="S168" s="403" t="n"/>
      <c r="T168" s="403" t="n"/>
      <c r="U168" s="403" t="n"/>
      <c r="V168" s="403" t="n"/>
      <c r="W168" s="403" t="n"/>
      <c r="X168" s="403" t="n"/>
    </row>
    <row r="169" ht="15.5" customHeight="1" s="297">
      <c r="B169" s="385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5" t="inlineStr">
        <is>
          <t>Expense#5</t>
        </is>
      </c>
      <c r="C178" s="396" t="inlineStr">
        <is>
          <t>:</t>
        </is>
      </c>
      <c r="D178" s="405" t="inlineStr">
        <is>
          <t>MCU RS PP _Titis Maulana</t>
        </is>
      </c>
      <c r="E178" s="409" t="n"/>
      <c r="F178" s="399" t="n"/>
      <c r="G178" s="396" t="n"/>
      <c r="H178" s="396" t="n"/>
      <c r="I178" s="400" t="n"/>
      <c r="J178" s="401" t="n"/>
      <c r="K178" s="402" t="n"/>
      <c r="L178" s="402" t="n"/>
      <c r="M178" s="400" t="n"/>
      <c r="N178" s="402" t="n"/>
      <c r="O178" s="402" t="n"/>
      <c r="P178" s="402" t="n"/>
      <c r="Q178" s="402" t="n"/>
      <c r="R178" s="403" t="n"/>
      <c r="S178" s="403" t="n"/>
      <c r="T178" s="403" t="n"/>
      <c r="U178" s="403" t="n"/>
      <c r="V178" s="403" t="n"/>
      <c r="W178" s="403" t="n"/>
      <c r="X178" s="403" t="n"/>
    </row>
    <row r="179" ht="15.5" customHeight="1" s="297">
      <c r="B179" s="385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5" t="inlineStr">
        <is>
          <t>Expense#6</t>
        </is>
      </c>
      <c r="C181" s="396" t="inlineStr">
        <is>
          <t>:</t>
        </is>
      </c>
      <c r="D181" s="405" t="inlineStr">
        <is>
          <t>MPLT (SAKA-UjungPangkah field) by TGE - GOWell project_IC</t>
        </is>
      </c>
      <c r="E181" s="406" t="n"/>
      <c r="F181" s="399" t="n"/>
      <c r="G181" s="396" t="n"/>
      <c r="H181" s="396" t="n"/>
      <c r="I181" s="402" t="n"/>
      <c r="J181" s="402" t="n"/>
      <c r="K181" s="402" t="n"/>
      <c r="L181" s="402" t="n"/>
      <c r="M181" s="402" t="n"/>
      <c r="N181" s="402" t="n"/>
      <c r="O181" s="402" t="n"/>
      <c r="P181" s="402" t="n"/>
      <c r="Q181" s="402" t="n"/>
      <c r="R181" s="403" t="n"/>
      <c r="S181" s="403" t="n"/>
      <c r="T181" s="403" t="n"/>
      <c r="U181" s="403" t="n"/>
      <c r="V181" s="403" t="n"/>
      <c r="W181" s="403" t="n"/>
      <c r="X181" s="403" t="n"/>
    </row>
    <row r="182" ht="15.5" customHeight="1" s="297">
      <c r="B182" s="385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5" t="n"/>
      <c r="C184" s="344" t="n"/>
      <c r="D184" s="366" t="inlineStr">
        <is>
          <t>Meal</t>
        </is>
      </c>
      <c r="E184" s="367" t="n"/>
      <c r="F184" s="369" t="n"/>
      <c r="G184" s="344" t="n"/>
      <c r="H184" s="407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83" t="n">
        <v>45402</v>
      </c>
      <c r="C185" s="354" t="n">
        <v>2</v>
      </c>
      <c r="D185" s="384" t="inlineStr">
        <is>
          <t>Meals 5 days 1 Persons @ 150K IDR/day</t>
        </is>
      </c>
      <c r="E185" s="384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5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5" t="n"/>
      <c r="C194" s="344" t="n"/>
      <c r="D194" s="366" t="inlineStr">
        <is>
          <t>Transportation</t>
        </is>
      </c>
      <c r="E194" s="410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83" t="n">
        <v>45402</v>
      </c>
      <c r="C196" s="354" t="n">
        <v>11</v>
      </c>
      <c r="D196" s="384" t="inlineStr">
        <is>
          <t>Taxi CGK-Bintaro</t>
        </is>
      </c>
      <c r="E196" s="384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1" t="inlineStr">
        <is>
          <t>Expense#7</t>
        </is>
      </c>
      <c r="C197" s="396" t="inlineStr">
        <is>
          <t>:</t>
        </is>
      </c>
      <c r="D197" s="397" t="inlineStr">
        <is>
          <t>PLT SRO_ TGB-33 (Jatibarang Field) Elnusa _ IC</t>
        </is>
      </c>
      <c r="E197" s="412" t="n"/>
      <c r="F197" s="413" t="n"/>
      <c r="G197" s="396" t="n"/>
      <c r="H197" s="396" t="n"/>
      <c r="I197" s="401" t="n"/>
      <c r="J197" s="401" t="n"/>
      <c r="K197" s="402" t="n"/>
      <c r="L197" s="402" t="n"/>
      <c r="M197" s="401" t="n"/>
      <c r="N197" s="402" t="n"/>
      <c r="O197" s="402" t="n"/>
      <c r="P197" s="402" t="n"/>
      <c r="Q197" s="402" t="n"/>
      <c r="R197" s="403" t="n"/>
      <c r="S197" s="403" t="n"/>
      <c r="T197" s="403" t="n"/>
      <c r="U197" s="403" t="n"/>
      <c r="V197" s="403" t="n"/>
      <c r="W197" s="403" t="n"/>
      <c r="X197" s="403" t="n"/>
    </row>
    <row r="198" ht="15.5" customHeight="1" s="297">
      <c r="B198" s="385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4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5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5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5" t="n"/>
      <c r="C205" s="344" t="n"/>
      <c r="D205" s="366" t="inlineStr">
        <is>
          <t>Transportation</t>
        </is>
      </c>
      <c r="E205" s="410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5" t="inlineStr">
        <is>
          <t>Expense#8</t>
        </is>
      </c>
      <c r="C208" s="396" t="inlineStr">
        <is>
          <t>:</t>
        </is>
      </c>
      <c r="D208" s="405" t="inlineStr">
        <is>
          <t>Training BST_ PHR-zona 4 (Dwiyanto) (Dwi_Febri dan Ilham)</t>
        </is>
      </c>
      <c r="E208" s="409" t="n"/>
      <c r="F208" s="413" t="n"/>
      <c r="G208" s="396" t="n"/>
      <c r="H208" s="396" t="n"/>
      <c r="I208" s="401" t="n"/>
      <c r="J208" s="401" t="n"/>
      <c r="K208" s="402" t="n"/>
      <c r="L208" s="402" t="n"/>
      <c r="M208" s="402" t="n"/>
      <c r="N208" s="402" t="n"/>
      <c r="O208" s="402" t="n"/>
      <c r="P208" s="402" t="n"/>
      <c r="Q208" s="402" t="n"/>
      <c r="R208" s="403" t="n"/>
      <c r="S208" s="403" t="n"/>
      <c r="T208" s="403" t="n"/>
      <c r="U208" s="403" t="n"/>
      <c r="V208" s="403" t="n"/>
      <c r="W208" s="403" t="n"/>
      <c r="X208" s="403" t="n"/>
    </row>
    <row r="209" ht="15.5" customHeight="1" s="297">
      <c r="B209" s="351" t="n"/>
      <c r="C209" s="415" t="n"/>
      <c r="D209" s="416" t="inlineStr">
        <is>
          <t>Accommodation</t>
        </is>
      </c>
      <c r="E209" s="417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5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5" t="n"/>
      <c r="C213" s="344" t="n"/>
      <c r="D213" s="366" t="inlineStr">
        <is>
          <t>Transportation</t>
        </is>
      </c>
      <c r="E213" s="410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7" t="inlineStr">
        <is>
          <t>Expense#9</t>
        </is>
      </c>
      <c r="C220" s="418" t="inlineStr">
        <is>
          <t>:</t>
        </is>
      </c>
      <c r="D220" s="419" t="inlineStr">
        <is>
          <t>MFC and ALFA Memory (Jatibarang Field) TGB-033_Elnusa_ AC</t>
        </is>
      </c>
      <c r="E220" s="420" t="n"/>
      <c r="F220" s="413" t="n"/>
      <c r="G220" s="396" t="n"/>
      <c r="H220" s="396" t="n"/>
      <c r="I220" s="402" t="n"/>
      <c r="J220" s="402" t="n"/>
      <c r="K220" s="402" t="n"/>
      <c r="L220" s="402" t="n"/>
      <c r="M220" s="402" t="n"/>
      <c r="N220" s="402" t="n"/>
      <c r="O220" s="402" t="n"/>
      <c r="P220" s="402" t="n"/>
      <c r="Q220" s="402" t="n"/>
      <c r="R220" s="403" t="n"/>
      <c r="S220" s="403" t="n"/>
      <c r="T220" s="403" t="n"/>
      <c r="U220" s="403" t="n"/>
      <c r="V220" s="403" t="n"/>
      <c r="W220" s="403" t="n"/>
      <c r="X220" s="403" t="n"/>
    </row>
    <row r="221" ht="15.5" customHeight="1" s="297">
      <c r="B221" s="385" t="n"/>
      <c r="C221" s="344" t="n"/>
      <c r="D221" s="366" t="inlineStr">
        <is>
          <t>Accommodation</t>
        </is>
      </c>
      <c r="E221" s="410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5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5" t="n"/>
      <c r="C227" s="344" t="n"/>
      <c r="D227" s="366" t="inlineStr">
        <is>
          <t>Transportation</t>
        </is>
      </c>
      <c r="E227" s="410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5" t="inlineStr">
        <is>
          <t>Expense#10</t>
        </is>
      </c>
      <c r="C230" s="396" t="inlineStr">
        <is>
          <t>:</t>
        </is>
      </c>
      <c r="D230" s="405" t="inlineStr">
        <is>
          <t>ALFA+PLT (TGB-033 Zona 7) Elnusa_TMA</t>
        </is>
      </c>
      <c r="E230" s="409" t="n"/>
      <c r="F230" s="413" t="n"/>
      <c r="G230" s="398" t="n"/>
      <c r="H230" s="396" t="n"/>
      <c r="I230" s="400" t="n"/>
      <c r="J230" s="402" t="n"/>
      <c r="K230" s="402" t="n"/>
      <c r="L230" s="402" t="n"/>
      <c r="M230" s="402" t="n"/>
      <c r="N230" s="402" t="n"/>
      <c r="O230" s="402" t="n"/>
      <c r="P230" s="402" t="n"/>
      <c r="Q230" s="402" t="n"/>
      <c r="R230" s="403" t="n"/>
      <c r="S230" s="403" t="n"/>
      <c r="T230" s="403" t="n"/>
      <c r="U230" s="403" t="n"/>
      <c r="V230" s="403" t="n"/>
      <c r="W230" s="403" t="n"/>
      <c r="X230" s="403" t="n"/>
    </row>
    <row r="231" ht="15.5" customHeight="1" s="297">
      <c r="B231" s="385" t="n"/>
      <c r="C231" s="344" t="n"/>
      <c r="D231" s="366" t="inlineStr">
        <is>
          <t>Accommodation</t>
        </is>
      </c>
      <c r="E231" s="410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5" t="n"/>
      <c r="D234" s="416" t="inlineStr">
        <is>
          <t>Allowance</t>
        </is>
      </c>
      <c r="E234" s="417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1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1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5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1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1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5" t="n"/>
      <c r="C240" s="344" t="n"/>
      <c r="D240" s="366" t="inlineStr">
        <is>
          <t>Meal</t>
        </is>
      </c>
      <c r="E240" s="410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1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1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5" t="inlineStr">
        <is>
          <t>Expense#11</t>
        </is>
      </c>
      <c r="C243" s="396" t="inlineStr">
        <is>
          <t>:</t>
        </is>
      </c>
      <c r="D243" s="405" t="inlineStr">
        <is>
          <t>ALFA+MFC (TGB-033 Zona 7) Elnusa_TMA</t>
        </is>
      </c>
      <c r="E243" s="409" t="n"/>
      <c r="F243" s="413" t="n"/>
      <c r="G243" s="398" t="n"/>
      <c r="H243" s="398" t="n"/>
      <c r="I243" s="400" t="n"/>
      <c r="J243" s="401" t="n"/>
      <c r="K243" s="402" t="n"/>
      <c r="L243" s="402" t="n"/>
      <c r="M243" s="402" t="n"/>
      <c r="N243" s="402" t="n"/>
      <c r="O243" s="402" t="n"/>
      <c r="P243" s="402" t="n"/>
      <c r="Q243" s="402" t="n"/>
      <c r="R243" s="403" t="n"/>
      <c r="S243" s="403" t="n"/>
      <c r="T243" s="403" t="n"/>
      <c r="U243" s="403" t="n"/>
      <c r="V243" s="403" t="n"/>
      <c r="W243" s="403" t="n"/>
      <c r="X243" s="403" t="n"/>
    </row>
    <row r="244" ht="15.5" customHeight="1" s="297">
      <c r="B244" s="385" t="n"/>
      <c r="C244" s="344" t="n"/>
      <c r="D244" s="366" t="inlineStr">
        <is>
          <t>Accommodation</t>
        </is>
      </c>
      <c r="E244" s="410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1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1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5" t="n"/>
      <c r="C247" s="344" t="n"/>
      <c r="D247" s="366" t="inlineStr">
        <is>
          <t>Allowance</t>
        </is>
      </c>
      <c r="E247" s="367" t="n"/>
      <c r="F247" s="347" t="n"/>
      <c r="G247" s="346" t="n"/>
      <c r="H247" s="422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83" t="n">
        <v>45401</v>
      </c>
      <c r="C248" s="354" t="n">
        <v>3</v>
      </c>
      <c r="D248" s="384" t="inlineStr">
        <is>
          <t>Field Bonus for 4 days (25$/Day)</t>
        </is>
      </c>
      <c r="E248" s="384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5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83" t="n">
        <v>45401</v>
      </c>
      <c r="C250" s="354" t="n">
        <v>4</v>
      </c>
      <c r="D250" s="384" t="inlineStr">
        <is>
          <t>Battery A2</t>
        </is>
      </c>
      <c r="E250" s="384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83" t="n">
        <v>45401</v>
      </c>
      <c r="C253" s="354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83" t="n">
        <v>45404</v>
      </c>
      <c r="C255" s="354" t="n">
        <v>7</v>
      </c>
      <c r="D255" s="384" t="inlineStr">
        <is>
          <t>Taxi Bintaro-Wisma Mas</t>
        </is>
      </c>
      <c r="E255" s="384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5" t="inlineStr">
        <is>
          <t>Expense#12</t>
        </is>
      </c>
      <c r="C256" s="396" t="inlineStr">
        <is>
          <t>:</t>
        </is>
      </c>
      <c r="D256" s="405" t="inlineStr">
        <is>
          <t>BOSIET Training -_TMA</t>
        </is>
      </c>
      <c r="E256" s="409" t="n"/>
      <c r="F256" s="413" t="n"/>
      <c r="G256" s="396" t="n"/>
      <c r="H256" s="396" t="n"/>
      <c r="I256" s="400" t="n"/>
      <c r="J256" s="401" t="n"/>
      <c r="K256" s="402" t="n"/>
      <c r="L256" s="402" t="n"/>
      <c r="M256" s="402" t="n"/>
      <c r="N256" s="402" t="n"/>
      <c r="O256" s="402" t="n"/>
      <c r="P256" s="402" t="n"/>
      <c r="Q256" s="402" t="n"/>
      <c r="R256" s="403" t="n"/>
      <c r="S256" s="403" t="n"/>
      <c r="T256" s="403" t="n"/>
      <c r="U256" s="403" t="n"/>
      <c r="V256" s="403" t="n"/>
      <c r="W256" s="403" t="n"/>
      <c r="X256" s="403" t="n"/>
    </row>
    <row r="257" ht="15.5" customHeight="1" s="297">
      <c r="B257" s="385" t="n"/>
      <c r="C257" s="344" t="n"/>
      <c r="D257" s="423" t="inlineStr">
        <is>
          <t>Biaya Operasi</t>
        </is>
      </c>
      <c r="E257" s="424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5" t="inlineStr">
        <is>
          <t>Expense#13</t>
        </is>
      </c>
      <c r="C259" s="396" t="inlineStr">
        <is>
          <t>:</t>
        </is>
      </c>
      <c r="D259" s="405" t="inlineStr">
        <is>
          <t>Non Trip MCU Dwiyanto</t>
        </is>
      </c>
      <c r="E259" s="425" t="n"/>
      <c r="F259" s="413" t="n"/>
      <c r="G259" s="396" t="n"/>
      <c r="H259" s="396" t="n"/>
      <c r="I259" s="401" t="n"/>
      <c r="J259" s="401" t="n"/>
      <c r="K259" s="402" t="n"/>
      <c r="L259" s="402" t="n"/>
      <c r="M259" s="402" t="n"/>
      <c r="N259" s="402" t="n"/>
      <c r="O259" s="402" t="n"/>
      <c r="P259" s="402" t="n"/>
      <c r="Q259" s="402" t="n"/>
      <c r="R259" s="403" t="n"/>
      <c r="S259" s="403" t="n"/>
      <c r="T259" s="403" t="n"/>
      <c r="U259" s="403" t="n"/>
      <c r="V259" s="403" t="n"/>
      <c r="W259" s="403" t="n"/>
      <c r="X259" s="403" t="n"/>
    </row>
    <row r="260" ht="15.5" customHeight="1" s="297">
      <c r="B260" s="385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5" t="n"/>
      <c r="C262" s="344" t="n"/>
      <c r="D262" s="366" t="inlineStr">
        <is>
          <t>Pembelian Barang</t>
        </is>
      </c>
      <c r="E262" s="426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7" t="inlineStr">
        <is>
          <t>Safety shoes</t>
        </is>
      </c>
      <c r="E263" s="427" t="inlineStr">
        <is>
          <t>-</t>
        </is>
      </c>
      <c r="F263" s="428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7" t="inlineStr">
        <is>
          <t>Expense#14</t>
        </is>
      </c>
      <c r="C264" s="418" t="inlineStr">
        <is>
          <t>:</t>
        </is>
      </c>
      <c r="D264" s="419" t="inlineStr">
        <is>
          <t>Non project _ MCU - Ilham BR</t>
        </is>
      </c>
      <c r="E264" s="420" t="n"/>
      <c r="F264" s="398" t="n"/>
      <c r="G264" s="396" t="n"/>
      <c r="H264" s="396" t="n"/>
      <c r="I264" s="402" t="n"/>
      <c r="J264" s="401" t="n"/>
      <c r="K264" s="402" t="n"/>
      <c r="L264" s="402" t="n"/>
      <c r="M264" s="400" t="n"/>
      <c r="N264" s="402" t="n"/>
      <c r="O264" s="402" t="n"/>
      <c r="P264" s="402" t="n"/>
      <c r="Q264" s="402" t="n"/>
      <c r="R264" s="403" t="n"/>
      <c r="S264" s="403" t="n"/>
      <c r="T264" s="403" t="n"/>
      <c r="U264" s="403" t="n"/>
      <c r="V264" s="403" t="n"/>
      <c r="W264" s="403" t="n"/>
      <c r="X264" s="403" t="n"/>
    </row>
    <row r="265" ht="15.5" customHeight="1" s="297">
      <c r="B265" s="385" t="n"/>
      <c r="C265" s="344" t="n"/>
      <c r="D265" s="345" t="inlineStr">
        <is>
          <t>Kesehatan</t>
        </is>
      </c>
      <c r="E265" s="408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4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5" t="inlineStr">
        <is>
          <t>Expense#15</t>
        </is>
      </c>
      <c r="C267" s="396" t="inlineStr">
        <is>
          <t>:</t>
        </is>
      </c>
      <c r="D267" s="405" t="inlineStr">
        <is>
          <t>ALFA Job - Jrk-193 _ OJT_ Ilham BR</t>
        </is>
      </c>
      <c r="E267" s="409" t="n"/>
      <c r="F267" s="413" t="n"/>
      <c r="G267" s="396" t="n"/>
      <c r="H267" s="396" t="n"/>
      <c r="I267" s="400" t="n"/>
      <c r="J267" s="401" t="n"/>
      <c r="K267" s="402" t="n"/>
      <c r="L267" s="402" t="n"/>
      <c r="M267" s="402" t="n"/>
      <c r="N267" s="400" t="n"/>
      <c r="O267" s="402" t="n"/>
      <c r="P267" s="402" t="n"/>
      <c r="Q267" s="402" t="n"/>
      <c r="R267" s="403" t="n"/>
      <c r="S267" s="403" t="n"/>
      <c r="T267" s="403" t="n"/>
      <c r="U267" s="403" t="n"/>
      <c r="V267" s="403" t="n"/>
      <c r="W267" s="403" t="n"/>
      <c r="X267" s="403" t="n"/>
    </row>
    <row r="268" ht="15.5" customHeight="1" s="297">
      <c r="B268" s="385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5" t="n"/>
      <c r="C271" s="344" t="n"/>
      <c r="D271" s="366" t="inlineStr">
        <is>
          <t>Biaya Operasi</t>
        </is>
      </c>
      <c r="E271" s="410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9" t="inlineStr">
        <is>
          <t>Tiket Pesawat Citilink (CGK-PLM 25 Mei 2024)</t>
        </is>
      </c>
      <c r="E272" s="429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5" t="inlineStr">
        <is>
          <t>Expense#16</t>
        </is>
      </c>
      <c r="C275" s="396" t="inlineStr">
        <is>
          <t>:</t>
        </is>
      </c>
      <c r="D275" s="405" t="inlineStr">
        <is>
          <t>ALFA job - JRK-193 OJT - Dwiyanto S</t>
        </is>
      </c>
      <c r="E275" s="409" t="n"/>
      <c r="F275" s="413" t="n"/>
      <c r="G275" s="396" t="n"/>
      <c r="H275" s="396" t="n"/>
      <c r="I275" s="401" t="n"/>
      <c r="J275" s="401" t="n"/>
      <c r="K275" s="402" t="n"/>
      <c r="L275" s="402" t="n"/>
      <c r="M275" s="400" t="n"/>
      <c r="N275" s="402" t="n"/>
      <c r="O275" s="402" t="n"/>
      <c r="P275" s="402" t="n"/>
      <c r="Q275" s="402" t="n"/>
      <c r="R275" s="403" t="n"/>
      <c r="S275" s="403" t="n"/>
      <c r="T275" s="403" t="n"/>
      <c r="U275" s="403" t="n"/>
      <c r="V275" s="403" t="n"/>
      <c r="W275" s="403" t="n"/>
      <c r="X275" s="403" t="n"/>
    </row>
    <row r="276" ht="15.5" customHeight="1" s="297">
      <c r="B276" s="385" t="n"/>
      <c r="C276" s="344" t="n"/>
      <c r="D276" s="366" t="inlineStr">
        <is>
          <t>Allowance</t>
        </is>
      </c>
      <c r="E276" s="410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5" t="n"/>
      <c r="C279" s="344" t="n"/>
      <c r="D279" s="423" t="inlineStr">
        <is>
          <t>Hand Tools</t>
        </is>
      </c>
      <c r="E279" s="424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83" t="n">
        <v>45443</v>
      </c>
      <c r="C280" s="354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5" t="n"/>
      <c r="C281" s="344" t="n"/>
      <c r="D281" s="366" t="inlineStr">
        <is>
          <t>Laundry</t>
        </is>
      </c>
      <c r="E281" s="410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5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5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5" t="inlineStr">
        <is>
          <t>Expense#17</t>
        </is>
      </c>
      <c r="C289" s="396" t="inlineStr">
        <is>
          <t>:</t>
        </is>
      </c>
      <c r="D289" s="397" t="inlineStr">
        <is>
          <t>ALFA JRK-193 - project SI_ TMA</t>
        </is>
      </c>
      <c r="E289" s="398" t="n"/>
      <c r="F289" s="399" t="n"/>
      <c r="G289" s="396" t="n"/>
      <c r="H289" s="396" t="n"/>
      <c r="I289" s="400" t="n"/>
      <c r="J289" s="401" t="n"/>
      <c r="K289" s="402" t="n"/>
      <c r="L289" s="402" t="n"/>
      <c r="M289" s="402" t="n"/>
      <c r="N289" s="402" t="n"/>
      <c r="O289" s="402" t="n"/>
      <c r="P289" s="402" t="n"/>
      <c r="Q289" s="402" t="n"/>
      <c r="R289" s="403" t="n"/>
      <c r="S289" s="403" t="n"/>
      <c r="T289" s="403" t="n"/>
      <c r="U289" s="403" t="n"/>
      <c r="V289" s="403" t="n"/>
      <c r="W289" s="403" t="n"/>
      <c r="X289" s="403" t="n"/>
    </row>
    <row r="290" ht="15.5" customHeight="1" s="297">
      <c r="B290" s="385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9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5" t="n"/>
      <c r="C293" s="344" t="n"/>
      <c r="D293" s="366" t="inlineStr">
        <is>
          <t>Allowance</t>
        </is>
      </c>
      <c r="E293" s="367" t="n"/>
      <c r="F293" s="404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9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5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9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9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5" t="n"/>
      <c r="D298" s="416" t="inlineStr">
        <is>
          <t>Transportation</t>
        </is>
      </c>
      <c r="E298" s="417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4" t="n">
        <v>45437</v>
      </c>
      <c r="C302" s="354" t="n">
        <v>9</v>
      </c>
      <c r="D302" s="427" t="inlineStr">
        <is>
          <t>Rent Car 6 Days</t>
        </is>
      </c>
      <c r="E302" s="427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4" t="n">
        <v>45437</v>
      </c>
      <c r="C303" s="354" t="n">
        <v>10</v>
      </c>
      <c r="D303" s="427" t="inlineStr">
        <is>
          <t>Gasoline</t>
        </is>
      </c>
      <c r="E303" s="427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83" t="n">
        <v>45442</v>
      </c>
      <c r="C305" s="354" t="n">
        <v>12</v>
      </c>
      <c r="D305" s="384" t="inlineStr">
        <is>
          <t>Airplane Ticket PLM-CGK (2 Person)</t>
        </is>
      </c>
      <c r="E305" s="384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5" t="inlineStr">
        <is>
          <t>Expense#18</t>
        </is>
      </c>
      <c r="C306" s="396" t="inlineStr">
        <is>
          <t>:</t>
        </is>
      </c>
      <c r="D306" s="405" t="inlineStr">
        <is>
          <t>Non Trip - BOSIET Training - DS</t>
        </is>
      </c>
      <c r="E306" s="406" t="n"/>
      <c r="F306" s="413" t="n"/>
      <c r="G306" s="396" t="n"/>
      <c r="H306" s="396" t="n"/>
      <c r="I306" s="430" t="n"/>
      <c r="J306" s="401" t="n"/>
      <c r="K306" s="401" t="n"/>
      <c r="L306" s="401" t="n"/>
      <c r="M306" s="401" t="n"/>
      <c r="N306" s="401" t="n"/>
      <c r="O306" s="401" t="n"/>
      <c r="P306" s="401" t="n"/>
      <c r="Q306" s="401" t="n"/>
      <c r="R306" s="403" t="n"/>
      <c r="S306" s="403" t="n"/>
      <c r="T306" s="403" t="n"/>
      <c r="U306" s="403" t="n"/>
      <c r="V306" s="403" t="n"/>
      <c r="W306" s="403" t="n"/>
      <c r="X306" s="403" t="n"/>
    </row>
    <row r="307" ht="15.5" customHeight="1" s="297">
      <c r="B307" s="385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1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5" t="n"/>
      <c r="C309" s="344" t="n"/>
      <c r="D309" s="366" t="inlineStr">
        <is>
          <t>Transportation</t>
        </is>
      </c>
      <c r="E309" s="410" t="n"/>
      <c r="F309" s="347" t="n"/>
      <c r="G309" s="344" t="n"/>
      <c r="H309" s="344" t="n"/>
      <c r="I309" s="431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5" t="inlineStr">
        <is>
          <t>Expense#19</t>
        </is>
      </c>
      <c r="C313" s="396" t="inlineStr">
        <is>
          <t>:</t>
        </is>
      </c>
      <c r="D313" s="405" t="inlineStr">
        <is>
          <t>ALFA JRK-163 (Pending job) - TMA</t>
        </is>
      </c>
      <c r="E313" s="409" t="n"/>
      <c r="F313" s="413" t="n"/>
      <c r="G313" s="396" t="n"/>
      <c r="H313" s="396" t="n"/>
      <c r="I313" s="400" t="n"/>
      <c r="J313" s="401" t="n"/>
      <c r="K313" s="402" t="n"/>
      <c r="L313" s="402" t="n"/>
      <c r="M313" s="401" t="n"/>
      <c r="N313" s="402" t="n"/>
      <c r="O313" s="402" t="n"/>
      <c r="P313" s="402" t="n"/>
      <c r="Q313" s="402" t="n"/>
      <c r="R313" s="403" t="n"/>
      <c r="S313" s="403" t="n"/>
      <c r="T313" s="403" t="n"/>
      <c r="U313" s="403" t="n"/>
      <c r="V313" s="403" t="n"/>
      <c r="W313" s="403" t="n"/>
      <c r="X313" s="403" t="n"/>
    </row>
    <row r="314" ht="15.5" customHeight="1" s="297">
      <c r="B314" s="385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5" t="n"/>
      <c r="C317" s="432" t="n"/>
      <c r="D317" s="366" t="inlineStr">
        <is>
          <t>Allowance</t>
        </is>
      </c>
      <c r="E317" s="410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5" t="n"/>
      <c r="C319" s="432" t="n"/>
      <c r="D319" s="366" t="inlineStr">
        <is>
          <t>Logistic</t>
        </is>
      </c>
      <c r="E319" s="410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5" t="n"/>
      <c r="C321" s="432" t="n"/>
      <c r="D321" s="366" t="inlineStr">
        <is>
          <t>Meal</t>
        </is>
      </c>
      <c r="E321" s="410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9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5" t="n"/>
      <c r="D323" s="416" t="inlineStr">
        <is>
          <t>Transportation</t>
        </is>
      </c>
      <c r="E323" s="417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83" t="n">
        <v>45428</v>
      </c>
      <c r="C329" s="354" t="n">
        <v>11</v>
      </c>
      <c r="D329" s="384" t="inlineStr">
        <is>
          <t>Taxi HLP-Pondok Cabe (inc Toll+Parking)</t>
        </is>
      </c>
      <c r="E329" s="384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5" t="inlineStr">
        <is>
          <t>Expense#20</t>
        </is>
      </c>
      <c r="C331" s="396" t="inlineStr">
        <is>
          <t>:</t>
        </is>
      </c>
      <c r="D331" s="405" t="inlineStr">
        <is>
          <t>Preparation TIS Petroleum - TMA</t>
        </is>
      </c>
      <c r="E331" s="409" t="n"/>
      <c r="F331" s="399" t="n"/>
      <c r="G331" s="396" t="n"/>
      <c r="H331" s="396" t="n"/>
      <c r="I331" s="430" t="n"/>
      <c r="J331" s="401" t="n"/>
      <c r="K331" s="402" t="n"/>
      <c r="L331" s="402" t="n"/>
      <c r="M331" s="402" t="n"/>
      <c r="N331" s="402" t="n"/>
      <c r="O331" s="402" t="n"/>
      <c r="P331" s="402" t="n"/>
      <c r="Q331" s="402" t="n"/>
      <c r="R331" s="403" t="n"/>
      <c r="S331" s="403" t="n"/>
      <c r="T331" s="403" t="n"/>
      <c r="U331" s="403" t="n"/>
      <c r="V331" s="403" t="n"/>
      <c r="W331" s="403" t="n"/>
      <c r="X331" s="403" t="n"/>
    </row>
    <row r="332" ht="15.5" customHeight="1" s="297">
      <c r="B332" s="385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5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5" t="inlineStr">
        <is>
          <t>Expense#21</t>
        </is>
      </c>
      <c r="C337" s="396" t="inlineStr">
        <is>
          <t>:</t>
        </is>
      </c>
      <c r="D337" s="405" t="inlineStr">
        <is>
          <t>Delivery Tools Sonoecho (KL) - TMA</t>
        </is>
      </c>
      <c r="E337" s="409" t="n"/>
      <c r="F337" s="399" t="n"/>
      <c r="G337" s="396" t="n"/>
      <c r="H337" s="396" t="n"/>
      <c r="I337" s="400" t="n"/>
      <c r="J337" s="401" t="n"/>
      <c r="K337" s="402" t="n"/>
      <c r="L337" s="402" t="n"/>
      <c r="M337" s="402" t="n"/>
      <c r="N337" s="402" t="n"/>
      <c r="O337" s="402" t="n"/>
      <c r="P337" s="402" t="n"/>
      <c r="Q337" s="402" t="n"/>
      <c r="R337" s="403" t="n"/>
      <c r="S337" s="403" t="n"/>
      <c r="T337" s="403" t="n"/>
      <c r="U337" s="403" t="n"/>
      <c r="V337" s="403" t="n"/>
      <c r="W337" s="403" t="n"/>
      <c r="X337" s="403" t="n"/>
    </row>
    <row r="338" ht="15.5" customHeight="1" s="297">
      <c r="B338" s="385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5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83" t="n">
        <v>45483</v>
      </c>
      <c r="C343" s="354" t="n">
        <v>4</v>
      </c>
      <c r="D343" s="384" t="inlineStr">
        <is>
          <t>OTG Type C</t>
        </is>
      </c>
      <c r="E343" s="384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83" t="n">
        <v>45482</v>
      </c>
      <c r="C349" s="354" t="n">
        <v>9</v>
      </c>
      <c r="D349" s="384" t="inlineStr">
        <is>
          <t>Taxi Hotel - KLIA</t>
        </is>
      </c>
      <c r="E349" s="384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5" t="inlineStr">
        <is>
          <t>Expense#22</t>
        </is>
      </c>
      <c r="C351" s="396" t="inlineStr">
        <is>
          <t>:</t>
        </is>
      </c>
      <c r="D351" s="397" t="inlineStr">
        <is>
          <t>Non project ( MCU ulang )_ IBR</t>
        </is>
      </c>
      <c r="E351" s="398" t="n"/>
      <c r="F351" s="413" t="n"/>
      <c r="G351" s="396" t="n"/>
      <c r="H351" s="396" t="n"/>
      <c r="I351" s="400" t="n"/>
      <c r="J351" s="402" t="n"/>
      <c r="K351" s="402" t="n"/>
      <c r="L351" s="402" t="n"/>
      <c r="M351" s="400" t="n"/>
      <c r="N351" s="402" t="n"/>
      <c r="O351" s="402" t="n"/>
      <c r="P351" s="402" t="n"/>
      <c r="Q351" s="402" t="n"/>
      <c r="R351" s="403" t="n"/>
      <c r="S351" s="403" t="n"/>
      <c r="T351" s="403" t="n"/>
      <c r="U351" s="403" t="n"/>
      <c r="V351" s="403" t="n"/>
      <c r="W351" s="403" t="n"/>
      <c r="X351" s="403" t="n"/>
    </row>
    <row r="352" ht="15.5" customHeight="1" s="297">
      <c r="B352" s="385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4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5" t="inlineStr">
        <is>
          <t>Expense#23</t>
        </is>
      </c>
      <c r="C357" s="396" t="inlineStr">
        <is>
          <t>:</t>
        </is>
      </c>
      <c r="D357" s="405" t="inlineStr">
        <is>
          <t>ALFA job - JRK-163 (Job)_undr Sijak_ DS</t>
        </is>
      </c>
      <c r="E357" s="409" t="n"/>
      <c r="F357" s="413" t="n"/>
      <c r="G357" s="396" t="n"/>
      <c r="H357" s="396" t="n"/>
      <c r="I357" s="400" t="n"/>
      <c r="J357" s="402" t="n"/>
      <c r="K357" s="402" t="n"/>
      <c r="L357" s="402" t="n"/>
      <c r="M357" s="400" t="n"/>
      <c r="N357" s="402" t="n"/>
      <c r="O357" s="402" t="n"/>
      <c r="P357" s="402" t="n"/>
      <c r="Q357" s="402" t="n"/>
      <c r="R357" s="403" t="n"/>
      <c r="S357" s="403" t="n"/>
      <c r="T357" s="403" t="n"/>
      <c r="U357" s="403" t="n"/>
      <c r="V357" s="403" t="n"/>
      <c r="W357" s="403" t="n"/>
      <c r="X357" s="403" t="n"/>
    </row>
    <row r="358" ht="15.5" customHeight="1" s="297">
      <c r="B358" s="385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5" t="n"/>
      <c r="C360" s="344" t="n"/>
      <c r="D360" s="366" t="inlineStr">
        <is>
          <t>Allowance</t>
        </is>
      </c>
      <c r="E360" s="433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5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5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1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5" t="n"/>
      <c r="C369" s="344" t="n"/>
      <c r="D369" s="423" t="inlineStr">
        <is>
          <t>Transportation</t>
        </is>
      </c>
      <c r="E369" s="424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7" t="inlineStr">
        <is>
          <t>Jakarta - Palembang</t>
        </is>
      </c>
      <c r="E370" s="427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7" t="inlineStr">
        <is>
          <t>Taxi + Tol to Airport Jakarta</t>
        </is>
      </c>
      <c r="E371" s="427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7" t="inlineStr">
        <is>
          <t>fuel + tol PLM-Prabu</t>
        </is>
      </c>
      <c r="E372" s="427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7" t="inlineStr">
        <is>
          <t>Jakarta - Palembang</t>
        </is>
      </c>
      <c r="E373" s="427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83" t="n">
        <v>45497</v>
      </c>
      <c r="C374" s="354" t="n">
        <v>12</v>
      </c>
      <c r="D374" s="384" t="inlineStr">
        <is>
          <t>fuel</t>
        </is>
      </c>
      <c r="E374" s="384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5" t="inlineStr">
        <is>
          <t>Expense#24</t>
        </is>
      </c>
      <c r="C379" s="396" t="inlineStr">
        <is>
          <t>:</t>
        </is>
      </c>
      <c r="D379" s="405" t="inlineStr">
        <is>
          <t>ALFA JOB - JRK 163 (training 2nd_ IBR)</t>
        </is>
      </c>
      <c r="E379" s="409" t="n"/>
      <c r="F379" s="413" t="n"/>
      <c r="G379" s="396" t="n"/>
      <c r="H379" s="396" t="n"/>
      <c r="I379" s="401" t="n"/>
      <c r="J379" s="402" t="n"/>
      <c r="K379" s="402" t="n"/>
      <c r="L379" s="402" t="n"/>
      <c r="M379" s="401" t="n"/>
      <c r="N379" s="402" t="n"/>
      <c r="O379" s="402" t="n"/>
      <c r="P379" s="402" t="n"/>
      <c r="Q379" s="402" t="n"/>
      <c r="R379" s="403" t="n"/>
      <c r="S379" s="403" t="n"/>
      <c r="T379" s="403" t="n"/>
      <c r="U379" s="403" t="n"/>
      <c r="V379" s="403" t="n"/>
      <c r="W379" s="403" t="n"/>
      <c r="X379" s="403" t="n"/>
    </row>
    <row r="380" ht="15.5" customHeight="1" s="297">
      <c r="B380" s="385" t="n"/>
      <c r="C380" s="344" t="n"/>
      <c r="D380" s="366" t="inlineStr">
        <is>
          <t>Allowance</t>
        </is>
      </c>
      <c r="E380" s="433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7" t="inlineStr">
        <is>
          <t>Uang makan (16 - 19 June 2024) pending job /Job Postponed</t>
        </is>
      </c>
      <c r="E381" s="427" t="inlineStr">
        <is>
          <t>-</t>
        </is>
      </c>
      <c r="F381" s="428" t="n">
        <v>600000</v>
      </c>
      <c r="G381" s="357" t="inlineStr">
        <is>
          <t>IDR</t>
        </is>
      </c>
      <c r="H381" s="358" t="n">
        <v>1</v>
      </c>
      <c r="I381" s="434" t="n">
        <v>600000</v>
      </c>
      <c r="J381" s="373" t="n"/>
      <c r="K381" s="373" t="n"/>
      <c r="L381" s="373" t="n"/>
      <c r="M381" s="435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5" t="inlineStr">
        <is>
          <t>Expense#25</t>
        </is>
      </c>
      <c r="C387" s="396" t="inlineStr">
        <is>
          <t>:</t>
        </is>
      </c>
      <c r="D387" s="405" t="inlineStr">
        <is>
          <t>TIS-Blora Field-PLT ALFA BHS by BARIKIN - IC</t>
        </is>
      </c>
      <c r="E387" s="409" t="n"/>
      <c r="F387" s="399" t="n"/>
      <c r="G387" s="396" t="n"/>
      <c r="H387" s="396" t="n"/>
      <c r="I387" s="401" t="n"/>
      <c r="J387" s="402" t="n"/>
      <c r="K387" s="402" t="n"/>
      <c r="L387" s="402" t="n"/>
      <c r="M387" s="402" t="n"/>
      <c r="N387" s="402" t="n"/>
      <c r="O387" s="402" t="n"/>
      <c r="P387" s="402" t="n"/>
      <c r="Q387" s="402" t="n"/>
      <c r="R387" s="403" t="n"/>
      <c r="S387" s="403" t="n"/>
      <c r="T387" s="403" t="n"/>
      <c r="U387" s="403" t="n"/>
      <c r="V387" s="403" t="n"/>
      <c r="W387" s="403" t="n"/>
      <c r="X387" s="403" t="n"/>
    </row>
    <row r="388" ht="15.5" customHeight="1" s="297">
      <c r="B388" s="385" t="n"/>
      <c r="C388" s="344" t="n"/>
      <c r="D388" s="366" t="inlineStr">
        <is>
          <t>Allowance</t>
        </is>
      </c>
      <c r="E388" s="410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5" t="n"/>
      <c r="C390" s="344" t="n"/>
      <c r="D390" s="366" t="inlineStr">
        <is>
          <t>Laundry</t>
        </is>
      </c>
      <c r="E390" s="410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5" t="n"/>
      <c r="D392" s="416" t="inlineStr">
        <is>
          <t>Logistic</t>
        </is>
      </c>
      <c r="E392" s="417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5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6" t="inlineStr">
        <is>
          <t>Expense#26</t>
        </is>
      </c>
      <c r="C396" s="396" t="inlineStr">
        <is>
          <t>:</t>
        </is>
      </c>
      <c r="D396" s="405" t="inlineStr">
        <is>
          <t>ALFA-MPLT-BHS_ RBG 3B PT. TIS under Barikin sakti _DS</t>
        </is>
      </c>
      <c r="E396" s="409" t="n"/>
      <c r="F396" s="399" t="n"/>
      <c r="G396" s="396" t="n"/>
      <c r="H396" s="396" t="n"/>
      <c r="I396" s="400" t="n"/>
      <c r="J396" s="402" t="n"/>
      <c r="K396" s="402" t="n"/>
      <c r="L396" s="402" t="n"/>
      <c r="M396" s="400" t="n"/>
      <c r="N396" s="402" t="n"/>
      <c r="O396" s="402" t="n"/>
      <c r="P396" s="402" t="n"/>
      <c r="Q396" s="402" t="n"/>
      <c r="R396" s="403" t="n"/>
      <c r="S396" s="403" t="n"/>
      <c r="T396" s="403" t="n"/>
      <c r="U396" s="403" t="n"/>
      <c r="V396" s="403" t="n"/>
      <c r="W396" s="403" t="n"/>
      <c r="X396" s="403" t="n"/>
    </row>
    <row r="397" ht="15.5" customHeight="1" s="297">
      <c r="B397" s="437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5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5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5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7" t="inlineStr">
        <is>
          <t>Taxi+Tol Serpong - Gambir</t>
        </is>
      </c>
      <c r="E407" s="427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83" t="n">
        <v>45507</v>
      </c>
      <c r="C408" s="354" t="n">
        <v>8</v>
      </c>
      <c r="D408" s="384" t="inlineStr">
        <is>
          <t>Gocar St. Tawang - PT. TIS</t>
        </is>
      </c>
      <c r="E408" s="384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1" t="inlineStr">
        <is>
          <t>Expense#27</t>
        </is>
      </c>
      <c r="C410" s="396" t="inlineStr">
        <is>
          <t>:</t>
        </is>
      </c>
      <c r="D410" s="397" t="inlineStr">
        <is>
          <t>Non tripo 1st -- MCU + Pembelian barang kelengkapan pump AC</t>
        </is>
      </c>
      <c r="E410" s="398" t="n"/>
      <c r="F410" s="413" t="n"/>
      <c r="G410" s="396" t="n"/>
      <c r="H410" s="396" t="n"/>
      <c r="I410" s="402" t="n"/>
      <c r="J410" s="402" t="n"/>
      <c r="K410" s="402" t="n"/>
      <c r="L410" s="402" t="n"/>
      <c r="M410" s="400" t="n"/>
      <c r="N410" s="402" t="n"/>
      <c r="O410" s="402" t="n"/>
      <c r="P410" s="401" t="n"/>
      <c r="Q410" s="402" t="n"/>
      <c r="R410" s="403" t="n"/>
      <c r="S410" s="403" t="n"/>
      <c r="T410" s="403" t="n"/>
      <c r="U410" s="403" t="n"/>
      <c r="V410" s="403" t="n"/>
      <c r="W410" s="403" t="n"/>
      <c r="X410" s="403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7" t="inlineStr">
        <is>
          <t>Expense#28</t>
        </is>
      </c>
      <c r="C438" s="418" t="inlineStr">
        <is>
          <t>:</t>
        </is>
      </c>
      <c r="D438" s="419" t="inlineStr">
        <is>
          <t>ALFA-MPLT-Sampler project TIS Energy Blora_well RBG-3B by Barekin Sakti- AC</t>
        </is>
      </c>
      <c r="E438" s="420" t="n"/>
      <c r="F438" s="398" t="n"/>
      <c r="G438" s="396" t="n"/>
      <c r="H438" s="396" t="n"/>
      <c r="I438" s="402" t="n"/>
      <c r="J438" s="402" t="n"/>
      <c r="K438" s="402" t="n"/>
      <c r="L438" s="402" t="n"/>
      <c r="M438" s="402" t="n"/>
      <c r="N438" s="402" t="n"/>
      <c r="O438" s="402" t="n"/>
      <c r="P438" s="402" t="n"/>
      <c r="Q438" s="402" t="n"/>
      <c r="R438" s="403" t="n"/>
      <c r="S438" s="403" t="n"/>
      <c r="T438" s="403" t="n"/>
      <c r="U438" s="403" t="n"/>
      <c r="V438" s="403" t="n"/>
      <c r="W438" s="403" t="n"/>
      <c r="X438" s="403" t="n"/>
    </row>
    <row r="439" ht="15.5" customHeight="1" s="297">
      <c r="B439" s="343" t="n"/>
      <c r="C439" s="344" t="n"/>
      <c r="D439" s="345" t="inlineStr">
        <is>
          <t>Accommodation</t>
        </is>
      </c>
      <c r="E439" s="438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5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5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5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5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5" t="inlineStr">
        <is>
          <t>Expense#29</t>
        </is>
      </c>
      <c r="C468" s="396" t="inlineStr">
        <is>
          <t>:</t>
        </is>
      </c>
      <c r="D468" s="405" t="inlineStr">
        <is>
          <t>ALFA-MPLT-BHS_ RBG 3B PT. TIS under Barikin sakti _TMA</t>
        </is>
      </c>
      <c r="E468" s="409" t="n"/>
      <c r="F468" s="413" t="n"/>
      <c r="G468" s="396" t="n"/>
      <c r="H468" s="396" t="n"/>
      <c r="I468" s="401" t="n"/>
      <c r="J468" s="402" t="n"/>
      <c r="K468" s="402" t="n"/>
      <c r="L468" s="402" t="n"/>
      <c r="M468" s="402" t="n"/>
      <c r="N468" s="402" t="n"/>
      <c r="O468" s="402" t="n"/>
      <c r="P468" s="402" t="n"/>
      <c r="Q468" s="402" t="n"/>
      <c r="R468" s="403" t="n"/>
      <c r="S468" s="403" t="n"/>
      <c r="T468" s="403" t="n"/>
      <c r="U468" s="403" t="n"/>
      <c r="V468" s="403" t="n"/>
      <c r="W468" s="403" t="n"/>
      <c r="X468" s="403" t="n"/>
    </row>
    <row r="469" ht="15.5" customHeight="1" s="297">
      <c r="B469" s="351" t="n"/>
      <c r="C469" s="415" t="n"/>
      <c r="D469" s="416" t="inlineStr">
        <is>
          <t>Accommodation</t>
        </is>
      </c>
      <c r="E469" s="417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5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5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5" t="n"/>
      <c r="C477" s="344" t="n"/>
      <c r="D477" s="366" t="inlineStr">
        <is>
          <t>Operation</t>
        </is>
      </c>
      <c r="E477" s="410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5" t="n"/>
      <c r="C479" s="432" t="n"/>
      <c r="D479" s="366" t="inlineStr">
        <is>
          <t>Transportation</t>
        </is>
      </c>
      <c r="E479" s="410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9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5" t="inlineStr">
        <is>
          <t>Expense#30</t>
        </is>
      </c>
      <c r="C483" s="439" t="inlineStr">
        <is>
          <t>:</t>
        </is>
      </c>
      <c r="D483" s="405" t="inlineStr">
        <is>
          <t>ALFA JOB - PMB 009 (cancel job) - IBR</t>
        </is>
      </c>
      <c r="E483" s="406" t="n"/>
      <c r="F483" s="399" t="n"/>
      <c r="G483" s="396" t="n"/>
      <c r="H483" s="396" t="n"/>
      <c r="I483" s="402" t="n"/>
      <c r="J483" s="402" t="n"/>
      <c r="K483" s="402" t="n"/>
      <c r="L483" s="402" t="n"/>
      <c r="M483" s="402" t="n"/>
      <c r="N483" s="402" t="n"/>
      <c r="O483" s="402" t="n"/>
      <c r="P483" s="402" t="n"/>
      <c r="Q483" s="402" t="n"/>
      <c r="R483" s="403" t="n"/>
      <c r="S483" s="403" t="n"/>
      <c r="T483" s="403" t="n"/>
      <c r="U483" s="403" t="n"/>
      <c r="V483" s="403" t="n"/>
      <c r="W483" s="403" t="n"/>
      <c r="X483" s="403" t="n"/>
    </row>
    <row r="484" ht="15.5" customHeight="1" s="297">
      <c r="B484" s="385" t="n"/>
      <c r="C484" s="344" t="n"/>
      <c r="D484" s="366" t="inlineStr">
        <is>
          <t>Allowance</t>
        </is>
      </c>
      <c r="E484" s="367" t="n"/>
      <c r="F484" s="369" t="n"/>
      <c r="G484" s="344" t="n"/>
      <c r="H484" s="407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83" t="n">
        <v>45548</v>
      </c>
      <c r="C485" s="354" t="n">
        <v>1</v>
      </c>
      <c r="D485" s="384" t="inlineStr">
        <is>
          <t>Uang makan (6 - 11 September 2024) 6 days</t>
        </is>
      </c>
      <c r="E485" s="384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5" t="inlineStr">
        <is>
          <t>Expense#31</t>
        </is>
      </c>
      <c r="C488" s="396" t="inlineStr">
        <is>
          <t>:</t>
        </is>
      </c>
      <c r="D488" s="405" t="inlineStr">
        <is>
          <t>ALFA PMB-009 (Cancel)_ TMA</t>
        </is>
      </c>
      <c r="E488" s="409" t="n"/>
      <c r="F488" s="413" t="n"/>
      <c r="G488" s="396" t="n"/>
      <c r="H488" s="396" t="n"/>
      <c r="I488" s="401" t="n"/>
      <c r="J488" s="402" t="n"/>
      <c r="K488" s="402" t="n"/>
      <c r="L488" s="402" t="n"/>
      <c r="M488" s="400" t="n"/>
      <c r="N488" s="402" t="n"/>
      <c r="O488" s="402" t="n"/>
      <c r="P488" s="402" t="n"/>
      <c r="Q488" s="402" t="n"/>
      <c r="R488" s="403" t="n"/>
      <c r="S488" s="403" t="n"/>
      <c r="T488" s="403" t="n"/>
      <c r="U488" s="403" t="n"/>
      <c r="V488" s="403" t="n"/>
      <c r="W488" s="403" t="n"/>
      <c r="X488" s="403" t="n"/>
    </row>
    <row r="489" ht="15.5" customHeight="1" s="297">
      <c r="B489" s="385" t="n"/>
      <c r="C489" s="344" t="n"/>
      <c r="D489" s="366" t="inlineStr">
        <is>
          <t>Accommodation</t>
        </is>
      </c>
      <c r="E489" s="426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83" t="n">
        <v>45541</v>
      </c>
      <c r="C491" s="354" t="n">
        <v>2</v>
      </c>
      <c r="D491" s="384" t="inlineStr">
        <is>
          <t>Laundry 6 days 1 Persons @ 50K IDR/day</t>
        </is>
      </c>
      <c r="E491" s="384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5" t="n"/>
      <c r="C492" s="344" t="n"/>
      <c r="D492" s="366" t="inlineStr">
        <is>
          <t>Allowance</t>
        </is>
      </c>
      <c r="E492" s="433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5" t="n"/>
      <c r="C495" s="344" t="n"/>
      <c r="D495" s="366" t="inlineStr">
        <is>
          <t>Transportation</t>
        </is>
      </c>
      <c r="E495" s="433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5" t="inlineStr">
        <is>
          <t>Expense#32</t>
        </is>
      </c>
      <c r="C503" s="439" t="inlineStr">
        <is>
          <t>:</t>
        </is>
      </c>
      <c r="D503" s="405" t="inlineStr">
        <is>
          <t>ALFA PMB-009 (Cancel)_ TMA</t>
        </is>
      </c>
      <c r="E503" s="440" t="n"/>
      <c r="F503" s="399" t="n"/>
      <c r="G503" s="396" t="n"/>
      <c r="H503" s="396" t="n"/>
      <c r="I503" s="402" t="n"/>
      <c r="J503" s="402" t="n"/>
      <c r="K503" s="402" t="n"/>
      <c r="L503" s="402" t="n"/>
      <c r="M503" s="402" t="n"/>
      <c r="N503" s="402" t="n"/>
      <c r="O503" s="402" t="n"/>
      <c r="P503" s="402" t="n"/>
      <c r="Q503" s="402" t="n"/>
      <c r="R503" s="403" t="n"/>
      <c r="S503" s="403" t="n"/>
      <c r="T503" s="403" t="n"/>
      <c r="U503" s="403" t="n"/>
      <c r="V503" s="403" t="n"/>
      <c r="W503" s="403" t="n"/>
      <c r="X503" s="403" t="n"/>
    </row>
    <row r="504" ht="15.5" customHeight="1" s="297">
      <c r="B504" s="385" t="n"/>
      <c r="C504" s="344" t="n"/>
      <c r="D504" s="366" t="inlineStr">
        <is>
          <t>Allowance</t>
        </is>
      </c>
      <c r="E504" s="367" t="n"/>
      <c r="F504" s="369" t="n"/>
      <c r="G504" s="344" t="n"/>
      <c r="H504" s="407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83" t="n">
        <v>45561</v>
      </c>
      <c r="C506" s="354" t="n">
        <v>2</v>
      </c>
      <c r="D506" s="384" t="inlineStr">
        <is>
          <t>Field Bonus SKW#26 (22 - 26 Sept 2024). 1US$=15.100</t>
        </is>
      </c>
      <c r="E506" s="384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5" t="n"/>
      <c r="C507" s="344" t="n"/>
      <c r="D507" s="345" t="inlineStr">
        <is>
          <t>Laundry</t>
        </is>
      </c>
      <c r="E507" s="408" t="n"/>
      <c r="F507" s="347" t="n"/>
      <c r="G507" s="346" t="n"/>
      <c r="H507" s="441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4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2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7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1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2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2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2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5" t="inlineStr">
        <is>
          <t>Expense#33</t>
        </is>
      </c>
      <c r="C513" s="396" t="inlineStr">
        <is>
          <t>:</t>
        </is>
      </c>
      <c r="D513" s="405" t="inlineStr">
        <is>
          <t>ALFA Job JRK-095 (Jirak) - IBR</t>
        </is>
      </c>
      <c r="E513" s="406" t="n"/>
      <c r="F513" s="413" t="n"/>
      <c r="G513" s="398" t="n"/>
      <c r="H513" s="443" t="n"/>
      <c r="I513" s="402" t="n"/>
      <c r="J513" s="402" t="n"/>
      <c r="K513" s="402" t="n"/>
      <c r="L513" s="402" t="n"/>
      <c r="M513" s="402" t="n"/>
      <c r="N513" s="402" t="n"/>
      <c r="O513" s="402" t="n"/>
      <c r="P513" s="402" t="n"/>
      <c r="Q513" s="402" t="n"/>
      <c r="R513" s="403" t="n"/>
      <c r="S513" s="403" t="n"/>
      <c r="T513" s="403" t="n"/>
      <c r="U513" s="403" t="n"/>
      <c r="V513" s="403" t="n"/>
      <c r="W513" s="403" t="n"/>
      <c r="X513" s="403" t="n"/>
    </row>
    <row r="514" ht="15.5" customHeight="1" s="297">
      <c r="B514" s="385" t="n"/>
      <c r="C514" s="344" t="n"/>
      <c r="D514" s="366" t="inlineStr">
        <is>
          <t>Accommodation</t>
        </is>
      </c>
      <c r="E514" s="367" t="n"/>
      <c r="F514" s="347" t="n"/>
      <c r="G514" s="346" t="n"/>
      <c r="H514" s="441" t="n"/>
      <c r="I514" s="431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2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7" t="inlineStr">
        <is>
          <t>Laundry 20 Sept - 27 Sept 2024 (7days) @ Rp. 50000</t>
        </is>
      </c>
      <c r="E516" s="427" t="inlineStr">
        <is>
          <t>-</t>
        </is>
      </c>
      <c r="F516" s="356" t="n">
        <v>350000</v>
      </c>
      <c r="G516" s="355" t="inlineStr">
        <is>
          <t>IDR</t>
        </is>
      </c>
      <c r="H516" s="442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5" t="n"/>
      <c r="D517" s="416" t="inlineStr">
        <is>
          <t>Allowance</t>
        </is>
      </c>
      <c r="E517" s="417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5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5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5" t="inlineStr">
        <is>
          <t>Expense#34</t>
        </is>
      </c>
      <c r="C541" s="396" t="inlineStr">
        <is>
          <t>:</t>
        </is>
      </c>
      <c r="D541" s="397" t="inlineStr">
        <is>
          <t>ALFA_JRK-095 well (PEPZ4-PEndopo field) SI jakarta _ AC</t>
        </is>
      </c>
      <c r="E541" s="398" t="n"/>
      <c r="F541" s="399" t="n"/>
      <c r="G541" s="396" t="n"/>
      <c r="H541" s="396" t="n"/>
      <c r="I541" s="401" t="n"/>
      <c r="J541" s="402" t="n"/>
      <c r="K541" s="402" t="n"/>
      <c r="L541" s="402" t="n"/>
      <c r="M541" s="401" t="n"/>
      <c r="N541" s="402" t="n"/>
      <c r="O541" s="402" t="n"/>
      <c r="P541" s="402" t="n"/>
      <c r="Q541" s="402" t="n"/>
      <c r="R541" s="403" t="n"/>
      <c r="S541" s="403" t="n"/>
      <c r="T541" s="403" t="n"/>
      <c r="U541" s="403" t="n"/>
      <c r="V541" s="403" t="n"/>
      <c r="W541" s="403" t="n"/>
      <c r="X541" s="403" t="n"/>
    </row>
    <row r="542" ht="15.5" customHeight="1" s="297">
      <c r="B542" s="385" t="n"/>
      <c r="C542" s="432" t="n"/>
      <c r="D542" s="366" t="inlineStr">
        <is>
          <t>Accommodation</t>
        </is>
      </c>
      <c r="E542" s="410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9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5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83" t="n">
        <v>45564</v>
      </c>
      <c r="C545" s="354" t="n">
        <v>2</v>
      </c>
      <c r="D545" s="384" t="inlineStr">
        <is>
          <t>Meals 8 days @ 150K IDR/day</t>
        </is>
      </c>
      <c r="E545" s="384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5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5" t="inlineStr">
        <is>
          <t>Expense#35</t>
        </is>
      </c>
      <c r="C553" s="396" t="inlineStr">
        <is>
          <t>:</t>
        </is>
      </c>
      <c r="D553" s="405" t="inlineStr">
        <is>
          <t>Trip to Cirebon Meeting MTD job X-ray field with PEP Zona 7 Region2_AC</t>
        </is>
      </c>
      <c r="E553" s="440" t="n"/>
      <c r="F553" s="413" t="n"/>
      <c r="G553" s="396" t="n"/>
      <c r="H553" s="396" t="n"/>
      <c r="I553" s="400" t="n"/>
      <c r="J553" s="402" t="n"/>
      <c r="K553" s="402" t="n"/>
      <c r="L553" s="402" t="n"/>
      <c r="M553" s="402" t="n"/>
      <c r="N553" s="400" t="n"/>
      <c r="O553" s="402" t="n"/>
      <c r="P553" s="402" t="n"/>
      <c r="Q553" s="402" t="n"/>
      <c r="R553" s="403" t="n"/>
      <c r="S553" s="403" t="n"/>
      <c r="T553" s="403" t="n"/>
      <c r="U553" s="403" t="n"/>
      <c r="V553" s="403" t="n"/>
      <c r="W553" s="403" t="n"/>
      <c r="X553" s="403" t="n"/>
    </row>
    <row r="554" ht="15.5" customHeight="1" s="297">
      <c r="B554" s="385" t="n"/>
      <c r="C554" s="344" t="n"/>
      <c r="D554" s="366" t="inlineStr">
        <is>
          <t>Accommodation</t>
        </is>
      </c>
      <c r="E554" s="410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5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5" t="n"/>
      <c r="D560" s="416" t="inlineStr">
        <is>
          <t>Transportation</t>
        </is>
      </c>
      <c r="E560" s="417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1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1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1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1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1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1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1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1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1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1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4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1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1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1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1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5" t="inlineStr">
        <is>
          <t>Expense#36</t>
        </is>
      </c>
      <c r="C576" s="396" t="inlineStr">
        <is>
          <t>:</t>
        </is>
      </c>
      <c r="D576" s="405" t="inlineStr">
        <is>
          <t>Non project (follow up MCU concul &amp; inspection tool)_AC_ 2 nd</t>
        </is>
      </c>
      <c r="E576" s="409" t="n"/>
      <c r="F576" s="413" t="n"/>
      <c r="G576" s="398" t="n"/>
      <c r="H576" s="398" t="n"/>
      <c r="I576" s="400" t="n"/>
      <c r="J576" s="402" t="n"/>
      <c r="K576" s="402" t="n"/>
      <c r="L576" s="402" t="n"/>
      <c r="M576" s="402" t="n"/>
      <c r="N576" s="402" t="n"/>
      <c r="O576" s="402" t="n"/>
      <c r="P576" s="402" t="n"/>
      <c r="Q576" s="402" t="n"/>
      <c r="R576" s="403" t="n"/>
      <c r="S576" s="403" t="n"/>
      <c r="T576" s="403" t="n"/>
      <c r="U576" s="403" t="n"/>
      <c r="V576" s="403" t="n"/>
      <c r="W576" s="403" t="n"/>
      <c r="X576" s="403" t="n"/>
    </row>
    <row r="577" ht="15.5" customHeight="1" s="297">
      <c r="B577" s="385" t="n"/>
      <c r="C577" s="344" t="n"/>
      <c r="D577" s="366" t="inlineStr">
        <is>
          <t>Medical</t>
        </is>
      </c>
      <c r="E577" s="410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1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1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1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1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1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83" t="n">
        <v>45536</v>
      </c>
      <c r="C583" s="354" t="n">
        <v>6</v>
      </c>
      <c r="D583" s="384" t="inlineStr">
        <is>
          <t>medicine</t>
        </is>
      </c>
      <c r="E583" s="384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1" t="inlineStr">
        <is>
          <t>Expense#37</t>
        </is>
      </c>
      <c r="C593" s="396" t="inlineStr">
        <is>
          <t>:</t>
        </is>
      </c>
      <c r="D593" s="397" t="inlineStr">
        <is>
          <t>MTD SKW-26_sukowati_TMA</t>
        </is>
      </c>
      <c r="E593" s="398" t="n"/>
      <c r="F593" s="413" t="n"/>
      <c r="G593" s="396" t="n"/>
      <c r="H593" s="396" t="n"/>
      <c r="I593" s="402" t="n"/>
      <c r="J593" s="402" t="n"/>
      <c r="K593" s="402" t="n"/>
      <c r="L593" s="402" t="n"/>
      <c r="M593" s="402" t="n"/>
      <c r="N593" s="402" t="n"/>
      <c r="O593" s="402" t="n"/>
      <c r="P593" s="401" t="n"/>
      <c r="Q593" s="402" t="n"/>
      <c r="R593" s="403" t="n"/>
      <c r="S593" s="403" t="n"/>
      <c r="T593" s="403" t="n"/>
      <c r="U593" s="403" t="n"/>
      <c r="V593" s="403" t="n"/>
      <c r="W593" s="403" t="n"/>
      <c r="X593" s="403" t="n"/>
    </row>
    <row r="594" ht="15.5" customHeight="1" s="297">
      <c r="B594" s="385" t="n"/>
      <c r="C594" s="344" t="n"/>
      <c r="D594" s="345" t="inlineStr">
        <is>
          <t>Accommodation</t>
        </is>
      </c>
      <c r="E594" s="408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5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5" t="n"/>
      <c r="D600" s="416" t="inlineStr">
        <is>
          <t>Transportation</t>
        </is>
      </c>
      <c r="E600" s="417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5" t="inlineStr">
        <is>
          <t>Expense#38</t>
        </is>
      </c>
      <c r="C607" s="396" t="inlineStr">
        <is>
          <t>:</t>
        </is>
      </c>
      <c r="D607" s="405" t="inlineStr">
        <is>
          <t>MTD_STM_HDP 01 s/d 03 well (BHI project ndr Gowell) Sumbawa</t>
        </is>
      </c>
      <c r="E607" s="409" t="n"/>
      <c r="F607" s="413" t="n"/>
      <c r="G607" s="396" t="n"/>
      <c r="H607" s="396" t="n"/>
      <c r="I607" s="400" t="n"/>
      <c r="J607" s="402" t="n"/>
      <c r="K607" s="402" t="n"/>
      <c r="L607" s="402" t="n"/>
      <c r="M607" s="400" t="n"/>
      <c r="N607" s="402" t="n"/>
      <c r="O607" s="402" t="n"/>
      <c r="P607" s="402" t="n"/>
      <c r="Q607" s="402" t="n"/>
      <c r="R607" s="403" t="n"/>
      <c r="S607" s="403" t="n"/>
      <c r="T607" s="403" t="n"/>
      <c r="U607" s="403" t="n"/>
      <c r="V607" s="403" t="n"/>
      <c r="W607" s="403" t="n"/>
      <c r="X607" s="403" t="n"/>
    </row>
    <row r="608" ht="15.5" customHeight="1" s="297">
      <c r="B608" s="385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5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9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5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83" t="n">
        <v>45585</v>
      </c>
      <c r="C614" s="354" t="n">
        <v>4</v>
      </c>
      <c r="D614" s="384" t="inlineStr">
        <is>
          <t>operation meal with BHI person</t>
        </is>
      </c>
      <c r="E614" s="384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5" t="n"/>
      <c r="C615" s="344" t="n"/>
      <c r="D615" s="345" t="inlineStr">
        <is>
          <t>Transportation</t>
        </is>
      </c>
      <c r="E615" s="408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5" t="inlineStr">
        <is>
          <t>Expense#39</t>
        </is>
      </c>
      <c r="C618" s="396" t="inlineStr">
        <is>
          <t>:</t>
        </is>
      </c>
      <c r="D618" s="405" t="inlineStr">
        <is>
          <t>Training Basic Sea Survival_IBR</t>
        </is>
      </c>
      <c r="E618" s="440" t="n"/>
      <c r="F618" s="413" t="n"/>
      <c r="G618" s="396" t="n"/>
      <c r="H618" s="396" t="n"/>
      <c r="I618" s="402" t="n"/>
      <c r="J618" s="402" t="n"/>
      <c r="K618" s="402" t="n"/>
      <c r="L618" s="402" t="n"/>
      <c r="M618" s="402" t="n"/>
      <c r="N618" s="402" t="n"/>
      <c r="O618" s="402" t="n"/>
      <c r="P618" s="402" t="n"/>
      <c r="Q618" s="402" t="n"/>
      <c r="R618" s="403" t="n"/>
      <c r="S618" s="403" t="n"/>
      <c r="T618" s="403" t="n"/>
      <c r="U618" s="403" t="n"/>
      <c r="V618" s="403" t="n"/>
      <c r="W618" s="403" t="n"/>
      <c r="X618" s="403" t="n"/>
    </row>
    <row r="619" ht="15.5" customHeight="1" s="297">
      <c r="B619" s="385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5" t="n"/>
      <c r="C621" s="344" t="n"/>
      <c r="D621" s="366" t="inlineStr">
        <is>
          <t>Transportation</t>
        </is>
      </c>
      <c r="E621" s="433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7" t="inlineStr">
        <is>
          <t>Expense#40</t>
        </is>
      </c>
      <c r="C627" s="418" t="inlineStr">
        <is>
          <t>:</t>
        </is>
      </c>
      <c r="D627" s="419" t="inlineStr">
        <is>
          <t>Non trip 1st - project _ Pety cash 1st - YY</t>
        </is>
      </c>
      <c r="E627" s="420" t="n"/>
      <c r="F627" s="398" t="n"/>
      <c r="G627" s="396" t="n"/>
      <c r="H627" s="396" t="n"/>
      <c r="I627" s="402" t="n"/>
      <c r="J627" s="402" t="n"/>
      <c r="K627" s="402" t="n"/>
      <c r="L627" s="402" t="n"/>
      <c r="M627" s="402" t="n"/>
      <c r="N627" s="402" t="n"/>
      <c r="O627" s="402" t="n"/>
      <c r="P627" s="402" t="n"/>
      <c r="Q627" s="402" t="n"/>
      <c r="R627" s="403" t="n"/>
      <c r="S627" s="403" t="n"/>
      <c r="T627" s="403" t="n"/>
      <c r="U627" s="403" t="n"/>
      <c r="V627" s="403" t="n"/>
      <c r="W627" s="403" t="n"/>
      <c r="X627" s="403" t="n"/>
    </row>
    <row r="628" ht="15.5" customHeight="1" s="297">
      <c r="B628" s="385" t="n"/>
      <c r="C628" s="344" t="n"/>
      <c r="D628" s="366" t="inlineStr">
        <is>
          <t>Shipping</t>
        </is>
      </c>
      <c r="E628" s="410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83" t="n">
        <v>45617</v>
      </c>
      <c r="C636" s="354" t="n">
        <v>8</v>
      </c>
      <c r="D636" s="384" t="inlineStr">
        <is>
          <t>Materai 10 pcs</t>
        </is>
      </c>
      <c r="E636" s="384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6" t="n"/>
      <c r="H646" s="396" t="n"/>
      <c r="I646" s="400" t="n"/>
      <c r="J646" s="402" t="n"/>
      <c r="K646" s="402" t="n"/>
      <c r="L646" s="402" t="n"/>
      <c r="M646" s="400" t="n"/>
      <c r="N646" s="402" t="n"/>
      <c r="O646" s="402" t="n"/>
      <c r="P646" s="402" t="n"/>
      <c r="Q646" s="402" t="n"/>
      <c r="R646" s="403" t="n"/>
      <c r="S646" s="403" t="n"/>
      <c r="T646" s="403" t="n"/>
      <c r="U646" s="403" t="n"/>
      <c r="V646" s="403" t="n"/>
      <c r="W646" s="403" t="n"/>
      <c r="X646" s="403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6" t="n"/>
      <c r="H649" s="396" t="n"/>
      <c r="I649" s="402" t="n"/>
      <c r="J649" s="402" t="n"/>
      <c r="K649" s="402" t="n"/>
      <c r="L649" s="402" t="n"/>
      <c r="M649" s="400" t="n"/>
      <c r="N649" s="402" t="n"/>
      <c r="O649" s="402" t="n"/>
      <c r="P649" s="402" t="n"/>
      <c r="Q649" s="402" t="n"/>
      <c r="R649" s="403" t="n"/>
      <c r="S649" s="403" t="n"/>
      <c r="T649" s="403" t="n"/>
      <c r="U649" s="403" t="n"/>
      <c r="V649" s="403" t="n"/>
      <c r="W649" s="403" t="n"/>
      <c r="X649" s="403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5" t="inlineStr">
        <is>
          <t>Expense#43</t>
        </is>
      </c>
      <c r="C652" s="454" t="inlineStr">
        <is>
          <t>:</t>
        </is>
      </c>
      <c r="D652" s="405" t="inlineStr">
        <is>
          <t>Non trip 3rd (follow up MCU concul &amp; visit KPP and Graha Elnusa)_AC</t>
        </is>
      </c>
      <c r="E652" s="462" t="n"/>
      <c r="F652" s="457" t="n"/>
      <c r="G652" s="396" t="n"/>
      <c r="H652" s="396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3" t="n"/>
      <c r="S652" s="403" t="n"/>
      <c r="T652" s="403" t="n"/>
      <c r="U652" s="403" t="n"/>
      <c r="V652" s="403" t="n"/>
      <c r="W652" s="403" t="n"/>
      <c r="X652" s="403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5" t="n"/>
      <c r="K654" s="435" t="n"/>
      <c r="L654" s="435" t="n"/>
      <c r="M654" s="435" t="n"/>
      <c r="N654" s="435" t="n"/>
      <c r="O654" s="435" t="n"/>
      <c r="P654" s="434" t="n">
        <v>604000</v>
      </c>
      <c r="Q654" s="435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5" t="n"/>
      <c r="K655" s="435" t="n"/>
      <c r="L655" s="435" t="n"/>
      <c r="M655" s="435" t="n"/>
      <c r="N655" s="435" t="n"/>
      <c r="O655" s="435" t="n"/>
      <c r="P655" s="434" t="n">
        <v>1582141</v>
      </c>
      <c r="Q655" s="435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5" t="n"/>
      <c r="K656" s="435" t="n"/>
      <c r="L656" s="435" t="n"/>
      <c r="M656" s="435" t="n"/>
      <c r="N656" s="435" t="n"/>
      <c r="O656" s="435" t="n"/>
      <c r="P656" s="434" t="n">
        <v>970767</v>
      </c>
      <c r="Q656" s="435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5" t="n"/>
      <c r="K657" s="435" t="n"/>
      <c r="L657" s="435" t="n"/>
      <c r="M657" s="435" t="n"/>
      <c r="N657" s="435" t="n"/>
      <c r="O657" s="435" t="n"/>
      <c r="P657" s="434" t="n">
        <v>157000</v>
      </c>
      <c r="Q657" s="435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5" t="n"/>
      <c r="K658" s="435" t="n"/>
      <c r="L658" s="435" t="n"/>
      <c r="M658" s="435" t="n"/>
      <c r="N658" s="435" t="n"/>
      <c r="O658" s="435" t="n"/>
      <c r="P658" s="434" t="n">
        <v>152000</v>
      </c>
      <c r="Q658" s="435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5" t="n"/>
      <c r="K659" s="435" t="n"/>
      <c r="L659" s="435" t="n"/>
      <c r="M659" s="435" t="n"/>
      <c r="N659" s="435" t="n"/>
      <c r="O659" s="435" t="n"/>
      <c r="P659" s="434" t="n">
        <v>799000</v>
      </c>
      <c r="Q659" s="435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5" t="n"/>
      <c r="K660" s="435" t="n"/>
      <c r="L660" s="435" t="n"/>
      <c r="M660" s="435" t="n"/>
      <c r="N660" s="435" t="n"/>
      <c r="O660" s="435" t="n"/>
      <c r="P660" s="434" t="n">
        <v>190309.5</v>
      </c>
      <c r="Q660" s="435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9" t="inlineStr">
        <is>
          <t>Medicine after konsul jantung 3rd</t>
        </is>
      </c>
      <c r="E661" s="429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5" t="n"/>
      <c r="J661" s="435" t="n"/>
      <c r="K661" s="435" t="n"/>
      <c r="L661" s="435" t="n"/>
      <c r="M661" s="435" t="n"/>
      <c r="N661" s="435" t="n"/>
      <c r="O661" s="435" t="n"/>
      <c r="P661" s="434" t="n">
        <v>417600</v>
      </c>
      <c r="Q661" s="435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9" t="inlineStr">
        <is>
          <t>Fuel diesel visit consul to KPP pajak</t>
        </is>
      </c>
      <c r="E663" s="429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4" t="n">
        <v>276216</v>
      </c>
      <c r="J663" s="435" t="n"/>
      <c r="K663" s="435" t="n"/>
      <c r="L663" s="435" t="n"/>
      <c r="M663" s="435" t="n"/>
      <c r="N663" s="435" t="n"/>
      <c r="O663" s="435" t="n"/>
      <c r="P663" s="435" t="n"/>
      <c r="Q663" s="435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4" t="n">
        <v>45607</v>
      </c>
      <c r="C664" s="354" t="n">
        <v>10</v>
      </c>
      <c r="D664" s="429" t="inlineStr">
        <is>
          <t>toll gate</t>
        </is>
      </c>
      <c r="E664" s="429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4" t="n">
        <v>79500</v>
      </c>
      <c r="J664" s="435" t="n"/>
      <c r="K664" s="435" t="n"/>
      <c r="L664" s="435" t="n"/>
      <c r="M664" s="435" t="n"/>
      <c r="N664" s="435" t="n"/>
      <c r="O664" s="435" t="n"/>
      <c r="P664" s="435" t="n"/>
      <c r="Q664" s="435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83" t="n">
        <v>45622</v>
      </c>
      <c r="C665" s="354" t="n">
        <v>11</v>
      </c>
      <c r="D665" s="384" t="inlineStr">
        <is>
          <t>Parkir Graha Elnusa (HSE tool hall meeting) at Elnusa (graha Elnusa)</t>
        </is>
      </c>
      <c r="E665" s="384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4" t="n">
        <v>29000</v>
      </c>
      <c r="J665" s="435" t="n"/>
      <c r="K665" s="435" t="n"/>
      <c r="L665" s="435" t="n"/>
      <c r="M665" s="435" t="n"/>
      <c r="N665" s="435" t="n"/>
      <c r="O665" s="435" t="n"/>
      <c r="P665" s="435" t="n"/>
      <c r="Q665" s="435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67" t="n">
        <v>45622</v>
      </c>
      <c r="C666" s="468" t="n">
        <v>12</v>
      </c>
      <c r="D666" s="429" t="inlineStr">
        <is>
          <t>toll gate</t>
        </is>
      </c>
      <c r="E666" s="429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4" t="n">
        <v>17000</v>
      </c>
      <c r="J666" s="435" t="n"/>
      <c r="K666" s="435" t="n"/>
      <c r="L666" s="435" t="n"/>
      <c r="M666" s="435" t="n"/>
      <c r="N666" s="435" t="n"/>
      <c r="O666" s="435" t="n"/>
      <c r="P666" s="435" t="n"/>
      <c r="Q666" s="435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4" t="n">
        <v>155680</v>
      </c>
      <c r="J667" s="435" t="n"/>
      <c r="K667" s="435" t="n"/>
      <c r="L667" s="435" t="n"/>
      <c r="M667" s="435" t="n"/>
      <c r="N667" s="435" t="n"/>
      <c r="O667" s="435" t="n"/>
      <c r="P667" s="435" t="n"/>
      <c r="Q667" s="435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4" t="n">
        <v>17000</v>
      </c>
      <c r="J668" s="435" t="n"/>
      <c r="K668" s="435" t="n"/>
      <c r="L668" s="435" t="n"/>
      <c r="M668" s="435" t="n"/>
      <c r="N668" s="435" t="n"/>
      <c r="O668" s="435" t="n"/>
      <c r="P668" s="435" t="n"/>
      <c r="Q668" s="435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1" t="inlineStr">
        <is>
          <t>Expense#44</t>
        </is>
      </c>
      <c r="C669" s="396" t="inlineStr">
        <is>
          <t>:</t>
        </is>
      </c>
      <c r="D669" s="397" t="inlineStr">
        <is>
          <t>Meeting presentasi With Elnusa - Bandung &amp;Pembelian Sparepart dari Pei-Genesis.</t>
        </is>
      </c>
      <c r="E669" s="398" t="n"/>
      <c r="F669" s="413" t="n"/>
      <c r="G669" s="396" t="n"/>
      <c r="H669" s="396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3" t="n"/>
      <c r="S669" s="403" t="n"/>
      <c r="T669" s="403" t="n"/>
      <c r="U669" s="403" t="n"/>
      <c r="V669" s="403" t="n"/>
      <c r="W669" s="403" t="n"/>
      <c r="X669" s="403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5" t="n"/>
      <c r="J671" s="435" t="n"/>
      <c r="K671" s="435" t="n"/>
      <c r="L671" s="435" t="n"/>
      <c r="M671" s="434" t="n">
        <v>4913283</v>
      </c>
      <c r="N671" s="435" t="n"/>
      <c r="O671" s="435" t="n"/>
      <c r="P671" s="435" t="n"/>
      <c r="Q671" s="435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4" t="n">
        <v>195585</v>
      </c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4" t="n">
        <v>299900</v>
      </c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5" t="n"/>
      <c r="C675" s="344" t="n"/>
      <c r="D675" s="345" t="inlineStr">
        <is>
          <t>Transportation</t>
        </is>
      </c>
      <c r="E675" s="408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5" t="n"/>
      <c r="K678" s="435" t="n"/>
      <c r="L678" s="435" t="n"/>
      <c r="M678" s="435" t="n"/>
      <c r="N678" s="435" t="n"/>
      <c r="O678" s="435" t="n"/>
      <c r="P678" s="435" t="n"/>
      <c r="Q678" s="435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5" t="inlineStr">
        <is>
          <t>Expense#45</t>
        </is>
      </c>
      <c r="C679" s="396" t="inlineStr">
        <is>
          <t>:</t>
        </is>
      </c>
      <c r="D679" s="405" t="inlineStr">
        <is>
          <t>General Operation_Year 2024 - AM</t>
        </is>
      </c>
      <c r="E679" s="409" t="n"/>
      <c r="F679" s="413" t="n"/>
      <c r="G679" s="396" t="n"/>
      <c r="H679" s="396" t="n"/>
      <c r="I679" s="400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3" t="n"/>
      <c r="S679" s="403" t="n"/>
      <c r="T679" s="403" t="n"/>
      <c r="U679" s="403" t="n"/>
      <c r="V679" s="403" t="n"/>
      <c r="W679" s="403" t="n"/>
      <c r="X679" s="403" t="n"/>
    </row>
    <row r="680" ht="15.5" customHeight="1" s="297">
      <c r="B680" s="385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5" t="n"/>
      <c r="K681" s="435" t="n"/>
      <c r="L681" s="435" t="n"/>
      <c r="M681" s="434" t="n">
        <v>306982</v>
      </c>
      <c r="N681" s="435" t="n"/>
      <c r="O681" s="435" t="n"/>
      <c r="P681" s="435" t="n"/>
      <c r="Q681" s="435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83" t="n">
        <v>45338</v>
      </c>
      <c r="C682" s="354" t="n">
        <v>2</v>
      </c>
      <c r="D682" s="384" t="inlineStr">
        <is>
          <t>Google Workspace PT. EWI</t>
        </is>
      </c>
      <c r="E682" s="384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5" t="n"/>
      <c r="J682" s="435" t="n"/>
      <c r="K682" s="435" t="n"/>
      <c r="L682" s="435" t="n"/>
      <c r="M682" s="434" t="n">
        <v>306982</v>
      </c>
      <c r="N682" s="435" t="n"/>
      <c r="O682" s="435" t="n"/>
      <c r="P682" s="435" t="n"/>
      <c r="Q682" s="435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5" t="n"/>
      <c r="J683" s="435" t="n"/>
      <c r="K683" s="435" t="n"/>
      <c r="L683" s="435" t="n"/>
      <c r="M683" s="434" t="n">
        <v>306982</v>
      </c>
      <c r="N683" s="435" t="n"/>
      <c r="O683" s="435" t="n"/>
      <c r="P683" s="435" t="n"/>
      <c r="Q683" s="435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5" t="n"/>
      <c r="K684" s="435" t="n"/>
      <c r="L684" s="435" t="n"/>
      <c r="M684" s="434" t="n">
        <v>306982</v>
      </c>
      <c r="N684" s="435" t="n"/>
      <c r="O684" s="435" t="n"/>
      <c r="P684" s="435" t="n"/>
      <c r="Q684" s="435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5" t="n"/>
      <c r="K685" s="435" t="n"/>
      <c r="L685" s="435" t="n"/>
      <c r="M685" s="434" t="n">
        <v>306982</v>
      </c>
      <c r="N685" s="435" t="n"/>
      <c r="O685" s="435" t="n"/>
      <c r="P685" s="435" t="n"/>
      <c r="Q685" s="435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5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4" t="n">
        <v>100000</v>
      </c>
      <c r="J687" s="435" t="n"/>
      <c r="K687" s="435" t="n"/>
      <c r="L687" s="435" t="n"/>
      <c r="M687" s="435" t="n"/>
      <c r="N687" s="435" t="n"/>
      <c r="O687" s="435" t="n"/>
      <c r="P687" s="435" t="n"/>
      <c r="Q687" s="435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4" t="n">
        <v>400000</v>
      </c>
      <c r="J688" s="435" t="n"/>
      <c r="K688" s="435" t="n"/>
      <c r="L688" s="435" t="n"/>
      <c r="M688" s="435" t="n"/>
      <c r="N688" s="435" t="n"/>
      <c r="O688" s="435" t="n"/>
      <c r="P688" s="435" t="n"/>
      <c r="Q688" s="435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4" t="n">
        <v>784000</v>
      </c>
      <c r="J689" s="435" t="n"/>
      <c r="K689" s="435" t="n"/>
      <c r="L689" s="435" t="n"/>
      <c r="M689" s="435" t="n"/>
      <c r="N689" s="435" t="n"/>
      <c r="O689" s="435" t="n"/>
      <c r="P689" s="435" t="n"/>
      <c r="Q689" s="435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4" t="n">
        <v>100000</v>
      </c>
      <c r="J690" s="435" t="n"/>
      <c r="K690" s="435" t="n"/>
      <c r="L690" s="435" t="n"/>
      <c r="M690" s="435" t="n"/>
      <c r="N690" s="435" t="n"/>
      <c r="O690" s="435" t="n"/>
      <c r="P690" s="435" t="n"/>
      <c r="Q690" s="435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4" t="n">
        <v>300000</v>
      </c>
      <c r="J691" s="435" t="n"/>
      <c r="K691" s="435" t="n"/>
      <c r="L691" s="435" t="n"/>
      <c r="M691" s="435" t="n"/>
      <c r="N691" s="435" t="n"/>
      <c r="O691" s="435" t="n"/>
      <c r="P691" s="435" t="n"/>
      <c r="Q691" s="435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5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83" t="n">
        <v>45335</v>
      </c>
      <c r="C693" s="354" t="n">
        <v>11</v>
      </c>
      <c r="D693" s="384" t="inlineStr">
        <is>
          <t>Shipment Benchmark DTR to Malaysia</t>
        </is>
      </c>
      <c r="E693" s="384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4" t="n">
        <v>13201183.322</v>
      </c>
      <c r="J693" s="435" t="n"/>
      <c r="K693" s="435" t="n"/>
      <c r="L693" s="435" t="n"/>
      <c r="M693" s="435" t="n"/>
      <c r="N693" s="435" t="n"/>
      <c r="O693" s="435" t="n"/>
      <c r="P693" s="435" t="n"/>
      <c r="Q693" s="435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353" t="inlineStr">
        <is>
          <t>Taxi Home - CGK Airport</t>
        </is>
      </c>
      <c r="E694" s="353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4" t="n">
        <v>200000</v>
      </c>
      <c r="J694" s="435" t="n"/>
      <c r="K694" s="435" t="n"/>
      <c r="L694" s="435" t="n"/>
      <c r="M694" s="435" t="n"/>
      <c r="N694" s="435" t="n"/>
      <c r="O694" s="435" t="n"/>
      <c r="P694" s="435" t="n"/>
      <c r="Q694" s="435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5" t="n"/>
      <c r="K695" s="435" t="n"/>
      <c r="L695" s="435" t="n"/>
      <c r="M695" s="435" t="n"/>
      <c r="N695" s="435" t="n"/>
      <c r="O695" s="435" t="n"/>
      <c r="P695" s="435" t="n"/>
      <c r="Q695" s="435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5" t="n"/>
      <c r="K696" s="435" t="n"/>
      <c r="L696" s="435" t="n"/>
      <c r="M696" s="435" t="n"/>
      <c r="N696" s="435" t="n"/>
      <c r="O696" s="435" t="n"/>
      <c r="P696" s="435" t="n"/>
      <c r="Q696" s="435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5" t="n"/>
      <c r="K697" s="435" t="n"/>
      <c r="L697" s="435" t="n"/>
      <c r="M697" s="435" t="n"/>
      <c r="N697" s="435" t="n"/>
      <c r="O697" s="435" t="n"/>
      <c r="P697" s="435" t="n"/>
      <c r="Q697" s="435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5" t="n"/>
      <c r="K698" s="435" t="n"/>
      <c r="L698" s="435" t="n"/>
      <c r="M698" s="435" t="n"/>
      <c r="N698" s="435" t="n"/>
      <c r="O698" s="435" t="n"/>
      <c r="P698" s="435" t="n"/>
      <c r="Q698" s="435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5" t="n"/>
      <c r="K699" s="435" t="n"/>
      <c r="L699" s="435" t="n"/>
      <c r="M699" s="435" t="n"/>
      <c r="N699" s="435" t="n"/>
      <c r="O699" s="435" t="n"/>
      <c r="P699" s="435" t="n"/>
      <c r="Q699" s="435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5" t="n"/>
      <c r="K700" s="435" t="n"/>
      <c r="L700" s="435" t="n"/>
      <c r="M700" s="435" t="n"/>
      <c r="N700" s="435" t="n"/>
      <c r="O700" s="435" t="n"/>
      <c r="P700" s="435" t="n"/>
      <c r="Q700" s="435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5" t="n"/>
      <c r="K701" s="435" t="n"/>
      <c r="L701" s="435" t="n"/>
      <c r="M701" s="435" t="n"/>
      <c r="N701" s="435" t="n"/>
      <c r="O701" s="435" t="n"/>
      <c r="P701" s="435" t="n"/>
      <c r="Q701" s="435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4" t="n">
        <v>3000000</v>
      </c>
      <c r="J702" s="435" t="n"/>
      <c r="K702" s="435" t="n"/>
      <c r="L702" s="435" t="n"/>
      <c r="M702" s="435" t="n"/>
      <c r="N702" s="435" t="n"/>
      <c r="O702" s="435" t="n"/>
      <c r="P702" s="435" t="n"/>
      <c r="Q702" s="435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353" t="inlineStr">
        <is>
          <t>Meals 2 days @ 150,000/day</t>
        </is>
      </c>
      <c r="E703" s="353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4" t="n">
        <v>300000</v>
      </c>
      <c r="J703" s="435" t="n"/>
      <c r="K703" s="435" t="n"/>
      <c r="L703" s="435" t="n"/>
      <c r="M703" s="435" t="n"/>
      <c r="N703" s="435" t="n"/>
      <c r="O703" s="435" t="n"/>
      <c r="P703" s="435" t="n"/>
      <c r="Q703" s="435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5" t="n"/>
      <c r="K704" s="435" t="n"/>
      <c r="L704" s="435" t="n"/>
      <c r="M704" s="435" t="n"/>
      <c r="N704" s="435" t="n"/>
      <c r="O704" s="435" t="n"/>
      <c r="P704" s="435" t="n"/>
      <c r="Q704" s="435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3" t="n"/>
      <c r="S705" s="403" t="n"/>
      <c r="T705" s="403" t="n"/>
      <c r="U705" s="403" t="n"/>
      <c r="V705" s="403" t="n"/>
      <c r="W705" s="403" t="n"/>
      <c r="X705" s="403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353" t="inlineStr">
        <is>
          <t>Traning Basic Sea Survival (BSS)</t>
        </is>
      </c>
      <c r="E707" s="353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4" t="n">
        <v>2700000</v>
      </c>
      <c r="J707" s="435" t="n"/>
      <c r="K707" s="435" t="n"/>
      <c r="L707" s="435" t="n"/>
      <c r="M707" s="435" t="n"/>
      <c r="N707" s="435" t="n"/>
      <c r="O707" s="435" t="n"/>
      <c r="P707" s="435" t="n"/>
      <c r="Q707" s="435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400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3" t="n"/>
      <c r="S708" s="403" t="n"/>
      <c r="T708" s="403" t="n"/>
      <c r="U708" s="403" t="n"/>
      <c r="V708" s="403" t="n"/>
      <c r="W708" s="403" t="n"/>
      <c r="X708" s="403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5" t="n"/>
      <c r="K710" s="435" t="n"/>
      <c r="L710" s="435" t="n"/>
      <c r="M710" s="435" t="n"/>
      <c r="N710" s="435" t="n"/>
      <c r="O710" s="435" t="n"/>
      <c r="P710" s="435" t="n"/>
      <c r="Q710" s="435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4" t="n">
        <v>200000</v>
      </c>
      <c r="J712" s="435" t="n"/>
      <c r="K712" s="435" t="n"/>
      <c r="L712" s="435" t="n"/>
      <c r="M712" s="435" t="n"/>
      <c r="N712" s="435" t="n"/>
      <c r="O712" s="435" t="n"/>
      <c r="P712" s="435" t="n"/>
      <c r="Q712" s="435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5" t="n"/>
      <c r="K713" s="435" t="n"/>
      <c r="L713" s="435" t="n"/>
      <c r="M713" s="435" t="n"/>
      <c r="N713" s="435" t="n"/>
      <c r="O713" s="435" t="n"/>
      <c r="P713" s="435" t="n"/>
      <c r="Q713" s="435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4" t="n">
        <v>12500</v>
      </c>
      <c r="J714" s="435" t="n"/>
      <c r="K714" s="435" t="n"/>
      <c r="L714" s="435" t="n"/>
      <c r="M714" s="435" t="n"/>
      <c r="N714" s="435" t="n"/>
      <c r="O714" s="435" t="n"/>
      <c r="P714" s="435" t="n"/>
      <c r="Q714" s="435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353" t="inlineStr">
        <is>
          <t>Accomodation Hotel (Pia Hotel 29 - 30 des, 1 Night)</t>
        </is>
      </c>
      <c r="E715" s="353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4" t="n">
        <v>224000</v>
      </c>
      <c r="J715" s="435" t="n"/>
      <c r="K715" s="435" t="n"/>
      <c r="L715" s="435" t="n"/>
      <c r="M715" s="435" t="n"/>
      <c r="N715" s="435" t="n"/>
      <c r="O715" s="435" t="n"/>
      <c r="P715" s="435" t="n"/>
      <c r="Q715" s="435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4" t="n">
        <v>140000</v>
      </c>
      <c r="J716" s="435" t="n"/>
      <c r="K716" s="435" t="n"/>
      <c r="L716" s="435" t="n"/>
      <c r="M716" s="435" t="n"/>
      <c r="N716" s="435" t="n"/>
      <c r="O716" s="435" t="n"/>
      <c r="P716" s="435" t="n"/>
      <c r="Q716" s="435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4" t="n">
        <v>11000</v>
      </c>
      <c r="J717" s="435" t="n"/>
      <c r="K717" s="435" t="n"/>
      <c r="L717" s="435" t="n"/>
      <c r="M717" s="435" t="n"/>
      <c r="N717" s="435" t="n"/>
      <c r="O717" s="435" t="n"/>
      <c r="P717" s="435" t="n"/>
      <c r="Q717" s="435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4" t="n">
        <v>11000</v>
      </c>
      <c r="J718" s="435" t="n"/>
      <c r="K718" s="435" t="n"/>
      <c r="L718" s="435" t="n"/>
      <c r="M718" s="435" t="n"/>
      <c r="N718" s="435" t="n"/>
      <c r="O718" s="435" t="n"/>
      <c r="P718" s="435" t="n"/>
      <c r="Q718" s="435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4" t="n">
        <v>66000</v>
      </c>
      <c r="J719" s="435" t="n"/>
      <c r="K719" s="435" t="n"/>
      <c r="L719" s="435" t="n"/>
      <c r="M719" s="435" t="n"/>
      <c r="N719" s="435" t="n"/>
      <c r="O719" s="435" t="n"/>
      <c r="P719" s="435" t="n"/>
      <c r="Q719" s="435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505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6" t="n"/>
      <c r="I5" s="506" t="n"/>
      <c r="J5" s="506" t="n"/>
      <c r="K5" t="inlineStr">
        <is>
          <t>Kolom ini aman dari overwrite sistem.</t>
        </is>
      </c>
    </row>
    <row r="6" ht="15.5" customHeight="1" s="297">
      <c r="A6" s="498" t="n"/>
      <c r="B6" s="507" t="n"/>
      <c r="C6" s="508" t="n"/>
      <c r="D6" s="509" t="inlineStr">
        <is>
          <t>PT. Exspan Wireline Indonesia</t>
        </is>
      </c>
      <c r="E6" s="289" t="n"/>
      <c r="F6" s="501" t="n"/>
      <c r="G6" s="510" t="n"/>
      <c r="H6" s="511" t="n"/>
      <c r="I6" s="509" t="inlineStr">
        <is>
          <t>PT. Exspan Wireline Indonesia</t>
        </is>
      </c>
      <c r="J6" s="289" t="n"/>
      <c r="K6" t="inlineStr">
        <is>
          <t>Diverifikasi pada: 2026-04-01 01:08</t>
        </is>
      </c>
    </row>
    <row r="7" ht="15.5" customHeight="1" s="297">
      <c r="A7" s="498" t="n"/>
      <c r="B7" s="512" t="n"/>
      <c r="C7" s="513" t="n"/>
      <c r="D7" s="514" t="inlineStr">
        <is>
          <t>(Rp)</t>
        </is>
      </c>
      <c r="E7" s="290" t="n"/>
      <c r="F7" s="501" t="n"/>
      <c r="G7" s="515" t="n"/>
      <c r="H7" s="516" t="n"/>
      <c r="I7" s="514" t="inlineStr">
        <is>
          <t>(Rp)</t>
        </is>
      </c>
      <c r="J7" s="290" t="n"/>
    </row>
    <row r="8">
      <c r="A8" s="498" t="n"/>
      <c r="B8" s="517" t="inlineStr">
        <is>
          <t>PENDAPATAN</t>
        </is>
      </c>
      <c r="C8" s="518" t="n"/>
      <c r="D8" s="519" t="n"/>
      <c r="E8" s="520" t="n"/>
      <c r="F8" s="501" t="n"/>
      <c r="G8" s="521" t="inlineStr">
        <is>
          <t>AKTIVA</t>
        </is>
      </c>
      <c r="H8" s="522" t="n"/>
      <c r="I8" s="523" t="n"/>
      <c r="J8" s="524" t="n"/>
    </row>
    <row r="9">
      <c r="A9" s="498" t="n"/>
      <c r="B9" s="525" t="n"/>
      <c r="C9" s="518" t="inlineStr">
        <is>
          <t>PENDAPATAN LANGSUNG</t>
        </is>
      </c>
      <c r="D9" s="525" t="inlineStr">
        <is>
          <t>Rp</t>
        </is>
      </c>
      <c r="E9" s="526">
        <f>SUM('Revenue-Cost_2024'!L8:'Revenue-Cost_2024'!L21)</f>
        <v/>
      </c>
      <c r="F9" s="501" t="n"/>
      <c r="G9" s="527" t="inlineStr">
        <is>
          <t>AKTIVA LANCAR</t>
        </is>
      </c>
      <c r="H9" s="528" t="n"/>
      <c r="I9" s="527" t="n"/>
      <c r="J9" s="529" t="n"/>
    </row>
    <row r="10">
      <c r="A10" s="498" t="n"/>
      <c r="B10" s="525" t="n"/>
      <c r="C10" s="518" t="inlineStr">
        <is>
          <t>PENDAPATAN LAIN LAIN</t>
        </is>
      </c>
      <c r="D10" s="525" t="inlineStr">
        <is>
          <t>Rp</t>
        </is>
      </c>
      <c r="E10" s="526">
        <f>SUM('Revenue-Cost_2024'!L8:'Revenue-Cost_2024'!L21)</f>
        <v/>
      </c>
      <c r="F10" s="501" t="n"/>
      <c r="G10" s="530" t="n"/>
      <c r="H10" s="531" t="inlineStr">
        <is>
          <t>KAS DAN SETARA KAS TAHUN SEBELUMNYA</t>
        </is>
      </c>
      <c r="I10" s="525" t="inlineStr">
        <is>
          <t>Rp</t>
        </is>
      </c>
      <c r="J10" s="532" t="n">
        <v>0</v>
      </c>
    </row>
    <row r="11">
      <c r="A11" s="498" t="n"/>
      <c r="B11" s="525" t="n"/>
      <c r="C11" s="518" t="n"/>
      <c r="D11" s="533" t="n"/>
      <c r="E11" s="534" t="n"/>
      <c r="F11" s="501" t="n"/>
      <c r="G11" s="530" t="n"/>
      <c r="H11" s="531" t="inlineStr">
        <is>
          <t>KAS DAN SETARA KAS TAHUN LAPORAN</t>
        </is>
      </c>
      <c r="I11" s="525" t="inlineStr">
        <is>
          <t>Rp</t>
        </is>
      </c>
      <c r="J11" s="532">
        <f>E46-'Business Summary'!E13</f>
        <v/>
      </c>
    </row>
    <row r="12">
      <c r="A12" s="498" t="n"/>
      <c r="B12" s="535" t="inlineStr">
        <is>
          <t>TOTALPENDAPATAN</t>
        </is>
      </c>
      <c r="C12" s="536" t="n"/>
      <c r="D12" s="537" t="inlineStr">
        <is>
          <t>Rp</t>
        </is>
      </c>
      <c r="E12" s="538">
        <f>SUM(E9:E11)</f>
        <v/>
      </c>
      <c r="F12" s="501" t="n"/>
      <c r="G12" s="530" t="n"/>
      <c r="H12" s="531" t="inlineStr">
        <is>
          <t>PIUTANG USAHA</t>
        </is>
      </c>
      <c r="I12" s="525" t="inlineStr">
        <is>
          <t>Rp</t>
        </is>
      </c>
      <c r="J12" s="532" t="n">
        <v>0</v>
      </c>
    </row>
    <row r="13">
      <c r="A13" s="498" t="n"/>
      <c r="B13" s="525" t="n"/>
      <c r="C13" s="518" t="n"/>
      <c r="D13" s="519" t="n"/>
      <c r="E13" s="539" t="n"/>
      <c r="F13" s="501" t="n"/>
      <c r="G13" s="530" t="n"/>
      <c r="H13" s="531" t="inlineStr">
        <is>
          <t>PAJAK BAYAR DI MUKA (pph23)</t>
        </is>
      </c>
      <c r="I13" s="525" t="inlineStr">
        <is>
          <t>Rp</t>
        </is>
      </c>
      <c r="J13" s="532" t="n">
        <v>0</v>
      </c>
    </row>
    <row r="14">
      <c r="A14" s="498" t="n"/>
      <c r="B14" s="540" t="inlineStr">
        <is>
          <t>BEBAN LANGSUNG</t>
        </is>
      </c>
      <c r="C14" s="518" t="n"/>
      <c r="D14" s="525" t="n"/>
      <c r="E14" s="541" t="n"/>
      <c r="F14" s="501" t="n"/>
      <c r="G14" s="530" t="n"/>
      <c r="H14" s="531" t="inlineStr">
        <is>
          <t>BIAYA BAYAR DI MUKA</t>
        </is>
      </c>
      <c r="I14" s="525" t="inlineStr">
        <is>
          <t>Rp</t>
        </is>
      </c>
      <c r="J14" s="532" t="n">
        <v>0</v>
      </c>
    </row>
    <row r="15">
      <c r="A15" s="498" t="n"/>
      <c r="B15" s="542" t="n"/>
      <c r="C15" s="518" t="inlineStr">
        <is>
          <t xml:space="preserve">Biaya Operasi </t>
        </is>
      </c>
      <c r="D15" s="525" t="inlineStr">
        <is>
          <t>Rp</t>
        </is>
      </c>
      <c r="E15" s="541">
        <f>'Revenue-Cost_2024'!I720</f>
        <v/>
      </c>
      <c r="F15" s="501" t="n"/>
      <c r="G15" s="543" t="n"/>
      <c r="H15" s="531" t="inlineStr">
        <is>
          <t>PIUTANG LAIN LAIN</t>
        </is>
      </c>
      <c r="I15" s="525" t="inlineStr">
        <is>
          <t>Rp</t>
        </is>
      </c>
      <c r="J15" s="532" t="n">
        <v>0</v>
      </c>
    </row>
    <row r="16">
      <c r="A16" s="498" t="n"/>
      <c r="B16" s="542" t="n"/>
      <c r="C16" s="518" t="inlineStr">
        <is>
          <t>Biaya research (R &amp; D)</t>
        </is>
      </c>
      <c r="D16" s="525" t="inlineStr">
        <is>
          <t>Rp</t>
        </is>
      </c>
      <c r="E16" s="541">
        <f>'Revenue-Cost_2024'!J720</f>
        <v/>
      </c>
      <c r="F16" s="501" t="n"/>
      <c r="G16" s="544" t="n"/>
      <c r="H16" s="545" t="inlineStr">
        <is>
          <t>TOTAL AKTIVA LANCAR</t>
        </is>
      </c>
      <c r="I16" s="537" t="inlineStr">
        <is>
          <t>Rp</t>
        </is>
      </c>
      <c r="J16" s="546">
        <f>SUM(J10:J15)</f>
        <v/>
      </c>
    </row>
    <row r="17">
      <c r="A17" s="498" t="n"/>
      <c r="B17" s="542" t="n"/>
      <c r="C17" s="518" t="inlineStr">
        <is>
          <t>BIAYA SEWA PERALATAN</t>
        </is>
      </c>
      <c r="D17" s="525" t="inlineStr">
        <is>
          <t>Rp</t>
        </is>
      </c>
      <c r="E17" s="541">
        <f>'Revenue-Cost_2024'!K720</f>
        <v/>
      </c>
      <c r="F17" s="501" t="n"/>
      <c r="G17" s="530" t="n"/>
      <c r="H17" s="531" t="n"/>
      <c r="I17" s="547" t="n"/>
      <c r="J17" s="548" t="n"/>
    </row>
    <row r="18">
      <c r="A18" s="498" t="n"/>
      <c r="B18" s="542" t="n"/>
      <c r="C18" s="518" t="inlineStr">
        <is>
          <t>BIAYA Data Processing</t>
        </is>
      </c>
      <c r="D18" s="525" t="inlineStr">
        <is>
          <t>Rp</t>
        </is>
      </c>
      <c r="E18" s="541">
        <f>'Revenue-Cost_2024'!L720</f>
        <v/>
      </c>
      <c r="F18" s="501" t="n"/>
      <c r="G18" s="527" t="inlineStr">
        <is>
          <t>ACTIVA TETAP</t>
        </is>
      </c>
      <c r="H18" s="549" t="n"/>
      <c r="I18" s="521" t="n"/>
      <c r="J18" s="532" t="n"/>
    </row>
    <row r="19">
      <c r="A19" s="498" t="n"/>
      <c r="B19" s="542" t="n"/>
      <c r="C19" s="518" t="n"/>
      <c r="D19" s="525" t="n"/>
      <c r="E19" s="541" t="n"/>
      <c r="F19" s="501" t="n"/>
      <c r="G19" s="527" t="n"/>
      <c r="H19" s="549" t="n"/>
      <c r="I19" s="521" t="n"/>
      <c r="J19" s="532" t="n"/>
    </row>
    <row r="20">
      <c r="A20" s="498" t="n"/>
      <c r="B20" s="542" t="n"/>
      <c r="C20" s="518" t="n"/>
      <c r="D20" s="533" t="n"/>
      <c r="E20" s="550" t="n"/>
      <c r="F20" s="501" t="n"/>
      <c r="G20" s="530" t="n"/>
      <c r="H20" s="531" t="inlineStr">
        <is>
          <t>INVENTARIS KANTOR</t>
        </is>
      </c>
      <c r="I20" s="525" t="inlineStr">
        <is>
          <t>Rp</t>
        </is>
      </c>
      <c r="J20" s="532" t="n">
        <v>0</v>
      </c>
    </row>
    <row r="21">
      <c r="A21" s="498" t="n"/>
      <c r="B21" s="535" t="inlineStr">
        <is>
          <t>TOTAL BIAYA LANGSUNG</t>
        </is>
      </c>
      <c r="C21" s="536" t="n"/>
      <c r="D21" s="537" t="inlineStr">
        <is>
          <t>Rp</t>
        </is>
      </c>
      <c r="E21" s="551">
        <f>SUM(E15:E20)</f>
        <v/>
      </c>
      <c r="F21" s="501" t="n"/>
      <c r="G21" s="530" t="n"/>
      <c r="H21" s="549" t="n"/>
      <c r="I21" s="552" t="n"/>
      <c r="J21" s="553" t="n"/>
    </row>
    <row r="22">
      <c r="A22" s="498" t="n"/>
      <c r="B22" s="525" t="n"/>
      <c r="C22" s="518" t="n"/>
      <c r="D22" s="519" t="n"/>
      <c r="E22" s="554" t="n"/>
      <c r="F22" s="501" t="n"/>
      <c r="G22" s="544" t="n"/>
      <c r="H22" s="545" t="inlineStr">
        <is>
          <t>TOTAL AKTIVA TETAP</t>
        </is>
      </c>
      <c r="I22" s="537" t="inlineStr">
        <is>
          <t>Rp</t>
        </is>
      </c>
      <c r="J22" s="546">
        <f>J20</f>
        <v/>
      </c>
    </row>
    <row r="23">
      <c r="A23" s="498" t="n"/>
      <c r="B23" s="540" t="inlineStr">
        <is>
          <t>BEBAN TIDAK LANGSUNG</t>
        </is>
      </c>
      <c r="C23" s="518" t="n"/>
      <c r="D23" s="525" t="n"/>
      <c r="E23" s="541">
        <f>'Revenue-Cost_2024'!Q720</f>
        <v/>
      </c>
      <c r="F23" s="501" t="n"/>
      <c r="G23" s="530" t="n"/>
      <c r="H23" s="531" t="n"/>
      <c r="I23" s="547" t="n"/>
      <c r="J23" s="524" t="n"/>
    </row>
    <row r="24">
      <c r="A24" s="498" t="n"/>
      <c r="B24" s="525" t="n"/>
      <c r="C24" s="518" t="n"/>
      <c r="D24" s="525" t="n"/>
      <c r="E24" s="541" t="n"/>
      <c r="F24" s="501" t="n"/>
      <c r="G24" s="527" t="inlineStr">
        <is>
          <t>ACTIVA LAIN LAIN</t>
        </is>
      </c>
      <c r="H24" s="549" t="n"/>
      <c r="I24" s="521" t="n"/>
      <c r="J24" s="532" t="n">
        <v>0</v>
      </c>
    </row>
    <row r="25">
      <c r="A25" s="498" t="n"/>
      <c r="B25" s="525" t="n"/>
      <c r="C25" s="518" t="n"/>
      <c r="D25" s="525" t="inlineStr">
        <is>
          <t>Rp</t>
        </is>
      </c>
      <c r="E25" s="541" t="n"/>
      <c r="F25" s="501" t="n"/>
      <c r="G25" s="530" t="n"/>
      <c r="H25" s="531" t="n"/>
      <c r="I25" s="555" t="n"/>
      <c r="J25" s="556" t="n">
        <v>0</v>
      </c>
    </row>
    <row r="26">
      <c r="A26" s="498" t="n"/>
      <c r="B26" s="525" t="n"/>
      <c r="C26" s="518" t="n"/>
      <c r="D26" s="533" t="n"/>
      <c r="E26" s="550" t="n"/>
      <c r="F26" s="501" t="n"/>
      <c r="G26" s="544" t="n"/>
      <c r="H26" s="545" t="inlineStr">
        <is>
          <t>TOTAL AKTIVA LAIN LAIN</t>
        </is>
      </c>
      <c r="I26" s="537" t="inlineStr">
        <is>
          <t>Rp</t>
        </is>
      </c>
      <c r="J26" s="546">
        <f>SUM(J25:J25)</f>
        <v/>
      </c>
    </row>
    <row r="27">
      <c r="A27" s="498" t="n"/>
      <c r="B27" s="535" t="inlineStr">
        <is>
          <t>TOTAL BIAYA TIDAK LANGSUNG</t>
        </is>
      </c>
      <c r="C27" s="536" t="n"/>
      <c r="D27" s="537" t="inlineStr">
        <is>
          <t>Rp</t>
        </is>
      </c>
      <c r="E27" s="551">
        <f>SUM(E22:E26)</f>
        <v/>
      </c>
      <c r="F27" s="501" t="n"/>
      <c r="G27" s="530" t="n"/>
      <c r="H27" s="531" t="n"/>
      <c r="I27" s="557" t="n"/>
      <c r="J27" s="558" t="n"/>
    </row>
    <row r="28">
      <c r="A28" s="498" t="n"/>
      <c r="B28" s="525" t="n"/>
      <c r="C28" s="518" t="n"/>
      <c r="D28" s="519" t="n"/>
      <c r="E28" s="554" t="n"/>
      <c r="F28" s="501" t="n"/>
      <c r="G28" s="535" t="inlineStr">
        <is>
          <t>TOTAL AKTIVA</t>
        </is>
      </c>
      <c r="H28" s="536" t="n"/>
      <c r="I28" s="537" t="inlineStr">
        <is>
          <t>Rp</t>
        </is>
      </c>
      <c r="J28" s="559">
        <f>J26+J22+J16</f>
        <v/>
      </c>
    </row>
    <row r="29">
      <c r="A29" s="498" t="n"/>
      <c r="B29" s="540" t="inlineStr">
        <is>
          <t>BIAYA ADMINISTRASI DAN UMUM</t>
        </is>
      </c>
      <c r="C29" s="518" t="n"/>
      <c r="D29" s="525" t="n"/>
      <c r="E29" s="541" t="n"/>
      <c r="F29" s="501" t="n"/>
      <c r="G29" s="560" t="n"/>
      <c r="H29" s="561" t="n"/>
      <c r="I29" s="560" t="n"/>
      <c r="J29" s="548" t="n"/>
    </row>
    <row r="30">
      <c r="A30" s="498" t="n"/>
      <c r="B30" s="542" t="n"/>
      <c r="C30" s="518" t="inlineStr">
        <is>
          <t>BIAYA ADMINISTRASI</t>
        </is>
      </c>
      <c r="D30" s="525" t="inlineStr">
        <is>
          <t>Rp</t>
        </is>
      </c>
      <c r="E30" s="541">
        <f>'Revenue-Cost_2024'!M720</f>
        <v/>
      </c>
      <c r="F30" s="501" t="n"/>
      <c r="G30" s="562" t="inlineStr">
        <is>
          <t>HUTANG DAN MODAL</t>
        </is>
      </c>
      <c r="H30" s="522" t="n"/>
      <c r="I30" s="562" t="n"/>
      <c r="J30" s="563" t="n"/>
    </row>
    <row r="31">
      <c r="A31" s="498" t="n"/>
      <c r="B31" s="542" t="n"/>
      <c r="C31" s="518" t="inlineStr">
        <is>
          <t>BIAYA PEMBELIAN Barang</t>
        </is>
      </c>
      <c r="D31" s="525" t="inlineStr">
        <is>
          <t>Rp</t>
        </is>
      </c>
      <c r="E31" s="541">
        <f>'Revenue-Cost_2024'!N720</f>
        <v/>
      </c>
      <c r="F31" s="501" t="n"/>
      <c r="G31" s="562" t="n"/>
      <c r="H31" s="522" t="n"/>
      <c r="I31" s="562" t="n"/>
      <c r="J31" s="563" t="n"/>
    </row>
    <row r="32">
      <c r="A32" s="498" t="n"/>
      <c r="B32" s="542" t="n"/>
      <c r="C32" s="518" t="inlineStr">
        <is>
          <t>BIAYA SEWA KANTOR</t>
        </is>
      </c>
      <c r="D32" s="525" t="inlineStr">
        <is>
          <t>Rp</t>
        </is>
      </c>
      <c r="E32" s="541">
        <f>'Revenue-Cost_2024'!O720</f>
        <v/>
      </c>
      <c r="F32" s="501" t="n"/>
      <c r="G32" s="527" t="inlineStr">
        <is>
          <t>HUTANG LANCAR</t>
        </is>
      </c>
      <c r="H32" s="528" t="n"/>
      <c r="I32" s="527" t="n"/>
      <c r="J32" s="529" t="n"/>
    </row>
    <row r="33">
      <c r="A33" s="498" t="n"/>
      <c r="B33" s="542" t="n"/>
      <c r="C33" s="518" t="inlineStr">
        <is>
          <t>BIAYA KESEHATAN</t>
        </is>
      </c>
      <c r="D33" s="525" t="inlineStr">
        <is>
          <t>Rp</t>
        </is>
      </c>
      <c r="E33" s="541">
        <f>'Revenue-Cost_2024'!P720</f>
        <v/>
      </c>
      <c r="F33" s="501" t="n"/>
      <c r="G33" s="530" t="n"/>
      <c r="H33" s="531" t="inlineStr">
        <is>
          <t>HUTANG USAHA</t>
        </is>
      </c>
      <c r="I33" s="525" t="inlineStr">
        <is>
          <t>Rp</t>
        </is>
      </c>
      <c r="J33" s="532" t="n">
        <v>0</v>
      </c>
    </row>
    <row r="34">
      <c r="A34" s="498" t="n"/>
      <c r="B34" s="542" t="n"/>
      <c r="C34" s="518" t="n"/>
      <c r="D34" s="533" t="n"/>
      <c r="E34" s="550" t="n"/>
      <c r="F34" s="501" t="n"/>
      <c r="G34" s="530" t="n"/>
      <c r="H34" s="564" t="inlineStr">
        <is>
          <t>HUTANG GAJI</t>
        </is>
      </c>
      <c r="I34" s="525" t="inlineStr">
        <is>
          <t>Rp</t>
        </is>
      </c>
      <c r="J34" s="532" t="n">
        <v>0</v>
      </c>
    </row>
    <row r="35">
      <c r="A35" s="498" t="n"/>
      <c r="B35" s="535" t="inlineStr">
        <is>
          <t>TOTAL BIAYA ADMINISTRASI DAN UMUM</t>
        </is>
      </c>
      <c r="C35" s="536" t="n"/>
      <c r="D35" s="537" t="inlineStr">
        <is>
          <t>Rp</t>
        </is>
      </c>
      <c r="E35" s="538">
        <f>SUM(E30:E34)</f>
        <v/>
      </c>
      <c r="F35" s="501" t="n"/>
      <c r="G35" s="530" t="n"/>
      <c r="H35" s="531" t="inlineStr">
        <is>
          <t>HUTANG PEMEGANG SAHAM</t>
        </is>
      </c>
      <c r="I35" s="525" t="inlineStr">
        <is>
          <t>Rp</t>
        </is>
      </c>
      <c r="J35" s="532" t="n">
        <v>0</v>
      </c>
    </row>
    <row r="36">
      <c r="A36" s="498" t="n"/>
      <c r="B36" s="542" t="n"/>
      <c r="C36" s="518" t="n"/>
      <c r="D36" s="537" t="n"/>
      <c r="E36" s="565" t="n"/>
      <c r="F36" s="501" t="n"/>
      <c r="G36" s="530" t="n"/>
      <c r="H36" s="531" t="inlineStr">
        <is>
          <t>BIAYA YANG MASIH HARUS DI BAYAR</t>
        </is>
      </c>
      <c r="I36" s="525" t="inlineStr">
        <is>
          <t>Rp</t>
        </is>
      </c>
      <c r="J36" s="532" t="n">
        <v>0</v>
      </c>
    </row>
    <row r="37">
      <c r="A37" s="498" t="n"/>
      <c r="B37" s="535" t="inlineStr">
        <is>
          <t>TOTAL BIAYA</t>
        </is>
      </c>
      <c r="C37" s="536" t="n"/>
      <c r="D37" s="537" t="inlineStr">
        <is>
          <t>Rp</t>
        </is>
      </c>
      <c r="E37" s="538">
        <f>E35+E21+E27</f>
        <v/>
      </c>
      <c r="F37" s="501" t="n"/>
      <c r="G37" s="566" t="n"/>
      <c r="H37" s="567" t="n"/>
      <c r="I37" s="566" t="n"/>
      <c r="J37" s="568" t="n"/>
    </row>
    <row r="38">
      <c r="A38" s="498" t="n"/>
      <c r="B38" s="517" t="n"/>
      <c r="C38" s="569" t="n"/>
      <c r="D38" s="519" t="n"/>
      <c r="E38" s="570" t="n"/>
      <c r="F38" s="501" t="n"/>
      <c r="G38" s="544" t="n"/>
      <c r="H38" s="545" t="inlineStr">
        <is>
          <t>TOTAL HUTANG LANCAR</t>
        </is>
      </c>
      <c r="I38" s="571" t="n"/>
      <c r="J38" s="546">
        <f>SUM(J33:J36)</f>
        <v/>
      </c>
    </row>
    <row r="39">
      <c r="A39" s="498" t="n"/>
      <c r="B39" s="540" t="inlineStr">
        <is>
          <t xml:space="preserve">PENDAPATAN/BEBAN LAIN LAIN </t>
        </is>
      </c>
      <c r="C39" s="518" t="n"/>
      <c r="D39" s="525" t="inlineStr">
        <is>
          <t>Rp</t>
        </is>
      </c>
      <c r="E39" s="572" t="n"/>
      <c r="F39" s="501" t="n"/>
      <c r="G39" s="530" t="n"/>
      <c r="H39" s="549" t="n"/>
      <c r="I39" s="573" t="n"/>
      <c r="J39" s="524" t="n"/>
    </row>
    <row r="40">
      <c r="A40" s="498" t="n"/>
      <c r="B40" s="540" t="n"/>
      <c r="C40" s="518" t="inlineStr">
        <is>
          <t>PENDAPATAN LAINNYA</t>
        </is>
      </c>
      <c r="D40" s="525" t="inlineStr">
        <is>
          <t>Rp</t>
        </is>
      </c>
      <c r="E40" s="526" t="n">
        <v>0</v>
      </c>
      <c r="F40" s="501" t="n"/>
      <c r="G40" s="527" t="inlineStr">
        <is>
          <t>MODAL</t>
        </is>
      </c>
      <c r="H40" s="528" t="n"/>
      <c r="I40" s="527" t="n"/>
      <c r="J40" s="529" t="n"/>
    </row>
    <row r="41">
      <c r="A41" s="498" t="n"/>
      <c r="B41" s="540" t="n"/>
      <c r="C41" s="518" t="n"/>
      <c r="D41" s="533" t="n"/>
      <c r="E41" s="574" t="n"/>
      <c r="F41" s="501" t="n"/>
      <c r="G41" s="530" t="n"/>
      <c r="H41" s="531" t="inlineStr">
        <is>
          <t>MODAL SAHAM</t>
        </is>
      </c>
      <c r="I41" s="525" t="inlineStr">
        <is>
          <t>Rp</t>
        </is>
      </c>
      <c r="J41" s="532" t="n">
        <v>0</v>
      </c>
    </row>
    <row r="42">
      <c r="A42" s="498" t="n"/>
      <c r="B42" s="535" t="inlineStr">
        <is>
          <t>LABA RUGI SEBELUM PAJAK</t>
        </is>
      </c>
      <c r="C42" s="536" t="n"/>
      <c r="D42" s="537" t="inlineStr">
        <is>
          <t>Rp</t>
        </is>
      </c>
      <c r="E42" s="538">
        <f>E12-E37</f>
        <v/>
      </c>
      <c r="F42" s="501" t="n"/>
      <c r="G42" s="530" t="n"/>
      <c r="H42" s="531" t="inlineStr">
        <is>
          <t>LABA DI TAHAN</t>
        </is>
      </c>
      <c r="I42" s="525" t="inlineStr">
        <is>
          <t>Rp</t>
        </is>
      </c>
      <c r="J42" s="532" t="n">
        <v>0</v>
      </c>
    </row>
    <row r="43">
      <c r="A43" s="498" t="n"/>
      <c r="B43" s="575" t="n"/>
      <c r="C43" s="569" t="n"/>
      <c r="D43" s="519" t="n"/>
      <c r="E43" s="539" t="n"/>
      <c r="F43" s="501" t="n"/>
      <c r="G43" s="527" t="n"/>
      <c r="H43" s="531" t="inlineStr">
        <is>
          <t>TOTAL LABA (RUGI) DITAHAN</t>
        </is>
      </c>
      <c r="I43" s="533" t="inlineStr">
        <is>
          <t>Rp</t>
        </is>
      </c>
      <c r="J43" s="556">
        <f>J28-J38-J41-J42</f>
        <v/>
      </c>
    </row>
    <row r="44">
      <c r="A44" s="498" t="n"/>
      <c r="B44" s="540" t="inlineStr">
        <is>
          <t>CORPORATE TAX (PPh 29)</t>
        </is>
      </c>
      <c r="D44" s="525" t="inlineStr">
        <is>
          <t>Rp</t>
        </is>
      </c>
      <c r="E44" s="526" t="n">
        <v>0</v>
      </c>
      <c r="F44" s="501" t="n"/>
      <c r="G44" s="544" t="n"/>
      <c r="H44" s="545" t="inlineStr">
        <is>
          <t>TOTAL MODAL</t>
        </is>
      </c>
      <c r="I44" s="537" t="inlineStr">
        <is>
          <t>Rp</t>
        </is>
      </c>
      <c r="J44" s="546">
        <f>SUM(J41:J43)</f>
        <v/>
      </c>
    </row>
    <row r="45">
      <c r="A45" s="498" t="n"/>
      <c r="B45" s="540" t="n"/>
      <c r="C45" s="518" t="n"/>
      <c r="D45" s="533" t="n"/>
      <c r="E45" s="574" t="n"/>
      <c r="F45" s="501" t="n"/>
      <c r="G45" s="530" t="n"/>
      <c r="H45" s="531" t="n"/>
      <c r="I45" s="557" t="n"/>
      <c r="J45" s="558" t="n"/>
    </row>
    <row r="46" ht="15" customHeight="1" s="297">
      <c r="A46" s="498" t="n"/>
      <c r="B46" s="576" t="inlineStr">
        <is>
          <t>LABA / RUGI BERSIH</t>
        </is>
      </c>
      <c r="C46" s="303" t="n"/>
      <c r="D46" s="577" t="n"/>
      <c r="E46" s="578">
        <f>E42-E44</f>
        <v/>
      </c>
      <c r="F46" s="501" t="n"/>
      <c r="G46" s="579" t="inlineStr">
        <is>
          <t>TOTAL HUTANG DAN MODAL</t>
        </is>
      </c>
      <c r="H46" s="580" t="n"/>
      <c r="I46" s="577" t="inlineStr">
        <is>
          <t>Rp</t>
        </is>
      </c>
      <c r="J46" s="581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2" t="n"/>
    </row>
    <row r="49" ht="16.75" customHeight="1" s="297">
      <c r="A49" s="498" t="n"/>
      <c r="B49" s="583" t="n"/>
      <c r="F49" s="501" t="n"/>
      <c r="G49" s="583" t="n"/>
    </row>
    <row r="50" ht="15.65" customHeight="1" s="297">
      <c r="A50" s="518" t="n"/>
      <c r="B50" s="584" t="inlineStr">
        <is>
          <t>Direktur</t>
        </is>
      </c>
      <c r="F50" s="501" t="n"/>
      <c r="G50" s="584" t="inlineStr">
        <is>
          <t>Direktur</t>
        </is>
      </c>
    </row>
    <row r="51">
      <c r="A51" s="518" t="n"/>
      <c r="F51" s="501" t="n"/>
    </row>
    <row r="52">
      <c r="A52" s="518" t="n"/>
      <c r="F52" s="501" t="n"/>
      <c r="J52" s="58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6" t="inlineStr">
        <is>
          <t>#</t>
        </is>
      </c>
      <c r="C6" s="586" t="inlineStr">
        <is>
          <t>Items</t>
        </is>
      </c>
      <c r="D6" s="587" t="inlineStr">
        <is>
          <t>Amount</t>
        </is>
      </c>
      <c r="E6" s="279" t="n"/>
      <c r="F6" s="501" t="n"/>
    </row>
    <row r="7" ht="19" customHeight="1" s="297">
      <c r="A7" s="498" t="n"/>
      <c r="B7" s="588" t="n">
        <v>1</v>
      </c>
      <c r="C7" s="589" t="inlineStr">
        <is>
          <t>Revenue</t>
        </is>
      </c>
      <c r="D7" s="590" t="inlineStr">
        <is>
          <t>Rp</t>
        </is>
      </c>
      <c r="E7" s="591">
        <f>SUM('Revenue-Cost_2024'!L8:'Revenue-Cost_2024'!L21)</f>
        <v/>
      </c>
      <c r="F7" s="501" t="n"/>
    </row>
    <row r="8" ht="19" customHeight="1" s="297">
      <c r="A8" s="498" t="n"/>
      <c r="B8" s="588" t="n">
        <v>2</v>
      </c>
      <c r="C8" s="589" t="inlineStr">
        <is>
          <t>Revenue Diterima (Setelah Pajak)</t>
        </is>
      </c>
      <c r="D8" s="590" t="inlineStr">
        <is>
          <t>Rp</t>
        </is>
      </c>
      <c r="E8" s="591">
        <f>E7-SUM('Revenue-Cost_2024'!N8:'Revenue-Cost_2024'!N21)</f>
        <v/>
      </c>
      <c r="F8" s="501" t="n"/>
    </row>
    <row r="9" ht="19" customHeight="1" s="297">
      <c r="A9" s="498" t="n"/>
      <c r="B9" s="588" t="n">
        <v>3</v>
      </c>
      <c r="C9" s="589" t="inlineStr">
        <is>
          <t>Biaya</t>
        </is>
      </c>
      <c r="D9" s="590" t="inlineStr">
        <is>
          <t>Rp</t>
        </is>
      </c>
      <c r="E9" s="591">
        <f>SUM('Revenue-Cost_2024'!I720:Q720)</f>
        <v/>
      </c>
      <c r="F9" s="501" t="n"/>
    </row>
    <row r="10" ht="19" customHeight="1" s="297">
      <c r="A10" s="498" t="n"/>
      <c r="B10" s="588" t="n">
        <v>4</v>
      </c>
      <c r="C10" s="589" t="inlineStr">
        <is>
          <t>Profit SebelumTax</t>
        </is>
      </c>
      <c r="D10" s="590" t="inlineStr">
        <is>
          <t>Rp</t>
        </is>
      </c>
      <c r="E10" s="591">
        <f>E7-E9</f>
        <v/>
      </c>
      <c r="F10" s="501" t="n"/>
    </row>
    <row r="11" ht="19" customHeight="1" s="297">
      <c r="A11" s="498" t="n"/>
      <c r="B11" s="588" t="n">
        <v>5</v>
      </c>
      <c r="C11" s="589" t="inlineStr">
        <is>
          <t>PPh Badan (22%*50%)</t>
        </is>
      </c>
      <c r="D11" s="590" t="inlineStr">
        <is>
          <t>Rp</t>
        </is>
      </c>
      <c r="E11" s="591">
        <f>E10*22%*50%</f>
        <v/>
      </c>
      <c r="F11" s="501" t="n"/>
    </row>
    <row r="12" ht="19" customHeight="1" s="297">
      <c r="A12" s="498" t="n"/>
      <c r="B12" s="588" t="n">
        <v>6</v>
      </c>
      <c r="C12" s="589" t="inlineStr">
        <is>
          <t>PPh 23 Dipotong oleh client</t>
        </is>
      </c>
      <c r="D12" s="590" t="inlineStr">
        <is>
          <t>Rp</t>
        </is>
      </c>
      <c r="E12" s="591">
        <f>SUM('Revenue-Cost_2024'!N8:'Revenue-Cost_2024'!N21)</f>
        <v/>
      </c>
      <c r="F12" s="501" t="n"/>
    </row>
    <row r="13" ht="19" customHeight="1" s="297">
      <c r="A13" s="498" t="n"/>
      <c r="B13" s="588" t="n">
        <v>7</v>
      </c>
      <c r="C13" s="589" t="inlineStr">
        <is>
          <t>Kekurangan Bayar PPh Badan</t>
        </is>
      </c>
      <c r="D13" s="590" t="inlineStr">
        <is>
          <t>Rp</t>
        </is>
      </c>
      <c r="E13" s="592">
        <f>E11-E12</f>
        <v/>
      </c>
      <c r="F13" s="501" t="n"/>
    </row>
    <row r="14" ht="19" customHeight="1" s="297">
      <c r="A14" s="498" t="n"/>
      <c r="B14" s="588" t="n">
        <v>8</v>
      </c>
      <c r="C14" s="589" t="inlineStr">
        <is>
          <t>Profit After Tax</t>
        </is>
      </c>
      <c r="D14" s="590" t="inlineStr">
        <is>
          <t>Rp</t>
        </is>
      </c>
      <c r="E14" s="591">
        <f>E10-E13</f>
        <v/>
      </c>
      <c r="F14" s="501" t="n"/>
    </row>
    <row r="15" ht="19" customHeight="1" s="297">
      <c r="A15" s="498" t="n"/>
      <c r="B15" s="588" t="n">
        <v>9</v>
      </c>
      <c r="C15" s="589" t="inlineStr">
        <is>
          <t>Deviden Dibagi</t>
        </is>
      </c>
      <c r="D15" s="590" t="inlineStr">
        <is>
          <t>Rp</t>
        </is>
      </c>
      <c r="E15" s="591">
        <f>E14-E16</f>
        <v/>
      </c>
      <c r="F15" s="501" t="n"/>
    </row>
    <row r="16" ht="19" customHeight="1" s="297">
      <c r="A16" s="498" t="n"/>
      <c r="B16" s="588" t="n">
        <v>10</v>
      </c>
      <c r="C16" s="589" t="inlineStr">
        <is>
          <t>Profit Ditahan</t>
        </is>
      </c>
      <c r="D16" s="590" t="inlineStr">
        <is>
          <t>Rp</t>
        </is>
      </c>
      <c r="E16" s="591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3" t="inlineStr">
        <is>
          <t>DEVIDEN</t>
        </is>
      </c>
      <c r="F18" s="501" t="n"/>
    </row>
    <row r="19" ht="19" customHeight="1" s="297">
      <c r="A19" s="498" t="n"/>
      <c r="B19" s="594" t="inlineStr">
        <is>
          <t>#</t>
        </is>
      </c>
      <c r="C19" s="594" t="inlineStr">
        <is>
          <t>Nama Lengkap</t>
        </is>
      </c>
      <c r="D19" s="594" t="inlineStr"/>
      <c r="E19" s="595" t="inlineStr">
        <is>
          <t>Amount</t>
        </is>
      </c>
      <c r="F19" s="501" t="inlineStr"/>
      <c r="G19" s="596" t="inlineStr">
        <is>
          <t>Pajak</t>
        </is>
      </c>
    </row>
    <row r="20" ht="19" customHeight="1" s="297">
      <c r="A20" s="498" t="n"/>
      <c r="B20" s="597" t="n">
        <v>1</v>
      </c>
      <c r="C20" s="598" t="inlineStr">
        <is>
          <t>Anevril Chairulsyah</t>
        </is>
      </c>
      <c r="D20" s="598" t="inlineStr">
        <is>
          <t>Rp</t>
        </is>
      </c>
      <c r="E20" s="599">
        <f>IF(C20="","",ROUND($E$15/COUNTA($C$20:$C$21), 0))</f>
        <v/>
      </c>
      <c r="F20" s="501" t="n"/>
      <c r="G20" s="600" t="inlineStr">
        <is>
          <t>Pajak 10%</t>
        </is>
      </c>
    </row>
    <row r="21" ht="48.75" customHeight="1" s="297">
      <c r="A21" s="518" t="n"/>
      <c r="B21" s="601" t="n">
        <v>2</v>
      </c>
      <c r="C21" s="601" t="inlineStr">
        <is>
          <t>Alan Muhadjir</t>
        </is>
      </c>
      <c r="D21" s="601" t="inlineStr">
        <is>
          <t>Rp</t>
        </is>
      </c>
      <c r="E21" s="602">
        <f>IF(C21="","",ROUND($E$15/COUNTA($C$20:$C$21), 0))</f>
        <v/>
      </c>
      <c r="F21" s="501" t="n"/>
      <c r="G21" t="inlineStr">
        <is>
          <t>Pajak 10%</t>
        </is>
      </c>
    </row>
    <row r="22">
      <c r="A22" s="518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2026-03-31T18:08:47Z</dcterms:modified>
  <cp:lastModifiedBy>Diofavian - Student</cp:lastModifiedBy>
</cp:coreProperties>
</file>