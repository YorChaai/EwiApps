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5" fontId="35" fillId="6" borderId="4" pivotButton="0" quotePrefix="0" xfId="0"/>
    <xf numFmtId="165" fontId="35" fillId="0" borderId="4" pivotButton="0" quotePrefix="0" xfId="1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0" fontId="37" fillId="13" borderId="20" applyAlignment="1" pivotButton="0" quotePrefix="0" xfId="0">
      <alignment horizontal="center"/>
    </xf>
    <xf numFmtId="0" fontId="35" fillId="13" borderId="20" applyAlignment="1" pivotButton="0" quotePrefix="0" xfId="0">
      <alignment horizontal="left" vertical="center"/>
    </xf>
    <xf numFmtId="0" fontId="37" fillId="13" borderId="20" applyAlignment="1" pivotButton="0" quotePrefix="0" xfId="0">
      <alignment horizontal="left" vertical="center"/>
    </xf>
    <xf numFmtId="3" fontId="37" fillId="13" borderId="20" pivotButton="0" quotePrefix="0" xfId="2"/>
    <xf numFmtId="165" fontId="37" fillId="13" borderId="20" pivotButton="0" quotePrefix="0" xfId="0"/>
    <xf numFmtId="0" fontId="37" fillId="13" borderId="20" pivotButton="0" quotePrefix="0" xfId="0"/>
    <xf numFmtId="165" fontId="10" fillId="12" borderId="20" pivotButton="0" quotePrefix="0" xfId="0"/>
    <xf numFmtId="3" fontId="37" fillId="12" borderId="20" applyAlignment="1" pivotButton="0" quotePrefix="0" xfId="0">
      <alignment horizontal="center"/>
    </xf>
    <xf numFmtId="176" fontId="35" fillId="13" borderId="20" pivotButton="0" quotePrefix="0" xfId="0"/>
    <xf numFmtId="164" fontId="35" fillId="13" borderId="20" applyAlignment="1" pivotButton="0" quotePrefix="0" xfId="0">
      <alignment horizontal="left"/>
    </xf>
    <xf numFmtId="164" fontId="37" fillId="13" borderId="20" applyAlignment="1" pivotButton="0" quotePrefix="0" xfId="0">
      <alignment horizontal="left"/>
    </xf>
    <xf numFmtId="3" fontId="37" fillId="13" borderId="20" pivotButton="0" quotePrefix="0" xfId="0"/>
    <xf numFmtId="165" fontId="37" fillId="13" borderId="20" applyAlignment="1" pivotButton="0" quotePrefix="0" xfId="0">
      <alignment vertical="top"/>
    </xf>
    <xf numFmtId="0" fontId="17" fillId="12" borderId="20" pivotButton="0" quotePrefix="0" xfId="0"/>
    <xf numFmtId="0" fontId="8" fillId="12" borderId="20" applyAlignment="1" pivotButton="0" quotePrefix="0" xfId="0">
      <alignment horizontal="left" vertical="center"/>
    </xf>
    <xf numFmtId="164" fontId="35" fillId="12" borderId="20" applyAlignment="1" pivotButton="0" quotePrefix="0" xfId="0">
      <alignment horizontal="left"/>
    </xf>
    <xf numFmtId="3" fontId="37" fillId="13" borderId="20" applyAlignment="1" pivotButton="0" quotePrefix="0" xfId="0">
      <alignment horizontal="center"/>
    </xf>
    <xf numFmtId="0" fontId="8" fillId="12" borderId="20" applyAlignment="1" pivotButton="0" quotePrefix="0" xfId="0">
      <alignment horizontal="center"/>
    </xf>
    <xf numFmtId="164" fontId="16" fillId="12" borderId="20" applyAlignment="1" pivotButton="0" quotePrefix="0" xfId="0">
      <alignment horizontal="left"/>
    </xf>
    <xf numFmtId="3" fontId="37" fillId="13" borderId="20" pivotButton="0" quotePrefix="0" xfId="1"/>
    <xf numFmtId="167" fontId="37" fillId="12" borderId="20" pivotButton="0" quotePrefix="0" xfId="0"/>
    <xf numFmtId="15" fontId="35" fillId="13" borderId="20" pivotButton="0" quotePrefix="0" xfId="0"/>
    <xf numFmtId="15" fontId="37" fillId="12" borderId="20" applyAlignment="1" pivotButton="0" quotePrefix="0" xfId="0">
      <alignment horizontal="right"/>
    </xf>
    <xf numFmtId="0" fontId="35" fillId="12" borderId="20" applyAlignment="1" pivotButton="0" quotePrefix="0" xfId="0">
      <alignment horizontal="left" vertical="center" wrapText="1"/>
    </xf>
    <xf numFmtId="0" fontId="37" fillId="12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35" fillId="13" borderId="20" applyAlignment="1" pivotButton="0" quotePrefix="0" xfId="0">
      <alignment horizontal="left" vertical="center" wrapText="1"/>
    </xf>
    <xf numFmtId="0" fontId="37" fillId="13" borderId="20" applyAlignment="1" pivotButton="0" quotePrefix="0" xfId="0">
      <alignment horizontal="left" vertical="center" wrapText="1"/>
    </xf>
    <xf numFmtId="3" fontId="37" fillId="13" borderId="20" applyAlignment="1" pivotButton="0" quotePrefix="0" xfId="1">
      <alignment vertical="center"/>
    </xf>
    <xf numFmtId="0" fontId="37" fillId="13" borderId="20" applyAlignment="1" pivotButton="0" quotePrefix="0" xfId="0">
      <alignment horizontal="center" vertical="center"/>
    </xf>
    <xf numFmtId="15" fontId="35" fillId="13" borderId="20" applyAlignment="1" pivotButton="0" quotePrefix="0" xfId="0">
      <alignment horizontal="right"/>
    </xf>
    <xf numFmtId="0" fontId="35" fillId="12" borderId="20" applyAlignment="1" pivotButton="0" quotePrefix="0" xfId="0">
      <alignment horizontal="left"/>
    </xf>
    <xf numFmtId="0" fontId="37" fillId="12" borderId="20" applyAlignment="1" pivotButton="0" quotePrefix="0" xfId="0">
      <alignment horizontal="left"/>
    </xf>
    <xf numFmtId="0" fontId="10" fillId="12" borderId="20" applyAlignment="1" pivotButton="0" quotePrefix="0" xfId="0">
      <alignment horizontal="left" vertical="center" wrapText="1"/>
    </xf>
    <xf numFmtId="0" fontId="37" fillId="13" borderId="20" applyAlignment="1" pivotButton="0" quotePrefix="0" xfId="0">
      <alignment horizontal="left"/>
    </xf>
    <xf numFmtId="0" fontId="10" fillId="12" borderId="20" applyAlignment="1" pivotButton="0" quotePrefix="0" xfId="0">
      <alignment horizontal="left"/>
    </xf>
    <xf numFmtId="3" fontId="10" fillId="12" borderId="20" applyAlignment="1" pivotButton="0" quotePrefix="0" xfId="0">
      <alignment horizontal="center"/>
    </xf>
    <xf numFmtId="0" fontId="35" fillId="12" borderId="20" applyAlignment="1" pivotButton="0" quotePrefix="0" xfId="0">
      <alignment horizontal="right"/>
    </xf>
    <xf numFmtId="3" fontId="35" fillId="12" borderId="20" pivotButton="0" quotePrefix="0" xfId="1"/>
    <xf numFmtId="3" fontId="35" fillId="12" borderId="20" pivotButton="0" quotePrefix="0" xfId="0"/>
    <xf numFmtId="167" fontId="8" fillId="0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4" t="n">
        <v>16500000</v>
      </c>
      <c r="G28" s="15" t="inlineStr">
        <is>
          <t>IDR</t>
        </is>
      </c>
      <c r="H28" s="311" t="n">
        <v>1</v>
      </c>
      <c r="I28" s="312" t="n">
        <v>16500000</v>
      </c>
      <c r="J28" s="314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2" t="n">
        <v>9790000</v>
      </c>
      <c r="G29" s="15" t="inlineStr">
        <is>
          <t>IDR</t>
        </is>
      </c>
      <c r="H29" s="311" t="n">
        <v>1</v>
      </c>
      <c r="I29" s="312" t="n">
        <v>9790000</v>
      </c>
      <c r="J29" s="314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2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14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2" t="n">
        <v>96126126</v>
      </c>
      <c r="G31" s="15" t="inlineStr">
        <is>
          <t>IDR</t>
        </is>
      </c>
      <c r="H31" s="311" t="n">
        <v>1</v>
      </c>
      <c r="I31" s="312" t="n">
        <v>96126126</v>
      </c>
      <c r="J31" s="312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2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2" t="n">
        <v>33836000</v>
      </c>
      <c r="G33" s="15" t="inlineStr">
        <is>
          <t>IDR</t>
        </is>
      </c>
      <c r="H33" s="311" t="n">
        <v>1</v>
      </c>
      <c r="I33" s="312" t="n">
        <v>33836000</v>
      </c>
      <c r="J33" s="312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2" t="n">
        <v>56276000</v>
      </c>
      <c r="G34" s="15" t="inlineStr">
        <is>
          <t>IDR</t>
        </is>
      </c>
      <c r="H34" s="311" t="n">
        <v>1</v>
      </c>
      <c r="I34" s="312" t="n">
        <v>56276000</v>
      </c>
      <c r="J34" s="314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2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14" t="n">
        <v>1726469</v>
      </c>
      <c r="O35" s="24" t="n"/>
      <c r="P35" s="21" t="n"/>
      <c r="Q35" s="42" t="n"/>
    </row>
    <row r="36" ht="15.5" customHeight="1" s="297">
      <c r="B36" s="331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4">
        <f>SUM(J27:J35)</f>
        <v/>
      </c>
      <c r="K36" s="335" t="inlineStr">
        <is>
          <t>PPh</t>
        </is>
      </c>
      <c r="L36" s="336">
        <f>SUM(L27:L35)</f>
        <v/>
      </c>
      <c r="M36" s="335" t="inlineStr">
        <is>
          <t>PPh</t>
        </is>
      </c>
      <c r="N36" s="336">
        <f>SUM(N27:N35)</f>
        <v/>
      </c>
      <c r="O36" s="335" t="inlineStr">
        <is>
          <t>PPh</t>
        </is>
      </c>
      <c r="P36" s="336">
        <f>SUM(P27:P35)</f>
        <v/>
      </c>
      <c r="Q36" s="337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/>
      <c r="C117" s="353" t="n"/>
      <c r="D117" s="344" t="inlineStr">
        <is>
          <t>Allowance</t>
        </is>
      </c>
      <c r="E117" s="354" t="n"/>
      <c r="F117" s="370" t="n"/>
      <c r="G117" s="353" t="n"/>
      <c r="H117" s="353" t="n"/>
      <c r="I117" s="359" t="n"/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/>
      <c r="C118" s="353" t="n"/>
      <c r="D118" s="344" t="inlineStr">
        <is>
          <t>Logistic</t>
        </is>
      </c>
      <c r="E118" s="354" t="n"/>
      <c r="F118" s="370" t="n"/>
      <c r="G118" s="353" t="n"/>
      <c r="H118" s="353" t="n"/>
      <c r="I118" s="359" t="n"/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/>
      <c r="C119" s="353" t="n"/>
      <c r="D119" s="344" t="inlineStr">
        <is>
          <t>Meal</t>
        </is>
      </c>
      <c r="E119" s="354" t="n"/>
      <c r="F119" s="370" t="n"/>
      <c r="G119" s="353" t="n"/>
      <c r="H119" s="353" t="n"/>
      <c r="I119" s="360" t="n"/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69" t="n"/>
      <c r="C120" s="353" t="n"/>
      <c r="D120" s="344" t="inlineStr">
        <is>
          <t>Transportation</t>
        </is>
      </c>
      <c r="E120" s="354" t="n"/>
      <c r="F120" s="370" t="n"/>
      <c r="G120" s="353" t="n"/>
      <c r="H120" s="353" t="n"/>
      <c r="I120" s="354" t="n"/>
      <c r="J120" s="360" t="n"/>
      <c r="K120" s="354" t="n"/>
      <c r="L120" s="354" t="n"/>
      <c r="M120" s="359" t="n"/>
      <c r="N120" s="359" t="n"/>
      <c r="O120" s="354" t="n"/>
      <c r="P120" s="354" t="n"/>
      <c r="Q120" s="354" t="n"/>
      <c r="R120" s="354" t="n"/>
      <c r="S120" s="354" t="n"/>
      <c r="T120" s="354" t="n"/>
      <c r="U120" s="354" t="n"/>
      <c r="V120" s="354" t="n"/>
      <c r="W120" s="354" t="n"/>
      <c r="X120" s="354" t="n"/>
    </row>
    <row r="121" ht="15.5" customHeight="1" s="297">
      <c r="B121" s="394" t="inlineStr">
        <is>
          <t>Expense#2</t>
        </is>
      </c>
      <c r="C121" s="403" t="inlineStr">
        <is>
          <t>:</t>
        </is>
      </c>
      <c r="D121" s="404" t="inlineStr">
        <is>
          <t>Training ALFA _TLJ-58 (PEPZ4-Prabumulih field_ Titis Maulana</t>
        </is>
      </c>
      <c r="E121" s="405" t="n"/>
      <c r="F121" s="406" t="n"/>
      <c r="G121" s="403" t="n"/>
      <c r="H121" s="403" t="n"/>
      <c r="I121" s="407" t="n"/>
      <c r="J121" s="407" t="n"/>
      <c r="K121" s="407" t="n"/>
      <c r="L121" s="407" t="n"/>
      <c r="M121" s="407" t="n"/>
      <c r="N121" s="407" t="n"/>
      <c r="O121" s="407" t="n"/>
      <c r="P121" s="407" t="n"/>
      <c r="Q121" s="407" t="n"/>
      <c r="R121" s="408" t="n"/>
      <c r="S121" s="408" t="n"/>
      <c r="T121" s="408" t="n"/>
      <c r="U121" s="408" t="n"/>
      <c r="V121" s="408" t="n"/>
      <c r="W121" s="408" t="n"/>
      <c r="X121" s="408" t="n"/>
    </row>
    <row r="122" ht="15.5" customHeight="1" s="297">
      <c r="B122" s="384" t="n"/>
      <c r="C122" s="343" t="n"/>
      <c r="D122" s="365" t="inlineStr">
        <is>
          <t>Accommodation</t>
        </is>
      </c>
      <c r="E122" s="366" t="n"/>
      <c r="F122" s="409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/>
      <c r="C123" s="353" t="n"/>
      <c r="D123" s="365" t="inlineStr">
        <is>
          <t>Allowance</t>
        </is>
      </c>
      <c r="E123" s="361" t="n"/>
      <c r="F123" s="370" t="n"/>
      <c r="G123" s="353" t="n"/>
      <c r="H123" s="353" t="n"/>
      <c r="I123" s="360" t="n"/>
      <c r="J123" s="360" t="n"/>
      <c r="K123" s="354" t="n"/>
      <c r="L123" s="354" t="n"/>
      <c r="M123" s="360" t="n"/>
      <c r="N123" s="354" t="n"/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/>
      <c r="C124" s="353" t="n"/>
      <c r="D124" s="365" t="inlineStr">
        <is>
          <t>Logistic</t>
        </is>
      </c>
      <c r="E124" s="361" t="n"/>
      <c r="F124" s="370" t="n"/>
      <c r="G124" s="353" t="n"/>
      <c r="H124" s="353" t="n"/>
      <c r="I124" s="359" t="n"/>
      <c r="J124" s="360" t="n"/>
      <c r="K124" s="354" t="n"/>
      <c r="L124" s="354" t="n"/>
      <c r="M124" s="360" t="n"/>
      <c r="N124" s="354" t="n"/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/>
      <c r="C125" s="353" t="n"/>
      <c r="D125" s="365" t="inlineStr">
        <is>
          <t>Meal</t>
        </is>
      </c>
      <c r="E125" s="361" t="n"/>
      <c r="F125" s="370" t="n"/>
      <c r="G125" s="353" t="n"/>
      <c r="H125" s="353" t="n"/>
      <c r="I125" s="360" t="n"/>
      <c r="J125" s="360" t="n"/>
      <c r="K125" s="354" t="n"/>
      <c r="L125" s="354" t="n"/>
      <c r="M125" s="360" t="n"/>
      <c r="N125" s="354" t="n"/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/>
      <c r="C126" s="353" t="n"/>
      <c r="D126" s="365" t="inlineStr">
        <is>
          <t>Transportation</t>
        </is>
      </c>
      <c r="E126" s="361" t="n"/>
      <c r="F126" s="370" t="n"/>
      <c r="G126" s="353" t="n"/>
      <c r="H126" s="410" t="n"/>
      <c r="I126" s="360" t="n"/>
      <c r="J126" s="360" t="n"/>
      <c r="K126" s="354" t="n"/>
      <c r="L126" s="354" t="n"/>
      <c r="M126" s="354" t="n"/>
      <c r="N126" s="354" t="n"/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411" t="inlineStr">
        <is>
          <t>Expense#3</t>
        </is>
      </c>
      <c r="C127" s="403" t="inlineStr">
        <is>
          <t>:</t>
        </is>
      </c>
      <c r="D127" s="412" t="inlineStr">
        <is>
          <t>MPLT (SAKA-UjungPangkah field) GOWell - TGE _IC</t>
        </is>
      </c>
      <c r="E127" s="413" t="n"/>
      <c r="F127" s="414" t="n"/>
      <c r="G127" s="403" t="n"/>
      <c r="H127" s="403" t="n"/>
      <c r="I127" s="415" t="n"/>
      <c r="J127" s="407" t="n"/>
      <c r="K127" s="408" t="n"/>
      <c r="L127" s="408" t="n"/>
      <c r="M127" s="415" t="n"/>
      <c r="N127" s="408" t="n"/>
      <c r="O127" s="408" t="n"/>
      <c r="P127" s="408" t="n"/>
      <c r="Q127" s="408" t="n"/>
      <c r="R127" s="408" t="n"/>
      <c r="S127" s="408" t="n"/>
      <c r="T127" s="408" t="n"/>
      <c r="U127" s="408" t="n"/>
      <c r="V127" s="408" t="n"/>
      <c r="W127" s="408" t="n"/>
      <c r="X127" s="408" t="n"/>
    </row>
    <row r="128" ht="15.5" customHeight="1" s="297">
      <c r="B128" s="342" t="n"/>
      <c r="C128" s="343" t="n"/>
      <c r="D128" s="344" t="inlineStr">
        <is>
          <t>Accommodation</t>
        </is>
      </c>
      <c r="E128" s="416" t="n"/>
      <c r="F128" s="368" t="n"/>
      <c r="G128" s="343" t="n"/>
      <c r="H128" s="343" t="n"/>
      <c r="I128" s="348" t="n"/>
      <c r="J128" s="349" t="n"/>
      <c r="K128" s="350" t="n"/>
      <c r="L128" s="350" t="n"/>
      <c r="M128" s="348" t="n"/>
      <c r="N128" s="350" t="n"/>
      <c r="O128" s="350" t="n"/>
      <c r="P128" s="350" t="n"/>
      <c r="Q128" s="350" t="n"/>
      <c r="R128" s="351" t="n"/>
      <c r="S128" s="351" t="n"/>
      <c r="T128" s="351" t="n"/>
      <c r="U128" s="351" t="n"/>
      <c r="V128" s="351" t="n"/>
      <c r="W128" s="351" t="n"/>
      <c r="X128" s="351" t="n"/>
    </row>
    <row r="129" ht="15.5" customHeight="1" s="297">
      <c r="B129" s="369" t="n"/>
      <c r="C129" s="353" t="n"/>
      <c r="D129" s="365" t="inlineStr">
        <is>
          <t>Allowance</t>
        </is>
      </c>
      <c r="E129" s="361" t="n"/>
      <c r="F129" s="370" t="n"/>
      <c r="G129" s="353" t="n"/>
      <c r="H129" s="353" t="n"/>
      <c r="I129" s="359" t="n"/>
      <c r="J129" s="354" t="n"/>
      <c r="K129" s="354" t="n"/>
      <c r="L129" s="354" t="n"/>
      <c r="M129" s="354" t="n"/>
      <c r="N129" s="354" t="n"/>
      <c r="O129" s="354" t="n"/>
      <c r="P129" s="354" t="n"/>
      <c r="Q129" s="354" t="n"/>
      <c r="R129" s="354" t="n"/>
      <c r="S129" s="354" t="n"/>
      <c r="T129" s="354" t="n"/>
      <c r="U129" s="354" t="n"/>
      <c r="V129" s="354" t="n"/>
      <c r="W129" s="354" t="n"/>
      <c r="X129" s="354" t="n"/>
    </row>
    <row r="130" ht="15.5" customHeight="1" s="297">
      <c r="B130" s="369" t="n"/>
      <c r="C130" s="353" t="n"/>
      <c r="D130" s="344" t="inlineStr">
        <is>
          <t>Meal</t>
        </is>
      </c>
      <c r="E130" s="354" t="n"/>
      <c r="F130" s="370" t="n"/>
      <c r="G130" s="353" t="n"/>
      <c r="H130" s="353" t="n"/>
      <c r="I130" s="359" t="n"/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/>
      <c r="C131" s="353" t="n"/>
      <c r="D131" s="365" t="inlineStr">
        <is>
          <t>Transportation</t>
        </is>
      </c>
      <c r="E131" s="361" t="n"/>
      <c r="F131" s="370" t="n"/>
      <c r="G131" s="353" t="n"/>
      <c r="H131" s="353" t="n"/>
      <c r="I131" s="359" t="n"/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94" t="inlineStr">
        <is>
          <t>Expense#4</t>
        </is>
      </c>
      <c r="C132" s="403" t="inlineStr">
        <is>
          <t>:</t>
        </is>
      </c>
      <c r="D132" s="404" t="inlineStr">
        <is>
          <t>Non project (3rd) _ Ivan Chairulsyah</t>
        </is>
      </c>
      <c r="E132" s="405" t="n"/>
      <c r="F132" s="406" t="n"/>
      <c r="G132" s="403" t="n"/>
      <c r="H132" s="403" t="n"/>
      <c r="I132" s="415" t="n"/>
      <c r="J132" s="407" t="n"/>
      <c r="K132" s="408" t="n"/>
      <c r="L132" s="408" t="n"/>
      <c r="M132" s="408" t="n"/>
      <c r="N132" s="415" t="n"/>
      <c r="O132" s="408" t="n"/>
      <c r="P132" s="408" t="n"/>
      <c r="Q132" s="408" t="n"/>
      <c r="R132" s="408" t="n"/>
      <c r="S132" s="408" t="n"/>
      <c r="T132" s="408" t="n"/>
      <c r="U132" s="408" t="n"/>
      <c r="V132" s="408" t="n"/>
      <c r="W132" s="408" t="n"/>
      <c r="X132" s="408" t="n"/>
    </row>
    <row r="133" ht="15.5" customHeight="1" s="297">
      <c r="B133" s="384" t="n"/>
      <c r="C133" s="343" t="n"/>
      <c r="D133" s="365" t="inlineStr">
        <is>
          <t>Pembelian Barang</t>
        </is>
      </c>
      <c r="E133" s="366" t="n"/>
      <c r="F133" s="368" t="n"/>
      <c r="G133" s="343" t="n"/>
      <c r="H133" s="343" t="n"/>
      <c r="I133" s="348" t="n"/>
      <c r="J133" s="349" t="n"/>
      <c r="K133" s="350" t="n"/>
      <c r="L133" s="350" t="n"/>
      <c r="M133" s="350" t="n"/>
      <c r="N133" s="348" t="n"/>
      <c r="O133" s="350" t="n"/>
      <c r="P133" s="350" t="n"/>
      <c r="Q133" s="350" t="n"/>
      <c r="R133" s="351" t="n"/>
      <c r="S133" s="351" t="n"/>
      <c r="T133" s="351" t="n"/>
      <c r="U133" s="351" t="n"/>
      <c r="V133" s="351" t="n"/>
      <c r="W133" s="351" t="n"/>
      <c r="X133" s="351" t="n"/>
    </row>
    <row r="134" ht="15.5" customHeight="1" s="297">
      <c r="B134" s="394" t="inlineStr">
        <is>
          <t>Expense#5</t>
        </is>
      </c>
      <c r="C134" s="403" t="inlineStr">
        <is>
          <t>:</t>
        </is>
      </c>
      <c r="D134" s="404" t="inlineStr">
        <is>
          <t>MCU RS PP _Titis Maulana</t>
        </is>
      </c>
      <c r="E134" s="405" t="n"/>
      <c r="F134" s="406" t="n"/>
      <c r="G134" s="403" t="n"/>
      <c r="H134" s="403" t="n"/>
      <c r="I134" s="415" t="n"/>
      <c r="J134" s="407" t="n"/>
      <c r="K134" s="408" t="n"/>
      <c r="L134" s="408" t="n"/>
      <c r="M134" s="408" t="n"/>
      <c r="N134" s="415" t="n"/>
      <c r="O134" s="408" t="n"/>
      <c r="P134" s="408" t="n"/>
      <c r="Q134" s="408" t="n"/>
      <c r="R134" s="408" t="n"/>
      <c r="S134" s="408" t="n"/>
      <c r="T134" s="408" t="n"/>
      <c r="U134" s="408" t="n"/>
      <c r="V134" s="408" t="n"/>
      <c r="W134" s="408" t="n"/>
      <c r="X134" s="408" t="n"/>
    </row>
    <row r="135" ht="15.5" customHeight="1" s="297">
      <c r="B135" s="384" t="n"/>
      <c r="C135" s="343" t="n"/>
      <c r="D135" s="365" t="inlineStr">
        <is>
          <t>Kesehatan</t>
        </is>
      </c>
      <c r="E135" s="417" t="n"/>
      <c r="F135" s="368" t="n"/>
      <c r="G135" s="343" t="n"/>
      <c r="H135" s="343" t="n"/>
      <c r="I135" s="348" t="n"/>
      <c r="J135" s="349" t="n"/>
      <c r="K135" s="350" t="n"/>
      <c r="L135" s="350" t="n"/>
      <c r="M135" s="350" t="n"/>
      <c r="N135" s="348" t="n"/>
      <c r="O135" s="350" t="n"/>
      <c r="P135" s="350" t="n"/>
      <c r="Q135" s="350" t="n"/>
      <c r="R135" s="351" t="n"/>
      <c r="S135" s="351" t="n"/>
      <c r="T135" s="351" t="n"/>
      <c r="U135" s="351" t="n"/>
      <c r="V135" s="351" t="n"/>
      <c r="W135" s="351" t="n"/>
      <c r="X135" s="351" t="n"/>
    </row>
    <row r="136" ht="15.5" customHeight="1" s="297">
      <c r="B136" s="394" t="inlineStr">
        <is>
          <t>Expense#6</t>
        </is>
      </c>
      <c r="C136" s="403" t="inlineStr">
        <is>
          <t>:</t>
        </is>
      </c>
      <c r="D136" s="404" t="inlineStr">
        <is>
          <t>MPLT (SAKA-UjungPangkah field) by TGE - GOWell project_IC</t>
        </is>
      </c>
      <c r="E136" s="405" t="n"/>
      <c r="F136" s="406" t="n"/>
      <c r="G136" s="403" t="n"/>
      <c r="H136" s="403" t="n"/>
      <c r="I136" s="415" t="n"/>
      <c r="J136" s="407" t="n"/>
      <c r="K136" s="408" t="n"/>
      <c r="L136" s="408" t="n"/>
      <c r="M136" s="408" t="n"/>
      <c r="N136" s="408" t="n"/>
      <c r="O136" s="408" t="n"/>
      <c r="P136" s="408" t="n"/>
      <c r="Q136" s="408" t="n"/>
      <c r="R136" s="408" t="n"/>
      <c r="S136" s="408" t="n"/>
      <c r="T136" s="408" t="n"/>
      <c r="U136" s="408" t="n"/>
      <c r="V136" s="408" t="n"/>
      <c r="W136" s="408" t="n"/>
      <c r="X136" s="408" t="n"/>
    </row>
    <row r="137" ht="15.5" customHeight="1" s="297">
      <c r="B137" s="384" t="n"/>
      <c r="C137" s="343" t="n"/>
      <c r="D137" s="365" t="inlineStr">
        <is>
          <t>Accommodation</t>
        </is>
      </c>
      <c r="E137" s="417" t="n"/>
      <c r="F137" s="368" t="n"/>
      <c r="G137" s="343" t="n"/>
      <c r="H137" s="343" t="n"/>
      <c r="I137" s="348" t="n"/>
      <c r="J137" s="349" t="n"/>
      <c r="K137" s="350" t="n"/>
      <c r="L137" s="350" t="n"/>
      <c r="M137" s="350" t="n"/>
      <c r="N137" s="350" t="n"/>
      <c r="O137" s="350" t="n"/>
      <c r="P137" s="350" t="n"/>
      <c r="Q137" s="350" t="n"/>
      <c r="R137" s="351" t="n"/>
      <c r="S137" s="351" t="n"/>
      <c r="T137" s="351" t="n"/>
      <c r="U137" s="351" t="n"/>
      <c r="V137" s="351" t="n"/>
      <c r="W137" s="351" t="n"/>
      <c r="X137" s="351" t="n"/>
    </row>
    <row r="138" ht="15.5" customHeight="1" s="297">
      <c r="B138" s="369" t="n"/>
      <c r="C138" s="353" t="n"/>
      <c r="D138" s="344" t="inlineStr">
        <is>
          <t>Meal</t>
        </is>
      </c>
      <c r="E138" s="354" t="n"/>
      <c r="F138" s="370" t="n"/>
      <c r="G138" s="353" t="n"/>
      <c r="H138" s="353" t="n"/>
      <c r="I138" s="359" t="n"/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/>
      <c r="C139" s="353" t="n"/>
      <c r="D139" s="344" t="inlineStr">
        <is>
          <t>Shipping</t>
        </is>
      </c>
      <c r="E139" s="354" t="n"/>
      <c r="F139" s="370" t="n"/>
      <c r="G139" s="353" t="n"/>
      <c r="H139" s="353" t="n"/>
      <c r="I139" s="354" t="n"/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/>
      <c r="C140" s="353" t="n"/>
      <c r="D140" s="344" t="inlineStr">
        <is>
          <t>Transportation</t>
        </is>
      </c>
      <c r="E140" s="354" t="n"/>
      <c r="F140" s="370" t="n"/>
      <c r="G140" s="353" t="n"/>
      <c r="H140" s="353" t="n"/>
      <c r="I140" s="360" t="n"/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Expense#7</t>
        </is>
      </c>
      <c r="C141" s="403" t="inlineStr">
        <is>
          <t>:</t>
        </is>
      </c>
      <c r="D141" s="404" t="inlineStr">
        <is>
          <t>PLT SRO_ TGB-33 (Jatibarang Field) Elnusa _ IC</t>
        </is>
      </c>
      <c r="E141" s="405" t="n"/>
      <c r="F141" s="406" t="n"/>
      <c r="G141" s="403" t="n"/>
      <c r="H141" s="403" t="n"/>
      <c r="I141" s="407" t="n"/>
      <c r="J141" s="407" t="n"/>
      <c r="K141" s="408" t="n"/>
      <c r="L141" s="408" t="n"/>
      <c r="M141" s="408" t="n"/>
      <c r="N141" s="408" t="n"/>
      <c r="O141" s="408" t="n"/>
      <c r="P141" s="408" t="n"/>
      <c r="Q141" s="408" t="n"/>
      <c r="R141" s="408" t="n"/>
      <c r="S141" s="408" t="n"/>
      <c r="T141" s="408" t="n"/>
      <c r="U141" s="408" t="n"/>
      <c r="V141" s="408" t="n"/>
      <c r="W141" s="408" t="n"/>
      <c r="X141" s="408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/>
      <c r="C143" s="353" t="n"/>
      <c r="D143" s="365" t="inlineStr">
        <is>
          <t>Allowance</t>
        </is>
      </c>
      <c r="E143" s="361" t="n"/>
      <c r="F143" s="370" t="n"/>
      <c r="G143" s="353" t="n"/>
      <c r="H143" s="353" t="n"/>
      <c r="I143" s="360" t="n"/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69" t="n"/>
      <c r="C144" s="353" t="n"/>
      <c r="D144" s="365" t="inlineStr">
        <is>
          <t>Meal</t>
        </is>
      </c>
      <c r="E144" s="361" t="n"/>
      <c r="F144" s="370" t="n"/>
      <c r="G144" s="353" t="n"/>
      <c r="H144" s="410" t="n"/>
      <c r="I144" s="360" t="n"/>
      <c r="J144" s="360" t="n"/>
      <c r="K144" s="354" t="n"/>
      <c r="L144" s="354" t="n"/>
      <c r="M144" s="359" t="n"/>
      <c r="N144" s="354" t="n"/>
      <c r="O144" s="354" t="n"/>
      <c r="P144" s="354" t="n"/>
      <c r="Q144" s="354" t="n"/>
      <c r="R144" s="354" t="n"/>
      <c r="S144" s="354" t="n"/>
      <c r="T144" s="354" t="n"/>
      <c r="U144" s="354" t="n"/>
      <c r="V144" s="354" t="n"/>
      <c r="W144" s="354" t="n"/>
      <c r="X144" s="354" t="n"/>
    </row>
    <row r="145" ht="15.5" customHeight="1" s="297">
      <c r="B145" s="382" t="n"/>
      <c r="C145" s="353" t="n"/>
      <c r="D145" s="418" t="inlineStr">
        <is>
          <t>Transportation</t>
        </is>
      </c>
      <c r="E145" s="383" t="n"/>
      <c r="F145" s="363" t="n"/>
      <c r="G145" s="353" t="n"/>
      <c r="H145" s="353" t="n"/>
      <c r="I145" s="360" t="n"/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94" t="inlineStr">
        <is>
          <t>Expense#8</t>
        </is>
      </c>
      <c r="C146" s="403" t="inlineStr">
        <is>
          <t>:</t>
        </is>
      </c>
      <c r="D146" s="396" t="inlineStr">
        <is>
          <t>Training BST_ PHR-zona 4 (Dwiyanto) (Dwi_Febri dan Ilham)</t>
        </is>
      </c>
      <c r="E146" s="408" t="n"/>
      <c r="F146" s="406" t="n"/>
      <c r="G146" s="403" t="n"/>
      <c r="H146" s="403" t="n"/>
      <c r="I146" s="407" t="n"/>
      <c r="J146" s="407" t="n"/>
      <c r="K146" s="408" t="n"/>
      <c r="L146" s="408" t="n"/>
      <c r="M146" s="415" t="n"/>
      <c r="N146" s="408" t="n"/>
      <c r="O146" s="408" t="n"/>
      <c r="P146" s="408" t="n"/>
      <c r="Q146" s="408" t="n"/>
      <c r="R146" s="408" t="n"/>
      <c r="S146" s="408" t="n"/>
      <c r="T146" s="408" t="n"/>
      <c r="U146" s="408" t="n"/>
      <c r="V146" s="408" t="n"/>
      <c r="W146" s="408" t="n"/>
      <c r="X146" s="408" t="n"/>
    </row>
    <row r="147" ht="15.5" customHeight="1" s="297">
      <c r="B147" s="384" t="n"/>
      <c r="C147" s="343" t="n"/>
      <c r="D147" s="365" t="inlineStr">
        <is>
          <t>Accommodation</t>
        </is>
      </c>
      <c r="E147" s="366" t="n"/>
      <c r="F147" s="368" t="n"/>
      <c r="G147" s="343" t="n"/>
      <c r="H147" s="343" t="n"/>
      <c r="I147" s="348" t="n"/>
      <c r="J147" s="349" t="n"/>
      <c r="K147" s="350" t="n"/>
      <c r="L147" s="350" t="n"/>
      <c r="M147" s="348" t="n"/>
      <c r="N147" s="350" t="n"/>
      <c r="O147" s="350" t="n"/>
      <c r="P147" s="350" t="n"/>
      <c r="Q147" s="350" t="n"/>
      <c r="R147" s="351" t="n"/>
      <c r="S147" s="351" t="n"/>
      <c r="T147" s="351" t="n"/>
      <c r="U147" s="351" t="n"/>
      <c r="V147" s="351" t="n"/>
      <c r="W147" s="351" t="n"/>
      <c r="X147" s="351" t="n"/>
    </row>
    <row r="148" ht="15.5" customHeight="1" s="297">
      <c r="B148" s="369" t="n"/>
      <c r="C148" s="353" t="n"/>
      <c r="D148" s="365" t="inlineStr">
        <is>
          <t>Meal</t>
        </is>
      </c>
      <c r="E148" s="361" t="n"/>
      <c r="F148" s="370" t="n"/>
      <c r="G148" s="353" t="n"/>
      <c r="H148" s="353" t="n"/>
      <c r="I148" s="359" t="n"/>
      <c r="J148" s="360" t="n"/>
      <c r="K148" s="354" t="n"/>
      <c r="L148" s="354" t="n"/>
      <c r="M148" s="354" t="n"/>
      <c r="N148" s="354" t="n"/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/>
      <c r="C149" s="353" t="n"/>
      <c r="D149" s="365" t="inlineStr">
        <is>
          <t>Transportation</t>
        </is>
      </c>
      <c r="E149" s="361" t="n"/>
      <c r="F149" s="370" t="n"/>
      <c r="G149" s="353" t="n"/>
      <c r="H149" s="353" t="n"/>
      <c r="I149" s="360" t="n"/>
      <c r="J149" s="360" t="n"/>
      <c r="K149" s="354" t="n"/>
      <c r="L149" s="354" t="n"/>
      <c r="M149" s="354" t="n"/>
      <c r="N149" s="354" t="n"/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94" t="inlineStr">
        <is>
          <t>Expense#9</t>
        </is>
      </c>
      <c r="C150" s="403" t="inlineStr">
        <is>
          <t>:</t>
        </is>
      </c>
      <c r="D150" s="404" t="inlineStr">
        <is>
          <t>MFC and ALFA Memory (Jatibarang Field) TGB-033_Elnusa_ AC</t>
        </is>
      </c>
      <c r="E150" s="405" t="n"/>
      <c r="F150" s="406" t="n"/>
      <c r="G150" s="403" t="n"/>
      <c r="H150" s="403" t="n"/>
      <c r="I150" s="407" t="n"/>
      <c r="J150" s="407" t="n"/>
      <c r="K150" s="408" t="n"/>
      <c r="L150" s="408" t="n"/>
      <c r="M150" s="408" t="n"/>
      <c r="N150" s="408" t="n"/>
      <c r="O150" s="408" t="n"/>
      <c r="P150" s="408" t="n"/>
      <c r="Q150" s="408" t="n"/>
      <c r="R150" s="408" t="n"/>
      <c r="S150" s="408" t="n"/>
      <c r="T150" s="408" t="n"/>
      <c r="U150" s="408" t="n"/>
      <c r="V150" s="408" t="n"/>
      <c r="W150" s="408" t="n"/>
      <c r="X150" s="408" t="n"/>
    </row>
    <row r="151" ht="15.5" customHeight="1" s="297">
      <c r="B151" s="384" t="n"/>
      <c r="C151" s="343" t="n"/>
      <c r="D151" s="365" t="inlineStr">
        <is>
          <t>Accommodation</t>
        </is>
      </c>
      <c r="E151" s="417" t="n"/>
      <c r="F151" s="368" t="n"/>
      <c r="G151" s="343" t="n"/>
      <c r="H151" s="343" t="n"/>
      <c r="I151" s="349" t="n"/>
      <c r="J151" s="349" t="n"/>
      <c r="K151" s="350" t="n"/>
      <c r="L151" s="350" t="n"/>
      <c r="M151" s="350" t="n"/>
      <c r="N151" s="350" t="n"/>
      <c r="O151" s="350" t="n"/>
      <c r="P151" s="350" t="n"/>
      <c r="Q151" s="350" t="n"/>
      <c r="R151" s="351" t="n"/>
      <c r="S151" s="351" t="n"/>
      <c r="T151" s="351" t="n"/>
      <c r="U151" s="351" t="n"/>
      <c r="V151" s="351" t="n"/>
      <c r="W151" s="351" t="n"/>
      <c r="X151" s="351" t="n"/>
    </row>
    <row r="152" ht="15.5" customHeight="1" s="297">
      <c r="B152" s="369" t="n"/>
      <c r="C152" s="353" t="n"/>
      <c r="D152" s="365" t="inlineStr">
        <is>
          <t>Allowance</t>
        </is>
      </c>
      <c r="E152" s="361" t="n"/>
      <c r="F152" s="370" t="n"/>
      <c r="G152" s="353" t="n"/>
      <c r="H152" s="353" t="n"/>
      <c r="I152" s="360" t="n"/>
      <c r="J152" s="360" t="n"/>
      <c r="K152" s="354" t="n"/>
      <c r="L152" s="354" t="n"/>
      <c r="M152" s="354" t="n"/>
      <c r="N152" s="354" t="n"/>
      <c r="O152" s="354" t="n"/>
      <c r="P152" s="354" t="n"/>
      <c r="Q152" s="354" t="n"/>
      <c r="R152" s="354" t="n"/>
      <c r="S152" s="354" t="n"/>
      <c r="T152" s="354" t="n"/>
      <c r="U152" s="354" t="n"/>
      <c r="V152" s="354" t="n"/>
      <c r="W152" s="354" t="n"/>
      <c r="X152" s="354" t="n"/>
    </row>
    <row r="153" ht="15.5" customHeight="1" s="297">
      <c r="B153" s="369" t="n"/>
      <c r="C153" s="353" t="n"/>
      <c r="D153" s="365" t="inlineStr">
        <is>
          <t>Transportation</t>
        </is>
      </c>
      <c r="E153" s="361" t="n"/>
      <c r="F153" s="370" t="n"/>
      <c r="G153" s="353" t="n"/>
      <c r="H153" s="353" t="n"/>
      <c r="I153" s="354" t="n"/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94" t="inlineStr">
        <is>
          <t>Expense#10</t>
        </is>
      </c>
      <c r="C154" s="403" t="inlineStr">
        <is>
          <t>:</t>
        </is>
      </c>
      <c r="D154" s="404" t="inlineStr">
        <is>
          <t>ALFA+PLT (TGB-033 Zona 7) Elnusa_TMA</t>
        </is>
      </c>
      <c r="E154" s="405" t="n"/>
      <c r="F154" s="406" t="n"/>
      <c r="G154" s="403" t="n"/>
      <c r="H154" s="419" t="n"/>
      <c r="I154" s="407" t="n"/>
      <c r="J154" s="407" t="n"/>
      <c r="K154" s="408" t="n"/>
      <c r="L154" s="408" t="n"/>
      <c r="M154" s="408" t="n"/>
      <c r="N154" s="408" t="n"/>
      <c r="O154" s="408" t="n"/>
      <c r="P154" s="408" t="n"/>
      <c r="Q154" s="408" t="n"/>
      <c r="R154" s="408" t="n"/>
      <c r="S154" s="408" t="n"/>
      <c r="T154" s="408" t="n"/>
      <c r="U154" s="408" t="n"/>
      <c r="V154" s="408" t="n"/>
      <c r="W154" s="408" t="n"/>
      <c r="X154" s="408" t="n"/>
    </row>
    <row r="155" ht="15.5" customHeight="1" s="297">
      <c r="B155" s="350" t="n"/>
      <c r="C155" s="420" t="n"/>
      <c r="D155" s="418" t="inlineStr">
        <is>
          <t>Accommodation</t>
        </is>
      </c>
      <c r="E155" s="421" t="n"/>
      <c r="F155" s="345" t="n"/>
      <c r="G155" s="343" t="n"/>
      <c r="H155" s="343" t="n"/>
      <c r="I155" s="349" t="n"/>
      <c r="J155" s="349" t="n"/>
      <c r="K155" s="350" t="n"/>
      <c r="L155" s="350" t="n"/>
      <c r="M155" s="348" t="n"/>
      <c r="N155" s="350" t="n"/>
      <c r="O155" s="350" t="n"/>
      <c r="P155" s="350" t="n"/>
      <c r="Q155" s="350" t="n"/>
      <c r="R155" s="351" t="n"/>
      <c r="S155" s="351" t="n"/>
      <c r="T155" s="351" t="n"/>
      <c r="U155" s="351" t="n"/>
      <c r="V155" s="351" t="n"/>
      <c r="W155" s="351" t="n"/>
      <c r="X155" s="351" t="n"/>
    </row>
    <row r="156" ht="15.5" customHeight="1" s="297">
      <c r="B156" s="369" t="n"/>
      <c r="C156" s="353" t="n"/>
      <c r="D156" s="365" t="inlineStr">
        <is>
          <t>Allowance</t>
        </is>
      </c>
      <c r="E156" s="361" t="n"/>
      <c r="F156" s="370" t="n"/>
      <c r="G156" s="353" t="n"/>
      <c r="H156" s="353" t="n"/>
      <c r="I156" s="360" t="n"/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/>
      <c r="C157" s="353" t="n"/>
      <c r="D157" s="365" t="inlineStr">
        <is>
          <t>Logistic</t>
        </is>
      </c>
      <c r="E157" s="361" t="n"/>
      <c r="F157" s="370" t="n"/>
      <c r="G157" s="353" t="n"/>
      <c r="H157" s="353" t="n"/>
      <c r="I157" s="360" t="n"/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69" t="n"/>
      <c r="C158" s="353" t="n"/>
      <c r="D158" s="365" t="inlineStr">
        <is>
          <t>Meal</t>
        </is>
      </c>
      <c r="E158" s="361" t="n"/>
      <c r="F158" s="370" t="n"/>
      <c r="G158" s="353" t="n"/>
      <c r="H158" s="353" t="n"/>
      <c r="I158" s="360" t="n"/>
      <c r="J158" s="360" t="n"/>
      <c r="K158" s="354" t="n"/>
      <c r="L158" s="354" t="n"/>
      <c r="M158" s="359" t="n"/>
      <c r="N158" s="360" t="n"/>
      <c r="O158" s="354" t="n"/>
      <c r="P158" s="354" t="n"/>
      <c r="Q158" s="354" t="n"/>
      <c r="R158" s="354" t="n"/>
      <c r="S158" s="354" t="n"/>
      <c r="T158" s="354" t="n"/>
      <c r="U158" s="354" t="n"/>
      <c r="V158" s="354" t="n"/>
      <c r="W158" s="354" t="n"/>
      <c r="X158" s="354" t="n"/>
    </row>
    <row r="159" ht="15.5" customHeight="1" s="297">
      <c r="B159" s="394" t="inlineStr">
        <is>
          <t>Expense#11</t>
        </is>
      </c>
      <c r="C159" s="403" t="inlineStr">
        <is>
          <t>:</t>
        </is>
      </c>
      <c r="D159" s="404" t="inlineStr">
        <is>
          <t>ALFA+MFC (TGB-033 Zona 7) Elnusa_TMA</t>
        </is>
      </c>
      <c r="E159" s="405" t="n"/>
      <c r="F159" s="406" t="n"/>
      <c r="G159" s="403" t="n"/>
      <c r="H159" s="403" t="n"/>
      <c r="I159" s="407" t="n"/>
      <c r="J159" s="407" t="n"/>
      <c r="K159" s="408" t="n"/>
      <c r="L159" s="408" t="n"/>
      <c r="M159" s="415" t="n"/>
      <c r="N159" s="407" t="n"/>
      <c r="O159" s="408" t="n"/>
      <c r="P159" s="408" t="n"/>
      <c r="Q159" s="408" t="n"/>
      <c r="R159" s="408" t="n"/>
      <c r="S159" s="408" t="n"/>
      <c r="T159" s="408" t="n"/>
      <c r="U159" s="408" t="n"/>
      <c r="V159" s="408" t="n"/>
      <c r="W159" s="408" t="n"/>
      <c r="X159" s="408" t="n"/>
    </row>
    <row r="160" ht="15.5" customHeight="1" s="297">
      <c r="B160" s="384" t="n"/>
      <c r="C160" s="343" t="n"/>
      <c r="D160" s="365" t="inlineStr">
        <is>
          <t>Accommodation</t>
        </is>
      </c>
      <c r="E160" s="366" t="n"/>
      <c r="F160" s="368" t="n"/>
      <c r="G160" s="343" t="n"/>
      <c r="H160" s="343" t="n"/>
      <c r="I160" s="349" t="n"/>
      <c r="J160" s="349" t="n"/>
      <c r="K160" s="350" t="n"/>
      <c r="L160" s="350" t="n"/>
      <c r="M160" s="350" t="n"/>
      <c r="N160" s="349" t="n"/>
      <c r="O160" s="350" t="n"/>
      <c r="P160" s="350" t="n"/>
      <c r="Q160" s="350" t="n"/>
      <c r="R160" s="351" t="n"/>
      <c r="S160" s="351" t="n"/>
      <c r="T160" s="351" t="n"/>
      <c r="U160" s="351" t="n"/>
      <c r="V160" s="351" t="n"/>
      <c r="W160" s="351" t="n"/>
      <c r="X160" s="351" t="n"/>
    </row>
    <row r="161" ht="15.5" customHeight="1" s="297">
      <c r="B161" s="369" t="n"/>
      <c r="C161" s="353" t="n"/>
      <c r="D161" s="365" t="inlineStr">
        <is>
          <t>Allowance</t>
        </is>
      </c>
      <c r="E161" s="361" t="n"/>
      <c r="F161" s="370" t="n"/>
      <c r="G161" s="353" t="n"/>
      <c r="H161" s="353" t="n"/>
      <c r="I161" s="360" t="n"/>
      <c r="J161" s="360" t="n"/>
      <c r="K161" s="354" t="n"/>
      <c r="L161" s="354" t="n"/>
      <c r="M161" s="359" t="n"/>
      <c r="N161" s="360" t="n"/>
      <c r="O161" s="354" t="n"/>
      <c r="P161" s="354" t="n"/>
      <c r="Q161" s="354" t="n"/>
      <c r="R161" s="354" t="n"/>
      <c r="S161" s="354" t="n"/>
      <c r="T161" s="354" t="n"/>
      <c r="U161" s="354" t="n"/>
      <c r="V161" s="354" t="n"/>
      <c r="W161" s="354" t="n"/>
      <c r="X161" s="354" t="n"/>
    </row>
    <row r="162" ht="15.5" customHeight="1" s="297">
      <c r="B162" s="369" t="n"/>
      <c r="C162" s="353" t="n"/>
      <c r="D162" s="365" t="inlineStr">
        <is>
          <t>Logistic</t>
        </is>
      </c>
      <c r="E162" s="361" t="n"/>
      <c r="F162" s="370" t="n"/>
      <c r="G162" s="353" t="n"/>
      <c r="H162" s="353" t="n"/>
      <c r="I162" s="360" t="n"/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69" t="n"/>
      <c r="C163" s="353" t="n"/>
      <c r="D163" s="365" t="inlineStr">
        <is>
          <t>Meal</t>
        </is>
      </c>
      <c r="E163" s="361" t="n"/>
      <c r="F163" s="370" t="n"/>
      <c r="G163" s="353" t="n"/>
      <c r="H163" s="353" t="n"/>
      <c r="I163" s="360" t="n"/>
      <c r="J163" s="360" t="n"/>
      <c r="K163" s="354" t="n"/>
      <c r="L163" s="354" t="n"/>
      <c r="M163" s="354" t="n"/>
      <c r="N163" s="360" t="n"/>
      <c r="O163" s="354" t="n"/>
      <c r="P163" s="354" t="n"/>
      <c r="Q163" s="354" t="n"/>
      <c r="R163" s="354" t="n"/>
      <c r="S163" s="354" t="n"/>
      <c r="T163" s="354" t="n"/>
      <c r="U163" s="354" t="n"/>
      <c r="V163" s="354" t="n"/>
      <c r="W163" s="354" t="n"/>
      <c r="X163" s="354" t="n"/>
    </row>
    <row r="164" ht="15.5" customHeight="1" s="297">
      <c r="B164" s="382" t="n"/>
      <c r="C164" s="353" t="n"/>
      <c r="D164" s="418" t="inlineStr">
        <is>
          <t>Transportation</t>
        </is>
      </c>
      <c r="E164" s="383" t="n"/>
      <c r="F164" s="363" t="n"/>
      <c r="G164" s="353" t="n"/>
      <c r="H164" s="353" t="n"/>
      <c r="I164" s="360" t="n"/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94" t="inlineStr">
        <is>
          <t>Expense#12</t>
        </is>
      </c>
      <c r="C165" s="403" t="inlineStr">
        <is>
          <t>:</t>
        </is>
      </c>
      <c r="D165" s="404" t="inlineStr">
        <is>
          <t>BOSIET Training -_TMA</t>
        </is>
      </c>
      <c r="E165" s="405" t="n"/>
      <c r="F165" s="422" t="n"/>
      <c r="G165" s="403" t="n"/>
      <c r="H165" s="403" t="n"/>
      <c r="I165" s="407" t="n"/>
      <c r="J165" s="407" t="n"/>
      <c r="K165" s="408" t="n"/>
      <c r="L165" s="408" t="n"/>
      <c r="M165" s="408" t="n"/>
      <c r="N165" s="408" t="n"/>
      <c r="O165" s="408" t="n"/>
      <c r="P165" s="407" t="n"/>
      <c r="Q165" s="408" t="n"/>
      <c r="R165" s="408" t="n"/>
      <c r="S165" s="408" t="n"/>
      <c r="T165" s="408" t="n"/>
      <c r="U165" s="408" t="n"/>
      <c r="V165" s="408" t="n"/>
      <c r="W165" s="408" t="n"/>
      <c r="X165" s="408" t="n"/>
    </row>
    <row r="166" ht="15.5" customHeight="1" s="297">
      <c r="B166" s="350" t="n"/>
      <c r="C166" s="420" t="n"/>
      <c r="D166" s="418" t="inlineStr">
        <is>
          <t>Biaya Operasi</t>
        </is>
      </c>
      <c r="E166" s="421" t="n"/>
      <c r="F166" s="345" t="n"/>
      <c r="G166" s="343" t="n"/>
      <c r="H166" s="343" t="n"/>
      <c r="I166" s="349" t="n"/>
      <c r="J166" s="349" t="n"/>
      <c r="K166" s="350" t="n"/>
      <c r="L166" s="350" t="n"/>
      <c r="M166" s="349" t="n"/>
      <c r="N166" s="350" t="n"/>
      <c r="O166" s="350" t="n"/>
      <c r="P166" s="350" t="n"/>
      <c r="Q166" s="350" t="n"/>
      <c r="R166" s="351" t="n"/>
      <c r="S166" s="351" t="n"/>
      <c r="T166" s="351" t="n"/>
      <c r="U166" s="351" t="n"/>
      <c r="V166" s="351" t="n"/>
      <c r="W166" s="351" t="n"/>
      <c r="X166" s="351" t="n"/>
    </row>
    <row r="167" ht="15.5" customHeight="1" s="297">
      <c r="B167" s="394" t="inlineStr">
        <is>
          <t>Expense#13</t>
        </is>
      </c>
      <c r="C167" s="403" t="inlineStr">
        <is>
          <t>:</t>
        </is>
      </c>
      <c r="D167" s="396" t="inlineStr">
        <is>
          <t>Non Trip MCU Dwiyanto</t>
        </is>
      </c>
      <c r="E167" s="408" t="n"/>
      <c r="F167" s="406" t="n"/>
      <c r="G167" s="403" t="n"/>
      <c r="H167" s="403" t="n"/>
      <c r="I167" s="407" t="n"/>
      <c r="J167" s="407" t="n"/>
      <c r="K167" s="408" t="n"/>
      <c r="L167" s="408" t="n"/>
      <c r="M167" s="407" t="n"/>
      <c r="N167" s="408" t="n"/>
      <c r="O167" s="408" t="n"/>
      <c r="P167" s="408" t="n"/>
      <c r="Q167" s="408" t="n"/>
      <c r="R167" s="408" t="n"/>
      <c r="S167" s="408" t="n"/>
      <c r="T167" s="408" t="n"/>
      <c r="U167" s="408" t="n"/>
      <c r="V167" s="408" t="n"/>
      <c r="W167" s="408" t="n"/>
      <c r="X167" s="408" t="n"/>
    </row>
    <row r="168" ht="15.5" customHeight="1" s="297">
      <c r="B168" s="384" t="n"/>
      <c r="C168" s="343" t="n"/>
      <c r="D168" s="365" t="inlineStr">
        <is>
          <t>Kesehatan</t>
        </is>
      </c>
      <c r="E168" s="366" t="n"/>
      <c r="F168" s="368" t="n"/>
      <c r="G168" s="343" t="n"/>
      <c r="H168" s="343" t="n"/>
      <c r="I168" s="348" t="n"/>
      <c r="J168" s="349" t="n"/>
      <c r="K168" s="350" t="n"/>
      <c r="L168" s="350" t="n"/>
      <c r="M168" s="349" t="n"/>
      <c r="N168" s="350" t="n"/>
      <c r="O168" s="350" t="n"/>
      <c r="P168" s="350" t="n"/>
      <c r="Q168" s="350" t="n"/>
      <c r="R168" s="351" t="n"/>
      <c r="S168" s="351" t="n"/>
      <c r="T168" s="351" t="n"/>
      <c r="U168" s="351" t="n"/>
      <c r="V168" s="351" t="n"/>
      <c r="W168" s="351" t="n"/>
      <c r="X168" s="351" t="n"/>
    </row>
    <row r="169" ht="15.5" customHeight="1" s="297">
      <c r="B169" s="369" t="n"/>
      <c r="C169" s="353" t="n"/>
      <c r="D169" s="365" t="inlineStr">
        <is>
          <t>Pembelian Barang</t>
        </is>
      </c>
      <c r="E169" s="361" t="n"/>
      <c r="F169" s="370" t="n"/>
      <c r="G169" s="353" t="n"/>
      <c r="H169" s="353" t="n"/>
      <c r="I169" s="359" t="n"/>
      <c r="J169" s="360" t="n"/>
      <c r="K169" s="354" t="n"/>
      <c r="L169" s="354" t="n"/>
      <c r="M169" s="360" t="n"/>
      <c r="N169" s="354" t="n"/>
      <c r="O169" s="354" t="n"/>
      <c r="P169" s="354" t="n"/>
      <c r="Q169" s="354" t="n"/>
      <c r="R169" s="354" t="n"/>
      <c r="S169" s="354" t="n"/>
      <c r="T169" s="354" t="n"/>
      <c r="U169" s="354" t="n"/>
      <c r="V169" s="354" t="n"/>
      <c r="W169" s="354" t="n"/>
      <c r="X169" s="354" t="n"/>
    </row>
    <row r="170" ht="15.5" customHeight="1" s="297">
      <c r="B170" s="394" t="inlineStr">
        <is>
          <t>Expense#14</t>
        </is>
      </c>
      <c r="C170" s="403" t="inlineStr">
        <is>
          <t>:</t>
        </is>
      </c>
      <c r="D170" s="404" t="inlineStr">
        <is>
          <t>Non project _ MCU - Ilham BR</t>
        </is>
      </c>
      <c r="E170" s="405" t="n"/>
      <c r="F170" s="406" t="n"/>
      <c r="G170" s="403" t="n"/>
      <c r="H170" s="403" t="n"/>
      <c r="I170" s="407" t="n"/>
      <c r="J170" s="407" t="n"/>
      <c r="K170" s="408" t="n"/>
      <c r="L170" s="408" t="n"/>
      <c r="M170" s="407" t="n"/>
      <c r="N170" s="408" t="n"/>
      <c r="O170" s="408" t="n"/>
      <c r="P170" s="408" t="n"/>
      <c r="Q170" s="408" t="n"/>
      <c r="R170" s="408" t="n"/>
      <c r="S170" s="408" t="n"/>
      <c r="T170" s="408" t="n"/>
      <c r="U170" s="408" t="n"/>
      <c r="V170" s="408" t="n"/>
      <c r="W170" s="408" t="n"/>
      <c r="X170" s="408" t="n"/>
    </row>
    <row r="171" ht="15.5" customHeight="1" s="297">
      <c r="B171" s="384" t="n"/>
      <c r="C171" s="343" t="n"/>
      <c r="D171" s="365" t="inlineStr">
        <is>
          <t>Kesehatan</t>
        </is>
      </c>
      <c r="E171" s="366" t="n"/>
      <c r="F171" s="368" t="n"/>
      <c r="G171" s="343" t="n"/>
      <c r="H171" s="343" t="n"/>
      <c r="I171" s="349" t="n"/>
      <c r="J171" s="349" t="n"/>
      <c r="K171" s="350" t="n"/>
      <c r="L171" s="350" t="n"/>
      <c r="M171" s="349" t="n"/>
      <c r="N171" s="350" t="n"/>
      <c r="O171" s="350" t="n"/>
      <c r="P171" s="350" t="n"/>
      <c r="Q171" s="350" t="n"/>
      <c r="R171" s="351" t="n"/>
      <c r="S171" s="351" t="n"/>
      <c r="T171" s="351" t="n"/>
      <c r="U171" s="351" t="n"/>
      <c r="V171" s="351" t="n"/>
      <c r="W171" s="351" t="n"/>
      <c r="X171" s="351" t="n"/>
    </row>
    <row r="172" ht="15.5" customHeight="1" s="297">
      <c r="B172" s="394" t="inlineStr">
        <is>
          <t>Expense#15</t>
        </is>
      </c>
      <c r="C172" s="403" t="inlineStr">
        <is>
          <t>:</t>
        </is>
      </c>
      <c r="D172" s="404" t="inlineStr">
        <is>
          <t>ALFA Job - Jrk-193 _ OJT_ Ilham BR</t>
        </is>
      </c>
      <c r="E172" s="405" t="n"/>
      <c r="F172" s="406" t="n"/>
      <c r="G172" s="403" t="n"/>
      <c r="H172" s="403" t="n"/>
      <c r="I172" s="407" t="n"/>
      <c r="J172" s="407" t="n"/>
      <c r="K172" s="408" t="n"/>
      <c r="L172" s="408" t="n"/>
      <c r="M172" s="407" t="n"/>
      <c r="N172" s="408" t="n"/>
      <c r="O172" s="408" t="n"/>
      <c r="P172" s="408" t="n"/>
      <c r="Q172" s="408" t="n"/>
      <c r="R172" s="408" t="n"/>
      <c r="S172" s="408" t="n"/>
      <c r="T172" s="408" t="n"/>
      <c r="U172" s="408" t="n"/>
      <c r="V172" s="408" t="n"/>
      <c r="W172" s="408" t="n"/>
      <c r="X172" s="408" t="n"/>
    </row>
    <row r="173" ht="15.5" customHeight="1" s="297">
      <c r="B173" s="384" t="n"/>
      <c r="C173" s="343" t="n"/>
      <c r="D173" s="365" t="inlineStr">
        <is>
          <t>Allowance</t>
        </is>
      </c>
      <c r="E173" s="366" t="n"/>
      <c r="F173" s="368" t="n"/>
      <c r="G173" s="343" t="n"/>
      <c r="H173" s="343" t="n"/>
      <c r="I173" s="349" t="n"/>
      <c r="J173" s="349" t="n"/>
      <c r="K173" s="350" t="n"/>
      <c r="L173" s="350" t="n"/>
      <c r="M173" s="349" t="n"/>
      <c r="N173" s="350" t="n"/>
      <c r="O173" s="350" t="n"/>
      <c r="P173" s="350" t="n"/>
      <c r="Q173" s="350" t="n"/>
      <c r="R173" s="351" t="n"/>
      <c r="S173" s="351" t="n"/>
      <c r="T173" s="351" t="n"/>
      <c r="U173" s="351" t="n"/>
      <c r="V173" s="351" t="n"/>
      <c r="W173" s="351" t="n"/>
      <c r="X173" s="351" t="n"/>
    </row>
    <row r="174" ht="15.5" customHeight="1" s="297">
      <c r="B174" s="369" t="n"/>
      <c r="C174" s="353" t="n"/>
      <c r="D174" s="365" t="inlineStr">
        <is>
          <t>Biaya Operasi</t>
        </is>
      </c>
      <c r="E174" s="361" t="n"/>
      <c r="F174" s="370" t="n"/>
      <c r="G174" s="353" t="n"/>
      <c r="H174" s="353" t="n"/>
      <c r="I174" s="360" t="n"/>
      <c r="J174" s="360" t="n"/>
      <c r="K174" s="354" t="n"/>
      <c r="L174" s="354" t="n"/>
      <c r="M174" s="360" t="n"/>
      <c r="N174" s="354" t="n"/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94" t="inlineStr">
        <is>
          <t>Expense#16</t>
        </is>
      </c>
      <c r="C175" s="403" t="inlineStr">
        <is>
          <t>:</t>
        </is>
      </c>
      <c r="D175" s="404" t="inlineStr">
        <is>
          <t>ALFA job - JRK-193 OJT - Dwiyanto S</t>
        </is>
      </c>
      <c r="E175" s="405" t="n"/>
      <c r="F175" s="406" t="n"/>
      <c r="G175" s="403" t="n"/>
      <c r="H175" s="403" t="n"/>
      <c r="I175" s="415" t="n"/>
      <c r="J175" s="407" t="n"/>
      <c r="K175" s="408" t="n"/>
      <c r="L175" s="408" t="n"/>
      <c r="M175" s="415" t="n"/>
      <c r="N175" s="408" t="n"/>
      <c r="O175" s="408" t="n"/>
      <c r="P175" s="408" t="n"/>
      <c r="Q175" s="408" t="n"/>
      <c r="R175" s="408" t="n"/>
      <c r="S175" s="408" t="n"/>
      <c r="T175" s="408" t="n"/>
      <c r="U175" s="408" t="n"/>
      <c r="V175" s="408" t="n"/>
      <c r="W175" s="408" t="n"/>
      <c r="X175" s="408" t="n"/>
    </row>
    <row r="176" ht="15.5" customHeight="1" s="297">
      <c r="B176" s="384" t="n"/>
      <c r="C176" s="343" t="n"/>
      <c r="D176" s="365" t="inlineStr">
        <is>
          <t>Allowance</t>
        </is>
      </c>
      <c r="E176" s="366" t="n"/>
      <c r="F176" s="368" t="n"/>
      <c r="G176" s="343" t="n"/>
      <c r="H176" s="343" t="n"/>
      <c r="I176" s="348" t="n"/>
      <c r="J176" s="349" t="n"/>
      <c r="K176" s="350" t="n"/>
      <c r="L176" s="350" t="n"/>
      <c r="M176" s="348" t="n"/>
      <c r="N176" s="350" t="n"/>
      <c r="O176" s="350" t="n"/>
      <c r="P176" s="350" t="n"/>
      <c r="Q176" s="350" t="n"/>
      <c r="R176" s="351" t="n"/>
      <c r="S176" s="351" t="n"/>
      <c r="T176" s="351" t="n"/>
      <c r="U176" s="351" t="n"/>
      <c r="V176" s="351" t="n"/>
      <c r="W176" s="351" t="n"/>
      <c r="X176" s="351" t="n"/>
    </row>
    <row r="177" ht="15.5" customHeight="1" s="297">
      <c r="B177" s="369" t="n"/>
      <c r="C177" s="353" t="n"/>
      <c r="D177" s="365" t="inlineStr">
        <is>
          <t>Hand Tools</t>
        </is>
      </c>
      <c r="E177" s="361" t="n"/>
      <c r="F177" s="370" t="n"/>
      <c r="G177" s="353" t="n"/>
      <c r="H177" s="353" t="n"/>
      <c r="I177" s="359" t="n"/>
      <c r="J177" s="360" t="n"/>
      <c r="K177" s="354" t="n"/>
      <c r="L177" s="354" t="n"/>
      <c r="M177" s="354" t="n"/>
      <c r="N177" s="354" t="n"/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69" t="n"/>
      <c r="C178" s="353" t="n"/>
      <c r="D178" s="365" t="inlineStr">
        <is>
          <t>Laundry</t>
        </is>
      </c>
      <c r="E178" s="361" t="n"/>
      <c r="F178" s="370" t="n"/>
      <c r="G178" s="353" t="n"/>
      <c r="H178" s="353" t="n"/>
      <c r="I178" s="359" t="n"/>
      <c r="J178" s="360" t="n"/>
      <c r="K178" s="354" t="n"/>
      <c r="L178" s="354" t="n"/>
      <c r="M178" s="359" t="n"/>
      <c r="N178" s="354" t="n"/>
      <c r="O178" s="354" t="n"/>
      <c r="P178" s="354" t="n"/>
      <c r="Q178" s="354" t="n"/>
      <c r="R178" s="354" t="n"/>
      <c r="S178" s="354" t="n"/>
      <c r="T178" s="354" t="n"/>
      <c r="U178" s="354" t="n"/>
      <c r="V178" s="354" t="n"/>
      <c r="W178" s="354" t="n"/>
      <c r="X178" s="354" t="n"/>
    </row>
    <row r="179" ht="15.5" customHeight="1" s="297">
      <c r="B179" s="369" t="n"/>
      <c r="C179" s="353" t="n"/>
      <c r="D179" s="365" t="inlineStr">
        <is>
          <t>Logistic</t>
        </is>
      </c>
      <c r="E179" s="361" t="n"/>
      <c r="F179" s="370" t="n"/>
      <c r="G179" s="353" t="n"/>
      <c r="H179" s="353" t="n"/>
      <c r="I179" s="359" t="n"/>
      <c r="J179" s="360" t="n"/>
      <c r="K179" s="354" t="n"/>
      <c r="L179" s="354" t="n"/>
      <c r="M179" s="354" t="n"/>
      <c r="N179" s="354" t="n"/>
      <c r="O179" s="354" t="n"/>
      <c r="P179" s="354" t="n"/>
      <c r="Q179" s="354" t="n"/>
      <c r="R179" s="354" t="n"/>
      <c r="S179" s="354" t="n"/>
      <c r="T179" s="354" t="n"/>
      <c r="U179" s="354" t="n"/>
      <c r="V179" s="354" t="n"/>
      <c r="W179" s="354" t="n"/>
      <c r="X179" s="354" t="n"/>
    </row>
    <row r="180" ht="15.5" customHeight="1" s="297">
      <c r="B180" s="369" t="n"/>
      <c r="C180" s="353" t="n"/>
      <c r="D180" s="365" t="inlineStr">
        <is>
          <t>Transportation</t>
        </is>
      </c>
      <c r="E180" s="361" t="n"/>
      <c r="F180" s="370" t="n"/>
      <c r="G180" s="353" t="n"/>
      <c r="H180" s="353" t="n"/>
      <c r="I180" s="359" t="n"/>
      <c r="J180" s="360" t="n"/>
      <c r="K180" s="354" t="n"/>
      <c r="L180" s="354" t="n"/>
      <c r="M180" s="354" t="n"/>
      <c r="N180" s="359" t="n"/>
      <c r="O180" s="354" t="n"/>
      <c r="P180" s="354" t="n"/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Expense#17</t>
        </is>
      </c>
      <c r="C181" s="403" t="inlineStr">
        <is>
          <t>:</t>
        </is>
      </c>
      <c r="D181" s="404" t="inlineStr">
        <is>
          <t>ALFA JRK-193 - project SI_ TMA</t>
        </is>
      </c>
      <c r="E181" s="405" t="n"/>
      <c r="F181" s="406" t="n"/>
      <c r="G181" s="403" t="n"/>
      <c r="H181" s="403" t="n"/>
      <c r="I181" s="408" t="n"/>
      <c r="J181" s="408" t="n"/>
      <c r="K181" s="408" t="n"/>
      <c r="L181" s="408" t="n"/>
      <c r="M181" s="408" t="n"/>
      <c r="N181" s="408" t="n"/>
      <c r="O181" s="408" t="n"/>
      <c r="P181" s="408" t="n"/>
      <c r="Q181" s="408" t="n"/>
      <c r="R181" s="408" t="n"/>
      <c r="S181" s="408" t="n"/>
      <c r="T181" s="408" t="n"/>
      <c r="U181" s="408" t="n"/>
      <c r="V181" s="408" t="n"/>
      <c r="W181" s="408" t="n"/>
      <c r="X181" s="408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/>
      <c r="C183" s="353" t="n"/>
      <c r="D183" s="365" t="inlineStr">
        <is>
          <t>Allowance</t>
        </is>
      </c>
      <c r="E183" s="361" t="n"/>
      <c r="F183" s="370" t="n"/>
      <c r="G183" s="353" t="n"/>
      <c r="H183" s="353" t="n"/>
      <c r="I183" s="423" t="n"/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69" t="n"/>
      <c r="C184" s="353" t="n"/>
      <c r="D184" s="365" t="inlineStr">
        <is>
          <t>Meal</t>
        </is>
      </c>
      <c r="E184" s="361" t="n"/>
      <c r="F184" s="370" t="n"/>
      <c r="G184" s="353" t="n"/>
      <c r="H184" s="410" t="n"/>
      <c r="I184" s="360" t="n"/>
      <c r="J184" s="354" t="n"/>
      <c r="K184" s="354" t="n"/>
      <c r="L184" s="354" t="n"/>
      <c r="M184" s="354" t="n"/>
      <c r="N184" s="354" t="n"/>
      <c r="O184" s="354" t="n"/>
      <c r="P184" s="354" t="n"/>
      <c r="Q184" s="354" t="n"/>
      <c r="R184" s="354" t="n"/>
      <c r="S184" s="354" t="n"/>
      <c r="T184" s="354" t="n"/>
      <c r="U184" s="354" t="n"/>
      <c r="V184" s="354" t="n"/>
      <c r="W184" s="354" t="n"/>
      <c r="X184" s="354" t="n"/>
    </row>
    <row r="185" ht="15.5" customHeight="1" s="297">
      <c r="B185" s="382" t="n"/>
      <c r="C185" s="353" t="n"/>
      <c r="D185" s="418" t="inlineStr">
        <is>
          <t>Transportation</t>
        </is>
      </c>
      <c r="E185" s="383" t="n"/>
      <c r="F185" s="363" t="n"/>
      <c r="G185" s="353" t="n"/>
      <c r="H185" s="353" t="n"/>
      <c r="I185" s="360" t="n"/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424" t="inlineStr">
        <is>
          <t>Expense#18</t>
        </is>
      </c>
      <c r="C186" s="403" t="inlineStr">
        <is>
          <t>:</t>
        </is>
      </c>
      <c r="D186" s="396" t="inlineStr">
        <is>
          <t>Non Trip - BOSIET Training - DS</t>
        </is>
      </c>
      <c r="E186" s="408" t="n"/>
      <c r="F186" s="406" t="n"/>
      <c r="G186" s="403" t="n"/>
      <c r="H186" s="403" t="n"/>
      <c r="I186" s="408" t="n"/>
      <c r="J186" s="407" t="n"/>
      <c r="K186" s="408" t="n"/>
      <c r="L186" s="408" t="n"/>
      <c r="M186" s="415" t="n"/>
      <c r="N186" s="408" t="n"/>
      <c r="O186" s="408" t="n"/>
      <c r="P186" s="408" t="n"/>
      <c r="Q186" s="408" t="n"/>
      <c r="R186" s="408" t="n"/>
      <c r="S186" s="408" t="n"/>
      <c r="T186" s="408" t="n"/>
      <c r="U186" s="408" t="n"/>
      <c r="V186" s="408" t="n"/>
      <c r="W186" s="408" t="n"/>
      <c r="X186" s="408" t="n"/>
    </row>
    <row r="187" ht="15.5" customHeight="1" s="297">
      <c r="B187" s="384" t="n"/>
      <c r="C187" s="343" t="n"/>
      <c r="D187" s="365" t="inlineStr">
        <is>
          <t>Training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/>
      <c r="C188" s="353" t="n"/>
      <c r="D188" s="365" t="inlineStr">
        <is>
          <t>Transportation</t>
        </is>
      </c>
      <c r="E188" s="361" t="n"/>
      <c r="F188" s="370" t="n"/>
      <c r="G188" s="353" t="n"/>
      <c r="H188" s="353" t="n"/>
      <c r="I188" s="359" t="n"/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94" t="inlineStr">
        <is>
          <t>Expense#19</t>
        </is>
      </c>
      <c r="C189" s="403" t="inlineStr">
        <is>
          <t>:</t>
        </is>
      </c>
      <c r="D189" s="404" t="inlineStr">
        <is>
          <t>ALFA JRK-163 (Pending job) - TMA</t>
        </is>
      </c>
      <c r="E189" s="405" t="n"/>
      <c r="F189" s="406" t="n"/>
      <c r="G189" s="403" t="n"/>
      <c r="H189" s="403" t="n"/>
      <c r="I189" s="407" t="n"/>
      <c r="J189" s="407" t="n"/>
      <c r="K189" s="408" t="n"/>
      <c r="L189" s="408" t="n"/>
      <c r="M189" s="408" t="n"/>
      <c r="N189" s="415" t="n"/>
      <c r="O189" s="408" t="n"/>
      <c r="P189" s="408" t="n"/>
      <c r="Q189" s="408" t="n"/>
      <c r="R189" s="408" t="n"/>
      <c r="S189" s="408" t="n"/>
      <c r="T189" s="408" t="n"/>
      <c r="U189" s="408" t="n"/>
      <c r="V189" s="408" t="n"/>
      <c r="W189" s="408" t="n"/>
      <c r="X189" s="408" t="n"/>
    </row>
    <row r="190" ht="15.5" customHeight="1" s="297">
      <c r="B190" s="384" t="n"/>
      <c r="C190" s="343" t="n"/>
      <c r="D190" s="365" t="inlineStr">
        <is>
          <t>Accommodation</t>
        </is>
      </c>
      <c r="E190" s="366" t="n"/>
      <c r="F190" s="368" t="n"/>
      <c r="G190" s="343" t="n"/>
      <c r="H190" s="343" t="n"/>
      <c r="I190" s="348" t="n"/>
      <c r="J190" s="349" t="n"/>
      <c r="K190" s="350" t="n"/>
      <c r="L190" s="350" t="n"/>
      <c r="M190" s="350" t="n"/>
      <c r="N190" s="348" t="n"/>
      <c r="O190" s="350" t="n"/>
      <c r="P190" s="350" t="n"/>
      <c r="Q190" s="350" t="n"/>
      <c r="R190" s="351" t="n"/>
      <c r="S190" s="351" t="n"/>
      <c r="T190" s="351" t="n"/>
      <c r="U190" s="351" t="n"/>
      <c r="V190" s="351" t="n"/>
      <c r="W190" s="351" t="n"/>
      <c r="X190" s="351" t="n"/>
    </row>
    <row r="191" ht="15.5" customHeight="1" s="297">
      <c r="B191" s="369" t="n"/>
      <c r="C191" s="353" t="n"/>
      <c r="D191" s="365" t="inlineStr">
        <is>
          <t>Allowance</t>
        </is>
      </c>
      <c r="E191" s="361" t="n"/>
      <c r="F191" s="370" t="n"/>
      <c r="G191" s="353" t="n"/>
      <c r="H191" s="353" t="n"/>
      <c r="I191" s="359" t="n"/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/>
      <c r="C192" s="353" t="n"/>
      <c r="D192" s="365" t="inlineStr">
        <is>
          <t>Logistic</t>
        </is>
      </c>
      <c r="E192" s="361" t="n"/>
      <c r="F192" s="370" t="n"/>
      <c r="G192" s="353" t="n"/>
      <c r="H192" s="353" t="n"/>
      <c r="I192" s="359" t="n"/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/>
      <c r="C193" s="353" t="n"/>
      <c r="D193" s="365" t="inlineStr">
        <is>
          <t>Meal</t>
        </is>
      </c>
      <c r="E193" s="361" t="n"/>
      <c r="F193" s="370" t="n"/>
      <c r="G193" s="353" t="n"/>
      <c r="H193" s="353" t="n"/>
      <c r="I193" s="359" t="n"/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69" t="n"/>
      <c r="C194" s="353" t="n"/>
      <c r="D194" s="365" t="inlineStr">
        <is>
          <t>Transportation</t>
        </is>
      </c>
      <c r="E194" s="361" t="n"/>
      <c r="F194" s="370" t="n"/>
      <c r="G194" s="353" t="n"/>
      <c r="H194" s="353" t="n"/>
      <c r="I194" s="354" t="n"/>
      <c r="J194" s="360" t="n"/>
      <c r="K194" s="354" t="n"/>
      <c r="L194" s="354" t="n"/>
      <c r="M194" s="354" t="n"/>
      <c r="N194" s="354" t="n"/>
      <c r="O194" s="354" t="n"/>
      <c r="P194" s="354" t="n"/>
      <c r="Q194" s="354" t="n"/>
      <c r="R194" s="354" t="n"/>
      <c r="S194" s="354" t="n"/>
      <c r="T194" s="354" t="n"/>
      <c r="U194" s="354" t="n"/>
      <c r="V194" s="354" t="n"/>
      <c r="W194" s="354" t="n"/>
      <c r="X194" s="354" t="n"/>
    </row>
    <row r="195" ht="15.5" customHeight="1" s="297">
      <c r="B195" s="394" t="inlineStr">
        <is>
          <t>Expense#20</t>
        </is>
      </c>
      <c r="C195" s="403" t="inlineStr">
        <is>
          <t>:</t>
        </is>
      </c>
      <c r="D195" s="404" t="inlineStr">
        <is>
          <t>Preparation TIS Petroleum - TMA</t>
        </is>
      </c>
      <c r="E195" s="405" t="n"/>
      <c r="F195" s="406" t="n"/>
      <c r="G195" s="403" t="n"/>
      <c r="H195" s="419" t="n"/>
      <c r="I195" s="407" t="n"/>
      <c r="J195" s="407" t="n"/>
      <c r="K195" s="408" t="n"/>
      <c r="L195" s="408" t="n"/>
      <c r="M195" s="408" t="n"/>
      <c r="N195" s="408" t="n"/>
      <c r="O195" s="408" t="n"/>
      <c r="P195" s="408" t="n"/>
      <c r="Q195" s="408" t="n"/>
      <c r="R195" s="408" t="n"/>
      <c r="S195" s="408" t="n"/>
      <c r="T195" s="408" t="n"/>
      <c r="U195" s="408" t="n"/>
      <c r="V195" s="408" t="n"/>
      <c r="W195" s="408" t="n"/>
      <c r="X195" s="408" t="n"/>
    </row>
    <row r="196" ht="15.5" customHeight="1" s="297">
      <c r="B196" s="350" t="n"/>
      <c r="C196" s="420" t="n"/>
      <c r="D196" s="418" t="inlineStr">
        <is>
          <t>Logistic</t>
        </is>
      </c>
      <c r="E196" s="421" t="n"/>
      <c r="F196" s="345" t="n"/>
      <c r="G196" s="343" t="n"/>
      <c r="H196" s="343" t="n"/>
      <c r="I196" s="350" t="n"/>
      <c r="J196" s="349" t="n"/>
      <c r="K196" s="350" t="n"/>
      <c r="L196" s="350" t="n"/>
      <c r="M196" s="348" t="n"/>
      <c r="N196" s="350" t="n"/>
      <c r="O196" s="350" t="n"/>
      <c r="P196" s="350" t="n"/>
      <c r="Q196" s="350" t="n"/>
      <c r="R196" s="351" t="n"/>
      <c r="S196" s="351" t="n"/>
      <c r="T196" s="351" t="n"/>
      <c r="U196" s="351" t="n"/>
      <c r="V196" s="351" t="n"/>
      <c r="W196" s="351" t="n"/>
      <c r="X196" s="351" t="n"/>
    </row>
    <row r="197" ht="15.5" customHeight="1" s="297">
      <c r="B197" s="352" t="n"/>
      <c r="C197" s="353" t="n"/>
      <c r="D197" s="344" t="inlineStr">
        <is>
          <t>Transportation</t>
        </is>
      </c>
      <c r="E197" s="354" t="n"/>
      <c r="F197" s="355" t="n"/>
      <c r="G197" s="353" t="n"/>
      <c r="H197" s="353" t="n"/>
      <c r="I197" s="360" t="n"/>
      <c r="J197" s="360" t="n"/>
      <c r="K197" s="354" t="n"/>
      <c r="L197" s="354" t="n"/>
      <c r="M197" s="360" t="n"/>
      <c r="N197" s="354" t="n"/>
      <c r="O197" s="354" t="n"/>
      <c r="P197" s="354" t="n"/>
      <c r="Q197" s="354" t="n"/>
      <c r="R197" s="354" t="n"/>
      <c r="S197" s="354" t="n"/>
      <c r="T197" s="354" t="n"/>
      <c r="U197" s="354" t="n"/>
      <c r="V197" s="354" t="n"/>
      <c r="W197" s="354" t="n"/>
      <c r="X197" s="354" t="n"/>
    </row>
    <row r="198" ht="15.5" customHeight="1" s="297">
      <c r="B198" s="394" t="inlineStr">
        <is>
          <t>Expense#21</t>
        </is>
      </c>
      <c r="C198" s="403" t="inlineStr">
        <is>
          <t>:</t>
        </is>
      </c>
      <c r="D198" s="396" t="inlineStr">
        <is>
          <t>Delivery Tools Sonoecho (KL) - TMA</t>
        </is>
      </c>
      <c r="E198" s="408" t="n"/>
      <c r="F198" s="422" t="n"/>
      <c r="G198" s="403" t="n"/>
      <c r="H198" s="403" t="n"/>
      <c r="I198" s="415" t="n"/>
      <c r="J198" s="407" t="n"/>
      <c r="K198" s="408" t="n"/>
      <c r="L198" s="408" t="n"/>
      <c r="M198" s="415" t="n"/>
      <c r="N198" s="408" t="n"/>
      <c r="O198" s="408" t="n"/>
      <c r="P198" s="408" t="n"/>
      <c r="Q198" s="408" t="n"/>
      <c r="R198" s="408" t="n"/>
      <c r="S198" s="408" t="n"/>
      <c r="T198" s="408" t="n"/>
      <c r="U198" s="408" t="n"/>
      <c r="V198" s="408" t="n"/>
      <c r="W198" s="408" t="n"/>
      <c r="X198" s="408" t="n"/>
    </row>
    <row r="199" ht="15.5" customHeight="1" s="297">
      <c r="B199" s="384" t="n"/>
      <c r="C199" s="343" t="n"/>
      <c r="D199" s="344" t="inlineStr">
        <is>
          <t>Accommodation</t>
        </is>
      </c>
      <c r="E199" s="416" t="n"/>
      <c r="F199" s="346" t="n"/>
      <c r="G199" s="343" t="n"/>
      <c r="H199" s="343" t="n"/>
      <c r="I199" s="349" t="n"/>
      <c r="J199" s="349" t="n"/>
      <c r="K199" s="350" t="n"/>
      <c r="L199" s="350" t="n"/>
      <c r="M199" s="349" t="n"/>
      <c r="N199" s="350" t="n"/>
      <c r="O199" s="350" t="n"/>
      <c r="P199" s="350" t="n"/>
      <c r="Q199" s="350" t="n"/>
      <c r="R199" s="351" t="n"/>
      <c r="S199" s="351" t="n"/>
      <c r="T199" s="351" t="n"/>
      <c r="U199" s="351" t="n"/>
      <c r="V199" s="351" t="n"/>
      <c r="W199" s="351" t="n"/>
      <c r="X199" s="351" t="n"/>
    </row>
    <row r="200" ht="15.5" customHeight="1" s="297">
      <c r="B200" s="425" t="n"/>
      <c r="C200" s="353" t="n"/>
      <c r="D200" s="365" t="inlineStr">
        <is>
          <t>Logistic</t>
        </is>
      </c>
      <c r="E200" s="361" t="n"/>
      <c r="F200" s="355" t="n"/>
      <c r="G200" s="353" t="n"/>
      <c r="H200" s="353" t="n"/>
      <c r="I200" s="359" t="n"/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69" t="n"/>
      <c r="C201" s="353" t="n"/>
      <c r="D201" s="365" t="inlineStr">
        <is>
          <t>Transportation</t>
        </is>
      </c>
      <c r="E201" s="361" t="n"/>
      <c r="F201" s="355" t="n"/>
      <c r="G201" s="353" t="n"/>
      <c r="H201" s="353" t="n"/>
      <c r="I201" s="359" t="n"/>
      <c r="J201" s="354" t="n"/>
      <c r="K201" s="354" t="n"/>
      <c r="L201" s="354" t="n"/>
      <c r="M201" s="354" t="n"/>
      <c r="N201" s="354" t="n"/>
      <c r="O201" s="354" t="n"/>
      <c r="P201" s="354" t="n"/>
      <c r="Q201" s="354" t="n"/>
      <c r="R201" s="354" t="n"/>
      <c r="S201" s="354" t="n"/>
      <c r="T201" s="354" t="n"/>
      <c r="U201" s="354" t="n"/>
      <c r="V201" s="354" t="n"/>
      <c r="W201" s="354" t="n"/>
      <c r="X201" s="354" t="n"/>
    </row>
    <row r="202" ht="15.5" customHeight="1" s="297">
      <c r="B202" s="394" t="inlineStr">
        <is>
          <t>Expense#22</t>
        </is>
      </c>
      <c r="C202" s="403" t="inlineStr">
        <is>
          <t>:</t>
        </is>
      </c>
      <c r="D202" s="404" t="inlineStr">
        <is>
          <t>Non project ( MCU ulang )_ IBR</t>
        </is>
      </c>
      <c r="E202" s="405" t="n"/>
      <c r="F202" s="422" t="n"/>
      <c r="G202" s="403" t="n"/>
      <c r="H202" s="403" t="n"/>
      <c r="I202" s="415" t="n"/>
      <c r="J202" s="407" t="n"/>
      <c r="K202" s="408" t="n"/>
      <c r="L202" s="408" t="n"/>
      <c r="M202" s="408" t="n"/>
      <c r="N202" s="408" t="n"/>
      <c r="O202" s="408" t="n"/>
      <c r="P202" s="408" t="n"/>
      <c r="Q202" s="408" t="n"/>
      <c r="R202" s="408" t="n"/>
      <c r="S202" s="408" t="n"/>
      <c r="T202" s="408" t="n"/>
      <c r="U202" s="408" t="n"/>
      <c r="V202" s="408" t="n"/>
      <c r="W202" s="408" t="n"/>
      <c r="X202" s="408" t="n"/>
    </row>
    <row r="203" ht="15.5" customHeight="1" s="297">
      <c r="B203" s="384" t="n"/>
      <c r="C203" s="343" t="n"/>
      <c r="D203" s="365" t="inlineStr">
        <is>
          <t>Medical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94" t="inlineStr">
        <is>
          <t>Expense#23</t>
        </is>
      </c>
      <c r="C204" s="403" t="inlineStr">
        <is>
          <t>:</t>
        </is>
      </c>
      <c r="D204" s="404" t="inlineStr">
        <is>
          <t>ALFA job - JRK-163 (Job)_undr Sijak_ DS</t>
        </is>
      </c>
      <c r="E204" s="405" t="n"/>
      <c r="F204" s="422" t="n"/>
      <c r="G204" s="403" t="n"/>
      <c r="H204" s="403" t="n"/>
      <c r="I204" s="415" t="n"/>
      <c r="J204" s="407" t="n"/>
      <c r="K204" s="408" t="n"/>
      <c r="L204" s="408" t="n"/>
      <c r="M204" s="408" t="n"/>
      <c r="N204" s="408" t="n"/>
      <c r="O204" s="408" t="n"/>
      <c r="P204" s="408" t="n"/>
      <c r="Q204" s="408" t="n"/>
      <c r="R204" s="408" t="n"/>
      <c r="S204" s="408" t="n"/>
      <c r="T204" s="408" t="n"/>
      <c r="U204" s="408" t="n"/>
      <c r="V204" s="408" t="n"/>
      <c r="W204" s="408" t="n"/>
      <c r="X204" s="408" t="n"/>
    </row>
    <row r="205" ht="15.5" customHeight="1" s="297">
      <c r="B205" s="384" t="n"/>
      <c r="C205" s="343" t="n"/>
      <c r="D205" s="365" t="inlineStr">
        <is>
          <t>Accommodation</t>
        </is>
      </c>
      <c r="E205" s="417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/>
      <c r="C206" s="353" t="n"/>
      <c r="D206" s="365" t="inlineStr">
        <is>
          <t>Allowance</t>
        </is>
      </c>
      <c r="E206" s="361" t="n"/>
      <c r="F206" s="355" t="n"/>
      <c r="G206" s="353" t="n"/>
      <c r="H206" s="353" t="n"/>
      <c r="I206" s="423" t="n"/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/>
      <c r="C207" s="353" t="n"/>
      <c r="D207" s="365" t="inlineStr">
        <is>
          <t>Laundry</t>
        </is>
      </c>
      <c r="E207" s="361" t="n"/>
      <c r="F207" s="355" t="n"/>
      <c r="G207" s="353" t="n"/>
      <c r="H207" s="353" t="n"/>
      <c r="I207" s="423" t="n"/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69" t="n"/>
      <c r="C208" s="353" t="n"/>
      <c r="D208" s="365" t="inlineStr">
        <is>
          <t>Operation</t>
        </is>
      </c>
      <c r="E208" s="361" t="n"/>
      <c r="F208" s="355" t="n"/>
      <c r="G208" s="353" t="n"/>
      <c r="H208" s="353" t="n"/>
      <c r="I208" s="360" t="n"/>
      <c r="J208" s="360" t="n"/>
      <c r="K208" s="354" t="n"/>
      <c r="L208" s="354" t="n"/>
      <c r="M208" s="354" t="n"/>
      <c r="N208" s="354" t="n"/>
      <c r="O208" s="354" t="n"/>
      <c r="P208" s="354" t="n"/>
      <c r="Q208" s="354" t="n"/>
      <c r="R208" s="354" t="n"/>
      <c r="S208" s="354" t="n"/>
      <c r="T208" s="354" t="n"/>
      <c r="U208" s="354" t="n"/>
      <c r="V208" s="354" t="n"/>
      <c r="W208" s="354" t="n"/>
      <c r="X208" s="354" t="n"/>
    </row>
    <row r="209" ht="15.5" customHeight="1" s="297">
      <c r="B209" s="382" t="n"/>
      <c r="C209" s="353" t="n"/>
      <c r="D209" s="418" t="inlineStr">
        <is>
          <t>Transportation</t>
        </is>
      </c>
      <c r="E209" s="383" t="n"/>
      <c r="F209" s="355" t="n"/>
      <c r="G209" s="353" t="n"/>
      <c r="H209" s="353" t="n"/>
      <c r="I209" s="354" t="n"/>
      <c r="J209" s="354" t="n"/>
      <c r="K209" s="354" t="n"/>
      <c r="L209" s="354" t="n"/>
      <c r="M209" s="354" t="n"/>
      <c r="N209" s="354" t="n"/>
      <c r="O209" s="354" t="n"/>
      <c r="P209" s="354" t="n"/>
      <c r="Q209" s="354" t="n"/>
      <c r="R209" s="354" t="n"/>
      <c r="S209" s="354" t="n"/>
      <c r="T209" s="354" t="n"/>
      <c r="U209" s="354" t="n"/>
      <c r="V209" s="354" t="n"/>
      <c r="W209" s="354" t="n"/>
      <c r="X209" s="354" t="n"/>
    </row>
    <row r="210" ht="15.5" customHeight="1" s="297">
      <c r="B210" s="394" t="inlineStr">
        <is>
          <t>Expense#24</t>
        </is>
      </c>
      <c r="C210" s="403" t="inlineStr">
        <is>
          <t>:</t>
        </is>
      </c>
      <c r="D210" s="396" t="inlineStr">
        <is>
          <t>ALFA JOB - JRK 163 (training 2nd_ IBR)</t>
        </is>
      </c>
      <c r="E210" s="408" t="n"/>
      <c r="F210" s="422" t="n"/>
      <c r="G210" s="403" t="n"/>
      <c r="H210" s="403" t="n"/>
      <c r="I210" s="408" t="n"/>
      <c r="J210" s="408" t="n"/>
      <c r="K210" s="408" t="n"/>
      <c r="L210" s="408" t="n"/>
      <c r="M210" s="408" t="n"/>
      <c r="N210" s="408" t="n"/>
      <c r="O210" s="408" t="n"/>
      <c r="P210" s="408" t="n"/>
      <c r="Q210" s="408" t="n"/>
      <c r="R210" s="408" t="n"/>
      <c r="S210" s="408" t="n"/>
      <c r="T210" s="408" t="n"/>
      <c r="U210" s="408" t="n"/>
      <c r="V210" s="408" t="n"/>
      <c r="W210" s="408" t="n"/>
      <c r="X210" s="408" t="n"/>
    </row>
    <row r="211" ht="15.5" customHeight="1" s="297">
      <c r="B211" s="384" t="n"/>
      <c r="C211" s="343" t="n"/>
      <c r="D211" s="365" t="inlineStr">
        <is>
          <t>Allowance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94" t="inlineStr">
        <is>
          <t>Expense#25</t>
        </is>
      </c>
      <c r="C212" s="403" t="inlineStr">
        <is>
          <t>:</t>
        </is>
      </c>
      <c r="D212" s="404" t="inlineStr">
        <is>
          <t>TIS-Blora Field-PLT ALFA BHS by BARIKIN - IC</t>
        </is>
      </c>
      <c r="E212" s="405" t="n"/>
      <c r="F212" s="422" t="n"/>
      <c r="G212" s="403" t="n"/>
      <c r="H212" s="403" t="n"/>
      <c r="I212" s="415" t="n"/>
      <c r="J212" s="407" t="n"/>
      <c r="K212" s="408" t="n"/>
      <c r="L212" s="408" t="n"/>
      <c r="M212" s="408" t="n"/>
      <c r="N212" s="408" t="n"/>
      <c r="O212" s="408" t="n"/>
      <c r="P212" s="408" t="n"/>
      <c r="Q212" s="408" t="n"/>
      <c r="R212" s="408" t="n"/>
      <c r="S212" s="408" t="n"/>
      <c r="T212" s="408" t="n"/>
      <c r="U212" s="408" t="n"/>
      <c r="V212" s="408" t="n"/>
      <c r="W212" s="408" t="n"/>
      <c r="X212" s="408" t="n"/>
    </row>
    <row r="213" ht="15.5" customHeight="1" s="297">
      <c r="B213" s="384" t="n"/>
      <c r="C213" s="343" t="n"/>
      <c r="D213" s="365" t="inlineStr">
        <is>
          <t>Allowance</t>
        </is>
      </c>
      <c r="E213" s="417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/>
      <c r="C214" s="353" t="n"/>
      <c r="D214" s="365" t="inlineStr">
        <is>
          <t>Laundry</t>
        </is>
      </c>
      <c r="E214" s="361" t="n"/>
      <c r="F214" s="355" t="n"/>
      <c r="G214" s="353" t="n"/>
      <c r="H214" s="353" t="n"/>
      <c r="I214" s="360" t="n"/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/>
      <c r="C215" s="353" t="n"/>
      <c r="D215" s="365" t="inlineStr">
        <is>
          <t>Logistic</t>
        </is>
      </c>
      <c r="E215" s="361" t="n"/>
      <c r="F215" s="355" t="n"/>
      <c r="G215" s="353" t="n"/>
      <c r="H215" s="353" t="n"/>
      <c r="I215" s="360" t="n"/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/>
      <c r="C216" s="353" t="n"/>
      <c r="D216" s="365" t="inlineStr">
        <is>
          <t>Meal</t>
        </is>
      </c>
      <c r="E216" s="361" t="n"/>
      <c r="F216" s="355" t="n"/>
      <c r="G216" s="353" t="n"/>
      <c r="H216" s="353" t="n"/>
      <c r="I216" s="360" t="n"/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94" t="inlineStr">
        <is>
          <t>Expense#26</t>
        </is>
      </c>
      <c r="C217" s="403" t="inlineStr">
        <is>
          <t>:</t>
        </is>
      </c>
      <c r="D217" s="404" t="inlineStr">
        <is>
          <t>ALFA-MPLT-BHS_ RBG 3B PT. TIS under Barikin sakti _DS</t>
        </is>
      </c>
      <c r="E217" s="405" t="n"/>
      <c r="F217" s="422" t="n"/>
      <c r="G217" s="403" t="n"/>
      <c r="H217" s="403" t="n"/>
      <c r="I217" s="407" t="n"/>
      <c r="J217" s="407" t="n"/>
      <c r="K217" s="408" t="n"/>
      <c r="L217" s="408" t="n"/>
      <c r="M217" s="408" t="n"/>
      <c r="N217" s="408" t="n"/>
      <c r="O217" s="408" t="n"/>
      <c r="P217" s="408" t="n"/>
      <c r="Q217" s="408" t="n"/>
      <c r="R217" s="408" t="n"/>
      <c r="S217" s="408" t="n"/>
      <c r="T217" s="408" t="n"/>
      <c r="U217" s="408" t="n"/>
      <c r="V217" s="408" t="n"/>
      <c r="W217" s="408" t="n"/>
      <c r="X217" s="408" t="n"/>
    </row>
    <row r="218" ht="15.5" customHeight="1" s="297">
      <c r="B218" s="384" t="n"/>
      <c r="C218" s="343" t="n"/>
      <c r="D218" s="365" t="inlineStr">
        <is>
          <t>Accommodation</t>
        </is>
      </c>
      <c r="E218" s="366" t="n"/>
      <c r="F218" s="346" t="n"/>
      <c r="G218" s="343" t="n"/>
      <c r="H218" s="343" t="n"/>
      <c r="I218" s="349" t="n"/>
      <c r="J218" s="349" t="n"/>
      <c r="K218" s="350" t="n"/>
      <c r="L218" s="350" t="n"/>
      <c r="M218" s="350" t="n"/>
      <c r="N218" s="350" t="n"/>
      <c r="O218" s="350" t="n"/>
      <c r="P218" s="350" t="n"/>
      <c r="Q218" s="350" t="n"/>
      <c r="R218" s="351" t="n"/>
      <c r="S218" s="351" t="n"/>
      <c r="T218" s="351" t="n"/>
      <c r="U218" s="351" t="n"/>
      <c r="V218" s="351" t="n"/>
      <c r="W218" s="351" t="n"/>
      <c r="X218" s="351" t="n"/>
    </row>
    <row r="219" ht="15.5" customHeight="1" s="297">
      <c r="B219" s="369" t="n"/>
      <c r="C219" s="353" t="n"/>
      <c r="D219" s="365" t="inlineStr">
        <is>
          <t>Allowance</t>
        </is>
      </c>
      <c r="E219" s="361" t="n"/>
      <c r="F219" s="355" t="n"/>
      <c r="G219" s="353" t="n"/>
      <c r="H219" s="353" t="n"/>
      <c r="I219" s="360" t="n"/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82" t="n"/>
      <c r="C220" s="353" t="n"/>
      <c r="D220" s="418" t="inlineStr">
        <is>
          <t>Laundry</t>
        </is>
      </c>
      <c r="E220" s="383" t="n"/>
      <c r="F220" s="355" t="n"/>
      <c r="G220" s="353" t="n"/>
      <c r="H220" s="353" t="n"/>
      <c r="I220" s="354" t="n"/>
      <c r="J220" s="354" t="n"/>
      <c r="K220" s="354" t="n"/>
      <c r="L220" s="354" t="n"/>
      <c r="M220" s="354" t="n"/>
      <c r="N220" s="354" t="n"/>
      <c r="O220" s="354" t="n"/>
      <c r="P220" s="354" t="n"/>
      <c r="Q220" s="354" t="n"/>
      <c r="R220" s="354" t="n"/>
      <c r="S220" s="354" t="n"/>
      <c r="T220" s="354" t="n"/>
      <c r="U220" s="354" t="n"/>
      <c r="V220" s="354" t="n"/>
      <c r="W220" s="354" t="n"/>
      <c r="X220" s="354" t="n"/>
    </row>
    <row r="221" ht="15.5" customHeight="1" s="297">
      <c r="B221" s="369" t="n"/>
      <c r="C221" s="353" t="n"/>
      <c r="D221" s="365" t="inlineStr">
        <is>
          <t>Transportation</t>
        </is>
      </c>
      <c r="E221" s="361" t="n"/>
      <c r="F221" s="355" t="n"/>
      <c r="G221" s="354" t="n"/>
      <c r="H221" s="354" t="n"/>
      <c r="I221" s="354" t="n"/>
      <c r="J221" s="354" t="n"/>
      <c r="K221" s="354" t="n"/>
      <c r="L221" s="354" t="n"/>
      <c r="M221" s="354" t="n"/>
      <c r="N221" s="354" t="n"/>
      <c r="O221" s="354" t="n"/>
      <c r="P221" s="354" t="n"/>
      <c r="Q221" s="354" t="n"/>
      <c r="R221" s="354" t="n"/>
      <c r="S221" s="354" t="n"/>
      <c r="T221" s="354" t="n"/>
      <c r="U221" s="354" t="n"/>
      <c r="V221" s="354" t="n"/>
      <c r="W221" s="354" t="n"/>
      <c r="X221" s="354" t="n"/>
    </row>
    <row r="222" ht="15.5" customHeight="1" s="297">
      <c r="B222" s="394" t="inlineStr">
        <is>
          <t>Expense#27</t>
        </is>
      </c>
      <c r="C222" s="403" t="inlineStr">
        <is>
          <t>:</t>
        </is>
      </c>
      <c r="D222" s="404" t="inlineStr">
        <is>
          <t>Non tripo 1st -- MCU + Pembelian barang kelengkapan pump AC</t>
        </is>
      </c>
      <c r="E222" s="405" t="n"/>
      <c r="F222" s="422" t="n"/>
      <c r="G222" s="408" t="n"/>
      <c r="H222" s="403" t="n"/>
      <c r="I222" s="415" t="n"/>
      <c r="J222" s="407" t="n"/>
      <c r="K222" s="408" t="n"/>
      <c r="L222" s="408" t="n"/>
      <c r="M222" s="408" t="n"/>
      <c r="N222" s="408" t="n"/>
      <c r="O222" s="408" t="n"/>
      <c r="P222" s="408" t="n"/>
      <c r="Q222" s="408" t="n"/>
      <c r="R222" s="408" t="n"/>
      <c r="S222" s="408" t="n"/>
      <c r="T222" s="408" t="n"/>
      <c r="U222" s="408" t="n"/>
      <c r="V222" s="408" t="n"/>
      <c r="W222" s="408" t="n"/>
      <c r="X222" s="408" t="n"/>
    </row>
    <row r="223" ht="15.5" customHeight="1" s="297">
      <c r="B223" s="384" t="n"/>
      <c r="C223" s="343" t="n"/>
      <c r="D223" s="365" t="inlineStr">
        <is>
          <t>Logistic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/>
      <c r="C224" s="353" t="n"/>
      <c r="D224" s="365" t="inlineStr">
        <is>
          <t>Meal</t>
        </is>
      </c>
      <c r="E224" s="361" t="n"/>
      <c r="F224" s="355" t="n"/>
      <c r="G224" s="354" t="n"/>
      <c r="H224" s="353" t="n"/>
      <c r="I224" s="360" t="n"/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/>
      <c r="C225" s="353" t="n"/>
      <c r="D225" s="344" t="inlineStr">
        <is>
          <t>Medical</t>
        </is>
      </c>
      <c r="E225" s="354" t="n"/>
      <c r="F225" s="355" t="n"/>
      <c r="G225" s="354" t="n"/>
      <c r="H225" s="353" t="n"/>
      <c r="I225" s="360" t="n"/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/>
      <c r="C226" s="353" t="n"/>
      <c r="D226" s="344" t="inlineStr">
        <is>
          <t>Transportation</t>
        </is>
      </c>
      <c r="E226" s="354" t="n"/>
      <c r="F226" s="355" t="n"/>
      <c r="G226" s="354" t="n"/>
      <c r="H226" s="353" t="n"/>
      <c r="I226" s="359" t="n"/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94" t="inlineStr">
        <is>
          <t>Expense#28</t>
        </is>
      </c>
      <c r="C227" s="403" t="inlineStr">
        <is>
          <t>:</t>
        </is>
      </c>
      <c r="D227" s="404" t="inlineStr">
        <is>
          <t>ALFA-MPLT-Sampler project TIS Energy Blora_well RBG-3B by Barekin Sakti- AC</t>
        </is>
      </c>
      <c r="E227" s="405" t="n"/>
      <c r="F227" s="422" t="n"/>
      <c r="G227" s="408" t="n"/>
      <c r="H227" s="403" t="n"/>
      <c r="I227" s="407" t="n"/>
      <c r="J227" s="407" t="n"/>
      <c r="K227" s="408" t="n"/>
      <c r="L227" s="408" t="n"/>
      <c r="M227" s="408" t="n"/>
      <c r="N227" s="408" t="n"/>
      <c r="O227" s="408" t="n"/>
      <c r="P227" s="408" t="n"/>
      <c r="Q227" s="408" t="n"/>
      <c r="R227" s="408" t="n"/>
      <c r="S227" s="408" t="n"/>
      <c r="T227" s="408" t="n"/>
      <c r="U227" s="408" t="n"/>
      <c r="V227" s="408" t="n"/>
      <c r="W227" s="408" t="n"/>
      <c r="X227" s="408" t="n"/>
    </row>
    <row r="228" ht="15.5" customHeight="1" s="297">
      <c r="B228" s="384" t="n"/>
      <c r="C228" s="343" t="n"/>
      <c r="D228" s="365" t="inlineStr">
        <is>
          <t>Accommodation</t>
        </is>
      </c>
      <c r="E228" s="366" t="n"/>
      <c r="F228" s="409" t="n"/>
      <c r="G228" s="345" t="n"/>
      <c r="H228" s="343" t="n"/>
      <c r="I228" s="348" t="n"/>
      <c r="J228" s="349" t="n"/>
      <c r="K228" s="350" t="n"/>
      <c r="L228" s="350" t="n"/>
      <c r="M228" s="350" t="n"/>
      <c r="N228" s="350" t="n"/>
      <c r="O228" s="350" t="n"/>
      <c r="P228" s="350" t="n"/>
      <c r="Q228" s="350" t="n"/>
      <c r="R228" s="351" t="n"/>
      <c r="S228" s="351" t="n"/>
      <c r="T228" s="351" t="n"/>
      <c r="U228" s="351" t="n"/>
      <c r="V228" s="351" t="n"/>
      <c r="W228" s="351" t="n"/>
      <c r="X228" s="351" t="n"/>
    </row>
    <row r="229" ht="15.5" customHeight="1" s="297">
      <c r="B229" s="369" t="n"/>
      <c r="C229" s="353" t="n"/>
      <c r="D229" s="365" t="inlineStr">
        <is>
          <t>Allowance</t>
        </is>
      </c>
      <c r="E229" s="361" t="n"/>
      <c r="F229" s="355" t="n"/>
      <c r="G229" s="354" t="n"/>
      <c r="H229" s="353" t="n"/>
      <c r="I229" s="360" t="n"/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69" t="n"/>
      <c r="C230" s="353" t="n"/>
      <c r="D230" s="365" t="inlineStr">
        <is>
          <t>Logistic</t>
        </is>
      </c>
      <c r="E230" s="361" t="n"/>
      <c r="F230" s="355" t="n"/>
      <c r="G230" s="354" t="n"/>
      <c r="H230" s="353" t="n"/>
      <c r="I230" s="359" t="n"/>
      <c r="J230" s="354" t="n"/>
      <c r="K230" s="354" t="n"/>
      <c r="L230" s="354" t="n"/>
      <c r="M230" s="354" t="n"/>
      <c r="N230" s="354" t="n"/>
      <c r="O230" s="354" t="n"/>
      <c r="P230" s="354" t="n"/>
      <c r="Q230" s="354" t="n"/>
      <c r="R230" s="354" t="n"/>
      <c r="S230" s="354" t="n"/>
      <c r="T230" s="354" t="n"/>
      <c r="U230" s="354" t="n"/>
      <c r="V230" s="354" t="n"/>
      <c r="W230" s="354" t="n"/>
      <c r="X230" s="354" t="n"/>
    </row>
    <row r="231" ht="15.5" customHeight="1" s="297">
      <c r="B231" s="369" t="n"/>
      <c r="C231" s="353" t="n"/>
      <c r="D231" s="365" t="inlineStr">
        <is>
          <t>Meal</t>
        </is>
      </c>
      <c r="E231" s="361" t="n"/>
      <c r="F231" s="355" t="n"/>
      <c r="G231" s="354" t="n"/>
      <c r="H231" s="353" t="n"/>
      <c r="I231" s="360" t="n"/>
      <c r="J231" s="360" t="n"/>
      <c r="K231" s="354" t="n"/>
      <c r="L231" s="354" t="n"/>
      <c r="M231" s="354" t="n"/>
      <c r="N231" s="354" t="n"/>
      <c r="O231" s="354" t="n"/>
      <c r="P231" s="354" t="n"/>
      <c r="Q231" s="354" t="n"/>
      <c r="R231" s="354" t="n"/>
      <c r="S231" s="354" t="n"/>
      <c r="T231" s="354" t="n"/>
      <c r="U231" s="354" t="n"/>
      <c r="V231" s="354" t="n"/>
      <c r="W231" s="354" t="n"/>
      <c r="X231" s="354" t="n"/>
    </row>
    <row r="232" ht="15.5" customHeight="1" s="297">
      <c r="B232" s="369" t="n"/>
      <c r="C232" s="353" t="n"/>
      <c r="D232" s="365" t="inlineStr">
        <is>
          <t>Transportation</t>
        </is>
      </c>
      <c r="E232" s="361" t="n"/>
      <c r="F232" s="355" t="n"/>
      <c r="G232" s="354" t="n"/>
      <c r="H232" s="410" t="n"/>
      <c r="I232" s="359" t="n"/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94" t="inlineStr">
        <is>
          <t>Expense#29</t>
        </is>
      </c>
      <c r="C233" s="403" t="inlineStr">
        <is>
          <t>:</t>
        </is>
      </c>
      <c r="D233" s="404" t="inlineStr">
        <is>
          <t>ALFA-MPLT-BHS_ RBG 3B PT. TIS under Barikin sakti _TMA</t>
        </is>
      </c>
      <c r="E233" s="405" t="n"/>
      <c r="F233" s="422" t="n"/>
      <c r="G233" s="408" t="n"/>
      <c r="H233" s="419" t="n"/>
      <c r="I233" s="415" t="n"/>
      <c r="J233" s="407" t="n"/>
      <c r="K233" s="408" t="n"/>
      <c r="L233" s="408" t="n"/>
      <c r="M233" s="408" t="n"/>
      <c r="N233" s="408" t="n"/>
      <c r="O233" s="408" t="n"/>
      <c r="P233" s="408" t="n"/>
      <c r="Q233" s="408" t="n"/>
      <c r="R233" s="408" t="n"/>
      <c r="S233" s="408" t="n"/>
      <c r="T233" s="408" t="n"/>
      <c r="U233" s="408" t="n"/>
      <c r="V233" s="408" t="n"/>
      <c r="W233" s="408" t="n"/>
      <c r="X233" s="408" t="n"/>
    </row>
    <row r="234" ht="15.5" customHeight="1" s="297">
      <c r="B234" s="350" t="n"/>
      <c r="C234" s="420" t="n"/>
      <c r="D234" s="418" t="inlineStr">
        <is>
          <t>Accommodation</t>
        </is>
      </c>
      <c r="E234" s="421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/>
      <c r="C235" s="353" t="n"/>
      <c r="D235" s="365" t="inlineStr">
        <is>
          <t>Allowance</t>
        </is>
      </c>
      <c r="E235" s="361" t="n"/>
      <c r="F235" s="355" t="n"/>
      <c r="G235" s="354" t="n"/>
      <c r="H235" s="354" t="n"/>
      <c r="I235" s="354" t="n"/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/>
      <c r="C236" s="353" t="n"/>
      <c r="D236" s="365" t="inlineStr">
        <is>
          <t>Meal</t>
        </is>
      </c>
      <c r="E236" s="361" t="n"/>
      <c r="F236" s="355" t="n"/>
      <c r="G236" s="354" t="n"/>
      <c r="H236" s="354" t="n"/>
      <c r="I236" s="359" t="n"/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69" t="n"/>
      <c r="C237" s="353" t="n"/>
      <c r="D237" s="365" t="inlineStr">
        <is>
          <t>Operation</t>
        </is>
      </c>
      <c r="E237" s="361" t="n"/>
      <c r="F237" s="355" t="n"/>
      <c r="G237" s="354" t="n"/>
      <c r="H237" s="354" t="n"/>
      <c r="I237" s="359" t="n"/>
      <c r="J237" s="360" t="n"/>
      <c r="K237" s="354" t="n"/>
      <c r="L237" s="354" t="n"/>
      <c r="M237" s="354" t="n"/>
      <c r="N237" s="354" t="n"/>
      <c r="O237" s="354" t="n"/>
      <c r="P237" s="354" t="n"/>
      <c r="Q237" s="354" t="n"/>
      <c r="R237" s="354" t="n"/>
      <c r="S237" s="354" t="n"/>
      <c r="T237" s="354" t="n"/>
      <c r="U237" s="354" t="n"/>
      <c r="V237" s="354" t="n"/>
      <c r="W237" s="354" t="n"/>
      <c r="X237" s="354" t="n"/>
    </row>
    <row r="238" ht="15.5" customHeight="1" s="297">
      <c r="B238" s="369" t="n"/>
      <c r="C238" s="353" t="n"/>
      <c r="D238" s="365" t="inlineStr">
        <is>
          <t>Transportation</t>
        </is>
      </c>
      <c r="E238" s="361" t="n"/>
      <c r="F238" s="355" t="n"/>
      <c r="G238" s="354" t="n"/>
      <c r="H238" s="354" t="n"/>
      <c r="I238" s="360" t="n"/>
      <c r="J238" s="360" t="n"/>
      <c r="K238" s="354" t="n"/>
      <c r="L238" s="354" t="n"/>
      <c r="M238" s="354" t="n"/>
      <c r="N238" s="354" t="n"/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94" t="inlineStr">
        <is>
          <t>Expense#30</t>
        </is>
      </c>
      <c r="C239" s="403" t="inlineStr">
        <is>
          <t>:</t>
        </is>
      </c>
      <c r="D239" s="396" t="inlineStr">
        <is>
          <t>ALFA JOB - PMB 009 (cancel job) - IBR</t>
        </is>
      </c>
      <c r="E239" s="408" t="n"/>
      <c r="F239" s="422" t="n"/>
      <c r="G239" s="408" t="n"/>
      <c r="H239" s="408" t="n"/>
      <c r="I239" s="415" t="n"/>
      <c r="J239" s="407" t="n"/>
      <c r="K239" s="408" t="n"/>
      <c r="L239" s="408" t="n"/>
      <c r="M239" s="408" t="n"/>
      <c r="N239" s="415" t="n"/>
      <c r="O239" s="408" t="n"/>
      <c r="P239" s="408" t="n"/>
      <c r="Q239" s="408" t="n"/>
      <c r="R239" s="408" t="n"/>
      <c r="S239" s="408" t="n"/>
      <c r="T239" s="408" t="n"/>
      <c r="U239" s="408" t="n"/>
      <c r="V239" s="408" t="n"/>
      <c r="W239" s="408" t="n"/>
      <c r="X239" s="408" t="n"/>
    </row>
    <row r="240" ht="15.5" customHeight="1" s="297">
      <c r="B240" s="384" t="n"/>
      <c r="C240" s="343" t="n"/>
      <c r="D240" s="365" t="inlineStr">
        <is>
          <t>Allowance</t>
        </is>
      </c>
      <c r="E240" s="417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94" t="inlineStr">
        <is>
          <t>Expense#31</t>
        </is>
      </c>
      <c r="C241" s="403" t="inlineStr">
        <is>
          <t>:</t>
        </is>
      </c>
      <c r="D241" s="404" t="inlineStr">
        <is>
          <t>ALFA PMB-009 (Cancel)_ TMA</t>
        </is>
      </c>
      <c r="E241" s="405" t="n"/>
      <c r="F241" s="414" t="n"/>
      <c r="G241" s="408" t="n"/>
      <c r="H241" s="408" t="n"/>
      <c r="I241" s="415" t="n"/>
      <c r="J241" s="407" t="n"/>
      <c r="K241" s="408" t="n"/>
      <c r="L241" s="408" t="n"/>
      <c r="M241" s="408" t="n"/>
      <c r="N241" s="408" t="n"/>
      <c r="O241" s="408" t="n"/>
      <c r="P241" s="408" t="n"/>
      <c r="Q241" s="408" t="n"/>
      <c r="R241" s="408" t="n"/>
      <c r="S241" s="408" t="n"/>
      <c r="T241" s="408" t="n"/>
      <c r="U241" s="408" t="n"/>
      <c r="V241" s="408" t="n"/>
      <c r="W241" s="408" t="n"/>
      <c r="X241" s="408" t="n"/>
    </row>
    <row r="242" ht="15.5" customHeight="1" s="297">
      <c r="B242" s="384" t="n"/>
      <c r="C242" s="343" t="n"/>
      <c r="D242" s="365" t="inlineStr">
        <is>
          <t>Accommodation</t>
        </is>
      </c>
      <c r="E242" s="417" t="n"/>
      <c r="F242" s="346" t="n"/>
      <c r="G242" s="345" t="n"/>
      <c r="H242" s="345" t="n"/>
      <c r="I242" s="348" t="n"/>
      <c r="J242" s="349" t="n"/>
      <c r="K242" s="350" t="n"/>
      <c r="L242" s="350" t="n"/>
      <c r="M242" s="350" t="n"/>
      <c r="N242" s="350" t="n"/>
      <c r="O242" s="350" t="n"/>
      <c r="P242" s="350" t="n"/>
      <c r="Q242" s="350" t="n"/>
      <c r="R242" s="351" t="n"/>
      <c r="S242" s="351" t="n"/>
      <c r="T242" s="351" t="n"/>
      <c r="U242" s="351" t="n"/>
      <c r="V242" s="351" t="n"/>
      <c r="W242" s="351" t="n"/>
      <c r="X242" s="351" t="n"/>
    </row>
    <row r="243" ht="15.5" customHeight="1" s="297">
      <c r="B243" s="369" t="n"/>
      <c r="C243" s="353" t="n"/>
      <c r="D243" s="365" t="inlineStr">
        <is>
          <t>Allowance</t>
        </is>
      </c>
      <c r="E243" s="361" t="n"/>
      <c r="F243" s="355" t="n"/>
      <c r="G243" s="354" t="n"/>
      <c r="H243" s="354" t="n"/>
      <c r="I243" s="359" t="n"/>
      <c r="J243" s="360" t="n"/>
      <c r="K243" s="354" t="n"/>
      <c r="L243" s="354" t="n"/>
      <c r="M243" s="354" t="n"/>
      <c r="N243" s="354" t="n"/>
      <c r="O243" s="354" t="n"/>
      <c r="P243" s="354" t="n"/>
      <c r="Q243" s="354" t="n"/>
      <c r="R243" s="354" t="n"/>
      <c r="S243" s="354" t="n"/>
      <c r="T243" s="354" t="n"/>
      <c r="U243" s="354" t="n"/>
      <c r="V243" s="354" t="n"/>
      <c r="W243" s="354" t="n"/>
      <c r="X243" s="354" t="n"/>
    </row>
    <row r="244" ht="15.5" customHeight="1" s="297">
      <c r="B244" s="369" t="n"/>
      <c r="C244" s="353" t="n"/>
      <c r="D244" s="365" t="inlineStr">
        <is>
          <t>Transportation</t>
        </is>
      </c>
      <c r="E244" s="361" t="n"/>
      <c r="F244" s="355" t="n"/>
      <c r="G244" s="354" t="n"/>
      <c r="H244" s="354" t="n"/>
      <c r="I244" s="359" t="n"/>
      <c r="J244" s="354" t="n"/>
      <c r="K244" s="354" t="n"/>
      <c r="L244" s="354" t="n"/>
      <c r="M244" s="354" t="n"/>
      <c r="N244" s="354" t="n"/>
      <c r="O244" s="354" t="n"/>
      <c r="P244" s="354" t="n"/>
      <c r="Q244" s="354" t="n"/>
      <c r="R244" s="354" t="n"/>
      <c r="S244" s="354" t="n"/>
      <c r="T244" s="354" t="n"/>
      <c r="U244" s="354" t="n"/>
      <c r="V244" s="354" t="n"/>
      <c r="W244" s="354" t="n"/>
      <c r="X244" s="354" t="n"/>
    </row>
    <row r="245" ht="15.5" customHeight="1" s="297">
      <c r="B245" s="394" t="inlineStr">
        <is>
          <t>Expense#32</t>
        </is>
      </c>
      <c r="C245" s="403" t="inlineStr">
        <is>
          <t>:</t>
        </is>
      </c>
      <c r="D245" s="404" t="inlineStr">
        <is>
          <t>ALFA PMB-009 (Cancel)_ TMA</t>
        </is>
      </c>
      <c r="E245" s="405" t="n"/>
      <c r="F245" s="422" t="n"/>
      <c r="G245" s="408" t="n"/>
      <c r="H245" s="408" t="n"/>
      <c r="I245" s="415" t="n"/>
      <c r="J245" s="407" t="n"/>
      <c r="K245" s="408" t="n"/>
      <c r="L245" s="408" t="n"/>
      <c r="M245" s="408" t="n"/>
      <c r="N245" s="408" t="n"/>
      <c r="O245" s="408" t="n"/>
      <c r="P245" s="408" t="n"/>
      <c r="Q245" s="408" t="n"/>
      <c r="R245" s="408" t="n"/>
      <c r="S245" s="408" t="n"/>
      <c r="T245" s="408" t="n"/>
      <c r="U245" s="408" t="n"/>
      <c r="V245" s="408" t="n"/>
      <c r="W245" s="408" t="n"/>
      <c r="X245" s="408" t="n"/>
    </row>
    <row r="246" ht="15.5" customHeight="1" s="297">
      <c r="B246" s="384" t="n"/>
      <c r="C246" s="343" t="n"/>
      <c r="D246" s="365" t="inlineStr">
        <is>
          <t>Allowance</t>
        </is>
      </c>
      <c r="E246" s="417" t="n"/>
      <c r="F246" s="346" t="n"/>
      <c r="G246" s="345" t="n"/>
      <c r="H246" s="345" t="n"/>
      <c r="I246" s="348" t="n"/>
      <c r="J246" s="349" t="n"/>
      <c r="K246" s="350" t="n"/>
      <c r="L246" s="350" t="n"/>
      <c r="M246" s="350" t="n"/>
      <c r="N246" s="350" t="n"/>
      <c r="O246" s="350" t="n"/>
      <c r="P246" s="350" t="n"/>
      <c r="Q246" s="350" t="n"/>
      <c r="R246" s="351" t="n"/>
      <c r="S246" s="351" t="n"/>
      <c r="T246" s="351" t="n"/>
      <c r="U246" s="351" t="n"/>
      <c r="V246" s="351" t="n"/>
      <c r="W246" s="351" t="n"/>
      <c r="X246" s="351" t="n"/>
    </row>
    <row r="247" ht="15.5" customHeight="1" s="297">
      <c r="B247" s="369" t="n"/>
      <c r="C247" s="353" t="n"/>
      <c r="D247" s="365" t="inlineStr">
        <is>
          <t>Laundry</t>
        </is>
      </c>
      <c r="E247" s="361" t="n"/>
      <c r="F247" s="355" t="n"/>
      <c r="G247" s="354" t="n"/>
      <c r="H247" s="363" t="n"/>
      <c r="I247" s="359" t="n"/>
      <c r="J247" s="360" t="n"/>
      <c r="K247" s="354" t="n"/>
      <c r="L247" s="354" t="n"/>
      <c r="M247" s="354" t="n"/>
      <c r="N247" s="354" t="n"/>
      <c r="O247" s="354" t="n"/>
      <c r="P247" s="354" t="n"/>
      <c r="Q247" s="354" t="n"/>
      <c r="R247" s="354" t="n"/>
      <c r="S247" s="354" t="n"/>
      <c r="T247" s="354" t="n"/>
      <c r="U247" s="354" t="n"/>
      <c r="V247" s="354" t="n"/>
      <c r="W247" s="354" t="n"/>
      <c r="X247" s="354" t="n"/>
    </row>
    <row r="248" ht="15.5" customHeight="1" s="297">
      <c r="B248" s="382" t="n"/>
      <c r="C248" s="353" t="n"/>
      <c r="D248" s="418" t="inlineStr">
        <is>
          <t>Transportation</t>
        </is>
      </c>
      <c r="E248" s="383" t="n"/>
      <c r="F248" s="363" t="n"/>
      <c r="G248" s="353" t="n"/>
      <c r="H248" s="353" t="n"/>
      <c r="I248" s="360" t="n"/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94" t="inlineStr">
        <is>
          <t>Expense#33</t>
        </is>
      </c>
      <c r="C249" s="403" t="inlineStr">
        <is>
          <t>:</t>
        </is>
      </c>
      <c r="D249" s="404" t="inlineStr">
        <is>
          <t>ALFA Job JRK-095 (Jirak) - IBR</t>
        </is>
      </c>
      <c r="E249" s="405" t="n"/>
      <c r="F249" s="422" t="n"/>
      <c r="G249" s="403" t="n"/>
      <c r="H249" s="403" t="n"/>
      <c r="I249" s="415" t="n"/>
      <c r="J249" s="407" t="n"/>
      <c r="K249" s="408" t="n"/>
      <c r="L249" s="408" t="n"/>
      <c r="M249" s="408" t="n"/>
      <c r="N249" s="408" t="n"/>
      <c r="O249" s="408" t="n"/>
      <c r="P249" s="408" t="n"/>
      <c r="Q249" s="408" t="n"/>
      <c r="R249" s="408" t="n"/>
      <c r="S249" s="408" t="n"/>
      <c r="T249" s="408" t="n"/>
      <c r="U249" s="408" t="n"/>
      <c r="V249" s="408" t="n"/>
      <c r="W249" s="408" t="n"/>
      <c r="X249" s="408" t="n"/>
    </row>
    <row r="250" ht="15.5" customHeight="1" s="297">
      <c r="B250" s="350" t="n"/>
      <c r="C250" s="420" t="n"/>
      <c r="D250" s="418" t="inlineStr">
        <is>
          <t>Accommodation</t>
        </is>
      </c>
      <c r="E250" s="421" t="n"/>
      <c r="F250" s="345" t="n"/>
      <c r="G250" s="343" t="n"/>
      <c r="H250" s="343" t="n"/>
      <c r="I250" s="349" t="n"/>
      <c r="J250" s="349" t="n"/>
      <c r="K250" s="350" t="n"/>
      <c r="L250" s="350" t="n"/>
      <c r="M250" s="350" t="n"/>
      <c r="N250" s="350" t="n"/>
      <c r="O250" s="350" t="n"/>
      <c r="P250" s="350" t="n"/>
      <c r="Q250" s="350" t="n"/>
      <c r="R250" s="351" t="n"/>
      <c r="S250" s="351" t="n"/>
      <c r="T250" s="351" t="n"/>
      <c r="U250" s="351" t="n"/>
      <c r="V250" s="351" t="n"/>
      <c r="W250" s="351" t="n"/>
      <c r="X250" s="351" t="n"/>
    </row>
    <row r="251" ht="15.5" customHeight="1" s="297">
      <c r="B251" s="352" t="n"/>
      <c r="C251" s="353" t="n"/>
      <c r="D251" s="344" t="inlineStr">
        <is>
          <t>Allowance</t>
        </is>
      </c>
      <c r="E251" s="354" t="n"/>
      <c r="F251" s="355" t="n"/>
      <c r="G251" s="353" t="n"/>
      <c r="H251" s="353" t="n"/>
      <c r="I251" s="360" t="n"/>
      <c r="J251" s="360" t="n"/>
      <c r="K251" s="354" t="n"/>
      <c r="L251" s="354" t="n"/>
      <c r="M251" s="354" t="n"/>
      <c r="N251" s="354" t="n"/>
      <c r="O251" s="354" t="n"/>
      <c r="P251" s="360" t="n"/>
      <c r="Q251" s="354" t="n"/>
      <c r="R251" s="354" t="n"/>
      <c r="S251" s="354" t="n"/>
      <c r="T251" s="354" t="n"/>
      <c r="U251" s="354" t="n"/>
      <c r="V251" s="354" t="n"/>
      <c r="W251" s="354" t="n"/>
      <c r="X251" s="354" t="n"/>
    </row>
    <row r="252" ht="15.5" customHeight="1" s="297">
      <c r="B252" s="352" t="n"/>
      <c r="C252" s="353" t="n"/>
      <c r="D252" s="344" t="inlineStr">
        <is>
          <t>Operation</t>
        </is>
      </c>
      <c r="E252" s="354" t="n"/>
      <c r="F252" s="355" t="n"/>
      <c r="G252" s="353" t="n"/>
      <c r="H252" s="353" t="n"/>
      <c r="I252" s="360" t="n"/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/>
      <c r="C253" s="353" t="n"/>
      <c r="D253" s="418" t="inlineStr">
        <is>
          <t>Transportation</t>
        </is>
      </c>
      <c r="E253" s="383" t="n"/>
      <c r="F253" s="363" t="n"/>
      <c r="G253" s="353" t="n"/>
      <c r="H253" s="353" t="n"/>
      <c r="I253" s="354" t="n"/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424" t="inlineStr">
        <is>
          <t>Expense#34</t>
        </is>
      </c>
      <c r="C254" s="403" t="inlineStr">
        <is>
          <t>:</t>
        </is>
      </c>
      <c r="D254" s="396" t="inlineStr">
        <is>
          <t>ALFA_JRK-095 well (PEPZ4-PEndopo field) SI jakarta _ AC</t>
        </is>
      </c>
      <c r="E254" s="408" t="n"/>
      <c r="F254" s="422" t="n"/>
      <c r="G254" s="403" t="n"/>
      <c r="H254" s="403" t="n"/>
      <c r="I254" s="415" t="n"/>
      <c r="J254" s="407" t="n"/>
      <c r="K254" s="408" t="n"/>
      <c r="L254" s="408" t="n"/>
      <c r="M254" s="408" t="n"/>
      <c r="N254" s="408" t="n"/>
      <c r="O254" s="408" t="n"/>
      <c r="P254" s="407" t="n"/>
      <c r="Q254" s="408" t="n"/>
      <c r="R254" s="408" t="n"/>
      <c r="S254" s="408" t="n"/>
      <c r="T254" s="408" t="n"/>
      <c r="U254" s="408" t="n"/>
      <c r="V254" s="408" t="n"/>
      <c r="W254" s="408" t="n"/>
      <c r="X254" s="408" t="n"/>
    </row>
    <row r="255" ht="15.5" customHeight="1" s="297">
      <c r="B255" s="350" t="n"/>
      <c r="C255" s="420" t="n"/>
      <c r="D255" s="418" t="inlineStr">
        <is>
          <t>Accommodation</t>
        </is>
      </c>
      <c r="E255" s="421" t="n"/>
      <c r="F255" s="345" t="n"/>
      <c r="G255" s="343" t="n"/>
      <c r="H255" s="343" t="n"/>
      <c r="I255" s="348" t="n"/>
      <c r="J255" s="349" t="n"/>
      <c r="K255" s="350" t="n"/>
      <c r="L255" s="350" t="n"/>
      <c r="M255" s="350" t="n"/>
      <c r="N255" s="350" t="n"/>
      <c r="O255" s="350" t="n"/>
      <c r="P255" s="350" t="n"/>
      <c r="Q255" s="350" t="n"/>
      <c r="R255" s="351" t="n"/>
      <c r="S255" s="351" t="n"/>
      <c r="T255" s="351" t="n"/>
      <c r="U255" s="351" t="n"/>
      <c r="V255" s="351" t="n"/>
      <c r="W255" s="351" t="n"/>
      <c r="X255" s="351" t="n"/>
    </row>
    <row r="256" ht="15.5" customHeight="1" s="297">
      <c r="B256" s="369" t="n"/>
      <c r="C256" s="353" t="n"/>
      <c r="D256" s="365" t="inlineStr">
        <is>
          <t>Allowance</t>
        </is>
      </c>
      <c r="E256" s="361" t="n"/>
      <c r="F256" s="355" t="n"/>
      <c r="G256" s="353" t="n"/>
      <c r="H256" s="353" t="n"/>
      <c r="I256" s="359" t="n"/>
      <c r="J256" s="360" t="n"/>
      <c r="K256" s="354" t="n"/>
      <c r="L256" s="354" t="n"/>
      <c r="M256" s="354" t="n"/>
      <c r="N256" s="354" t="n"/>
      <c r="O256" s="354" t="n"/>
      <c r="P256" s="354" t="n"/>
      <c r="Q256" s="354" t="n"/>
      <c r="R256" s="354" t="n"/>
      <c r="S256" s="354" t="n"/>
      <c r="T256" s="354" t="n"/>
      <c r="U256" s="354" t="n"/>
      <c r="V256" s="354" t="n"/>
      <c r="W256" s="354" t="n"/>
      <c r="X256" s="354" t="n"/>
    </row>
    <row r="257" ht="15.5" customHeight="1" s="297">
      <c r="B257" s="369" t="n"/>
      <c r="C257" s="353" t="n"/>
      <c r="D257" s="426" t="inlineStr">
        <is>
          <t>Transportation</t>
        </is>
      </c>
      <c r="E257" s="427" t="n"/>
      <c r="F257" s="355" t="n"/>
      <c r="G257" s="353" t="n"/>
      <c r="H257" s="353" t="n"/>
      <c r="I257" s="359" t="n"/>
      <c r="J257" s="360" t="n"/>
      <c r="K257" s="354" t="n"/>
      <c r="L257" s="354" t="n"/>
      <c r="M257" s="354" t="n"/>
      <c r="N257" s="354" t="n"/>
      <c r="O257" s="354" t="n"/>
      <c r="P257" s="354" t="n"/>
      <c r="Q257" s="354" t="n"/>
      <c r="R257" s="354" t="n"/>
      <c r="S257" s="354" t="n"/>
      <c r="T257" s="354" t="n"/>
      <c r="U257" s="354" t="n"/>
      <c r="V257" s="354" t="n"/>
      <c r="W257" s="354" t="n"/>
      <c r="X257" s="354" t="n"/>
    </row>
    <row r="258" ht="15.5" customHeight="1" s="297">
      <c r="B258" s="394" t="inlineStr">
        <is>
          <t>Expense#35</t>
        </is>
      </c>
      <c r="C258" s="403" t="inlineStr">
        <is>
          <t>:</t>
        </is>
      </c>
      <c r="D258" s="404" t="inlineStr">
        <is>
          <t>Trip to Cirebon Meeting MTD job X-ray field with PEP Zona 7 Region2_AC</t>
        </is>
      </c>
      <c r="E258" s="405" t="n"/>
      <c r="F258" s="422" t="n"/>
      <c r="G258" s="403" t="n"/>
      <c r="H258" s="403" t="n"/>
      <c r="I258" s="415" t="n"/>
      <c r="J258" s="407" t="n"/>
      <c r="K258" s="408" t="n"/>
      <c r="L258" s="408" t="n"/>
      <c r="M258" s="408" t="n"/>
      <c r="N258" s="408" t="n"/>
      <c r="O258" s="408" t="n"/>
      <c r="P258" s="408" t="n"/>
      <c r="Q258" s="408" t="n"/>
      <c r="R258" s="408" t="n"/>
      <c r="S258" s="408" t="n"/>
      <c r="T258" s="408" t="n"/>
      <c r="U258" s="408" t="n"/>
      <c r="V258" s="408" t="n"/>
      <c r="W258" s="408" t="n"/>
      <c r="X258" s="408" t="n"/>
    </row>
    <row r="259" ht="15.5" customHeight="1" s="297">
      <c r="B259" s="384" t="n"/>
      <c r="C259" s="343" t="n"/>
      <c r="D259" s="365" t="inlineStr">
        <is>
          <t>Accommodation</t>
        </is>
      </c>
      <c r="E259" s="428" t="n"/>
      <c r="F259" s="346" t="n"/>
      <c r="G259" s="343" t="n"/>
      <c r="H259" s="343" t="n"/>
      <c r="I259" s="349" t="n"/>
      <c r="J259" s="349" t="n"/>
      <c r="K259" s="350" t="n"/>
      <c r="L259" s="350" t="n"/>
      <c r="M259" s="350" t="n"/>
      <c r="N259" s="350" t="n"/>
      <c r="O259" s="350" t="n"/>
      <c r="P259" s="350" t="n"/>
      <c r="Q259" s="350" t="n"/>
      <c r="R259" s="351" t="n"/>
      <c r="S259" s="351" t="n"/>
      <c r="T259" s="351" t="n"/>
      <c r="U259" s="351" t="n"/>
      <c r="V259" s="351" t="n"/>
      <c r="W259" s="351" t="n"/>
      <c r="X259" s="351" t="n"/>
    </row>
    <row r="260" ht="15.5" customHeight="1" s="297">
      <c r="B260" s="369" t="n"/>
      <c r="C260" s="353" t="n"/>
      <c r="D260" s="365" t="inlineStr">
        <is>
          <t>Meal</t>
        </is>
      </c>
      <c r="E260" s="361" t="n"/>
      <c r="F260" s="355" t="n"/>
      <c r="G260" s="353" t="n"/>
      <c r="H260" s="353" t="n"/>
      <c r="I260" s="359" t="n"/>
      <c r="J260" s="360" t="n"/>
      <c r="K260" s="354" t="n"/>
      <c r="L260" s="354" t="n"/>
      <c r="M260" s="359" t="n"/>
      <c r="N260" s="354" t="n"/>
      <c r="O260" s="354" t="n"/>
      <c r="P260" s="354" t="n"/>
      <c r="Q260" s="354" t="n"/>
      <c r="R260" s="354" t="n"/>
      <c r="S260" s="354" t="n"/>
      <c r="T260" s="354" t="n"/>
      <c r="U260" s="354" t="n"/>
      <c r="V260" s="354" t="n"/>
      <c r="W260" s="354" t="n"/>
      <c r="X260" s="354" t="n"/>
    </row>
    <row r="261" ht="15.5" customHeight="1" s="297">
      <c r="B261" s="369" t="n"/>
      <c r="C261" s="353" t="n"/>
      <c r="D261" s="365" t="inlineStr">
        <is>
          <t>Transportation</t>
        </is>
      </c>
      <c r="E261" s="361" t="n"/>
      <c r="F261" s="355" t="n"/>
      <c r="G261" s="353" t="n"/>
      <c r="H261" s="353" t="n"/>
      <c r="I261" s="359" t="n"/>
      <c r="J261" s="360" t="n"/>
      <c r="K261" s="354" t="n"/>
      <c r="L261" s="354" t="n"/>
      <c r="M261" s="359" t="n"/>
      <c r="N261" s="354" t="n"/>
      <c r="O261" s="354" t="n"/>
      <c r="P261" s="354" t="n"/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69" t="n"/>
      <c r="C262" s="353" t="n"/>
      <c r="D262" s="365" t="inlineStr">
        <is>
          <t>Trip</t>
        </is>
      </c>
      <c r="E262" s="361" t="n"/>
      <c r="F262" s="355" t="n"/>
      <c r="G262" s="353" t="n"/>
      <c r="H262" s="353" t="n"/>
      <c r="I262" s="359" t="n"/>
      <c r="J262" s="360" t="n"/>
      <c r="K262" s="354" t="n"/>
      <c r="L262" s="354" t="n"/>
      <c r="M262" s="359" t="n"/>
      <c r="N262" s="354" t="n"/>
      <c r="O262" s="354" t="n"/>
      <c r="P262" s="354" t="n"/>
      <c r="Q262" s="354" t="n"/>
      <c r="R262" s="354" t="n"/>
      <c r="S262" s="354" t="n"/>
      <c r="T262" s="354" t="n"/>
      <c r="U262" s="354" t="n"/>
      <c r="V262" s="354" t="n"/>
      <c r="W262" s="354" t="n"/>
      <c r="X262" s="354" t="n"/>
    </row>
    <row r="263" ht="15.5" customHeight="1" s="297">
      <c r="B263" s="394" t="inlineStr">
        <is>
          <t>Expense#36</t>
        </is>
      </c>
      <c r="C263" s="403" t="inlineStr">
        <is>
          <t>:</t>
        </is>
      </c>
      <c r="D263" s="429" t="inlineStr">
        <is>
          <t>Non project (follow up MCU concul &amp; inspection tool)_AC_ 2 nd</t>
        </is>
      </c>
      <c r="E263" s="430" t="n"/>
      <c r="F263" s="431" t="n"/>
      <c r="G263" s="432" t="n"/>
      <c r="H263" s="432" t="n"/>
      <c r="I263" s="407" t="n"/>
      <c r="J263" s="407" t="n"/>
      <c r="K263" s="408" t="n"/>
      <c r="L263" s="408" t="n"/>
      <c r="M263" s="408" t="n"/>
      <c r="N263" s="408" t="n"/>
      <c r="O263" s="408" t="n"/>
      <c r="P263" s="408" t="n"/>
      <c r="Q263" s="408" t="n"/>
      <c r="R263" s="408" t="n"/>
      <c r="S263" s="408" t="n"/>
      <c r="T263" s="408" t="n"/>
      <c r="U263" s="408" t="n"/>
      <c r="V263" s="408" t="n"/>
      <c r="W263" s="408" t="n"/>
      <c r="X263" s="408" t="n"/>
    </row>
    <row r="264" ht="15.5" customHeight="1" s="297">
      <c r="B264" s="350" t="n"/>
      <c r="C264" s="420" t="n"/>
      <c r="D264" s="418" t="inlineStr">
        <is>
          <t>Medical</t>
        </is>
      </c>
      <c r="E264" s="421" t="n"/>
      <c r="F264" s="345" t="n"/>
      <c r="G264" s="343" t="n"/>
      <c r="H264" s="343" t="n"/>
      <c r="I264" s="350" t="n"/>
      <c r="J264" s="349" t="n"/>
      <c r="K264" s="350" t="n"/>
      <c r="L264" s="350" t="n"/>
      <c r="M264" s="348" t="n"/>
      <c r="N264" s="350" t="n"/>
      <c r="O264" s="350" t="n"/>
      <c r="P264" s="350" t="n"/>
      <c r="Q264" s="350" t="n"/>
      <c r="R264" s="351" t="n"/>
      <c r="S264" s="351" t="n"/>
      <c r="T264" s="351" t="n"/>
      <c r="U264" s="351" t="n"/>
      <c r="V264" s="351" t="n"/>
      <c r="W264" s="351" t="n"/>
      <c r="X264" s="351" t="n"/>
    </row>
    <row r="265" ht="15.5" customHeight="1" s="297">
      <c r="B265" s="369" t="n"/>
      <c r="C265" s="353" t="n"/>
      <c r="D265" s="344" t="inlineStr">
        <is>
          <t>Shipping</t>
        </is>
      </c>
      <c r="E265" s="354" t="n"/>
      <c r="F265" s="355" t="n"/>
      <c r="G265" s="353" t="n"/>
      <c r="H265" s="353" t="n"/>
      <c r="I265" s="360" t="n"/>
      <c r="J265" s="360" t="n"/>
      <c r="K265" s="354" t="n"/>
      <c r="L265" s="354" t="n"/>
      <c r="M265" s="354" t="n"/>
      <c r="N265" s="354" t="n"/>
      <c r="O265" s="354" t="n"/>
      <c r="P265" s="354" t="n"/>
      <c r="Q265" s="354" t="n"/>
      <c r="R265" s="354" t="n"/>
      <c r="S265" s="354" t="n"/>
      <c r="T265" s="354" t="n"/>
      <c r="U265" s="354" t="n"/>
      <c r="V265" s="354" t="n"/>
      <c r="W265" s="354" t="n"/>
      <c r="X265" s="354" t="n"/>
    </row>
    <row r="266" ht="15.5" customHeight="1" s="297">
      <c r="B266" s="433" t="inlineStr">
        <is>
          <t>Expense#37</t>
        </is>
      </c>
      <c r="C266" s="403" t="inlineStr">
        <is>
          <t>:</t>
        </is>
      </c>
      <c r="D266" s="404" t="inlineStr">
        <is>
          <t>MTD SKW-26_sukowati_TMA</t>
        </is>
      </c>
      <c r="E266" s="405" t="n"/>
      <c r="F266" s="422" t="n"/>
      <c r="G266" s="403" t="n"/>
      <c r="H266" s="403" t="n"/>
      <c r="I266" s="415" t="n"/>
      <c r="J266" s="407" t="n"/>
      <c r="K266" s="408" t="n"/>
      <c r="L266" s="408" t="n"/>
      <c r="M266" s="408" t="n"/>
      <c r="N266" s="415" t="n"/>
      <c r="O266" s="408" t="n"/>
      <c r="P266" s="408" t="n"/>
      <c r="Q266" s="408" t="n"/>
      <c r="R266" s="408" t="n"/>
      <c r="S266" s="408" t="n"/>
      <c r="T266" s="408" t="n"/>
      <c r="U266" s="408" t="n"/>
      <c r="V266" s="408" t="n"/>
      <c r="W266" s="408" t="n"/>
      <c r="X266" s="408" t="n"/>
    </row>
    <row r="267" ht="15.5" customHeight="1" s="297">
      <c r="B267" s="384" t="n"/>
      <c r="C267" s="343" t="n"/>
      <c r="D267" s="365" t="inlineStr">
        <is>
          <t>Accommodation</t>
        </is>
      </c>
      <c r="E267" s="366" t="n"/>
      <c r="F267" s="346" t="n"/>
      <c r="G267" s="343" t="n"/>
      <c r="H267" s="343" t="n"/>
      <c r="I267" s="348" t="n"/>
      <c r="J267" s="349" t="n"/>
      <c r="K267" s="350" t="n"/>
      <c r="L267" s="350" t="n"/>
      <c r="M267" s="350" t="n"/>
      <c r="N267" s="348" t="n"/>
      <c r="O267" s="350" t="n"/>
      <c r="P267" s="350" t="n"/>
      <c r="Q267" s="350" t="n"/>
      <c r="R267" s="351" t="n"/>
      <c r="S267" s="351" t="n"/>
      <c r="T267" s="351" t="n"/>
      <c r="U267" s="351" t="n"/>
      <c r="V267" s="351" t="n"/>
      <c r="W267" s="351" t="n"/>
      <c r="X267" s="351" t="n"/>
    </row>
    <row r="268" ht="15.5" customHeight="1" s="297">
      <c r="B268" s="369" t="n"/>
      <c r="C268" s="353" t="n"/>
      <c r="D268" s="365" t="inlineStr">
        <is>
          <t>Allowance</t>
        </is>
      </c>
      <c r="E268" s="361" t="n"/>
      <c r="F268" s="355" t="n"/>
      <c r="G268" s="353" t="n"/>
      <c r="H268" s="353" t="n"/>
      <c r="I268" s="359" t="n"/>
      <c r="J268" s="360" t="n"/>
      <c r="K268" s="354" t="n"/>
      <c r="L268" s="354" t="n"/>
      <c r="M268" s="354" t="n"/>
      <c r="N268" s="359" t="n"/>
      <c r="O268" s="354" t="n"/>
      <c r="P268" s="354" t="n"/>
      <c r="Q268" s="354" t="n"/>
      <c r="R268" s="354" t="n"/>
      <c r="S268" s="354" t="n"/>
      <c r="T268" s="354" t="n"/>
      <c r="U268" s="354" t="n"/>
      <c r="V268" s="354" t="n"/>
      <c r="W268" s="354" t="n"/>
      <c r="X268" s="354" t="n"/>
    </row>
    <row r="269" ht="15.5" customHeight="1" s="297">
      <c r="B269" s="369" t="n"/>
      <c r="C269" s="353" t="n"/>
      <c r="D269" s="365" t="inlineStr">
        <is>
          <t>Transportation</t>
        </is>
      </c>
      <c r="E269" s="361" t="n"/>
      <c r="F269" s="355" t="n"/>
      <c r="G269" s="353" t="n"/>
      <c r="H269" s="353" t="n"/>
      <c r="I269" s="359" t="n"/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94" t="inlineStr">
        <is>
          <t>Expense#38</t>
        </is>
      </c>
      <c r="C270" s="403" t="inlineStr">
        <is>
          <t>:</t>
        </is>
      </c>
      <c r="D270" s="396" t="inlineStr">
        <is>
          <t>MTD_STM_HDP 01 s/d 03 well (BHI project ndr Gowell) Sumbawa</t>
        </is>
      </c>
      <c r="E270" s="408" t="n"/>
      <c r="F270" s="422" t="n"/>
      <c r="G270" s="403" t="n"/>
      <c r="H270" s="403" t="n"/>
      <c r="I270" s="415" t="n"/>
      <c r="J270" s="407" t="n"/>
      <c r="K270" s="408" t="n"/>
      <c r="L270" s="408" t="n"/>
      <c r="M270" s="408" t="n"/>
      <c r="N270" s="415" t="n"/>
      <c r="O270" s="408" t="n"/>
      <c r="P270" s="408" t="n"/>
      <c r="Q270" s="408" t="n"/>
      <c r="R270" s="408" t="n"/>
      <c r="S270" s="408" t="n"/>
      <c r="T270" s="408" t="n"/>
      <c r="U270" s="408" t="n"/>
      <c r="V270" s="408" t="n"/>
      <c r="W270" s="408" t="n"/>
      <c r="X270" s="408" t="n"/>
    </row>
    <row r="271" ht="15.5" customHeight="1" s="297">
      <c r="B271" s="384" t="n"/>
      <c r="C271" s="343" t="n"/>
      <c r="D271" s="365" t="inlineStr">
        <is>
          <t>Accommodation</t>
        </is>
      </c>
      <c r="E271" s="417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/>
      <c r="C272" s="353" t="n"/>
      <c r="D272" s="434" t="inlineStr">
        <is>
          <t>Allowance</t>
        </is>
      </c>
      <c r="E272" s="435" t="n"/>
      <c r="F272" s="355" t="n"/>
      <c r="G272" s="353" t="n"/>
      <c r="H272" s="353" t="n"/>
      <c r="I272" s="359" t="n"/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/>
      <c r="C273" s="353" t="n"/>
      <c r="D273" s="365" t="inlineStr">
        <is>
          <t>Meal</t>
        </is>
      </c>
      <c r="E273" s="361" t="n"/>
      <c r="F273" s="355" t="n"/>
      <c r="G273" s="353" t="n"/>
      <c r="H273" s="353" t="n"/>
      <c r="I273" s="360" t="n"/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/>
      <c r="C274" s="353" t="n"/>
      <c r="D274" s="365" t="inlineStr">
        <is>
          <t>Transportation</t>
        </is>
      </c>
      <c r="E274" s="361" t="n"/>
      <c r="F274" s="355" t="n"/>
      <c r="G274" s="353" t="n"/>
      <c r="H274" s="353" t="n"/>
      <c r="I274" s="360" t="n"/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Expense#39</t>
        </is>
      </c>
      <c r="C275" s="403" t="inlineStr">
        <is>
          <t>:</t>
        </is>
      </c>
      <c r="D275" s="404" t="inlineStr">
        <is>
          <t>Training Basic Sea Survival_IBR</t>
        </is>
      </c>
      <c r="E275" s="405" t="n"/>
      <c r="F275" s="422" t="n"/>
      <c r="G275" s="403" t="n"/>
      <c r="H275" s="403" t="n"/>
      <c r="I275" s="407" t="n"/>
      <c r="J275" s="407" t="n"/>
      <c r="K275" s="408" t="n"/>
      <c r="L275" s="408" t="n"/>
      <c r="M275" s="415" t="n"/>
      <c r="N275" s="408" t="n"/>
      <c r="O275" s="408" t="n"/>
      <c r="P275" s="408" t="n"/>
      <c r="Q275" s="408" t="n"/>
      <c r="R275" s="408" t="n"/>
      <c r="S275" s="408" t="n"/>
      <c r="T275" s="408" t="n"/>
      <c r="U275" s="408" t="n"/>
      <c r="V275" s="408" t="n"/>
      <c r="W275" s="408" t="n"/>
      <c r="X275" s="408" t="n"/>
    </row>
    <row r="276" ht="15.5" customHeight="1" s="297">
      <c r="B276" s="384" t="n"/>
      <c r="C276" s="343" t="n"/>
      <c r="D276" s="365" t="inlineStr">
        <is>
          <t>Training</t>
        </is>
      </c>
      <c r="E276" s="417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/>
      <c r="C277" s="353" t="n"/>
      <c r="D277" s="365" t="inlineStr">
        <is>
          <t>Transportation</t>
        </is>
      </c>
      <c r="E277" s="361" t="n"/>
      <c r="F277" s="355" t="n"/>
      <c r="G277" s="353" t="n"/>
      <c r="H277" s="353" t="n"/>
      <c r="I277" s="360" t="n"/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94" t="inlineStr">
        <is>
          <t>Expense#40</t>
        </is>
      </c>
      <c r="C278" s="403" t="inlineStr">
        <is>
          <t>:</t>
        </is>
      </c>
      <c r="D278" s="404" t="inlineStr">
        <is>
          <t>Non trip 1st - project _ Pety cash 1st - YY</t>
        </is>
      </c>
      <c r="E278" s="405" t="n"/>
      <c r="F278" s="422" t="n"/>
      <c r="G278" s="403" t="n"/>
      <c r="H278" s="403" t="n"/>
      <c r="I278" s="407" t="n"/>
      <c r="J278" s="407" t="n"/>
      <c r="K278" s="408" t="n"/>
      <c r="L278" s="408" t="n"/>
      <c r="M278" s="415" t="n"/>
      <c r="N278" s="408" t="n"/>
      <c r="O278" s="408" t="n"/>
      <c r="P278" s="408" t="n"/>
      <c r="Q278" s="408" t="n"/>
      <c r="R278" s="408" t="n"/>
      <c r="S278" s="408" t="n"/>
      <c r="T278" s="408" t="n"/>
      <c r="U278" s="408" t="n"/>
      <c r="V278" s="408" t="n"/>
      <c r="W278" s="408" t="n"/>
      <c r="X278" s="408" t="n"/>
    </row>
    <row r="279" ht="15.5" customHeight="1" s="297">
      <c r="B279" s="384" t="n"/>
      <c r="C279" s="343" t="n"/>
      <c r="D279" s="426" t="inlineStr">
        <is>
          <t>Shipping</t>
        </is>
      </c>
      <c r="E279" s="436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/>
      <c r="C280" s="353" t="n"/>
      <c r="D280" s="418" t="inlineStr">
        <is>
          <t>Transportation</t>
        </is>
      </c>
      <c r="E280" s="383" t="n"/>
      <c r="F280" s="363" t="n"/>
      <c r="G280" s="353" t="n"/>
      <c r="H280" s="353" t="n"/>
      <c r="I280" s="360" t="n"/>
      <c r="J280" s="360" t="n"/>
      <c r="K280" s="354" t="n"/>
      <c r="L280" s="354" t="n"/>
      <c r="M280" s="354" t="n"/>
      <c r="N280" s="354" t="n"/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94" t="inlineStr">
        <is>
          <t>Expense#41</t>
        </is>
      </c>
      <c r="C281" s="403" t="inlineStr">
        <is>
          <t>:</t>
        </is>
      </c>
      <c r="D281" s="404" t="inlineStr">
        <is>
          <t>Starlink Kit_DS</t>
        </is>
      </c>
      <c r="E281" s="405" t="n"/>
      <c r="F281" s="406" t="n"/>
      <c r="G281" s="403" t="n"/>
      <c r="H281" s="403" t="n"/>
      <c r="I281" s="407" t="n"/>
      <c r="J281" s="407" t="n"/>
      <c r="K281" s="408" t="n"/>
      <c r="L281" s="408" t="n"/>
      <c r="M281" s="408" t="n"/>
      <c r="N281" s="408" t="n"/>
      <c r="O281" s="408" t="n"/>
      <c r="P281" s="408" t="n"/>
      <c r="Q281" s="408" t="n"/>
      <c r="R281" s="408" t="n"/>
      <c r="S281" s="408" t="n"/>
      <c r="T281" s="408" t="n"/>
      <c r="U281" s="408" t="n"/>
      <c r="V281" s="408" t="n"/>
      <c r="W281" s="408" t="n"/>
      <c r="X281" s="408" t="n"/>
    </row>
    <row r="282" ht="15.5" customHeight="1" s="297">
      <c r="B282" s="384" t="n"/>
      <c r="C282" s="343" t="n"/>
      <c r="D282" s="365" t="inlineStr">
        <is>
          <t>Pembelian Barang</t>
        </is>
      </c>
      <c r="E282" s="366" t="n"/>
      <c r="F282" s="368" t="n"/>
      <c r="G282" s="343" t="n"/>
      <c r="H282" s="343" t="n"/>
      <c r="I282" s="349" t="n"/>
      <c r="J282" s="349" t="n"/>
      <c r="K282" s="350" t="n"/>
      <c r="L282" s="350" t="n"/>
      <c r="M282" s="350" t="n"/>
      <c r="N282" s="350" t="n"/>
      <c r="O282" s="350" t="n"/>
      <c r="P282" s="350" t="n"/>
      <c r="Q282" s="350" t="n"/>
      <c r="R282" s="351" t="n"/>
      <c r="S282" s="351" t="n"/>
      <c r="T282" s="351" t="n"/>
      <c r="U282" s="351" t="n"/>
      <c r="V282" s="351" t="n"/>
      <c r="W282" s="351" t="n"/>
      <c r="X282" s="351" t="n"/>
    </row>
    <row r="283" ht="15.5" customHeight="1" s="297">
      <c r="B283" s="394" t="inlineStr">
        <is>
          <t>Expense#42</t>
        </is>
      </c>
      <c r="C283" s="403" t="inlineStr">
        <is>
          <t>:</t>
        </is>
      </c>
      <c r="D283" s="404" t="inlineStr">
        <is>
          <t>Pelican Case 1650 TMA</t>
        </is>
      </c>
      <c r="E283" s="405" t="n"/>
      <c r="F283" s="406" t="n"/>
      <c r="G283" s="403" t="n"/>
      <c r="H283" s="403" t="n"/>
      <c r="I283" s="407" t="n"/>
      <c r="J283" s="407" t="n"/>
      <c r="K283" s="408" t="n"/>
      <c r="L283" s="408" t="n"/>
      <c r="M283" s="408" t="n"/>
      <c r="N283" s="408" t="n"/>
      <c r="O283" s="408" t="n"/>
      <c r="P283" s="408" t="n"/>
      <c r="Q283" s="408" t="n"/>
      <c r="R283" s="408" t="n"/>
      <c r="S283" s="408" t="n"/>
      <c r="T283" s="408" t="n"/>
      <c r="U283" s="408" t="n"/>
      <c r="V283" s="408" t="n"/>
      <c r="W283" s="408" t="n"/>
      <c r="X283" s="408" t="n"/>
    </row>
    <row r="284" ht="15.5" customHeight="1" s="297">
      <c r="B284" s="384" t="n"/>
      <c r="C284" s="343" t="n"/>
      <c r="D284" s="365" t="inlineStr">
        <is>
          <t>Pembelian Barang</t>
        </is>
      </c>
      <c r="E284" s="417" t="n"/>
      <c r="F284" s="368" t="n"/>
      <c r="G284" s="343" t="n"/>
      <c r="H284" s="343" t="n"/>
      <c r="I284" s="349" t="n"/>
      <c r="J284" s="349" t="n"/>
      <c r="K284" s="350" t="n"/>
      <c r="L284" s="350" t="n"/>
      <c r="M284" s="350" t="n"/>
      <c r="N284" s="350" t="n"/>
      <c r="O284" s="350" t="n"/>
      <c r="P284" s="350" t="n"/>
      <c r="Q284" s="350" t="n"/>
      <c r="R284" s="351" t="n"/>
      <c r="S284" s="351" t="n"/>
      <c r="T284" s="351" t="n"/>
      <c r="U284" s="351" t="n"/>
      <c r="V284" s="351" t="n"/>
      <c r="W284" s="351" t="n"/>
      <c r="X284" s="351" t="n"/>
    </row>
    <row r="285" ht="15.5" customHeight="1" s="297">
      <c r="B285" s="394" t="inlineStr">
        <is>
          <t>Expense#43</t>
        </is>
      </c>
      <c r="C285" s="403" t="inlineStr">
        <is>
          <t>:</t>
        </is>
      </c>
      <c r="D285" s="404" t="inlineStr">
        <is>
          <t>Non trip 3rd (follow up MCU concul &amp; visit KPP and Graha Elnusa)_AC</t>
        </is>
      </c>
      <c r="E285" s="405" t="n"/>
      <c r="F285" s="406" t="n"/>
      <c r="G285" s="403" t="n"/>
      <c r="H285" s="403" t="n"/>
      <c r="I285" s="415" t="n"/>
      <c r="J285" s="407" t="n"/>
      <c r="K285" s="408" t="n"/>
      <c r="L285" s="408" t="n"/>
      <c r="M285" s="408" t="n"/>
      <c r="N285" s="408" t="n"/>
      <c r="O285" s="408" t="n"/>
      <c r="P285" s="408" t="n"/>
      <c r="Q285" s="408" t="n"/>
      <c r="R285" s="408" t="n"/>
      <c r="S285" s="408" t="n"/>
      <c r="T285" s="408" t="n"/>
      <c r="U285" s="408" t="n"/>
      <c r="V285" s="408" t="n"/>
      <c r="W285" s="408" t="n"/>
      <c r="X285" s="408" t="n"/>
    </row>
    <row r="286" ht="15.5" customHeight="1" s="297">
      <c r="B286" s="384" t="n"/>
      <c r="C286" s="343" t="n"/>
      <c r="D286" s="365" t="inlineStr">
        <is>
          <t>Medical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/>
      <c r="C287" s="353" t="n"/>
      <c r="D287" s="365" t="inlineStr">
        <is>
          <t>Transportation</t>
        </is>
      </c>
      <c r="E287" s="361" t="n"/>
      <c r="F287" s="370" t="n"/>
      <c r="G287" s="353" t="n"/>
      <c r="H287" s="353" t="n"/>
      <c r="I287" s="359" t="n"/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94" t="inlineStr">
        <is>
          <t>Expense#44</t>
        </is>
      </c>
      <c r="C288" s="403" t="inlineStr">
        <is>
          <t>:</t>
        </is>
      </c>
      <c r="D288" s="404" t="inlineStr">
        <is>
          <t>Meeting presentasi With Elnusa - Bandung &amp;Pembelian Sparepart dari Pei-Genesis.</t>
        </is>
      </c>
      <c r="E288" s="405" t="n"/>
      <c r="F288" s="406" t="n"/>
      <c r="G288" s="403" t="n"/>
      <c r="H288" s="403" t="n"/>
      <c r="I288" s="415" t="n"/>
      <c r="J288" s="407" t="n"/>
      <c r="K288" s="408" t="n"/>
      <c r="L288" s="408" t="n"/>
      <c r="M288" s="408" t="n"/>
      <c r="N288" s="408" t="n"/>
      <c r="O288" s="408" t="n"/>
      <c r="P288" s="408" t="n"/>
      <c r="Q288" s="408" t="n"/>
      <c r="R288" s="408" t="n"/>
      <c r="S288" s="408" t="n"/>
      <c r="T288" s="408" t="n"/>
      <c r="U288" s="408" t="n"/>
      <c r="V288" s="408" t="n"/>
      <c r="W288" s="408" t="n"/>
      <c r="X288" s="408" t="n"/>
    </row>
    <row r="289" ht="15.5" customHeight="1" s="297">
      <c r="B289" s="384" t="n"/>
      <c r="C289" s="343" t="n"/>
      <c r="D289" s="344" t="inlineStr">
        <is>
          <t>Accommodation</t>
        </is>
      </c>
      <c r="E289" s="345" t="n"/>
      <c r="F289" s="368" t="n"/>
      <c r="G289" s="343" t="n"/>
      <c r="H289" s="343" t="n"/>
      <c r="I289" s="348" t="n"/>
      <c r="J289" s="349" t="n"/>
      <c r="K289" s="350" t="n"/>
      <c r="L289" s="350" t="n"/>
      <c r="M289" s="350" t="n"/>
      <c r="N289" s="350" t="n"/>
      <c r="O289" s="350" t="n"/>
      <c r="P289" s="350" t="n"/>
      <c r="Q289" s="350" t="n"/>
      <c r="R289" s="351" t="n"/>
      <c r="S289" s="351" t="n"/>
      <c r="T289" s="351" t="n"/>
      <c r="U289" s="351" t="n"/>
      <c r="V289" s="351" t="n"/>
      <c r="W289" s="351" t="n"/>
      <c r="X289" s="351" t="n"/>
    </row>
    <row r="290" ht="15.5" customHeight="1" s="297">
      <c r="B290" s="369" t="n"/>
      <c r="C290" s="353" t="n"/>
      <c r="D290" s="344" t="inlineStr">
        <is>
          <t>Meal</t>
        </is>
      </c>
      <c r="E290" s="354" t="n"/>
      <c r="F290" s="370" t="n"/>
      <c r="G290" s="353" t="n"/>
      <c r="H290" s="353" t="n"/>
      <c r="I290" s="359" t="n"/>
      <c r="J290" s="360" t="n"/>
      <c r="K290" s="354" t="n"/>
      <c r="L290" s="354" t="n"/>
      <c r="M290" s="354" t="n"/>
      <c r="N290" s="354" t="n"/>
      <c r="O290" s="354" t="n"/>
      <c r="P290" s="354" t="n"/>
      <c r="Q290" s="354" t="n"/>
      <c r="R290" s="354" t="n"/>
      <c r="S290" s="354" t="n"/>
      <c r="T290" s="354" t="n"/>
      <c r="U290" s="354" t="n"/>
      <c r="V290" s="354" t="n"/>
      <c r="W290" s="354" t="n"/>
      <c r="X290" s="354" t="n"/>
    </row>
    <row r="291" ht="15.5" customHeight="1" s="297">
      <c r="B291" s="369" t="n"/>
      <c r="C291" s="353" t="n"/>
      <c r="D291" s="365" t="inlineStr">
        <is>
          <t>Transportation</t>
        </is>
      </c>
      <c r="E291" s="361" t="n"/>
      <c r="F291" s="370" t="n"/>
      <c r="G291" s="353" t="n"/>
      <c r="H291" s="353" t="n"/>
      <c r="I291" s="359" t="n"/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94" t="inlineStr">
        <is>
          <t>Expense#45</t>
        </is>
      </c>
      <c r="C292" s="437" t="inlineStr">
        <is>
          <t>:</t>
        </is>
      </c>
      <c r="D292" s="404" t="inlineStr">
        <is>
          <t>General Operation_Year 2024 - AM</t>
        </is>
      </c>
      <c r="E292" s="405" t="n"/>
      <c r="F292" s="406" t="n"/>
      <c r="G292" s="403" t="n"/>
      <c r="H292" s="403" t="n"/>
      <c r="I292" s="407" t="n"/>
      <c r="J292" s="407" t="n"/>
      <c r="K292" s="408" t="n"/>
      <c r="L292" s="408" t="n"/>
      <c r="M292" s="408" t="n"/>
      <c r="N292" s="408" t="n"/>
      <c r="O292" s="408" t="n"/>
      <c r="P292" s="408" t="n"/>
      <c r="Q292" s="408" t="n"/>
      <c r="R292" s="408" t="n"/>
      <c r="S292" s="408" t="n"/>
      <c r="T292" s="408" t="n"/>
      <c r="U292" s="408" t="n"/>
      <c r="V292" s="408" t="n"/>
      <c r="W292" s="408" t="n"/>
      <c r="X292" s="408" t="n"/>
    </row>
    <row r="293" ht="15.5" customHeight="1" s="297">
      <c r="B293" s="384" t="n"/>
      <c r="C293" s="343" t="n"/>
      <c r="D293" s="365" t="inlineStr">
        <is>
          <t>IT Services</t>
        </is>
      </c>
      <c r="E293" s="366" t="n"/>
      <c r="F293" s="409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/>
      <c r="C294" s="435" t="n"/>
      <c r="D294" s="365" t="inlineStr">
        <is>
          <t>Training</t>
        </is>
      </c>
      <c r="E294" s="361" t="n"/>
      <c r="F294" s="370" t="n"/>
      <c r="G294" s="353" t="n"/>
      <c r="H294" s="353" t="n"/>
      <c r="I294" s="360" t="n"/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69" t="n"/>
      <c r="C295" s="353" t="n"/>
      <c r="D295" s="365" t="inlineStr">
        <is>
          <t>Trip</t>
        </is>
      </c>
      <c r="E295" s="361" t="n"/>
      <c r="F295" s="370" t="n"/>
      <c r="G295" s="353" t="n"/>
      <c r="H295" s="353" t="n"/>
      <c r="I295" s="360" t="n"/>
      <c r="J295" s="360" t="n"/>
      <c r="K295" s="354" t="n"/>
      <c r="L295" s="354" t="n"/>
      <c r="M295" s="359" t="n"/>
      <c r="N295" s="354" t="n"/>
      <c r="O295" s="354" t="n"/>
      <c r="P295" s="354" t="n"/>
      <c r="Q295" s="354" t="n"/>
      <c r="R295" s="354" t="n"/>
      <c r="S295" s="354" t="n"/>
      <c r="T295" s="354" t="n"/>
      <c r="U295" s="354" t="n"/>
      <c r="V295" s="354" t="n"/>
      <c r="W295" s="354" t="n"/>
      <c r="X295" s="354" t="n"/>
    </row>
    <row r="296" ht="15.5" customHeight="1" s="297">
      <c r="B296" s="394" t="inlineStr">
        <is>
          <t>Expense#46</t>
        </is>
      </c>
      <c r="C296" s="437" t="inlineStr">
        <is>
          <t>:</t>
        </is>
      </c>
      <c r="D296" s="404" t="inlineStr">
        <is>
          <t>Non trip - Training BSS - AC</t>
        </is>
      </c>
      <c r="E296" s="405" t="n"/>
      <c r="F296" s="406" t="n"/>
      <c r="G296" s="403" t="n"/>
      <c r="H296" s="403" t="n"/>
      <c r="I296" s="407" t="n"/>
      <c r="J296" s="407" t="n"/>
      <c r="K296" s="408" t="n"/>
      <c r="L296" s="408" t="n"/>
      <c r="M296" s="415" t="n"/>
      <c r="N296" s="408" t="n"/>
      <c r="O296" s="408" t="n"/>
      <c r="P296" s="408" t="n"/>
      <c r="Q296" s="408" t="n"/>
      <c r="R296" s="408" t="n"/>
      <c r="S296" s="408" t="n"/>
      <c r="T296" s="408" t="n"/>
      <c r="U296" s="408" t="n"/>
      <c r="V296" s="408" t="n"/>
      <c r="W296" s="408" t="n"/>
      <c r="X296" s="408" t="n"/>
    </row>
    <row r="297" ht="15.5" customHeight="1" s="297">
      <c r="B297" s="384" t="n"/>
      <c r="C297" s="438" t="n"/>
      <c r="D297" s="365" t="inlineStr">
        <is>
          <t>Biaya Operasi</t>
        </is>
      </c>
      <c r="E297" s="366" t="n"/>
      <c r="F297" s="368" t="n"/>
      <c r="G297" s="343" t="n"/>
      <c r="H297" s="439" t="n"/>
      <c r="I297" s="349" t="n"/>
      <c r="J297" s="349" t="n"/>
      <c r="K297" s="350" t="n"/>
      <c r="L297" s="350" t="n"/>
      <c r="M297" s="348" t="n"/>
      <c r="N297" s="350" t="n"/>
      <c r="O297" s="350" t="n"/>
      <c r="P297" s="350" t="n"/>
      <c r="Q297" s="350" t="n"/>
      <c r="R297" s="351" t="n"/>
      <c r="S297" s="351" t="n"/>
      <c r="T297" s="351" t="n"/>
      <c r="U297" s="351" t="n"/>
      <c r="V297" s="351" t="n"/>
      <c r="W297" s="351" t="n"/>
      <c r="X297" s="351" t="n"/>
    </row>
    <row r="298" ht="15.5" customHeight="1" s="297">
      <c r="B298" s="411" t="inlineStr">
        <is>
          <t>Expense#47</t>
        </is>
      </c>
      <c r="C298" s="403" t="inlineStr">
        <is>
          <t>:</t>
        </is>
      </c>
      <c r="D298" s="412" t="inlineStr">
        <is>
          <t>Trip Rakan : BSTTraining at HSSE Training Center PT Pertamina EP Zone 7 Cirebon</t>
        </is>
      </c>
      <c r="E298" s="413" t="n"/>
      <c r="F298" s="414" t="n"/>
      <c r="G298" s="403" t="n"/>
      <c r="H298" s="403" t="n"/>
      <c r="I298" s="408" t="n"/>
      <c r="J298" s="407" t="n"/>
      <c r="K298" s="408" t="n"/>
      <c r="L298" s="408" t="n"/>
      <c r="M298" s="415" t="n"/>
      <c r="N298" s="408" t="n"/>
      <c r="O298" s="408" t="n"/>
      <c r="P298" s="408" t="n"/>
      <c r="Q298" s="408" t="n"/>
      <c r="R298" s="408" t="n"/>
      <c r="S298" s="408" t="n"/>
      <c r="T298" s="408" t="n"/>
      <c r="U298" s="408" t="n"/>
      <c r="V298" s="408" t="n"/>
      <c r="W298" s="408" t="n"/>
      <c r="X298" s="408" t="n"/>
    </row>
    <row r="299" ht="15.5" customHeight="1" s="297">
      <c r="B299" s="342" t="n"/>
      <c r="C299" s="343" t="n"/>
      <c r="D299" s="344" t="inlineStr">
        <is>
          <t>Allowance</t>
        </is>
      </c>
      <c r="E299" s="416" t="n"/>
      <c r="F299" s="346" t="n"/>
      <c r="G299" s="343" t="n"/>
      <c r="H299" s="343" t="n"/>
      <c r="I299" s="349" t="n"/>
      <c r="J299" s="349" t="n"/>
      <c r="K299" s="350" t="n"/>
      <c r="L299" s="350" t="n"/>
      <c r="M299" s="349" t="n"/>
      <c r="N299" s="350" t="n"/>
      <c r="O299" s="350" t="n"/>
      <c r="P299" s="350" t="n"/>
      <c r="Q299" s="350" t="n"/>
      <c r="R299" s="351" t="n"/>
      <c r="S299" s="351" t="n"/>
      <c r="T299" s="351" t="n"/>
      <c r="U299" s="351" t="n"/>
      <c r="V299" s="351" t="n"/>
      <c r="W299" s="351" t="n"/>
      <c r="X299" s="351" t="n"/>
    </row>
    <row r="300" ht="15.5" customHeight="1" s="297">
      <c r="B300" s="352" t="n"/>
      <c r="C300" s="353" t="n"/>
      <c r="D300" s="344" t="inlineStr">
        <is>
          <t>Biaya Operasi</t>
        </is>
      </c>
      <c r="E300" s="354" t="n"/>
      <c r="F300" s="355" t="n"/>
      <c r="G300" s="353" t="n"/>
      <c r="H300" s="353" t="n"/>
      <c r="I300" s="359" t="n"/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/>
      <c r="C301" s="353" t="n"/>
      <c r="D301" s="354" t="n"/>
      <c r="E301" s="440" t="inlineStr">
        <is>
          <t>TOTAL</t>
        </is>
      </c>
      <c r="F301" s="441">
        <f>SUM(F41:F300)</f>
        <v/>
      </c>
      <c r="G301" s="353" t="n"/>
      <c r="H301" s="353" t="n"/>
      <c r="I301" s="442" t="n">
        <v>1165223146.932</v>
      </c>
      <c r="J301" s="442" t="n">
        <v>991500000</v>
      </c>
      <c r="K301" s="442" t="n">
        <v>356012003</v>
      </c>
      <c r="L301" s="442" t="n">
        <v>367745000</v>
      </c>
      <c r="M301" s="442" t="n">
        <v>8769780</v>
      </c>
      <c r="N301" s="442" t="n">
        <v>200517570</v>
      </c>
      <c r="O301" s="442" t="n">
        <v>4995000</v>
      </c>
      <c r="P301" s="442" t="n">
        <v>38548717.5</v>
      </c>
      <c r="Q301" s="442" t="n">
        <v>202920000</v>
      </c>
      <c r="R301" s="442" t="n">
        <v>0</v>
      </c>
      <c r="S301" s="442" t="n">
        <v>0</v>
      </c>
      <c r="T301" s="442" t="n">
        <v>0</v>
      </c>
      <c r="U301" s="442" t="n">
        <v>0</v>
      </c>
      <c r="V301" s="442" t="n">
        <v>0</v>
      </c>
      <c r="W301" s="442" t="n">
        <v>0</v>
      </c>
      <c r="X301" s="442" t="n">
        <v>0</v>
      </c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443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443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443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443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443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443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444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443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444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443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443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443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443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443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445" t="n">
        <v>45071</v>
      </c>
      <c r="C638" s="141" t="n"/>
      <c r="D638" s="145" t="inlineStr">
        <is>
          <t>Materai 15 pcs</t>
        </is>
      </c>
      <c r="E638" s="145" t="n"/>
      <c r="F638" s="446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445" t="n">
        <v>45085</v>
      </c>
      <c r="C639" s="141" t="n"/>
      <c r="D639" s="145" t="inlineStr">
        <is>
          <t>Plastic folder 3 pcs</t>
        </is>
      </c>
      <c r="E639" s="145" t="n"/>
      <c r="F639" s="447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445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445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445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445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445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445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445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445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445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445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445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445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445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445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445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445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445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445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445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445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8" t="n"/>
      <c r="K741" s="448" t="n"/>
      <c r="L741" s="448" t="n"/>
      <c r="M741" s="448" t="n"/>
      <c r="N741" s="448" t="n"/>
      <c r="O741" s="448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9" t="n"/>
      <c r="K742" s="449" t="n"/>
      <c r="L742" s="448" t="n"/>
      <c r="M742" s="449" t="n"/>
      <c r="N742" s="449" t="n"/>
      <c r="O742" s="448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9" t="n"/>
      <c r="K743" s="449" t="n"/>
      <c r="L743" s="448" t="n"/>
      <c r="M743" s="449" t="n"/>
      <c r="N743" s="449" t="n"/>
      <c r="O743" s="448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9" t="n"/>
      <c r="K744" s="449" t="n"/>
      <c r="L744" s="448" t="n"/>
      <c r="M744" s="449" t="n"/>
      <c r="N744" s="449" t="n"/>
      <c r="O744" s="448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9" t="n"/>
      <c r="K745" s="449" t="n"/>
      <c r="L745" s="448" t="n"/>
      <c r="M745" s="449" t="n"/>
      <c r="N745" s="449" t="n"/>
      <c r="O745" s="448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9" t="n"/>
      <c r="K746" s="449" t="n"/>
      <c r="L746" s="448" t="n"/>
      <c r="M746" s="449" t="n"/>
      <c r="N746" s="449" t="n"/>
      <c r="O746" s="448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9" t="n"/>
      <c r="K747" s="449" t="n"/>
      <c r="L747" s="448" t="n"/>
      <c r="M747" s="449" t="n"/>
      <c r="N747" s="449" t="n"/>
      <c r="O747" s="448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9" t="n"/>
      <c r="K748" s="449" t="n"/>
      <c r="L748" s="448" t="n"/>
      <c r="M748" s="449" t="n"/>
      <c r="N748" s="449" t="n"/>
      <c r="O748" s="448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9" t="n"/>
      <c r="K749" s="449" t="n"/>
      <c r="L749" s="449" t="n"/>
      <c r="M749" s="449" t="n"/>
      <c r="N749" s="449" t="n"/>
      <c r="O749" s="448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50" t="n"/>
      <c r="B1" s="450" t="n"/>
      <c r="C1" s="450" t="n"/>
      <c r="D1" s="450" t="n"/>
      <c r="E1" s="451" t="n"/>
    </row>
    <row r="2" ht="37.25" customHeight="1" s="297">
      <c r="A2" s="450" t="n"/>
      <c r="B2" s="450" t="n"/>
      <c r="C2" s="450" t="n"/>
      <c r="D2" s="450" t="n"/>
      <c r="E2" s="451" t="n"/>
    </row>
    <row r="3" ht="33.65" customHeight="1" s="297">
      <c r="A3" s="450" t="n"/>
      <c r="B3" s="452" t="inlineStr">
        <is>
          <t>PT. EXSPAN WIRELINE INDONESIA</t>
        </is>
      </c>
      <c r="F3" s="453" t="n"/>
      <c r="G3" s="454" t="inlineStr">
        <is>
          <t>PT. EXSPAN WIRELINE INDONESIA</t>
        </is>
      </c>
      <c r="H3" s="454" t="n"/>
      <c r="I3" s="454" t="n"/>
      <c r="J3" s="454" t="n"/>
    </row>
    <row r="4" ht="20.5" customHeight="1" s="297">
      <c r="A4" s="450" t="n"/>
      <c r="B4" s="455" t="inlineStr">
        <is>
          <t>LABA RUGI | TAHUN 2024</t>
        </is>
      </c>
      <c r="F4" s="453" t="n"/>
      <c r="G4" s="456" t="inlineStr">
        <is>
          <t>NERACA |TAHUN YANG BERAKHIR, 31 DESEMBER 2024</t>
        </is>
      </c>
      <c r="H4" s="456" t="n"/>
      <c r="I4" s="456" t="n"/>
      <c r="J4" s="456" t="n"/>
      <c r="K4" s="457" t="inlineStr">
        <is>
          <t>CATATAN KEAMANAN</t>
        </is>
      </c>
    </row>
    <row r="5" ht="6" customHeight="1" s="297">
      <c r="A5" s="450" t="n"/>
      <c r="B5" s="450" t="n"/>
      <c r="C5" s="450" t="n"/>
      <c r="D5" s="450" t="n"/>
      <c r="E5" s="451" t="n"/>
      <c r="F5" s="453" t="n"/>
      <c r="G5" s="453" t="n"/>
      <c r="H5" s="458" t="n"/>
      <c r="I5" s="458" t="n"/>
      <c r="J5" s="458" t="n"/>
      <c r="K5" t="inlineStr">
        <is>
          <t>Kolom ini aman dari overwrite sistem.</t>
        </is>
      </c>
    </row>
    <row r="6" ht="15.5" customHeight="1" s="297">
      <c r="A6" s="450" t="n"/>
      <c r="B6" s="459" t="n"/>
      <c r="C6" s="460" t="n"/>
      <c r="D6" s="461" t="inlineStr">
        <is>
          <t>PT. Exspan Wireline Indonesia</t>
        </is>
      </c>
      <c r="E6" s="289" t="n"/>
      <c r="F6" s="453" t="n"/>
      <c r="G6" s="462" t="n"/>
      <c r="H6" s="463" t="n"/>
      <c r="I6" s="461" t="inlineStr">
        <is>
          <t>PT. Exspan Wireline Indonesia</t>
        </is>
      </c>
      <c r="J6" s="289" t="n"/>
      <c r="K6" t="inlineStr">
        <is>
          <t>Diverifikasi pada: 2026-04-01 00:30</t>
        </is>
      </c>
    </row>
    <row r="7" ht="15.5" customHeight="1" s="297">
      <c r="A7" s="450" t="n"/>
      <c r="B7" s="464" t="n"/>
      <c r="C7" s="465" t="n"/>
      <c r="D7" s="466" t="inlineStr">
        <is>
          <t>(Rp)</t>
        </is>
      </c>
      <c r="E7" s="290" t="n"/>
      <c r="F7" s="453" t="n"/>
      <c r="G7" s="467" t="n"/>
      <c r="H7" s="468" t="n"/>
      <c r="I7" s="466" t="inlineStr">
        <is>
          <t>(Rp)</t>
        </is>
      </c>
      <c r="J7" s="290" t="n"/>
    </row>
    <row r="8">
      <c r="A8" s="450" t="n"/>
      <c r="B8" s="469" t="inlineStr">
        <is>
          <t>PENDAPATAN</t>
        </is>
      </c>
      <c r="C8" s="470" t="n"/>
      <c r="D8" s="471" t="n"/>
      <c r="E8" s="472" t="n"/>
      <c r="F8" s="453" t="n"/>
      <c r="G8" s="473" t="inlineStr">
        <is>
          <t>AKTIVA</t>
        </is>
      </c>
      <c r="H8" s="474" t="n"/>
      <c r="I8" s="475" t="n"/>
      <c r="J8" s="476" t="n"/>
    </row>
    <row r="9">
      <c r="A9" s="450" t="n"/>
      <c r="B9" s="477" t="n"/>
      <c r="C9" s="470" t="inlineStr">
        <is>
          <t>PENDAPATAN LANGSUNG</t>
        </is>
      </c>
      <c r="D9" s="477" t="inlineStr">
        <is>
          <t>Rp</t>
        </is>
      </c>
      <c r="E9" s="478">
        <f>SUM('Revenue-Cost_2024'!L8:'Revenue-Cost_2024'!L21)</f>
        <v/>
      </c>
      <c r="F9" s="453" t="n"/>
      <c r="G9" s="479" t="inlineStr">
        <is>
          <t>AKTIVA LANCAR</t>
        </is>
      </c>
      <c r="H9" s="480" t="n"/>
      <c r="I9" s="479" t="n"/>
      <c r="J9" s="481" t="n"/>
    </row>
    <row r="10">
      <c r="A10" s="450" t="n"/>
      <c r="B10" s="477" t="n"/>
      <c r="C10" s="470" t="inlineStr">
        <is>
          <t>PENDAPATAN LAIN LAIN</t>
        </is>
      </c>
      <c r="D10" s="477" t="inlineStr">
        <is>
          <t>Rp</t>
        </is>
      </c>
      <c r="E10" s="478">
        <f>SUM('Revenue-Cost_2024'!L8:'Revenue-Cost_2024'!L21)</f>
        <v/>
      </c>
      <c r="F10" s="453" t="n"/>
      <c r="G10" s="482" t="n"/>
      <c r="H10" s="483" t="inlineStr">
        <is>
          <t>KAS DAN SETARA KAS TAHUN SEBELUMNYA</t>
        </is>
      </c>
      <c r="I10" s="477" t="inlineStr">
        <is>
          <t>Rp</t>
        </is>
      </c>
      <c r="J10" s="484" t="n">
        <v>0</v>
      </c>
    </row>
    <row r="11">
      <c r="A11" s="450" t="n"/>
      <c r="B11" s="477" t="n"/>
      <c r="C11" s="470" t="n"/>
      <c r="D11" s="485" t="n"/>
      <c r="E11" s="486" t="n"/>
      <c r="F11" s="453" t="n"/>
      <c r="G11" s="482" t="n"/>
      <c r="H11" s="483" t="inlineStr">
        <is>
          <t>KAS DAN SETARA KAS TAHUN LAPORAN</t>
        </is>
      </c>
      <c r="I11" s="477" t="inlineStr">
        <is>
          <t>Rp</t>
        </is>
      </c>
      <c r="J11" s="484">
        <f>E46-'Business Summary'!E13</f>
        <v/>
      </c>
    </row>
    <row r="12">
      <c r="A12" s="450" t="n"/>
      <c r="B12" s="487" t="inlineStr">
        <is>
          <t>TOTALPENDAPATAN</t>
        </is>
      </c>
      <c r="C12" s="488" t="n"/>
      <c r="D12" s="489" t="inlineStr">
        <is>
          <t>Rp</t>
        </is>
      </c>
      <c r="E12" s="490">
        <f>SUM(E9:E11)</f>
        <v/>
      </c>
      <c r="F12" s="453" t="n"/>
      <c r="G12" s="482" t="n"/>
      <c r="H12" s="483" t="inlineStr">
        <is>
          <t>PIUTANG USAHA</t>
        </is>
      </c>
      <c r="I12" s="477" t="inlineStr">
        <is>
          <t>Rp</t>
        </is>
      </c>
      <c r="J12" s="484" t="n">
        <v>0</v>
      </c>
    </row>
    <row r="13">
      <c r="A13" s="450" t="n"/>
      <c r="B13" s="477" t="n"/>
      <c r="C13" s="470" t="n"/>
      <c r="D13" s="471" t="n"/>
      <c r="E13" s="491" t="n"/>
      <c r="F13" s="453" t="n"/>
      <c r="G13" s="482" t="n"/>
      <c r="H13" s="483" t="inlineStr">
        <is>
          <t>PAJAK BAYAR DI MUKA (pph23)</t>
        </is>
      </c>
      <c r="I13" s="477" t="inlineStr">
        <is>
          <t>Rp</t>
        </is>
      </c>
      <c r="J13" s="484" t="n">
        <v>0</v>
      </c>
    </row>
    <row r="14">
      <c r="A14" s="450" t="n"/>
      <c r="B14" s="492" t="inlineStr">
        <is>
          <t>BEBAN LANGSUNG</t>
        </is>
      </c>
      <c r="C14" s="470" t="n"/>
      <c r="D14" s="477" t="n"/>
      <c r="E14" s="493" t="n"/>
      <c r="F14" s="453" t="n"/>
      <c r="G14" s="482" t="n"/>
      <c r="H14" s="483" t="inlineStr">
        <is>
          <t>BIAYA BAYAR DI MUKA</t>
        </is>
      </c>
      <c r="I14" s="477" t="inlineStr">
        <is>
          <t>Rp</t>
        </is>
      </c>
      <c r="J14" s="484" t="n">
        <v>0</v>
      </c>
    </row>
    <row r="15">
      <c r="A15" s="450" t="n"/>
      <c r="B15" s="494" t="n"/>
      <c r="C15" s="470" t="inlineStr">
        <is>
          <t xml:space="preserve">Biaya Operasi </t>
        </is>
      </c>
      <c r="D15" s="477" t="inlineStr">
        <is>
          <t>Rp</t>
        </is>
      </c>
      <c r="E15" s="493">
        <f>'Revenue-Cost_2024'!I301</f>
        <v/>
      </c>
      <c r="F15" s="453" t="n"/>
      <c r="G15" s="495" t="n"/>
      <c r="H15" s="483" t="inlineStr">
        <is>
          <t>PIUTANG LAIN LAIN</t>
        </is>
      </c>
      <c r="I15" s="477" t="inlineStr">
        <is>
          <t>Rp</t>
        </is>
      </c>
      <c r="J15" s="484" t="n">
        <v>0</v>
      </c>
    </row>
    <row r="16">
      <c r="A16" s="450" t="n"/>
      <c r="B16" s="494" t="n"/>
      <c r="C16" s="470" t="inlineStr">
        <is>
          <t>Biaya research (R &amp; D)</t>
        </is>
      </c>
      <c r="D16" s="477" t="inlineStr">
        <is>
          <t>Rp</t>
        </is>
      </c>
      <c r="E16" s="493">
        <f>'Revenue-Cost_2024'!J301</f>
        <v/>
      </c>
      <c r="F16" s="453" t="n"/>
      <c r="G16" s="496" t="n"/>
      <c r="H16" s="497" t="inlineStr">
        <is>
          <t>TOTAL AKTIVA LANCAR</t>
        </is>
      </c>
      <c r="I16" s="489" t="inlineStr">
        <is>
          <t>Rp</t>
        </is>
      </c>
      <c r="J16" s="498">
        <f>SUM(J10:J15)</f>
        <v/>
      </c>
    </row>
    <row r="17">
      <c r="A17" s="450" t="n"/>
      <c r="B17" s="494" t="n"/>
      <c r="C17" s="470" t="inlineStr">
        <is>
          <t>BIAYA SEWA PERALATAN</t>
        </is>
      </c>
      <c r="D17" s="477" t="inlineStr">
        <is>
          <t>Rp</t>
        </is>
      </c>
      <c r="E17" s="493">
        <f>'Revenue-Cost_2024'!K301</f>
        <v/>
      </c>
      <c r="F17" s="453" t="n"/>
      <c r="G17" s="482" t="n"/>
      <c r="H17" s="483" t="n"/>
      <c r="I17" s="499" t="n"/>
      <c r="J17" s="500" t="n"/>
    </row>
    <row r="18">
      <c r="A18" s="450" t="n"/>
      <c r="B18" s="494" t="n"/>
      <c r="C18" s="470" t="inlineStr">
        <is>
          <t>BIAYA Data Processing</t>
        </is>
      </c>
      <c r="D18" s="477" t="inlineStr">
        <is>
          <t>Rp</t>
        </is>
      </c>
      <c r="E18" s="493">
        <f>'Revenue-Cost_2024'!L301</f>
        <v/>
      </c>
      <c r="F18" s="453" t="n"/>
      <c r="G18" s="479" t="inlineStr">
        <is>
          <t>ACTIVA TETAP</t>
        </is>
      </c>
      <c r="H18" s="501" t="n"/>
      <c r="I18" s="473" t="n"/>
      <c r="J18" s="484" t="n"/>
    </row>
    <row r="19">
      <c r="A19" s="450" t="n"/>
      <c r="B19" s="494" t="n"/>
      <c r="C19" s="470" t="n"/>
      <c r="D19" s="477" t="n"/>
      <c r="E19" s="493" t="n"/>
      <c r="F19" s="453" t="n"/>
      <c r="G19" s="479" t="n"/>
      <c r="H19" s="501" t="n"/>
      <c r="I19" s="473" t="n"/>
      <c r="J19" s="484" t="n"/>
    </row>
    <row r="20">
      <c r="A20" s="450" t="n"/>
      <c r="B20" s="494" t="n"/>
      <c r="C20" s="470" t="n"/>
      <c r="D20" s="485" t="n"/>
      <c r="E20" s="502" t="n"/>
      <c r="F20" s="453" t="n"/>
      <c r="G20" s="482" t="n"/>
      <c r="H20" s="483" t="inlineStr">
        <is>
          <t>INVENTARIS KANTOR</t>
        </is>
      </c>
      <c r="I20" s="477" t="inlineStr">
        <is>
          <t>Rp</t>
        </is>
      </c>
      <c r="J20" s="484" t="n">
        <v>0</v>
      </c>
    </row>
    <row r="21">
      <c r="A21" s="450" t="n"/>
      <c r="B21" s="487" t="inlineStr">
        <is>
          <t>TOTAL BIAYA LANGSUNG</t>
        </is>
      </c>
      <c r="C21" s="488" t="n"/>
      <c r="D21" s="489" t="inlineStr">
        <is>
          <t>Rp</t>
        </is>
      </c>
      <c r="E21" s="503">
        <f>SUM(E15:E20)</f>
        <v/>
      </c>
      <c r="F21" s="453" t="n"/>
      <c r="G21" s="482" t="n"/>
      <c r="H21" s="501" t="n"/>
      <c r="I21" s="504" t="n"/>
      <c r="J21" s="505" t="n"/>
    </row>
    <row r="22">
      <c r="A22" s="450" t="n"/>
      <c r="B22" s="477" t="n"/>
      <c r="C22" s="470" t="n"/>
      <c r="D22" s="471" t="n"/>
      <c r="E22" s="506" t="n"/>
      <c r="F22" s="453" t="n"/>
      <c r="G22" s="496" t="n"/>
      <c r="H22" s="497" t="inlineStr">
        <is>
          <t>TOTAL AKTIVA TETAP</t>
        </is>
      </c>
      <c r="I22" s="489" t="inlineStr">
        <is>
          <t>Rp</t>
        </is>
      </c>
      <c r="J22" s="498">
        <f>J20</f>
        <v/>
      </c>
    </row>
    <row r="23">
      <c r="A23" s="450" t="n"/>
      <c r="B23" s="492" t="inlineStr">
        <is>
          <t>BEBAN TIDAK LANGSUNG</t>
        </is>
      </c>
      <c r="C23" s="470" t="n"/>
      <c r="D23" s="477" t="n"/>
      <c r="E23" s="493">
        <f>'Revenue-Cost_2024'!Q301</f>
        <v/>
      </c>
      <c r="F23" s="453" t="n"/>
      <c r="G23" s="482" t="n"/>
      <c r="H23" s="483" t="n"/>
      <c r="I23" s="499" t="n"/>
      <c r="J23" s="476" t="n"/>
    </row>
    <row r="24">
      <c r="A24" s="450" t="n"/>
      <c r="B24" s="477" t="n"/>
      <c r="C24" s="470" t="n"/>
      <c r="D24" s="477" t="n"/>
      <c r="E24" s="493" t="n"/>
      <c r="F24" s="453" t="n"/>
      <c r="G24" s="479" t="inlineStr">
        <is>
          <t>ACTIVA LAIN LAIN</t>
        </is>
      </c>
      <c r="H24" s="501" t="n"/>
      <c r="I24" s="473" t="n"/>
      <c r="J24" s="484" t="n">
        <v>0</v>
      </c>
    </row>
    <row r="25">
      <c r="A25" s="450" t="n"/>
      <c r="B25" s="477" t="n"/>
      <c r="C25" s="470" t="n"/>
      <c r="D25" s="477" t="inlineStr">
        <is>
          <t>Rp</t>
        </is>
      </c>
      <c r="E25" s="493" t="n"/>
      <c r="F25" s="453" t="n"/>
      <c r="G25" s="482" t="n"/>
      <c r="H25" s="483" t="n"/>
      <c r="I25" s="507" t="n"/>
      <c r="J25" s="508" t="n">
        <v>0</v>
      </c>
    </row>
    <row r="26">
      <c r="A26" s="450" t="n"/>
      <c r="B26" s="477" t="n"/>
      <c r="C26" s="470" t="n"/>
      <c r="D26" s="485" t="n"/>
      <c r="E26" s="502" t="n"/>
      <c r="F26" s="453" t="n"/>
      <c r="G26" s="496" t="n"/>
      <c r="H26" s="497" t="inlineStr">
        <is>
          <t>TOTAL AKTIVA LAIN LAIN</t>
        </is>
      </c>
      <c r="I26" s="489" t="inlineStr">
        <is>
          <t>Rp</t>
        </is>
      </c>
      <c r="J26" s="498">
        <f>SUM(J25:J25)</f>
        <v/>
      </c>
    </row>
    <row r="27">
      <c r="A27" s="450" t="n"/>
      <c r="B27" s="487" t="inlineStr">
        <is>
          <t>TOTAL BIAYA TIDAK LANGSUNG</t>
        </is>
      </c>
      <c r="C27" s="488" t="n"/>
      <c r="D27" s="489" t="inlineStr">
        <is>
          <t>Rp</t>
        </is>
      </c>
      <c r="E27" s="503">
        <f>SUM(E22:E26)</f>
        <v/>
      </c>
      <c r="F27" s="453" t="n"/>
      <c r="G27" s="482" t="n"/>
      <c r="H27" s="483" t="n"/>
      <c r="I27" s="509" t="n"/>
      <c r="J27" s="510" t="n"/>
    </row>
    <row r="28">
      <c r="A28" s="450" t="n"/>
      <c r="B28" s="477" t="n"/>
      <c r="C28" s="470" t="n"/>
      <c r="D28" s="471" t="n"/>
      <c r="E28" s="506" t="n"/>
      <c r="F28" s="453" t="n"/>
      <c r="G28" s="487" t="inlineStr">
        <is>
          <t>TOTAL AKTIVA</t>
        </is>
      </c>
      <c r="H28" s="488" t="n"/>
      <c r="I28" s="489" t="inlineStr">
        <is>
          <t>Rp</t>
        </is>
      </c>
      <c r="J28" s="511">
        <f>J26+J22+J16</f>
        <v/>
      </c>
    </row>
    <row r="29">
      <c r="A29" s="450" t="n"/>
      <c r="B29" s="492" t="inlineStr">
        <is>
          <t>BIAYA ADMINISTRASI DAN UMUM</t>
        </is>
      </c>
      <c r="C29" s="470" t="n"/>
      <c r="D29" s="477" t="n"/>
      <c r="E29" s="493" t="n"/>
      <c r="F29" s="453" t="n"/>
      <c r="G29" s="512" t="n"/>
      <c r="H29" s="513" t="n"/>
      <c r="I29" s="512" t="n"/>
      <c r="J29" s="500" t="n"/>
    </row>
    <row r="30">
      <c r="A30" s="450" t="n"/>
      <c r="B30" s="494" t="n"/>
      <c r="C30" s="470" t="inlineStr">
        <is>
          <t>BIAYA ADMINISTRASI</t>
        </is>
      </c>
      <c r="D30" s="477" t="inlineStr">
        <is>
          <t>Rp</t>
        </is>
      </c>
      <c r="E30" s="493">
        <f>'Revenue-Cost_2024'!M301</f>
        <v/>
      </c>
      <c r="F30" s="453" t="n"/>
      <c r="G30" s="514" t="inlineStr">
        <is>
          <t>HUTANG DAN MODAL</t>
        </is>
      </c>
      <c r="H30" s="474" t="n"/>
      <c r="I30" s="514" t="n"/>
      <c r="J30" s="515" t="n"/>
    </row>
    <row r="31">
      <c r="A31" s="450" t="n"/>
      <c r="B31" s="494" t="n"/>
      <c r="C31" s="470" t="inlineStr">
        <is>
          <t>BIAYA PEMBELIAN Barang</t>
        </is>
      </c>
      <c r="D31" s="477" t="inlineStr">
        <is>
          <t>Rp</t>
        </is>
      </c>
      <c r="E31" s="493">
        <f>'Revenue-Cost_2024'!N301</f>
        <v/>
      </c>
      <c r="F31" s="453" t="n"/>
      <c r="G31" s="514" t="n"/>
      <c r="H31" s="474" t="n"/>
      <c r="I31" s="514" t="n"/>
      <c r="J31" s="515" t="n"/>
    </row>
    <row r="32">
      <c r="A32" s="450" t="n"/>
      <c r="B32" s="494" t="n"/>
      <c r="C32" s="470" t="inlineStr">
        <is>
          <t>BIAYA SEWA KANTOR</t>
        </is>
      </c>
      <c r="D32" s="477" t="inlineStr">
        <is>
          <t>Rp</t>
        </is>
      </c>
      <c r="E32" s="493">
        <f>'Revenue-Cost_2024'!O301</f>
        <v/>
      </c>
      <c r="F32" s="453" t="n"/>
      <c r="G32" s="479" t="inlineStr">
        <is>
          <t>HUTANG LANCAR</t>
        </is>
      </c>
      <c r="H32" s="480" t="n"/>
      <c r="I32" s="479" t="n"/>
      <c r="J32" s="481" t="n"/>
    </row>
    <row r="33">
      <c r="A33" s="450" t="n"/>
      <c r="B33" s="494" t="n"/>
      <c r="C33" s="470" t="inlineStr">
        <is>
          <t>BIAYA KESEHATAN</t>
        </is>
      </c>
      <c r="D33" s="477" t="inlineStr">
        <is>
          <t>Rp</t>
        </is>
      </c>
      <c r="E33" s="493">
        <f>'Revenue-Cost_2024'!P301</f>
        <v/>
      </c>
      <c r="F33" s="453" t="n"/>
      <c r="G33" s="482" t="n"/>
      <c r="H33" s="483" t="inlineStr">
        <is>
          <t>HUTANG USAHA</t>
        </is>
      </c>
      <c r="I33" s="477" t="inlineStr">
        <is>
          <t>Rp</t>
        </is>
      </c>
      <c r="J33" s="484" t="n">
        <v>0</v>
      </c>
    </row>
    <row r="34">
      <c r="A34" s="450" t="n"/>
      <c r="B34" s="494" t="n"/>
      <c r="C34" s="470" t="n"/>
      <c r="D34" s="485" t="n"/>
      <c r="E34" s="502" t="n"/>
      <c r="F34" s="453" t="n"/>
      <c r="G34" s="482" t="n"/>
      <c r="H34" s="516" t="inlineStr">
        <is>
          <t>HUTANG GAJI</t>
        </is>
      </c>
      <c r="I34" s="477" t="inlineStr">
        <is>
          <t>Rp</t>
        </is>
      </c>
      <c r="J34" s="484" t="n">
        <v>0</v>
      </c>
    </row>
    <row r="35">
      <c r="A35" s="450" t="n"/>
      <c r="B35" s="487" t="inlineStr">
        <is>
          <t>TOTAL BIAYA ADMINISTRASI DAN UMUM</t>
        </is>
      </c>
      <c r="C35" s="488" t="n"/>
      <c r="D35" s="489" t="inlineStr">
        <is>
          <t>Rp</t>
        </is>
      </c>
      <c r="E35" s="490">
        <f>SUM(E30:E34)</f>
        <v/>
      </c>
      <c r="F35" s="453" t="n"/>
      <c r="G35" s="482" t="n"/>
      <c r="H35" s="483" t="inlineStr">
        <is>
          <t>HUTANG PEMEGANG SAHAM</t>
        </is>
      </c>
      <c r="I35" s="477" t="inlineStr">
        <is>
          <t>Rp</t>
        </is>
      </c>
      <c r="J35" s="484" t="n">
        <v>0</v>
      </c>
    </row>
    <row r="36">
      <c r="A36" s="450" t="n"/>
      <c r="B36" s="494" t="n"/>
      <c r="C36" s="470" t="n"/>
      <c r="D36" s="489" t="n"/>
      <c r="E36" s="517" t="n"/>
      <c r="F36" s="453" t="n"/>
      <c r="G36" s="482" t="n"/>
      <c r="H36" s="483" t="inlineStr">
        <is>
          <t>BIAYA YANG MASIH HARUS DI BAYAR</t>
        </is>
      </c>
      <c r="I36" s="477" t="inlineStr">
        <is>
          <t>Rp</t>
        </is>
      </c>
      <c r="J36" s="484" t="n">
        <v>0</v>
      </c>
    </row>
    <row r="37">
      <c r="A37" s="450" t="n"/>
      <c r="B37" s="487" t="inlineStr">
        <is>
          <t>TOTAL BIAYA</t>
        </is>
      </c>
      <c r="C37" s="488" t="n"/>
      <c r="D37" s="489" t="inlineStr">
        <is>
          <t>Rp</t>
        </is>
      </c>
      <c r="E37" s="490">
        <f>E35+E21+E27</f>
        <v/>
      </c>
      <c r="F37" s="453" t="n"/>
      <c r="G37" s="518" t="n"/>
      <c r="H37" s="519" t="n"/>
      <c r="I37" s="518" t="n"/>
      <c r="J37" s="520" t="n"/>
    </row>
    <row r="38">
      <c r="A38" s="450" t="n"/>
      <c r="B38" s="469" t="n"/>
      <c r="C38" s="521" t="n"/>
      <c r="D38" s="471" t="n"/>
      <c r="E38" s="522" t="n"/>
      <c r="F38" s="453" t="n"/>
      <c r="G38" s="496" t="n"/>
      <c r="H38" s="497" t="inlineStr">
        <is>
          <t>TOTAL HUTANG LANCAR</t>
        </is>
      </c>
      <c r="I38" s="523" t="n"/>
      <c r="J38" s="498">
        <f>SUM(J33:J36)</f>
        <v/>
      </c>
    </row>
    <row r="39">
      <c r="A39" s="450" t="n"/>
      <c r="B39" s="492" t="inlineStr">
        <is>
          <t xml:space="preserve">PENDAPATAN/BEBAN LAIN LAIN </t>
        </is>
      </c>
      <c r="C39" s="470" t="n"/>
      <c r="D39" s="477" t="inlineStr">
        <is>
          <t>Rp</t>
        </is>
      </c>
      <c r="E39" s="524" t="n"/>
      <c r="F39" s="453" t="n"/>
      <c r="G39" s="482" t="n"/>
      <c r="H39" s="501" t="n"/>
      <c r="I39" s="525" t="n"/>
      <c r="J39" s="476" t="n"/>
    </row>
    <row r="40">
      <c r="A40" s="450" t="n"/>
      <c r="B40" s="492" t="n"/>
      <c r="C40" s="470" t="inlineStr">
        <is>
          <t>PENDAPATAN LAINNYA</t>
        </is>
      </c>
      <c r="D40" s="477" t="inlineStr">
        <is>
          <t>Rp</t>
        </is>
      </c>
      <c r="E40" s="478" t="n">
        <v>0</v>
      </c>
      <c r="F40" s="453" t="n"/>
      <c r="G40" s="479" t="inlineStr">
        <is>
          <t>MODAL</t>
        </is>
      </c>
      <c r="H40" s="480" t="n"/>
      <c r="I40" s="479" t="n"/>
      <c r="J40" s="481" t="n"/>
    </row>
    <row r="41">
      <c r="A41" s="450" t="n"/>
      <c r="B41" s="492" t="n"/>
      <c r="C41" s="470" t="n"/>
      <c r="D41" s="485" t="n"/>
      <c r="E41" s="526" t="n"/>
      <c r="F41" s="453" t="n"/>
      <c r="G41" s="482" t="n"/>
      <c r="H41" s="483" t="inlineStr">
        <is>
          <t>MODAL SAHAM</t>
        </is>
      </c>
      <c r="I41" s="477" t="inlineStr">
        <is>
          <t>Rp</t>
        </is>
      </c>
      <c r="J41" s="484" t="n">
        <v>0</v>
      </c>
    </row>
    <row r="42">
      <c r="A42" s="450" t="n"/>
      <c r="B42" s="487" t="inlineStr">
        <is>
          <t>LABA RUGI SEBELUM PAJAK</t>
        </is>
      </c>
      <c r="C42" s="488" t="n"/>
      <c r="D42" s="489" t="inlineStr">
        <is>
          <t>Rp</t>
        </is>
      </c>
      <c r="E42" s="490">
        <f>E12-E37</f>
        <v/>
      </c>
      <c r="F42" s="453" t="n"/>
      <c r="G42" s="482" t="n"/>
      <c r="H42" s="483" t="inlineStr">
        <is>
          <t>LABA DI TAHAN</t>
        </is>
      </c>
      <c r="I42" s="477" t="inlineStr">
        <is>
          <t>Rp</t>
        </is>
      </c>
      <c r="J42" s="484" t="n">
        <v>0</v>
      </c>
    </row>
    <row r="43">
      <c r="A43" s="450" t="n"/>
      <c r="B43" s="527" t="n"/>
      <c r="C43" s="521" t="n"/>
      <c r="D43" s="471" t="n"/>
      <c r="E43" s="491" t="n"/>
      <c r="F43" s="453" t="n"/>
      <c r="G43" s="479" t="n"/>
      <c r="H43" s="483" t="inlineStr">
        <is>
          <t>TOTAL LABA (RUGI) DITAHAN</t>
        </is>
      </c>
      <c r="I43" s="485" t="inlineStr">
        <is>
          <t>Rp</t>
        </is>
      </c>
      <c r="J43" s="508">
        <f>J28-J38-J41-J42</f>
        <v/>
      </c>
    </row>
    <row r="44">
      <c r="A44" s="450" t="n"/>
      <c r="B44" s="492" t="inlineStr">
        <is>
          <t>CORPORATE TAX (PPh 29)</t>
        </is>
      </c>
      <c r="D44" s="477" t="inlineStr">
        <is>
          <t>Rp</t>
        </is>
      </c>
      <c r="E44" s="478" t="n">
        <v>0</v>
      </c>
      <c r="F44" s="453" t="n"/>
      <c r="G44" s="496" t="n"/>
      <c r="H44" s="497" t="inlineStr">
        <is>
          <t>TOTAL MODAL</t>
        </is>
      </c>
      <c r="I44" s="489" t="inlineStr">
        <is>
          <t>Rp</t>
        </is>
      </c>
      <c r="J44" s="498">
        <f>SUM(J41:J43)</f>
        <v/>
      </c>
    </row>
    <row r="45">
      <c r="A45" s="450" t="n"/>
      <c r="B45" s="492" t="n"/>
      <c r="C45" s="470" t="n"/>
      <c r="D45" s="485" t="n"/>
      <c r="E45" s="526" t="n"/>
      <c r="F45" s="453" t="n"/>
      <c r="G45" s="482" t="n"/>
      <c r="H45" s="483" t="n"/>
      <c r="I45" s="509" t="n"/>
      <c r="J45" s="510" t="n"/>
    </row>
    <row r="46" ht="15" customHeight="1" s="297">
      <c r="A46" s="450" t="n"/>
      <c r="B46" s="528" t="inlineStr">
        <is>
          <t>LABA / RUGI BERSIH</t>
        </is>
      </c>
      <c r="C46" s="303" t="n"/>
      <c r="D46" s="529" t="n"/>
      <c r="E46" s="530">
        <f>E42-E44</f>
        <v/>
      </c>
      <c r="F46" s="453" t="n"/>
      <c r="G46" s="531" t="inlineStr">
        <is>
          <t>TOTAL HUTANG DAN MODAL</t>
        </is>
      </c>
      <c r="H46" s="532" t="n"/>
      <c r="I46" s="529" t="inlineStr">
        <is>
          <t>Rp</t>
        </is>
      </c>
      <c r="J46" s="533">
        <f>J44+J38</f>
        <v/>
      </c>
    </row>
    <row r="47" ht="4.5" customHeight="1" s="297">
      <c r="A47" s="450" t="n"/>
      <c r="F47" s="453" t="n"/>
    </row>
    <row r="48" ht="50.65" customHeight="1" s="297">
      <c r="A48" s="450" t="n"/>
      <c r="F48" s="453" t="n"/>
      <c r="G48" s="534" t="n"/>
    </row>
    <row r="49" ht="16.75" customHeight="1" s="297">
      <c r="A49" s="450" t="n"/>
      <c r="B49" s="535" t="n"/>
      <c r="F49" s="453" t="n"/>
      <c r="G49" s="535" t="n"/>
    </row>
    <row r="50" ht="15.65" customHeight="1" s="297">
      <c r="A50" s="470" t="n"/>
      <c r="B50" s="536" t="inlineStr">
        <is>
          <t>Direktur</t>
        </is>
      </c>
      <c r="F50" s="453" t="n"/>
      <c r="G50" s="536" t="inlineStr">
        <is>
          <t>Direktur</t>
        </is>
      </c>
    </row>
    <row r="51">
      <c r="A51" s="470" t="n"/>
      <c r="F51" s="453" t="n"/>
    </row>
    <row r="52">
      <c r="A52" s="470" t="n"/>
      <c r="F52" s="453" t="n"/>
      <c r="J52" s="53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50" t="n"/>
      <c r="B1" s="450" t="n"/>
      <c r="C1" s="450" t="n"/>
      <c r="D1" s="450" t="n"/>
      <c r="E1" s="451" t="n"/>
    </row>
    <row r="2" ht="37.25" customHeight="1" s="297">
      <c r="A2" s="450" t="n"/>
      <c r="B2" s="450" t="n"/>
      <c r="C2" s="450" t="n"/>
      <c r="D2" s="450" t="n"/>
      <c r="E2" s="451" t="n"/>
    </row>
    <row r="3" ht="33.65" customHeight="1" s="297">
      <c r="A3" s="450" t="n"/>
      <c r="B3" s="452" t="inlineStr">
        <is>
          <t>PT. EXSPAN WIRELINE INDONESIA</t>
        </is>
      </c>
      <c r="F3" s="453" t="n"/>
    </row>
    <row r="4" ht="20.5" customHeight="1" s="297">
      <c r="A4" s="450" t="n"/>
      <c r="B4" s="455" t="inlineStr">
        <is>
          <t>BUSINESS SUMMARY | TAHUN 2024</t>
        </is>
      </c>
      <c r="F4" s="453" t="n"/>
    </row>
    <row r="5" ht="6" customHeight="1" s="297">
      <c r="A5" s="450" t="n"/>
      <c r="B5" s="450" t="n"/>
      <c r="C5" s="450" t="n"/>
      <c r="D5" s="450" t="n"/>
      <c r="E5" s="451" t="n"/>
      <c r="F5" s="453" t="n"/>
    </row>
    <row r="6" ht="19" customHeight="1" s="297">
      <c r="A6" s="450" t="n"/>
      <c r="B6" s="538" t="inlineStr">
        <is>
          <t>#</t>
        </is>
      </c>
      <c r="C6" s="538" t="inlineStr">
        <is>
          <t>Items</t>
        </is>
      </c>
      <c r="D6" s="539" t="inlineStr">
        <is>
          <t>Amount</t>
        </is>
      </c>
      <c r="E6" s="279" t="n"/>
      <c r="F6" s="453" t="n"/>
    </row>
    <row r="7" ht="19" customHeight="1" s="297">
      <c r="A7" s="450" t="n"/>
      <c r="B7" s="540" t="n">
        <v>1</v>
      </c>
      <c r="C7" s="541" t="inlineStr">
        <is>
          <t>Revenue</t>
        </is>
      </c>
      <c r="D7" s="542" t="inlineStr">
        <is>
          <t>Rp</t>
        </is>
      </c>
      <c r="E7" s="543">
        <f>SUM('Revenue-Cost_2024'!L8:'Revenue-Cost_2024'!L21)</f>
        <v/>
      </c>
      <c r="F7" s="453" t="n"/>
    </row>
    <row r="8" ht="19" customHeight="1" s="297">
      <c r="A8" s="450" t="n"/>
      <c r="B8" s="540" t="n">
        <v>2</v>
      </c>
      <c r="C8" s="541" t="inlineStr">
        <is>
          <t>Revenue Diterima (Setelah Pajak)</t>
        </is>
      </c>
      <c r="D8" s="542" t="inlineStr">
        <is>
          <t>Rp</t>
        </is>
      </c>
      <c r="E8" s="543">
        <f>E7-SUM('Revenue-Cost_2024'!N8:'Revenue-Cost_2024'!N21)</f>
        <v/>
      </c>
      <c r="F8" s="453" t="n"/>
    </row>
    <row r="9" ht="19" customHeight="1" s="297">
      <c r="A9" s="450" t="n"/>
      <c r="B9" s="540" t="n">
        <v>3</v>
      </c>
      <c r="C9" s="541" t="inlineStr">
        <is>
          <t>Biaya</t>
        </is>
      </c>
      <c r="D9" s="542" t="inlineStr">
        <is>
          <t>Rp</t>
        </is>
      </c>
      <c r="E9" s="543">
        <f>SUM('Revenue-Cost_2024'!I301:Q301)</f>
        <v/>
      </c>
      <c r="F9" s="453" t="n"/>
    </row>
    <row r="10" ht="19" customHeight="1" s="297">
      <c r="A10" s="450" t="n"/>
      <c r="B10" s="540" t="n">
        <v>4</v>
      </c>
      <c r="C10" s="541" t="inlineStr">
        <is>
          <t>Profit SebelumTax</t>
        </is>
      </c>
      <c r="D10" s="542" t="inlineStr">
        <is>
          <t>Rp</t>
        </is>
      </c>
      <c r="E10" s="543">
        <f>E7-E9</f>
        <v/>
      </c>
      <c r="F10" s="453" t="n"/>
    </row>
    <row r="11" ht="19" customHeight="1" s="297">
      <c r="A11" s="450" t="n"/>
      <c r="B11" s="540" t="n">
        <v>5</v>
      </c>
      <c r="C11" s="541" t="inlineStr">
        <is>
          <t>PPh Badan (22%*50%)</t>
        </is>
      </c>
      <c r="D11" s="542" t="inlineStr">
        <is>
          <t>Rp</t>
        </is>
      </c>
      <c r="E11" s="543">
        <f>E10*22%*50%</f>
        <v/>
      </c>
      <c r="F11" s="453" t="n"/>
    </row>
    <row r="12" ht="19" customHeight="1" s="297">
      <c r="A12" s="450" t="n"/>
      <c r="B12" s="540" t="n">
        <v>6</v>
      </c>
      <c r="C12" s="541" t="inlineStr">
        <is>
          <t>PPh 23 Dipotong oleh client</t>
        </is>
      </c>
      <c r="D12" s="542" t="inlineStr">
        <is>
          <t>Rp</t>
        </is>
      </c>
      <c r="E12" s="543">
        <f>SUM('Revenue-Cost_2024'!N8:'Revenue-Cost_2024'!N21)</f>
        <v/>
      </c>
      <c r="F12" s="453" t="n"/>
    </row>
    <row r="13" ht="19" customHeight="1" s="297">
      <c r="A13" s="450" t="n"/>
      <c r="B13" s="540" t="n">
        <v>7</v>
      </c>
      <c r="C13" s="541" t="inlineStr">
        <is>
          <t>Kekurangan Bayar PPh Badan</t>
        </is>
      </c>
      <c r="D13" s="542" t="inlineStr">
        <is>
          <t>Rp</t>
        </is>
      </c>
      <c r="E13" s="544">
        <f>E11-E12</f>
        <v/>
      </c>
      <c r="F13" s="453" t="n"/>
    </row>
    <row r="14" ht="19" customHeight="1" s="297">
      <c r="A14" s="450" t="n"/>
      <c r="B14" s="540" t="n">
        <v>8</v>
      </c>
      <c r="C14" s="541" t="inlineStr">
        <is>
          <t>Profit After Tax</t>
        </is>
      </c>
      <c r="D14" s="542" t="inlineStr">
        <is>
          <t>Rp</t>
        </is>
      </c>
      <c r="E14" s="543">
        <f>E10-E13</f>
        <v/>
      </c>
      <c r="F14" s="453" t="n"/>
    </row>
    <row r="15" ht="19" customHeight="1" s="297">
      <c r="A15" s="450" t="n"/>
      <c r="B15" s="540" t="n">
        <v>9</v>
      </c>
      <c r="C15" s="541" t="inlineStr">
        <is>
          <t>Deviden Dibagi</t>
        </is>
      </c>
      <c r="D15" s="542" t="inlineStr">
        <is>
          <t>Rp</t>
        </is>
      </c>
      <c r="E15" s="543">
        <f>E14-E16</f>
        <v/>
      </c>
      <c r="F15" s="453" t="n"/>
    </row>
    <row r="16" ht="19" customHeight="1" s="297">
      <c r="A16" s="450" t="n"/>
      <c r="B16" s="540" t="n">
        <v>10</v>
      </c>
      <c r="C16" s="541" t="inlineStr">
        <is>
          <t>Profit Ditahan</t>
        </is>
      </c>
      <c r="D16" s="542" t="inlineStr">
        <is>
          <t>Rp</t>
        </is>
      </c>
      <c r="E16" s="543" t="n">
        <v>33763737</v>
      </c>
      <c r="F16" s="453" t="n"/>
    </row>
    <row r="17">
      <c r="A17" s="450" t="n"/>
      <c r="B17" s="450" t="n"/>
      <c r="C17" s="450" t="n"/>
      <c r="D17" s="450" t="n"/>
      <c r="E17" s="451" t="n"/>
      <c r="F17" s="453" t="n"/>
    </row>
    <row r="18" ht="18" customHeight="1" s="297">
      <c r="A18" s="450" t="n"/>
      <c r="B18" s="545" t="inlineStr">
        <is>
          <t>DEVIDEN</t>
        </is>
      </c>
      <c r="F18" s="453" t="n"/>
    </row>
    <row r="19" ht="19" customHeight="1" s="297">
      <c r="A19" s="450" t="n"/>
      <c r="B19" s="546" t="inlineStr">
        <is>
          <t>#</t>
        </is>
      </c>
      <c r="C19" s="546" t="inlineStr">
        <is>
          <t>Nama Lengkap</t>
        </is>
      </c>
      <c r="D19" s="546" t="inlineStr"/>
      <c r="E19" s="547" t="inlineStr">
        <is>
          <t>Amount</t>
        </is>
      </c>
      <c r="F19" s="453" t="inlineStr"/>
      <c r="G19" s="548" t="inlineStr">
        <is>
          <t>Pajak</t>
        </is>
      </c>
    </row>
    <row r="20" ht="19" customHeight="1" s="297">
      <c r="A20" s="450" t="n"/>
      <c r="B20" s="549" t="n">
        <v>1</v>
      </c>
      <c r="C20" s="550" t="inlineStr">
        <is>
          <t>Anevril Chairulsyah</t>
        </is>
      </c>
      <c r="D20" s="550" t="inlineStr">
        <is>
          <t>Rp</t>
        </is>
      </c>
      <c r="E20" s="551">
        <f>IF(C20="","",ROUND($E$15/COUNTA($C$20:$C$21), 0))</f>
        <v/>
      </c>
      <c r="F20" s="453" t="n"/>
      <c r="G20" s="552" t="inlineStr">
        <is>
          <t>Pajak 10%</t>
        </is>
      </c>
    </row>
    <row r="21" ht="48.75" customHeight="1" s="297">
      <c r="A21" s="470" t="n"/>
      <c r="B21" s="553" t="n">
        <v>2</v>
      </c>
      <c r="C21" s="553" t="inlineStr">
        <is>
          <t>Alan Muhadjir</t>
        </is>
      </c>
      <c r="D21" s="553" t="inlineStr">
        <is>
          <t>Rp</t>
        </is>
      </c>
      <c r="E21" s="554">
        <f>IF(C21="","",ROUND($E$15/COUNTA($C$20:$C$21), 0))</f>
        <v/>
      </c>
      <c r="F21" s="453" t="n"/>
      <c r="G21" t="inlineStr">
        <is>
          <t>Pajak 10%</t>
        </is>
      </c>
    </row>
    <row r="22">
      <c r="A22" s="470" t="n"/>
      <c r="F22" s="4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2026-03-31T17:30:50Z</dcterms:modified>
  <cp:lastModifiedBy>Diofavian - Student</cp:lastModifiedBy>
</cp:coreProperties>
</file>