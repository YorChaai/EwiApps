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0" fontId="0" fillId="11" borderId="15" pivotButton="0" quotePrefix="0" xfId="0"/>
    <xf numFmtId="15" fontId="10" fillId="11" borderId="15" applyAlignment="1" pivotButton="0" quotePrefix="0" xfId="0">
      <alignment horizontal="right" vertical="center"/>
    </xf>
    <xf numFmtId="165" fontId="10" fillId="11" borderId="15" pivotButton="0" quotePrefix="0" xfId="2"/>
    <xf numFmtId="165" fontId="8" fillId="12" borderId="15" pivotButton="0" quotePrefix="0" xfId="0"/>
    <xf numFmtId="165" fontId="8" fillId="11" borderId="15" pivotButton="0" quotePrefix="0" xfId="1"/>
    <xf numFmtId="165" fontId="8" fillId="12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5" fontId="26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vertical="top"/>
    </xf>
    <xf numFmtId="0" fontId="8" fillId="0" borderId="15" pivotButton="0" quotePrefix="0" xfId="0"/>
    <xf numFmtId="165" fontId="8" fillId="0" borderId="15" pivotButton="0" quotePrefix="0" xfId="0"/>
    <xf numFmtId="0" fontId="0" fillId="0" borderId="15" pivotButton="0" quotePrefix="0" xfId="0"/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173" fontId="34" fillId="6" borderId="2" pivotButton="0" quotePrefix="0" xfId="0"/>
    <xf numFmtId="0" fontId="35" fillId="6" borderId="0" pivotButton="0" quotePrefix="0" xfId="0"/>
    <xf numFmtId="0" fontId="35" fillId="6" borderId="2" pivotButton="0" quotePrefix="0" xfId="0"/>
    <xf numFmtId="173" fontId="35" fillId="6" borderId="3" pivotButton="0" quotePrefix="0" xfId="0"/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12" pivotButton="0" quotePrefix="0" xfId="0"/>
    <xf numFmtId="37" fontId="35" fillId="6" borderId="14" pivotButton="0" quotePrefix="0" xfId="0"/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3" fontId="35" fillId="13" borderId="14" applyAlignment="1" pivotButton="0" quotePrefix="0" xfId="0">
      <alignment horizontal="right"/>
    </xf>
    <xf numFmtId="0" fontId="35" fillId="6" borderId="6" pivotButton="0" quotePrefix="0" xfId="0"/>
    <xf numFmtId="37" fontId="35" fillId="6" borderId="7" pivotButton="0" quotePrefix="0" xfId="0"/>
    <xf numFmtId="173" fontId="34" fillId="6" borderId="10" pivotButton="0" quotePrefix="0" xfId="0"/>
    <xf numFmtId="0" fontId="35" fillId="6" borderId="9" pivotButton="0" quotePrefix="0" xfId="0"/>
    <xf numFmtId="0" fontId="35" fillId="6" borderId="10" pivotButton="0" quotePrefix="0" xfId="0"/>
    <xf numFmtId="37" fontId="34" fillId="6" borderId="8" pivotButton="0" quotePrefix="0" xfId="0"/>
    <xf numFmtId="37" fontId="35" fillId="6" borderId="3" pivotButton="0" quotePrefix="0" xfId="0"/>
    <xf numFmtId="173" fontId="34" fillId="6" borderId="12" pivotButton="0" quotePrefix="0" xfId="0"/>
    <xf numFmtId="37" fontId="35" fillId="0" borderId="14" pivotButton="0" quotePrefix="0" xfId="0"/>
    <xf numFmtId="173" fontId="35" fillId="6" borderId="12" pivotButton="0" quotePrefix="0" xfId="0"/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37" fontId="35" fillId="0" borderId="7" pivotButton="0" quotePrefix="0" xfId="0"/>
    <xf numFmtId="37" fontId="34" fillId="0" borderId="8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37" fontId="35" fillId="0" borderId="3" pivotButton="0" quotePrefix="0" xfId="0"/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37" fontId="35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5" fillId="6" borderId="11" pivotButton="0" quotePrefix="0" xfId="0"/>
    <xf numFmtId="37" fontId="34" fillId="6" borderId="3" pivotButton="0" quotePrefix="0" xfId="0"/>
    <xf numFmtId="2" fontId="34" fillId="13" borderId="10" applyAlignment="1" pivotButton="0" quotePrefix="0" xfId="0">
      <alignment horizontal="left"/>
    </xf>
    <xf numFmtId="37" fontId="34" fillId="6" borderId="14" pivotButton="0" quotePrefix="0" xfId="0"/>
    <xf numFmtId="2" fontId="34" fillId="13" borderId="2" applyAlignment="1" pivotButton="0" quotePrefix="0" xfId="0">
      <alignment horizontal="left"/>
    </xf>
    <xf numFmtId="37" fontId="34" fillId="6" borderId="7" pivotButton="0" quotePrefix="0" xfId="0"/>
    <xf numFmtId="173" fontId="35" fillId="6" borderId="2" pivotButton="0" quotePrefix="0" xfId="0"/>
    <xf numFmtId="173" fontId="34" fillId="6" borderId="17" applyAlignment="1" pivotButton="0" quotePrefix="0" xfId="0">
      <alignment horizontal="left"/>
    </xf>
    <xf numFmtId="0" fontId="0" fillId="0" borderId="18" pivotButton="0" quotePrefix="0" xfId="0"/>
    <xf numFmtId="0" fontId="35" fillId="6" borderId="19" pivotButton="0" quotePrefix="0" xfId="0"/>
    <xf numFmtId="37" fontId="34" fillId="6" borderId="18" pivotButton="0" quotePrefix="0" xfId="0"/>
    <xf numFmtId="2" fontId="34" fillId="13" borderId="19" pivotButton="0" quotePrefix="0" xfId="0"/>
    <xf numFmtId="2" fontId="34" fillId="13" borderId="20" pivotButton="0" quotePrefix="0" xfId="0"/>
    <xf numFmtId="3" fontId="34" fillId="13" borderId="18" applyAlignment="1" pivotButton="0" quotePrefix="0" xfId="0">
      <alignment horizontal="right"/>
    </xf>
    <xf numFmtId="2" fontId="35" fillId="13" borderId="0" pivotButton="0" quotePrefix="0" xfId="0"/>
    <xf numFmtId="0" fontId="37" fillId="6" borderId="0" applyAlignment="1" pivotButton="0" quotePrefix="0" xfId="0">
      <alignment horizontal="center"/>
    </xf>
    <xf numFmtId="0" fontId="33" fillId="6" borderId="0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8" t="n"/>
      <c r="C11" s="15" t="n"/>
      <c r="D11" s="170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>
      <c r="B12" s="18" t="n"/>
      <c r="C12" s="15" t="n"/>
      <c r="D12" s="170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>
      <c r="B13" s="18" t="n"/>
      <c r="C13" s="15" t="n"/>
      <c r="D13" s="170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>
      <c r="B14" s="18" t="n"/>
      <c r="C14" s="15" t="n"/>
      <c r="D14" s="170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>
      <c r="B15" s="18" t="n"/>
      <c r="C15" s="15" t="n"/>
      <c r="D15" s="170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>
      <c r="B16" s="18" t="n"/>
      <c r="C16" s="15" t="n"/>
      <c r="D16" s="170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>
      <c r="B17" s="18" t="n"/>
      <c r="C17" s="15" t="n"/>
      <c r="D17" s="170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>
      <c r="B18" s="18" t="n"/>
      <c r="C18" s="15" t="n"/>
      <c r="D18" s="170" t="n"/>
      <c r="F18" s="258" t="n"/>
      <c r="G18" s="15" t="n"/>
      <c r="H18" s="15" t="n"/>
      <c r="I18" s="15" t="n"/>
      <c r="J18" s="18" t="n"/>
      <c r="K18" s="98" t="n"/>
      <c r="L18" s="259" t="n"/>
      <c r="M18" s="143" t="n"/>
      <c r="N18" s="143" t="n"/>
      <c r="O18" s="18" t="n"/>
      <c r="P18" s="18" t="n"/>
    </row>
    <row r="19" hidden="1" ht="15.5" customHeight="1">
      <c r="B19" s="18" t="n"/>
      <c r="C19" s="15" t="n"/>
      <c r="D19" s="170" t="n"/>
      <c r="F19" s="260" t="n"/>
      <c r="G19" s="15" t="n"/>
      <c r="H19" s="15" t="n"/>
      <c r="I19" s="15" t="n"/>
      <c r="J19" s="18" t="n"/>
      <c r="K19" s="261" t="n"/>
      <c r="L19" s="262" t="n"/>
      <c r="M19" s="143" t="n"/>
      <c r="N19" s="143" t="n"/>
      <c r="O19" s="263" t="n"/>
      <c r="P19" s="18" t="n"/>
    </row>
    <row r="20" hidden="1" ht="15.5" customHeight="1">
      <c r="B20" s="18" t="n"/>
      <c r="C20" s="15" t="n"/>
      <c r="D20" s="170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>
      <c r="B21" s="18" t="n"/>
      <c r="C21" s="15" t="n"/>
      <c r="D21" s="170" t="n"/>
      <c r="F21" s="28" t="n"/>
      <c r="G21" s="15" t="n"/>
      <c r="H21" s="15" t="n"/>
      <c r="I21" s="27" t="n"/>
      <c r="J21" s="28" t="n"/>
      <c r="K21" s="264" t="n"/>
      <c r="L21" s="265" t="n"/>
      <c r="M21" s="143" t="n"/>
      <c r="N21" s="143" t="n"/>
      <c r="O21" s="266" t="n"/>
      <c r="P21" s="18" t="n"/>
    </row>
    <row r="22" hidden="1" ht="15.5" customHeight="1">
      <c r="B22" s="174" t="n"/>
      <c r="F22" s="267" t="n"/>
      <c r="G22" s="33" t="n"/>
      <c r="H22" s="33" t="n"/>
      <c r="I22" s="268" t="n"/>
      <c r="J22" s="269" t="n"/>
      <c r="K22" s="268" t="n"/>
      <c r="L22" s="270" t="n"/>
      <c r="M22" s="270" t="n"/>
      <c r="N22" s="270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71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7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51" t="inlineStr">
        <is>
          <t>PENERIMAAN NEGARA (TAX) (IDR)</t>
        </is>
      </c>
      <c r="C28" s="273" t="n"/>
      <c r="D28" s="273" t="n"/>
      <c r="E28" s="273" t="n"/>
      <c r="F28" s="273" t="n"/>
      <c r="G28" s="273" t="n"/>
      <c r="H28" s="274" t="n"/>
      <c r="I28" s="275" t="inlineStr">
        <is>
          <t>PPN</t>
        </is>
      </c>
      <c r="J28" s="276">
        <f>SUM(J27:J27)</f>
        <v/>
      </c>
      <c r="K28" s="277" t="inlineStr">
        <is>
          <t>PPh</t>
        </is>
      </c>
      <c r="L28" s="278">
        <f>SUM(L27:L27)</f>
        <v/>
      </c>
      <c r="M28" s="277" t="inlineStr">
        <is>
          <t>PPh</t>
        </is>
      </c>
      <c r="N28" s="278">
        <f>SUM(N27:N27)</f>
        <v/>
      </c>
      <c r="O28" s="277" t="inlineStr">
        <is>
          <t>PPh</t>
        </is>
      </c>
      <c r="P28" s="278">
        <f>SUM(P27:P27)</f>
        <v/>
      </c>
      <c r="Q28" s="279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80" t="inlineStr">
        <is>
          <t>Date</t>
        </is>
      </c>
      <c r="C40" s="281" t="inlineStr">
        <is>
          <t>#</t>
        </is>
      </c>
      <c r="D40" s="281" t="inlineStr">
        <is>
          <t>Activity</t>
        </is>
      </c>
      <c r="E40" s="282" t="inlineStr">
        <is>
          <t>Source</t>
        </is>
      </c>
      <c r="F40" s="283" t="inlineStr">
        <is>
          <t>Jumlah</t>
        </is>
      </c>
      <c r="G40" s="282" t="inlineStr">
        <is>
          <t>Currency</t>
        </is>
      </c>
      <c r="H40" s="282" t="inlineStr">
        <is>
          <t>urrency Exchange</t>
        </is>
      </c>
      <c r="I40" s="284" t="inlineStr">
        <is>
          <t>Biaya Research (R&amp;D)</t>
        </is>
      </c>
      <c r="J40" s="285" t="inlineStr">
        <is>
          <t>Biaya Operasi</t>
        </is>
      </c>
      <c r="K40" s="286" t="inlineStr">
        <is>
          <t>diofavian</t>
        </is>
      </c>
      <c r="L40" s="286" t="inlineStr">
        <is>
          <t>Biaya Sewa Peralatan</t>
        </is>
      </c>
      <c r="M40" s="287" t="inlineStr">
        <is>
          <t>Biaya Interpretasi Log Data</t>
        </is>
      </c>
      <c r="N40" s="287" t="inlineStr">
        <is>
          <t>Administrasi</t>
        </is>
      </c>
      <c r="O40" s="287" t="inlineStr">
        <is>
          <t>Pembelian Barang</t>
        </is>
      </c>
      <c r="P40" s="287" t="inlineStr">
        <is>
          <t>Sewa Kantor</t>
        </is>
      </c>
      <c r="Q40" s="287" t="inlineStr">
        <is>
          <t>Kesehatan</t>
        </is>
      </c>
      <c r="R40" s="286" t="inlineStr">
        <is>
          <t>Bisnis Dev</t>
        </is>
      </c>
      <c r="S40" s="286" t="inlineStr">
        <is>
          <t>asdasd</t>
        </is>
      </c>
      <c r="T40" s="286" t="inlineStr">
        <is>
          <t>makanan jepang</t>
        </is>
      </c>
      <c r="U40" s="286" t="inlineStr">
        <is>
          <t>aaaaa</t>
        </is>
      </c>
      <c r="V40" s="286" t="inlineStr">
        <is>
          <t>bbbbb</t>
        </is>
      </c>
      <c r="W40" s="286" t="inlineStr">
        <is>
          <t>asdsad</t>
        </is>
      </c>
      <c r="X40" s="286" t="inlineStr">
        <is>
          <t>dfgdfgdfgd</t>
        </is>
      </c>
      <c r="Y40" s="286" t="inlineStr">
        <is>
          <t>12312</t>
        </is>
      </c>
    </row>
    <row r="41" ht="15.5" customHeight="1">
      <c r="B41" s="288" t="n"/>
      <c r="C41" s="289" t="n"/>
      <c r="D41" s="290" t="inlineStr">
        <is>
          <t>keysha , nabil</t>
        </is>
      </c>
      <c r="E41" s="291" t="n"/>
      <c r="F41" s="292" t="n"/>
      <c r="G41" s="293" t="n"/>
      <c r="H41" s="293" t="n"/>
      <c r="I41" s="294" t="n"/>
      <c r="J41" s="294" t="n"/>
      <c r="K41" s="295" t="n"/>
      <c r="L41" s="290" t="n"/>
      <c r="M41" s="290" t="n"/>
      <c r="N41" s="290" t="n"/>
      <c r="O41" s="290" t="n"/>
      <c r="P41" s="290" t="n"/>
      <c r="Q41" s="290" t="n"/>
      <c r="R41" s="296" t="n"/>
      <c r="S41" s="296" t="n"/>
      <c r="T41" s="296" t="n"/>
      <c r="U41" s="296" t="n"/>
      <c r="V41" s="296" t="n"/>
      <c r="W41" s="296" t="n"/>
      <c r="X41" s="296" t="n"/>
      <c r="Y41" s="296" t="n"/>
    </row>
    <row r="42" ht="15.5" customHeight="1">
      <c r="B42" s="297" t="inlineStr">
        <is>
          <t>13-Dec-30</t>
        </is>
      </c>
      <c r="C42" s="289" t="n">
        <v>1</v>
      </c>
      <c r="D42" s="291" t="inlineStr">
        <is>
          <t>23434</t>
        </is>
      </c>
      <c r="E42" s="291" t="inlineStr">
        <is>
          <t>BRI</t>
        </is>
      </c>
      <c r="F42" s="298" t="n">
        <v>220000</v>
      </c>
      <c r="G42" s="293" t="inlineStr">
        <is>
          <t>USD</t>
        </is>
      </c>
      <c r="H42" s="299" t="n">
        <v>10000</v>
      </c>
      <c r="I42" s="300" t="n">
        <v>220000</v>
      </c>
      <c r="J42" s="301" t="n"/>
      <c r="K42" s="302" t="n"/>
      <c r="L42" s="291" t="n"/>
      <c r="M42" s="291" t="n"/>
      <c r="N42" s="291" t="n"/>
      <c r="O42" s="291" t="n"/>
      <c r="P42" s="291" t="n"/>
      <c r="Q42" s="291" t="n"/>
      <c r="R42" s="296" t="n"/>
      <c r="S42" s="296" t="n"/>
      <c r="T42" s="296" t="n"/>
      <c r="U42" s="296" t="n"/>
      <c r="V42" s="296" t="n"/>
      <c r="W42" s="296" t="n"/>
      <c r="X42" s="296" t="n"/>
      <c r="Y42" s="296" t="n"/>
    </row>
    <row r="43" ht="15.5" customHeight="1">
      <c r="B43" s="288" t="n"/>
      <c r="C43" s="289" t="n"/>
      <c r="D43" s="290" t="inlineStr">
        <is>
          <t>Allowance</t>
        </is>
      </c>
      <c r="E43" s="291" t="n"/>
      <c r="F43" s="292" t="n"/>
      <c r="G43" s="293" t="n"/>
      <c r="H43" s="293" t="n"/>
      <c r="I43" s="294" t="n"/>
      <c r="J43" s="294" t="n"/>
      <c r="K43" s="295" t="n"/>
      <c r="L43" s="290" t="n"/>
      <c r="M43" s="290" t="n"/>
      <c r="N43" s="290" t="n"/>
      <c r="O43" s="290" t="n"/>
      <c r="P43" s="290" t="n"/>
      <c r="Q43" s="290" t="n"/>
      <c r="R43" s="296" t="n"/>
      <c r="S43" s="296" t="n"/>
      <c r="T43" s="296" t="n"/>
      <c r="U43" s="296" t="n"/>
      <c r="V43" s="296" t="n"/>
      <c r="W43" s="296" t="n"/>
      <c r="X43" s="296" t="n"/>
      <c r="Y43" s="296" t="n"/>
    </row>
    <row r="44" ht="15.5" customHeight="1">
      <c r="B44" s="297" t="inlineStr">
        <is>
          <t>31-Dec-30</t>
        </is>
      </c>
      <c r="C44" s="289" t="n">
        <v>2</v>
      </c>
      <c r="D44" s="291" t="inlineStr">
        <is>
          <t>87987000</t>
        </is>
      </c>
      <c r="E44" s="291" t="inlineStr">
        <is>
          <t>BNI</t>
        </is>
      </c>
      <c r="F44" s="298" t="n">
        <v>98098000</v>
      </c>
      <c r="G44" s="293" t="inlineStr">
        <is>
          <t>IDR</t>
        </is>
      </c>
      <c r="H44" s="299" t="n">
        <v>1</v>
      </c>
      <c r="I44" s="300" t="n">
        <v>98098000</v>
      </c>
      <c r="J44" s="301" t="n"/>
      <c r="K44" s="302" t="n"/>
      <c r="L44" s="291" t="n"/>
      <c r="M44" s="291" t="n"/>
      <c r="N44" s="291" t="n"/>
      <c r="O44" s="291" t="n"/>
      <c r="P44" s="291" t="n"/>
      <c r="Q44" s="291" t="n"/>
      <c r="R44" s="296" t="n"/>
      <c r="S44" s="296" t="n"/>
      <c r="T44" s="296" t="n"/>
      <c r="U44" s="296" t="n"/>
      <c r="V44" s="296" t="n"/>
      <c r="W44" s="296" t="n"/>
      <c r="X44" s="296" t="n"/>
      <c r="Y44" s="296" t="n"/>
    </row>
    <row r="45" ht="15.5" customHeight="1">
      <c r="B45" s="303" t="n"/>
      <c r="C45" s="304" t="n"/>
      <c r="D45" s="305" t="inlineStr">
        <is>
          <t>OPERATION COST AND OFFICE - Expenses Report</t>
        </is>
      </c>
      <c r="E45" s="306" t="n"/>
      <c r="F45" s="307" t="n"/>
      <c r="G45" s="308" t="n"/>
      <c r="H45" s="308" t="n"/>
      <c r="I45" s="309" t="n"/>
      <c r="J45" s="309" t="n"/>
      <c r="K45" s="310" t="n"/>
      <c r="L45" s="310" t="n"/>
      <c r="M45" s="310" t="n"/>
      <c r="N45" s="310" t="n"/>
      <c r="O45" s="310" t="n"/>
      <c r="P45" s="310" t="n"/>
      <c r="Q45" s="310" t="n"/>
      <c r="R45" s="311" t="n"/>
      <c r="S45" s="311" t="n"/>
      <c r="T45" s="311" t="n"/>
      <c r="U45" s="311" t="n"/>
      <c r="V45" s="311" t="n"/>
      <c r="W45" s="311" t="n"/>
      <c r="X45" s="311" t="n"/>
      <c r="Y45" s="311" t="n"/>
    </row>
    <row r="46" ht="15.5" customHeight="1">
      <c r="B46" s="312" t="inlineStr">
        <is>
          <t>Expense#1</t>
        </is>
      </c>
      <c r="C46" s="313" t="inlineStr">
        <is>
          <t>:</t>
        </is>
      </c>
      <c r="D46" s="314" t="inlineStr">
        <is>
          <t>Gudang</t>
        </is>
      </c>
      <c r="E46" s="315" t="n"/>
      <c r="F46" s="316" t="n"/>
      <c r="G46" s="317" t="n"/>
      <c r="H46" s="317" t="n"/>
      <c r="I46" s="318" t="n"/>
      <c r="J46" s="318" t="n"/>
      <c r="K46" s="319" t="n"/>
      <c r="L46" s="319" t="n"/>
      <c r="M46" s="319" t="n"/>
      <c r="N46" s="319" t="n"/>
      <c r="O46" s="319" t="n"/>
      <c r="P46" s="319" t="n"/>
      <c r="Q46" s="319" t="n"/>
      <c r="R46" s="320" t="n"/>
      <c r="S46" s="320" t="n"/>
      <c r="T46" s="320" t="n"/>
      <c r="U46" s="320" t="n"/>
      <c r="V46" s="320" t="n"/>
      <c r="W46" s="320" t="n"/>
      <c r="X46" s="320" t="n"/>
      <c r="Y46" s="320" t="n"/>
    </row>
    <row r="47" ht="15.5" customHeight="1">
      <c r="A47" s="66" t="n"/>
      <c r="B47" s="288" t="n"/>
      <c r="C47" s="289" t="n"/>
      <c r="D47" s="321" t="inlineStr">
        <is>
          <t>123123</t>
        </is>
      </c>
      <c r="E47" s="322" t="n"/>
      <c r="F47" s="323" t="n"/>
      <c r="G47" s="293" t="n"/>
      <c r="H47" s="293" t="n"/>
      <c r="I47" s="294" t="n"/>
      <c r="J47" s="295" t="n"/>
      <c r="K47" s="290" t="n"/>
      <c r="L47" s="290" t="n"/>
      <c r="M47" s="290" t="n"/>
      <c r="N47" s="290" t="n"/>
      <c r="O47" s="290" t="n"/>
      <c r="P47" s="290" t="n"/>
      <c r="Q47" s="290" t="n"/>
      <c r="R47" s="324" t="n"/>
      <c r="S47" s="324" t="n"/>
      <c r="T47" s="324" t="n"/>
      <c r="U47" s="324" t="n"/>
      <c r="V47" s="324" t="n"/>
      <c r="W47" s="324" t="n"/>
      <c r="X47" s="324" t="n"/>
      <c r="Y47" s="324" t="n"/>
    </row>
    <row r="48" ht="15.5" customHeight="1">
      <c r="B48" s="297" t="inlineStr">
        <is>
          <t>31-Dec-30</t>
        </is>
      </c>
      <c r="C48" s="289" t="n">
        <v>1</v>
      </c>
      <c r="D48" s="291" t="inlineStr">
        <is>
          <t>123123</t>
        </is>
      </c>
      <c r="E48" s="291" t="inlineStr">
        <is>
          <t>BCA</t>
        </is>
      </c>
      <c r="F48" s="298" t="n">
        <v>123123</v>
      </c>
      <c r="G48" s="293" t="inlineStr">
        <is>
          <t>IDR</t>
        </is>
      </c>
      <c r="H48" s="299" t="n">
        <v>1</v>
      </c>
      <c r="I48" s="300" t="n">
        <v>123123</v>
      </c>
      <c r="J48" s="301" t="n"/>
      <c r="K48" s="302" t="n"/>
      <c r="L48" s="291" t="n"/>
      <c r="M48" s="291" t="n"/>
      <c r="N48" s="291" t="n"/>
      <c r="O48" s="291" t="n"/>
      <c r="P48" s="291" t="n"/>
      <c r="Q48" s="291" t="n"/>
      <c r="R48" s="296" t="n"/>
      <c r="S48" s="296" t="n"/>
      <c r="T48" s="296" t="n"/>
      <c r="U48" s="296" t="n"/>
      <c r="V48" s="296" t="n"/>
      <c r="W48" s="296" t="n"/>
      <c r="X48" s="296" t="n"/>
      <c r="Y48" s="296" t="n"/>
    </row>
    <row r="49" ht="15.5" customHeight="1">
      <c r="B49" s="325" t="n"/>
      <c r="C49" s="289" t="n"/>
      <c r="D49" s="321" t="inlineStr">
        <is>
          <t>Meal</t>
        </is>
      </c>
      <c r="E49" s="322" t="n"/>
      <c r="F49" s="326" t="n"/>
      <c r="G49" s="293" t="n"/>
      <c r="H49" s="293" t="n"/>
      <c r="I49" s="294" t="n"/>
      <c r="J49" s="294" t="n"/>
      <c r="K49" s="290" t="n"/>
      <c r="L49" s="290" t="n"/>
      <c r="M49" s="290" t="n"/>
      <c r="N49" s="290" t="n"/>
      <c r="O49" s="290" t="n"/>
      <c r="P49" s="290" t="n"/>
      <c r="Q49" s="290" t="n"/>
      <c r="R49" s="324" t="n"/>
      <c r="S49" s="324" t="n"/>
      <c r="T49" s="324" t="n"/>
      <c r="U49" s="324" t="n"/>
      <c r="V49" s="324" t="n"/>
      <c r="W49" s="324" t="n"/>
      <c r="X49" s="324" t="n"/>
      <c r="Y49" s="324" t="n"/>
    </row>
    <row r="50" ht="15.5" customHeight="1">
      <c r="B50" s="297" t="inlineStr">
        <is>
          <t>31-Dec-30</t>
        </is>
      </c>
      <c r="C50" s="289" t="n">
        <v>2</v>
      </c>
      <c r="D50" s="291" t="inlineStr">
        <is>
          <t>werw</t>
        </is>
      </c>
      <c r="E50" s="291" t="inlineStr">
        <is>
          <t>BRI</t>
        </is>
      </c>
      <c r="F50" s="298" t="n">
        <v>123123</v>
      </c>
      <c r="G50" s="293" t="inlineStr">
        <is>
          <t>IDR</t>
        </is>
      </c>
      <c r="H50" s="299" t="n">
        <v>1</v>
      </c>
      <c r="I50" s="300" t="n">
        <v>123123</v>
      </c>
      <c r="J50" s="301" t="n"/>
      <c r="K50" s="302" t="n"/>
      <c r="L50" s="291" t="n"/>
      <c r="M50" s="291" t="n"/>
      <c r="N50" s="291" t="n"/>
      <c r="O50" s="291" t="n"/>
      <c r="P50" s="291" t="n"/>
      <c r="Q50" s="291" t="n"/>
      <c r="R50" s="296" t="n"/>
      <c r="S50" s="296" t="n"/>
      <c r="T50" s="296" t="n"/>
      <c r="U50" s="296" t="n"/>
      <c r="V50" s="296" t="n"/>
      <c r="W50" s="296" t="n"/>
      <c r="X50" s="296" t="n"/>
      <c r="Y50" s="296" t="n"/>
    </row>
    <row r="51" ht="15.5" customHeight="1">
      <c r="B51" s="288" t="n"/>
      <c r="C51" s="289" t="n"/>
      <c r="D51" s="321" t="inlineStr">
        <is>
          <t>nabil</t>
        </is>
      </c>
      <c r="E51" s="322" t="n"/>
      <c r="F51" s="323" t="n"/>
      <c r="G51" s="293" t="n"/>
      <c r="H51" s="293" t="n"/>
      <c r="I51" s="294" t="n"/>
      <c r="J51" s="294" t="n"/>
      <c r="K51" s="290" t="n"/>
      <c r="L51" s="290" t="n"/>
      <c r="M51" s="290" t="n"/>
      <c r="N51" s="290" t="n"/>
      <c r="O51" s="290" t="n"/>
      <c r="P51" s="290" t="n"/>
      <c r="Q51" s="290" t="n"/>
      <c r="R51" s="324" t="n"/>
      <c r="S51" s="324" t="n"/>
      <c r="T51" s="324" t="n"/>
      <c r="U51" s="324" t="n"/>
      <c r="V51" s="324" t="n"/>
      <c r="W51" s="324" t="n"/>
      <c r="X51" s="324" t="n"/>
      <c r="Y51" s="324" t="n"/>
    </row>
    <row r="52" ht="15.5" customFormat="1" customHeight="1" s="66">
      <c r="B52" s="297" t="inlineStr">
        <is>
          <t>31-Dec-30</t>
        </is>
      </c>
      <c r="C52" s="289" t="n">
        <v>3</v>
      </c>
      <c r="D52" s="291" t="inlineStr">
        <is>
          <t>reza</t>
        </is>
      </c>
      <c r="E52" s="291" t="inlineStr">
        <is>
          <t>BCA</t>
        </is>
      </c>
      <c r="F52" s="298" t="n">
        <v>30000</v>
      </c>
      <c r="G52" s="293" t="inlineStr">
        <is>
          <t>IDR</t>
        </is>
      </c>
      <c r="H52" s="299" t="n">
        <v>1</v>
      </c>
      <c r="I52" s="300" t="n">
        <v>30000</v>
      </c>
      <c r="J52" s="301" t="n"/>
      <c r="K52" s="302" t="n"/>
      <c r="L52" s="291" t="n"/>
      <c r="M52" s="291" t="n"/>
      <c r="N52" s="291" t="n"/>
      <c r="O52" s="291" t="n"/>
      <c r="P52" s="291" t="n"/>
      <c r="Q52" s="291" t="n"/>
      <c r="R52" s="296" t="n"/>
      <c r="S52" s="296" t="n"/>
      <c r="T52" s="296" t="n"/>
      <c r="U52" s="296" t="n"/>
      <c r="V52" s="296" t="n"/>
      <c r="W52" s="296" t="n"/>
      <c r="X52" s="296" t="n"/>
      <c r="Y52" s="296" t="n"/>
    </row>
    <row r="53" ht="15.5" customFormat="1" customHeight="1" s="66">
      <c r="B53" s="312" t="inlineStr">
        <is>
          <t>Expense#2</t>
        </is>
      </c>
      <c r="C53" s="313" t="inlineStr">
        <is>
          <t>:</t>
        </is>
      </c>
      <c r="D53" s="314" t="inlineStr">
        <is>
          <t>sasdas</t>
        </is>
      </c>
      <c r="E53" s="315" t="n"/>
      <c r="F53" s="316" t="n"/>
      <c r="G53" s="317" t="n"/>
      <c r="H53" s="317" t="n"/>
      <c r="I53" s="327" t="n"/>
      <c r="J53" s="318" t="n"/>
      <c r="K53" s="319" t="n"/>
      <c r="L53" s="319" t="n"/>
      <c r="M53" s="319" t="n"/>
      <c r="N53" s="319" t="n"/>
      <c r="O53" s="319" t="n"/>
      <c r="P53" s="319" t="n"/>
      <c r="Q53" s="319" t="n"/>
      <c r="R53" s="320" t="n"/>
      <c r="S53" s="320" t="n"/>
      <c r="T53" s="320" t="n"/>
      <c r="U53" s="320" t="n"/>
      <c r="V53" s="320" t="n"/>
      <c r="W53" s="320" t="n"/>
      <c r="X53" s="320" t="n"/>
      <c r="Y53" s="320" t="n"/>
    </row>
    <row r="54" ht="15.5" customFormat="1" customHeight="1" s="66">
      <c r="B54" s="288" t="n"/>
      <c r="C54" s="289" t="n"/>
      <c r="D54" s="321" t="inlineStr">
        <is>
          <t>123123</t>
        </is>
      </c>
      <c r="E54" s="291" t="n"/>
      <c r="F54" s="292" t="n"/>
      <c r="G54" s="293" t="n"/>
      <c r="H54" s="293" t="n"/>
      <c r="I54" s="294" t="n"/>
      <c r="J54" s="294" t="n"/>
      <c r="K54" s="295" t="n"/>
      <c r="L54" s="328" t="n"/>
      <c r="M54" s="290" t="n"/>
      <c r="N54" s="290" t="n"/>
      <c r="O54" s="290" t="n"/>
      <c r="P54" s="290" t="n"/>
      <c r="Q54" s="290" t="n"/>
      <c r="R54" s="324" t="n"/>
      <c r="S54" s="324" t="n"/>
      <c r="T54" s="324" t="n"/>
      <c r="U54" s="324" t="n"/>
      <c r="V54" s="324" t="n"/>
      <c r="W54" s="324" t="n"/>
      <c r="X54" s="324" t="n"/>
      <c r="Y54" s="324" t="n"/>
    </row>
    <row r="55" ht="15.5" customFormat="1" customHeight="1" s="66">
      <c r="B55" s="297" t="inlineStr">
        <is>
          <t>31-Dec-30</t>
        </is>
      </c>
      <c r="C55" s="289" t="n">
        <v>1</v>
      </c>
      <c r="D55" s="291" t="inlineStr">
        <is>
          <t>123123</t>
        </is>
      </c>
      <c r="E55" s="291" t="inlineStr">
        <is>
          <t>Advance</t>
        </is>
      </c>
      <c r="F55" s="298" t="n">
        <v>101</v>
      </c>
      <c r="G55" s="293" t="inlineStr">
        <is>
          <t>USD</t>
        </is>
      </c>
      <c r="H55" s="299" t="n">
        <v>101</v>
      </c>
      <c r="I55" s="300" t="n">
        <v>101</v>
      </c>
      <c r="J55" s="301" t="n"/>
      <c r="K55" s="302" t="n"/>
      <c r="L55" s="291" t="n"/>
      <c r="M55" s="291" t="n"/>
      <c r="N55" s="291" t="n"/>
      <c r="O55" s="291" t="n"/>
      <c r="P55" s="291" t="n"/>
      <c r="Q55" s="291" t="n"/>
      <c r="R55" s="296" t="n"/>
      <c r="S55" s="296" t="n"/>
      <c r="T55" s="296" t="n"/>
      <c r="U55" s="296" t="n"/>
      <c r="V55" s="296" t="n"/>
      <c r="W55" s="296" t="n"/>
      <c r="X55" s="296" t="n"/>
      <c r="Y55" s="296" t="n"/>
    </row>
    <row r="56" ht="15.5" customFormat="1" customHeight="1" s="66">
      <c r="B56" s="288" t="n"/>
      <c r="C56" s="289" t="n"/>
      <c r="D56" s="321" t="inlineStr">
        <is>
          <t>Allowance</t>
        </is>
      </c>
      <c r="E56" s="322" t="n"/>
      <c r="F56" s="323" t="n"/>
      <c r="G56" s="293" t="n"/>
      <c r="H56" s="293" t="n"/>
      <c r="I56" s="294" t="n"/>
      <c r="J56" s="294" t="n"/>
      <c r="K56" s="290" t="n"/>
      <c r="L56" s="290" t="n"/>
      <c r="M56" s="290" t="n"/>
      <c r="N56" s="290" t="n"/>
      <c r="O56" s="290" t="n"/>
      <c r="P56" s="290" t="n"/>
      <c r="Q56" s="328" t="n"/>
      <c r="R56" s="324" t="n"/>
      <c r="S56" s="324" t="n"/>
      <c r="T56" s="324" t="n"/>
      <c r="U56" s="324" t="n"/>
      <c r="V56" s="324" t="n"/>
      <c r="W56" s="324" t="n"/>
      <c r="X56" s="324" t="n"/>
      <c r="Y56" s="324" t="n"/>
    </row>
    <row r="57" ht="15.5" customFormat="1" customHeight="1" s="66">
      <c r="B57" s="297" t="inlineStr">
        <is>
          <t>31-Dec-30</t>
        </is>
      </c>
      <c r="C57" s="289" t="n">
        <v>2</v>
      </c>
      <c r="D57" s="291" t="inlineStr">
        <is>
          <t>234234</t>
        </is>
      </c>
      <c r="E57" s="291" t="inlineStr">
        <is>
          <t>Advance</t>
        </is>
      </c>
      <c r="F57" s="298" t="n">
        <v>234324324</v>
      </c>
      <c r="G57" s="293" t="inlineStr">
        <is>
          <t>IDR</t>
        </is>
      </c>
      <c r="H57" s="299" t="n">
        <v>1</v>
      </c>
      <c r="I57" s="300" t="n">
        <v>234324324</v>
      </c>
      <c r="J57" s="301" t="n"/>
      <c r="K57" s="302" t="n"/>
      <c r="L57" s="291" t="n"/>
      <c r="M57" s="291" t="n"/>
      <c r="N57" s="291" t="n"/>
      <c r="O57" s="291" t="n"/>
      <c r="P57" s="291" t="n"/>
      <c r="Q57" s="291" t="n"/>
      <c r="R57" s="296" t="n"/>
      <c r="S57" s="296" t="n"/>
      <c r="T57" s="296" t="n"/>
      <c r="U57" s="296" t="n"/>
      <c r="V57" s="296" t="n"/>
      <c r="W57" s="296" t="n"/>
      <c r="X57" s="296" t="n"/>
      <c r="Y57" s="296" t="n"/>
    </row>
    <row r="58" ht="15.5" customFormat="1" customHeight="1" s="66">
      <c r="B58" s="288" t="n"/>
      <c r="C58" s="289" t="n"/>
      <c r="D58" s="321" t="inlineStr">
        <is>
          <t>Rental Tool</t>
        </is>
      </c>
      <c r="E58" s="322" t="n"/>
      <c r="F58" s="323" t="n"/>
      <c r="G58" s="293" t="n"/>
      <c r="H58" s="293" t="n"/>
      <c r="I58" s="294" t="n"/>
      <c r="J58" s="294" t="n"/>
      <c r="K58" s="290" t="n"/>
      <c r="L58" s="290" t="n"/>
      <c r="M58" s="290" t="n"/>
      <c r="N58" s="290" t="n"/>
      <c r="O58" s="290" t="n"/>
      <c r="P58" s="290" t="n"/>
      <c r="Q58" s="290" t="n"/>
      <c r="R58" s="324" t="n"/>
      <c r="S58" s="324" t="n"/>
      <c r="T58" s="324" t="n"/>
      <c r="U58" s="324" t="n"/>
      <c r="V58" s="324" t="n"/>
      <c r="W58" s="324" t="n"/>
      <c r="X58" s="324" t="n"/>
      <c r="Y58" s="324" t="n"/>
    </row>
    <row r="59" ht="15.5" customFormat="1" customHeight="1" s="66">
      <c r="B59" s="297" t="inlineStr">
        <is>
          <t>31-Dec-30</t>
        </is>
      </c>
      <c r="C59" s="289" t="n">
        <v>3</v>
      </c>
      <c r="D59" s="291" t="inlineStr">
        <is>
          <t>234</t>
        </is>
      </c>
      <c r="E59" s="291" t="inlineStr">
        <is>
          <t>Advance</t>
        </is>
      </c>
      <c r="F59" s="298" t="n">
        <v>57776</v>
      </c>
      <c r="G59" s="293" t="inlineStr">
        <is>
          <t>USD</t>
        </is>
      </c>
      <c r="H59" s="299" t="n">
        <v>14444</v>
      </c>
      <c r="I59" s="300" t="n">
        <v>57776</v>
      </c>
      <c r="J59" s="301" t="n"/>
      <c r="K59" s="302" t="n"/>
      <c r="L59" s="291" t="n"/>
      <c r="M59" s="291" t="n"/>
      <c r="N59" s="291" t="n"/>
      <c r="O59" s="291" t="n"/>
      <c r="P59" s="291" t="n"/>
      <c r="Q59" s="291" t="n"/>
      <c r="R59" s="296" t="n"/>
      <c r="S59" s="296" t="n"/>
      <c r="T59" s="296" t="n"/>
      <c r="U59" s="296" t="n"/>
      <c r="V59" s="296" t="n"/>
      <c r="W59" s="296" t="n"/>
      <c r="X59" s="296" t="n"/>
      <c r="Y59" s="296" t="n"/>
    </row>
    <row r="60" ht="15.5" customFormat="1" customHeight="1" s="66">
      <c r="B60" s="312" t="inlineStr">
        <is>
          <t>Expense#3</t>
        </is>
      </c>
      <c r="C60" s="313" t="inlineStr">
        <is>
          <t>:</t>
        </is>
      </c>
      <c r="D60" s="314" t="inlineStr">
        <is>
          <t>werwerewr</t>
        </is>
      </c>
      <c r="E60" s="315" t="n"/>
      <c r="F60" s="316" t="n"/>
      <c r="G60" s="317" t="n"/>
      <c r="H60" s="317" t="n"/>
      <c r="I60" s="318" t="n"/>
      <c r="J60" s="318" t="n"/>
      <c r="K60" s="319" t="n"/>
      <c r="L60" s="319" t="n"/>
      <c r="M60" s="319" t="n"/>
      <c r="N60" s="329" t="n"/>
      <c r="O60" s="319" t="n"/>
      <c r="P60" s="319" t="n"/>
      <c r="Q60" s="319" t="n"/>
      <c r="R60" s="320" t="n"/>
      <c r="S60" s="320" t="n"/>
      <c r="T60" s="320" t="n"/>
      <c r="U60" s="320" t="n"/>
      <c r="V60" s="320" t="n"/>
      <c r="W60" s="320" t="n"/>
      <c r="X60" s="320" t="n"/>
      <c r="Y60" s="320" t="n"/>
    </row>
    <row r="61" ht="15.5" customFormat="1" customHeight="1" s="66">
      <c r="B61" s="288" t="n"/>
      <c r="C61" s="289" t="n"/>
      <c r="D61" s="321" t="inlineStr">
        <is>
          <t>Accommodation , Transportation</t>
        </is>
      </c>
      <c r="E61" s="322" t="n"/>
      <c r="F61" s="292" t="n"/>
      <c r="G61" s="330" t="n"/>
      <c r="H61" s="293" t="n"/>
      <c r="I61" s="294" t="n"/>
      <c r="J61" s="295" t="n"/>
      <c r="K61" s="331" t="n"/>
      <c r="L61" s="290" t="n"/>
      <c r="M61" s="290" t="n"/>
      <c r="N61" s="290" t="n"/>
      <c r="O61" s="290" t="n"/>
      <c r="P61" s="290" t="n"/>
      <c r="Q61" s="290" t="n"/>
      <c r="R61" s="324" t="n"/>
      <c r="S61" s="324" t="n"/>
      <c r="T61" s="324" t="n"/>
      <c r="U61" s="324" t="n"/>
      <c r="V61" s="324" t="n"/>
      <c r="W61" s="324" t="n"/>
      <c r="X61" s="324" t="n"/>
      <c r="Y61" s="324" t="n"/>
    </row>
    <row r="62" ht="15.5" customFormat="1" customHeight="1" s="66">
      <c r="B62" s="297" t="inlineStr">
        <is>
          <t>31-Dec-30</t>
        </is>
      </c>
      <c r="C62" s="289" t="n">
        <v>1</v>
      </c>
      <c r="D62" s="291" t="inlineStr">
        <is>
          <t>werwerwer</t>
        </is>
      </c>
      <c r="E62" s="291" t="inlineStr">
        <is>
          <t>Mandiri</t>
        </is>
      </c>
      <c r="F62" s="298" t="n">
        <v>281106</v>
      </c>
      <c r="G62" s="293" t="inlineStr">
        <is>
          <t>EUR</t>
        </is>
      </c>
      <c r="H62" s="299" t="n">
        <v>12222</v>
      </c>
      <c r="I62" s="300" t="n">
        <v>281106</v>
      </c>
      <c r="J62" s="301" t="n"/>
      <c r="K62" s="302" t="n"/>
      <c r="L62" s="291" t="n"/>
      <c r="M62" s="291" t="n"/>
      <c r="N62" s="291" t="n"/>
      <c r="O62" s="291" t="n"/>
      <c r="P62" s="291" t="n"/>
      <c r="Q62" s="291" t="n"/>
      <c r="R62" s="296" t="n"/>
      <c r="S62" s="296" t="n"/>
      <c r="T62" s="296" t="n"/>
      <c r="U62" s="296" t="n"/>
      <c r="V62" s="296" t="n"/>
      <c r="W62" s="296" t="n"/>
      <c r="X62" s="296" t="n"/>
      <c r="Y62" s="296" t="n"/>
    </row>
    <row r="63" ht="15.5" customFormat="1" customHeight="1" s="66">
      <c r="B63" s="288" t="n"/>
      <c r="C63" s="289" t="n"/>
      <c r="D63" s="321" t="inlineStr">
        <is>
          <t>Meal , Shipping</t>
        </is>
      </c>
      <c r="E63" s="322" t="n"/>
      <c r="F63" s="323" t="n"/>
      <c r="G63" s="293" t="n"/>
      <c r="H63" s="293" t="n"/>
      <c r="I63" s="294" t="n"/>
      <c r="J63" s="294" t="n"/>
      <c r="K63" s="290" t="n"/>
      <c r="L63" s="290" t="n"/>
      <c r="M63" s="290" t="n"/>
      <c r="N63" s="290" t="n"/>
      <c r="O63" s="290" t="n"/>
      <c r="P63" s="290" t="n"/>
      <c r="Q63" s="295" t="n"/>
      <c r="R63" s="324" t="n"/>
      <c r="S63" s="324" t="n"/>
      <c r="T63" s="324" t="n"/>
      <c r="U63" s="324" t="n"/>
      <c r="V63" s="324" t="n"/>
      <c r="W63" s="324" t="n"/>
      <c r="X63" s="324" t="n"/>
      <c r="Y63" s="324" t="n"/>
    </row>
    <row r="64" ht="15.5" customFormat="1" customHeight="1" s="66">
      <c r="B64" s="297" t="inlineStr">
        <is>
          <t>31-Dec-30</t>
        </is>
      </c>
      <c r="C64" s="289" t="n">
        <v>2</v>
      </c>
      <c r="D64" s="291" t="inlineStr">
        <is>
          <t>we</t>
        </is>
      </c>
      <c r="E64" s="291" t="inlineStr">
        <is>
          <t>BRI</t>
        </is>
      </c>
      <c r="F64" s="298" t="n">
        <v>146664</v>
      </c>
      <c r="G64" s="293" t="inlineStr">
        <is>
          <t>EUR</t>
        </is>
      </c>
      <c r="H64" s="299" t="n">
        <v>12222</v>
      </c>
      <c r="I64" s="300" t="n">
        <v>146664</v>
      </c>
      <c r="J64" s="301" t="n"/>
      <c r="K64" s="302" t="n"/>
      <c r="L64" s="291" t="n"/>
      <c r="M64" s="291" t="n"/>
      <c r="N64" s="291" t="n"/>
      <c r="O64" s="291" t="n"/>
      <c r="P64" s="291" t="n"/>
      <c r="Q64" s="291" t="n"/>
      <c r="R64" s="296" t="n"/>
      <c r="S64" s="296" t="n"/>
      <c r="T64" s="296" t="n"/>
      <c r="U64" s="296" t="n"/>
      <c r="V64" s="296" t="n"/>
      <c r="W64" s="296" t="n"/>
      <c r="X64" s="296" t="n"/>
      <c r="Y64" s="296" t="n"/>
    </row>
    <row r="65" ht="15.5" customFormat="1" customHeight="1" s="66">
      <c r="B65" s="288" t="n"/>
      <c r="C65" s="289" t="n"/>
      <c r="D65" s="321" t="inlineStr">
        <is>
          <t>Accommodation</t>
        </is>
      </c>
      <c r="E65" s="322" t="n"/>
      <c r="F65" s="323" t="n"/>
      <c r="G65" s="293" t="n"/>
      <c r="H65" s="293" t="n"/>
      <c r="I65" s="294" t="n"/>
      <c r="J65" s="294" t="n"/>
      <c r="K65" s="290" t="n"/>
      <c r="L65" s="290" t="n"/>
      <c r="M65" s="290" t="n"/>
      <c r="N65" s="290" t="n"/>
      <c r="O65" s="290" t="n"/>
      <c r="P65" s="290" t="n"/>
      <c r="Q65" s="328" t="n"/>
      <c r="R65" s="324" t="n"/>
      <c r="S65" s="324" t="n"/>
      <c r="T65" s="324" t="n"/>
      <c r="U65" s="324" t="n"/>
      <c r="V65" s="324" t="n"/>
      <c r="W65" s="324" t="n"/>
      <c r="X65" s="324" t="n"/>
      <c r="Y65" s="324" t="n"/>
    </row>
    <row r="66" ht="15.5" customFormat="1" customHeight="1" s="66">
      <c r="B66" s="297" t="inlineStr">
        <is>
          <t>31-Dec-30</t>
        </is>
      </c>
      <c r="C66" s="289" t="n">
        <v>3</v>
      </c>
      <c r="D66" s="291" t="inlineStr">
        <is>
          <t>23423423</t>
        </is>
      </c>
      <c r="E66" s="291" t="inlineStr">
        <is>
          <t>BCA</t>
        </is>
      </c>
      <c r="F66" s="298" t="n">
        <v>2888262</v>
      </c>
      <c r="G66" s="293" t="inlineStr">
        <is>
          <t>USD</t>
        </is>
      </c>
      <c r="H66" s="299" t="n">
        <v>12343</v>
      </c>
      <c r="I66" s="300" t="n">
        <v>2888262</v>
      </c>
      <c r="J66" s="301" t="n"/>
      <c r="K66" s="302" t="n"/>
      <c r="L66" s="291" t="n"/>
      <c r="M66" s="291" t="n"/>
      <c r="N66" s="291" t="n"/>
      <c r="O66" s="291" t="n"/>
      <c r="P66" s="291" t="n"/>
      <c r="Q66" s="291" t="n"/>
      <c r="R66" s="296" t="n"/>
      <c r="S66" s="296" t="n"/>
      <c r="T66" s="296" t="n"/>
      <c r="U66" s="296" t="n"/>
      <c r="V66" s="296" t="n"/>
      <c r="W66" s="296" t="n"/>
      <c r="X66" s="296" t="n"/>
      <c r="Y66" s="296" t="n"/>
    </row>
    <row r="67" ht="15.5" customHeight="1">
      <c r="B67" s="288" t="n"/>
      <c r="C67" s="289" t="n"/>
      <c r="D67" s="321" t="inlineStr">
        <is>
          <t>Shipping</t>
        </is>
      </c>
      <c r="E67" s="322" t="n"/>
      <c r="F67" s="323" t="n"/>
      <c r="G67" s="293" t="n"/>
      <c r="H67" s="293" t="n"/>
      <c r="I67" s="294" t="n"/>
      <c r="J67" s="294" t="n"/>
      <c r="K67" s="290" t="n"/>
      <c r="L67" s="290" t="n"/>
      <c r="M67" s="290" t="n"/>
      <c r="N67" s="328" t="n"/>
      <c r="O67" s="290" t="n"/>
      <c r="P67" s="290" t="n"/>
      <c r="Q67" s="290" t="n"/>
      <c r="R67" s="324" t="n"/>
      <c r="S67" s="324" t="n"/>
      <c r="T67" s="324" t="n"/>
      <c r="U67" s="324" t="n"/>
      <c r="V67" s="324" t="n"/>
      <c r="W67" s="324" t="n"/>
      <c r="X67" s="324" t="n"/>
      <c r="Y67" s="324" t="n"/>
    </row>
    <row r="68" ht="15.5" customHeight="1">
      <c r="A68" s="66" t="n"/>
      <c r="B68" s="297" t="inlineStr">
        <is>
          <t>31-Dec-30</t>
        </is>
      </c>
      <c r="C68" s="289" t="n">
        <v>4</v>
      </c>
      <c r="D68" s="291" t="inlineStr">
        <is>
          <t>23434</t>
        </is>
      </c>
      <c r="E68" s="291" t="inlineStr">
        <is>
          <t>BRI</t>
        </is>
      </c>
      <c r="F68" s="298" t="n">
        <v>28104</v>
      </c>
      <c r="G68" s="293" t="inlineStr">
        <is>
          <t>EUR</t>
        </is>
      </c>
      <c r="H68" s="299" t="n">
        <v>12</v>
      </c>
      <c r="I68" s="300" t="n">
        <v>28104</v>
      </c>
      <c r="J68" s="301" t="n"/>
      <c r="K68" s="302" t="n"/>
      <c r="L68" s="291" t="n"/>
      <c r="M68" s="291" t="n"/>
      <c r="N68" s="291" t="n"/>
      <c r="O68" s="291" t="n"/>
      <c r="P68" s="291" t="n"/>
      <c r="Q68" s="291" t="n"/>
      <c r="R68" s="296" t="n"/>
      <c r="S68" s="296" t="n"/>
      <c r="T68" s="296" t="n"/>
      <c r="U68" s="296" t="n"/>
      <c r="V68" s="296" t="n"/>
      <c r="W68" s="296" t="n"/>
      <c r="X68" s="296" t="n"/>
      <c r="Y68" s="296" t="n"/>
    </row>
    <row r="69" ht="15.5" customHeight="1">
      <c r="A69" s="66" t="n"/>
      <c r="B69" s="332" t="inlineStr">
        <is>
          <t>TOTAL</t>
        </is>
      </c>
      <c r="C69" s="230" t="n"/>
      <c r="D69" s="230" t="n"/>
      <c r="E69" s="230" t="n"/>
      <c r="F69" s="230" t="n"/>
      <c r="G69" s="230" t="n"/>
      <c r="H69" s="227" t="n"/>
      <c r="I69" s="333" t="n">
        <v>0</v>
      </c>
      <c r="J69" s="333" t="n">
        <v>335889583</v>
      </c>
      <c r="K69" s="334" t="n">
        <v>250000</v>
      </c>
      <c r="L69" s="334" t="n">
        <v>57776</v>
      </c>
      <c r="M69" s="334" t="n">
        <v>0</v>
      </c>
      <c r="N69" s="334" t="n">
        <v>0</v>
      </c>
      <c r="O69" s="335" t="n">
        <v>0</v>
      </c>
      <c r="P69" s="334" t="n">
        <v>0</v>
      </c>
      <c r="Q69" s="335" t="n">
        <v>0</v>
      </c>
      <c r="R69" s="336" t="n">
        <v>0</v>
      </c>
      <c r="S69" s="336" t="n">
        <v>0</v>
      </c>
      <c r="T69" s="336" t="n">
        <v>0</v>
      </c>
      <c r="U69" s="336" t="n">
        <v>0</v>
      </c>
      <c r="V69" s="336" t="n">
        <v>0</v>
      </c>
      <c r="W69" s="336" t="n">
        <v>0</v>
      </c>
      <c r="X69" s="336" t="n">
        <v>0</v>
      </c>
      <c r="Y69" s="336" t="n">
        <v>123224</v>
      </c>
    </row>
    <row r="70" hidden="1" ht="15.5" customHeight="1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236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237">
        <f>F70</f>
        <v/>
      </c>
      <c r="O70" s="44" t="n"/>
      <c r="P70" s="44" t="n"/>
      <c r="Q70" s="44" t="n"/>
    </row>
    <row r="71" hidden="1" ht="15.5" customHeight="1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236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237">
        <f>F71</f>
        <v/>
      </c>
      <c r="M71" s="44" t="n"/>
      <c r="N71" s="44" t="n"/>
      <c r="O71" s="44" t="n"/>
      <c r="P71" s="44" t="n"/>
      <c r="Q71" s="44" t="n"/>
    </row>
    <row r="72" hidden="1" ht="15.5" customHeight="1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236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236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237">
        <f>F76</f>
        <v/>
      </c>
      <c r="O76" s="44" t="n"/>
      <c r="P76" s="44" t="n"/>
      <c r="Q76" s="44" t="n"/>
    </row>
    <row r="77" hidden="1" ht="15.5" customHeight="1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213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B69:H69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37" t="n"/>
      <c r="B1" s="337" t="n"/>
      <c r="C1" s="337" t="n"/>
      <c r="D1" s="337" t="n"/>
      <c r="E1" s="338" t="n"/>
    </row>
    <row r="2" ht="37.25" customHeight="1">
      <c r="A2" s="337" t="n"/>
      <c r="B2" s="337" t="n"/>
      <c r="C2" s="337" t="n"/>
      <c r="D2" s="337" t="n"/>
      <c r="E2" s="338" t="n"/>
    </row>
    <row r="3" ht="33.65" customHeight="1">
      <c r="A3" s="337" t="n"/>
      <c r="B3" s="339" t="inlineStr">
        <is>
          <t>PT. EXSPAN WIRELINE INDONESIA</t>
        </is>
      </c>
      <c r="F3" s="340" t="n"/>
      <c r="G3" s="341" t="inlineStr">
        <is>
          <t>PT. EXSPAN WIRELINE INDONESIA</t>
        </is>
      </c>
      <c r="H3" s="341" t="n"/>
      <c r="I3" s="341" t="n"/>
      <c r="J3" s="341" t="n"/>
    </row>
    <row r="4" ht="20.5" customHeight="1">
      <c r="A4" s="337" t="n"/>
      <c r="B4" s="342" t="inlineStr">
        <is>
          <t>LABA RUGI | TAHUN 2024</t>
        </is>
      </c>
      <c r="F4" s="340" t="n"/>
      <c r="G4" s="343" t="inlineStr">
        <is>
          <t>NERACA |TAHUN YANG BERAKHIR, 31 DESEMBER 2024</t>
        </is>
      </c>
      <c r="H4" s="343" t="n"/>
      <c r="I4" s="343" t="n"/>
      <c r="J4" s="343" t="n"/>
    </row>
    <row r="5" ht="6" customHeight="1">
      <c r="A5" s="337" t="n"/>
      <c r="B5" s="337" t="n"/>
      <c r="C5" s="337" t="n"/>
      <c r="D5" s="337" t="n"/>
      <c r="E5" s="338" t="n"/>
      <c r="F5" s="340" t="n"/>
      <c r="G5" s="340" t="n"/>
      <c r="H5" s="344" t="n"/>
      <c r="I5" s="344" t="n"/>
      <c r="J5" s="344" t="n"/>
    </row>
    <row r="6" ht="15.5" customHeight="1">
      <c r="A6" s="337" t="n"/>
      <c r="B6" s="345" t="n"/>
      <c r="C6" s="346" t="n"/>
      <c r="D6" s="347" t="inlineStr">
        <is>
          <t>PT. Exspan Wireline Indonesia</t>
        </is>
      </c>
      <c r="E6" s="221" t="n"/>
      <c r="F6" s="340" t="n"/>
      <c r="G6" s="348" t="n"/>
      <c r="H6" s="349" t="n"/>
      <c r="I6" s="347" t="inlineStr">
        <is>
          <t>PT. Exspan Wireline Indonesia</t>
        </is>
      </c>
      <c r="J6" s="221" t="n"/>
    </row>
    <row r="7" ht="15.5" customHeight="1">
      <c r="A7" s="337" t="n"/>
      <c r="B7" s="350" t="n"/>
      <c r="C7" s="351" t="n"/>
      <c r="D7" s="352" t="inlineStr">
        <is>
          <t>(Rp)</t>
        </is>
      </c>
      <c r="E7" s="226" t="n"/>
      <c r="F7" s="340" t="n"/>
      <c r="G7" s="353" t="n"/>
      <c r="H7" s="354" t="n"/>
      <c r="I7" s="352" t="inlineStr">
        <is>
          <t>(Rp)</t>
        </is>
      </c>
      <c r="J7" s="226" t="n"/>
    </row>
    <row r="8">
      <c r="A8" s="337" t="n"/>
      <c r="B8" s="355" t="inlineStr">
        <is>
          <t>PENDAPATAN</t>
        </is>
      </c>
      <c r="C8" s="356" t="n"/>
      <c r="D8" s="357" t="n"/>
      <c r="E8" s="358" t="n"/>
      <c r="F8" s="340" t="n"/>
      <c r="G8" s="359" t="inlineStr">
        <is>
          <t>AKTIVA</t>
        </is>
      </c>
      <c r="H8" s="360" t="n"/>
      <c r="I8" s="361" t="n"/>
      <c r="J8" s="362" t="n"/>
    </row>
    <row r="9">
      <c r="A9" s="337" t="n"/>
      <c r="B9" s="363" t="n"/>
      <c r="C9" s="356" t="inlineStr">
        <is>
          <t>PENDAPATAN LANGSUNG</t>
        </is>
      </c>
      <c r="D9" s="363" t="inlineStr">
        <is>
          <t>Rp</t>
        </is>
      </c>
      <c r="E9" s="364" t="n">
        <v>0</v>
      </c>
      <c r="F9" s="340" t="n"/>
      <c r="G9" s="365" t="inlineStr">
        <is>
          <t>AKTIVA LANCAR</t>
        </is>
      </c>
      <c r="H9" s="366" t="n"/>
      <c r="I9" s="365" t="n"/>
      <c r="J9" s="367" t="n"/>
    </row>
    <row r="10">
      <c r="A10" s="337" t="n"/>
      <c r="B10" s="363" t="n"/>
      <c r="C10" s="356" t="inlineStr">
        <is>
          <t>PENDAPATAN LAIN LAIN</t>
        </is>
      </c>
      <c r="D10" s="363" t="inlineStr">
        <is>
          <t>Rp</t>
        </is>
      </c>
      <c r="E10" s="364" t="n">
        <v>0</v>
      </c>
      <c r="F10" s="340" t="n"/>
      <c r="G10" s="368" t="n"/>
      <c r="H10" s="369" t="inlineStr">
        <is>
          <t>KAS DAN SETARA KAS TAHUN SEBELUMNYA</t>
        </is>
      </c>
      <c r="I10" s="363" t="inlineStr">
        <is>
          <t>Rp</t>
        </is>
      </c>
      <c r="J10" s="370" t="n">
        <v>0</v>
      </c>
    </row>
    <row r="11">
      <c r="A11" s="337" t="n"/>
      <c r="B11" s="363" t="n"/>
      <c r="C11" s="356" t="n"/>
      <c r="D11" s="371" t="n"/>
      <c r="E11" s="372" t="n"/>
      <c r="F11" s="340" t="n"/>
      <c r="G11" s="368" t="n"/>
      <c r="H11" s="369" t="inlineStr">
        <is>
          <t>KAS DAN SETARA KAS TAHUN LAPORAN</t>
        </is>
      </c>
      <c r="I11" s="363" t="inlineStr">
        <is>
          <t>Rp</t>
        </is>
      </c>
      <c r="J11" s="370">
        <f>E46-'Business Summary'!E13</f>
        <v/>
      </c>
    </row>
    <row r="12">
      <c r="A12" s="337" t="n"/>
      <c r="B12" s="373" t="inlineStr">
        <is>
          <t>TOTALPENDAPATAN</t>
        </is>
      </c>
      <c r="C12" s="374" t="n"/>
      <c r="D12" s="375" t="inlineStr">
        <is>
          <t>Rp</t>
        </is>
      </c>
      <c r="E12" s="376">
        <f>SUM(E9:E11)</f>
        <v/>
      </c>
      <c r="F12" s="340" t="n"/>
      <c r="G12" s="368" t="n"/>
      <c r="H12" s="369" t="inlineStr">
        <is>
          <t>PIUTANG USAHA</t>
        </is>
      </c>
      <c r="I12" s="363" t="inlineStr">
        <is>
          <t>Rp</t>
        </is>
      </c>
      <c r="J12" s="370" t="n">
        <v>0</v>
      </c>
    </row>
    <row r="13">
      <c r="A13" s="337" t="n"/>
      <c r="B13" s="363" t="n"/>
      <c r="C13" s="356" t="n"/>
      <c r="D13" s="357" t="n"/>
      <c r="E13" s="377" t="n"/>
      <c r="F13" s="340" t="n"/>
      <c r="G13" s="368" t="n"/>
      <c r="H13" s="369" t="inlineStr">
        <is>
          <t>PAJAK BAYAR DI MUKA (pph23)</t>
        </is>
      </c>
      <c r="I13" s="363" t="inlineStr">
        <is>
          <t>Rp</t>
        </is>
      </c>
      <c r="J13" s="370" t="n">
        <v>0</v>
      </c>
    </row>
    <row r="14">
      <c r="A14" s="337" t="n"/>
      <c r="B14" s="378" t="inlineStr">
        <is>
          <t>BEBAN LANGSUNG</t>
        </is>
      </c>
      <c r="C14" s="356" t="n"/>
      <c r="D14" s="363" t="n"/>
      <c r="E14" s="379" t="n"/>
      <c r="F14" s="340" t="n"/>
      <c r="G14" s="368" t="n"/>
      <c r="H14" s="369" t="inlineStr">
        <is>
          <t>BIAYA BAYAR DI MUKA</t>
        </is>
      </c>
      <c r="I14" s="363" t="inlineStr">
        <is>
          <t>Rp</t>
        </is>
      </c>
      <c r="J14" s="370" t="n">
        <v>0</v>
      </c>
    </row>
    <row r="15">
      <c r="A15" s="337" t="n"/>
      <c r="B15" s="380" t="n"/>
      <c r="C15" s="356" t="inlineStr">
        <is>
          <t xml:space="preserve">Biaya Operasi </t>
        </is>
      </c>
      <c r="D15" s="363" t="inlineStr">
        <is>
          <t>Rp</t>
        </is>
      </c>
      <c r="E15" s="379">
        <f>'Revenue-Cost_2030'!I69</f>
        <v/>
      </c>
      <c r="F15" s="340" t="n"/>
      <c r="G15" s="381" t="n"/>
      <c r="H15" s="369" t="inlineStr">
        <is>
          <t>PIUTANG LAIN LAIN</t>
        </is>
      </c>
      <c r="I15" s="363" t="inlineStr">
        <is>
          <t>Rp</t>
        </is>
      </c>
      <c r="J15" s="370" t="n">
        <v>0</v>
      </c>
    </row>
    <row r="16">
      <c r="A16" s="337" t="n"/>
      <c r="B16" s="380" t="n"/>
      <c r="C16" s="356" t="inlineStr">
        <is>
          <t>Biaya research (R &amp; D)</t>
        </is>
      </c>
      <c r="D16" s="363" t="inlineStr">
        <is>
          <t>Rp</t>
        </is>
      </c>
      <c r="E16" s="379">
        <f>'Revenue-Cost_2030'!J69</f>
        <v/>
      </c>
      <c r="F16" s="340" t="n"/>
      <c r="G16" s="382" t="n"/>
      <c r="H16" s="383" t="inlineStr">
        <is>
          <t>TOTAL AKTIVA LANCAR</t>
        </is>
      </c>
      <c r="I16" s="375" t="inlineStr">
        <is>
          <t>Rp</t>
        </is>
      </c>
      <c r="J16" s="384">
        <f>SUM(J10:J15)</f>
        <v/>
      </c>
    </row>
    <row r="17">
      <c r="A17" s="337" t="n"/>
      <c r="B17" s="380" t="n"/>
      <c r="C17" s="356" t="inlineStr">
        <is>
          <t>BIAYA SEWA PERALATAN</t>
        </is>
      </c>
      <c r="D17" s="363" t="inlineStr">
        <is>
          <t>Rp</t>
        </is>
      </c>
      <c r="E17" s="379">
        <f>'Revenue-Cost_2030'!K69</f>
        <v/>
      </c>
      <c r="F17" s="340" t="n"/>
      <c r="G17" s="368" t="n"/>
      <c r="H17" s="369" t="n"/>
      <c r="I17" s="385" t="n"/>
      <c r="J17" s="386" t="n"/>
    </row>
    <row r="18">
      <c r="A18" s="337" t="n"/>
      <c r="B18" s="380" t="n"/>
      <c r="C18" s="356" t="inlineStr">
        <is>
          <t>BIAYA Data Processing</t>
        </is>
      </c>
      <c r="D18" s="363" t="inlineStr">
        <is>
          <t>Rp</t>
        </is>
      </c>
      <c r="E18" s="379">
        <f>'Revenue-Cost_2030'!L69</f>
        <v/>
      </c>
      <c r="F18" s="340" t="n"/>
      <c r="G18" s="365" t="inlineStr">
        <is>
          <t>ACTIVA TETAP</t>
        </is>
      </c>
      <c r="H18" s="387" t="n"/>
      <c r="I18" s="359" t="n"/>
      <c r="J18" s="370" t="n"/>
    </row>
    <row r="19">
      <c r="A19" s="337" t="n"/>
      <c r="B19" s="380" t="n"/>
      <c r="C19" s="356" t="n"/>
      <c r="D19" s="363" t="n"/>
      <c r="E19" s="379" t="n"/>
      <c r="F19" s="340" t="n"/>
      <c r="G19" s="365" t="n"/>
      <c r="H19" s="387" t="n"/>
      <c r="I19" s="359" t="n"/>
      <c r="J19" s="370" t="n"/>
    </row>
    <row r="20">
      <c r="A20" s="337" t="n"/>
      <c r="B20" s="380" t="n"/>
      <c r="C20" s="356" t="n"/>
      <c r="D20" s="371" t="n"/>
      <c r="E20" s="388" t="n"/>
      <c r="F20" s="340" t="n"/>
      <c r="G20" s="368" t="n"/>
      <c r="H20" s="369" t="inlineStr">
        <is>
          <t>INVENTARIS KANTOR</t>
        </is>
      </c>
      <c r="I20" s="363" t="inlineStr">
        <is>
          <t>Rp</t>
        </is>
      </c>
      <c r="J20" s="370" t="n">
        <v>0</v>
      </c>
    </row>
    <row r="21">
      <c r="A21" s="337" t="n"/>
      <c r="B21" s="373" t="inlineStr">
        <is>
          <t>TOTAL BIAYA LANGSUNG</t>
        </is>
      </c>
      <c r="C21" s="374" t="n"/>
      <c r="D21" s="375" t="inlineStr">
        <is>
          <t>Rp</t>
        </is>
      </c>
      <c r="E21" s="389">
        <f>SUM(E15:E20)</f>
        <v/>
      </c>
      <c r="F21" s="340" t="n"/>
      <c r="G21" s="368" t="n"/>
      <c r="H21" s="387" t="n"/>
      <c r="I21" s="390" t="n"/>
      <c r="J21" s="391" t="n"/>
    </row>
    <row r="22">
      <c r="A22" s="337" t="n"/>
      <c r="B22" s="363" t="n"/>
      <c r="C22" s="356" t="n"/>
      <c r="D22" s="357" t="n"/>
      <c r="E22" s="392" t="n"/>
      <c r="F22" s="340" t="n"/>
      <c r="G22" s="382" t="n"/>
      <c r="H22" s="383" t="inlineStr">
        <is>
          <t>TOTAL AKTIVA TETAP</t>
        </is>
      </c>
      <c r="I22" s="375" t="inlineStr">
        <is>
          <t>Rp</t>
        </is>
      </c>
      <c r="J22" s="384">
        <f>J20</f>
        <v/>
      </c>
    </row>
    <row r="23">
      <c r="A23" s="337" t="n"/>
      <c r="B23" s="378" t="inlineStr">
        <is>
          <t>BEBAN TIDAK LANGSUNG</t>
        </is>
      </c>
      <c r="C23" s="356" t="n"/>
      <c r="D23" s="363" t="n"/>
      <c r="E23" s="379">
        <f>'Revenue-Cost_2030'!Q69</f>
        <v/>
      </c>
      <c r="F23" s="340" t="n"/>
      <c r="G23" s="368" t="n"/>
      <c r="H23" s="369" t="n"/>
      <c r="I23" s="385" t="n"/>
      <c r="J23" s="362" t="n"/>
    </row>
    <row r="24">
      <c r="A24" s="337" t="n"/>
      <c r="B24" s="363" t="n"/>
      <c r="C24" s="356" t="n"/>
      <c r="D24" s="363" t="n"/>
      <c r="E24" s="379" t="n"/>
      <c r="F24" s="340" t="n"/>
      <c r="G24" s="365" t="inlineStr">
        <is>
          <t>ACTIVA LAIN LAIN</t>
        </is>
      </c>
      <c r="H24" s="387" t="n"/>
      <c r="I24" s="359" t="n"/>
      <c r="J24" s="370" t="n">
        <v>0</v>
      </c>
    </row>
    <row r="25">
      <c r="A25" s="337" t="n"/>
      <c r="B25" s="363" t="n"/>
      <c r="C25" s="356" t="n"/>
      <c r="D25" s="363" t="inlineStr">
        <is>
          <t>Rp</t>
        </is>
      </c>
      <c r="E25" s="379" t="n"/>
      <c r="F25" s="340" t="n"/>
      <c r="G25" s="368" t="n"/>
      <c r="H25" s="369" t="n"/>
      <c r="I25" s="393" t="n"/>
      <c r="J25" s="394" t="n">
        <v>0</v>
      </c>
    </row>
    <row r="26">
      <c r="A26" s="337" t="n"/>
      <c r="B26" s="363" t="n"/>
      <c r="C26" s="356" t="n"/>
      <c r="D26" s="371" t="n"/>
      <c r="E26" s="388" t="n"/>
      <c r="F26" s="340" t="n"/>
      <c r="G26" s="382" t="n"/>
      <c r="H26" s="383" t="inlineStr">
        <is>
          <t>TOTAL AKTIVA LAIN LAIN</t>
        </is>
      </c>
      <c r="I26" s="375" t="inlineStr">
        <is>
          <t>Rp</t>
        </is>
      </c>
      <c r="J26" s="384">
        <f>SUM(J25:J25)</f>
        <v/>
      </c>
    </row>
    <row r="27">
      <c r="A27" s="337" t="n"/>
      <c r="B27" s="373" t="inlineStr">
        <is>
          <t>TOTAL BIAYA TIDAK LANGSUNG</t>
        </is>
      </c>
      <c r="C27" s="374" t="n"/>
      <c r="D27" s="375" t="inlineStr">
        <is>
          <t>Rp</t>
        </is>
      </c>
      <c r="E27" s="389">
        <f>SUM(E22:E26)</f>
        <v/>
      </c>
      <c r="F27" s="340" t="n"/>
      <c r="G27" s="368" t="n"/>
      <c r="H27" s="369" t="n"/>
      <c r="I27" s="395" t="n"/>
      <c r="J27" s="396" t="n"/>
    </row>
    <row r="28">
      <c r="A28" s="337" t="n"/>
      <c r="B28" s="363" t="n"/>
      <c r="C28" s="356" t="n"/>
      <c r="D28" s="357" t="n"/>
      <c r="E28" s="392" t="n"/>
      <c r="F28" s="340" t="n"/>
      <c r="G28" s="373" t="inlineStr">
        <is>
          <t>TOTAL AKTIVA</t>
        </is>
      </c>
      <c r="H28" s="374" t="n"/>
      <c r="I28" s="375" t="inlineStr">
        <is>
          <t>Rp</t>
        </is>
      </c>
      <c r="J28" s="397">
        <f>J26+J22+J16</f>
        <v/>
      </c>
    </row>
    <row r="29">
      <c r="A29" s="337" t="n"/>
      <c r="B29" s="378" t="inlineStr">
        <is>
          <t>BIAYA ADMINISTRASI DAN UMUM</t>
        </is>
      </c>
      <c r="C29" s="356" t="n"/>
      <c r="D29" s="363" t="n"/>
      <c r="E29" s="379" t="n"/>
      <c r="F29" s="340" t="n"/>
      <c r="G29" s="398" t="n"/>
      <c r="H29" s="399" t="n"/>
      <c r="I29" s="398" t="n"/>
      <c r="J29" s="386" t="n"/>
    </row>
    <row r="30">
      <c r="A30" s="337" t="n"/>
      <c r="B30" s="380" t="n"/>
      <c r="C30" s="356" t="inlineStr">
        <is>
          <t>BIAYA ADMINISTRASI</t>
        </is>
      </c>
      <c r="D30" s="363" t="inlineStr">
        <is>
          <t>Rp</t>
        </is>
      </c>
      <c r="E30" s="379">
        <f>'Revenue-Cost_2030'!M69</f>
        <v/>
      </c>
      <c r="F30" s="340" t="n"/>
      <c r="G30" s="400" t="inlineStr">
        <is>
          <t>HUTANG DAN MODAL</t>
        </is>
      </c>
      <c r="H30" s="360" t="n"/>
      <c r="I30" s="400" t="n"/>
      <c r="J30" s="401" t="n"/>
    </row>
    <row r="31">
      <c r="A31" s="337" t="n"/>
      <c r="B31" s="380" t="n"/>
      <c r="C31" s="356" t="inlineStr">
        <is>
          <t>BIAYA PEMBELIAN Barang</t>
        </is>
      </c>
      <c r="D31" s="363" t="inlineStr">
        <is>
          <t>Rp</t>
        </is>
      </c>
      <c r="E31" s="379">
        <f>'Revenue-Cost_2030'!N69</f>
        <v/>
      </c>
      <c r="F31" s="340" t="n"/>
      <c r="G31" s="400" t="n"/>
      <c r="H31" s="360" t="n"/>
      <c r="I31" s="400" t="n"/>
      <c r="J31" s="401" t="n"/>
    </row>
    <row r="32">
      <c r="A32" s="337" t="n"/>
      <c r="B32" s="380" t="n"/>
      <c r="C32" s="356" t="inlineStr">
        <is>
          <t>BIAYA SEWA KANTOR</t>
        </is>
      </c>
      <c r="D32" s="363" t="inlineStr">
        <is>
          <t>Rp</t>
        </is>
      </c>
      <c r="E32" s="379">
        <f>'Revenue-Cost_2030'!O69</f>
        <v/>
      </c>
      <c r="F32" s="340" t="n"/>
      <c r="G32" s="365" t="inlineStr">
        <is>
          <t>HUTANG LANCAR</t>
        </is>
      </c>
      <c r="H32" s="366" t="n"/>
      <c r="I32" s="365" t="n"/>
      <c r="J32" s="367" t="n"/>
    </row>
    <row r="33">
      <c r="A33" s="337" t="n"/>
      <c r="B33" s="380" t="n"/>
      <c r="C33" s="356" t="inlineStr">
        <is>
          <t>BIAYA KESEHATAN</t>
        </is>
      </c>
      <c r="D33" s="363" t="inlineStr">
        <is>
          <t>Rp</t>
        </is>
      </c>
      <c r="E33" s="379">
        <f>'Revenue-Cost_2030'!P69</f>
        <v/>
      </c>
      <c r="F33" s="340" t="n"/>
      <c r="G33" s="368" t="n"/>
      <c r="H33" s="369" t="inlineStr">
        <is>
          <t>HUTANG USAHA</t>
        </is>
      </c>
      <c r="I33" s="363" t="inlineStr">
        <is>
          <t>Rp</t>
        </is>
      </c>
      <c r="J33" s="370" t="n">
        <v>0</v>
      </c>
    </row>
    <row r="34">
      <c r="A34" s="337" t="n"/>
      <c r="B34" s="380" t="n"/>
      <c r="C34" s="356" t="n"/>
      <c r="D34" s="371" t="n"/>
      <c r="E34" s="388" t="n"/>
      <c r="F34" s="340" t="n"/>
      <c r="G34" s="368" t="n"/>
      <c r="H34" s="402" t="inlineStr">
        <is>
          <t>HUTANG GAJI</t>
        </is>
      </c>
      <c r="I34" s="363" t="inlineStr">
        <is>
          <t>Rp</t>
        </is>
      </c>
      <c r="J34" s="370" t="n">
        <v>0</v>
      </c>
    </row>
    <row r="35">
      <c r="A35" s="337" t="n"/>
      <c r="B35" s="373" t="inlineStr">
        <is>
          <t>TOTAL BIAYA ADMINISTRASI DAN UMUM</t>
        </is>
      </c>
      <c r="C35" s="374" t="n"/>
      <c r="D35" s="375" t="inlineStr">
        <is>
          <t>Rp</t>
        </is>
      </c>
      <c r="E35" s="376">
        <f>SUM(E30:E34)</f>
        <v/>
      </c>
      <c r="F35" s="340" t="n"/>
      <c r="G35" s="368" t="n"/>
      <c r="H35" s="369" t="inlineStr">
        <is>
          <t>HUTANG PEMEGANG SAHAM</t>
        </is>
      </c>
      <c r="I35" s="363" t="inlineStr">
        <is>
          <t>Rp</t>
        </is>
      </c>
      <c r="J35" s="370" t="n">
        <v>0</v>
      </c>
    </row>
    <row r="36">
      <c r="A36" s="337" t="n"/>
      <c r="B36" s="380" t="n"/>
      <c r="C36" s="356" t="n"/>
      <c r="D36" s="375" t="n"/>
      <c r="E36" s="403" t="n"/>
      <c r="F36" s="340" t="n"/>
      <c r="G36" s="368" t="n"/>
      <c r="H36" s="369" t="inlineStr">
        <is>
          <t>BIAYA YANG MASIH HARUS DI BAYAR</t>
        </is>
      </c>
      <c r="I36" s="363" t="inlineStr">
        <is>
          <t>Rp</t>
        </is>
      </c>
      <c r="J36" s="370" t="n">
        <v>0</v>
      </c>
    </row>
    <row r="37">
      <c r="A37" s="337" t="n"/>
      <c r="B37" s="373" t="inlineStr">
        <is>
          <t>TOTAL BIAYA</t>
        </is>
      </c>
      <c r="C37" s="374" t="n"/>
      <c r="D37" s="375" t="inlineStr">
        <is>
          <t>Rp</t>
        </is>
      </c>
      <c r="E37" s="376">
        <f>E35+E21+E27</f>
        <v/>
      </c>
      <c r="F37" s="340" t="n"/>
      <c r="G37" s="404" t="n"/>
      <c r="H37" s="405" t="n"/>
      <c r="I37" s="404" t="n"/>
      <c r="J37" s="406" t="n"/>
    </row>
    <row r="38">
      <c r="A38" s="337" t="n"/>
      <c r="B38" s="355" t="n"/>
      <c r="C38" s="407" t="n"/>
      <c r="D38" s="357" t="n"/>
      <c r="E38" s="408" t="n"/>
      <c r="F38" s="340" t="n"/>
      <c r="G38" s="382" t="n"/>
      <c r="H38" s="383" t="inlineStr">
        <is>
          <t>TOTAL HUTANG LANCAR</t>
        </is>
      </c>
      <c r="I38" s="409" t="n"/>
      <c r="J38" s="384">
        <f>SUM(J33:J36)</f>
        <v/>
      </c>
    </row>
    <row r="39">
      <c r="A39" s="337" t="n"/>
      <c r="B39" s="378" t="inlineStr">
        <is>
          <t xml:space="preserve">PENDAPATAN/BEBAN LAIN LAIN </t>
        </is>
      </c>
      <c r="C39" s="356" t="n"/>
      <c r="D39" s="363" t="inlineStr">
        <is>
          <t>Rp</t>
        </is>
      </c>
      <c r="E39" s="410" t="n"/>
      <c r="F39" s="340" t="n"/>
      <c r="G39" s="368" t="n"/>
      <c r="H39" s="387" t="n"/>
      <c r="I39" s="411" t="n"/>
      <c r="J39" s="362" t="n"/>
    </row>
    <row r="40">
      <c r="A40" s="337" t="n"/>
      <c r="B40" s="378" t="n"/>
      <c r="C40" s="356" t="inlineStr">
        <is>
          <t>PENDAPATAN LAINNYA</t>
        </is>
      </c>
      <c r="D40" s="363" t="inlineStr">
        <is>
          <t>Rp</t>
        </is>
      </c>
      <c r="E40" s="364" t="n">
        <v>0</v>
      </c>
      <c r="F40" s="340" t="n"/>
      <c r="G40" s="365" t="inlineStr">
        <is>
          <t>MODAL</t>
        </is>
      </c>
      <c r="H40" s="366" t="n"/>
      <c r="I40" s="365" t="n"/>
      <c r="J40" s="367" t="n"/>
    </row>
    <row r="41">
      <c r="A41" s="337" t="n"/>
      <c r="B41" s="378" t="n"/>
      <c r="C41" s="356" t="n"/>
      <c r="D41" s="371" t="n"/>
      <c r="E41" s="412" t="n"/>
      <c r="F41" s="340" t="n"/>
      <c r="G41" s="368" t="n"/>
      <c r="H41" s="369" t="inlineStr">
        <is>
          <t>MODAL SAHAM</t>
        </is>
      </c>
      <c r="I41" s="363" t="inlineStr">
        <is>
          <t>Rp</t>
        </is>
      </c>
      <c r="J41" s="370" t="n">
        <v>0</v>
      </c>
    </row>
    <row r="42">
      <c r="A42" s="337" t="n"/>
      <c r="B42" s="373" t="inlineStr">
        <is>
          <t>LABA RUGI SEBELUM PAJAK</t>
        </is>
      </c>
      <c r="C42" s="374" t="n"/>
      <c r="D42" s="375" t="inlineStr">
        <is>
          <t>Rp</t>
        </is>
      </c>
      <c r="E42" s="376">
        <f>E12-E37</f>
        <v/>
      </c>
      <c r="F42" s="340" t="n"/>
      <c r="G42" s="368" t="n"/>
      <c r="H42" s="369" t="inlineStr">
        <is>
          <t>LABA DI TAHAN</t>
        </is>
      </c>
      <c r="I42" s="363" t="inlineStr">
        <is>
          <t>Rp</t>
        </is>
      </c>
      <c r="J42" s="370" t="n">
        <v>0</v>
      </c>
    </row>
    <row r="43">
      <c r="A43" s="337" t="n"/>
      <c r="B43" s="413" t="n"/>
      <c r="C43" s="407" t="n"/>
      <c r="D43" s="357" t="n"/>
      <c r="E43" s="377" t="n"/>
      <c r="F43" s="340" t="n"/>
      <c r="G43" s="365" t="n"/>
      <c r="H43" s="369" t="inlineStr">
        <is>
          <t>TOTAL LABA (RUGI) DITAHAN</t>
        </is>
      </c>
      <c r="I43" s="371" t="inlineStr">
        <is>
          <t>Rp</t>
        </is>
      </c>
      <c r="J43" s="394">
        <f>J28-J38-J41-J42</f>
        <v/>
      </c>
    </row>
    <row r="44">
      <c r="A44" s="337" t="n"/>
      <c r="B44" s="378" t="inlineStr">
        <is>
          <t>CORPORATE TAX (PPh 29)</t>
        </is>
      </c>
      <c r="D44" s="363" t="inlineStr">
        <is>
          <t>Rp</t>
        </is>
      </c>
      <c r="E44" s="364" t="n">
        <v>0</v>
      </c>
      <c r="F44" s="340" t="n"/>
      <c r="G44" s="382" t="n"/>
      <c r="H44" s="383" t="inlineStr">
        <is>
          <t>TOTAL MODAL</t>
        </is>
      </c>
      <c r="I44" s="375" t="inlineStr">
        <is>
          <t>Rp</t>
        </is>
      </c>
      <c r="J44" s="384">
        <f>SUM(J41:J43)</f>
        <v/>
      </c>
    </row>
    <row r="45">
      <c r="A45" s="337" t="n"/>
      <c r="B45" s="378" t="n"/>
      <c r="C45" s="356" t="n"/>
      <c r="D45" s="371" t="n"/>
      <c r="E45" s="412" t="n"/>
      <c r="F45" s="340" t="n"/>
      <c r="G45" s="368" t="n"/>
      <c r="H45" s="369" t="n"/>
      <c r="I45" s="395" t="n"/>
      <c r="J45" s="396" t="n"/>
    </row>
    <row r="46" ht="15" customHeight="1">
      <c r="A46" s="337" t="n"/>
      <c r="B46" s="414" t="inlineStr">
        <is>
          <t>LABA / RUGI BERSIH</t>
        </is>
      </c>
      <c r="C46" s="415" t="n"/>
      <c r="D46" s="416" t="n"/>
      <c r="E46" s="417">
        <f>E42-E44</f>
        <v/>
      </c>
      <c r="F46" s="340" t="n"/>
      <c r="G46" s="418" t="inlineStr">
        <is>
          <t>TOTAL HUTANG DAN MODAL</t>
        </is>
      </c>
      <c r="H46" s="419" t="n"/>
      <c r="I46" s="416" t="inlineStr">
        <is>
          <t>Rp</t>
        </is>
      </c>
      <c r="J46" s="420">
        <f>J44+J38</f>
        <v/>
      </c>
    </row>
    <row r="47" ht="4.5" customHeight="1">
      <c r="A47" s="337" t="n"/>
      <c r="F47" s="340" t="n"/>
    </row>
    <row r="48" ht="50.65" customHeight="1">
      <c r="A48" s="337" t="n"/>
      <c r="F48" s="340" t="n"/>
      <c r="G48" s="421" t="n"/>
    </row>
    <row r="49" ht="16.75" customHeight="1">
      <c r="A49" s="337" t="n"/>
      <c r="B49" s="422" t="n"/>
      <c r="F49" s="340" t="n"/>
      <c r="G49" s="422" t="n"/>
    </row>
    <row r="50" ht="15.65" customHeight="1">
      <c r="A50" s="356" t="n"/>
      <c r="B50" s="423" t="inlineStr">
        <is>
          <t>Direktur</t>
        </is>
      </c>
      <c r="F50" s="340" t="n"/>
      <c r="G50" s="423" t="inlineStr">
        <is>
          <t>Direktur</t>
        </is>
      </c>
    </row>
    <row r="51">
      <c r="A51" s="356" t="n"/>
      <c r="F51" s="340" t="n"/>
    </row>
    <row r="52">
      <c r="A52" s="356" t="n"/>
      <c r="F52" s="340" t="n"/>
      <c r="J52" s="424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7" t="n"/>
      <c r="B1" s="337" t="n"/>
      <c r="C1" s="337" t="n"/>
      <c r="D1" s="337" t="n"/>
      <c r="E1" s="338" t="n"/>
    </row>
    <row r="2" ht="37.25" customHeight="1">
      <c r="A2" s="337" t="n"/>
      <c r="B2" s="337" t="n"/>
      <c r="C2" s="337" t="n"/>
      <c r="D2" s="337" t="n"/>
      <c r="E2" s="338" t="n"/>
    </row>
    <row r="3" ht="33.65" customHeight="1">
      <c r="A3" s="337" t="n"/>
      <c r="B3" s="339" t="inlineStr">
        <is>
          <t>PT. EXSPAN WIRELINE INDONESIA</t>
        </is>
      </c>
      <c r="F3" s="340" t="n"/>
    </row>
    <row r="4" ht="20.5" customHeight="1">
      <c r="A4" s="337" t="n"/>
      <c r="B4" s="342" t="inlineStr">
        <is>
          <t>BUSINESS SUMMARY | TAHUN 2030</t>
        </is>
      </c>
      <c r="F4" s="340" t="n"/>
    </row>
    <row r="5" ht="6" customHeight="1">
      <c r="A5" s="337" t="n"/>
      <c r="B5" s="337" t="n"/>
      <c r="C5" s="337" t="n"/>
      <c r="D5" s="337" t="n"/>
      <c r="E5" s="338" t="n"/>
      <c r="F5" s="340" t="n"/>
    </row>
    <row r="6" ht="20" customHeight="1">
      <c r="A6" s="337" t="n"/>
      <c r="B6" s="425" t="inlineStr">
        <is>
          <t>#</t>
        </is>
      </c>
      <c r="C6" s="425" t="inlineStr">
        <is>
          <t>Items</t>
        </is>
      </c>
      <c r="D6" s="426" t="inlineStr">
        <is>
          <t>Amount</t>
        </is>
      </c>
      <c r="E6" s="227" t="n"/>
      <c r="F6" s="340" t="n"/>
    </row>
    <row r="7" ht="20" customHeight="1">
      <c r="A7" s="337" t="n"/>
      <c r="B7" s="427" t="n">
        <v>1</v>
      </c>
      <c r="C7" s="428" t="inlineStr">
        <is>
          <t>Revenue</t>
        </is>
      </c>
      <c r="D7" s="429" t="inlineStr">
        <is>
          <t>Rp</t>
        </is>
      </c>
      <c r="E7" s="430">
        <f>SUM('Revenue-Cost_2030'!L8:L8)</f>
        <v/>
      </c>
      <c r="F7" s="340" t="n"/>
    </row>
    <row r="8" ht="20" customHeight="1">
      <c r="A8" s="337" t="n"/>
      <c r="B8" s="427" t="n">
        <v>2</v>
      </c>
      <c r="C8" s="428" t="inlineStr">
        <is>
          <t>Revenue Diterima (Setelah Pajak)</t>
        </is>
      </c>
      <c r="D8" s="429" t="inlineStr">
        <is>
          <t>Rp</t>
        </is>
      </c>
      <c r="E8" s="430">
        <f>E7-SUM('Revenue-Cost_2030'!N8:N8)</f>
        <v/>
      </c>
      <c r="F8" s="340" t="n"/>
    </row>
    <row r="9" ht="20" customHeight="1">
      <c r="A9" s="337" t="n"/>
      <c r="B9" s="427" t="n">
        <v>3</v>
      </c>
      <c r="C9" s="428" t="inlineStr">
        <is>
          <t>Biaya</t>
        </is>
      </c>
      <c r="D9" s="429" t="inlineStr">
        <is>
          <t>Rp</t>
        </is>
      </c>
      <c r="E9" s="430">
        <f>SUM('Revenue-Cost_2030'!I69:Q69)</f>
        <v/>
      </c>
      <c r="F9" s="340" t="n"/>
    </row>
    <row r="10" ht="20" customHeight="1">
      <c r="A10" s="337" t="n"/>
      <c r="B10" s="427" t="n">
        <v>4</v>
      </c>
      <c r="C10" s="428" t="inlineStr">
        <is>
          <t>Profit SebelumTax</t>
        </is>
      </c>
      <c r="D10" s="429" t="inlineStr">
        <is>
          <t>Rp</t>
        </is>
      </c>
      <c r="E10" s="430">
        <f>E7-E9</f>
        <v/>
      </c>
      <c r="F10" s="340" t="n"/>
    </row>
    <row r="11" ht="20" customHeight="1">
      <c r="A11" s="337" t="n"/>
      <c r="B11" s="427" t="n">
        <v>5</v>
      </c>
      <c r="C11" s="428" t="inlineStr">
        <is>
          <t>PPh Badan (22%*50%)</t>
        </is>
      </c>
      <c r="D11" s="429" t="inlineStr">
        <is>
          <t>Rp</t>
        </is>
      </c>
      <c r="E11" s="430">
        <f>E10*22%*50%</f>
        <v/>
      </c>
      <c r="F11" s="340" t="n"/>
    </row>
    <row r="12" ht="20" customHeight="1">
      <c r="A12" s="337" t="n"/>
      <c r="B12" s="427" t="n">
        <v>6</v>
      </c>
      <c r="C12" s="428" t="inlineStr">
        <is>
          <t>PPh 23 Dipotong oleh client</t>
        </is>
      </c>
      <c r="D12" s="429" t="inlineStr">
        <is>
          <t>Rp</t>
        </is>
      </c>
      <c r="E12" s="430">
        <f>SUM('Revenue-Cost_2030'!N8:N8)</f>
        <v/>
      </c>
      <c r="F12" s="340" t="n"/>
    </row>
    <row r="13" ht="20" customHeight="1">
      <c r="A13" s="337" t="n"/>
      <c r="B13" s="427" t="n">
        <v>7</v>
      </c>
      <c r="C13" s="428" t="inlineStr">
        <is>
          <t>Kekurangan Bayar PPh Badan</t>
        </is>
      </c>
      <c r="D13" s="429" t="inlineStr">
        <is>
          <t>Rp</t>
        </is>
      </c>
      <c r="E13" s="431">
        <f>E11-E12</f>
        <v/>
      </c>
      <c r="F13" s="340" t="n"/>
    </row>
    <row r="14" ht="20" customHeight="1">
      <c r="A14" s="337" t="n"/>
      <c r="B14" s="427" t="n">
        <v>8</v>
      </c>
      <c r="C14" s="428" t="inlineStr">
        <is>
          <t>Profit After Tax</t>
        </is>
      </c>
      <c r="D14" s="429" t="inlineStr">
        <is>
          <t>Rp</t>
        </is>
      </c>
      <c r="E14" s="430">
        <f>E10-E13</f>
        <v/>
      </c>
      <c r="F14" s="340" t="n"/>
    </row>
    <row r="15" ht="20" customHeight="1">
      <c r="A15" s="337" t="n"/>
      <c r="B15" s="427" t="n">
        <v>9</v>
      </c>
      <c r="C15" s="428" t="inlineStr">
        <is>
          <t>Deviden Dibagi</t>
        </is>
      </c>
      <c r="D15" s="429" t="inlineStr">
        <is>
          <t>Rp</t>
        </is>
      </c>
      <c r="E15" s="430">
        <f>E14-E16</f>
        <v/>
      </c>
      <c r="F15" s="340" t="n"/>
    </row>
    <row r="16" ht="20" customHeight="1">
      <c r="A16" s="337" t="n"/>
      <c r="B16" s="427" t="n">
        <v>10</v>
      </c>
      <c r="C16" s="428" t="inlineStr">
        <is>
          <t>Profit Ditahan</t>
        </is>
      </c>
      <c r="D16" s="429" t="inlineStr">
        <is>
          <t>Rp</t>
        </is>
      </c>
      <c r="E16" s="430" t="n">
        <v>0</v>
      </c>
      <c r="F16" s="340" t="n"/>
    </row>
    <row r="17">
      <c r="A17" s="337" t="n"/>
      <c r="B17" s="337" t="n"/>
      <c r="C17" s="337" t="n"/>
      <c r="D17" s="337" t="n"/>
      <c r="E17" s="338" t="n"/>
      <c r="F17" s="340" t="n"/>
    </row>
    <row r="18" ht="18" customHeight="1">
      <c r="A18" s="337" t="n"/>
      <c r="B18" s="432" t="inlineStr">
        <is>
          <t>DEVIDEN</t>
        </is>
      </c>
      <c r="F18" s="340" t="n"/>
    </row>
    <row r="19" ht="20" customHeight="1">
      <c r="A19" s="337" t="n"/>
      <c r="B19" s="433" t="inlineStr">
        <is>
          <t>#</t>
        </is>
      </c>
      <c r="C19" s="433" t="inlineStr">
        <is>
          <t>Nama Lengkap</t>
        </is>
      </c>
      <c r="D19" s="434" t="inlineStr"/>
      <c r="E19" s="435" t="inlineStr">
        <is>
          <t>Amount</t>
        </is>
      </c>
      <c r="F19" s="340" t="inlineStr"/>
      <c r="G19" s="436" t="inlineStr">
        <is>
          <t>Pajak</t>
        </is>
      </c>
    </row>
    <row r="20" ht="19" customHeight="1">
      <c r="A20" s="337" t="n"/>
      <c r="B20" s="437" t="n"/>
      <c r="C20" s="438" t="n"/>
      <c r="D20" s="428" t="n"/>
      <c r="E20" s="439" t="n"/>
      <c r="F20" s="340" t="n"/>
      <c r="G20" s="440" t="n"/>
    </row>
    <row r="21" ht="48.75" customHeight="1">
      <c r="A21" s="356" t="n"/>
      <c r="F21" s="340" t="n"/>
    </row>
    <row r="22">
      <c r="A22" s="356" t="n"/>
      <c r="F22" s="34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2026-04-18T12:59:18Z</dcterms:modified>
  <cp:lastModifiedBy>Diofavian - Student</cp:lastModifiedBy>
</cp:coreProperties>
</file>