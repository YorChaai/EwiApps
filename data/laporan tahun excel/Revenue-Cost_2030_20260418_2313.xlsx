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(Q1)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 (J0)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>
        <v>234234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(A3)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>
        <v>98098000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(Q1)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>
        <v>14664</v>
      </c>
      <c r="J48" s="301" t="n"/>
      <c r="K48" s="302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>
        <v>234234</v>
      </c>
      <c r="J49" s="301" t="n"/>
      <c r="K49" s="302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3" t="n"/>
      <c r="C50" s="304" t="n"/>
      <c r="D50" s="305" t="inlineStr">
        <is>
          <t>OPERATION COST AND OFFICE - Expenses Report</t>
        </is>
      </c>
      <c r="E50" s="306" t="n"/>
      <c r="F50" s="307" t="n"/>
      <c r="G50" s="308" t="n"/>
      <c r="H50" s="308" t="n"/>
      <c r="I50" s="309" t="n"/>
      <c r="J50" s="309" t="n"/>
      <c r="K50" s="310" t="n"/>
      <c r="L50" s="311" t="n"/>
      <c r="M50" s="310" t="n"/>
      <c r="N50" s="310" t="n"/>
      <c r="O50" s="310" t="n"/>
      <c r="P50" s="310" t="n"/>
      <c r="Q50" s="310" t="n"/>
      <c r="R50" s="312" t="n"/>
      <c r="S50" s="312" t="n"/>
      <c r="T50" s="312" t="n"/>
      <c r="U50" s="312" t="n"/>
      <c r="V50" s="312" t="n"/>
      <c r="W50" s="312" t="n"/>
      <c r="X50" s="312" t="n"/>
      <c r="Y50" s="312" t="n"/>
    </row>
    <row r="51" ht="15.5" customHeight="1">
      <c r="B51" s="313" t="inlineStr">
        <is>
          <t>Expense#1</t>
        </is>
      </c>
      <c r="C51" s="314" t="inlineStr">
        <is>
          <t>:</t>
        </is>
      </c>
      <c r="D51" s="315" t="inlineStr">
        <is>
          <t>Gudang</t>
        </is>
      </c>
      <c r="E51" s="316" t="n"/>
      <c r="F51" s="317" t="n"/>
      <c r="G51" s="318" t="n"/>
      <c r="H51" s="318" t="n"/>
      <c r="I51" s="319" t="n"/>
      <c r="J51" s="319" t="n"/>
      <c r="K51" s="320" t="n"/>
      <c r="L51" s="320" t="n"/>
      <c r="M51" s="320" t="n"/>
      <c r="N51" s="320" t="n"/>
      <c r="O51" s="320" t="n"/>
      <c r="P51" s="320" t="n"/>
      <c r="Q51" s="320" t="n"/>
      <c r="R51" s="321" t="n"/>
      <c r="S51" s="321" t="n"/>
      <c r="T51" s="321" t="n"/>
      <c r="U51" s="321" t="n"/>
      <c r="V51" s="321" t="n"/>
      <c r="W51" s="321" t="n"/>
      <c r="X51" s="321" t="n"/>
      <c r="Y51" s="321" t="n"/>
    </row>
    <row r="52" ht="15.5" customFormat="1" customHeight="1" s="66">
      <c r="B52" s="288" t="n"/>
      <c r="C52" s="289" t="n"/>
      <c r="D52" s="322" t="inlineStr">
        <is>
          <t>123123 (P1)</t>
        </is>
      </c>
      <c r="E52" s="323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4" t="n"/>
      <c r="S52" s="324" t="n"/>
      <c r="T52" s="324" t="n"/>
      <c r="U52" s="324" t="n"/>
      <c r="V52" s="324" t="n"/>
      <c r="W52" s="324" t="n"/>
      <c r="X52" s="324" t="n"/>
      <c r="Y52" s="324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2" t="inlineStr">
        <is>
          <t>Meal (A4)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5" t="n"/>
      <c r="M54" s="290" t="n"/>
      <c r="N54" s="290" t="n"/>
      <c r="O54" s="290" t="n"/>
      <c r="P54" s="290" t="n"/>
      <c r="Q54" s="290" t="n"/>
      <c r="R54" s="324" t="n"/>
      <c r="S54" s="324" t="n"/>
      <c r="T54" s="324" t="n"/>
      <c r="U54" s="324" t="n"/>
      <c r="V54" s="324" t="n"/>
      <c r="W54" s="324" t="n"/>
      <c r="X54" s="324" t="n"/>
      <c r="Y54" s="324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>
        <v>123123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2" t="inlineStr">
        <is>
          <t>nabil (Q2)</t>
        </is>
      </c>
      <c r="E56" s="323" t="n"/>
      <c r="F56" s="326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5" t="n"/>
      <c r="R56" s="324" t="n"/>
      <c r="S56" s="324" t="n"/>
      <c r="T56" s="324" t="n"/>
      <c r="U56" s="324" t="n"/>
      <c r="V56" s="324" t="n"/>
      <c r="W56" s="324" t="n"/>
      <c r="X56" s="324" t="n"/>
      <c r="Y56" s="324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>
        <v>30000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3" t="inlineStr">
        <is>
          <t>Expense#2</t>
        </is>
      </c>
      <c r="C58" s="314" t="inlineStr">
        <is>
          <t>:</t>
        </is>
      </c>
      <c r="D58" s="315" t="inlineStr">
        <is>
          <t>sasdas</t>
        </is>
      </c>
      <c r="E58" s="316" t="n"/>
      <c r="F58" s="317" t="n"/>
      <c r="G58" s="318" t="n"/>
      <c r="H58" s="318" t="n"/>
      <c r="I58" s="319" t="n"/>
      <c r="J58" s="319" t="n"/>
      <c r="K58" s="320" t="n"/>
      <c r="L58" s="320" t="n"/>
      <c r="M58" s="320" t="n"/>
      <c r="N58" s="320" t="n"/>
      <c r="O58" s="320" t="n"/>
      <c r="P58" s="320" t="n"/>
      <c r="Q58" s="320" t="n"/>
      <c r="R58" s="321" t="n"/>
      <c r="S58" s="321" t="n"/>
      <c r="T58" s="321" t="n"/>
      <c r="U58" s="321" t="n"/>
      <c r="V58" s="321" t="n"/>
      <c r="W58" s="321" t="n"/>
      <c r="X58" s="321" t="n"/>
      <c r="Y58" s="321" t="n"/>
    </row>
    <row r="59" ht="15.5" customFormat="1" customHeight="1" s="66">
      <c r="B59" s="288" t="n"/>
      <c r="C59" s="289" t="n"/>
      <c r="D59" s="322" t="inlineStr">
        <is>
          <t>123123 (P1)</t>
        </is>
      </c>
      <c r="E59" s="323" t="n"/>
      <c r="F59" s="326" t="n"/>
      <c r="G59" s="293" t="n"/>
      <c r="H59" s="293" t="n"/>
      <c r="I59" s="294" t="n"/>
      <c r="J59" s="294" t="n"/>
      <c r="K59" s="290" t="n"/>
      <c r="L59" s="290" t="n"/>
      <c r="M59" s="290" t="n"/>
      <c r="N59" s="325" t="n"/>
      <c r="O59" s="290" t="n"/>
      <c r="P59" s="290" t="n"/>
      <c r="Q59" s="290" t="n"/>
      <c r="R59" s="324" t="n"/>
      <c r="S59" s="324" t="n"/>
      <c r="T59" s="324" t="n"/>
      <c r="U59" s="324" t="n"/>
      <c r="V59" s="324" t="n"/>
      <c r="W59" s="324" t="n"/>
      <c r="X59" s="324" t="n"/>
      <c r="Y59" s="324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>
        <v>101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2" t="inlineStr">
        <is>
          <t>Allowance (A3)</t>
        </is>
      </c>
      <c r="E61" s="323" t="n"/>
      <c r="F61" s="292" t="n"/>
      <c r="G61" s="327" t="n"/>
      <c r="H61" s="293" t="n"/>
      <c r="I61" s="294" t="n"/>
      <c r="J61" s="295" t="n"/>
      <c r="K61" s="328" t="n"/>
      <c r="L61" s="290" t="n"/>
      <c r="M61" s="290" t="n"/>
      <c r="N61" s="290" t="n"/>
      <c r="O61" s="290" t="n"/>
      <c r="P61" s="290" t="n"/>
      <c r="Q61" s="290" t="n"/>
      <c r="R61" s="324" t="n"/>
      <c r="S61" s="324" t="n"/>
      <c r="T61" s="324" t="n"/>
      <c r="U61" s="324" t="n"/>
      <c r="V61" s="324" t="n"/>
      <c r="W61" s="324" t="n"/>
      <c r="X61" s="324" t="n"/>
      <c r="Y61" s="324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>
        <v>234324324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2" t="inlineStr">
        <is>
          <t>Rental Tool (C1)</t>
        </is>
      </c>
      <c r="E63" s="323" t="n"/>
      <c r="F63" s="326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4" t="n"/>
      <c r="S63" s="324" t="n"/>
      <c r="T63" s="324" t="n"/>
      <c r="U63" s="324" t="n"/>
      <c r="V63" s="324" t="n"/>
      <c r="W63" s="324" t="n"/>
      <c r="X63" s="324" t="n"/>
      <c r="Y63" s="324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>
        <v>57776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3" t="inlineStr">
        <is>
          <t>Expense#3</t>
        </is>
      </c>
      <c r="C65" s="314" t="inlineStr">
        <is>
          <t>:</t>
        </is>
      </c>
      <c r="D65" s="315" t="inlineStr">
        <is>
          <t>werwerewr</t>
        </is>
      </c>
      <c r="E65" s="316" t="n"/>
      <c r="F65" s="317" t="n"/>
      <c r="G65" s="318" t="n"/>
      <c r="H65" s="318" t="n"/>
      <c r="I65" s="319" t="n"/>
      <c r="J65" s="319" t="n"/>
      <c r="K65" s="320" t="n"/>
      <c r="L65" s="320" t="n"/>
      <c r="M65" s="320" t="n"/>
      <c r="N65" s="320" t="n"/>
      <c r="O65" s="320" t="n"/>
      <c r="P65" s="320" t="n"/>
      <c r="Q65" s="329" t="n"/>
      <c r="R65" s="321" t="n"/>
      <c r="S65" s="321" t="n"/>
      <c r="T65" s="321" t="n"/>
      <c r="U65" s="321" t="n"/>
      <c r="V65" s="321" t="n"/>
      <c r="W65" s="321" t="n"/>
      <c r="X65" s="321" t="n"/>
      <c r="Y65" s="321" t="n"/>
    </row>
    <row r="66" ht="15.5" customFormat="1" customHeight="1" s="66">
      <c r="B66" s="288" t="n"/>
      <c r="C66" s="289" t="n"/>
      <c r="D66" s="322" t="inlineStr">
        <is>
          <t>Accommodation , Transportation (A1)</t>
        </is>
      </c>
      <c r="E66" s="323" t="n"/>
      <c r="F66" s="326" t="n"/>
      <c r="G66" s="293" t="n"/>
      <c r="H66" s="293" t="n"/>
      <c r="I66" s="294" t="n"/>
      <c r="J66" s="294" t="n"/>
      <c r="K66" s="290" t="n"/>
      <c r="L66" s="290" t="n"/>
      <c r="M66" s="290" t="n"/>
      <c r="N66" s="325" t="n"/>
      <c r="O66" s="290" t="n"/>
      <c r="P66" s="290" t="n"/>
      <c r="Q66" s="290" t="n"/>
      <c r="R66" s="324" t="n"/>
      <c r="S66" s="324" t="n"/>
      <c r="T66" s="324" t="n"/>
      <c r="U66" s="324" t="n"/>
      <c r="V66" s="324" t="n"/>
      <c r="W66" s="324" t="n"/>
      <c r="X66" s="324" t="n"/>
      <c r="Y66" s="324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>
        <v>281106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2" t="inlineStr">
        <is>
          <t>Meal , Shipping (A4)</t>
        </is>
      </c>
      <c r="E68" s="323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4" t="n"/>
      <c r="S68" s="324" t="n"/>
      <c r="T68" s="324" t="n"/>
      <c r="U68" s="324" t="n"/>
      <c r="V68" s="324" t="n"/>
      <c r="W68" s="324" t="n"/>
      <c r="X68" s="324" t="n"/>
      <c r="Y68" s="324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>
        <v>146664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2" t="inlineStr">
        <is>
          <t>Accommodation (A2)</t>
        </is>
      </c>
      <c r="E70" s="323" t="n"/>
      <c r="F70" s="326" t="n"/>
      <c r="G70" s="293" t="n"/>
      <c r="H70" s="293" t="n"/>
      <c r="I70" s="294" t="n"/>
      <c r="J70" s="294" t="n"/>
      <c r="K70" s="290" t="n"/>
      <c r="L70" s="290" t="n"/>
      <c r="M70" s="290" t="n"/>
      <c r="N70" s="330" t="n"/>
      <c r="O70" s="290" t="n"/>
      <c r="P70" s="290" t="n"/>
      <c r="Q70" s="290" t="n"/>
      <c r="R70" s="324" t="n"/>
      <c r="S70" s="324" t="n"/>
      <c r="T70" s="324" t="n"/>
      <c r="U70" s="324" t="n"/>
      <c r="V70" s="324" t="n"/>
      <c r="W70" s="324" t="n"/>
      <c r="X70" s="324" t="n"/>
      <c r="Y70" s="324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>
        <v>2888262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2" t="inlineStr">
        <is>
          <t>Shipping (A5)</t>
        </is>
      </c>
      <c r="E72" s="323" t="n"/>
      <c r="F72" s="326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4" t="n"/>
      <c r="S72" s="324" t="n"/>
      <c r="T72" s="324" t="n"/>
      <c r="U72" s="324" t="n"/>
      <c r="V72" s="324" t="n"/>
      <c r="W72" s="324" t="n"/>
      <c r="X72" s="324" t="n"/>
      <c r="Y72" s="324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>
        <v>28104</v>
      </c>
      <c r="J73" s="301" t="n"/>
      <c r="K73" s="302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3" t="inlineStr">
        <is>
          <t>Expense#4</t>
        </is>
      </c>
      <c r="C74" s="314" t="inlineStr">
        <is>
          <t>:</t>
        </is>
      </c>
      <c r="D74" s="315" t="inlineStr">
        <is>
          <t>1234567890</t>
        </is>
      </c>
      <c r="E74" s="316" t="n"/>
      <c r="F74" s="331" t="n"/>
      <c r="G74" s="318" t="n"/>
      <c r="H74" s="318" t="n"/>
      <c r="I74" s="319" t="n"/>
      <c r="J74" s="319" t="n"/>
      <c r="K74" s="320" t="n"/>
      <c r="L74" s="320" t="n"/>
      <c r="M74" s="320" t="n"/>
      <c r="N74" s="320" t="n"/>
      <c r="O74" s="320" t="n"/>
      <c r="P74" s="320" t="n"/>
      <c r="Q74" s="332" t="n"/>
      <c r="R74" s="321" t="n"/>
      <c r="S74" s="321" t="n"/>
      <c r="T74" s="321" t="n"/>
      <c r="U74" s="321" t="n"/>
      <c r="V74" s="321" t="n"/>
      <c r="W74" s="321" t="n"/>
      <c r="X74" s="321" t="n"/>
      <c r="Y74" s="321" t="n"/>
    </row>
    <row r="75" ht="15.5" customHeight="1">
      <c r="A75" s="66" t="n"/>
      <c r="B75" s="288" t="n"/>
      <c r="C75" s="289" t="n"/>
      <c r="D75" s="322" t="inlineStr">
        <is>
          <t>Accommodation , Allowance (A2)</t>
        </is>
      </c>
      <c r="E75" s="323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4" t="n"/>
      <c r="S75" s="324" t="n"/>
      <c r="T75" s="324" t="n"/>
      <c r="U75" s="324" t="n"/>
      <c r="V75" s="324" t="n"/>
      <c r="W75" s="324" t="n"/>
      <c r="X75" s="324" t="n"/>
      <c r="Y75" s="324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>
        <v>123123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2" t="inlineStr">
        <is>
          <t>Accommodation (A2)</t>
        </is>
      </c>
      <c r="E77" s="323" t="n"/>
      <c r="F77" s="292" t="n"/>
      <c r="G77" s="327" t="n"/>
      <c r="H77" s="293" t="n"/>
      <c r="I77" s="294" t="n"/>
      <c r="J77" s="290" t="n"/>
      <c r="K77" s="328" t="n"/>
      <c r="L77" s="290" t="n"/>
      <c r="M77" s="290" t="n"/>
      <c r="N77" s="290" t="n"/>
      <c r="O77" s="290" t="n"/>
      <c r="P77" s="290" t="n"/>
      <c r="Q77" s="290" t="n"/>
      <c r="R77" s="324" t="n"/>
      <c r="S77" s="324" t="n"/>
      <c r="T77" s="324" t="n"/>
      <c r="U77" s="324" t="n"/>
      <c r="V77" s="324" t="n"/>
      <c r="W77" s="324" t="n"/>
      <c r="X77" s="324" t="n"/>
      <c r="Y77" s="324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>
        <v>234324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2" t="inlineStr">
        <is>
          <t>Transportation (A1)</t>
        </is>
      </c>
      <c r="E79" s="291" t="n"/>
      <c r="F79" s="302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5" t="n"/>
      <c r="R79" s="324" t="n"/>
      <c r="S79" s="324" t="n"/>
      <c r="T79" s="324" t="n"/>
      <c r="U79" s="324" t="n"/>
      <c r="V79" s="324" t="n"/>
      <c r="W79" s="324" t="n"/>
      <c r="X79" s="324" t="n"/>
      <c r="Y79" s="324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>
        <v>134772</v>
      </c>
      <c r="J80" s="301" t="n"/>
      <c r="K80" s="302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3" t="inlineStr">
        <is>
          <t>Expense#5</t>
        </is>
      </c>
      <c r="C81" s="314" t="inlineStr">
        <is>
          <t>:</t>
        </is>
      </c>
      <c r="D81" s="315" t="inlineStr">
        <is>
          <t>werwer</t>
        </is>
      </c>
      <c r="E81" s="333" t="n"/>
      <c r="F81" s="334" t="n"/>
      <c r="G81" s="318" t="n"/>
      <c r="H81" s="318" t="n"/>
      <c r="I81" s="319" t="n"/>
      <c r="J81" s="319" t="n"/>
      <c r="K81" s="332" t="n"/>
      <c r="L81" s="320" t="n"/>
      <c r="M81" s="320" t="n"/>
      <c r="N81" s="320" t="n"/>
      <c r="O81" s="320" t="n"/>
      <c r="P81" s="320" t="n"/>
      <c r="Q81" s="329" t="n"/>
      <c r="R81" s="321" t="n"/>
      <c r="S81" s="321" t="n"/>
      <c r="T81" s="321" t="n"/>
      <c r="U81" s="321" t="n"/>
      <c r="V81" s="321" t="n"/>
      <c r="W81" s="321" t="n"/>
      <c r="X81" s="321" t="n"/>
      <c r="Y81" s="321" t="n"/>
    </row>
    <row r="82" ht="15.5" customHeight="1">
      <c r="B82" s="288" t="n"/>
      <c r="C82" s="289" t="n"/>
      <c r="D82" s="322" t="inlineStr">
        <is>
          <t>Accommodation , Transportation (A1)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5" t="n"/>
      <c r="M82" s="290" t="n"/>
      <c r="N82" s="290" t="n"/>
      <c r="O82" s="290" t="n"/>
      <c r="P82" s="290" t="n"/>
      <c r="Q82" s="290" t="n"/>
      <c r="R82" s="324" t="n"/>
      <c r="S82" s="324" t="n"/>
      <c r="T82" s="324" t="n"/>
      <c r="U82" s="324" t="n"/>
      <c r="V82" s="324" t="n"/>
      <c r="W82" s="324" t="n"/>
      <c r="X82" s="324" t="n"/>
      <c r="Y82" s="324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>
        <v>123123</v>
      </c>
      <c r="J83" s="301" t="n"/>
      <c r="K83" s="302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5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6" t="n">
        <v>0</v>
      </c>
      <c r="J84" s="337" t="n">
        <v>336504925</v>
      </c>
      <c r="K84" s="336" t="n">
        <v>498898</v>
      </c>
      <c r="L84" s="336" t="n">
        <v>57776</v>
      </c>
      <c r="M84" s="336" t="n">
        <v>0</v>
      </c>
      <c r="N84" s="336" t="n">
        <v>0</v>
      </c>
      <c r="O84" s="336" t="n">
        <v>0</v>
      </c>
      <c r="P84" s="336" t="n">
        <v>0</v>
      </c>
      <c r="Q84" s="336" t="n">
        <v>0</v>
      </c>
      <c r="R84" s="336" t="n">
        <v>0</v>
      </c>
      <c r="S84" s="336" t="n">
        <v>234234</v>
      </c>
      <c r="T84" s="336" t="n">
        <v>0</v>
      </c>
      <c r="U84" s="336" t="n">
        <v>0</v>
      </c>
      <c r="V84" s="336" t="n">
        <v>0</v>
      </c>
      <c r="W84" s="336" t="n">
        <v>0</v>
      </c>
      <c r="X84" s="336" t="n">
        <v>0</v>
      </c>
      <c r="Y84" s="336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5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5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>
      <c r="A8" s="338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n"/>
      <c r="I8" s="362" t="n"/>
      <c r="J8" s="363" t="n"/>
    </row>
    <row r="9">
      <c r="A9" s="338" t="n"/>
      <c r="B9" s="364" t="n"/>
      <c r="C9" s="357" t="inlineStr">
        <is>
          <t>PENDAPATAN LANGSUNG</t>
        </is>
      </c>
      <c r="D9" s="364" t="inlineStr">
        <is>
          <t>Rp</t>
        </is>
      </c>
      <c r="E9" s="365" t="n">
        <v>0</v>
      </c>
      <c r="F9" s="341" t="n"/>
      <c r="G9" s="366" t="inlineStr">
        <is>
          <t>AKTIVA LANCAR</t>
        </is>
      </c>
      <c r="H9" s="367" t="n"/>
      <c r="I9" s="366" t="n"/>
      <c r="J9" s="368" t="n"/>
    </row>
    <row r="10">
      <c r="A10" s="338" t="n"/>
      <c r="B10" s="364" t="n"/>
      <c r="C10" s="357" t="inlineStr">
        <is>
          <t>PENDAPATAN LAIN LAIN</t>
        </is>
      </c>
      <c r="D10" s="364" t="inlineStr">
        <is>
          <t>Rp</t>
        </is>
      </c>
      <c r="E10" s="365" t="n">
        <v>0</v>
      </c>
      <c r="F10" s="341" t="n"/>
      <c r="G10" s="369" t="n"/>
      <c r="H10" s="370" t="inlineStr">
        <is>
          <t>KAS DAN SETARA KAS TAHUN SEBELUMNYA</t>
        </is>
      </c>
      <c r="I10" s="364" t="inlineStr">
        <is>
          <t>Rp</t>
        </is>
      </c>
      <c r="J10" s="371" t="n">
        <v>0</v>
      </c>
    </row>
    <row r="11">
      <c r="A11" s="338" t="n"/>
      <c r="B11" s="364" t="n"/>
      <c r="C11" s="357" t="n"/>
      <c r="D11" s="372" t="n"/>
      <c r="E11" s="373" t="n"/>
      <c r="F11" s="341" t="n"/>
      <c r="G11" s="369" t="n"/>
      <c r="H11" s="370" t="inlineStr">
        <is>
          <t>KAS DAN SETARA KAS TAHUN LAPORAN</t>
        </is>
      </c>
      <c r="I11" s="364" t="inlineStr">
        <is>
          <t>Rp</t>
        </is>
      </c>
      <c r="J11" s="371">
        <f>E46-'Business Summary'!E13</f>
        <v/>
      </c>
    </row>
    <row r="12">
      <c r="A12" s="338" t="n"/>
      <c r="B12" s="374" t="inlineStr">
        <is>
          <t>TOTALPENDAPATAN</t>
        </is>
      </c>
      <c r="C12" s="375" t="n"/>
      <c r="D12" s="376" t="inlineStr">
        <is>
          <t>Rp</t>
        </is>
      </c>
      <c r="E12" s="377">
        <f>SUM(E9:E11)</f>
        <v/>
      </c>
      <c r="F12" s="341" t="n"/>
      <c r="G12" s="369" t="n"/>
      <c r="H12" s="370" t="inlineStr">
        <is>
          <t>PIUTANG USAHA</t>
        </is>
      </c>
      <c r="I12" s="364" t="inlineStr">
        <is>
          <t>Rp</t>
        </is>
      </c>
      <c r="J12" s="371" t="n">
        <v>0</v>
      </c>
    </row>
    <row r="13">
      <c r="A13" s="338" t="n"/>
      <c r="B13" s="364" t="n"/>
      <c r="C13" s="357" t="n"/>
      <c r="D13" s="358" t="n"/>
      <c r="E13" s="378" t="n"/>
      <c r="F13" s="341" t="n"/>
      <c r="G13" s="369" t="n"/>
      <c r="H13" s="370" t="inlineStr">
        <is>
          <t>PAJAK BAYAR DI MUKA (pph23)</t>
        </is>
      </c>
      <c r="I13" s="364" t="inlineStr">
        <is>
          <t>Rp</t>
        </is>
      </c>
      <c r="J13" s="371" t="n">
        <v>0</v>
      </c>
    </row>
    <row r="14">
      <c r="A14" s="338" t="n"/>
      <c r="B14" s="379" t="inlineStr">
        <is>
          <t>BEBAN LANGSUNG</t>
        </is>
      </c>
      <c r="C14" s="357" t="n"/>
      <c r="D14" s="364" t="n"/>
      <c r="E14" s="380" t="n"/>
      <c r="F14" s="341" t="n"/>
      <c r="G14" s="369" t="n"/>
      <c r="H14" s="370" t="inlineStr">
        <is>
          <t>BIAYA BAYAR DI MUKA</t>
        </is>
      </c>
      <c r="I14" s="364" t="inlineStr">
        <is>
          <t>Rp</t>
        </is>
      </c>
      <c r="J14" s="371" t="n">
        <v>0</v>
      </c>
    </row>
    <row r="15">
      <c r="A15" s="338" t="n"/>
      <c r="B15" s="381" t="n"/>
      <c r="C15" s="357" t="inlineStr">
        <is>
          <t xml:space="preserve">Biaya Operasi </t>
        </is>
      </c>
      <c r="D15" s="364" t="inlineStr">
        <is>
          <t>Rp</t>
        </is>
      </c>
      <c r="E15" s="380">
        <f>'Revenue-Cost_2030'!I84</f>
        <v/>
      </c>
      <c r="F15" s="341" t="n"/>
      <c r="G15" s="382" t="n"/>
      <c r="H15" s="370" t="inlineStr">
        <is>
          <t>PIUTANG LAIN LAIN</t>
        </is>
      </c>
      <c r="I15" s="364" t="inlineStr">
        <is>
          <t>Rp</t>
        </is>
      </c>
      <c r="J15" s="371" t="n">
        <v>0</v>
      </c>
    </row>
    <row r="16">
      <c r="A16" s="338" t="n"/>
      <c r="B16" s="381" t="n"/>
      <c r="C16" s="357" t="inlineStr">
        <is>
          <t>Biaya research (R &amp; D)</t>
        </is>
      </c>
      <c r="D16" s="364" t="inlineStr">
        <is>
          <t>Rp</t>
        </is>
      </c>
      <c r="E16" s="380">
        <f>'Revenue-Cost_2030'!J84</f>
        <v/>
      </c>
      <c r="F16" s="341" t="n"/>
      <c r="G16" s="383" t="n"/>
      <c r="H16" s="384" t="inlineStr">
        <is>
          <t>TOTAL AKTIVA LANCAR</t>
        </is>
      </c>
      <c r="I16" s="376" t="inlineStr">
        <is>
          <t>Rp</t>
        </is>
      </c>
      <c r="J16" s="385">
        <f>SUM(J10:J15)</f>
        <v/>
      </c>
    </row>
    <row r="17">
      <c r="A17" s="338" t="n"/>
      <c r="B17" s="381" t="n"/>
      <c r="C17" s="357" t="inlineStr">
        <is>
          <t>BIAYA SEWA PERALATAN</t>
        </is>
      </c>
      <c r="D17" s="364" t="inlineStr">
        <is>
          <t>Rp</t>
        </is>
      </c>
      <c r="E17" s="380">
        <f>'Revenue-Cost_2030'!K84</f>
        <v/>
      </c>
      <c r="F17" s="341" t="n"/>
      <c r="G17" s="369" t="n"/>
      <c r="H17" s="370" t="n"/>
      <c r="I17" s="386" t="n"/>
      <c r="J17" s="387" t="n"/>
    </row>
    <row r="18">
      <c r="A18" s="338" t="n"/>
      <c r="B18" s="381" t="n"/>
      <c r="C18" s="357" t="inlineStr">
        <is>
          <t>BIAYA Data Processing</t>
        </is>
      </c>
      <c r="D18" s="364" t="inlineStr">
        <is>
          <t>Rp</t>
        </is>
      </c>
      <c r="E18" s="380">
        <f>'Revenue-Cost_2030'!L84</f>
        <v/>
      </c>
      <c r="F18" s="341" t="n"/>
      <c r="G18" s="366" t="inlineStr">
        <is>
          <t>ACTIVA TETAP</t>
        </is>
      </c>
      <c r="H18" s="388" t="n"/>
      <c r="I18" s="360" t="n"/>
      <c r="J18" s="371" t="n"/>
    </row>
    <row r="19">
      <c r="A19" s="338" t="n"/>
      <c r="B19" s="381" t="n"/>
      <c r="C19" s="357" t="n"/>
      <c r="D19" s="364" t="n"/>
      <c r="E19" s="380" t="n"/>
      <c r="F19" s="341" t="n"/>
      <c r="G19" s="366" t="n"/>
      <c r="H19" s="388" t="n"/>
      <c r="I19" s="360" t="n"/>
      <c r="J19" s="371" t="n"/>
    </row>
    <row r="20">
      <c r="A20" s="338" t="n"/>
      <c r="B20" s="381" t="n"/>
      <c r="C20" s="357" t="n"/>
      <c r="D20" s="372" t="n"/>
      <c r="E20" s="389" t="n"/>
      <c r="F20" s="341" t="n"/>
      <c r="G20" s="369" t="n"/>
      <c r="H20" s="370" t="inlineStr">
        <is>
          <t>INVENTARIS KANTOR</t>
        </is>
      </c>
      <c r="I20" s="364" t="inlineStr">
        <is>
          <t>Rp</t>
        </is>
      </c>
      <c r="J20" s="371" t="n">
        <v>0</v>
      </c>
    </row>
    <row r="21">
      <c r="A21" s="338" t="n"/>
      <c r="B21" s="374" t="inlineStr">
        <is>
          <t>TOTAL BIAYA LANGSUNG</t>
        </is>
      </c>
      <c r="C21" s="375" t="n"/>
      <c r="D21" s="376" t="inlineStr">
        <is>
          <t>Rp</t>
        </is>
      </c>
      <c r="E21" s="390">
        <f>SUM(E15:E20)</f>
        <v/>
      </c>
      <c r="F21" s="341" t="n"/>
      <c r="G21" s="369" t="n"/>
      <c r="H21" s="388" t="n"/>
      <c r="I21" s="391" t="n"/>
      <c r="J21" s="392" t="n"/>
    </row>
    <row r="22">
      <c r="A22" s="338" t="n"/>
      <c r="B22" s="364" t="n"/>
      <c r="C22" s="357" t="n"/>
      <c r="D22" s="358" t="n"/>
      <c r="E22" s="393" t="n"/>
      <c r="F22" s="341" t="n"/>
      <c r="G22" s="383" t="n"/>
      <c r="H22" s="384" t="inlineStr">
        <is>
          <t>TOTAL AKTIVA TETAP</t>
        </is>
      </c>
      <c r="I22" s="376" t="inlineStr">
        <is>
          <t>Rp</t>
        </is>
      </c>
      <c r="J22" s="385">
        <f>J20</f>
        <v/>
      </c>
    </row>
    <row r="23">
      <c r="A23" s="338" t="n"/>
      <c r="B23" s="379" t="inlineStr">
        <is>
          <t>BEBAN TIDAK LANGSUNG</t>
        </is>
      </c>
      <c r="C23" s="357" t="n"/>
      <c r="D23" s="364" t="n"/>
      <c r="E23" s="380">
        <f>'Revenue-Cost_2030'!Q84</f>
        <v/>
      </c>
      <c r="F23" s="341" t="n"/>
      <c r="G23" s="369" t="n"/>
      <c r="H23" s="370" t="n"/>
      <c r="I23" s="386" t="n"/>
      <c r="J23" s="363" t="n"/>
    </row>
    <row r="24">
      <c r="A24" s="338" t="n"/>
      <c r="B24" s="364" t="n"/>
      <c r="C24" s="357" t="n"/>
      <c r="D24" s="364" t="n"/>
      <c r="E24" s="380" t="n"/>
      <c r="F24" s="341" t="n"/>
      <c r="G24" s="366" t="inlineStr">
        <is>
          <t>ACTIVA LAIN LAIN</t>
        </is>
      </c>
      <c r="H24" s="388" t="n"/>
      <c r="I24" s="360" t="n"/>
      <c r="J24" s="371" t="n">
        <v>0</v>
      </c>
    </row>
    <row r="25">
      <c r="A25" s="338" t="n"/>
      <c r="B25" s="364" t="n"/>
      <c r="C25" s="357" t="n"/>
      <c r="D25" s="364" t="inlineStr">
        <is>
          <t>Rp</t>
        </is>
      </c>
      <c r="E25" s="380" t="n"/>
      <c r="F25" s="341" t="n"/>
      <c r="G25" s="369" t="n"/>
      <c r="H25" s="370" t="n"/>
      <c r="I25" s="394" t="n"/>
      <c r="J25" s="395" t="n">
        <v>0</v>
      </c>
    </row>
    <row r="26">
      <c r="A26" s="338" t="n"/>
      <c r="B26" s="364" t="n"/>
      <c r="C26" s="357" t="n"/>
      <c r="D26" s="372" t="n"/>
      <c r="E26" s="389" t="n"/>
      <c r="F26" s="341" t="n"/>
      <c r="G26" s="383" t="n"/>
      <c r="H26" s="384" t="inlineStr">
        <is>
          <t>TOTAL AKTIVA LAIN LAIN</t>
        </is>
      </c>
      <c r="I26" s="376" t="inlineStr">
        <is>
          <t>Rp</t>
        </is>
      </c>
      <c r="J26" s="385">
        <f>SUM(J25:J25)</f>
        <v/>
      </c>
    </row>
    <row r="27">
      <c r="A27" s="338" t="n"/>
      <c r="B27" s="374" t="inlineStr">
        <is>
          <t>TOTAL BIAYA TIDAK LANGSUNG</t>
        </is>
      </c>
      <c r="C27" s="375" t="n"/>
      <c r="D27" s="376" t="inlineStr">
        <is>
          <t>Rp</t>
        </is>
      </c>
      <c r="E27" s="390">
        <f>SUM(E22:E26)</f>
        <v/>
      </c>
      <c r="F27" s="341" t="n"/>
      <c r="G27" s="369" t="n"/>
      <c r="H27" s="370" t="n"/>
      <c r="I27" s="396" t="n"/>
      <c r="J27" s="397" t="n"/>
    </row>
    <row r="28">
      <c r="A28" s="338" t="n"/>
      <c r="B28" s="364" t="n"/>
      <c r="C28" s="357" t="n"/>
      <c r="D28" s="358" t="n"/>
      <c r="E28" s="393" t="n"/>
      <c r="F28" s="341" t="n"/>
      <c r="G28" s="374" t="inlineStr">
        <is>
          <t>TOTAL AKTIVA</t>
        </is>
      </c>
      <c r="H28" s="375" t="n"/>
      <c r="I28" s="376" t="inlineStr">
        <is>
          <t>Rp</t>
        </is>
      </c>
      <c r="J28" s="398">
        <f>J26+J22+J16</f>
        <v/>
      </c>
    </row>
    <row r="29">
      <c r="A29" s="338" t="n"/>
      <c r="B29" s="379" t="inlineStr">
        <is>
          <t>BIAYA ADMINISTRASI DAN UMUM</t>
        </is>
      </c>
      <c r="C29" s="357" t="n"/>
      <c r="D29" s="364" t="n"/>
      <c r="E29" s="380" t="n"/>
      <c r="F29" s="341" t="n"/>
      <c r="G29" s="399" t="n"/>
      <c r="H29" s="400" t="n"/>
      <c r="I29" s="399" t="n"/>
      <c r="J29" s="387" t="n"/>
    </row>
    <row r="30">
      <c r="A30" s="338" t="n"/>
      <c r="B30" s="381" t="n"/>
      <c r="C30" s="357" t="inlineStr">
        <is>
          <t>BIAYA ADMINISTRASI</t>
        </is>
      </c>
      <c r="D30" s="364" t="inlineStr">
        <is>
          <t>Rp</t>
        </is>
      </c>
      <c r="E30" s="380">
        <f>'Revenue-Cost_2030'!M84</f>
        <v/>
      </c>
      <c r="F30" s="341" t="n"/>
      <c r="G30" s="401" t="inlineStr">
        <is>
          <t>HUTANG DAN MODAL</t>
        </is>
      </c>
      <c r="H30" s="361" t="n"/>
      <c r="I30" s="401" t="n"/>
      <c r="J30" s="402" t="n"/>
    </row>
    <row r="31">
      <c r="A31" s="338" t="n"/>
      <c r="B31" s="381" t="n"/>
      <c r="C31" s="357" t="inlineStr">
        <is>
          <t>BIAYA PEMBELIAN Barang</t>
        </is>
      </c>
      <c r="D31" s="364" t="inlineStr">
        <is>
          <t>Rp</t>
        </is>
      </c>
      <c r="E31" s="380">
        <f>'Revenue-Cost_2030'!N84</f>
        <v/>
      </c>
      <c r="F31" s="341" t="n"/>
      <c r="G31" s="401" t="n"/>
      <c r="H31" s="361" t="n"/>
      <c r="I31" s="401" t="n"/>
      <c r="J31" s="402" t="n"/>
    </row>
    <row r="32">
      <c r="A32" s="338" t="n"/>
      <c r="B32" s="381" t="n"/>
      <c r="C32" s="357" t="inlineStr">
        <is>
          <t>BIAYA SEWA KANTOR</t>
        </is>
      </c>
      <c r="D32" s="364" t="inlineStr">
        <is>
          <t>Rp</t>
        </is>
      </c>
      <c r="E32" s="380">
        <f>'Revenue-Cost_2030'!O84</f>
        <v/>
      </c>
      <c r="F32" s="341" t="n"/>
      <c r="G32" s="366" t="inlineStr">
        <is>
          <t>HUTANG LANCAR</t>
        </is>
      </c>
      <c r="H32" s="367" t="n"/>
      <c r="I32" s="366" t="n"/>
      <c r="J32" s="368" t="n"/>
    </row>
    <row r="33">
      <c r="A33" s="338" t="n"/>
      <c r="B33" s="381" t="n"/>
      <c r="C33" s="357" t="inlineStr">
        <is>
          <t>BIAYA KESEHATAN</t>
        </is>
      </c>
      <c r="D33" s="364" t="inlineStr">
        <is>
          <t>Rp</t>
        </is>
      </c>
      <c r="E33" s="380">
        <f>'Revenue-Cost_2030'!P84</f>
        <v/>
      </c>
      <c r="F33" s="341" t="n"/>
      <c r="G33" s="369" t="n"/>
      <c r="H33" s="370" t="inlineStr">
        <is>
          <t>HUTANG USAHA</t>
        </is>
      </c>
      <c r="I33" s="364" t="inlineStr">
        <is>
          <t>Rp</t>
        </is>
      </c>
      <c r="J33" s="371" t="n">
        <v>0</v>
      </c>
    </row>
    <row r="34">
      <c r="A34" s="338" t="n"/>
      <c r="B34" s="381" t="n"/>
      <c r="C34" s="357" t="n"/>
      <c r="D34" s="372" t="n"/>
      <c r="E34" s="389" t="n"/>
      <c r="F34" s="341" t="n"/>
      <c r="G34" s="369" t="n"/>
      <c r="H34" s="403" t="inlineStr">
        <is>
          <t>HUTANG GAJI</t>
        </is>
      </c>
      <c r="I34" s="364" t="inlineStr">
        <is>
          <t>Rp</t>
        </is>
      </c>
      <c r="J34" s="371" t="n">
        <v>0</v>
      </c>
    </row>
    <row r="35">
      <c r="A35" s="338" t="n"/>
      <c r="B35" s="374" t="inlineStr">
        <is>
          <t>TOTAL BIAYA ADMINISTRASI DAN UMUM</t>
        </is>
      </c>
      <c r="C35" s="375" t="n"/>
      <c r="D35" s="376" t="inlineStr">
        <is>
          <t>Rp</t>
        </is>
      </c>
      <c r="E35" s="377">
        <f>SUM(E30:E34)</f>
        <v/>
      </c>
      <c r="F35" s="341" t="n"/>
      <c r="G35" s="369" t="n"/>
      <c r="H35" s="370" t="inlineStr">
        <is>
          <t>HUTANG PEMEGANG SAHAM</t>
        </is>
      </c>
      <c r="I35" s="364" t="inlineStr">
        <is>
          <t>Rp</t>
        </is>
      </c>
      <c r="J35" s="371" t="n">
        <v>0</v>
      </c>
    </row>
    <row r="36">
      <c r="A36" s="338" t="n"/>
      <c r="B36" s="381" t="n"/>
      <c r="C36" s="357" t="n"/>
      <c r="D36" s="376" t="n"/>
      <c r="E36" s="404" t="n"/>
      <c r="F36" s="341" t="n"/>
      <c r="G36" s="369" t="n"/>
      <c r="H36" s="370" t="inlineStr">
        <is>
          <t>BIAYA YANG MASIH HARUS DI BAYAR</t>
        </is>
      </c>
      <c r="I36" s="364" t="inlineStr">
        <is>
          <t>Rp</t>
        </is>
      </c>
      <c r="J36" s="371" t="n">
        <v>0</v>
      </c>
    </row>
    <row r="37">
      <c r="A37" s="338" t="n"/>
      <c r="B37" s="374" t="inlineStr">
        <is>
          <t>TOTAL BIAYA</t>
        </is>
      </c>
      <c r="C37" s="375" t="n"/>
      <c r="D37" s="376" t="inlineStr">
        <is>
          <t>Rp</t>
        </is>
      </c>
      <c r="E37" s="377">
        <f>E35+E21+E27</f>
        <v/>
      </c>
      <c r="F37" s="341" t="n"/>
      <c r="G37" s="405" t="n"/>
      <c r="H37" s="406" t="n"/>
      <c r="I37" s="405" t="n"/>
      <c r="J37" s="407" t="n"/>
    </row>
    <row r="38">
      <c r="A38" s="338" t="n"/>
      <c r="B38" s="356" t="n"/>
      <c r="C38" s="408" t="n"/>
      <c r="D38" s="358" t="n"/>
      <c r="E38" s="409" t="n"/>
      <c r="F38" s="341" t="n"/>
      <c r="G38" s="383" t="n"/>
      <c r="H38" s="384" t="inlineStr">
        <is>
          <t>TOTAL HUTANG LANCAR</t>
        </is>
      </c>
      <c r="I38" s="410" t="n"/>
      <c r="J38" s="385">
        <f>SUM(J33:J36)</f>
        <v/>
      </c>
    </row>
    <row r="39">
      <c r="A39" s="338" t="n"/>
      <c r="B39" s="379" t="inlineStr">
        <is>
          <t xml:space="preserve">PENDAPATAN/BEBAN LAIN LAIN </t>
        </is>
      </c>
      <c r="C39" s="357" t="n"/>
      <c r="D39" s="364" t="inlineStr">
        <is>
          <t>Rp</t>
        </is>
      </c>
      <c r="E39" s="411" t="n"/>
      <c r="F39" s="341" t="n"/>
      <c r="G39" s="369" t="n"/>
      <c r="H39" s="388" t="n"/>
      <c r="I39" s="412" t="n"/>
      <c r="J39" s="363" t="n"/>
    </row>
    <row r="40">
      <c r="A40" s="338" t="n"/>
      <c r="B40" s="379" t="n"/>
      <c r="C40" s="357" t="inlineStr">
        <is>
          <t>PENDAPATAN LAINNYA</t>
        </is>
      </c>
      <c r="D40" s="364" t="inlineStr">
        <is>
          <t>Rp</t>
        </is>
      </c>
      <c r="E40" s="365" t="n">
        <v>0</v>
      </c>
      <c r="F40" s="341" t="n"/>
      <c r="G40" s="366" t="inlineStr">
        <is>
          <t>MODAL</t>
        </is>
      </c>
      <c r="H40" s="367" t="n"/>
      <c r="I40" s="366" t="n"/>
      <c r="J40" s="368" t="n"/>
    </row>
    <row r="41">
      <c r="A41" s="338" t="n"/>
      <c r="B41" s="379" t="n"/>
      <c r="C41" s="357" t="n"/>
      <c r="D41" s="372" t="n"/>
      <c r="E41" s="413" t="n"/>
      <c r="F41" s="341" t="n"/>
      <c r="G41" s="369" t="n"/>
      <c r="H41" s="370" t="inlineStr">
        <is>
          <t>MODAL SAHAM</t>
        </is>
      </c>
      <c r="I41" s="364" t="inlineStr">
        <is>
          <t>Rp</t>
        </is>
      </c>
      <c r="J41" s="371" t="n">
        <v>0</v>
      </c>
    </row>
    <row r="42">
      <c r="A42" s="338" t="n"/>
      <c r="B42" s="374" t="inlineStr">
        <is>
          <t>LABA RUGI SEBELUM PAJAK</t>
        </is>
      </c>
      <c r="C42" s="375" t="n"/>
      <c r="D42" s="376" t="inlineStr">
        <is>
          <t>Rp</t>
        </is>
      </c>
      <c r="E42" s="377">
        <f>E12-E37</f>
        <v/>
      </c>
      <c r="F42" s="341" t="n"/>
      <c r="G42" s="369" t="n"/>
      <c r="H42" s="370" t="inlineStr">
        <is>
          <t>LABA DI TAHAN</t>
        </is>
      </c>
      <c r="I42" s="364" t="inlineStr">
        <is>
          <t>Rp</t>
        </is>
      </c>
      <c r="J42" s="371" t="n">
        <v>0</v>
      </c>
    </row>
    <row r="43">
      <c r="A43" s="338" t="n"/>
      <c r="B43" s="414" t="n"/>
      <c r="C43" s="408" t="n"/>
      <c r="D43" s="358" t="n"/>
      <c r="E43" s="378" t="n"/>
      <c r="F43" s="341" t="n"/>
      <c r="G43" s="366" t="n"/>
      <c r="H43" s="370" t="inlineStr">
        <is>
          <t>TOTAL LABA (RUGI) DITAHAN</t>
        </is>
      </c>
      <c r="I43" s="372" t="inlineStr">
        <is>
          <t>Rp</t>
        </is>
      </c>
      <c r="J43" s="395">
        <f>J28-J38-J41-J42</f>
        <v/>
      </c>
    </row>
    <row r="44">
      <c r="A44" s="338" t="n"/>
      <c r="B44" s="379" t="inlineStr">
        <is>
          <t>CORPORATE TAX (PPh 29)</t>
        </is>
      </c>
      <c r="D44" s="364" t="inlineStr">
        <is>
          <t>Rp</t>
        </is>
      </c>
      <c r="E44" s="365" t="n">
        <v>0</v>
      </c>
      <c r="F44" s="341" t="n"/>
      <c r="G44" s="383" t="n"/>
      <c r="H44" s="384" t="inlineStr">
        <is>
          <t>TOTAL MODAL</t>
        </is>
      </c>
      <c r="I44" s="376" t="inlineStr">
        <is>
          <t>Rp</t>
        </is>
      </c>
      <c r="J44" s="385">
        <f>SUM(J41:J43)</f>
        <v/>
      </c>
    </row>
    <row r="45">
      <c r="A45" s="338" t="n"/>
      <c r="B45" s="379" t="n"/>
      <c r="C45" s="357" t="n"/>
      <c r="D45" s="372" t="n"/>
      <c r="E45" s="413" t="n"/>
      <c r="F45" s="341" t="n"/>
      <c r="G45" s="369" t="n"/>
      <c r="H45" s="370" t="n"/>
      <c r="I45" s="396" t="n"/>
      <c r="J45" s="397" t="n"/>
    </row>
    <row r="46" ht="15" customHeight="1">
      <c r="A46" s="338" t="n"/>
      <c r="B46" s="415" t="inlineStr">
        <is>
          <t>LABA / RUGI BERSIH</t>
        </is>
      </c>
      <c r="C46" s="416" t="n"/>
      <c r="D46" s="417" t="n"/>
      <c r="E46" s="418">
        <f>E42-E44</f>
        <v/>
      </c>
      <c r="F46" s="341" t="n"/>
      <c r="G46" s="419" t="inlineStr">
        <is>
          <t>TOTAL HUTANG DAN MODAL</t>
        </is>
      </c>
      <c r="H46" s="420" t="n"/>
      <c r="I46" s="417" t="inlineStr">
        <is>
          <t>Rp</t>
        </is>
      </c>
      <c r="J46" s="421">
        <f>J44+J38</f>
        <v/>
      </c>
    </row>
    <row r="47" ht="4.5" customHeight="1">
      <c r="A47" s="338" t="n"/>
      <c r="F47" s="341" t="n"/>
    </row>
    <row r="48" ht="50.65" customHeight="1">
      <c r="A48" s="338" t="n"/>
      <c r="F48" s="341" t="n"/>
      <c r="G48" s="422" t="n"/>
    </row>
    <row r="49" ht="16.75" customHeight="1">
      <c r="A49" s="338" t="n"/>
      <c r="B49" s="423" t="n"/>
      <c r="F49" s="341" t="n"/>
      <c r="G49" s="423" t="n"/>
    </row>
    <row r="50" ht="15.65" customHeight="1">
      <c r="A50" s="357" t="n"/>
      <c r="B50" s="424" t="inlineStr">
        <is>
          <t>Direktur</t>
        </is>
      </c>
      <c r="F50" s="341" t="n"/>
      <c r="G50" s="424" t="inlineStr">
        <is>
          <t>Direktur</t>
        </is>
      </c>
    </row>
    <row r="51">
      <c r="A51" s="357" t="n"/>
      <c r="F51" s="341" t="n"/>
    </row>
    <row r="52">
      <c r="A52" s="357" t="n"/>
      <c r="F52" s="341" t="n"/>
      <c r="J52" s="42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5" customHeight="1">
      <c r="A3" s="338" t="n"/>
      <c r="B3" s="340" t="inlineStr">
        <is>
          <t>PT. EXSPAN WIRELINE INDONESIA</t>
        </is>
      </c>
      <c r="F3" s="341" t="n"/>
    </row>
    <row r="4" ht="20.5" customHeight="1">
      <c r="A4" s="338" t="n"/>
      <c r="B4" s="343" t="inlineStr">
        <is>
          <t>BUSINESS SUMMARY | TAHUN 2030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426" t="inlineStr">
        <is>
          <t>#</t>
        </is>
      </c>
      <c r="C6" s="426" t="inlineStr">
        <is>
          <t>Items</t>
        </is>
      </c>
      <c r="D6" s="427" t="inlineStr">
        <is>
          <t>Amount</t>
        </is>
      </c>
      <c r="E6" s="227" t="n"/>
      <c r="F6" s="341" t="n"/>
    </row>
    <row r="7" ht="20" customHeight="1">
      <c r="A7" s="338" t="n"/>
      <c r="B7" s="428" t="n">
        <v>1</v>
      </c>
      <c r="C7" s="429" t="inlineStr">
        <is>
          <t>Revenue</t>
        </is>
      </c>
      <c r="D7" s="430" t="inlineStr">
        <is>
          <t>Rp</t>
        </is>
      </c>
      <c r="E7" s="431">
        <f>SUM('Revenue-Cost_2030'!L8:L8)</f>
        <v/>
      </c>
      <c r="F7" s="341" t="n"/>
    </row>
    <row r="8" ht="20" customHeight="1">
      <c r="A8" s="338" t="n"/>
      <c r="B8" s="428" t="n">
        <v>2</v>
      </c>
      <c r="C8" s="429" t="inlineStr">
        <is>
          <t>Revenue Diterima (Setelah Pajak)</t>
        </is>
      </c>
      <c r="D8" s="430" t="inlineStr">
        <is>
          <t>Rp</t>
        </is>
      </c>
      <c r="E8" s="431">
        <f>E7-SUM('Revenue-Cost_2030'!N8:N8)</f>
        <v/>
      </c>
      <c r="F8" s="341" t="n"/>
    </row>
    <row r="9" ht="20" customHeight="1">
      <c r="A9" s="338" t="n"/>
      <c r="B9" s="428" t="n">
        <v>3</v>
      </c>
      <c r="C9" s="429" t="inlineStr">
        <is>
          <t>Biaya</t>
        </is>
      </c>
      <c r="D9" s="430" t="inlineStr">
        <is>
          <t>Rp</t>
        </is>
      </c>
      <c r="E9" s="431">
        <f>SUM('Revenue-Cost_2030'!I84:Q84)</f>
        <v/>
      </c>
      <c r="F9" s="341" t="n"/>
    </row>
    <row r="10" ht="20" customHeight="1">
      <c r="A10" s="338" t="n"/>
      <c r="B10" s="428" t="n">
        <v>4</v>
      </c>
      <c r="C10" s="429" t="inlineStr">
        <is>
          <t>Profit SebelumTax</t>
        </is>
      </c>
      <c r="D10" s="430" t="inlineStr">
        <is>
          <t>Rp</t>
        </is>
      </c>
      <c r="E10" s="431">
        <f>E7-E9</f>
        <v/>
      </c>
      <c r="F10" s="341" t="n"/>
    </row>
    <row r="11" ht="20" customHeight="1">
      <c r="A11" s="338" t="n"/>
      <c r="B11" s="428" t="n">
        <v>5</v>
      </c>
      <c r="C11" s="429" t="inlineStr">
        <is>
          <t>PPh Badan (22%*50%)</t>
        </is>
      </c>
      <c r="D11" s="430" t="inlineStr">
        <is>
          <t>Rp</t>
        </is>
      </c>
      <c r="E11" s="431">
        <f>E10*22%*50%</f>
        <v/>
      </c>
      <c r="F11" s="341" t="n"/>
    </row>
    <row r="12" ht="20" customHeight="1">
      <c r="A12" s="338" t="n"/>
      <c r="B12" s="428" t="n">
        <v>6</v>
      </c>
      <c r="C12" s="429" t="inlineStr">
        <is>
          <t>PPh 23 Dipotong oleh client</t>
        </is>
      </c>
      <c r="D12" s="430" t="inlineStr">
        <is>
          <t>Rp</t>
        </is>
      </c>
      <c r="E12" s="431">
        <f>SUM('Revenue-Cost_2030'!N8:N8)</f>
        <v/>
      </c>
      <c r="F12" s="341" t="n"/>
    </row>
    <row r="13" ht="20" customHeight="1">
      <c r="A13" s="338" t="n"/>
      <c r="B13" s="428" t="n">
        <v>7</v>
      </c>
      <c r="C13" s="429" t="inlineStr">
        <is>
          <t>Kekurangan Bayar PPh Badan</t>
        </is>
      </c>
      <c r="D13" s="430" t="inlineStr">
        <is>
          <t>Rp</t>
        </is>
      </c>
      <c r="E13" s="432">
        <f>E11-E12</f>
        <v/>
      </c>
      <c r="F13" s="341" t="n"/>
    </row>
    <row r="14" ht="20" customHeight="1">
      <c r="A14" s="338" t="n"/>
      <c r="B14" s="428" t="n">
        <v>8</v>
      </c>
      <c r="C14" s="429" t="inlineStr">
        <is>
          <t>Profit After Tax</t>
        </is>
      </c>
      <c r="D14" s="430" t="inlineStr">
        <is>
          <t>Rp</t>
        </is>
      </c>
      <c r="E14" s="431">
        <f>E10-E13</f>
        <v/>
      </c>
      <c r="F14" s="341" t="n"/>
    </row>
    <row r="15" ht="20" customHeight="1">
      <c r="A15" s="338" t="n"/>
      <c r="B15" s="428" t="n">
        <v>9</v>
      </c>
      <c r="C15" s="429" t="inlineStr">
        <is>
          <t>Deviden Dibagi</t>
        </is>
      </c>
      <c r="D15" s="430" t="inlineStr">
        <is>
          <t>Rp</t>
        </is>
      </c>
      <c r="E15" s="431">
        <f>E14-E16</f>
        <v/>
      </c>
      <c r="F15" s="341" t="n"/>
    </row>
    <row r="16" ht="20" customHeight="1">
      <c r="A16" s="338" t="n"/>
      <c r="B16" s="428" t="n">
        <v>10</v>
      </c>
      <c r="C16" s="429" t="inlineStr">
        <is>
          <t>Profit Ditahan</t>
        </is>
      </c>
      <c r="D16" s="430" t="inlineStr">
        <is>
          <t>Rp</t>
        </is>
      </c>
      <c r="E16" s="431" t="n">
        <v>0</v>
      </c>
      <c r="F16" s="341" t="n"/>
    </row>
    <row r="17">
      <c r="A17" s="338" t="n"/>
      <c r="B17" s="338" t="n"/>
      <c r="C17" s="338" t="n"/>
      <c r="D17" s="338" t="n"/>
      <c r="E17" s="339" t="n"/>
      <c r="F17" s="341" t="n"/>
    </row>
    <row r="18" ht="18" customHeight="1">
      <c r="A18" s="338" t="n"/>
      <c r="B18" s="433" t="inlineStr">
        <is>
          <t>DEVIDEN</t>
        </is>
      </c>
      <c r="F18" s="341" t="n"/>
    </row>
    <row r="19" ht="20" customHeight="1">
      <c r="A19" s="338" t="n"/>
      <c r="B19" s="434" t="inlineStr">
        <is>
          <t>#</t>
        </is>
      </c>
      <c r="C19" s="434" t="inlineStr">
        <is>
          <t>Nama Lengkap</t>
        </is>
      </c>
      <c r="D19" s="435" t="inlineStr"/>
      <c r="E19" s="436" t="inlineStr">
        <is>
          <t>Amount</t>
        </is>
      </c>
      <c r="F19" s="341" t="inlineStr"/>
      <c r="G19" s="437" t="inlineStr">
        <is>
          <t>Pajak</t>
        </is>
      </c>
    </row>
    <row r="20" ht="19" customHeight="1">
      <c r="A20" s="338" t="n"/>
      <c r="B20" s="438" t="n"/>
      <c r="C20" s="439" t="n"/>
      <c r="D20" s="429" t="n"/>
      <c r="E20" s="440" t="n"/>
      <c r="F20" s="341" t="n"/>
      <c r="G20" s="441" t="n"/>
    </row>
    <row r="21" ht="48.75" customHeight="1">
      <c r="A21" s="357" t="n"/>
      <c r="F21" s="341" t="n"/>
    </row>
    <row r="22">
      <c r="A22" s="357" t="n"/>
      <c r="F22" s="34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2026-04-18T16:13:18Z</dcterms:modified>
  <cp:lastModifiedBy>Diofavian - Student</cp:lastModifiedBy>
</cp:coreProperties>
</file>