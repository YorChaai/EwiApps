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0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0" fillId="10" borderId="4" pivotButton="0" quotePrefix="0" xfId="1"/>
    <xf numFmtId="0" fontId="11" fillId="1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165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10" fillId="0" borderId="20" applyAlignment="1" pivotButton="0" quotePrefix="0" xfId="0">
      <alignment horizontal="left" vertical="center"/>
    </xf>
    <xf numFmtId="0" fontId="37" fillId="0" borderId="20" applyAlignment="1" pivotButton="0" quotePrefix="0" xfId="0">
      <alignment horizontal="right"/>
    </xf>
    <xf numFmtId="3" fontId="37" fillId="0" borderId="20" pivotButton="0" quotePrefix="0" xfId="1"/>
    <xf numFmtId="0" fontId="10" fillId="0" borderId="20" applyAlignment="1" pivotButton="0" quotePrefix="0" xfId="0">
      <alignment horizontal="center" vertical="top"/>
    </xf>
    <xf numFmtId="3" fontId="37" fillId="0" borderId="20" pivotButton="0" quotePrefix="0" xfId="0"/>
    <xf numFmtId="3" fontId="37" fillId="0" borderId="20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7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311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8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19" t="n"/>
      <c r="G18" s="15" t="n"/>
      <c r="H18" s="15" t="n"/>
      <c r="I18" s="15" t="n"/>
      <c r="J18" s="18" t="n"/>
      <c r="K18" s="98" t="n"/>
      <c r="L18" s="320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1" t="n"/>
      <c r="G19" s="15" t="n"/>
      <c r="H19" s="15" t="n"/>
      <c r="I19" s="15" t="n"/>
      <c r="J19" s="18" t="n"/>
      <c r="K19" s="322" t="n"/>
      <c r="L19" s="323" t="n"/>
      <c r="M19" s="143" t="n"/>
      <c r="N19" s="143" t="n"/>
      <c r="O19" s="324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5" t="n"/>
      <c r="L21" s="326" t="n"/>
      <c r="M21" s="143" t="n"/>
      <c r="N21" s="143" t="n"/>
      <c r="O21" s="327" t="n"/>
      <c r="P21" s="18" t="n"/>
    </row>
    <row r="22" hidden="1" ht="15.5" customHeight="1" s="297">
      <c r="B22" s="286" t="n"/>
      <c r="F22" s="328" t="n"/>
      <c r="G22" s="33" t="n"/>
      <c r="H22" s="33" t="n"/>
      <c r="I22" s="329" t="n"/>
      <c r="J22" s="330" t="n"/>
      <c r="K22" s="329" t="n"/>
      <c r="L22" s="331" t="n"/>
      <c r="M22" s="331" t="n"/>
      <c r="N22" s="331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3" t="inlineStr">
        <is>
          <t>PENERIMAAN NEGARA (TAX) (IDR)</t>
        </is>
      </c>
      <c r="C28" s="334" t="n"/>
      <c r="D28" s="334" t="n"/>
      <c r="E28" s="334" t="n"/>
      <c r="F28" s="334" t="n"/>
      <c r="G28" s="334" t="n"/>
      <c r="H28" s="335" t="n"/>
      <c r="I28" s="336" t="inlineStr">
        <is>
          <t>PPN</t>
        </is>
      </c>
      <c r="J28" s="337">
        <f>SUM(J27:J27)</f>
        <v/>
      </c>
      <c r="K28" s="338" t="inlineStr">
        <is>
          <t>PPh</t>
        </is>
      </c>
      <c r="L28" s="337">
        <f>SUM(L27:L27)</f>
        <v/>
      </c>
      <c r="M28" s="338" t="inlineStr">
        <is>
          <t>PPh</t>
        </is>
      </c>
      <c r="N28" s="337">
        <f>SUM(N27:N27)</f>
        <v/>
      </c>
      <c r="O28" s="338" t="inlineStr">
        <is>
          <t>PPh</t>
        </is>
      </c>
      <c r="P28" s="337">
        <f>SUM(P27:P27)</f>
        <v/>
      </c>
      <c r="Q28" s="339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40" t="inlineStr">
        <is>
          <t>Biaya Operasi</t>
        </is>
      </c>
      <c r="J40" s="341" t="inlineStr">
        <is>
          <t>Biaya Research (R&amp;D)</t>
        </is>
      </c>
      <c r="K40" s="342" t="inlineStr">
        <is>
          <t>Biaya Sewa Peralatan</t>
        </is>
      </c>
      <c r="L40" s="342" t="inlineStr">
        <is>
          <t>Biaya Interpretasi Log Data</t>
        </is>
      </c>
      <c r="M40" s="343" t="inlineStr">
        <is>
          <t>Administrasi</t>
        </is>
      </c>
      <c r="N40" s="343" t="inlineStr">
        <is>
          <t>Pembelian Barang</t>
        </is>
      </c>
      <c r="O40" s="343" t="inlineStr">
        <is>
          <t>Sewa Kantor</t>
        </is>
      </c>
      <c r="P40" s="343" t="inlineStr">
        <is>
          <t>Kesehatan</t>
        </is>
      </c>
      <c r="Q40" s="343" t="inlineStr">
        <is>
          <t>Bisnis Dev</t>
        </is>
      </c>
      <c r="R40" s="342" t="inlineStr">
        <is>
          <t>asdasd</t>
        </is>
      </c>
      <c r="S40" s="342" t="inlineStr">
        <is>
          <t>makanan jepang</t>
        </is>
      </c>
      <c r="T40" s="342" t="inlineStr">
        <is>
          <t>aaaaa</t>
        </is>
      </c>
      <c r="U40" s="342" t="inlineStr">
        <is>
          <t>bbbbb</t>
        </is>
      </c>
      <c r="V40" s="342" t="inlineStr">
        <is>
          <t>asdsad</t>
        </is>
      </c>
      <c r="W40" s="342" t="inlineStr">
        <is>
          <t>dfgdfgdfgd</t>
        </is>
      </c>
      <c r="X40" s="342" t="inlineStr">
        <is>
          <t>12312</t>
        </is>
      </c>
    </row>
    <row r="41" ht="15.5" customHeight="1" s="297">
      <c r="B41" s="344" t="n"/>
      <c r="C41" s="345" t="n"/>
      <c r="D41" s="346" t="inlineStr">
        <is>
          <t>Belum ada data single pengeluaran</t>
        </is>
      </c>
      <c r="E41" s="347" t="n"/>
      <c r="F41" s="348" t="n"/>
      <c r="G41" s="349" t="n"/>
      <c r="H41" s="349" t="n"/>
      <c r="I41" s="350" t="n"/>
      <c r="J41" s="350" t="n"/>
      <c r="K41" s="351" t="n"/>
      <c r="L41" s="352" t="n"/>
      <c r="M41" s="352" t="n"/>
      <c r="N41" s="352" t="n"/>
      <c r="O41" s="352" t="n"/>
      <c r="P41" s="352" t="n"/>
      <c r="Q41" s="352" t="n"/>
      <c r="R41" s="353" t="n"/>
      <c r="S41" s="353" t="n"/>
      <c r="T41" s="353" t="n"/>
      <c r="U41" s="353" t="n"/>
      <c r="V41" s="353" t="n"/>
      <c r="W41" s="353" t="n"/>
      <c r="X41" s="353" t="n"/>
    </row>
    <row r="42" ht="15.5" customHeight="1" s="297">
      <c r="B42" s="354" t="n"/>
      <c r="C42" s="355" t="n"/>
      <c r="D42" s="356" t="inlineStr">
        <is>
          <t>OPERATION COST AND OFFICE - Expenses Report</t>
        </is>
      </c>
      <c r="E42" s="357" t="n"/>
      <c r="F42" s="358" t="n"/>
      <c r="G42" s="359" t="n"/>
      <c r="H42" s="359" t="n"/>
      <c r="I42" s="360" t="n"/>
      <c r="J42" s="360" t="n"/>
      <c r="K42" s="361" t="n"/>
      <c r="L42" s="362" t="n"/>
      <c r="M42" s="362" t="n"/>
      <c r="N42" s="362" t="n"/>
      <c r="O42" s="362" t="n"/>
      <c r="P42" s="362" t="n"/>
      <c r="Q42" s="362" t="n"/>
      <c r="R42" s="363" t="n"/>
      <c r="S42" s="363" t="n"/>
      <c r="T42" s="363" t="n"/>
      <c r="U42" s="363" t="n"/>
      <c r="V42" s="363" t="n"/>
      <c r="W42" s="363" t="n"/>
      <c r="X42" s="363" t="n"/>
    </row>
    <row r="43" ht="15.5" customHeight="1" s="297">
      <c r="B43" s="344" t="n"/>
      <c r="C43" s="345" t="n"/>
      <c r="D43" s="346" t="inlineStr">
        <is>
          <t>Belum ada data batch pengeluaran</t>
        </is>
      </c>
      <c r="E43" s="347" t="n"/>
      <c r="F43" s="348" t="n"/>
      <c r="G43" s="349" t="n"/>
      <c r="H43" s="349" t="n"/>
      <c r="I43" s="350" t="n"/>
      <c r="J43" s="350" t="n"/>
      <c r="K43" s="351" t="n"/>
      <c r="L43" s="352" t="n"/>
      <c r="M43" s="352" t="n"/>
      <c r="N43" s="352" t="n"/>
      <c r="O43" s="352" t="n"/>
      <c r="P43" s="352" t="n"/>
      <c r="Q43" s="352" t="n"/>
      <c r="R43" s="353" t="n"/>
      <c r="S43" s="353" t="n"/>
      <c r="T43" s="353" t="n"/>
      <c r="U43" s="353" t="n"/>
      <c r="V43" s="353" t="n"/>
      <c r="W43" s="353" t="n"/>
      <c r="X43" s="353" t="n"/>
    </row>
    <row r="44" ht="15.5" customHeight="1" s="297">
      <c r="B44" s="344" t="n"/>
      <c r="C44" s="345" t="n"/>
      <c r="D44" s="364" t="n"/>
      <c r="E44" s="365" t="inlineStr">
        <is>
          <t>TOTAL</t>
        </is>
      </c>
      <c r="F44" s="366">
        <f>SUM(F41:F43)</f>
        <v/>
      </c>
      <c r="G44" s="367" t="inlineStr">
        <is>
          <t>IDR</t>
        </is>
      </c>
      <c r="H44" s="349" t="n">
        <v>1</v>
      </c>
      <c r="I44" s="368" t="n">
        <v>0</v>
      </c>
      <c r="J44" s="368" t="n">
        <v>0</v>
      </c>
      <c r="K44" s="369" t="n">
        <v>0</v>
      </c>
      <c r="L44" s="368" t="n">
        <v>0</v>
      </c>
      <c r="M44" s="368" t="n">
        <v>0</v>
      </c>
      <c r="N44" s="368" t="n">
        <v>0</v>
      </c>
      <c r="O44" s="368" t="n">
        <v>0</v>
      </c>
      <c r="P44" s="368" t="n">
        <v>0</v>
      </c>
      <c r="Q44" s="368" t="n">
        <v>0</v>
      </c>
      <c r="R44" s="368" t="n">
        <v>0</v>
      </c>
      <c r="S44" s="368" t="n">
        <v>0</v>
      </c>
      <c r="T44" s="368" t="n">
        <v>0</v>
      </c>
      <c r="U44" s="368" t="n">
        <v>0</v>
      </c>
      <c r="V44" s="368" t="n">
        <v>0</v>
      </c>
      <c r="W44" s="368" t="n">
        <v>0</v>
      </c>
      <c r="X44" s="368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0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0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1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2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1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1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3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3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3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3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3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3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3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3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3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3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3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3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3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5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3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5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3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3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5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4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3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5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3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3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3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3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6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7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8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8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7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7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7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7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7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7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9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7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9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7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7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7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7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7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0" t="n">
        <v>45071</v>
      </c>
      <c r="C638" s="141" t="n"/>
      <c r="D638" s="145" t="inlineStr">
        <is>
          <t>Materai 15 pcs</t>
        </is>
      </c>
      <c r="E638" s="145" t="n"/>
      <c r="F638" s="381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0" t="n">
        <v>45085</v>
      </c>
      <c r="C639" s="141" t="n"/>
      <c r="D639" s="145" t="inlineStr">
        <is>
          <t>Plastic folder 3 pcs</t>
        </is>
      </c>
      <c r="E639" s="145" t="n"/>
      <c r="F639" s="382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0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0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0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0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0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0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0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0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0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0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0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0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0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0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0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0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0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0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0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0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3" t="n"/>
      <c r="K741" s="383" t="n"/>
      <c r="L741" s="383" t="n"/>
      <c r="M741" s="383" t="n"/>
      <c r="N741" s="383" t="n"/>
      <c r="O741" s="38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4" t="n"/>
      <c r="K742" s="384" t="n"/>
      <c r="L742" s="383" t="n"/>
      <c r="M742" s="384" t="n"/>
      <c r="N742" s="384" t="n"/>
      <c r="O742" s="38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4" t="n"/>
      <c r="K743" s="384" t="n"/>
      <c r="L743" s="383" t="n"/>
      <c r="M743" s="384" t="n"/>
      <c r="N743" s="384" t="n"/>
      <c r="O743" s="38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4" t="n"/>
      <c r="K744" s="384" t="n"/>
      <c r="L744" s="383" t="n"/>
      <c r="M744" s="384" t="n"/>
      <c r="N744" s="384" t="n"/>
      <c r="O744" s="38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4" t="n"/>
      <c r="K745" s="384" t="n"/>
      <c r="L745" s="383" t="n"/>
      <c r="M745" s="384" t="n"/>
      <c r="N745" s="384" t="n"/>
      <c r="O745" s="38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4" t="n"/>
      <c r="K746" s="384" t="n"/>
      <c r="L746" s="383" t="n"/>
      <c r="M746" s="384" t="n"/>
      <c r="N746" s="384" t="n"/>
      <c r="O746" s="38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4" t="n"/>
      <c r="K747" s="384" t="n"/>
      <c r="L747" s="383" t="n"/>
      <c r="M747" s="384" t="n"/>
      <c r="N747" s="384" t="n"/>
      <c r="O747" s="38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4" t="n"/>
      <c r="K748" s="384" t="n"/>
      <c r="L748" s="383" t="n"/>
      <c r="M748" s="384" t="n"/>
      <c r="N748" s="384" t="n"/>
      <c r="O748" s="38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4" t="n"/>
      <c r="K749" s="384" t="n"/>
      <c r="L749" s="384" t="n"/>
      <c r="M749" s="384" t="n"/>
      <c r="N749" s="384" t="n"/>
      <c r="O749" s="38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5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  <c r="G3" s="389" t="inlineStr">
        <is>
          <t>PT. EXSPAN WIRELINE INDONESIA</t>
        </is>
      </c>
      <c r="H3" s="389" t="n"/>
      <c r="I3" s="389" t="n"/>
      <c r="J3" s="389" t="n"/>
    </row>
    <row r="4" ht="20.5" customHeight="1" s="297">
      <c r="A4" s="385" t="n"/>
      <c r="B4" s="390" t="inlineStr">
        <is>
          <t>LABA RUGI | TAHUN 2024</t>
        </is>
      </c>
      <c r="F4" s="388" t="n"/>
      <c r="G4" s="391" t="inlineStr">
        <is>
          <t>NERACA |TAHUN YANG BERAKHIR, 31 DESEMBER 2024</t>
        </is>
      </c>
      <c r="H4" s="391" t="n"/>
      <c r="I4" s="391" t="n"/>
      <c r="J4" s="391" t="n"/>
      <c r="K4" s="392" t="inlineStr">
        <is>
          <t>CATATAN KEAMANAN</t>
        </is>
      </c>
    </row>
    <row r="5" ht="6" customHeight="1" s="297">
      <c r="A5" s="385" t="n"/>
      <c r="B5" s="385" t="n"/>
      <c r="C5" s="385" t="n"/>
      <c r="D5" s="385" t="n"/>
      <c r="E5" s="386" t="n"/>
      <c r="F5" s="388" t="n"/>
      <c r="G5" s="388" t="n"/>
      <c r="H5" s="393" t="n"/>
      <c r="I5" s="393" t="n"/>
      <c r="J5" s="393" t="n"/>
      <c r="K5" t="inlineStr">
        <is>
          <t>Kolom ini aman dari overwrite sistem.</t>
        </is>
      </c>
    </row>
    <row r="6" ht="15.5" customHeight="1" s="297">
      <c r="A6" s="385" t="n"/>
      <c r="B6" s="394" t="n"/>
      <c r="C6" s="395" t="n"/>
      <c r="D6" s="396" t="inlineStr">
        <is>
          <t>PT. Exspan Wireline Indonesia</t>
        </is>
      </c>
      <c r="E6" s="289" t="n"/>
      <c r="F6" s="388" t="n"/>
      <c r="G6" s="397" t="n"/>
      <c r="H6" s="398" t="n"/>
      <c r="I6" s="396" t="inlineStr">
        <is>
          <t>PT. Exspan Wireline Indonesia</t>
        </is>
      </c>
      <c r="J6" s="289" t="n"/>
      <c r="K6" t="inlineStr">
        <is>
          <t>Diverifikasi pada: 2026-04-01 02:51</t>
        </is>
      </c>
    </row>
    <row r="7" ht="15.5" customHeight="1" s="297">
      <c r="A7" s="385" t="n"/>
      <c r="B7" s="399" t="n"/>
      <c r="C7" s="400" t="n"/>
      <c r="D7" s="401" t="inlineStr">
        <is>
          <t>(Rp)</t>
        </is>
      </c>
      <c r="E7" s="290" t="n"/>
      <c r="F7" s="388" t="n"/>
      <c r="G7" s="402" t="n"/>
      <c r="H7" s="403" t="n"/>
      <c r="I7" s="401" t="inlineStr">
        <is>
          <t>(Rp)</t>
        </is>
      </c>
      <c r="J7" s="290" t="n"/>
    </row>
    <row r="8">
      <c r="A8" s="385" t="n"/>
      <c r="B8" s="404" t="inlineStr">
        <is>
          <t>PENDAPATAN</t>
        </is>
      </c>
      <c r="C8" s="405" t="n"/>
      <c r="D8" s="406" t="n"/>
      <c r="E8" s="407" t="n"/>
      <c r="F8" s="388" t="n"/>
      <c r="G8" s="408" t="inlineStr">
        <is>
          <t>AKTIVA</t>
        </is>
      </c>
      <c r="H8" s="409" t="n"/>
      <c r="I8" s="410" t="n"/>
      <c r="J8" s="411" t="n"/>
    </row>
    <row r="9">
      <c r="A9" s="385" t="n"/>
      <c r="B9" s="412" t="n"/>
      <c r="C9" s="405" t="inlineStr">
        <is>
          <t>PENDAPATAN LANGSUNG</t>
        </is>
      </c>
      <c r="D9" s="412" t="inlineStr">
        <is>
          <t>Rp</t>
        </is>
      </c>
      <c r="E9" s="413">
        <f>SUM('Revenue-Cost_2027'!L8:'Revenue-Cost_2027'!L22)</f>
        <v/>
      </c>
      <c r="F9" s="388" t="n"/>
      <c r="G9" s="414" t="inlineStr">
        <is>
          <t>AKTIVA LANCAR</t>
        </is>
      </c>
      <c r="H9" s="415" t="n"/>
      <c r="I9" s="414" t="n"/>
      <c r="J9" s="416" t="n"/>
    </row>
    <row r="10">
      <c r="A10" s="385" t="n"/>
      <c r="B10" s="412" t="n"/>
      <c r="C10" s="405" t="inlineStr">
        <is>
          <t>PENDAPATAN LAIN LAIN</t>
        </is>
      </c>
      <c r="D10" s="412" t="inlineStr">
        <is>
          <t>Rp</t>
        </is>
      </c>
      <c r="E10" s="413">
        <f>SUM('Revenue-Cost_2027'!L8:'Revenue-Cost_2027'!L22)</f>
        <v/>
      </c>
      <c r="F10" s="388" t="n"/>
      <c r="G10" s="417" t="n"/>
      <c r="H10" s="418" t="inlineStr">
        <is>
          <t>KAS DAN SETARA KAS TAHUN SEBELUMNYA</t>
        </is>
      </c>
      <c r="I10" s="412" t="inlineStr">
        <is>
          <t>Rp</t>
        </is>
      </c>
      <c r="J10" s="419" t="n">
        <v>0</v>
      </c>
    </row>
    <row r="11">
      <c r="A11" s="385" t="n"/>
      <c r="B11" s="412" t="n"/>
      <c r="C11" s="405" t="n"/>
      <c r="D11" s="420" t="n"/>
      <c r="E11" s="421" t="n"/>
      <c r="F11" s="388" t="n"/>
      <c r="G11" s="417" t="n"/>
      <c r="H11" s="418" t="inlineStr">
        <is>
          <t>KAS DAN SETARA KAS TAHUN LAPORAN</t>
        </is>
      </c>
      <c r="I11" s="412" t="inlineStr">
        <is>
          <t>Rp</t>
        </is>
      </c>
      <c r="J11" s="419">
        <f>E46-'Business Summary'!E13</f>
        <v/>
      </c>
    </row>
    <row r="12">
      <c r="A12" s="385" t="n"/>
      <c r="B12" s="422" t="inlineStr">
        <is>
          <t>TOTALPENDAPATAN</t>
        </is>
      </c>
      <c r="C12" s="423" t="n"/>
      <c r="D12" s="424" t="inlineStr">
        <is>
          <t>Rp</t>
        </is>
      </c>
      <c r="E12" s="425">
        <f>SUM(E9:E11)</f>
        <v/>
      </c>
      <c r="F12" s="388" t="n"/>
      <c r="G12" s="417" t="n"/>
      <c r="H12" s="418" t="inlineStr">
        <is>
          <t>PIUTANG USAHA</t>
        </is>
      </c>
      <c r="I12" s="412" t="inlineStr">
        <is>
          <t>Rp</t>
        </is>
      </c>
      <c r="J12" s="419" t="n">
        <v>0</v>
      </c>
    </row>
    <row r="13">
      <c r="A13" s="385" t="n"/>
      <c r="B13" s="412" t="n"/>
      <c r="C13" s="405" t="n"/>
      <c r="D13" s="406" t="n"/>
      <c r="E13" s="426" t="n"/>
      <c r="F13" s="388" t="n"/>
      <c r="G13" s="417" t="n"/>
      <c r="H13" s="418" t="inlineStr">
        <is>
          <t>PAJAK BAYAR DI MUKA (pph23)</t>
        </is>
      </c>
      <c r="I13" s="412" t="inlineStr">
        <is>
          <t>Rp</t>
        </is>
      </c>
      <c r="J13" s="419" t="n">
        <v>0</v>
      </c>
    </row>
    <row r="14">
      <c r="A14" s="385" t="n"/>
      <c r="B14" s="427" t="inlineStr">
        <is>
          <t>BEBAN LANGSUNG</t>
        </is>
      </c>
      <c r="C14" s="405" t="n"/>
      <c r="D14" s="412" t="n"/>
      <c r="E14" s="428" t="n"/>
      <c r="F14" s="388" t="n"/>
      <c r="G14" s="417" t="n"/>
      <c r="H14" s="418" t="inlineStr">
        <is>
          <t>BIAYA BAYAR DI MUKA</t>
        </is>
      </c>
      <c r="I14" s="412" t="inlineStr">
        <is>
          <t>Rp</t>
        </is>
      </c>
      <c r="J14" s="419" t="n">
        <v>0</v>
      </c>
    </row>
    <row r="15">
      <c r="A15" s="385" t="n"/>
      <c r="B15" s="429" t="n"/>
      <c r="C15" s="405" t="inlineStr">
        <is>
          <t xml:space="preserve">Biaya Operasi </t>
        </is>
      </c>
      <c r="D15" s="412" t="inlineStr">
        <is>
          <t>Rp</t>
        </is>
      </c>
      <c r="E15" s="428">
        <f>'Revenue-Cost_2027'!I44</f>
        <v/>
      </c>
      <c r="F15" s="388" t="n"/>
      <c r="G15" s="430" t="n"/>
      <c r="H15" s="418" t="inlineStr">
        <is>
          <t>PIUTANG LAIN LAIN</t>
        </is>
      </c>
      <c r="I15" s="412" t="inlineStr">
        <is>
          <t>Rp</t>
        </is>
      </c>
      <c r="J15" s="419" t="n">
        <v>0</v>
      </c>
    </row>
    <row r="16">
      <c r="A16" s="385" t="n"/>
      <c r="B16" s="429" t="n"/>
      <c r="C16" s="405" t="inlineStr">
        <is>
          <t>Biaya research (R &amp; D)</t>
        </is>
      </c>
      <c r="D16" s="412" t="inlineStr">
        <is>
          <t>Rp</t>
        </is>
      </c>
      <c r="E16" s="428">
        <f>'Revenue-Cost_2027'!J44</f>
        <v/>
      </c>
      <c r="F16" s="388" t="n"/>
      <c r="G16" s="431" t="n"/>
      <c r="H16" s="432" t="inlineStr">
        <is>
          <t>TOTAL AKTIVA LANCAR</t>
        </is>
      </c>
      <c r="I16" s="424" t="inlineStr">
        <is>
          <t>Rp</t>
        </is>
      </c>
      <c r="J16" s="433">
        <f>SUM(J10:J15)</f>
        <v/>
      </c>
    </row>
    <row r="17">
      <c r="A17" s="385" t="n"/>
      <c r="B17" s="429" t="n"/>
      <c r="C17" s="405" t="inlineStr">
        <is>
          <t>BIAYA SEWA PERALATAN</t>
        </is>
      </c>
      <c r="D17" s="412" t="inlineStr">
        <is>
          <t>Rp</t>
        </is>
      </c>
      <c r="E17" s="428">
        <f>'Revenue-Cost_2027'!K44</f>
        <v/>
      </c>
      <c r="F17" s="388" t="n"/>
      <c r="G17" s="417" t="n"/>
      <c r="H17" s="418" t="n"/>
      <c r="I17" s="434" t="n"/>
      <c r="J17" s="435" t="n"/>
    </row>
    <row r="18">
      <c r="A18" s="385" t="n"/>
      <c r="B18" s="429" t="n"/>
      <c r="C18" s="405" t="inlineStr">
        <is>
          <t>BIAYA Data Processing</t>
        </is>
      </c>
      <c r="D18" s="412" t="inlineStr">
        <is>
          <t>Rp</t>
        </is>
      </c>
      <c r="E18" s="428">
        <f>'Revenue-Cost_2027'!L44</f>
        <v/>
      </c>
      <c r="F18" s="388" t="n"/>
      <c r="G18" s="414" t="inlineStr">
        <is>
          <t>ACTIVA TETAP</t>
        </is>
      </c>
      <c r="H18" s="436" t="n"/>
      <c r="I18" s="408" t="n"/>
      <c r="J18" s="419" t="n"/>
    </row>
    <row r="19">
      <c r="A19" s="385" t="n"/>
      <c r="B19" s="429" t="n"/>
      <c r="C19" s="405" t="n"/>
      <c r="D19" s="412" t="n"/>
      <c r="E19" s="428" t="n"/>
      <c r="F19" s="388" t="n"/>
      <c r="G19" s="414" t="n"/>
      <c r="H19" s="436" t="n"/>
      <c r="I19" s="408" t="n"/>
      <c r="J19" s="419" t="n"/>
    </row>
    <row r="20">
      <c r="A20" s="385" t="n"/>
      <c r="B20" s="429" t="n"/>
      <c r="C20" s="405" t="n"/>
      <c r="D20" s="420" t="n"/>
      <c r="E20" s="437" t="n"/>
      <c r="F20" s="388" t="n"/>
      <c r="G20" s="417" t="n"/>
      <c r="H20" s="418" t="inlineStr">
        <is>
          <t>INVENTARIS KANTOR</t>
        </is>
      </c>
      <c r="I20" s="412" t="inlineStr">
        <is>
          <t>Rp</t>
        </is>
      </c>
      <c r="J20" s="419" t="n">
        <v>0</v>
      </c>
    </row>
    <row r="21">
      <c r="A21" s="385" t="n"/>
      <c r="B21" s="422" t="inlineStr">
        <is>
          <t>TOTAL BIAYA LANGSUNG</t>
        </is>
      </c>
      <c r="C21" s="423" t="n"/>
      <c r="D21" s="424" t="inlineStr">
        <is>
          <t>Rp</t>
        </is>
      </c>
      <c r="E21" s="438">
        <f>SUM(E15:E20)</f>
        <v/>
      </c>
      <c r="F21" s="388" t="n"/>
      <c r="G21" s="417" t="n"/>
      <c r="H21" s="436" t="n"/>
      <c r="I21" s="439" t="n"/>
      <c r="J21" s="440" t="n"/>
    </row>
    <row r="22">
      <c r="A22" s="385" t="n"/>
      <c r="B22" s="412" t="n"/>
      <c r="C22" s="405" t="n"/>
      <c r="D22" s="406" t="n"/>
      <c r="E22" s="441" t="n"/>
      <c r="F22" s="388" t="n"/>
      <c r="G22" s="431" t="n"/>
      <c r="H22" s="432" t="inlineStr">
        <is>
          <t>TOTAL AKTIVA TETAP</t>
        </is>
      </c>
      <c r="I22" s="424" t="inlineStr">
        <is>
          <t>Rp</t>
        </is>
      </c>
      <c r="J22" s="433">
        <f>J20</f>
        <v/>
      </c>
    </row>
    <row r="23">
      <c r="A23" s="385" t="n"/>
      <c r="B23" s="427" t="inlineStr">
        <is>
          <t>BEBAN TIDAK LANGSUNG</t>
        </is>
      </c>
      <c r="C23" s="405" t="n"/>
      <c r="D23" s="412" t="n"/>
      <c r="E23" s="428">
        <f>'Revenue-Cost_2027'!Q44</f>
        <v/>
      </c>
      <c r="F23" s="388" t="n"/>
      <c r="G23" s="417" t="n"/>
      <c r="H23" s="418" t="n"/>
      <c r="I23" s="434" t="n"/>
      <c r="J23" s="411" t="n"/>
    </row>
    <row r="24">
      <c r="A24" s="385" t="n"/>
      <c r="B24" s="412" t="n"/>
      <c r="C24" s="405" t="n"/>
      <c r="D24" s="412" t="n"/>
      <c r="E24" s="428" t="n"/>
      <c r="F24" s="388" t="n"/>
      <c r="G24" s="414" t="inlineStr">
        <is>
          <t>ACTIVA LAIN LAIN</t>
        </is>
      </c>
      <c r="H24" s="436" t="n"/>
      <c r="I24" s="408" t="n"/>
      <c r="J24" s="419" t="n">
        <v>0</v>
      </c>
    </row>
    <row r="25">
      <c r="A25" s="385" t="n"/>
      <c r="B25" s="412" t="n"/>
      <c r="C25" s="405" t="n"/>
      <c r="D25" s="412" t="inlineStr">
        <is>
          <t>Rp</t>
        </is>
      </c>
      <c r="E25" s="428" t="n"/>
      <c r="F25" s="388" t="n"/>
      <c r="G25" s="417" t="n"/>
      <c r="H25" s="418" t="n"/>
      <c r="I25" s="442" t="n"/>
      <c r="J25" s="443" t="n">
        <v>0</v>
      </c>
    </row>
    <row r="26">
      <c r="A26" s="385" t="n"/>
      <c r="B26" s="412" t="n"/>
      <c r="C26" s="405" t="n"/>
      <c r="D26" s="420" t="n"/>
      <c r="E26" s="437" t="n"/>
      <c r="F26" s="388" t="n"/>
      <c r="G26" s="431" t="n"/>
      <c r="H26" s="432" t="inlineStr">
        <is>
          <t>TOTAL AKTIVA LAIN LAIN</t>
        </is>
      </c>
      <c r="I26" s="424" t="inlineStr">
        <is>
          <t>Rp</t>
        </is>
      </c>
      <c r="J26" s="433">
        <f>SUM(J25:J25)</f>
        <v/>
      </c>
    </row>
    <row r="27">
      <c r="A27" s="385" t="n"/>
      <c r="B27" s="422" t="inlineStr">
        <is>
          <t>TOTAL BIAYA TIDAK LANGSUNG</t>
        </is>
      </c>
      <c r="C27" s="423" t="n"/>
      <c r="D27" s="424" t="inlineStr">
        <is>
          <t>Rp</t>
        </is>
      </c>
      <c r="E27" s="438">
        <f>SUM(E22:E26)</f>
        <v/>
      </c>
      <c r="F27" s="388" t="n"/>
      <c r="G27" s="417" t="n"/>
      <c r="H27" s="418" t="n"/>
      <c r="I27" s="444" t="n"/>
      <c r="J27" s="445" t="n"/>
    </row>
    <row r="28">
      <c r="A28" s="385" t="n"/>
      <c r="B28" s="412" t="n"/>
      <c r="C28" s="405" t="n"/>
      <c r="D28" s="406" t="n"/>
      <c r="E28" s="441" t="n"/>
      <c r="F28" s="388" t="n"/>
      <c r="G28" s="422" t="inlineStr">
        <is>
          <t>TOTAL AKTIVA</t>
        </is>
      </c>
      <c r="H28" s="423" t="n"/>
      <c r="I28" s="424" t="inlineStr">
        <is>
          <t>Rp</t>
        </is>
      </c>
      <c r="J28" s="446">
        <f>J26+J22+J16</f>
        <v/>
      </c>
    </row>
    <row r="29">
      <c r="A29" s="385" t="n"/>
      <c r="B29" s="427" t="inlineStr">
        <is>
          <t>BIAYA ADMINISTRASI DAN UMUM</t>
        </is>
      </c>
      <c r="C29" s="405" t="n"/>
      <c r="D29" s="412" t="n"/>
      <c r="E29" s="428" t="n"/>
      <c r="F29" s="388" t="n"/>
      <c r="G29" s="447" t="n"/>
      <c r="H29" s="448" t="n"/>
      <c r="I29" s="447" t="n"/>
      <c r="J29" s="435" t="n"/>
    </row>
    <row r="30">
      <c r="A30" s="385" t="n"/>
      <c r="B30" s="429" t="n"/>
      <c r="C30" s="405" t="inlineStr">
        <is>
          <t>BIAYA ADMINISTRASI</t>
        </is>
      </c>
      <c r="D30" s="412" t="inlineStr">
        <is>
          <t>Rp</t>
        </is>
      </c>
      <c r="E30" s="428">
        <f>'Revenue-Cost_2027'!M44</f>
        <v/>
      </c>
      <c r="F30" s="388" t="n"/>
      <c r="G30" s="449" t="inlineStr">
        <is>
          <t>HUTANG DAN MODAL</t>
        </is>
      </c>
      <c r="H30" s="409" t="n"/>
      <c r="I30" s="449" t="n"/>
      <c r="J30" s="450" t="n"/>
    </row>
    <row r="31">
      <c r="A31" s="385" t="n"/>
      <c r="B31" s="429" t="n"/>
      <c r="C31" s="405" t="inlineStr">
        <is>
          <t>BIAYA PEMBELIAN Barang</t>
        </is>
      </c>
      <c r="D31" s="412" t="inlineStr">
        <is>
          <t>Rp</t>
        </is>
      </c>
      <c r="E31" s="428">
        <f>'Revenue-Cost_2027'!N44</f>
        <v/>
      </c>
      <c r="F31" s="388" t="n"/>
      <c r="G31" s="449" t="n"/>
      <c r="H31" s="409" t="n"/>
      <c r="I31" s="449" t="n"/>
      <c r="J31" s="450" t="n"/>
    </row>
    <row r="32">
      <c r="A32" s="385" t="n"/>
      <c r="B32" s="429" t="n"/>
      <c r="C32" s="405" t="inlineStr">
        <is>
          <t>BIAYA SEWA KANTOR</t>
        </is>
      </c>
      <c r="D32" s="412" t="inlineStr">
        <is>
          <t>Rp</t>
        </is>
      </c>
      <c r="E32" s="428">
        <f>'Revenue-Cost_2027'!O44</f>
        <v/>
      </c>
      <c r="F32" s="388" t="n"/>
      <c r="G32" s="414" t="inlineStr">
        <is>
          <t>HUTANG LANCAR</t>
        </is>
      </c>
      <c r="H32" s="415" t="n"/>
      <c r="I32" s="414" t="n"/>
      <c r="J32" s="416" t="n"/>
    </row>
    <row r="33">
      <c r="A33" s="385" t="n"/>
      <c r="B33" s="429" t="n"/>
      <c r="C33" s="405" t="inlineStr">
        <is>
          <t>BIAYA KESEHATAN</t>
        </is>
      </c>
      <c r="D33" s="412" t="inlineStr">
        <is>
          <t>Rp</t>
        </is>
      </c>
      <c r="E33" s="428">
        <f>'Revenue-Cost_2027'!P44</f>
        <v/>
      </c>
      <c r="F33" s="388" t="n"/>
      <c r="G33" s="417" t="n"/>
      <c r="H33" s="418" t="inlineStr">
        <is>
          <t>HUTANG USAHA</t>
        </is>
      </c>
      <c r="I33" s="412" t="inlineStr">
        <is>
          <t>Rp</t>
        </is>
      </c>
      <c r="J33" s="419" t="n">
        <v>0</v>
      </c>
    </row>
    <row r="34">
      <c r="A34" s="385" t="n"/>
      <c r="B34" s="429" t="n"/>
      <c r="C34" s="405" t="n"/>
      <c r="D34" s="420" t="n"/>
      <c r="E34" s="437" t="n"/>
      <c r="F34" s="388" t="n"/>
      <c r="G34" s="417" t="n"/>
      <c r="H34" s="451" t="inlineStr">
        <is>
          <t>HUTANG GAJI</t>
        </is>
      </c>
      <c r="I34" s="412" t="inlineStr">
        <is>
          <t>Rp</t>
        </is>
      </c>
      <c r="J34" s="419" t="n">
        <v>0</v>
      </c>
    </row>
    <row r="35">
      <c r="A35" s="385" t="n"/>
      <c r="B35" s="422" t="inlineStr">
        <is>
          <t>TOTAL BIAYA ADMINISTRASI DAN UMUM</t>
        </is>
      </c>
      <c r="C35" s="423" t="n"/>
      <c r="D35" s="424" t="inlineStr">
        <is>
          <t>Rp</t>
        </is>
      </c>
      <c r="E35" s="425">
        <f>SUM(E30:E34)</f>
        <v/>
      </c>
      <c r="F35" s="388" t="n"/>
      <c r="G35" s="417" t="n"/>
      <c r="H35" s="418" t="inlineStr">
        <is>
          <t>HUTANG PEMEGANG SAHAM</t>
        </is>
      </c>
      <c r="I35" s="412" t="inlineStr">
        <is>
          <t>Rp</t>
        </is>
      </c>
      <c r="J35" s="419" t="n">
        <v>0</v>
      </c>
    </row>
    <row r="36">
      <c r="A36" s="385" t="n"/>
      <c r="B36" s="429" t="n"/>
      <c r="C36" s="405" t="n"/>
      <c r="D36" s="424" t="n"/>
      <c r="E36" s="452" t="n"/>
      <c r="F36" s="388" t="n"/>
      <c r="G36" s="417" t="n"/>
      <c r="H36" s="418" t="inlineStr">
        <is>
          <t>BIAYA YANG MASIH HARUS DI BAYAR</t>
        </is>
      </c>
      <c r="I36" s="412" t="inlineStr">
        <is>
          <t>Rp</t>
        </is>
      </c>
      <c r="J36" s="419" t="n">
        <v>0</v>
      </c>
    </row>
    <row r="37">
      <c r="A37" s="385" t="n"/>
      <c r="B37" s="422" t="inlineStr">
        <is>
          <t>TOTAL BIAYA</t>
        </is>
      </c>
      <c r="C37" s="423" t="n"/>
      <c r="D37" s="424" t="inlineStr">
        <is>
          <t>Rp</t>
        </is>
      </c>
      <c r="E37" s="425">
        <f>E35+E21+E27</f>
        <v/>
      </c>
      <c r="F37" s="388" t="n"/>
      <c r="G37" s="453" t="n"/>
      <c r="H37" s="454" t="n"/>
      <c r="I37" s="453" t="n"/>
      <c r="J37" s="455" t="n"/>
    </row>
    <row r="38">
      <c r="A38" s="385" t="n"/>
      <c r="B38" s="404" t="n"/>
      <c r="C38" s="456" t="n"/>
      <c r="D38" s="406" t="n"/>
      <c r="E38" s="457" t="n"/>
      <c r="F38" s="388" t="n"/>
      <c r="G38" s="431" t="n"/>
      <c r="H38" s="432" t="inlineStr">
        <is>
          <t>TOTAL HUTANG LANCAR</t>
        </is>
      </c>
      <c r="I38" s="458" t="n"/>
      <c r="J38" s="433">
        <f>SUM(J33:J36)</f>
        <v/>
      </c>
    </row>
    <row r="39">
      <c r="A39" s="385" t="n"/>
      <c r="B39" s="427" t="inlineStr">
        <is>
          <t xml:space="preserve">PENDAPATAN/BEBAN LAIN LAIN </t>
        </is>
      </c>
      <c r="C39" s="405" t="n"/>
      <c r="D39" s="412" t="inlineStr">
        <is>
          <t>Rp</t>
        </is>
      </c>
      <c r="E39" s="459" t="n"/>
      <c r="F39" s="388" t="n"/>
      <c r="G39" s="417" t="n"/>
      <c r="H39" s="436" t="n"/>
      <c r="I39" s="460" t="n"/>
      <c r="J39" s="411" t="n"/>
    </row>
    <row r="40">
      <c r="A40" s="385" t="n"/>
      <c r="B40" s="427" t="n"/>
      <c r="C40" s="405" t="inlineStr">
        <is>
          <t>PENDAPATAN LAINNYA</t>
        </is>
      </c>
      <c r="D40" s="412" t="inlineStr">
        <is>
          <t>Rp</t>
        </is>
      </c>
      <c r="E40" s="413" t="n">
        <v>0</v>
      </c>
      <c r="F40" s="388" t="n"/>
      <c r="G40" s="414" t="inlineStr">
        <is>
          <t>MODAL</t>
        </is>
      </c>
      <c r="H40" s="415" t="n"/>
      <c r="I40" s="414" t="n"/>
      <c r="J40" s="416" t="n"/>
    </row>
    <row r="41">
      <c r="A41" s="385" t="n"/>
      <c r="B41" s="427" t="n"/>
      <c r="C41" s="405" t="n"/>
      <c r="D41" s="420" t="n"/>
      <c r="E41" s="461" t="n"/>
      <c r="F41" s="388" t="n"/>
      <c r="G41" s="417" t="n"/>
      <c r="H41" s="418" t="inlineStr">
        <is>
          <t>MODAL SAHAM</t>
        </is>
      </c>
      <c r="I41" s="412" t="inlineStr">
        <is>
          <t>Rp</t>
        </is>
      </c>
      <c r="J41" s="419" t="n">
        <v>0</v>
      </c>
    </row>
    <row r="42">
      <c r="A42" s="385" t="n"/>
      <c r="B42" s="422" t="inlineStr">
        <is>
          <t>LABA RUGI SEBELUM PAJAK</t>
        </is>
      </c>
      <c r="C42" s="423" t="n"/>
      <c r="D42" s="424" t="inlineStr">
        <is>
          <t>Rp</t>
        </is>
      </c>
      <c r="E42" s="425">
        <f>E12-E37</f>
        <v/>
      </c>
      <c r="F42" s="388" t="n"/>
      <c r="G42" s="417" t="n"/>
      <c r="H42" s="418" t="inlineStr">
        <is>
          <t>LABA DI TAHAN</t>
        </is>
      </c>
      <c r="I42" s="412" t="inlineStr">
        <is>
          <t>Rp</t>
        </is>
      </c>
      <c r="J42" s="419" t="n">
        <v>0</v>
      </c>
    </row>
    <row r="43">
      <c r="A43" s="385" t="n"/>
      <c r="B43" s="462" t="n"/>
      <c r="C43" s="456" t="n"/>
      <c r="D43" s="406" t="n"/>
      <c r="E43" s="426" t="n"/>
      <c r="F43" s="388" t="n"/>
      <c r="G43" s="414" t="n"/>
      <c r="H43" s="418" t="inlineStr">
        <is>
          <t>TOTAL LABA (RUGI) DITAHAN</t>
        </is>
      </c>
      <c r="I43" s="420" t="inlineStr">
        <is>
          <t>Rp</t>
        </is>
      </c>
      <c r="J43" s="443">
        <f>J28-J38-J41-J42</f>
        <v/>
      </c>
    </row>
    <row r="44">
      <c r="A44" s="385" t="n"/>
      <c r="B44" s="427" t="inlineStr">
        <is>
          <t>CORPORATE TAX (PPh 29)</t>
        </is>
      </c>
      <c r="D44" s="412" t="inlineStr">
        <is>
          <t>Rp</t>
        </is>
      </c>
      <c r="E44" s="413" t="n">
        <v>0</v>
      </c>
      <c r="F44" s="388" t="n"/>
      <c r="G44" s="431" t="n"/>
      <c r="H44" s="432" t="inlineStr">
        <is>
          <t>TOTAL MODAL</t>
        </is>
      </c>
      <c r="I44" s="424" t="inlineStr">
        <is>
          <t>Rp</t>
        </is>
      </c>
      <c r="J44" s="433">
        <f>SUM(J41:J43)</f>
        <v/>
      </c>
    </row>
    <row r="45">
      <c r="A45" s="385" t="n"/>
      <c r="B45" s="427" t="n"/>
      <c r="C45" s="405" t="n"/>
      <c r="D45" s="420" t="n"/>
      <c r="E45" s="461" t="n"/>
      <c r="F45" s="388" t="n"/>
      <c r="G45" s="417" t="n"/>
      <c r="H45" s="418" t="n"/>
      <c r="I45" s="444" t="n"/>
      <c r="J45" s="445" t="n"/>
    </row>
    <row r="46" ht="15" customHeight="1" s="297">
      <c r="A46" s="385" t="n"/>
      <c r="B46" s="463" t="inlineStr">
        <is>
          <t>LABA / RUGI BERSIH</t>
        </is>
      </c>
      <c r="C46" s="303" t="n"/>
      <c r="D46" s="464" t="n"/>
      <c r="E46" s="465">
        <f>E42-E44</f>
        <v/>
      </c>
      <c r="F46" s="388" t="n"/>
      <c r="G46" s="466" t="inlineStr">
        <is>
          <t>TOTAL HUTANG DAN MODAL</t>
        </is>
      </c>
      <c r="H46" s="467" t="n"/>
      <c r="I46" s="464" t="inlineStr">
        <is>
          <t>Rp</t>
        </is>
      </c>
      <c r="J46" s="468">
        <f>J44+J38</f>
        <v/>
      </c>
    </row>
    <row r="47" ht="4.5" customHeight="1" s="297">
      <c r="A47" s="385" t="n"/>
      <c r="F47" s="388" t="n"/>
    </row>
    <row r="48" ht="50.65" customHeight="1" s="297">
      <c r="A48" s="385" t="n"/>
      <c r="F48" s="388" t="n"/>
      <c r="G48" s="469" t="n"/>
    </row>
    <row r="49" ht="16.75" customHeight="1" s="297">
      <c r="A49" s="385" t="n"/>
      <c r="B49" s="470" t="n"/>
      <c r="F49" s="388" t="n"/>
      <c r="G49" s="470" t="n"/>
    </row>
    <row r="50" ht="15.65" customHeight="1" s="297">
      <c r="A50" s="405" t="n"/>
      <c r="B50" s="471" t="inlineStr">
        <is>
          <t>Direktur</t>
        </is>
      </c>
      <c r="F50" s="388" t="n"/>
      <c r="G50" s="471" t="inlineStr">
        <is>
          <t>Direktur</t>
        </is>
      </c>
    </row>
    <row r="51">
      <c r="A51" s="405" t="n"/>
      <c r="F51" s="388" t="n"/>
    </row>
    <row r="52">
      <c r="A52" s="405" t="n"/>
      <c r="F52" s="388" t="n"/>
      <c r="J52" s="47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5" t="n"/>
      <c r="B1" s="385" t="n"/>
      <c r="C1" s="385" t="n"/>
      <c r="D1" s="385" t="n"/>
      <c r="E1" s="386" t="n"/>
    </row>
    <row r="2" ht="37.25" customHeight="1" s="297">
      <c r="A2" s="385" t="n"/>
      <c r="B2" s="385" t="n"/>
      <c r="C2" s="385" t="n"/>
      <c r="D2" s="385" t="n"/>
      <c r="E2" s="386" t="n"/>
    </row>
    <row r="3" ht="33.65" customHeight="1" s="297">
      <c r="A3" s="385" t="n"/>
      <c r="B3" s="387" t="inlineStr">
        <is>
          <t>PT. EXSPAN WIRELINE INDONESIA</t>
        </is>
      </c>
      <c r="F3" s="388" t="n"/>
    </row>
    <row r="4" ht="20.5" customHeight="1" s="297">
      <c r="A4" s="385" t="n"/>
      <c r="B4" s="390" t="inlineStr">
        <is>
          <t>BUSINESS SUMMARY | TAHUN 2027</t>
        </is>
      </c>
      <c r="F4" s="388" t="n"/>
    </row>
    <row r="5" ht="6" customHeight="1" s="297">
      <c r="A5" s="385" t="n"/>
      <c r="B5" s="385" t="n"/>
      <c r="C5" s="385" t="n"/>
      <c r="D5" s="385" t="n"/>
      <c r="E5" s="386" t="n"/>
      <c r="F5" s="388" t="n"/>
    </row>
    <row r="6" ht="19" customHeight="1" s="297">
      <c r="A6" s="385" t="n"/>
      <c r="B6" s="473" t="inlineStr">
        <is>
          <t>#</t>
        </is>
      </c>
      <c r="C6" s="473" t="inlineStr">
        <is>
          <t>Items</t>
        </is>
      </c>
      <c r="D6" s="474" t="inlineStr">
        <is>
          <t>Amount</t>
        </is>
      </c>
      <c r="E6" s="279" t="n"/>
      <c r="F6" s="388" t="n"/>
    </row>
    <row r="7" ht="19" customHeight="1" s="297">
      <c r="A7" s="385" t="n"/>
      <c r="B7" s="475" t="n">
        <v>1</v>
      </c>
      <c r="C7" s="476" t="inlineStr">
        <is>
          <t>Revenue</t>
        </is>
      </c>
      <c r="D7" s="477" t="inlineStr">
        <is>
          <t>Rp</t>
        </is>
      </c>
      <c r="E7" s="478">
        <f>SUM('Revenue-Cost_2027'!L8:'Revenue-Cost_2027'!L22)</f>
        <v/>
      </c>
      <c r="F7" s="388" t="n"/>
    </row>
    <row r="8" ht="19" customHeight="1" s="297">
      <c r="A8" s="385" t="n"/>
      <c r="B8" s="475" t="n">
        <v>2</v>
      </c>
      <c r="C8" s="476" t="inlineStr">
        <is>
          <t>Revenue Diterima (Setelah Pajak)</t>
        </is>
      </c>
      <c r="D8" s="477" t="inlineStr">
        <is>
          <t>Rp</t>
        </is>
      </c>
      <c r="E8" s="478">
        <f>E7-SUM('Revenue-Cost_2027'!N8:'Revenue-Cost_2027'!N22)</f>
        <v/>
      </c>
      <c r="F8" s="388" t="n"/>
    </row>
    <row r="9" ht="19" customHeight="1" s="297">
      <c r="A9" s="385" t="n"/>
      <c r="B9" s="475" t="n">
        <v>3</v>
      </c>
      <c r="C9" s="476" t="inlineStr">
        <is>
          <t>Biaya</t>
        </is>
      </c>
      <c r="D9" s="477" t="inlineStr">
        <is>
          <t>Rp</t>
        </is>
      </c>
      <c r="E9" s="478">
        <f>SUM('Revenue-Cost_2027'!I44:Q44)</f>
        <v/>
      </c>
      <c r="F9" s="388" t="n"/>
    </row>
    <row r="10" ht="19" customHeight="1" s="297">
      <c r="A10" s="385" t="n"/>
      <c r="B10" s="475" t="n">
        <v>4</v>
      </c>
      <c r="C10" s="476" t="inlineStr">
        <is>
          <t>Profit SebelumTax</t>
        </is>
      </c>
      <c r="D10" s="477" t="inlineStr">
        <is>
          <t>Rp</t>
        </is>
      </c>
      <c r="E10" s="478">
        <f>E7-E9</f>
        <v/>
      </c>
      <c r="F10" s="388" t="n"/>
    </row>
    <row r="11" ht="19" customHeight="1" s="297">
      <c r="A11" s="385" t="n"/>
      <c r="B11" s="475" t="n">
        <v>5</v>
      </c>
      <c r="C11" s="476" t="inlineStr">
        <is>
          <t>PPh Badan (22%*50%)</t>
        </is>
      </c>
      <c r="D11" s="477" t="inlineStr">
        <is>
          <t>Rp</t>
        </is>
      </c>
      <c r="E11" s="478">
        <f>E10*22%*50%</f>
        <v/>
      </c>
      <c r="F11" s="388" t="n"/>
    </row>
    <row r="12" ht="19" customHeight="1" s="297">
      <c r="A12" s="385" t="n"/>
      <c r="B12" s="475" t="n">
        <v>6</v>
      </c>
      <c r="C12" s="476" t="inlineStr">
        <is>
          <t>PPh 23 Dipotong oleh client</t>
        </is>
      </c>
      <c r="D12" s="477" t="inlineStr">
        <is>
          <t>Rp</t>
        </is>
      </c>
      <c r="E12" s="478">
        <f>SUM('Revenue-Cost_2027'!N8:'Revenue-Cost_2027'!N22)</f>
        <v/>
      </c>
      <c r="F12" s="388" t="n"/>
    </row>
    <row r="13" ht="19" customHeight="1" s="297">
      <c r="A13" s="385" t="n"/>
      <c r="B13" s="475" t="n">
        <v>7</v>
      </c>
      <c r="C13" s="476" t="inlineStr">
        <is>
          <t>Kekurangan Bayar PPh Badan</t>
        </is>
      </c>
      <c r="D13" s="477" t="inlineStr">
        <is>
          <t>Rp</t>
        </is>
      </c>
      <c r="E13" s="479">
        <f>E11-E12</f>
        <v/>
      </c>
      <c r="F13" s="388" t="n"/>
    </row>
    <row r="14" ht="19" customHeight="1" s="297">
      <c r="A14" s="385" t="n"/>
      <c r="B14" s="475" t="n">
        <v>8</v>
      </c>
      <c r="C14" s="476" t="inlineStr">
        <is>
          <t>Profit After Tax</t>
        </is>
      </c>
      <c r="D14" s="477" t="inlineStr">
        <is>
          <t>Rp</t>
        </is>
      </c>
      <c r="E14" s="478">
        <f>E10-E13</f>
        <v/>
      </c>
      <c r="F14" s="388" t="n"/>
    </row>
    <row r="15" ht="19" customHeight="1" s="297">
      <c r="A15" s="385" t="n"/>
      <c r="B15" s="475" t="n">
        <v>9</v>
      </c>
      <c r="C15" s="476" t="inlineStr">
        <is>
          <t>Deviden Dibagi</t>
        </is>
      </c>
      <c r="D15" s="477" t="inlineStr">
        <is>
          <t>Rp</t>
        </is>
      </c>
      <c r="E15" s="478">
        <f>E14-E16</f>
        <v/>
      </c>
      <c r="F15" s="388" t="n"/>
    </row>
    <row r="16" ht="19" customHeight="1" s="297">
      <c r="A16" s="385" t="n"/>
      <c r="B16" s="475" t="n">
        <v>10</v>
      </c>
      <c r="C16" s="476" t="inlineStr">
        <is>
          <t>Profit Ditahan</t>
        </is>
      </c>
      <c r="D16" s="477" t="inlineStr">
        <is>
          <t>Rp</t>
        </is>
      </c>
      <c r="E16" s="478" t="n">
        <v>0</v>
      </c>
      <c r="F16" s="388" t="n"/>
    </row>
    <row r="17">
      <c r="A17" s="385" t="n"/>
      <c r="B17" s="385" t="n"/>
      <c r="C17" s="385" t="n"/>
      <c r="D17" s="385" t="n"/>
      <c r="E17" s="386" t="n"/>
      <c r="F17" s="388" t="n"/>
    </row>
    <row r="18" ht="18" customHeight="1" s="297">
      <c r="A18" s="385" t="n"/>
      <c r="B18" s="480" t="inlineStr">
        <is>
          <t>DEVIDEN</t>
        </is>
      </c>
      <c r="F18" s="388" t="n"/>
    </row>
    <row r="19" ht="19" customHeight="1" s="297">
      <c r="A19" s="385" t="n"/>
      <c r="B19" s="481" t="inlineStr">
        <is>
          <t>#</t>
        </is>
      </c>
      <c r="C19" s="481" t="inlineStr">
        <is>
          <t>Nama Lengkap</t>
        </is>
      </c>
      <c r="D19" s="481" t="inlineStr"/>
      <c r="E19" s="482" t="inlineStr">
        <is>
          <t>Amount</t>
        </is>
      </c>
      <c r="F19" s="388" t="inlineStr"/>
      <c r="G19" s="483" t="inlineStr">
        <is>
          <t>Pajak</t>
        </is>
      </c>
    </row>
    <row r="20" ht="19" customHeight="1" s="297">
      <c r="A20" s="385" t="n"/>
      <c r="B20" s="271" t="n"/>
      <c r="C20" s="272" t="n"/>
      <c r="D20" s="476" t="n"/>
      <c r="E20" s="484" t="n"/>
      <c r="F20" s="388" t="n"/>
      <c r="G20" s="485" t="n"/>
    </row>
    <row r="21" ht="48.75" customHeight="1" s="297">
      <c r="A21" s="405" t="n"/>
      <c r="F21" s="388" t="n"/>
    </row>
    <row r="22">
      <c r="A22" s="405" t="n"/>
      <c r="F22" s="38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2026-03-31T19:51:44Z</dcterms:modified>
  <cp:lastModifiedBy>Diofavian - Student</cp:lastModifiedBy>
</cp:coreProperties>
</file>