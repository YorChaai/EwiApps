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pivotButton="0" quotePrefix="0" xfId="0"/>
    <xf numFmtId="165" fontId="10" fillId="11" borderId="15" pivotButton="0" quotePrefix="0" xfId="0"/>
    <xf numFmtId="3" fontId="1" fillId="11" borderId="15" pivotButton="0" quotePrefix="0" xfId="0"/>
    <xf numFmtId="3" fontId="10" fillId="11" borderId="15" applyAlignment="1" pivotButton="0" quotePrefix="0" xfId="0">
      <alignment vertical="top"/>
    </xf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26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0" fillId="0" borderId="24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0" fillId="0" borderId="22" applyAlignment="1" pivotButton="0" quotePrefix="0" xfId="0">
      <alignment horizontal="left" vertical="center"/>
    </xf>
    <xf numFmtId="3" fontId="40" fillId="0" borderId="24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26" fillId="0" borderId="25" applyAlignment="1" pivotButton="0" quotePrefix="0" xfId="0">
      <alignment horizontal="left" vertical="center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3" fontId="40" fillId="0" borderId="28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26" fillId="0" borderId="29" applyAlignment="1" pivotButton="0" quotePrefix="0" xfId="0">
      <alignment horizontal="left" vertical="center"/>
    </xf>
    <xf numFmtId="0" fontId="40" fillId="0" borderId="30" applyAlignment="1" pivotButton="0" quotePrefix="0" xfId="0">
      <alignment horizontal="left" vertical="center"/>
    </xf>
    <xf numFmtId="0" fontId="40" fillId="0" borderId="31" applyAlignment="1" pivotButton="0" quotePrefix="0" xfId="0">
      <alignment horizontal="left" vertical="center"/>
    </xf>
    <xf numFmtId="3" fontId="40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1" fillId="6" borderId="0" pivotButton="0" quotePrefix="0" xfId="0"/>
    <xf numFmtId="0" fontId="41" fillId="6" borderId="15" applyAlignment="1" pivotButton="0" quotePrefix="0" xfId="0">
      <alignment horizontal="center" vertical="center"/>
    </xf>
    <xf numFmtId="0" fontId="41" fillId="6" borderId="33" applyAlignment="1" pivotButton="0" quotePrefix="0" xfId="0">
      <alignment horizontal="center" vertical="center"/>
    </xf>
    <xf numFmtId="165" fontId="41" fillId="6" borderId="34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5" t="n"/>
      <c r="L9" s="256">
        <f>SUM(L8:L8)</f>
        <v/>
      </c>
      <c r="M9" s="257">
        <f>SUM(M8:M8)</f>
        <v/>
      </c>
      <c r="N9" s="257">
        <f>SUM(N8:N8)</f>
        <v/>
      </c>
      <c r="O9" s="258">
        <f>SUM(O8:O8)</f>
        <v/>
      </c>
      <c r="P9" s="18" t="n"/>
      <c r="Q9" s="22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Biaya Sewa Peralatan</t>
        </is>
      </c>
      <c r="M40" s="276" t="inlineStr">
        <is>
          <t>Biaya Interpretasi Log Data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>
        <v>220000</v>
      </c>
      <c r="L42" s="280" t="n"/>
      <c r="M42" s="280" t="n"/>
      <c r="N42" s="280" t="n"/>
      <c r="O42" s="280" t="n"/>
      <c r="P42" s="280" t="n"/>
      <c r="Q42" s="280" t="n"/>
      <c r="R42" s="285" t="n"/>
      <c r="S42" s="285" t="n"/>
      <c r="T42" s="285" t="n"/>
      <c r="U42" s="285" t="n"/>
      <c r="V42" s="285" t="n"/>
      <c r="W42" s="285" t="n"/>
      <c r="X42" s="285" t="n"/>
      <c r="Y42" s="285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1" t="n"/>
      <c r="L44" s="280" t="n"/>
      <c r="M44" s="280" t="n"/>
      <c r="N44" s="280" t="n"/>
      <c r="O44" s="280" t="n"/>
      <c r="P44" s="280" t="n"/>
      <c r="Q44" s="280" t="n"/>
      <c r="R44" s="285" t="n"/>
      <c r="S44" s="292" t="n">
        <v>234234</v>
      </c>
      <c r="T44" s="285" t="n"/>
      <c r="U44" s="285" t="n"/>
      <c r="V44" s="285" t="n"/>
      <c r="W44" s="285" t="n"/>
      <c r="X44" s="285" t="n"/>
      <c r="Y44" s="285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93" t="n">
        <v>98098000</v>
      </c>
      <c r="K46" s="291" t="n"/>
      <c r="L46" s="280" t="n"/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  <c r="Y46" s="285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>
        <v>14664</v>
      </c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  <c r="Y48" s="285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>
        <v>234234</v>
      </c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315" t="n"/>
      <c r="S52" s="315" t="n"/>
      <c r="T52" s="315" t="n"/>
      <c r="U52" s="315" t="n"/>
      <c r="V52" s="315" t="n"/>
      <c r="W52" s="315" t="n"/>
      <c r="X52" s="315" t="n"/>
      <c r="Y52" s="31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  <c r="Y53" s="292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6" t="n"/>
      <c r="M54" s="279" t="n"/>
      <c r="N54" s="279" t="n"/>
      <c r="O54" s="279" t="n"/>
      <c r="P54" s="279" t="n"/>
      <c r="Q54" s="279" t="n"/>
      <c r="R54" s="315" t="n"/>
      <c r="S54" s="315" t="n"/>
      <c r="T54" s="315" t="n"/>
      <c r="U54" s="315" t="n"/>
      <c r="V54" s="315" t="n"/>
      <c r="W54" s="315" t="n"/>
      <c r="X54" s="315" t="n"/>
      <c r="Y54" s="31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93" t="n">
        <v>123123</v>
      </c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7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6" t="n"/>
      <c r="R56" s="315" t="n"/>
      <c r="S56" s="315" t="n"/>
      <c r="T56" s="315" t="n"/>
      <c r="U56" s="315" t="n"/>
      <c r="V56" s="315" t="n"/>
      <c r="W56" s="315" t="n"/>
      <c r="X56" s="315" t="n"/>
      <c r="Y56" s="31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>
        <v>30000</v>
      </c>
      <c r="L57" s="280" t="n"/>
      <c r="M57" s="280" t="n"/>
      <c r="N57" s="280" t="n"/>
      <c r="O57" s="280" t="n"/>
      <c r="P57" s="280" t="n"/>
      <c r="Q57" s="280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6" t="n"/>
      <c r="O59" s="279" t="n"/>
      <c r="P59" s="279" t="n"/>
      <c r="Q59" s="279" t="n"/>
      <c r="R59" s="315" t="n"/>
      <c r="S59" s="315" t="n"/>
      <c r="T59" s="315" t="n"/>
      <c r="U59" s="315" t="n"/>
      <c r="V59" s="315" t="n"/>
      <c r="W59" s="315" t="n"/>
      <c r="X59" s="315" t="n"/>
      <c r="Y59" s="31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80" t="n"/>
      <c r="R60" s="285" t="n"/>
      <c r="S60" s="285" t="n"/>
      <c r="T60" s="285" t="n"/>
      <c r="U60" s="285" t="n"/>
      <c r="V60" s="285" t="n"/>
      <c r="W60" s="285" t="n"/>
      <c r="X60" s="285" t="n"/>
      <c r="Y60" s="292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8" t="n"/>
      <c r="H61" s="282" t="n"/>
      <c r="I61" s="283" t="n"/>
      <c r="J61" s="284" t="n"/>
      <c r="K61" s="319" t="n"/>
      <c r="L61" s="279" t="n"/>
      <c r="M61" s="279" t="n"/>
      <c r="N61" s="279" t="n"/>
      <c r="O61" s="279" t="n"/>
      <c r="P61" s="279" t="n"/>
      <c r="Q61" s="279" t="n"/>
      <c r="R61" s="315" t="n"/>
      <c r="S61" s="315" t="n"/>
      <c r="T61" s="315" t="n"/>
      <c r="U61" s="315" t="n"/>
      <c r="V61" s="315" t="n"/>
      <c r="W61" s="315" t="n"/>
      <c r="X61" s="315" t="n"/>
      <c r="Y61" s="31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93" t="n">
        <v>234324324</v>
      </c>
      <c r="K62" s="291" t="n"/>
      <c r="L62" s="280" t="n"/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7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315" t="n"/>
      <c r="S63" s="315" t="n"/>
      <c r="T63" s="315" t="n"/>
      <c r="U63" s="315" t="n"/>
      <c r="V63" s="315" t="n"/>
      <c r="W63" s="315" t="n"/>
      <c r="X63" s="315" t="n"/>
      <c r="Y63" s="31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289" t="n"/>
      <c r="K64" s="291" t="n"/>
      <c r="L64" s="290" t="n">
        <v>57776</v>
      </c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6" t="n"/>
      <c r="O66" s="279" t="n"/>
      <c r="P66" s="279" t="n"/>
      <c r="Q66" s="279" t="n"/>
      <c r="R66" s="315" t="n"/>
      <c r="S66" s="315" t="n"/>
      <c r="T66" s="315" t="n"/>
      <c r="U66" s="315" t="n"/>
      <c r="V66" s="315" t="n"/>
      <c r="W66" s="315" t="n"/>
      <c r="X66" s="315" t="n"/>
      <c r="Y66" s="31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93" t="n">
        <v>281106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  <c r="Y67" s="285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315" t="n"/>
      <c r="S68" s="315" t="n"/>
      <c r="T68" s="315" t="n"/>
      <c r="U68" s="315" t="n"/>
      <c r="V68" s="315" t="n"/>
      <c r="W68" s="315" t="n"/>
      <c r="X68" s="315" t="n"/>
      <c r="Y68" s="31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93" t="n">
        <v>146664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7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315" t="n"/>
      <c r="S70" s="315" t="n"/>
      <c r="T70" s="315" t="n"/>
      <c r="U70" s="315" t="n"/>
      <c r="V70" s="315" t="n"/>
      <c r="W70" s="315" t="n"/>
      <c r="X70" s="315" t="n"/>
      <c r="Y70" s="31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93" t="n">
        <v>2888262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7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315" t="n"/>
      <c r="S72" s="315" t="n"/>
      <c r="T72" s="315" t="n"/>
      <c r="U72" s="315" t="n"/>
      <c r="V72" s="315" t="n"/>
      <c r="W72" s="315" t="n"/>
      <c r="X72" s="315" t="n"/>
      <c r="Y72" s="31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93" t="n">
        <v>28104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315" t="n"/>
      <c r="S75" s="315" t="n"/>
      <c r="T75" s="315" t="n"/>
      <c r="U75" s="315" t="n"/>
      <c r="V75" s="315" t="n"/>
      <c r="W75" s="315" t="n"/>
      <c r="X75" s="315" t="n"/>
      <c r="Y75" s="31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93" t="n">
        <v>123123</v>
      </c>
      <c r="K76" s="291" t="n"/>
      <c r="L76" s="280" t="n"/>
      <c r="M76" s="280" t="n"/>
      <c r="N76" s="280" t="n"/>
      <c r="O76" s="280" t="n"/>
      <c r="P76" s="280" t="n"/>
      <c r="Q76" s="280" t="n"/>
      <c r="R76" s="285" t="n"/>
      <c r="S76" s="285" t="n"/>
      <c r="T76" s="285" t="n"/>
      <c r="U76" s="285" t="n"/>
      <c r="V76" s="285" t="n"/>
      <c r="W76" s="285" t="n"/>
      <c r="X76" s="285" t="n"/>
      <c r="Y76" s="285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8" t="n"/>
      <c r="H77" s="282" t="n"/>
      <c r="I77" s="283" t="n"/>
      <c r="J77" s="279" t="n"/>
      <c r="K77" s="319" t="n"/>
      <c r="L77" s="279" t="n"/>
      <c r="M77" s="279" t="n"/>
      <c r="N77" s="279" t="n"/>
      <c r="O77" s="279" t="n"/>
      <c r="P77" s="279" t="n"/>
      <c r="Q77" s="279" t="n"/>
      <c r="R77" s="315" t="n"/>
      <c r="S77" s="315" t="n"/>
      <c r="T77" s="315" t="n"/>
      <c r="U77" s="315" t="n"/>
      <c r="V77" s="315" t="n"/>
      <c r="W77" s="315" t="n"/>
      <c r="X77" s="315" t="n"/>
      <c r="Y77" s="31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93" t="n">
        <v>234324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6" t="n"/>
      <c r="R79" s="315" t="n"/>
      <c r="S79" s="315" t="n"/>
      <c r="T79" s="315" t="n"/>
      <c r="U79" s="315" t="n"/>
      <c r="V79" s="315" t="n"/>
      <c r="W79" s="315" t="n"/>
      <c r="X79" s="315" t="n"/>
      <c r="Y79" s="31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93" t="n">
        <v>134772</v>
      </c>
      <c r="K80" s="291" t="n"/>
      <c r="L80" s="280" t="n"/>
      <c r="M80" s="280" t="n"/>
      <c r="N80" s="280" t="n"/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6" t="n"/>
      <c r="M82" s="279" t="n"/>
      <c r="N82" s="279" t="n"/>
      <c r="O82" s="279" t="n"/>
      <c r="P82" s="279" t="n"/>
      <c r="Q82" s="279" t="n"/>
      <c r="R82" s="315" t="n"/>
      <c r="S82" s="315" t="n"/>
      <c r="T82" s="315" t="n"/>
      <c r="U82" s="315" t="n"/>
      <c r="V82" s="315" t="n"/>
      <c r="W82" s="315" t="n"/>
      <c r="X82" s="315" t="n"/>
      <c r="Y82" s="31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93" t="n">
        <v>123123</v>
      </c>
      <c r="K83" s="291" t="n"/>
      <c r="L83" s="280" t="n"/>
      <c r="M83" s="280" t="n"/>
      <c r="N83" s="280" t="n"/>
      <c r="O83" s="280" t="n"/>
      <c r="P83" s="280" t="n"/>
      <c r="Q83" s="280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336504925</v>
      </c>
      <c r="K84" s="327" t="n">
        <v>498898</v>
      </c>
      <c r="L84" s="327" t="n">
        <v>57776</v>
      </c>
      <c r="M84" s="327" t="n">
        <v>0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348" t="inlineStr">
        <is>
          <t>PENDAPATAN</t>
        </is>
      </c>
      <c r="C8" s="349" t="n"/>
      <c r="D8" s="350" t="n"/>
      <c r="E8" s="351" t="n"/>
      <c r="F8" s="332" t="n"/>
      <c r="G8" s="352" t="inlineStr">
        <is>
          <t>AKTIVA</t>
        </is>
      </c>
      <c r="H8" s="353" t="n"/>
      <c r="I8" s="354" t="n"/>
      <c r="J8" s="355" t="n"/>
    </row>
    <row r="9" ht="15" customHeight="1">
      <c r="A9" s="347" t="n"/>
      <c r="B9" s="356" t="n"/>
      <c r="C9" s="349" t="inlineStr">
        <is>
          <t xml:space="preserve">    PENDAPATAN LANGSUNG</t>
        </is>
      </c>
      <c r="D9" s="350" t="inlineStr">
        <is>
          <t>Rp</t>
        </is>
      </c>
      <c r="E9" s="357" t="n">
        <v>0</v>
      </c>
      <c r="F9" s="332" t="n"/>
      <c r="G9" s="358" t="inlineStr">
        <is>
          <t>AKTIVA LANCAR</t>
        </is>
      </c>
      <c r="H9" s="359" t="n"/>
      <c r="I9" s="358" t="n"/>
      <c r="J9" s="360" t="n"/>
    </row>
    <row r="10" ht="15" customHeight="1">
      <c r="A10" s="347" t="n"/>
      <c r="B10" s="356" t="n"/>
      <c r="C10" s="349" t="inlineStr">
        <is>
          <t xml:space="preserve">    PENDAPATAN LAIN LAIN</t>
        </is>
      </c>
      <c r="D10" s="350" t="inlineStr">
        <is>
          <t>Rp</t>
        </is>
      </c>
      <c r="E10" s="357" t="n">
        <v>0</v>
      </c>
      <c r="F10" s="332" t="n"/>
      <c r="G10" s="361" t="n"/>
      <c r="H10" s="362" t="inlineStr">
        <is>
          <t>KAS DAN SETARA KAS TAHUN SEBELUMNYA</t>
        </is>
      </c>
      <c r="I10" s="363" t="inlineStr">
        <is>
          <t>Rp</t>
        </is>
      </c>
      <c r="J10" s="364" t="n">
        <v>0</v>
      </c>
    </row>
    <row r="11" ht="15" customHeight="1">
      <c r="A11" s="347" t="n"/>
      <c r="B11" s="356" t="n"/>
      <c r="C11" s="349" t="n"/>
      <c r="D11" s="350" t="n"/>
      <c r="E11" s="351" t="n"/>
      <c r="F11" s="332" t="n"/>
      <c r="G11" s="361" t="n"/>
      <c r="H11" s="362" t="inlineStr">
        <is>
          <t>KAS DAN SETARA KAS TAHUN LAPORAN</t>
        </is>
      </c>
      <c r="I11" s="363" t="inlineStr">
        <is>
          <t>Rp</t>
        </is>
      </c>
      <c r="J11" s="364">
        <f>E50-'Business Summary'!E13</f>
        <v/>
      </c>
    </row>
    <row r="12" ht="15" customHeight="1">
      <c r="A12" s="347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2" t="n"/>
      <c r="G12" s="361" t="n"/>
      <c r="H12" s="362" t="inlineStr">
        <is>
          <t>PIUTANG USAHA</t>
        </is>
      </c>
      <c r="I12" s="363" t="inlineStr">
        <is>
          <t>Rp</t>
        </is>
      </c>
      <c r="J12" s="364" t="n">
        <v>0</v>
      </c>
    </row>
    <row r="13" ht="15" customHeight="1">
      <c r="A13" s="347" t="n"/>
      <c r="B13" s="356" t="n"/>
      <c r="C13" s="349" t="n"/>
      <c r="D13" s="350" t="n"/>
      <c r="E13" s="351" t="n"/>
      <c r="F13" s="332" t="n"/>
      <c r="G13" s="361" t="n"/>
      <c r="H13" s="362" t="inlineStr">
        <is>
          <t>PAJAK BAYAR DI MUKA (pph23)</t>
        </is>
      </c>
      <c r="I13" s="363" t="inlineStr">
        <is>
          <t>Rp</t>
        </is>
      </c>
      <c r="J13" s="364" t="n">
        <v>0</v>
      </c>
    </row>
    <row r="14" ht="15" customHeight="1">
      <c r="A14" s="347" t="n"/>
      <c r="B14" s="348" t="inlineStr">
        <is>
          <t>BEBAN LANGSUNG</t>
        </is>
      </c>
      <c r="C14" s="349" t="n"/>
      <c r="D14" s="350" t="n"/>
      <c r="E14" s="351" t="n"/>
      <c r="F14" s="332" t="n"/>
      <c r="G14" s="361" t="n"/>
      <c r="H14" s="362" t="inlineStr">
        <is>
          <t>BIAYA BAYAR DI MUKA</t>
        </is>
      </c>
      <c r="I14" s="363" t="inlineStr">
        <is>
          <t>Rp</t>
        </is>
      </c>
      <c r="J14" s="364" t="n">
        <v>0</v>
      </c>
    </row>
    <row r="15" ht="15" customHeight="1">
      <c r="A15" s="347" t="n"/>
      <c r="B15" s="356" t="n"/>
      <c r="C15" s="349" t="inlineStr">
        <is>
          <t xml:space="preserve">    BIAYA RESEARCH (R&amp;D)</t>
        </is>
      </c>
      <c r="D15" s="350" t="inlineStr">
        <is>
          <t>Rp</t>
        </is>
      </c>
      <c r="E15" s="357">
        <f>'Revenue-Cost_2030'!I84</f>
        <v/>
      </c>
      <c r="F15" s="332" t="n"/>
      <c r="G15" s="369" t="n"/>
      <c r="H15" s="362" t="inlineStr">
        <is>
          <t>PIUTANG LAIN LAIN</t>
        </is>
      </c>
      <c r="I15" s="363" t="inlineStr">
        <is>
          <t>Rp</t>
        </is>
      </c>
      <c r="J15" s="364" t="n">
        <v>0</v>
      </c>
    </row>
    <row r="16" ht="15" customHeight="1">
      <c r="A16" s="347" t="n"/>
      <c r="B16" s="356" t="n"/>
      <c r="C16" s="349" t="inlineStr">
        <is>
          <t xml:space="preserve">    BIAYA OPERASI</t>
        </is>
      </c>
      <c r="D16" s="350" t="inlineStr">
        <is>
          <t>Rp</t>
        </is>
      </c>
      <c r="E16" s="357">
        <f>'Revenue-Cost_2030'!J84</f>
        <v/>
      </c>
      <c r="F16" s="332" t="n"/>
      <c r="G16" s="370" t="n"/>
      <c r="H16" s="371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47" t="n"/>
      <c r="B17" s="356" t="n"/>
      <c r="C17" s="349" t="inlineStr">
        <is>
          <t xml:space="preserve">    BIAYA SEWA PERALATAN</t>
        </is>
      </c>
      <c r="D17" s="350" t="inlineStr">
        <is>
          <t>Rp</t>
        </is>
      </c>
      <c r="E17" s="357">
        <f>'Revenue-Cost_2030'!L84</f>
        <v/>
      </c>
      <c r="F17" s="332" t="n"/>
      <c r="G17" s="361" t="n"/>
      <c r="H17" s="362" t="n"/>
      <c r="I17" s="374" t="n"/>
      <c r="J17" s="375" t="n"/>
    </row>
    <row r="18" ht="15" customHeight="1">
      <c r="A18" s="347" t="n"/>
      <c r="B18" s="356" t="n"/>
      <c r="C18" s="349" t="inlineStr">
        <is>
          <t xml:space="preserve">    BIAYA INTERPRETASI LOG DATA</t>
        </is>
      </c>
      <c r="D18" s="350" t="inlineStr">
        <is>
          <t>Rp</t>
        </is>
      </c>
      <c r="E18" s="357">
        <f>'Revenue-Cost_2030'!M84</f>
        <v/>
      </c>
      <c r="F18" s="332" t="n"/>
      <c r="G18" s="358" t="inlineStr">
        <is>
          <t>ACTIVA TETAP</t>
        </is>
      </c>
      <c r="H18" s="376" t="n"/>
      <c r="I18" s="352" t="n"/>
      <c r="J18" s="364" t="n"/>
    </row>
    <row r="19" ht="15" customHeight="1">
      <c r="A19" s="347" t="n"/>
      <c r="B19" s="365" t="inlineStr">
        <is>
          <t>TOTAL BIAYA LANGSUNG</t>
        </is>
      </c>
      <c r="C19" s="366" t="n"/>
      <c r="D19" s="367" t="inlineStr">
        <is>
          <t>Rp</t>
        </is>
      </c>
      <c r="E19" s="368">
        <f>SUM(E15:E18)</f>
        <v/>
      </c>
      <c r="F19" s="332" t="n"/>
      <c r="G19" s="358" t="n"/>
      <c r="H19" s="376" t="n"/>
      <c r="I19" s="352" t="n"/>
      <c r="J19" s="364" t="n"/>
    </row>
    <row r="20" ht="15" customHeight="1">
      <c r="A20" s="347" t="n"/>
      <c r="B20" s="356" t="n"/>
      <c r="C20" s="349" t="n"/>
      <c r="D20" s="350" t="n"/>
      <c r="E20" s="351" t="n"/>
      <c r="F20" s="332" t="n"/>
      <c r="G20" s="361" t="n"/>
      <c r="H20" s="362" t="inlineStr">
        <is>
          <t>INVENTARIS KANTOR</t>
        </is>
      </c>
      <c r="I20" s="363" t="inlineStr">
        <is>
          <t>Rp</t>
        </is>
      </c>
      <c r="J20" s="364" t="n">
        <v>0</v>
      </c>
    </row>
    <row r="21" ht="15" customHeight="1">
      <c r="A21" s="347" t="n"/>
      <c r="B21" s="348" t="inlineStr">
        <is>
          <t>BEBAN TIDAK LANGSUNG</t>
        </is>
      </c>
      <c r="C21" s="349" t="n"/>
      <c r="D21" s="350" t="n"/>
      <c r="E21" s="351" t="n"/>
      <c r="F21" s="332" t="n"/>
      <c r="G21" s="361" t="n"/>
      <c r="H21" s="376" t="n"/>
      <c r="I21" s="377" t="n"/>
      <c r="J21" s="378" t="n"/>
    </row>
    <row r="22" ht="15" customHeight="1">
      <c r="A22" s="347" t="n"/>
      <c r="B22" s="356" t="n"/>
      <c r="C22" s="349" t="n"/>
      <c r="D22" s="350" t="inlineStr">
        <is>
          <t>Rp</t>
        </is>
      </c>
      <c r="E22" s="357" t="n">
        <v>0</v>
      </c>
      <c r="F22" s="332" t="n"/>
      <c r="G22" s="370" t="n"/>
      <c r="H22" s="371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47" t="n"/>
      <c r="B23" s="365" t="inlineStr">
        <is>
          <t>TOTAL BIAYA TIDAK LANGSUNG</t>
        </is>
      </c>
      <c r="C23" s="366" t="n"/>
      <c r="D23" s="367" t="inlineStr">
        <is>
          <t>Rp</t>
        </is>
      </c>
      <c r="E23" s="368">
        <f>SUM(E22:E22)</f>
        <v/>
      </c>
      <c r="F23" s="332" t="n"/>
      <c r="G23" s="361" t="n"/>
      <c r="H23" s="362" t="n"/>
      <c r="I23" s="374" t="n"/>
      <c r="J23" s="355" t="n"/>
    </row>
    <row r="24" ht="15" customHeight="1">
      <c r="A24" s="347" t="n"/>
      <c r="B24" s="356" t="n"/>
      <c r="C24" s="349" t="n"/>
      <c r="D24" s="350" t="n"/>
      <c r="E24" s="351" t="n"/>
      <c r="F24" s="332" t="n"/>
      <c r="G24" s="358" t="inlineStr">
        <is>
          <t>ACTIVA LAIN LAIN</t>
        </is>
      </c>
      <c r="H24" s="376" t="n"/>
      <c r="I24" s="352" t="n"/>
      <c r="J24" s="364" t="n">
        <v>0</v>
      </c>
    </row>
    <row r="25" ht="15" customHeight="1">
      <c r="A25" s="347" t="n"/>
      <c r="B25" s="348" t="inlineStr">
        <is>
          <t>BIAYA ADMINISTRASI DAN UMUM</t>
        </is>
      </c>
      <c r="C25" s="349" t="n"/>
      <c r="D25" s="350" t="n"/>
      <c r="E25" s="351" t="n"/>
      <c r="F25" s="332" t="n"/>
      <c r="G25" s="361" t="n"/>
      <c r="H25" s="362" t="n"/>
      <c r="I25" s="379" t="n"/>
      <c r="J25" s="380" t="n">
        <v>0</v>
      </c>
    </row>
    <row r="26" ht="15" customHeight="1">
      <c r="A26" s="347" t="n"/>
      <c r="B26" s="356" t="n"/>
      <c r="C26" s="349" t="inlineStr">
        <is>
          <t xml:space="preserve">    DIOFAVIAN</t>
        </is>
      </c>
      <c r="D26" s="350" t="inlineStr">
        <is>
          <t>Rp</t>
        </is>
      </c>
      <c r="E26" s="357">
        <f>'Revenue-Cost_2030'!K84</f>
        <v/>
      </c>
      <c r="F26" s="332" t="n"/>
      <c r="G26" s="370" t="n"/>
      <c r="H26" s="371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47" t="n"/>
      <c r="B27" s="356" t="n"/>
      <c r="C27" s="349" t="inlineStr">
        <is>
          <t xml:space="preserve">    ADMINISTRASI</t>
        </is>
      </c>
      <c r="D27" s="350" t="inlineStr">
        <is>
          <t>Rp</t>
        </is>
      </c>
      <c r="E27" s="357">
        <f>'Revenue-Cost_2030'!N84</f>
        <v/>
      </c>
      <c r="F27" s="332" t="n"/>
      <c r="G27" s="361" t="n"/>
      <c r="H27" s="362" t="n"/>
      <c r="I27" s="381" t="n"/>
      <c r="J27" s="382" t="n"/>
    </row>
    <row r="28" ht="15" customHeight="1">
      <c r="A28" s="347" t="n"/>
      <c r="B28" s="356" t="n"/>
      <c r="C28" s="349" t="inlineStr">
        <is>
          <t xml:space="preserve">    PEMBELIAN BARANG</t>
        </is>
      </c>
      <c r="D28" s="350" t="inlineStr">
        <is>
          <t>Rp</t>
        </is>
      </c>
      <c r="E28" s="357">
        <f>'Revenue-Cost_2030'!O84</f>
        <v/>
      </c>
      <c r="F28" s="332" t="n"/>
      <c r="G28" s="383" t="inlineStr">
        <is>
          <t>TOTAL AKTIVA</t>
        </is>
      </c>
      <c r="H28" s="384" t="n"/>
      <c r="I28" s="372" t="inlineStr">
        <is>
          <t>Rp</t>
        </is>
      </c>
      <c r="J28" s="385">
        <f>J26+J22+J16</f>
        <v/>
      </c>
    </row>
    <row r="29" ht="15" customHeight="1">
      <c r="A29" s="347" t="n"/>
      <c r="B29" s="356" t="n"/>
      <c r="C29" s="349" t="inlineStr">
        <is>
          <t xml:space="preserve">    SEWA KANTOR</t>
        </is>
      </c>
      <c r="D29" s="350" t="inlineStr">
        <is>
          <t>Rp</t>
        </is>
      </c>
      <c r="E29" s="357">
        <f>'Revenue-Cost_2030'!P84</f>
        <v/>
      </c>
      <c r="F29" s="332" t="n"/>
      <c r="G29" s="386" t="n"/>
      <c r="H29" s="387" t="n"/>
      <c r="I29" s="386" t="n"/>
      <c r="J29" s="375" t="n"/>
    </row>
    <row r="30" ht="15" customHeight="1">
      <c r="A30" s="347" t="n"/>
      <c r="B30" s="356" t="n"/>
      <c r="C30" s="349" t="inlineStr">
        <is>
          <t xml:space="preserve">    KESEHATAN</t>
        </is>
      </c>
      <c r="D30" s="350" t="inlineStr">
        <is>
          <t>Rp</t>
        </is>
      </c>
      <c r="E30" s="357">
        <f>'Revenue-Cost_2030'!Q84</f>
        <v/>
      </c>
      <c r="F30" s="332" t="n"/>
      <c r="G30" s="388" t="inlineStr">
        <is>
          <t>HUTANG DAN MODAL</t>
        </is>
      </c>
      <c r="H30" s="353" t="n"/>
      <c r="I30" s="388" t="n"/>
      <c r="J30" s="389" t="n"/>
    </row>
    <row r="31" ht="15" customHeight="1">
      <c r="A31" s="347" t="n"/>
      <c r="B31" s="356" t="n"/>
      <c r="C31" s="349" t="inlineStr">
        <is>
          <t xml:space="preserve">    BISNIS DEV</t>
        </is>
      </c>
      <c r="D31" s="350" t="inlineStr">
        <is>
          <t>Rp</t>
        </is>
      </c>
      <c r="E31" s="357">
        <f>'Revenue-Cost_2030'!R84</f>
        <v/>
      </c>
      <c r="F31" s="332" t="n"/>
      <c r="G31" s="388" t="n"/>
      <c r="H31" s="353" t="n"/>
      <c r="I31" s="388" t="n"/>
      <c r="J31" s="389" t="n"/>
    </row>
    <row r="32" ht="15" customHeight="1">
      <c r="A32" s="347" t="n"/>
      <c r="B32" s="356" t="n"/>
      <c r="C32" s="349" t="inlineStr">
        <is>
          <t xml:space="preserve">    ASDASD</t>
        </is>
      </c>
      <c r="D32" s="350" t="inlineStr">
        <is>
          <t>Rp</t>
        </is>
      </c>
      <c r="E32" s="357">
        <f>'Revenue-Cost_2030'!S84</f>
        <v/>
      </c>
      <c r="F32" s="332" t="n"/>
      <c r="G32" s="358" t="inlineStr">
        <is>
          <t>HUTANG LANCAR</t>
        </is>
      </c>
      <c r="H32" s="359" t="n"/>
      <c r="I32" s="358" t="n"/>
      <c r="J32" s="360" t="n"/>
    </row>
    <row r="33" ht="15" customHeight="1">
      <c r="A33" s="347" t="n"/>
      <c r="B33" s="356" t="n"/>
      <c r="C33" s="349" t="inlineStr">
        <is>
          <t xml:space="preserve">    MAKANAN JEPANG</t>
        </is>
      </c>
      <c r="D33" s="350" t="inlineStr">
        <is>
          <t>Rp</t>
        </is>
      </c>
      <c r="E33" s="357">
        <f>'Revenue-Cost_2030'!T84</f>
        <v/>
      </c>
      <c r="F33" s="332" t="n"/>
      <c r="G33" s="361" t="n"/>
      <c r="H33" s="362" t="inlineStr">
        <is>
          <t>HUTANG USAHA</t>
        </is>
      </c>
      <c r="I33" s="363" t="inlineStr">
        <is>
          <t>Rp</t>
        </is>
      </c>
      <c r="J33" s="364" t="n">
        <v>0</v>
      </c>
    </row>
    <row r="34" ht="15" customHeight="1">
      <c r="A34" s="347" t="n"/>
      <c r="B34" s="356" t="n"/>
      <c r="C34" s="349" t="inlineStr">
        <is>
          <t xml:space="preserve">    AAAAA</t>
        </is>
      </c>
      <c r="D34" s="350" t="inlineStr">
        <is>
          <t>Rp</t>
        </is>
      </c>
      <c r="E34" s="357">
        <f>'Revenue-Cost_2030'!U84</f>
        <v/>
      </c>
      <c r="F34" s="332" t="n"/>
      <c r="G34" s="361" t="n"/>
      <c r="H34" s="390" t="inlineStr">
        <is>
          <t>HUTANG GAJI</t>
        </is>
      </c>
      <c r="I34" s="363" t="inlineStr">
        <is>
          <t>Rp</t>
        </is>
      </c>
      <c r="J34" s="364" t="n">
        <v>0</v>
      </c>
    </row>
    <row r="35" ht="15" customHeight="1">
      <c r="A35" s="347" t="n"/>
      <c r="B35" s="356" t="n"/>
      <c r="C35" s="349" t="inlineStr">
        <is>
          <t xml:space="preserve">    BBBBB</t>
        </is>
      </c>
      <c r="D35" s="350" t="inlineStr">
        <is>
          <t>Rp</t>
        </is>
      </c>
      <c r="E35" s="357">
        <f>'Revenue-Cost_2030'!V84</f>
        <v/>
      </c>
      <c r="F35" s="332" t="n"/>
      <c r="G35" s="361" t="n"/>
      <c r="H35" s="362" t="inlineStr">
        <is>
          <t>HUTANG PEMEGANG SAHAM</t>
        </is>
      </c>
      <c r="I35" s="363" t="inlineStr">
        <is>
          <t>Rp</t>
        </is>
      </c>
      <c r="J35" s="364" t="n">
        <v>0</v>
      </c>
    </row>
    <row r="36" ht="15" customHeight="1">
      <c r="A36" s="347" t="n"/>
      <c r="B36" s="356" t="n"/>
      <c r="C36" s="349" t="inlineStr">
        <is>
          <t xml:space="preserve">    ASDSAD</t>
        </is>
      </c>
      <c r="D36" s="350" t="inlineStr">
        <is>
          <t>Rp</t>
        </is>
      </c>
      <c r="E36" s="357">
        <f>'Revenue-Cost_2030'!W84</f>
        <v/>
      </c>
      <c r="F36" s="332" t="n"/>
      <c r="G36" s="361" t="n"/>
      <c r="H36" s="362" t="inlineStr">
        <is>
          <t>BIAYA YANG MASIH HARUS DI BAYAR</t>
        </is>
      </c>
      <c r="I36" s="363" t="inlineStr">
        <is>
          <t>Rp</t>
        </is>
      </c>
      <c r="J36" s="364" t="n">
        <v>0</v>
      </c>
    </row>
    <row r="37" ht="15" customHeight="1">
      <c r="A37" s="347" t="n"/>
      <c r="B37" s="356" t="n"/>
      <c r="C37" s="349" t="inlineStr">
        <is>
          <t xml:space="preserve">    DFGDFGDFGD</t>
        </is>
      </c>
      <c r="D37" s="350" t="inlineStr">
        <is>
          <t>Rp</t>
        </is>
      </c>
      <c r="E37" s="357">
        <f>'Revenue-Cost_2030'!X84</f>
        <v/>
      </c>
      <c r="F37" s="332" t="n"/>
      <c r="G37" s="391" t="n"/>
      <c r="H37" s="392" t="n"/>
      <c r="I37" s="391" t="n"/>
      <c r="J37" s="393" t="n"/>
    </row>
    <row r="38" ht="15" customHeight="1">
      <c r="A38" s="347" t="n"/>
      <c r="B38" s="356" t="n"/>
      <c r="C38" s="349" t="inlineStr">
        <is>
          <t xml:space="preserve">    12312</t>
        </is>
      </c>
      <c r="D38" s="350" t="inlineStr">
        <is>
          <t>Rp</t>
        </is>
      </c>
      <c r="E38" s="357">
        <f>'Revenue-Cost_2030'!Y84</f>
        <v/>
      </c>
      <c r="F38" s="332" t="n"/>
      <c r="G38" s="370" t="n"/>
      <c r="H38" s="371" t="inlineStr">
        <is>
          <t>TOTAL HUTANG LANCAR</t>
        </is>
      </c>
      <c r="I38" s="394" t="n"/>
      <c r="J38" s="373">
        <f>SUM(J33:J36)</f>
        <v/>
      </c>
    </row>
    <row r="39" ht="15" customHeight="1">
      <c r="A39" s="347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SUM(E26:E38)</f>
        <v/>
      </c>
      <c r="F39" s="332" t="n"/>
      <c r="G39" s="361" t="n"/>
      <c r="H39" s="376" t="n"/>
      <c r="I39" s="395" t="n"/>
      <c r="J39" s="355" t="n"/>
    </row>
    <row r="40" ht="15" customHeight="1">
      <c r="A40" s="347" t="n"/>
      <c r="B40" s="356" t="n"/>
      <c r="C40" s="349" t="n"/>
      <c r="D40" s="350" t="n"/>
      <c r="E40" s="351" t="n"/>
      <c r="F40" s="332" t="n"/>
      <c r="G40" s="358" t="inlineStr">
        <is>
          <t>MODAL</t>
        </is>
      </c>
      <c r="H40" s="359" t="n"/>
      <c r="I40" s="358" t="n"/>
      <c r="J40" s="360" t="n"/>
    </row>
    <row r="41" ht="15" customHeight="1">
      <c r="A41" s="347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E19+E23+E39</f>
        <v/>
      </c>
      <c r="F41" s="332" t="n"/>
      <c r="G41" s="361" t="n"/>
      <c r="H41" s="362" t="inlineStr">
        <is>
          <t>MODAL SAHAM</t>
        </is>
      </c>
      <c r="I41" s="363" t="inlineStr">
        <is>
          <t>Rp</t>
        </is>
      </c>
      <c r="J41" s="364" t="n">
        <v>0</v>
      </c>
    </row>
    <row r="42" ht="15" customHeight="1">
      <c r="A42" s="347" t="n"/>
      <c r="B42" s="356" t="n"/>
      <c r="C42" s="349" t="n"/>
      <c r="D42" s="350" t="n"/>
      <c r="E42" s="351" t="n"/>
      <c r="F42" s="332" t="n"/>
      <c r="G42" s="361" t="n"/>
      <c r="H42" s="362" t="inlineStr">
        <is>
          <t>LABA DI TAHAN</t>
        </is>
      </c>
      <c r="I42" s="363" t="inlineStr">
        <is>
          <t>Rp</t>
        </is>
      </c>
      <c r="J42" s="364" t="n">
        <v>0</v>
      </c>
    </row>
    <row r="43" ht="15" customHeight="1">
      <c r="A43" s="347" t="n"/>
      <c r="B43" s="348" t="inlineStr">
        <is>
          <t>PENDAPATAN/BEBAN LAIN LAIN</t>
        </is>
      </c>
      <c r="C43" s="349" t="n"/>
      <c r="D43" s="350" t="n"/>
      <c r="E43" s="351" t="n"/>
      <c r="F43" s="332" t="n"/>
      <c r="G43" s="358" t="n"/>
      <c r="H43" s="362" t="inlineStr">
        <is>
          <t>TOTAL LABA (RUGI) DITAHAN</t>
        </is>
      </c>
      <c r="I43" s="396" t="inlineStr">
        <is>
          <t>Rp</t>
        </is>
      </c>
      <c r="J43" s="380">
        <f>J28-J38-J41-J42</f>
        <v/>
      </c>
    </row>
    <row r="44" ht="15" customHeight="1">
      <c r="A44" s="347" t="n"/>
      <c r="B44" s="356" t="n"/>
      <c r="C44" s="349" t="inlineStr">
        <is>
          <t xml:space="preserve">    PENDAPATAN LAINNYA</t>
        </is>
      </c>
      <c r="D44" s="350" t="inlineStr">
        <is>
          <t>Rp</t>
        </is>
      </c>
      <c r="E44" s="357" t="n">
        <v>0</v>
      </c>
      <c r="F44" s="332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5" customHeight="1">
      <c r="A45" s="347" t="n"/>
      <c r="B45" s="356" t="n"/>
      <c r="C45" s="349" t="n"/>
      <c r="D45" s="350" t="n"/>
      <c r="E45" s="351" t="n"/>
      <c r="F45" s="332" t="n"/>
      <c r="G45" s="361" t="n"/>
      <c r="H45" s="362" t="n"/>
      <c r="I45" s="381" t="n"/>
      <c r="J45" s="382" t="n"/>
    </row>
    <row r="46" ht="15" customHeight="1">
      <c r="A46" s="347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2" t="n"/>
      <c r="G46" s="397" t="inlineStr">
        <is>
          <t>TOTAL HUTANG DAN MODAL</t>
        </is>
      </c>
      <c r="H46" s="398" t="n"/>
      <c r="I46" s="399" t="inlineStr">
        <is>
          <t>Rp</t>
        </is>
      </c>
      <c r="J46" s="400">
        <f>J44+J38</f>
        <v/>
      </c>
    </row>
    <row r="47" ht="15" customHeight="1">
      <c r="A47" s="347" t="n"/>
      <c r="B47" s="356" t="n"/>
      <c r="C47" s="349" t="n"/>
      <c r="D47" s="350" t="n"/>
      <c r="E47" s="351" t="n"/>
      <c r="F47" s="332" t="n"/>
    </row>
    <row r="48" ht="15" customHeight="1">
      <c r="A48" s="347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47" t="n"/>
      <c r="G48" s="347" t="n"/>
      <c r="H48" s="347" t="n"/>
    </row>
    <row r="49" ht="15" customHeight="1">
      <c r="A49" s="347" t="n"/>
      <c r="B49" s="356" t="n"/>
      <c r="C49" s="349" t="n"/>
      <c r="D49" s="350" t="n"/>
      <c r="E49" s="351" t="n"/>
      <c r="F49" s="347" t="n"/>
      <c r="G49" s="347" t="n"/>
      <c r="H49" s="347" t="n"/>
    </row>
    <row r="50" ht="15" customHeight="1">
      <c r="A50" s="347" t="n"/>
      <c r="B50" s="401" t="inlineStr">
        <is>
          <t>LABA / RUGI BERSIH</t>
        </is>
      </c>
      <c r="C50" s="402" t="n"/>
      <c r="D50" s="403" t="inlineStr">
        <is>
          <t>Rp</t>
        </is>
      </c>
      <c r="E50" s="404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405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406" t="inlineStr">
        <is>
          <t>Direktur</t>
        </is>
      </c>
      <c r="D54" s="347" t="n"/>
      <c r="E54" s="347" t="n"/>
      <c r="F54" s="347" t="n"/>
      <c r="G54" s="347" t="n"/>
      <c r="H54" s="406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7" t="inlineStr">
        <is>
          <t>#</t>
        </is>
      </c>
      <c r="C6" s="407" t="inlineStr">
        <is>
          <t>Items</t>
        </is>
      </c>
      <c r="D6" s="408" t="inlineStr">
        <is>
          <t>Amount</t>
        </is>
      </c>
      <c r="E6" s="227" t="n"/>
      <c r="F6" s="332" t="n"/>
    </row>
    <row r="7" ht="20" customHeight="1">
      <c r="A7" s="329" t="n"/>
      <c r="B7" s="409" t="n">
        <v>1</v>
      </c>
      <c r="C7" s="410" t="inlineStr">
        <is>
          <t>Revenue</t>
        </is>
      </c>
      <c r="D7" s="411" t="inlineStr">
        <is>
          <t>Rp</t>
        </is>
      </c>
      <c r="E7" s="412">
        <f>SUM('Revenue-Cost_2030'!L8:L8)</f>
        <v/>
      </c>
      <c r="F7" s="332" t="n"/>
    </row>
    <row r="8" ht="20" customHeight="1">
      <c r="A8" s="329" t="n"/>
      <c r="B8" s="409" t="n">
        <v>2</v>
      </c>
      <c r="C8" s="410" t="inlineStr">
        <is>
          <t>Revenue Diterima (Setelah Pajak)</t>
        </is>
      </c>
      <c r="D8" s="411" t="inlineStr">
        <is>
          <t>Rp</t>
        </is>
      </c>
      <c r="E8" s="412">
        <f>E7-SUM('Revenue-Cost_2030'!N8:N8)</f>
        <v/>
      </c>
      <c r="F8" s="332" t="n"/>
    </row>
    <row r="9" ht="20" customHeight="1">
      <c r="A9" s="329" t="n"/>
      <c r="B9" s="409" t="n">
        <v>3</v>
      </c>
      <c r="C9" s="410" t="inlineStr">
        <is>
          <t>Biaya</t>
        </is>
      </c>
      <c r="D9" s="411" t="inlineStr">
        <is>
          <t>Rp</t>
        </is>
      </c>
      <c r="E9" s="412">
        <f>SUM('Revenue-Cost_2030'!I84:Y84)</f>
        <v/>
      </c>
      <c r="F9" s="332" t="n"/>
    </row>
    <row r="10" ht="20" customHeight="1">
      <c r="A10" s="329" t="n"/>
      <c r="B10" s="409" t="n">
        <v>4</v>
      </c>
      <c r="C10" s="410" t="inlineStr">
        <is>
          <t>Profit SebelumTax</t>
        </is>
      </c>
      <c r="D10" s="411" t="inlineStr">
        <is>
          <t>Rp</t>
        </is>
      </c>
      <c r="E10" s="412">
        <f>E7-E9</f>
        <v/>
      </c>
      <c r="F10" s="332" t="n"/>
    </row>
    <row r="11" ht="20" customHeight="1">
      <c r="A11" s="329" t="n"/>
      <c r="B11" s="409" t="n">
        <v>5</v>
      </c>
      <c r="C11" s="410" t="inlineStr">
        <is>
          <t>PPh Badan (22%*50%)</t>
        </is>
      </c>
      <c r="D11" s="411" t="inlineStr">
        <is>
          <t>Rp</t>
        </is>
      </c>
      <c r="E11" s="412">
        <f>E10*22%*50%</f>
        <v/>
      </c>
      <c r="F11" s="332" t="n"/>
    </row>
    <row r="12" ht="20" customHeight="1">
      <c r="A12" s="329" t="n"/>
      <c r="B12" s="409" t="n">
        <v>6</v>
      </c>
      <c r="C12" s="410" t="inlineStr">
        <is>
          <t>PPh 23 Dipotong oleh client</t>
        </is>
      </c>
      <c r="D12" s="411" t="inlineStr">
        <is>
          <t>Rp</t>
        </is>
      </c>
      <c r="E12" s="412">
        <f>SUM('Revenue-Cost_2030'!N8:N8)</f>
        <v/>
      </c>
      <c r="F12" s="332" t="n"/>
    </row>
    <row r="13" ht="20" customHeight="1">
      <c r="A13" s="329" t="n"/>
      <c r="B13" s="409" t="n">
        <v>7</v>
      </c>
      <c r="C13" s="410" t="inlineStr">
        <is>
          <t>Kekurangan Bayar PPh Badan</t>
        </is>
      </c>
      <c r="D13" s="411" t="inlineStr">
        <is>
          <t>Rp</t>
        </is>
      </c>
      <c r="E13" s="413">
        <f>E11-E12</f>
        <v/>
      </c>
      <c r="F13" s="332" t="n"/>
    </row>
    <row r="14" ht="20" customHeight="1">
      <c r="A14" s="329" t="n"/>
      <c r="B14" s="409" t="n">
        <v>8</v>
      </c>
      <c r="C14" s="410" t="inlineStr">
        <is>
          <t>Profit After Tax</t>
        </is>
      </c>
      <c r="D14" s="411" t="inlineStr">
        <is>
          <t>Rp</t>
        </is>
      </c>
      <c r="E14" s="412">
        <f>E10-E13</f>
        <v/>
      </c>
      <c r="F14" s="332" t="n"/>
    </row>
    <row r="15" ht="20" customHeight="1">
      <c r="A15" s="329" t="n"/>
      <c r="B15" s="409" t="n">
        <v>9</v>
      </c>
      <c r="C15" s="410" t="inlineStr">
        <is>
          <t>Deviden Dibagi</t>
        </is>
      </c>
      <c r="D15" s="411" t="inlineStr">
        <is>
          <t>Rp</t>
        </is>
      </c>
      <c r="E15" s="412">
        <f>E14-E16</f>
        <v/>
      </c>
      <c r="F15" s="332" t="n"/>
    </row>
    <row r="16" ht="20" customHeight="1">
      <c r="A16" s="329" t="n"/>
      <c r="B16" s="409" t="n">
        <v>10</v>
      </c>
      <c r="C16" s="410" t="inlineStr">
        <is>
          <t>Profit Ditahan</t>
        </is>
      </c>
      <c r="D16" s="411" t="inlineStr">
        <is>
          <t>Rp</t>
        </is>
      </c>
      <c r="E16" s="412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14" t="inlineStr">
        <is>
          <t>DEVIDEN</t>
        </is>
      </c>
      <c r="F18" s="332" t="n"/>
    </row>
    <row r="19" ht="20" customHeight="1">
      <c r="A19" s="329" t="n"/>
      <c r="B19" s="415" t="inlineStr">
        <is>
          <t>#</t>
        </is>
      </c>
      <c r="C19" s="415" t="inlineStr">
        <is>
          <t>Nama Lengkap</t>
        </is>
      </c>
      <c r="D19" s="416" t="inlineStr"/>
      <c r="E19" s="417" t="inlineStr">
        <is>
          <t>Amount</t>
        </is>
      </c>
      <c r="F19" s="332" t="inlineStr"/>
      <c r="G19" s="418" t="inlineStr">
        <is>
          <t>Pajak</t>
        </is>
      </c>
    </row>
    <row r="20" ht="19" customHeight="1">
      <c r="A20" s="329" t="n"/>
      <c r="B20" s="419" t="n"/>
      <c r="C20" s="420" t="n"/>
      <c r="D20" s="410" t="n"/>
      <c r="E20" s="421" t="n"/>
      <c r="F20" s="332" t="n"/>
      <c r="G20" s="422" t="n"/>
    </row>
    <row r="21" ht="48.75" customHeight="1">
      <c r="A21" s="423" t="n"/>
      <c r="F21" s="332" t="n"/>
    </row>
    <row r="22">
      <c r="A22" s="423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2026-04-19T13:46:35Z</dcterms:modified>
  <cp:lastModifiedBy>Diofavian - Student</cp:lastModifiedBy>
</cp:coreProperties>
</file>