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3" fontId="42" fillId="0" borderId="26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4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3" fontId="42" fillId="0" borderId="29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30" applyAlignment="1" pivotButton="0" quotePrefix="0" xfId="0">
      <alignment horizontal="lef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3" applyAlignment="1" pivotButton="0" quotePrefix="0" xfId="0">
      <alignment horizontal="left" vertical="center"/>
    </xf>
    <xf numFmtId="3" fontId="42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 (J)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89" t="n"/>
      <c r="K46" s="290" t="n"/>
      <c r="L46" s="291" t="n">
        <v>98098000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/>
      <c r="L48" s="280" t="n"/>
      <c r="M48" s="291" t="n">
        <v>14664</v>
      </c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80" t="n"/>
      <c r="M49" s="291" t="n">
        <v>234234</v>
      </c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80" t="n"/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3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5" t="n"/>
      <c r="M54" s="279" t="n"/>
      <c r="N54" s="279" t="n"/>
      <c r="O54" s="279" t="n"/>
      <c r="P54" s="279" t="n"/>
      <c r="Q54" s="279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123123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6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5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80" t="n"/>
      <c r="M57" s="291" t="n">
        <v>30000</v>
      </c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6" t="n"/>
      <c r="G59" s="282" t="n"/>
      <c r="H59" s="282" t="n"/>
      <c r="I59" s="283" t="n"/>
      <c r="J59" s="283" t="n"/>
      <c r="K59" s="279" t="n"/>
      <c r="L59" s="279" t="n"/>
      <c r="M59" s="279" t="n"/>
      <c r="N59" s="315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0" t="n"/>
      <c r="L60" s="280" t="n"/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3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7" t="n"/>
      <c r="H61" s="282" t="n"/>
      <c r="I61" s="283" t="n"/>
      <c r="J61" s="284" t="n"/>
      <c r="K61" s="318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234324324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6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319" t="n">
        <v>57776</v>
      </c>
      <c r="K64" s="290" t="n"/>
      <c r="L64" s="280" t="n"/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6" t="n"/>
      <c r="G66" s="282" t="n"/>
      <c r="H66" s="282" t="n"/>
      <c r="I66" s="283" t="n"/>
      <c r="J66" s="283" t="n"/>
      <c r="K66" s="279" t="n"/>
      <c r="L66" s="279" t="n"/>
      <c r="M66" s="279" t="n"/>
      <c r="N66" s="315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89" t="n"/>
      <c r="K67" s="290" t="n"/>
      <c r="L67" s="291" t="n">
        <v>281106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89" t="n"/>
      <c r="K69" s="290" t="n"/>
      <c r="L69" s="291" t="n">
        <v>146664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6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89" t="n"/>
      <c r="K71" s="290" t="n"/>
      <c r="L71" s="291" t="n">
        <v>2888262</v>
      </c>
      <c r="M71" s="280" t="n"/>
      <c r="N71" s="280" t="n"/>
      <c r="O71" s="280" t="n"/>
      <c r="P71" s="280" t="n"/>
      <c r="Q71" s="280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6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89" t="n"/>
      <c r="K73" s="290" t="n"/>
      <c r="L73" s="291" t="n">
        <v>28104</v>
      </c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91" t="n">
        <v>123123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7" t="n"/>
      <c r="H77" s="282" t="n"/>
      <c r="I77" s="283" t="n"/>
      <c r="J77" s="279" t="n"/>
      <c r="K77" s="318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89" t="n"/>
      <c r="K78" s="290" t="n"/>
      <c r="L78" s="291" t="n">
        <v>234324</v>
      </c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0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5" t="n"/>
      <c r="R79" s="285" t="n"/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89" t="n"/>
      <c r="K80" s="290" t="n"/>
      <c r="L80" s="291" t="n">
        <v>134772</v>
      </c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5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123123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57776</v>
      </c>
      <c r="K84" s="327" t="n">
        <v>0</v>
      </c>
      <c r="L84" s="327" t="n">
        <v>336504925</v>
      </c>
      <c r="M84" s="327" t="n">
        <v>498898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45" customHeight="1">
      <c r="A4" s="329" t="n"/>
      <c r="B4" s="334" t="inlineStr">
        <is>
          <t>LABA RUGI | TAHUN 2030</t>
        </is>
      </c>
      <c r="F4" s="332" t="n"/>
      <c r="G4" s="335" t="inlineStr">
        <is>
          <t>NERACA |TAHUN YANG BERAKHIR, 31 DESEMBER 2030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4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4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348" t="inlineStr">
        <is>
          <t>PENDAPATAN</t>
        </is>
      </c>
      <c r="C8" s="349" t="n"/>
      <c r="D8" s="350" t="n"/>
      <c r="E8" s="351" t="n"/>
      <c r="F8" s="332" t="n"/>
      <c r="G8" s="352" t="inlineStr">
        <is>
          <t>AKTIVA</t>
        </is>
      </c>
      <c r="H8" s="353" t="n"/>
      <c r="I8" s="354" t="n"/>
      <c r="J8" s="351" t="n"/>
    </row>
    <row r="9" ht="15" customHeight="1">
      <c r="A9" s="347" t="n"/>
      <c r="B9" s="355" t="n"/>
      <c r="C9" s="356" t="inlineStr">
        <is>
          <t>PENDAPATAN LANGSUNG</t>
        </is>
      </c>
      <c r="D9" s="357" t="inlineStr">
        <is>
          <t>Rp</t>
        </is>
      </c>
      <c r="E9" s="358" t="n">
        <v>0</v>
      </c>
      <c r="F9" s="332" t="n"/>
      <c r="G9" s="359" t="inlineStr">
        <is>
          <t>AKTIVA LANCAR</t>
        </is>
      </c>
      <c r="H9" s="360" t="n"/>
      <c r="I9" s="361" t="n"/>
      <c r="J9" s="358" t="n"/>
    </row>
    <row r="10" ht="15" customHeight="1">
      <c r="A10" s="347" t="n"/>
      <c r="B10" s="355" t="n"/>
      <c r="C10" s="356" t="inlineStr">
        <is>
          <t>PENDAPATAN LAIN LAIN</t>
        </is>
      </c>
      <c r="D10" s="357" t="inlineStr">
        <is>
          <t>Rp</t>
        </is>
      </c>
      <c r="E10" s="358" t="n">
        <v>0</v>
      </c>
      <c r="F10" s="332" t="n"/>
      <c r="G10" s="359" t="n"/>
      <c r="H10" s="360" t="inlineStr">
        <is>
          <t>KAS DAN SETARA KAS TAHUN SEBELUMNYA</t>
        </is>
      </c>
      <c r="I10" s="357" t="inlineStr">
        <is>
          <t>Rp</t>
        </is>
      </c>
      <c r="J10" s="358" t="n">
        <v>0</v>
      </c>
    </row>
    <row r="11" ht="15" customHeight="1">
      <c r="A11" s="347" t="n"/>
      <c r="B11" s="355" t="n"/>
      <c r="C11" s="356" t="n"/>
      <c r="D11" s="357" t="n"/>
      <c r="E11" s="358" t="n"/>
      <c r="F11" s="332" t="n"/>
      <c r="G11" s="359" t="n"/>
      <c r="H11" s="360" t="inlineStr">
        <is>
          <t>KAS DAN SETARA KAS TAHUN LAPORAN</t>
        </is>
      </c>
      <c r="I11" s="357" t="inlineStr">
        <is>
          <t>Rp</t>
        </is>
      </c>
      <c r="J11" s="358">
        <f>E50-'Business Summary'!E13</f>
        <v/>
      </c>
    </row>
    <row r="12" ht="15" customHeight="1">
      <c r="A12" s="347" t="n"/>
      <c r="B12" s="362" t="inlineStr">
        <is>
          <t>TOTAL PENDAPATAN</t>
        </is>
      </c>
      <c r="C12" s="363" t="n"/>
      <c r="D12" s="364" t="inlineStr">
        <is>
          <t>Rp</t>
        </is>
      </c>
      <c r="E12" s="365">
        <f>SUM(E9:E11)</f>
        <v/>
      </c>
      <c r="F12" s="332" t="n"/>
      <c r="G12" s="366" t="n"/>
      <c r="H12" s="367" t="inlineStr">
        <is>
          <t>PIUTANG USAHA</t>
        </is>
      </c>
      <c r="I12" s="364" t="inlineStr">
        <is>
          <t>Rp</t>
        </is>
      </c>
      <c r="J12" s="365" t="n">
        <v>0</v>
      </c>
    </row>
    <row r="13" ht="15" customHeight="1">
      <c r="A13" s="347" t="n"/>
      <c r="B13" s="355" t="n"/>
      <c r="C13" s="356" t="n"/>
      <c r="D13" s="357" t="n"/>
      <c r="E13" s="358" t="n"/>
      <c r="F13" s="332" t="n"/>
      <c r="G13" s="359" t="n"/>
      <c r="H13" s="360" t="inlineStr">
        <is>
          <t>PAJAK BAYAR DI MUKA (pph23)</t>
        </is>
      </c>
      <c r="I13" s="357" t="inlineStr">
        <is>
          <t>Rp</t>
        </is>
      </c>
      <c r="J13" s="358" t="n">
        <v>0</v>
      </c>
    </row>
    <row r="14" ht="15" customHeight="1">
      <c r="A14" s="347" t="n"/>
      <c r="B14" s="348" t="inlineStr">
        <is>
          <t>BEBAN LANGSUNG</t>
        </is>
      </c>
      <c r="C14" s="349" t="n"/>
      <c r="D14" s="350" t="n"/>
      <c r="E14" s="351" t="n"/>
      <c r="F14" s="332" t="n"/>
      <c r="G14" s="352" t="n"/>
      <c r="H14" s="353" t="inlineStr">
        <is>
          <t>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347" t="n"/>
      <c r="B15" s="355" t="n"/>
      <c r="C15" s="356" t="inlineStr">
        <is>
          <t>BIAYA RESEARCH (R&amp;D)</t>
        </is>
      </c>
      <c r="D15" s="357" t="inlineStr">
        <is>
          <t>Rp</t>
        </is>
      </c>
      <c r="E15" s="358">
        <f>'Revenue-Cost_2030'!I84</f>
        <v/>
      </c>
      <c r="F15" s="332" t="n"/>
      <c r="G15" s="368" t="n"/>
      <c r="H15" s="360" t="inlineStr">
        <is>
          <t>PIUTANG LAIN LAIN</t>
        </is>
      </c>
      <c r="I15" s="357" t="inlineStr">
        <is>
          <t>Rp</t>
        </is>
      </c>
      <c r="J15" s="358" t="n">
        <v>0</v>
      </c>
    </row>
    <row r="16" ht="15" customHeight="1">
      <c r="A16" s="347" t="n"/>
      <c r="B16" s="355" t="n"/>
      <c r="C16" s="356" t="inlineStr">
        <is>
          <t>BIAYA SEWA PERALATAN</t>
        </is>
      </c>
      <c r="D16" s="357" t="inlineStr">
        <is>
          <t>Rp</t>
        </is>
      </c>
      <c r="E16" s="358">
        <f>'Revenue-Cost_2030'!J84</f>
        <v/>
      </c>
      <c r="F16" s="332" t="n"/>
      <c r="G16" s="359" t="n"/>
      <c r="H16" s="360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347" t="n"/>
      <c r="B17" s="355" t="n"/>
      <c r="C17" s="356" t="inlineStr">
        <is>
          <t>BIAYA INTERPRETASI LOG DATA</t>
        </is>
      </c>
      <c r="D17" s="357" t="inlineStr">
        <is>
          <t>Rp</t>
        </is>
      </c>
      <c r="E17" s="358">
        <f>'Revenue-Cost_2030'!K84</f>
        <v/>
      </c>
      <c r="F17" s="332" t="n"/>
      <c r="G17" s="359" t="n"/>
      <c r="H17" s="360" t="n"/>
      <c r="I17" s="361" t="n"/>
      <c r="J17" s="358" t="n"/>
    </row>
    <row r="18" ht="15" customHeight="1">
      <c r="A18" s="347" t="n"/>
      <c r="B18" s="355" t="n"/>
      <c r="C18" s="356" t="inlineStr">
        <is>
          <t>BIAYA OPERASI</t>
        </is>
      </c>
      <c r="D18" s="357" t="inlineStr">
        <is>
          <t>Rp</t>
        </is>
      </c>
      <c r="E18" s="358">
        <f>'Revenue-Cost_2030'!L84</f>
        <v/>
      </c>
      <c r="F18" s="332" t="n"/>
      <c r="G18" s="359" t="inlineStr">
        <is>
          <t>ACTIVA TETAP</t>
        </is>
      </c>
      <c r="H18" s="360" t="n"/>
      <c r="I18" s="361" t="n"/>
      <c r="J18" s="358" t="n"/>
    </row>
    <row r="19" ht="15" customHeight="1">
      <c r="A19" s="347" t="n"/>
      <c r="B19" s="362" t="inlineStr">
        <is>
          <t>TOTAL BIAYA LANGSUNG</t>
        </is>
      </c>
      <c r="C19" s="363" t="n"/>
      <c r="D19" s="364" t="inlineStr">
        <is>
          <t>Rp</t>
        </is>
      </c>
      <c r="E19" s="365">
        <f>SUM(E15:E18)</f>
        <v/>
      </c>
      <c r="F19" s="332" t="n"/>
      <c r="G19" s="366" t="n"/>
      <c r="H19" s="367" t="n"/>
      <c r="I19" s="369" t="n"/>
      <c r="J19" s="365" t="n"/>
    </row>
    <row r="20" ht="15" customHeight="1">
      <c r="A20" s="347" t="n"/>
      <c r="B20" s="355" t="n"/>
      <c r="C20" s="356" t="n"/>
      <c r="D20" s="357" t="n"/>
      <c r="E20" s="358" t="n"/>
      <c r="F20" s="332" t="n"/>
      <c r="G20" s="359" t="n"/>
      <c r="H20" s="360" t="inlineStr">
        <is>
          <t>INVENTARIS KANTOR</t>
        </is>
      </c>
      <c r="I20" s="357" t="inlineStr">
        <is>
          <t>Rp</t>
        </is>
      </c>
      <c r="J20" s="358" t="n">
        <v>0</v>
      </c>
    </row>
    <row r="21" ht="15" customHeight="1">
      <c r="A21" s="347" t="n"/>
      <c r="B21" s="348" t="inlineStr">
        <is>
          <t>BEBAN TIDAK LANGSUNG</t>
        </is>
      </c>
      <c r="C21" s="349" t="n"/>
      <c r="D21" s="350" t="n"/>
      <c r="E21" s="351" t="n"/>
      <c r="F21" s="332" t="n"/>
      <c r="G21" s="352" t="n"/>
      <c r="H21" s="353" t="n"/>
      <c r="I21" s="354" t="n"/>
      <c r="J21" s="351" t="n"/>
    </row>
    <row r="22" ht="15" customHeight="1">
      <c r="A22" s="347" t="n"/>
      <c r="B22" s="355" t="n"/>
      <c r="C22" s="356" t="n"/>
      <c r="D22" s="357" t="inlineStr">
        <is>
          <t>Rp</t>
        </is>
      </c>
      <c r="E22" s="358" t="n">
        <v>0</v>
      </c>
      <c r="F22" s="332" t="n"/>
      <c r="G22" s="359" t="n"/>
      <c r="H22" s="360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347" t="n"/>
      <c r="B23" s="362" t="inlineStr">
        <is>
          <t>TOTAL BIAYA TIDAK LANGSUNG</t>
        </is>
      </c>
      <c r="C23" s="363" t="n"/>
      <c r="D23" s="364" t="inlineStr">
        <is>
          <t>Rp</t>
        </is>
      </c>
      <c r="E23" s="365">
        <f>SUM(E22:E22)</f>
        <v/>
      </c>
      <c r="F23" s="332" t="n"/>
      <c r="G23" s="366" t="n"/>
      <c r="H23" s="367" t="n"/>
      <c r="I23" s="369" t="n"/>
      <c r="J23" s="365" t="n"/>
    </row>
    <row r="24" ht="15" customHeight="1">
      <c r="A24" s="347" t="n"/>
      <c r="B24" s="355" t="n"/>
      <c r="C24" s="356" t="n"/>
      <c r="D24" s="357" t="n"/>
      <c r="E24" s="358" t="n"/>
      <c r="F24" s="332" t="n"/>
      <c r="G24" s="359" t="inlineStr">
        <is>
          <t>ACTIVA LAIN LAIN</t>
        </is>
      </c>
      <c r="H24" s="360" t="n"/>
      <c r="I24" s="361" t="n"/>
      <c r="J24" s="358" t="n">
        <v>0</v>
      </c>
    </row>
    <row r="25" ht="15" customHeight="1">
      <c r="A25" s="347" t="n"/>
      <c r="B25" s="348" t="inlineStr">
        <is>
          <t>BIAYA ADMINISTRASI DAN UMUM</t>
        </is>
      </c>
      <c r="C25" s="349" t="n"/>
      <c r="D25" s="350" t="n"/>
      <c r="E25" s="351" t="n"/>
      <c r="F25" s="332" t="n"/>
      <c r="G25" s="352" t="n"/>
      <c r="H25" s="353" t="n"/>
      <c r="I25" s="354" t="n"/>
      <c r="J25" s="351" t="n">
        <v>0</v>
      </c>
    </row>
    <row r="26" ht="15" customHeight="1">
      <c r="A26" s="347" t="n"/>
      <c r="B26" s="355" t="n"/>
      <c r="C26" s="356" t="inlineStr">
        <is>
          <t>DIOFAVIAN</t>
        </is>
      </c>
      <c r="D26" s="357" t="inlineStr">
        <is>
          <t>Rp</t>
        </is>
      </c>
      <c r="E26" s="358">
        <f>'Revenue-Cost_2030'!M84</f>
        <v/>
      </c>
      <c r="F26" s="332" t="n"/>
      <c r="G26" s="359" t="n"/>
      <c r="H26" s="360" t="inlineStr">
        <is>
          <t>TOTAL AKTIVA LAIN LAIN</t>
        </is>
      </c>
      <c r="I26" s="357" t="inlineStr">
        <is>
          <t>Rp</t>
        </is>
      </c>
      <c r="J26" s="358">
        <f>SUM(J25:J25)</f>
        <v/>
      </c>
    </row>
    <row r="27" ht="15" customHeight="1">
      <c r="A27" s="347" t="n"/>
      <c r="B27" s="355" t="n"/>
      <c r="C27" s="356" t="inlineStr">
        <is>
          <t>ADMINISTRASI</t>
        </is>
      </c>
      <c r="D27" s="357" t="inlineStr">
        <is>
          <t>Rp</t>
        </is>
      </c>
      <c r="E27" s="358">
        <f>'Revenue-Cost_2030'!N84</f>
        <v/>
      </c>
      <c r="F27" s="332" t="n"/>
      <c r="G27" s="359" t="n"/>
      <c r="H27" s="360" t="n"/>
      <c r="I27" s="361" t="n"/>
      <c r="J27" s="358" t="n"/>
    </row>
    <row r="28" ht="15" customHeight="1">
      <c r="A28" s="347" t="n"/>
      <c r="B28" s="355" t="n"/>
      <c r="C28" s="356" t="inlineStr">
        <is>
          <t>PEMBELIAN BARANG</t>
        </is>
      </c>
      <c r="D28" s="357" t="inlineStr">
        <is>
          <t>Rp</t>
        </is>
      </c>
      <c r="E28" s="358">
        <f>'Revenue-Cost_2030'!O84</f>
        <v/>
      </c>
      <c r="F28" s="332" t="n"/>
      <c r="G28" s="370" t="inlineStr">
        <is>
          <t>TOTAL AKTIVA</t>
        </is>
      </c>
      <c r="H28" s="356" t="n"/>
      <c r="I28" s="357" t="inlineStr">
        <is>
          <t>Rp</t>
        </is>
      </c>
      <c r="J28" s="358">
        <f>J26+J22+J16</f>
        <v/>
      </c>
    </row>
    <row r="29" ht="15" customHeight="1">
      <c r="A29" s="347" t="n"/>
      <c r="B29" s="355" t="n"/>
      <c r="C29" s="356" t="inlineStr">
        <is>
          <t>SEWA KANTOR</t>
        </is>
      </c>
      <c r="D29" s="357" t="inlineStr">
        <is>
          <t>Rp</t>
        </is>
      </c>
      <c r="E29" s="358">
        <f>'Revenue-Cost_2030'!P84</f>
        <v/>
      </c>
      <c r="F29" s="332" t="n"/>
      <c r="G29" s="359" t="n"/>
      <c r="H29" s="360" t="n"/>
      <c r="I29" s="361" t="n"/>
      <c r="J29" s="358" t="n"/>
    </row>
    <row r="30" ht="15" customHeight="1">
      <c r="A30" s="347" t="n"/>
      <c r="B30" s="355" t="n"/>
      <c r="C30" s="356" t="inlineStr">
        <is>
          <t>KESEHATAN</t>
        </is>
      </c>
      <c r="D30" s="357" t="inlineStr">
        <is>
          <t>Rp</t>
        </is>
      </c>
      <c r="E30" s="358">
        <f>'Revenue-Cost_2030'!Q84</f>
        <v/>
      </c>
      <c r="F30" s="332" t="n"/>
      <c r="G30" s="359" t="inlineStr">
        <is>
          <t>HUTANG DAN MODAL</t>
        </is>
      </c>
      <c r="H30" s="360" t="n"/>
      <c r="I30" s="361" t="n"/>
      <c r="J30" s="358" t="n"/>
    </row>
    <row r="31" ht="15" customHeight="1">
      <c r="A31" s="347" t="n"/>
      <c r="B31" s="355" t="n"/>
      <c r="C31" s="356" t="inlineStr">
        <is>
          <t>BISNIS DEV</t>
        </is>
      </c>
      <c r="D31" s="357" t="inlineStr">
        <is>
          <t>Rp</t>
        </is>
      </c>
      <c r="E31" s="358">
        <f>'Revenue-Cost_2030'!R84</f>
        <v/>
      </c>
      <c r="F31" s="332" t="n"/>
      <c r="G31" s="359" t="n"/>
      <c r="H31" s="360" t="n"/>
      <c r="I31" s="361" t="n"/>
      <c r="J31" s="358" t="n"/>
    </row>
    <row r="32" ht="15" customHeight="1">
      <c r="A32" s="347" t="n"/>
      <c r="B32" s="355" t="n"/>
      <c r="C32" s="356" t="inlineStr">
        <is>
          <t>ASDASD</t>
        </is>
      </c>
      <c r="D32" s="357" t="inlineStr">
        <is>
          <t>Rp</t>
        </is>
      </c>
      <c r="E32" s="358">
        <f>'Revenue-Cost_2030'!S84</f>
        <v/>
      </c>
      <c r="F32" s="332" t="n"/>
      <c r="G32" s="359" t="inlineStr">
        <is>
          <t>HUTANG LANCAR</t>
        </is>
      </c>
      <c r="H32" s="360" t="n"/>
      <c r="I32" s="361" t="n"/>
      <c r="J32" s="358" t="n"/>
    </row>
    <row r="33" ht="15" customHeight="1">
      <c r="A33" s="347" t="n"/>
      <c r="B33" s="355" t="n"/>
      <c r="C33" s="356" t="inlineStr">
        <is>
          <t>MAKANAN JEPANG</t>
        </is>
      </c>
      <c r="D33" s="357" t="inlineStr">
        <is>
          <t>Rp</t>
        </is>
      </c>
      <c r="E33" s="358">
        <f>'Revenue-Cost_2030'!T84</f>
        <v/>
      </c>
      <c r="F33" s="332" t="n"/>
      <c r="G33" s="359" t="n"/>
      <c r="H33" s="360" t="inlineStr">
        <is>
          <t>HUTANG USAHA</t>
        </is>
      </c>
      <c r="I33" s="357" t="inlineStr">
        <is>
          <t>Rp</t>
        </is>
      </c>
      <c r="J33" s="358" t="n">
        <v>0</v>
      </c>
    </row>
    <row r="34" ht="15" customHeight="1">
      <c r="A34" s="347" t="n"/>
      <c r="B34" s="355" t="n"/>
      <c r="C34" s="356" t="inlineStr">
        <is>
          <t>AAAAA</t>
        </is>
      </c>
      <c r="D34" s="357" t="inlineStr">
        <is>
          <t>Rp</t>
        </is>
      </c>
      <c r="E34" s="358">
        <f>'Revenue-Cost_2030'!U84</f>
        <v/>
      </c>
      <c r="F34" s="332" t="n"/>
      <c r="G34" s="359" t="n"/>
      <c r="H34" s="356" t="inlineStr">
        <is>
          <t>HUTANG GAJI</t>
        </is>
      </c>
      <c r="I34" s="357" t="inlineStr">
        <is>
          <t>Rp</t>
        </is>
      </c>
      <c r="J34" s="358" t="n">
        <v>0</v>
      </c>
    </row>
    <row r="35" ht="15" customHeight="1">
      <c r="A35" s="347" t="n"/>
      <c r="B35" s="355" t="n"/>
      <c r="C35" s="356" t="inlineStr">
        <is>
          <t>BBBBB</t>
        </is>
      </c>
      <c r="D35" s="357" t="inlineStr">
        <is>
          <t>Rp</t>
        </is>
      </c>
      <c r="E35" s="358">
        <f>'Revenue-Cost_2030'!V84</f>
        <v/>
      </c>
      <c r="F35" s="332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47" t="n"/>
      <c r="B36" s="355" t="n"/>
      <c r="C36" s="356" t="inlineStr">
        <is>
          <t>ASDSAD</t>
        </is>
      </c>
      <c r="D36" s="357" t="inlineStr">
        <is>
          <t>Rp</t>
        </is>
      </c>
      <c r="E36" s="358">
        <f>'Revenue-Cost_2030'!W84</f>
        <v/>
      </c>
      <c r="F36" s="332" t="n"/>
      <c r="G36" s="359" t="n"/>
      <c r="H36" s="360" t="inlineStr">
        <is>
          <t>BIAYA YANG MASIH HARUS DI BAYAR</t>
        </is>
      </c>
      <c r="I36" s="357" t="inlineStr">
        <is>
          <t>Rp</t>
        </is>
      </c>
      <c r="J36" s="358" t="n">
        <v>0</v>
      </c>
    </row>
    <row r="37" ht="15" customHeight="1">
      <c r="A37" s="347" t="n"/>
      <c r="B37" s="355" t="n"/>
      <c r="C37" s="356" t="inlineStr">
        <is>
          <t>DFGDFGDFGD</t>
        </is>
      </c>
      <c r="D37" s="357" t="inlineStr">
        <is>
          <t>Rp</t>
        </is>
      </c>
      <c r="E37" s="358">
        <f>'Revenue-Cost_2030'!X84</f>
        <v/>
      </c>
      <c r="F37" s="332" t="n"/>
      <c r="G37" s="355" t="n"/>
      <c r="H37" s="356" t="n"/>
      <c r="I37" s="357" t="n"/>
      <c r="J37" s="358" t="n"/>
    </row>
    <row r="38" ht="15" customHeight="1">
      <c r="A38" s="347" t="n"/>
      <c r="B38" s="355" t="n"/>
      <c r="C38" s="356" t="inlineStr">
        <is>
          <t>12312</t>
        </is>
      </c>
      <c r="D38" s="357" t="inlineStr">
        <is>
          <t>Rp</t>
        </is>
      </c>
      <c r="E38" s="358">
        <f>'Revenue-Cost_2030'!Y84</f>
        <v/>
      </c>
      <c r="F38" s="332" t="n"/>
      <c r="G38" s="359" t="n"/>
      <c r="H38" s="360" t="inlineStr">
        <is>
          <t>TOTAL HUTANG LANCAR</t>
        </is>
      </c>
      <c r="I38" s="361" t="n"/>
      <c r="J38" s="358">
        <f>SUM(J33:J36)</f>
        <v/>
      </c>
    </row>
    <row r="39" ht="15" customHeight="1">
      <c r="A39" s="347" t="n"/>
      <c r="B39" s="362" t="inlineStr">
        <is>
          <t>TOTAL BIAYA ADMINISTRASI DAN UMUM</t>
        </is>
      </c>
      <c r="C39" s="363" t="n"/>
      <c r="D39" s="364" t="inlineStr">
        <is>
          <t>Rp</t>
        </is>
      </c>
      <c r="E39" s="365">
        <f>SUM(E26:E38)</f>
        <v/>
      </c>
      <c r="F39" s="332" t="n"/>
      <c r="G39" s="366" t="n"/>
      <c r="H39" s="367" t="n"/>
      <c r="I39" s="369" t="n"/>
      <c r="J39" s="365" t="n"/>
    </row>
    <row r="40" ht="15" customHeight="1">
      <c r="A40" s="347" t="n"/>
      <c r="B40" s="355" t="n"/>
      <c r="C40" s="356" t="n"/>
      <c r="D40" s="357" t="n"/>
      <c r="E40" s="358" t="n"/>
      <c r="F40" s="332" t="n"/>
      <c r="G40" s="359" t="inlineStr">
        <is>
          <t>MODAL</t>
        </is>
      </c>
      <c r="H40" s="360" t="n"/>
      <c r="I40" s="361" t="n"/>
      <c r="J40" s="358" t="n"/>
    </row>
    <row r="41" ht="15" customHeight="1">
      <c r="A41" s="347" t="n"/>
      <c r="B41" s="362" t="inlineStr">
        <is>
          <t>TOTAL BIAYA</t>
        </is>
      </c>
      <c r="C41" s="363" t="n"/>
      <c r="D41" s="364" t="inlineStr">
        <is>
          <t>Rp</t>
        </is>
      </c>
      <c r="E41" s="365">
        <f>E19+E23+E39</f>
        <v/>
      </c>
      <c r="F41" s="332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47" t="n"/>
      <c r="B42" s="355" t="n"/>
      <c r="C42" s="356" t="n"/>
      <c r="D42" s="357" t="n"/>
      <c r="E42" s="358" t="n"/>
      <c r="F42" s="332" t="n"/>
      <c r="G42" s="359" t="n"/>
      <c r="H42" s="360" t="inlineStr">
        <is>
          <t>LABA DI TAHAN</t>
        </is>
      </c>
      <c r="I42" s="357" t="inlineStr">
        <is>
          <t>Rp</t>
        </is>
      </c>
      <c r="J42" s="358" t="n">
        <v>0</v>
      </c>
    </row>
    <row r="43" ht="15" customHeight="1">
      <c r="A43" s="347" t="n"/>
      <c r="B43" s="348" t="inlineStr">
        <is>
          <t>PENDAPATAN/BEBAN LAIN LAIN</t>
        </is>
      </c>
      <c r="C43" s="349" t="n"/>
      <c r="D43" s="350" t="n"/>
      <c r="E43" s="351" t="n"/>
      <c r="F43" s="332" t="n"/>
      <c r="G43" s="352" t="n"/>
      <c r="H43" s="353" t="inlineStr">
        <is>
          <t>TOTAL LABA (RUGI) DITAHAN</t>
        </is>
      </c>
      <c r="I43" s="350" t="inlineStr">
        <is>
          <t>Rp</t>
        </is>
      </c>
      <c r="J43" s="351">
        <f>J28-J38-J41-J42</f>
        <v/>
      </c>
    </row>
    <row r="44" ht="15" customHeight="1">
      <c r="A44" s="347" t="n"/>
      <c r="B44" s="355" t="n"/>
      <c r="C44" s="356" t="inlineStr">
        <is>
          <t>PENDAPATAN LAIN LAIN</t>
        </is>
      </c>
      <c r="D44" s="357" t="inlineStr">
        <is>
          <t>Rp</t>
        </is>
      </c>
      <c r="E44" s="358" t="n">
        <v>0</v>
      </c>
      <c r="F44" s="332" t="n"/>
      <c r="G44" s="359" t="n"/>
      <c r="H44" s="360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5" customHeight="1">
      <c r="A45" s="347" t="n"/>
      <c r="B45" s="355" t="n"/>
      <c r="C45" s="356" t="n"/>
      <c r="D45" s="357" t="n"/>
      <c r="E45" s="358" t="n"/>
      <c r="F45" s="332" t="n"/>
      <c r="G45" s="359" t="n"/>
      <c r="H45" s="360" t="n"/>
      <c r="I45" s="361" t="n"/>
      <c r="J45" s="358" t="n"/>
    </row>
    <row r="46" ht="15" customHeight="1">
      <c r="A46" s="347" t="n"/>
      <c r="B46" s="362" t="inlineStr">
        <is>
          <t>LABA RUGI SEBELUM PAJAK</t>
        </is>
      </c>
      <c r="C46" s="363" t="n"/>
      <c r="D46" s="364" t="inlineStr">
        <is>
          <t>Rp</t>
        </is>
      </c>
      <c r="E46" s="365">
        <f>E12-E41</f>
        <v/>
      </c>
      <c r="F46" s="332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47" t="n"/>
      <c r="B47" s="355" t="n"/>
      <c r="C47" s="356" t="n"/>
      <c r="D47" s="357" t="n"/>
      <c r="E47" s="358" t="n"/>
      <c r="F47" s="332" t="n"/>
      <c r="G47" s="355" t="n"/>
      <c r="H47" s="356" t="n"/>
      <c r="I47" s="357" t="n"/>
      <c r="J47" s="358" t="n"/>
    </row>
    <row r="48" ht="15" customHeight="1">
      <c r="A48" s="347" t="n"/>
      <c r="B48" s="362" t="inlineStr">
        <is>
          <t>CORPORATE TAX (PPh 29)</t>
        </is>
      </c>
      <c r="C48" s="363" t="n"/>
      <c r="D48" s="364" t="inlineStr">
        <is>
          <t>Rp</t>
        </is>
      </c>
      <c r="E48" s="365" t="n">
        <v>0</v>
      </c>
      <c r="F48" s="347" t="n"/>
      <c r="G48" s="362" t="n"/>
      <c r="H48" s="363" t="n"/>
      <c r="I48" s="364" t="n"/>
      <c r="J48" s="365" t="n"/>
    </row>
    <row r="49" ht="15" customHeight="1">
      <c r="A49" s="347" t="n"/>
      <c r="B49" s="355" t="n"/>
      <c r="C49" s="356" t="n"/>
      <c r="D49" s="357" t="n"/>
      <c r="E49" s="358" t="n"/>
      <c r="F49" s="347" t="n"/>
      <c r="G49" s="355" t="n"/>
      <c r="H49" s="356" t="n"/>
      <c r="I49" s="357" t="n"/>
      <c r="J49" s="358" t="n"/>
    </row>
    <row r="50" ht="15" customHeight="1">
      <c r="A50" s="347" t="n"/>
      <c r="B50" s="371" t="inlineStr">
        <is>
          <t>LABA / RUGI BERSIH</t>
        </is>
      </c>
      <c r="C50" s="372" t="n"/>
      <c r="D50" s="373" t="inlineStr">
        <is>
          <t>Rp</t>
        </is>
      </c>
      <c r="E50" s="374">
        <f>E46-E48</f>
        <v/>
      </c>
      <c r="F50" s="347" t="n"/>
      <c r="G50" s="371" t="n"/>
      <c r="H50" s="372" t="n"/>
      <c r="I50" s="373" t="n"/>
      <c r="J50" s="374" t="n"/>
    </row>
    <row r="51" ht="14.25" customHeight="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 ht="14.25" customHeight="1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375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376" t="inlineStr">
        <is>
          <t>Direktur</t>
        </is>
      </c>
      <c r="D54" s="347" t="n"/>
      <c r="E54" s="347" t="n"/>
      <c r="F54" s="347" t="n"/>
      <c r="G54" s="347" t="n"/>
      <c r="H54" s="376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" customHeight="1">
      <c r="A3" s="329" t="n"/>
      <c r="B3" s="331" t="inlineStr">
        <is>
          <t>PT. EXSPAN WIRELINE INDONESIA</t>
        </is>
      </c>
      <c r="F3" s="332" t="n"/>
    </row>
    <row r="4" ht="20.4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32" t="n"/>
    </row>
    <row r="7" ht="20" customHeight="1">
      <c r="A7" s="329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SUM('Revenue-Cost_2030'!L8:L8)</f>
        <v/>
      </c>
      <c r="F7" s="332" t="n"/>
    </row>
    <row r="8" ht="20" customHeight="1">
      <c r="A8" s="329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E7-SUM('Revenue-Cost_2030'!N8:N8)</f>
        <v/>
      </c>
      <c r="F8" s="332" t="n"/>
    </row>
    <row r="9" ht="20" customHeight="1">
      <c r="A9" s="329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SUM('Revenue-Cost_2030'!I84:Y84)</f>
        <v/>
      </c>
      <c r="F9" s="332" t="n"/>
    </row>
    <row r="10" ht="20" customHeight="1">
      <c r="A10" s="329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32" t="n"/>
    </row>
    <row r="11" ht="20" customHeight="1">
      <c r="A11" s="329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32" t="n"/>
    </row>
    <row r="12" ht="20" customHeight="1">
      <c r="A12" s="329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SUM('Revenue-Cost_2030'!N8:N8)</f>
        <v/>
      </c>
      <c r="F12" s="332" t="n"/>
    </row>
    <row r="13" ht="20" customHeight="1">
      <c r="A13" s="329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32" t="n"/>
    </row>
    <row r="14" ht="20" customHeight="1">
      <c r="A14" s="329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32" t="n"/>
    </row>
    <row r="15" ht="20" customHeight="1">
      <c r="A15" s="329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32" t="n"/>
    </row>
    <row r="16" ht="20" customHeight="1">
      <c r="A16" s="329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0</v>
      </c>
      <c r="F16" s="332" t="n"/>
    </row>
    <row r="17" ht="13.9" customHeight="1">
      <c r="A17" s="329" t="n"/>
      <c r="B17" s="329" t="n"/>
      <c r="C17" s="329" t="n"/>
      <c r="D17" s="329" t="n"/>
      <c r="E17" s="330" t="n"/>
      <c r="F17" s="332" t="n"/>
    </row>
    <row r="18" ht="17.65" customHeight="1">
      <c r="A18" s="329" t="n"/>
      <c r="B18" s="384" t="inlineStr">
        <is>
          <t>DEVIDEN</t>
        </is>
      </c>
      <c r="F18" s="332" t="n"/>
    </row>
    <row r="19" ht="20" customHeight="1">
      <c r="A19" s="329" t="n"/>
      <c r="B19" s="385" t="inlineStr">
        <is>
          <t>#</t>
        </is>
      </c>
      <c r="C19" s="385" t="inlineStr">
        <is>
          <t>Nama Lengkap</t>
        </is>
      </c>
      <c r="D19" s="386" t="inlineStr"/>
      <c r="E19" s="387" t="inlineStr">
        <is>
          <t>Amount</t>
        </is>
      </c>
      <c r="F19" s="332" t="inlineStr"/>
      <c r="G19" s="388" t="inlineStr">
        <is>
          <t>Pajak</t>
        </is>
      </c>
    </row>
    <row r="20" ht="18" customHeight="1">
      <c r="A20" s="329" t="n"/>
      <c r="B20" s="389" t="n"/>
      <c r="C20" s="390" t="n"/>
      <c r="D20" s="380" t="n"/>
      <c r="E20" s="391" t="n"/>
      <c r="F20" s="332" t="n"/>
      <c r="G20" s="392" t="n"/>
    </row>
    <row r="21" ht="48.75" customHeight="1">
      <c r="A21" s="393" t="n"/>
      <c r="F21" s="332" t="n"/>
    </row>
    <row r="22" ht="14.25" customHeight="1">
      <c r="A22" s="393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2026-04-19T18:27:33Z</dcterms:modified>
  <cp:lastModifiedBy>Diofavian - Student</cp:lastModifiedBy>
</cp:coreProperties>
</file>