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3" fontId="10" fillId="12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5" fontId="10" fillId="12" borderId="15" pivotButton="0" quotePrefix="0" xfId="0"/>
    <xf numFmtId="15" fontId="27" fillId="12" borderId="15" pivotButton="0" quotePrefix="0" xfId="0"/>
    <xf numFmtId="164" fontId="8" fillId="11" borderId="15" applyAlignment="1" pivotButton="0" quotePrefix="0" xfId="0">
      <alignment horizontal="left"/>
    </xf>
    <xf numFmtId="15" fontId="27" fillId="12" borderId="15" applyAlignment="1" pivotButton="0" quotePrefix="0" xfId="0">
      <alignment horizontal="righ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 vertical="center" wrapText="1"/>
    </xf>
    <xf numFmtId="43" fontId="8" fillId="12" borderId="15" pivotButton="0" quotePrefix="0" xfId="0"/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165" fontId="8" fillId="12" borderId="15" pivotButton="0" quotePrefix="0" xfId="1"/>
    <xf numFmtId="0" fontId="18" fillId="11" borderId="15" applyAlignment="1" pivotButton="0" quotePrefix="0" xfId="0">
      <alignment horizontal="left" vertical="center"/>
    </xf>
    <xf numFmtId="0" fontId="19" fillId="11" borderId="15" pivotButton="0" quotePrefix="0" xfId="0"/>
    <xf numFmtId="0" fontId="10" fillId="11" borderId="15" applyAlignment="1" pivotButton="0" quotePrefix="0" xfId="0">
      <alignment horizontal="right"/>
    </xf>
    <xf numFmtId="15" fontId="27" fillId="12" borderId="15" applyAlignment="1" pivotButton="0" quotePrefix="0" xfId="0">
      <alignment vertical="center"/>
    </xf>
    <xf numFmtId="15" fontId="10" fillId="12" borderId="15" applyAlignment="1" pivotButton="0" quotePrefix="0" xfId="0">
      <alignment vertical="center"/>
    </xf>
    <xf numFmtId="15" fontId="27" fillId="12" borderId="15" applyAlignment="1" pivotButton="0" quotePrefix="0" xfId="0">
      <alignment vertical="center"/>
    </xf>
    <xf numFmtId="15" fontId="8" fillId="12" borderId="15" applyAlignment="1" pivotButton="0" quotePrefix="0" xfId="0">
      <alignment vertical="center"/>
    </xf>
    <xf numFmtId="169" fontId="25" fillId="0" borderId="15" applyAlignment="1" pivotButton="0" quotePrefix="0" xfId="4">
      <alignment horizontal="right" vertical="center"/>
    </xf>
    <xf numFmtId="3" fontId="25" fillId="0" borderId="15" applyAlignment="1" pivotButton="0" quotePrefix="0" xfId="0">
      <alignment vertical="top"/>
    </xf>
    <xf numFmtId="3" fontId="25" fillId="0" borderId="15" pivotButton="0" quotePrefix="0" xfId="0"/>
    <xf numFmtId="169" fontId="28" fillId="0" borderId="4" applyAlignment="1" pivotButton="0" quotePrefix="0" xfId="4">
      <alignment horizontal="center"/>
    </xf>
    <xf numFmtId="169" fontId="25" fillId="0" borderId="4" applyAlignment="1" pivotButton="0" quotePrefix="0" xfId="4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3619500" cy="933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646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3619500" cy="933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3619500" cy="933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86" t="n">
        <v>45657</v>
      </c>
      <c r="C102" s="278" t="n">
        <v>55</v>
      </c>
      <c r="D102" s="280" t="inlineStr">
        <is>
          <t>qweqwe</t>
        </is>
      </c>
      <c r="E102" s="280" t="inlineStr">
        <is>
          <t>Advance</t>
        </is>
      </c>
      <c r="F102" s="287" t="n">
        <v>123123</v>
      </c>
      <c r="G102" s="282" t="inlineStr">
        <is>
          <t>IDR</t>
        </is>
      </c>
      <c r="H102" s="288" t="n">
        <v>1</v>
      </c>
      <c r="I102" s="289" t="n"/>
      <c r="J102" s="293" t="n">
        <v>123123</v>
      </c>
      <c r="K102" s="290" t="n"/>
      <c r="L102" s="280" t="n"/>
      <c r="M102" s="280" t="n"/>
      <c r="N102" s="280" t="n"/>
      <c r="O102" s="280" t="n"/>
      <c r="P102" s="280" t="n"/>
      <c r="Q102" s="280" t="n"/>
      <c r="R102" s="292" t="n"/>
      <c r="S102" s="292" t="n"/>
      <c r="T102" s="292" t="n"/>
      <c r="U102" s="292" t="n"/>
      <c r="V102" s="292" t="n"/>
      <c r="W102" s="292" t="n"/>
      <c r="X102" s="292" t="n"/>
      <c r="Y102" s="292" t="n"/>
    </row>
    <row r="103" ht="15.5" customHeight="1">
      <c r="B103" s="277" t="n"/>
      <c r="C103" s="278" t="n"/>
      <c r="D103" s="279" t="inlineStr">
        <is>
          <t>Sewa Kantor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  <c r="Y103" s="285" t="n"/>
    </row>
    <row r="104" ht="15.5" customHeight="1">
      <c r="B104" s="286" t="n">
        <v>45632</v>
      </c>
      <c r="C104" s="278" t="n">
        <v>56</v>
      </c>
      <c r="D104" s="280" t="inlineStr">
        <is>
          <t>Sewa Virtual Office 1th, 1jan25 - 31des25_BBC_ Ganesha Dwipaya B</t>
        </is>
      </c>
      <c r="E104" s="280" t="inlineStr">
        <is>
          <t>BCA</t>
        </is>
      </c>
      <c r="F104" s="287" t="n">
        <v>4995000</v>
      </c>
      <c r="G104" s="282" t="inlineStr">
        <is>
          <t>IDR</t>
        </is>
      </c>
      <c r="H104" s="288" t="n">
        <v>1</v>
      </c>
      <c r="I104" s="289" t="n"/>
      <c r="J104" s="289" t="n"/>
      <c r="K104" s="290" t="n"/>
      <c r="L104" s="280" t="n"/>
      <c r="M104" s="280" t="n"/>
      <c r="N104" s="280" t="n"/>
      <c r="O104" s="280" t="n"/>
      <c r="P104" s="291" t="n">
        <v>4995000</v>
      </c>
      <c r="Q104" s="280" t="n"/>
      <c r="R104" s="292" t="n"/>
      <c r="S104" s="292" t="n"/>
      <c r="T104" s="292" t="n"/>
      <c r="U104" s="292" t="n"/>
      <c r="V104" s="292" t="n"/>
      <c r="W104" s="292" t="n"/>
      <c r="X104" s="292" t="n"/>
      <c r="Y104" s="292" t="n"/>
    </row>
    <row r="105" ht="15.5" customHeight="1">
      <c r="B105" s="295" t="n"/>
      <c r="C105" s="296" t="n"/>
      <c r="D105" s="297" t="inlineStr">
        <is>
          <t>OPERATION COST AND OFFICE - Expenses Report</t>
        </is>
      </c>
      <c r="E105" s="298" t="n"/>
      <c r="F105" s="299" t="n"/>
      <c r="G105" s="296" t="n"/>
      <c r="H105" s="296" t="n"/>
      <c r="I105" s="300" t="n"/>
      <c r="J105" s="301" t="n"/>
      <c r="K105" s="302" t="n"/>
      <c r="L105" s="302" t="n"/>
      <c r="M105" s="302" t="n"/>
      <c r="N105" s="302" t="n"/>
      <c r="O105" s="302" t="n"/>
      <c r="P105" s="302" t="n"/>
      <c r="Q105" s="302" t="n"/>
      <c r="R105" s="303" t="n"/>
      <c r="S105" s="303" t="n"/>
      <c r="T105" s="303" t="n"/>
      <c r="U105" s="303" t="n"/>
      <c r="V105" s="303" t="n"/>
      <c r="W105" s="303" t="n"/>
      <c r="X105" s="303" t="n"/>
      <c r="Y105" s="303" t="n"/>
    </row>
    <row r="106" ht="15.5" customHeight="1">
      <c r="B106" s="304" t="inlineStr">
        <is>
          <t>Expense#1</t>
        </is>
      </c>
      <c r="C106" s="305" t="inlineStr">
        <is>
          <t>:</t>
        </is>
      </c>
      <c r="D106" s="306" t="inlineStr">
        <is>
          <t>ALFA_ TLJ-58 (PEPZ4-Prabumulih field) SIJak- IC</t>
        </is>
      </c>
      <c r="E106" s="307" t="n"/>
      <c r="F106" s="308" t="n"/>
      <c r="G106" s="305" t="n"/>
      <c r="H106" s="305" t="n"/>
      <c r="I106" s="309" t="n"/>
      <c r="J106" s="310" t="n"/>
      <c r="K106" s="311" t="n"/>
      <c r="L106" s="311" t="n"/>
      <c r="M106" s="311" t="n"/>
      <c r="N106" s="311" t="n"/>
      <c r="O106" s="311" t="n"/>
      <c r="P106" s="311" t="n"/>
      <c r="Q106" s="311" t="n"/>
      <c r="R106" s="312" t="n"/>
      <c r="S106" s="312" t="n"/>
      <c r="T106" s="312" t="n"/>
      <c r="U106" s="312" t="n"/>
      <c r="V106" s="312" t="n"/>
      <c r="W106" s="312" t="n"/>
      <c r="X106" s="312" t="n"/>
      <c r="Y106" s="312" t="n"/>
    </row>
    <row r="107" ht="15.5" customHeight="1">
      <c r="B107" s="313" t="n"/>
      <c r="C107" s="278" t="n"/>
      <c r="D107" s="314" t="inlineStr">
        <is>
          <t>Biaya Operasi</t>
        </is>
      </c>
      <c r="E107" s="315" t="n"/>
      <c r="F107" s="316" t="n"/>
      <c r="G107" s="278" t="n"/>
      <c r="H107" s="278" t="n"/>
      <c r="I107" s="283" t="n"/>
      <c r="J107" s="284" t="n"/>
      <c r="K107" s="279" t="n"/>
      <c r="L107" s="279" t="n"/>
      <c r="M107" s="279" t="n"/>
      <c r="N107" s="279" t="n"/>
      <c r="O107" s="279" t="n"/>
      <c r="P107" s="279" t="n"/>
      <c r="Q107" s="279" t="n"/>
      <c r="R107" s="285" t="n"/>
      <c r="S107" s="285" t="n"/>
      <c r="T107" s="285" t="n"/>
      <c r="U107" s="285" t="n"/>
      <c r="V107" s="285" t="n"/>
      <c r="W107" s="285" t="n"/>
      <c r="X107" s="285" t="n"/>
      <c r="Y107" s="285" t="n"/>
    </row>
    <row r="108" ht="15.5" customHeight="1">
      <c r="B108" s="286" t="n">
        <v>45329</v>
      </c>
      <c r="C108" s="278" t="n">
        <v>57</v>
      </c>
      <c r="D108" s="280" t="inlineStr">
        <is>
          <t>Airplane Ticket CGK-PLM</t>
        </is>
      </c>
      <c r="E108" s="280" t="inlineStr">
        <is>
          <t>-</t>
        </is>
      </c>
      <c r="F108" s="287" t="n">
        <v>1608000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1608000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Taxi Bintaro-CGK</t>
        </is>
      </c>
      <c r="E109" s="280" t="inlineStr">
        <is>
          <t>-</t>
        </is>
      </c>
      <c r="F109" s="287" t="n">
        <v>250000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250000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7 Feb-8 Feb 2024 (1 days)</t>
        </is>
      </c>
      <c r="E110" s="280" t="inlineStr">
        <is>
          <t>-</t>
        </is>
      </c>
      <c r="F110" s="287" t="n">
        <v>200000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200000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45329</v>
      </c>
      <c r="C111" s="278" t="n">
        <v>60</v>
      </c>
      <c r="D111" s="280" t="inlineStr">
        <is>
          <t>Hotel Prabumulih 8 Feb- 7 Mar 2024 (1 Month)</t>
        </is>
      </c>
      <c r="E111" s="280" t="inlineStr">
        <is>
          <t>-</t>
        </is>
      </c>
      <c r="F111" s="287" t="n">
        <v>3300000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3300000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1 Hari</t>
        </is>
      </c>
      <c r="E112" s="280" t="inlineStr">
        <is>
          <t>-</t>
        </is>
      </c>
      <c r="F112" s="287" t="n">
        <v>900000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900000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45330</v>
      </c>
      <c r="C113" s="278" t="n">
        <v>62</v>
      </c>
      <c r="D113" s="280" t="inlineStr">
        <is>
          <t>Rental Mobil Pajero Sebulan</t>
        </is>
      </c>
      <c r="E113" s="280" t="inlineStr">
        <is>
          <t>-</t>
        </is>
      </c>
      <c r="F113" s="287" t="n">
        <v>18000000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18000000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Airplane Ticket PLM-CGK</t>
        </is>
      </c>
      <c r="E114" s="280" t="inlineStr">
        <is>
          <t>-</t>
        </is>
      </c>
      <c r="F114" s="287" t="n">
        <v>1119500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1119500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Taxi CGK-Bintaro</t>
        </is>
      </c>
      <c r="E115" s="280" t="inlineStr">
        <is>
          <t>-</t>
        </is>
      </c>
      <c r="F115" s="287" t="n">
        <v>250000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250000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Fuel</t>
        </is>
      </c>
      <c r="E116" s="280" t="inlineStr">
        <is>
          <t>-</t>
        </is>
      </c>
      <c r="F116" s="287" t="n">
        <v>1498484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1498484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Toll Fee</t>
        </is>
      </c>
      <c r="E117" s="280" t="inlineStr">
        <is>
          <t>-</t>
        </is>
      </c>
      <c r="F117" s="287" t="n">
        <v>378000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378000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1350000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 Crew's Operational</t>
        </is>
      </c>
      <c r="E119" s="280" t="inlineStr">
        <is>
          <t>-</t>
        </is>
      </c>
      <c r="F119" s="287" t="n">
        <v>1966300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1966300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Meals 27 days 1 Persons @ 150K IDR/day</t>
        </is>
      </c>
      <c r="E120" s="280" t="inlineStr">
        <is>
          <t>-</t>
        </is>
      </c>
      <c r="F120" s="287" t="n">
        <v>4050000</v>
      </c>
      <c r="G120" s="282" t="inlineStr">
        <is>
          <t>IDR</t>
        </is>
      </c>
      <c r="H120" s="288" t="n">
        <v>1</v>
      </c>
      <c r="I120" s="289" t="n"/>
      <c r="J120" s="289" t="n"/>
      <c r="K120" s="290" t="n"/>
      <c r="L120" s="291" t="n">
        <v>4050000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286" t="n">
        <v>45355</v>
      </c>
      <c r="C121" s="278" t="n">
        <v>70</v>
      </c>
      <c r="D121" s="280" t="inlineStr">
        <is>
          <t>Tunjangan Lapangan for 27 days</t>
        </is>
      </c>
      <c r="E121" s="280" t="inlineStr">
        <is>
          <t>-</t>
        </is>
      </c>
      <c r="F121" s="287" t="n">
        <v>42589800</v>
      </c>
      <c r="G121" s="282" t="inlineStr">
        <is>
          <t>USD</t>
        </is>
      </c>
      <c r="H121" s="288" t="n">
        <v>15774</v>
      </c>
      <c r="I121" s="289" t="n"/>
      <c r="J121" s="289" t="n"/>
      <c r="K121" s="290" t="n"/>
      <c r="L121" s="291" t="n">
        <v>42589800</v>
      </c>
      <c r="M121" s="280" t="n"/>
      <c r="N121" s="280" t="n"/>
      <c r="O121" s="280" t="n"/>
      <c r="P121" s="280" t="n"/>
      <c r="Q121" s="280" t="n"/>
      <c r="R121" s="292" t="n"/>
      <c r="S121" s="292" t="n"/>
      <c r="T121" s="292" t="n"/>
      <c r="U121" s="292" t="n"/>
      <c r="V121" s="292" t="n"/>
      <c r="W121" s="292" t="n"/>
      <c r="X121" s="292" t="n"/>
      <c r="Y121" s="292" t="n"/>
    </row>
    <row r="122" ht="15.5" customHeight="1">
      <c r="B122" s="313" t="n"/>
      <c r="C122" s="278" t="n"/>
      <c r="D122" s="314" t="inlineStr">
        <is>
          <t>Pembelian Barang</t>
        </is>
      </c>
      <c r="E122" s="315" t="n"/>
      <c r="F122" s="290" t="n"/>
      <c r="G122" s="278" t="n"/>
      <c r="H122" s="278" t="n"/>
      <c r="I122" s="284" t="n"/>
      <c r="J122" s="284" t="n"/>
      <c r="K122" s="279" t="n"/>
      <c r="L122" s="279" t="n"/>
      <c r="M122" s="279" t="n"/>
      <c r="N122" s="279" t="n"/>
      <c r="O122" s="279" t="n"/>
      <c r="P122" s="279" t="n"/>
      <c r="Q122" s="279" t="n"/>
      <c r="R122" s="285" t="n"/>
      <c r="S122" s="285" t="n"/>
      <c r="T122" s="285" t="n"/>
      <c r="U122" s="285" t="n"/>
      <c r="V122" s="285" t="n"/>
      <c r="W122" s="285" t="n"/>
      <c r="X122" s="285" t="n"/>
      <c r="Y122" s="285" t="n"/>
    </row>
    <row r="123" ht="15.5" customHeight="1">
      <c r="B123" s="286" t="n">
        <v>45329</v>
      </c>
      <c r="C123" s="278" t="n">
        <v>71</v>
      </c>
      <c r="D123" s="280" t="inlineStr">
        <is>
          <t>Gloves</t>
        </is>
      </c>
      <c r="E123" s="280" t="inlineStr">
        <is>
          <t>-</t>
        </is>
      </c>
      <c r="F123" s="287" t="n">
        <v>58500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58500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Battery A3</t>
        </is>
      </c>
      <c r="E124" s="280" t="inlineStr">
        <is>
          <t>-</t>
        </is>
      </c>
      <c r="F124" s="287" t="n">
        <v>82100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82100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45341</v>
      </c>
      <c r="C125" s="278" t="n">
        <v>73</v>
      </c>
      <c r="D125" s="280" t="inlineStr">
        <is>
          <t>Steker</t>
        </is>
      </c>
      <c r="E125" s="280" t="inlineStr">
        <is>
          <t>-</t>
        </is>
      </c>
      <c r="F125" s="287" t="n">
        <v>14000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14000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45344</v>
      </c>
      <c r="C126" s="278" t="n">
        <v>74</v>
      </c>
      <c r="D126" s="280" t="inlineStr">
        <is>
          <t>Gloves</t>
        </is>
      </c>
      <c r="E126" s="280" t="inlineStr">
        <is>
          <t>-</t>
        </is>
      </c>
      <c r="F126" s="287" t="n">
        <v>65000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65000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45347</v>
      </c>
      <c r="C127" s="278" t="n">
        <v>75</v>
      </c>
      <c r="D127" s="280" t="inlineStr">
        <is>
          <t>White Marker</t>
        </is>
      </c>
      <c r="E127" s="280" t="inlineStr">
        <is>
          <t>-</t>
        </is>
      </c>
      <c r="F127" s="287" t="n">
        <v>19000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19000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286" t="n">
        <v>45350</v>
      </c>
      <c r="C128" s="278" t="n">
        <v>76</v>
      </c>
      <c r="D128" s="280" t="inlineStr">
        <is>
          <t>Internet Data</t>
        </is>
      </c>
      <c r="E128" s="280" t="inlineStr">
        <is>
          <t>-</t>
        </is>
      </c>
      <c r="F128" s="287" t="n">
        <v>87000</v>
      </c>
      <c r="G128" s="282" t="inlineStr">
        <is>
          <t>IDR</t>
        </is>
      </c>
      <c r="H128" s="288" t="n">
        <v>1</v>
      </c>
      <c r="I128" s="289" t="n"/>
      <c r="J128" s="289" t="n"/>
      <c r="K128" s="290" t="n"/>
      <c r="L128" s="280" t="n"/>
      <c r="M128" s="280" t="n"/>
      <c r="N128" s="280" t="n"/>
      <c r="O128" s="291" t="n">
        <v>87000</v>
      </c>
      <c r="P128" s="280" t="n"/>
      <c r="Q128" s="280" t="n"/>
      <c r="R128" s="292" t="n"/>
      <c r="S128" s="292" t="n"/>
      <c r="T128" s="292" t="n"/>
      <c r="U128" s="292" t="n"/>
      <c r="V128" s="292" t="n"/>
      <c r="W128" s="292" t="n"/>
      <c r="X128" s="292" t="n"/>
      <c r="Y128" s="292" t="n"/>
    </row>
    <row r="129" ht="15.5" customHeight="1">
      <c r="B129" s="304" t="inlineStr">
        <is>
          <t>Expense#2</t>
        </is>
      </c>
      <c r="C129" s="305" t="inlineStr">
        <is>
          <t>:</t>
        </is>
      </c>
      <c r="D129" s="306" t="inlineStr">
        <is>
          <t>Training ALFA _TLJ-58 (PEPZ4-Prabumulih field_ Titis Maulana</t>
        </is>
      </c>
      <c r="E129" s="307" t="n"/>
      <c r="F129" s="308" t="n"/>
      <c r="G129" s="305" t="n"/>
      <c r="H129" s="305" t="n"/>
      <c r="I129" s="309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2" t="n"/>
      <c r="S129" s="312" t="n"/>
      <c r="T129" s="312" t="n"/>
      <c r="U129" s="312" t="n"/>
      <c r="V129" s="312" t="n"/>
      <c r="W129" s="312" t="n"/>
      <c r="X129" s="312" t="n"/>
      <c r="Y129" s="312" t="n"/>
    </row>
    <row r="130" ht="15.5" customHeight="1">
      <c r="B130" s="313" t="n"/>
      <c r="C130" s="278" t="n"/>
      <c r="D130" s="314" t="inlineStr">
        <is>
          <t>Biaya Operasi</t>
        </is>
      </c>
      <c r="E130" s="317" t="n"/>
      <c r="F130" s="316" t="n"/>
      <c r="G130" s="278" t="n"/>
      <c r="H130" s="278" t="n"/>
      <c r="I130" s="283" t="n"/>
      <c r="J130" s="284" t="n"/>
      <c r="K130" s="279" t="n"/>
      <c r="L130" s="279" t="n"/>
      <c r="M130" s="283" t="n"/>
      <c r="N130" s="279" t="n"/>
      <c r="O130" s="279" t="n"/>
      <c r="P130" s="279" t="n"/>
      <c r="Q130" s="279" t="n"/>
      <c r="R130" s="285" t="n"/>
      <c r="S130" s="285" t="n"/>
      <c r="T130" s="285" t="n"/>
      <c r="U130" s="285" t="n"/>
      <c r="V130" s="285" t="n"/>
      <c r="W130" s="285" t="n"/>
      <c r="X130" s="285" t="n"/>
      <c r="Y130" s="285" t="n"/>
    </row>
    <row r="131" ht="15.5" customHeight="1">
      <c r="B131" s="286" t="n">
        <v>45329</v>
      </c>
      <c r="C131" s="278" t="n">
        <v>77</v>
      </c>
      <c r="D131" s="280" t="inlineStr">
        <is>
          <t>Taxi Pondok Cabe-CGK</t>
        </is>
      </c>
      <c r="E131" s="280" t="inlineStr">
        <is>
          <t>-</t>
        </is>
      </c>
      <c r="F131" s="287" t="n">
        <v>250000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250000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45355</v>
      </c>
      <c r="C132" s="278" t="n">
        <v>78</v>
      </c>
      <c r="D132" s="280" t="inlineStr">
        <is>
          <t>Fuel</t>
        </is>
      </c>
      <c r="E132" s="280" t="inlineStr">
        <is>
          <t>-</t>
        </is>
      </c>
      <c r="F132" s="287" t="n">
        <v>200000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200000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45357</v>
      </c>
      <c r="C133" s="278" t="n">
        <v>79</v>
      </c>
      <c r="D133" s="280" t="inlineStr">
        <is>
          <t>Airplane Ticket PLM-CGK</t>
        </is>
      </c>
      <c r="E133" s="280" t="inlineStr">
        <is>
          <t>-</t>
        </is>
      </c>
      <c r="F133" s="287" t="n">
        <v>1000106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1000106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Taxi CGK-Pondok Cabe</t>
        </is>
      </c>
      <c r="E134" s="280" t="inlineStr">
        <is>
          <t>-</t>
        </is>
      </c>
      <c r="F134" s="287" t="n">
        <v>250000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250000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Toll Fee</t>
        </is>
      </c>
      <c r="E135" s="280" t="inlineStr">
        <is>
          <t>-</t>
        </is>
      </c>
      <c r="F135" s="287" t="n">
        <v>105000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105000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Laundry 30 days 1 Persons @ 50K IDR/day</t>
        </is>
      </c>
      <c r="E136" s="280" t="inlineStr">
        <is>
          <t>-</t>
        </is>
      </c>
      <c r="F136" s="287" t="n">
        <v>1500000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1500000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Meals 30 days 1 Persons @ 150K IDR/day</t>
        </is>
      </c>
      <c r="E137" s="280" t="inlineStr">
        <is>
          <t>-</t>
        </is>
      </c>
      <c r="F137" s="287" t="n">
        <v>4500000</v>
      </c>
      <c r="G137" s="282" t="inlineStr">
        <is>
          <t>IDR</t>
        </is>
      </c>
      <c r="H137" s="288" t="n">
        <v>1</v>
      </c>
      <c r="I137" s="289" t="n"/>
      <c r="J137" s="289" t="n"/>
      <c r="K137" s="290" t="n"/>
      <c r="L137" s="291" t="n">
        <v>4500000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286" t="n">
        <v>45358</v>
      </c>
      <c r="C138" s="278" t="n">
        <v>84</v>
      </c>
      <c r="D138" s="280" t="inlineStr">
        <is>
          <t>Tunjangan Lapangan (Training) untuk 27 days</t>
        </is>
      </c>
      <c r="E138" s="280" t="inlineStr">
        <is>
          <t>-</t>
        </is>
      </c>
      <c r="F138" s="287" t="n">
        <v>11705250</v>
      </c>
      <c r="G138" s="282" t="inlineStr">
        <is>
          <t>USD</t>
        </is>
      </c>
      <c r="H138" s="288" t="n">
        <v>15607</v>
      </c>
      <c r="I138" s="289" t="n"/>
      <c r="J138" s="289" t="n"/>
      <c r="K138" s="290" t="n"/>
      <c r="L138" s="291" t="n">
        <v>11705250</v>
      </c>
      <c r="M138" s="280" t="n"/>
      <c r="N138" s="280" t="n"/>
      <c r="O138" s="280" t="n"/>
      <c r="P138" s="280" t="n"/>
      <c r="Q138" s="280" t="n"/>
      <c r="R138" s="292" t="n"/>
      <c r="S138" s="292" t="n"/>
      <c r="T138" s="292" t="n"/>
      <c r="U138" s="292" t="n"/>
      <c r="V138" s="292" t="n"/>
      <c r="W138" s="292" t="n"/>
      <c r="X138" s="292" t="n"/>
      <c r="Y138" s="292" t="n"/>
    </row>
    <row r="139" ht="15.5" customHeight="1">
      <c r="B139" s="313" t="n"/>
      <c r="C139" s="278" t="n"/>
      <c r="D139" s="314" t="inlineStr">
        <is>
          <t>Pembelian Barang</t>
        </is>
      </c>
      <c r="E139" s="280" t="n"/>
      <c r="F139" s="316" t="n"/>
      <c r="G139" s="278" t="n"/>
      <c r="H139" s="278" t="n"/>
      <c r="I139" s="279" t="n"/>
      <c r="J139" s="284" t="n"/>
      <c r="K139" s="279" t="n"/>
      <c r="L139" s="279" t="n"/>
      <c r="M139" s="283" t="n"/>
      <c r="N139" s="284" t="n"/>
      <c r="O139" s="279" t="n"/>
      <c r="P139" s="279" t="n"/>
      <c r="Q139" s="279" t="n"/>
      <c r="R139" s="285" t="n"/>
      <c r="S139" s="285" t="n"/>
      <c r="T139" s="285" t="n"/>
      <c r="U139" s="285" t="n"/>
      <c r="V139" s="285" t="n"/>
      <c r="W139" s="285" t="n"/>
      <c r="X139" s="285" t="n"/>
      <c r="Y139" s="285" t="n"/>
    </row>
    <row r="140" ht="15.5" customHeight="1">
      <c r="B140" s="286" t="n">
        <v>45324</v>
      </c>
      <c r="C140" s="278" t="n">
        <v>85</v>
      </c>
      <c r="D140" s="280" t="inlineStr">
        <is>
          <t>Safety Shoes</t>
        </is>
      </c>
      <c r="E140" s="280" t="inlineStr">
        <is>
          <t>-</t>
        </is>
      </c>
      <c r="F140" s="287" t="n">
        <v>499940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499940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45354</v>
      </c>
      <c r="C141" s="278" t="n">
        <v>86</v>
      </c>
      <c r="D141" s="280" t="inlineStr">
        <is>
          <t>Internet Data</t>
        </is>
      </c>
      <c r="E141" s="280" t="inlineStr">
        <is>
          <t>-</t>
        </is>
      </c>
      <c r="F141" s="287" t="n">
        <v>70000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70000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286" t="n">
        <v>45358</v>
      </c>
      <c r="C142" s="278" t="n">
        <v>87</v>
      </c>
      <c r="D142" s="280" t="inlineStr">
        <is>
          <t>Extra Baggage</t>
        </is>
      </c>
      <c r="E142" s="280" t="inlineStr">
        <is>
          <t>-</t>
        </is>
      </c>
      <c r="F142" s="287" t="n">
        <v>540000</v>
      </c>
      <c r="G142" s="282" t="inlineStr">
        <is>
          <t>IDR</t>
        </is>
      </c>
      <c r="H142" s="288" t="n">
        <v>1</v>
      </c>
      <c r="I142" s="289" t="n"/>
      <c r="J142" s="289" t="n"/>
      <c r="K142" s="290" t="n"/>
      <c r="L142" s="280" t="n"/>
      <c r="M142" s="280" t="n"/>
      <c r="N142" s="280" t="n"/>
      <c r="O142" s="291" t="n">
        <v>540000</v>
      </c>
      <c r="P142" s="280" t="n"/>
      <c r="Q142" s="280" t="n"/>
      <c r="R142" s="292" t="n"/>
      <c r="S142" s="292" t="n"/>
      <c r="T142" s="292" t="n"/>
      <c r="U142" s="292" t="n"/>
      <c r="V142" s="292" t="n"/>
      <c r="W142" s="292" t="n"/>
      <c r="X142" s="292" t="n"/>
      <c r="Y142" s="292" t="n"/>
    </row>
    <row r="143" ht="15.5" customHeight="1">
      <c r="B143" s="304" t="inlineStr">
        <is>
          <t>Expense#3</t>
        </is>
      </c>
      <c r="C143" s="305" t="inlineStr">
        <is>
          <t>:</t>
        </is>
      </c>
      <c r="D143" s="306" t="inlineStr">
        <is>
          <t>MPLT (SAKA-UjungPangkah field) GOWell - TGE _IC</t>
        </is>
      </c>
      <c r="E143" s="318" t="n"/>
      <c r="F143" s="308" t="n"/>
      <c r="G143" s="305" t="n"/>
      <c r="H143" s="305" t="n"/>
      <c r="I143" s="310" t="n"/>
      <c r="J143" s="310" t="n"/>
      <c r="K143" s="311" t="n"/>
      <c r="L143" s="311" t="n"/>
      <c r="M143" s="311" t="n"/>
      <c r="N143" s="311" t="n"/>
      <c r="O143" s="311" t="n"/>
      <c r="P143" s="311" t="n"/>
      <c r="Q143" s="311" t="n"/>
      <c r="R143" s="312" t="n"/>
      <c r="S143" s="312" t="n"/>
      <c r="T143" s="312" t="n"/>
      <c r="U143" s="312" t="n"/>
      <c r="V143" s="312" t="n"/>
      <c r="W143" s="312" t="n"/>
      <c r="X143" s="312" t="n"/>
      <c r="Y143" s="312" t="n"/>
    </row>
    <row r="144" ht="15.5" customHeight="1">
      <c r="B144" s="313" t="n"/>
      <c r="C144" s="278" t="n"/>
      <c r="D144" s="314" t="inlineStr">
        <is>
          <t>Biaya Operasi</t>
        </is>
      </c>
      <c r="E144" s="315" t="n"/>
      <c r="F144" s="316" t="n"/>
      <c r="G144" s="278" t="n"/>
      <c r="H144" s="319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  <c r="R144" s="285" t="n"/>
      <c r="S144" s="285" t="n"/>
      <c r="T144" s="285" t="n"/>
      <c r="U144" s="285" t="n"/>
      <c r="V144" s="285" t="n"/>
      <c r="W144" s="285" t="n"/>
      <c r="X144" s="285" t="n"/>
      <c r="Y144" s="285" t="n"/>
    </row>
    <row r="145" ht="15.5" customHeight="1">
      <c r="B145" s="286" t="n">
        <v>45370</v>
      </c>
      <c r="C145" s="278" t="n">
        <v>88</v>
      </c>
      <c r="D145" s="280" t="inlineStr">
        <is>
          <t>Taxi Bintaro-CGK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Taxi CGK-Bintaro</t>
        </is>
      </c>
      <c r="E146" s="280" t="inlineStr">
        <is>
          <t>-</t>
        </is>
      </c>
      <c r="F146" s="287" t="n">
        <v>250000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250000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Laundry 6 days 1 Persons @ 50K IDR/day</t>
        </is>
      </c>
      <c r="E147" s="280" t="inlineStr">
        <is>
          <t>-</t>
        </is>
      </c>
      <c r="F147" s="287" t="n">
        <v>300000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300000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Meals 6 days 1 Persons @ 150K IDR/day</t>
        </is>
      </c>
      <c r="E148" s="280" t="inlineStr">
        <is>
          <t>-</t>
        </is>
      </c>
      <c r="F148" s="287" t="n">
        <v>900000</v>
      </c>
      <c r="G148" s="282" t="inlineStr">
        <is>
          <t>IDR</t>
        </is>
      </c>
      <c r="H148" s="288" t="n">
        <v>1</v>
      </c>
      <c r="I148" s="289" t="n"/>
      <c r="J148" s="289" t="n"/>
      <c r="K148" s="290" t="n"/>
      <c r="L148" s="291" t="n">
        <v>900000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286" t="n">
        <v>45375</v>
      </c>
      <c r="C149" s="278" t="n">
        <v>92</v>
      </c>
      <c r="D149" s="280" t="inlineStr">
        <is>
          <t>Tunjangan Lapangan untuk 6 days</t>
        </is>
      </c>
      <c r="E149" s="280" t="inlineStr">
        <is>
          <t>-</t>
        </is>
      </c>
      <c r="F149" s="287" t="n">
        <v>9501000</v>
      </c>
      <c r="G149" s="282" t="inlineStr">
        <is>
          <t>USD</t>
        </is>
      </c>
      <c r="H149" s="288" t="n">
        <v>15835</v>
      </c>
      <c r="I149" s="289" t="n"/>
      <c r="J149" s="289" t="n"/>
      <c r="K149" s="290" t="n"/>
      <c r="L149" s="291" t="n">
        <v>9501000</v>
      </c>
      <c r="M149" s="280" t="n"/>
      <c r="N149" s="280" t="n"/>
      <c r="O149" s="280" t="n"/>
      <c r="P149" s="280" t="n"/>
      <c r="Q149" s="280" t="n"/>
      <c r="R149" s="292" t="n"/>
      <c r="S149" s="292" t="n"/>
      <c r="T149" s="292" t="n"/>
      <c r="U149" s="292" t="n"/>
      <c r="V149" s="292" t="n"/>
      <c r="W149" s="292" t="n"/>
      <c r="X149" s="292" t="n"/>
      <c r="Y149" s="292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5" t="n"/>
      <c r="H150" s="305" t="n"/>
      <c r="I150" s="310" t="n"/>
      <c r="J150" s="310" t="n"/>
      <c r="K150" s="311" t="n"/>
      <c r="L150" s="311" t="n"/>
      <c r="M150" s="311" t="n"/>
      <c r="N150" s="311" t="n"/>
      <c r="O150" s="311" t="n"/>
      <c r="P150" s="311" t="n"/>
      <c r="Q150" s="311" t="n"/>
      <c r="R150" s="312" t="n"/>
      <c r="S150" s="312" t="n"/>
      <c r="T150" s="312" t="n"/>
      <c r="U150" s="312" t="n"/>
      <c r="V150" s="312" t="n"/>
      <c r="W150" s="312" t="n"/>
      <c r="X150" s="312" t="n"/>
      <c r="Y150" s="312" t="n"/>
    </row>
    <row r="151" ht="15.5" customHeight="1">
      <c r="B151" s="313" t="n"/>
      <c r="C151" s="278" t="n"/>
      <c r="D151" s="314" t="inlineStr">
        <is>
          <t>Pembelian Barang</t>
        </is>
      </c>
      <c r="E151" s="320" t="n"/>
      <c r="F151" s="316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285" t="n"/>
      <c r="S151" s="285" t="n"/>
      <c r="T151" s="285" t="n"/>
      <c r="U151" s="285" t="n"/>
      <c r="V151" s="285" t="n"/>
      <c r="W151" s="285" t="n"/>
      <c r="X151" s="285" t="n"/>
      <c r="Y151" s="285" t="n"/>
    </row>
    <row r="152" ht="15.5" customHeight="1">
      <c r="B152" s="286" t="n">
        <v>45354</v>
      </c>
      <c r="C152" s="278" t="n">
        <v>93</v>
      </c>
      <c r="D152" s="280" t="inlineStr">
        <is>
          <t>Send Tool from Bintaro to Gowell</t>
        </is>
      </c>
      <c r="E152" s="280" t="inlineStr">
        <is>
          <t>-</t>
        </is>
      </c>
      <c r="F152" s="287" t="n">
        <v>168732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168732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A</t>
        </is>
      </c>
      <c r="E153" s="280" t="inlineStr">
        <is>
          <t>-</t>
        </is>
      </c>
      <c r="F153" s="287" t="n">
        <v>69009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69009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Cable type C to C</t>
        </is>
      </c>
      <c r="E154" s="280" t="inlineStr">
        <is>
          <t>-</t>
        </is>
      </c>
      <c r="F154" s="287" t="n">
        <v>145800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145800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Jack 3 Pin Socket</t>
        </is>
      </c>
      <c r="E155" s="280" t="inlineStr">
        <is>
          <t>-</t>
        </is>
      </c>
      <c r="F155" s="287" t="n">
        <v>20891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20891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Powerbank 2 ea 27kmah &amp; 52kmah</t>
        </is>
      </c>
      <c r="E156" s="280" t="inlineStr">
        <is>
          <t>-</t>
        </is>
      </c>
      <c r="F156" s="287" t="n">
        <v>3325760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3325760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Fluke-117</t>
        </is>
      </c>
      <c r="E157" s="280" t="inlineStr">
        <is>
          <t>-</t>
        </is>
      </c>
      <c r="F157" s="287" t="n">
        <v>4332000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4332000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45369</v>
      </c>
      <c r="C158" s="278" t="n">
        <v>99</v>
      </c>
      <c r="D158" s="280" t="inlineStr">
        <is>
          <t>Buy SANWA YX360TRF</t>
        </is>
      </c>
      <c r="E158" s="280" t="inlineStr">
        <is>
          <t>-</t>
        </is>
      </c>
      <c r="F158" s="287" t="n">
        <v>455600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455600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286" t="n">
        <v>45370</v>
      </c>
      <c r="C159" s="278" t="n">
        <v>100</v>
      </c>
      <c r="D159" s="280" t="inlineStr">
        <is>
          <t>Send Tool from Gowell to TGE</t>
        </is>
      </c>
      <c r="E159" s="280" t="inlineStr">
        <is>
          <t>-</t>
        </is>
      </c>
      <c r="F159" s="287" t="n">
        <v>168732</v>
      </c>
      <c r="G159" s="282" t="inlineStr">
        <is>
          <t>IDR</t>
        </is>
      </c>
      <c r="H159" s="288" t="n">
        <v>1</v>
      </c>
      <c r="I159" s="289" t="n"/>
      <c r="J159" s="289" t="n"/>
      <c r="K159" s="290" t="n"/>
      <c r="L159" s="280" t="n"/>
      <c r="M159" s="280" t="n"/>
      <c r="N159" s="280" t="n"/>
      <c r="O159" s="291" t="n">
        <v>168732</v>
      </c>
      <c r="P159" s="280" t="n"/>
      <c r="Q159" s="280" t="n"/>
      <c r="R159" s="292" t="n"/>
      <c r="S159" s="292" t="n"/>
      <c r="T159" s="292" t="n"/>
      <c r="U159" s="292" t="n"/>
      <c r="V159" s="292" t="n"/>
      <c r="W159" s="292" t="n"/>
      <c r="X159" s="292" t="n"/>
      <c r="Y159" s="292" t="n"/>
    </row>
    <row r="160" ht="15.5" customHeight="1">
      <c r="B160" s="304" t="inlineStr">
        <is>
          <t>Expense#5</t>
        </is>
      </c>
      <c r="C160" s="305" t="inlineStr">
        <is>
          <t>:</t>
        </is>
      </c>
      <c r="D160" s="306" t="inlineStr">
        <is>
          <t>MCU RS PP _Titis Maulana</t>
        </is>
      </c>
      <c r="E160" s="307" t="n"/>
      <c r="F160" s="308" t="n"/>
      <c r="G160" s="305" t="n"/>
      <c r="H160" s="305" t="n"/>
      <c r="I160" s="310" t="n"/>
      <c r="J160" s="310" t="n"/>
      <c r="K160" s="311" t="n"/>
      <c r="L160" s="311" t="n"/>
      <c r="M160" s="311" t="n"/>
      <c r="N160" s="310" t="n"/>
      <c r="O160" s="311" t="n"/>
      <c r="P160" s="311" t="n"/>
      <c r="Q160" s="311" t="n"/>
      <c r="R160" s="312" t="n"/>
      <c r="S160" s="312" t="n"/>
      <c r="T160" s="312" t="n"/>
      <c r="U160" s="312" t="n"/>
      <c r="V160" s="312" t="n"/>
      <c r="W160" s="312" t="n"/>
      <c r="X160" s="312" t="n"/>
      <c r="Y160" s="312" t="n"/>
    </row>
    <row r="161" ht="15.5" customHeight="1">
      <c r="B161" s="313" t="n"/>
      <c r="C161" s="278" t="n"/>
      <c r="D161" s="314" t="inlineStr">
        <is>
          <t>Kesehatan</t>
        </is>
      </c>
      <c r="E161" s="315" t="n"/>
      <c r="F161" s="316" t="n"/>
      <c r="G161" s="278" t="n"/>
      <c r="H161" s="278" t="n"/>
      <c r="I161" s="284" t="n"/>
      <c r="J161" s="284" t="n"/>
      <c r="K161" s="279" t="n"/>
      <c r="L161" s="279" t="n"/>
      <c r="M161" s="283" t="n"/>
      <c r="N161" s="284" t="n"/>
      <c r="O161" s="279" t="n"/>
      <c r="P161" s="279" t="n"/>
      <c r="Q161" s="279" t="n"/>
      <c r="R161" s="285" t="n"/>
      <c r="S161" s="285" t="n"/>
      <c r="T161" s="285" t="n"/>
      <c r="U161" s="285" t="n"/>
      <c r="V161" s="285" t="n"/>
      <c r="W161" s="285" t="n"/>
      <c r="X161" s="285" t="n"/>
      <c r="Y161" s="285" t="n"/>
    </row>
    <row r="162" ht="15.5" customHeight="1">
      <c r="B162" s="286" t="n">
        <v>45384</v>
      </c>
      <c r="C162" s="278" t="n">
        <v>101</v>
      </c>
      <c r="D162" s="280" t="inlineStr">
        <is>
          <t>MCU RS PP</t>
        </is>
      </c>
      <c r="E162" s="280" t="inlineStr">
        <is>
          <t>-</t>
        </is>
      </c>
      <c r="F162" s="287" t="n">
        <v>5407000</v>
      </c>
      <c r="G162" s="282" t="inlineStr">
        <is>
          <t>IDR</t>
        </is>
      </c>
      <c r="H162" s="288" t="n">
        <v>1</v>
      </c>
      <c r="I162" s="289" t="n"/>
      <c r="J162" s="289" t="n"/>
      <c r="K162" s="290" t="n"/>
      <c r="L162" s="280" t="n"/>
      <c r="M162" s="280" t="n"/>
      <c r="N162" s="280" t="n"/>
      <c r="O162" s="280" t="n"/>
      <c r="P162" s="280" t="n"/>
      <c r="Q162" s="291" t="n">
        <v>5407000</v>
      </c>
      <c r="R162" s="292" t="n"/>
      <c r="S162" s="292" t="n"/>
      <c r="T162" s="292" t="n"/>
      <c r="U162" s="292" t="n"/>
      <c r="V162" s="292" t="n"/>
      <c r="W162" s="292" t="n"/>
      <c r="X162" s="292" t="n"/>
      <c r="Y162" s="292" t="n"/>
    </row>
    <row r="163" ht="15.5" customHeight="1">
      <c r="B163" s="304" t="inlineStr">
        <is>
          <t>Expense#6</t>
        </is>
      </c>
      <c r="C163" s="305" t="inlineStr">
        <is>
          <t>:</t>
        </is>
      </c>
      <c r="D163" s="306" t="inlineStr">
        <is>
          <t>MPLT (SAKA-UjungPangkah field) by TGE - GOWell project_IC</t>
        </is>
      </c>
      <c r="E163" s="307" t="n"/>
      <c r="F163" s="308" t="n"/>
      <c r="G163" s="305" t="n"/>
      <c r="H163" s="305" t="n"/>
      <c r="I163" s="310" t="n"/>
      <c r="J163" s="310" t="n"/>
      <c r="K163" s="311" t="n"/>
      <c r="L163" s="311" t="n"/>
      <c r="M163" s="311" t="n"/>
      <c r="N163" s="310" t="n"/>
      <c r="O163" s="311" t="n"/>
      <c r="P163" s="311" t="n"/>
      <c r="Q163" s="311" t="n"/>
      <c r="R163" s="312" t="n"/>
      <c r="S163" s="312" t="n"/>
      <c r="T163" s="312" t="n"/>
      <c r="U163" s="312" t="n"/>
      <c r="V163" s="312" t="n"/>
      <c r="W163" s="312" t="n"/>
      <c r="X163" s="312" t="n"/>
      <c r="Y163" s="312" t="n"/>
    </row>
    <row r="164" ht="15.5" customHeight="1">
      <c r="B164" s="279" t="n"/>
      <c r="C164" s="321" t="n"/>
      <c r="D164" s="322" t="inlineStr">
        <is>
          <t>Biaya Operasi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285" t="n"/>
      <c r="S164" s="285" t="n"/>
      <c r="T164" s="285" t="n"/>
      <c r="U164" s="285" t="n"/>
      <c r="V164" s="285" t="n"/>
      <c r="W164" s="285" t="n"/>
      <c r="X164" s="285" t="n"/>
      <c r="Y164" s="285" t="n"/>
    </row>
    <row r="165" ht="15.5" customHeight="1">
      <c r="B165" s="286" t="n">
        <v>45385</v>
      </c>
      <c r="C165" s="278" t="n">
        <v>102</v>
      </c>
      <c r="D165" s="280" t="inlineStr">
        <is>
          <t>Send DTR Bintaro - Gowell</t>
        </is>
      </c>
      <c r="E165" s="280" t="inlineStr">
        <is>
          <t>-</t>
        </is>
      </c>
      <c r="F165" s="287" t="n">
        <v>38121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38121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Taxi Bintaro-CGK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45398</v>
      </c>
      <c r="C167" s="278" t="n">
        <v>104</v>
      </c>
      <c r="D167" s="280" t="inlineStr">
        <is>
          <t>Send QPS Gowell - TGE</t>
        </is>
      </c>
      <c r="E167" s="280" t="inlineStr">
        <is>
          <t>-</t>
        </is>
      </c>
      <c r="F167" s="287" t="n">
        <v>105879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105879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Taxi CGK-Bintaro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Laundry 5 days 1 Persons @ 50K IDR/day</t>
        </is>
      </c>
      <c r="E169" s="280" t="inlineStr">
        <is>
          <t>-</t>
        </is>
      </c>
      <c r="F169" s="287" t="n">
        <v>250000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250000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Meals 5 days 1 Persons @ 150K IDR/day</t>
        </is>
      </c>
      <c r="E170" s="280" t="inlineStr">
        <is>
          <t>-</t>
        </is>
      </c>
      <c r="F170" s="287" t="n">
        <v>750000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750000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45402</v>
      </c>
      <c r="C171" s="278" t="n">
        <v>108</v>
      </c>
      <c r="D171" s="280" t="inlineStr">
        <is>
          <t>Crews' Food</t>
        </is>
      </c>
      <c r="E171" s="280" t="inlineStr">
        <is>
          <t>-</t>
        </is>
      </c>
      <c r="F171" s="287" t="n">
        <v>160000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160000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ALFA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45403</v>
      </c>
      <c r="C173" s="278" t="n">
        <v>110</v>
      </c>
      <c r="D173" s="280" t="inlineStr">
        <is>
          <t>Send HPTC Bintaro - Andara</t>
        </is>
      </c>
      <c r="E173" s="280" t="inlineStr">
        <is>
          <t>-</t>
        </is>
      </c>
      <c r="F173" s="287" t="n">
        <v>39654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39654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45405</v>
      </c>
      <c r="C174" s="278" t="n">
        <v>111</v>
      </c>
      <c r="D174" s="280" t="inlineStr">
        <is>
          <t>Send BA Bintaro - TGE</t>
        </is>
      </c>
      <c r="E174" s="280" t="inlineStr">
        <is>
          <t>-</t>
        </is>
      </c>
      <c r="F174" s="287" t="n">
        <v>18000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18000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286" t="n">
        <v>45407</v>
      </c>
      <c r="C175" s="278" t="n">
        <v>112</v>
      </c>
      <c r="D175" s="280" t="inlineStr">
        <is>
          <t>Send MPLT TGE - Gowell</t>
        </is>
      </c>
      <c r="E175" s="280" t="inlineStr">
        <is>
          <t>-</t>
        </is>
      </c>
      <c r="F175" s="287" t="n">
        <v>167297</v>
      </c>
      <c r="G175" s="282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167297</v>
      </c>
      <c r="M175" s="280" t="n"/>
      <c r="N175" s="280" t="n"/>
      <c r="O175" s="280" t="n"/>
      <c r="P175" s="280" t="n"/>
      <c r="Q175" s="280" t="n"/>
      <c r="R175" s="292" t="n"/>
      <c r="S175" s="292" t="n"/>
      <c r="T175" s="292" t="n"/>
      <c r="U175" s="292" t="n"/>
      <c r="V175" s="292" t="n"/>
      <c r="W175" s="292" t="n"/>
      <c r="X175" s="292" t="n"/>
      <c r="Y175" s="292" t="n"/>
    </row>
    <row r="176" ht="15.5" customHeight="1">
      <c r="B176" s="304" t="inlineStr">
        <is>
          <t>Expense#7</t>
        </is>
      </c>
      <c r="C176" s="305" t="inlineStr">
        <is>
          <t>:</t>
        </is>
      </c>
      <c r="D176" s="306" t="inlineStr">
        <is>
          <t>PLT SRO_ TGB-33 (Jatibarang Field) Elnusa _ IC</t>
        </is>
      </c>
      <c r="E176" s="307" t="n"/>
      <c r="F176" s="308" t="n"/>
      <c r="G176" s="305" t="n"/>
      <c r="H176" s="305" t="n"/>
      <c r="I176" s="309" t="n"/>
      <c r="J176" s="310" t="n"/>
      <c r="K176" s="311" t="n"/>
      <c r="L176" s="311" t="n"/>
      <c r="M176" s="309" t="n"/>
      <c r="N176" s="311" t="n"/>
      <c r="O176" s="311" t="n"/>
      <c r="P176" s="311" t="n"/>
      <c r="Q176" s="311" t="n"/>
      <c r="R176" s="312" t="n"/>
      <c r="S176" s="312" t="n"/>
      <c r="T176" s="312" t="n"/>
      <c r="U176" s="312" t="n"/>
      <c r="V176" s="312" t="n"/>
      <c r="W176" s="312" t="n"/>
      <c r="X176" s="312" t="n"/>
      <c r="Y176" s="312" t="n"/>
    </row>
    <row r="177" ht="15.5" customHeight="1">
      <c r="B177" s="313" t="n"/>
      <c r="C177" s="278" t="n"/>
      <c r="D177" s="314" t="inlineStr">
        <is>
          <t>Biaya Operasi</t>
        </is>
      </c>
      <c r="E177" s="315" t="n"/>
      <c r="F177" s="316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  <c r="R177" s="285" t="n"/>
      <c r="S177" s="285" t="n"/>
      <c r="T177" s="285" t="n"/>
      <c r="U177" s="285" t="n"/>
      <c r="V177" s="285" t="n"/>
      <c r="W177" s="285" t="n"/>
      <c r="X177" s="285" t="n"/>
      <c r="Y177" s="285" t="n"/>
    </row>
    <row r="178" ht="15.5" customHeight="1">
      <c r="B178" s="286" t="n">
        <v>45408</v>
      </c>
      <c r="C178" s="278" t="n">
        <v>113</v>
      </c>
      <c r="D178" s="280" t="inlineStr">
        <is>
          <t>Fuels</t>
        </is>
      </c>
      <c r="E178" s="280" t="inlineStr">
        <is>
          <t>-</t>
        </is>
      </c>
      <c r="F178" s="287" t="n">
        <v>284308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284308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Toll</t>
        </is>
      </c>
      <c r="E179" s="280" t="inlineStr">
        <is>
          <t>-</t>
        </is>
      </c>
      <c r="F179" s="287" t="n">
        <v>298000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298000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Hotel 2 days</t>
        </is>
      </c>
      <c r="E180" s="280" t="inlineStr">
        <is>
          <t>-</t>
        </is>
      </c>
      <c r="F180" s="287" t="n">
        <v>1357481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1357481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Laundry 2 days</t>
        </is>
      </c>
      <c r="E181" s="280" t="inlineStr">
        <is>
          <t>-</t>
        </is>
      </c>
      <c r="F181" s="287" t="n">
        <v>100000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100000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Meals 2 days 1 Persons @ 150K IDR/day</t>
        </is>
      </c>
      <c r="E182" s="280" t="inlineStr">
        <is>
          <t>-</t>
        </is>
      </c>
      <c r="F182" s="287" t="n">
        <v>300000</v>
      </c>
      <c r="G182" s="282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300000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286" t="n">
        <v>45410</v>
      </c>
      <c r="C183" s="278" t="n">
        <v>118</v>
      </c>
      <c r="D183" s="280" t="inlineStr">
        <is>
          <t>Tunjangan Lapangan for 2 days</t>
        </is>
      </c>
      <c r="E183" s="280" t="inlineStr">
        <is>
          <t>-</t>
        </is>
      </c>
      <c r="F183" s="287" t="n">
        <v>3251400</v>
      </c>
      <c r="G183" s="282" t="inlineStr">
        <is>
          <t>USD</t>
        </is>
      </c>
      <c r="H183" s="288" t="n">
        <v>16257</v>
      </c>
      <c r="I183" s="289" t="n"/>
      <c r="J183" s="289" t="n"/>
      <c r="K183" s="290" t="n"/>
      <c r="L183" s="291" t="n">
        <v>3251400</v>
      </c>
      <c r="M183" s="280" t="n"/>
      <c r="N183" s="280" t="n"/>
      <c r="O183" s="280" t="n"/>
      <c r="P183" s="280" t="n"/>
      <c r="Q183" s="280" t="n"/>
      <c r="R183" s="292" t="n"/>
      <c r="S183" s="292" t="n"/>
      <c r="T183" s="292" t="n"/>
      <c r="U183" s="292" t="n"/>
      <c r="V183" s="292" t="n"/>
      <c r="W183" s="292" t="n"/>
      <c r="X183" s="292" t="n"/>
      <c r="Y183" s="292" t="n"/>
    </row>
    <row r="184" ht="15.5" customHeight="1">
      <c r="B184" s="304" t="inlineStr">
        <is>
          <t>Expense#8</t>
        </is>
      </c>
      <c r="C184" s="305" t="inlineStr">
        <is>
          <t>:</t>
        </is>
      </c>
      <c r="D184" s="306" t="inlineStr">
        <is>
          <t>Training BST_ PHR-zona 4 (Dwiyanto) (Dwi_Febri dan Ilham)</t>
        </is>
      </c>
      <c r="E184" s="307" t="n"/>
      <c r="F184" s="308" t="n"/>
      <c r="G184" s="305" t="n"/>
      <c r="H184" s="324" t="n"/>
      <c r="I184" s="310" t="n"/>
      <c r="J184" s="311" t="n"/>
      <c r="K184" s="311" t="n"/>
      <c r="L184" s="311" t="n"/>
      <c r="M184" s="311" t="n"/>
      <c r="N184" s="311" t="n"/>
      <c r="O184" s="311" t="n"/>
      <c r="P184" s="311" t="n"/>
      <c r="Q184" s="311" t="n"/>
      <c r="R184" s="312" t="n"/>
      <c r="S184" s="312" t="n"/>
      <c r="T184" s="312" t="n"/>
      <c r="U184" s="312" t="n"/>
      <c r="V184" s="312" t="n"/>
      <c r="W184" s="312" t="n"/>
      <c r="X184" s="312" t="n"/>
      <c r="Y184" s="312" t="n"/>
    </row>
    <row r="185" ht="15.5" customHeight="1">
      <c r="B185" s="279" t="n"/>
      <c r="C185" s="321" t="n"/>
      <c r="D185" s="322" t="inlineStr">
        <is>
          <t>Biaya Operasi</t>
        </is>
      </c>
      <c r="E185" s="323" t="n"/>
      <c r="F185" s="280" t="n"/>
      <c r="G185" s="278" t="n"/>
      <c r="H185" s="278" t="n"/>
      <c r="I185" s="284" t="n"/>
      <c r="J185" s="284" t="n"/>
      <c r="K185" s="279" t="n"/>
      <c r="L185" s="279" t="n"/>
      <c r="M185" s="279" t="n"/>
      <c r="N185" s="279" t="n"/>
      <c r="O185" s="279" t="n"/>
      <c r="P185" s="279" t="n"/>
      <c r="Q185" s="279" t="n"/>
      <c r="R185" s="285" t="n"/>
      <c r="S185" s="285" t="n"/>
      <c r="T185" s="285" t="n"/>
      <c r="U185" s="285" t="n"/>
      <c r="V185" s="285" t="n"/>
      <c r="W185" s="285" t="n"/>
      <c r="X185" s="285" t="n"/>
      <c r="Y185" s="285" t="n"/>
    </row>
    <row r="186" ht="15.5" customHeight="1">
      <c r="B186" s="286" t="n">
        <v>45418</v>
      </c>
      <c r="C186" s="278" t="n">
        <v>119</v>
      </c>
      <c r="D186" s="280" t="inlineStr">
        <is>
          <t>Jakarta - Palembang - Jakarta</t>
        </is>
      </c>
      <c r="E186" s="280" t="inlineStr">
        <is>
          <t>-</t>
        </is>
      </c>
      <c r="F186" s="287" t="n">
        <v>1387800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1387800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Taxi + Tol to Airport Jakarta</t>
        </is>
      </c>
      <c r="E187" s="280" t="inlineStr">
        <is>
          <t>-</t>
        </is>
      </c>
      <c r="F187" s="287" t="n">
        <v>234140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234140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Airport park + fuel + tol Indralaya</t>
        </is>
      </c>
      <c r="E188" s="280" t="inlineStr">
        <is>
          <t>-</t>
        </is>
      </c>
      <c r="F188" s="287" t="n">
        <v>232000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232000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45419</v>
      </c>
      <c r="C189" s="278" t="n">
        <v>122</v>
      </c>
      <c r="D189" s="280" t="inlineStr">
        <is>
          <t>Dinner (Dwi, Febri, Ilham)</t>
        </is>
      </c>
      <c r="E189" s="280" t="inlineStr">
        <is>
          <t>-</t>
        </is>
      </c>
      <c r="F189" s="287" t="n">
        <v>103400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103400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Car Rental</t>
        </is>
      </c>
      <c r="E190" s="280" t="inlineStr">
        <is>
          <t>-</t>
        </is>
      </c>
      <c r="F190" s="287" t="n">
        <v>600000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600000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Tol Indralaya</t>
        </is>
      </c>
      <c r="E191" s="280" t="inlineStr">
        <is>
          <t>-</t>
        </is>
      </c>
      <c r="F191" s="287" t="n">
        <v>27000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27000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45420</v>
      </c>
      <c r="C192" s="278" t="n">
        <v>125</v>
      </c>
      <c r="D192" s="280" t="inlineStr">
        <is>
          <t>Hotel</t>
        </is>
      </c>
      <c r="E192" s="280" t="inlineStr">
        <is>
          <t>-</t>
        </is>
      </c>
      <c r="F192" s="287" t="n">
        <v>360000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360000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286" t="n">
        <v>45421</v>
      </c>
      <c r="C193" s="278" t="n">
        <v>126</v>
      </c>
      <c r="D193" s="280" t="inlineStr">
        <is>
          <t>Tol + Taxi From Airport Jakarta</t>
        </is>
      </c>
      <c r="E193" s="280" t="inlineStr">
        <is>
          <t>-</t>
        </is>
      </c>
      <c r="F193" s="287" t="n">
        <v>276900</v>
      </c>
      <c r="G193" s="282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276900</v>
      </c>
      <c r="M193" s="280" t="n"/>
      <c r="N193" s="280" t="n"/>
      <c r="O193" s="280" t="n"/>
      <c r="P193" s="280" t="n"/>
      <c r="Q193" s="280" t="n"/>
      <c r="R193" s="292" t="n"/>
      <c r="S193" s="292" t="n"/>
      <c r="T193" s="292" t="n"/>
      <c r="U193" s="292" t="n"/>
      <c r="V193" s="292" t="n"/>
      <c r="W193" s="292" t="n"/>
      <c r="X193" s="292" t="n"/>
      <c r="Y193" s="292" t="n"/>
    </row>
    <row r="194" ht="15.5" customHeight="1">
      <c r="B194" s="304" t="inlineStr">
        <is>
          <t>Expense#9</t>
        </is>
      </c>
      <c r="C194" s="305" t="inlineStr">
        <is>
          <t>:</t>
        </is>
      </c>
      <c r="D194" s="306" t="inlineStr">
        <is>
          <t>MFC and ALFA Memory (Jatibarang Field) TGB-033_Elnusa_ AC</t>
        </is>
      </c>
      <c r="E194" s="318" t="n"/>
      <c r="F194" s="308" t="n"/>
      <c r="G194" s="305" t="n"/>
      <c r="H194" s="305" t="n"/>
      <c r="I194" s="311" t="n"/>
      <c r="J194" s="310" t="n"/>
      <c r="K194" s="311" t="n"/>
      <c r="L194" s="311" t="n"/>
      <c r="M194" s="311" t="n"/>
      <c r="N194" s="311" t="n"/>
      <c r="O194" s="311" t="n"/>
      <c r="P194" s="311" t="n"/>
      <c r="Q194" s="311" t="n"/>
      <c r="R194" s="312" t="n"/>
      <c r="S194" s="312" t="n"/>
      <c r="T194" s="312" t="n"/>
      <c r="U194" s="312" t="n"/>
      <c r="V194" s="312" t="n"/>
      <c r="W194" s="312" t="n"/>
      <c r="X194" s="312" t="n"/>
      <c r="Y194" s="312" t="n"/>
    </row>
    <row r="195" ht="15.5" customHeight="1">
      <c r="B195" s="313" t="n"/>
      <c r="C195" s="278" t="n"/>
      <c r="D195" s="314" t="inlineStr">
        <is>
          <t>Biaya Operasi</t>
        </is>
      </c>
      <c r="E195" s="315" t="n"/>
      <c r="F195" s="316" t="n"/>
      <c r="G195" s="278" t="n"/>
      <c r="H195" s="319" t="n"/>
      <c r="I195" s="284" t="n"/>
      <c r="J195" s="284" t="n"/>
      <c r="K195" s="279" t="n"/>
      <c r="L195" s="279" t="n"/>
      <c r="M195" s="279" t="n"/>
      <c r="N195" s="279" t="n"/>
      <c r="O195" s="279" t="n"/>
      <c r="P195" s="279" t="n"/>
      <c r="Q195" s="279" t="n"/>
      <c r="R195" s="285" t="n"/>
      <c r="S195" s="285" t="n"/>
      <c r="T195" s="285" t="n"/>
      <c r="U195" s="285" t="n"/>
      <c r="V195" s="285" t="n"/>
      <c r="W195" s="285" t="n"/>
      <c r="X195" s="285" t="n"/>
      <c r="Y195" s="285" t="n"/>
    </row>
    <row r="196" ht="15.5" customHeight="1">
      <c r="B196" s="286" t="n">
        <v>45403</v>
      </c>
      <c r="C196" s="278" t="n">
        <v>127</v>
      </c>
      <c r="D196" s="280" t="inlineStr">
        <is>
          <t>Train (Jati barang - Jati Negara)</t>
        </is>
      </c>
      <c r="E196" s="280" t="inlineStr">
        <is>
          <t>-</t>
        </is>
      </c>
      <c r="F196" s="287" t="n">
        <v>255500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255500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Taksi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Laundry 3 days @ Rp. 50.000</t>
        </is>
      </c>
      <c r="E198" s="280" t="inlineStr">
        <is>
          <t>-</t>
        </is>
      </c>
      <c r="F198" s="287" t="n">
        <v>150000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150000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Uang makan utk 3 hari (19-21 apr-24) @150.000</t>
        </is>
      </c>
      <c r="E199" s="280" t="inlineStr">
        <is>
          <t>-</t>
        </is>
      </c>
      <c r="F199" s="287" t="n">
        <v>450000</v>
      </c>
      <c r="G199" s="282" t="inlineStr">
        <is>
          <t>IDR</t>
        </is>
      </c>
      <c r="H199" s="288" t="n">
        <v>1</v>
      </c>
      <c r="I199" s="289" t="n"/>
      <c r="J199" s="289" t="n"/>
      <c r="K199" s="290" t="n"/>
      <c r="L199" s="291" t="n">
        <v>450000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45403</v>
      </c>
      <c r="C200" s="278" t="n">
        <v>131</v>
      </c>
      <c r="D200" s="280" t="inlineStr">
        <is>
          <t>Tunajngan lapangan for 3 days (19-21 apr24) Anevril</t>
        </is>
      </c>
      <c r="E200" s="280" t="inlineStr">
        <is>
          <t>-</t>
        </is>
      </c>
      <c r="F200" s="287" t="n">
        <v>4815300</v>
      </c>
      <c r="G200" s="282" t="inlineStr">
        <is>
          <t>USD</t>
        </is>
      </c>
      <c r="H200" s="288" t="n">
        <v>16051</v>
      </c>
      <c r="I200" s="289" t="n"/>
      <c r="J200" s="289" t="n"/>
      <c r="K200" s="290" t="n"/>
      <c r="L200" s="291" t="n">
        <v>4815300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286" t="n">
        <v>45420</v>
      </c>
      <c r="C201" s="278" t="n">
        <v>132</v>
      </c>
      <c r="D201" s="280" t="inlineStr">
        <is>
          <t>Dinner (Dwi, Febri, Ilham)</t>
        </is>
      </c>
      <c r="E201" s="280" t="inlineStr">
        <is>
          <t>-</t>
        </is>
      </c>
      <c r="F201" s="287" t="n">
        <v>128000</v>
      </c>
      <c r="G201" s="282" t="inlineStr">
        <is>
          <t>IDR</t>
        </is>
      </c>
      <c r="H201" s="288" t="n">
        <v>1</v>
      </c>
      <c r="I201" s="289" t="n"/>
      <c r="J201" s="289" t="n"/>
      <c r="K201" s="290" t="n"/>
      <c r="L201" s="291" t="n">
        <v>128000</v>
      </c>
      <c r="M201" s="280" t="n"/>
      <c r="N201" s="280" t="n"/>
      <c r="O201" s="280" t="n"/>
      <c r="P201" s="280" t="n"/>
      <c r="Q201" s="280" t="n"/>
      <c r="R201" s="292" t="n"/>
      <c r="S201" s="292" t="n"/>
      <c r="T201" s="292" t="n"/>
      <c r="U201" s="292" t="n"/>
      <c r="V201" s="292" t="n"/>
      <c r="W201" s="292" t="n"/>
      <c r="X201" s="292" t="n"/>
      <c r="Y201" s="292" t="n"/>
    </row>
    <row r="202" ht="15.5" customHeight="1">
      <c r="B202" s="304" t="inlineStr">
        <is>
          <t>Expense#10</t>
        </is>
      </c>
      <c r="C202" s="305" t="inlineStr">
        <is>
          <t>:</t>
        </is>
      </c>
      <c r="D202" s="306" t="inlineStr">
        <is>
          <t>ALFA+PLT (TGB-033 Zona 7) Elnusa_TMA</t>
        </is>
      </c>
      <c r="E202" s="307" t="n"/>
      <c r="F202" s="325" t="n"/>
      <c r="G202" s="305" t="n"/>
      <c r="H202" s="305" t="n"/>
      <c r="I202" s="309" t="n"/>
      <c r="J202" s="310" t="n"/>
      <c r="K202" s="311" t="n"/>
      <c r="L202" s="311" t="n"/>
      <c r="M202" s="311" t="n"/>
      <c r="N202" s="311" t="n"/>
      <c r="O202" s="311" t="n"/>
      <c r="P202" s="311" t="n"/>
      <c r="Q202" s="311" t="n"/>
      <c r="R202" s="312" t="n"/>
      <c r="S202" s="312" t="n"/>
      <c r="T202" s="312" t="n"/>
      <c r="U202" s="312" t="n"/>
      <c r="V202" s="312" t="n"/>
      <c r="W202" s="312" t="n"/>
      <c r="X202" s="312" t="n"/>
      <c r="Y202" s="312" t="n"/>
    </row>
    <row r="203" ht="15.5" customHeight="1">
      <c r="B203" s="313" t="n"/>
      <c r="C203" s="278" t="n"/>
      <c r="D203" s="314" t="inlineStr">
        <is>
          <t>Allowance</t>
        </is>
      </c>
      <c r="E203" s="315" t="n"/>
      <c r="F203" s="281" t="n"/>
      <c r="G203" s="278" t="n"/>
      <c r="H203" s="278" t="n"/>
      <c r="I203" s="283" t="n"/>
      <c r="J203" s="284" t="n"/>
      <c r="K203" s="279" t="n"/>
      <c r="L203" s="279" t="n"/>
      <c r="M203" s="279" t="n"/>
      <c r="N203" s="279" t="n"/>
      <c r="O203" s="279" t="n"/>
      <c r="P203" s="279" t="n"/>
      <c r="Q203" s="279" t="n"/>
      <c r="R203" s="285" t="n"/>
      <c r="S203" s="285" t="n"/>
      <c r="T203" s="285" t="n"/>
      <c r="U203" s="285" t="n"/>
      <c r="V203" s="285" t="n"/>
      <c r="W203" s="285" t="n"/>
      <c r="X203" s="285" t="n"/>
      <c r="Y203" s="285" t="n"/>
    </row>
    <row r="204" ht="15.5" customHeight="1">
      <c r="B204" s="286" t="n">
        <v>45407</v>
      </c>
      <c r="C204" s="278" t="n">
        <v>133</v>
      </c>
      <c r="D204" s="280" t="inlineStr">
        <is>
          <t>Field Bonus for 7 days (25$/Day)</t>
        </is>
      </c>
      <c r="E204" s="280" t="inlineStr">
        <is>
          <t>-</t>
        </is>
      </c>
      <c r="F204" s="287" t="n">
        <v>1203813.75</v>
      </c>
      <c r="G204" s="282" t="inlineStr">
        <is>
          <t>USD</t>
        </is>
      </c>
      <c r="H204" s="288" t="n">
        <v>16050.85</v>
      </c>
      <c r="I204" s="289" t="n"/>
      <c r="J204" s="289" t="n"/>
      <c r="K204" s="290" t="n"/>
      <c r="L204" s="291" t="n">
        <v>1203813.75</v>
      </c>
      <c r="M204" s="280" t="n"/>
      <c r="N204" s="280" t="n"/>
      <c r="O204" s="280" t="n"/>
      <c r="P204" s="280" t="n"/>
      <c r="Q204" s="280" t="n"/>
      <c r="R204" s="292" t="n"/>
      <c r="S204" s="292" t="n"/>
      <c r="T204" s="292" t="n"/>
      <c r="U204" s="292" t="n"/>
      <c r="V204" s="292" t="n"/>
      <c r="W204" s="292" t="n"/>
      <c r="X204" s="292" t="n"/>
      <c r="Y204" s="292" t="n"/>
    </row>
    <row r="205" ht="15.5" customHeight="1">
      <c r="B205" s="313" t="n"/>
      <c r="C205" s="278" t="n"/>
      <c r="D205" s="314" t="inlineStr">
        <is>
          <t>Biaya Operasi</t>
        </is>
      </c>
      <c r="E205" s="320" t="n"/>
      <c r="F205" s="281" t="n"/>
      <c r="G205" s="278" t="n"/>
      <c r="H205" s="278" t="n"/>
      <c r="I205" s="283" t="n"/>
      <c r="J205" s="284" t="n"/>
      <c r="K205" s="279" t="n"/>
      <c r="L205" s="279" t="n"/>
      <c r="M205" s="279" t="n"/>
      <c r="N205" s="279" t="n"/>
      <c r="O205" s="279" t="n"/>
      <c r="P205" s="279" t="n"/>
      <c r="Q205" s="279" t="n"/>
      <c r="R205" s="285" t="n"/>
      <c r="S205" s="285" t="n"/>
      <c r="T205" s="285" t="n"/>
      <c r="U205" s="285" t="n"/>
      <c r="V205" s="285" t="n"/>
      <c r="W205" s="285" t="n"/>
      <c r="X205" s="285" t="n"/>
      <c r="Y205" s="285" t="n"/>
    </row>
    <row r="206" ht="15.5" customHeight="1">
      <c r="B206" s="286" t="n">
        <v>45407</v>
      </c>
      <c r="C206" s="278" t="n">
        <v>134</v>
      </c>
      <c r="D206" s="280" t="inlineStr">
        <is>
          <t>Hotel 25 Apr - 27 Apr &amp; 29 Apr- 2 May 2024 (6 days)</t>
        </is>
      </c>
      <c r="E206" s="280" t="inlineStr">
        <is>
          <t>-</t>
        </is>
      </c>
      <c r="F206" s="287" t="n">
        <v>3292802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3292802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Laundry 7 days 1 Persons @ 50K IDR/day</t>
        </is>
      </c>
      <c r="E207" s="280" t="inlineStr">
        <is>
          <t>-</t>
        </is>
      </c>
      <c r="F207" s="287" t="n">
        <v>350000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350000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Crew's Operational</t>
        </is>
      </c>
      <c r="E208" s="280" t="inlineStr">
        <is>
          <t>-</t>
        </is>
      </c>
      <c r="F208" s="287" t="n">
        <v>657000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657000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Meals 7 days 1 Persons @ 150K IDR/day</t>
        </is>
      </c>
      <c r="E209" s="280" t="inlineStr">
        <is>
          <t>-</t>
        </is>
      </c>
      <c r="F209" s="287" t="n">
        <v>1050000</v>
      </c>
      <c r="G209" s="282" t="inlineStr">
        <is>
          <t>IDR</t>
        </is>
      </c>
      <c r="H209" s="288" t="n">
        <v>1</v>
      </c>
      <c r="I209" s="289" t="n"/>
      <c r="J209" s="289" t="n"/>
      <c r="K209" s="290" t="n"/>
      <c r="L209" s="291" t="n">
        <v>1050000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45407</v>
      </c>
      <c r="C210" s="278" t="n">
        <v>138</v>
      </c>
      <c r="D210" s="280" t="inlineStr">
        <is>
          <t>Field Bonus for 4 days 29 April-2 May 2024 (100$/Day</t>
        </is>
      </c>
      <c r="E210" s="280" t="inlineStr">
        <is>
          <t>-</t>
        </is>
      </c>
      <c r="F210" s="287" t="n">
        <v>6420340</v>
      </c>
      <c r="G210" s="282" t="inlineStr">
        <is>
          <t>USD</t>
        </is>
      </c>
      <c r="H210" s="288" t="n">
        <v>16050.85</v>
      </c>
      <c r="I210" s="289" t="n"/>
      <c r="J210" s="289" t="n"/>
      <c r="K210" s="290" t="n"/>
      <c r="L210" s="291" t="n">
        <v>6420340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286" t="n">
        <v>45411</v>
      </c>
      <c r="C211" s="278" t="n">
        <v>139</v>
      </c>
      <c r="D211" s="280" t="inlineStr">
        <is>
          <t>Internet Data</t>
        </is>
      </c>
      <c r="E211" s="280" t="inlineStr">
        <is>
          <t>-</t>
        </is>
      </c>
      <c r="F211" s="287" t="n">
        <v>75000</v>
      </c>
      <c r="G211" s="282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75000</v>
      </c>
      <c r="M211" s="280" t="n"/>
      <c r="N211" s="280" t="n"/>
      <c r="O211" s="280" t="n"/>
      <c r="P211" s="280" t="n"/>
      <c r="Q211" s="280" t="n"/>
      <c r="R211" s="292" t="n"/>
      <c r="S211" s="292" t="n"/>
      <c r="T211" s="292" t="n"/>
      <c r="U211" s="292" t="n"/>
      <c r="V211" s="292" t="n"/>
      <c r="W211" s="292" t="n"/>
      <c r="X211" s="292" t="n"/>
      <c r="Y211" s="292" t="n"/>
    </row>
    <row r="212" ht="15.5" customHeight="1">
      <c r="B212" s="313" t="n"/>
      <c r="C212" s="278" t="n"/>
      <c r="D212" s="314" t="inlineStr">
        <is>
          <t>Pembelian Barang</t>
        </is>
      </c>
      <c r="E212" s="315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285" t="n"/>
      <c r="S212" s="285" t="n"/>
      <c r="T212" s="285" t="n"/>
      <c r="U212" s="285" t="n"/>
      <c r="V212" s="285" t="n"/>
      <c r="W212" s="285" t="n"/>
      <c r="X212" s="285" t="n"/>
      <c r="Y212" s="285" t="n"/>
    </row>
    <row r="213" ht="15.5" customHeight="1">
      <c r="B213" s="286" t="n">
        <v>45401</v>
      </c>
      <c r="C213" s="278" t="n">
        <v>140</v>
      </c>
      <c r="D213" s="280" t="inlineStr">
        <is>
          <t>Tekiro Kunci L, Tekiro Tang, Obeng Set</t>
        </is>
      </c>
      <c r="E213" s="280" t="inlineStr">
        <is>
          <t>-</t>
        </is>
      </c>
      <c r="F213" s="287" t="n">
        <v>349000</v>
      </c>
      <c r="G213" s="282" t="inlineStr">
        <is>
          <t>IDR</t>
        </is>
      </c>
      <c r="H213" s="288" t="n">
        <v>1</v>
      </c>
      <c r="I213" s="289" t="n"/>
      <c r="J213" s="289" t="n"/>
      <c r="K213" s="290" t="n"/>
      <c r="L213" s="280" t="n"/>
      <c r="M213" s="280" t="n"/>
      <c r="N213" s="280" t="n"/>
      <c r="O213" s="291" t="n">
        <v>349000</v>
      </c>
      <c r="P213" s="280" t="n"/>
      <c r="Q213" s="280" t="n"/>
      <c r="R213" s="292" t="n"/>
      <c r="S213" s="292" t="n"/>
      <c r="T213" s="292" t="n"/>
      <c r="U213" s="292" t="n"/>
      <c r="V213" s="292" t="n"/>
      <c r="W213" s="292" t="n"/>
      <c r="X213" s="292" t="n"/>
      <c r="Y213" s="292" t="n"/>
    </row>
    <row r="214" ht="15.5" customHeight="1">
      <c r="B214" s="304" t="inlineStr">
        <is>
          <t>Expense#11</t>
        </is>
      </c>
      <c r="C214" s="305" t="inlineStr">
        <is>
          <t>:</t>
        </is>
      </c>
      <c r="D214" s="306" t="inlineStr">
        <is>
          <t>ALFA+MFC (TGB-033 Zona 7) Elnusa_TMA</t>
        </is>
      </c>
      <c r="E214" s="307" t="n"/>
      <c r="F214" s="325" t="n"/>
      <c r="G214" s="305" t="n"/>
      <c r="H214" s="305" t="n"/>
      <c r="I214" s="310" t="n"/>
      <c r="J214" s="310" t="n"/>
      <c r="K214" s="311" t="n"/>
      <c r="L214" s="311" t="n"/>
      <c r="M214" s="311" t="n"/>
      <c r="N214" s="311" t="n"/>
      <c r="O214" s="311" t="n"/>
      <c r="P214" s="311" t="n"/>
      <c r="Q214" s="311" t="n"/>
      <c r="R214" s="312" t="n"/>
      <c r="S214" s="312" t="n"/>
      <c r="T214" s="312" t="n"/>
      <c r="U214" s="312" t="n"/>
      <c r="V214" s="312" t="n"/>
      <c r="W214" s="312" t="n"/>
      <c r="X214" s="312" t="n"/>
      <c r="Y214" s="312" t="n"/>
    </row>
    <row r="215" ht="15.5" customHeight="1">
      <c r="B215" s="313" t="n"/>
      <c r="C215" s="278" t="n"/>
      <c r="D215" s="314" t="inlineStr">
        <is>
          <t>Biaya Operasi</t>
        </is>
      </c>
      <c r="E215" s="320" t="n"/>
      <c r="F215" s="281" t="n"/>
      <c r="G215" s="278" t="n"/>
      <c r="H215" s="278" t="n"/>
      <c r="I215" s="284" t="n"/>
      <c r="J215" s="284" t="n"/>
      <c r="K215" s="279" t="n"/>
      <c r="L215" s="279" t="n"/>
      <c r="M215" s="279" t="n"/>
      <c r="N215" s="279" t="n"/>
      <c r="O215" s="279" t="n"/>
      <c r="P215" s="279" t="n"/>
      <c r="Q215" s="279" t="n"/>
      <c r="R215" s="285" t="n"/>
      <c r="S215" s="285" t="n"/>
      <c r="T215" s="285" t="n"/>
      <c r="U215" s="285" t="n"/>
      <c r="V215" s="285" t="n"/>
      <c r="W215" s="285" t="n"/>
      <c r="X215" s="285" t="n"/>
      <c r="Y215" s="285" t="n"/>
    </row>
    <row r="216" ht="15.5" customHeight="1">
      <c r="B216" s="286" t="n">
        <v>45401</v>
      </c>
      <c r="C216" s="278" t="n">
        <v>141</v>
      </c>
      <c r="D216" s="280" t="inlineStr">
        <is>
          <t>Hotel 19 Apr-22 Apr 2024 (3 days)</t>
        </is>
      </c>
      <c r="E216" s="280" t="inlineStr">
        <is>
          <t>-</t>
        </is>
      </c>
      <c r="F216" s="287" t="n">
        <v>1950000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1950000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Laundry 4 days 1 Persons @ 50K IDR/day</t>
        </is>
      </c>
      <c r="E217" s="280" t="inlineStr">
        <is>
          <t>-</t>
        </is>
      </c>
      <c r="F217" s="287" t="n">
        <v>200000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Battery A2</t>
        </is>
      </c>
      <c r="E218" s="280" t="inlineStr">
        <is>
          <t>-</t>
        </is>
      </c>
      <c r="F218" s="287" t="n">
        <v>101800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101800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Crew's Operational</t>
        </is>
      </c>
      <c r="E219" s="280" t="inlineStr">
        <is>
          <t>-</t>
        </is>
      </c>
      <c r="F219" s="287" t="n">
        <v>481900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481900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Meals 4 days 1 Persons @ 150K IDR/day</t>
        </is>
      </c>
      <c r="E220" s="280" t="inlineStr">
        <is>
          <t>-</t>
        </is>
      </c>
      <c r="F220" s="287" t="n">
        <v>600000</v>
      </c>
      <c r="G220" s="282" t="inlineStr">
        <is>
          <t>IDR</t>
        </is>
      </c>
      <c r="H220" s="288" t="n">
        <v>1</v>
      </c>
      <c r="I220" s="289" t="n"/>
      <c r="J220" s="289" t="n"/>
      <c r="K220" s="290" t="n"/>
      <c r="L220" s="291" t="n">
        <v>600000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45401</v>
      </c>
      <c r="C221" s="278" t="n">
        <v>146</v>
      </c>
      <c r="D221" s="280" t="inlineStr">
        <is>
          <t>Field Bonus for 4 days (25$/Day)</t>
        </is>
      </c>
      <c r="E221" s="280" t="inlineStr">
        <is>
          <t>-</t>
        </is>
      </c>
      <c r="F221" s="287" t="n">
        <v>1605085</v>
      </c>
      <c r="G221" s="282" t="inlineStr">
        <is>
          <t>USD</t>
        </is>
      </c>
      <c r="H221" s="288" t="n">
        <v>16050.85</v>
      </c>
      <c r="I221" s="289" t="n"/>
      <c r="J221" s="289" t="n"/>
      <c r="K221" s="290" t="n"/>
      <c r="L221" s="291" t="n">
        <v>1605085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286" t="n">
        <v>45404</v>
      </c>
      <c r="C222" s="278" t="n">
        <v>147</v>
      </c>
      <c r="D222" s="280" t="inlineStr">
        <is>
          <t>Taxi Bintaro-Wisma Mas</t>
        </is>
      </c>
      <c r="E222" s="280" t="inlineStr">
        <is>
          <t>-</t>
        </is>
      </c>
      <c r="F222" s="287" t="n">
        <v>78500</v>
      </c>
      <c r="G222" s="282" t="inlineStr">
        <is>
          <t>IDR</t>
        </is>
      </c>
      <c r="H222" s="288" t="n">
        <v>1</v>
      </c>
      <c r="I222" s="289" t="n"/>
      <c r="J222" s="289" t="n"/>
      <c r="K222" s="290" t="n"/>
      <c r="L222" s="291" t="n">
        <v>78500</v>
      </c>
      <c r="M222" s="280" t="n"/>
      <c r="N222" s="280" t="n"/>
      <c r="O222" s="280" t="n"/>
      <c r="P222" s="280" t="n"/>
      <c r="Q222" s="280" t="n"/>
      <c r="R222" s="292" t="n"/>
      <c r="S222" s="292" t="n"/>
      <c r="T222" s="292" t="n"/>
      <c r="U222" s="292" t="n"/>
      <c r="V222" s="292" t="n"/>
      <c r="W222" s="292" t="n"/>
      <c r="X222" s="292" t="n"/>
      <c r="Y222" s="292" t="n"/>
    </row>
    <row r="223" ht="15.5" customHeight="1">
      <c r="B223" s="304" t="inlineStr">
        <is>
          <t>Expense#12</t>
        </is>
      </c>
      <c r="C223" s="305" t="inlineStr">
        <is>
          <t>:</t>
        </is>
      </c>
      <c r="D223" s="306" t="inlineStr">
        <is>
          <t>BOSIET Training -_TMA</t>
        </is>
      </c>
      <c r="E223" s="307" t="n"/>
      <c r="F223" s="325" t="n"/>
      <c r="G223" s="326" t="n"/>
      <c r="H223" s="305" t="n"/>
      <c r="I223" s="309" t="n"/>
      <c r="J223" s="310" t="n"/>
      <c r="K223" s="311" t="n"/>
      <c r="L223" s="311" t="n"/>
      <c r="M223" s="311" t="n"/>
      <c r="N223" s="311" t="n"/>
      <c r="O223" s="311" t="n"/>
      <c r="P223" s="311" t="n"/>
      <c r="Q223" s="311" t="n"/>
      <c r="R223" s="312" t="n"/>
      <c r="S223" s="312" t="n"/>
      <c r="T223" s="312" t="n"/>
      <c r="U223" s="312" t="n"/>
      <c r="V223" s="312" t="n"/>
      <c r="W223" s="312" t="n"/>
      <c r="X223" s="312" t="n"/>
      <c r="Y223" s="312" t="n"/>
    </row>
    <row r="224" ht="15.5" customHeight="1">
      <c r="B224" s="313" t="n"/>
      <c r="C224" s="278" t="n"/>
      <c r="D224" s="314" t="inlineStr">
        <is>
          <t>Biaya Operasi</t>
        </is>
      </c>
      <c r="E224" s="320" t="n"/>
      <c r="F224" s="281" t="n"/>
      <c r="G224" s="280" t="n"/>
      <c r="H224" s="278" t="n"/>
      <c r="I224" s="284" t="n"/>
      <c r="J224" s="284" t="n"/>
      <c r="K224" s="279" t="n"/>
      <c r="L224" s="279" t="n"/>
      <c r="M224" s="279" t="n"/>
      <c r="N224" s="279" t="n"/>
      <c r="O224" s="279" t="n"/>
      <c r="P224" s="279" t="n"/>
      <c r="Q224" s="279" t="n"/>
      <c r="R224" s="285" t="n"/>
      <c r="S224" s="285" t="n"/>
      <c r="T224" s="285" t="n"/>
      <c r="U224" s="285" t="n"/>
      <c r="V224" s="285" t="n"/>
      <c r="W224" s="285" t="n"/>
      <c r="X224" s="285" t="n"/>
      <c r="Y224" s="285" t="n"/>
    </row>
    <row r="225" ht="15.5" customHeight="1">
      <c r="B225" s="286" t="n">
        <v>45429</v>
      </c>
      <c r="C225" s="278" t="n">
        <v>148</v>
      </c>
      <c r="D225" s="280" t="inlineStr">
        <is>
          <t>BOSIET Training</t>
        </is>
      </c>
      <c r="E225" s="280" t="inlineStr">
        <is>
          <t>-</t>
        </is>
      </c>
      <c r="F225" s="287" t="n">
        <v>9693878</v>
      </c>
      <c r="G225" s="282" t="inlineStr">
        <is>
          <t>IDR</t>
        </is>
      </c>
      <c r="H225" s="288" t="n">
        <v>1</v>
      </c>
      <c r="I225" s="289" t="n"/>
      <c r="J225" s="289" t="n"/>
      <c r="K225" s="290" t="n"/>
      <c r="L225" s="291" t="n">
        <v>9693878</v>
      </c>
      <c r="M225" s="280" t="n"/>
      <c r="N225" s="280" t="n"/>
      <c r="O225" s="280" t="n"/>
      <c r="P225" s="280" t="n"/>
      <c r="Q225" s="280" t="n"/>
      <c r="R225" s="292" t="n"/>
      <c r="S225" s="292" t="n"/>
      <c r="T225" s="292" t="n"/>
      <c r="U225" s="292" t="n"/>
      <c r="V225" s="292" t="n"/>
      <c r="W225" s="292" t="n"/>
      <c r="X225" s="292" t="n"/>
      <c r="Y225" s="292" t="n"/>
    </row>
    <row r="226" ht="15.5" customHeight="1">
      <c r="B226" s="304" t="inlineStr">
        <is>
          <t>Expense#13</t>
        </is>
      </c>
      <c r="C226" s="305" t="inlineStr">
        <is>
          <t>:</t>
        </is>
      </c>
      <c r="D226" s="306" t="inlineStr">
        <is>
          <t>Non Trip MCU Dwiyanto</t>
        </is>
      </c>
      <c r="E226" s="326" t="n"/>
      <c r="F226" s="325" t="n"/>
      <c r="G226" s="326" t="n"/>
      <c r="H226" s="305" t="n"/>
      <c r="I226" s="309" t="n"/>
      <c r="J226" s="310" t="n"/>
      <c r="K226" s="311" t="n"/>
      <c r="L226" s="311" t="n"/>
      <c r="M226" s="311" t="n"/>
      <c r="N226" s="311" t="n"/>
      <c r="O226" s="311" t="n"/>
      <c r="P226" s="311" t="n"/>
      <c r="Q226" s="311" t="n"/>
      <c r="R226" s="312" t="n"/>
      <c r="S226" s="312" t="n"/>
      <c r="T226" s="312" t="n"/>
      <c r="U226" s="312" t="n"/>
      <c r="V226" s="312" t="n"/>
      <c r="W226" s="312" t="n"/>
      <c r="X226" s="312" t="n"/>
      <c r="Y226" s="312" t="n"/>
    </row>
    <row r="227" ht="15.5" customHeight="1">
      <c r="B227" s="313" t="n"/>
      <c r="C227" s="278" t="n"/>
      <c r="D227" s="314" t="inlineStr">
        <is>
          <t>Kesehatan</t>
        </is>
      </c>
      <c r="E227" s="320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  <c r="R227" s="285" t="n"/>
      <c r="S227" s="285" t="n"/>
      <c r="T227" s="285" t="n"/>
      <c r="U227" s="285" t="n"/>
      <c r="V227" s="285" t="n"/>
      <c r="W227" s="285" t="n"/>
      <c r="X227" s="285" t="n"/>
      <c r="Y227" s="285" t="n"/>
    </row>
    <row r="228" ht="15.5" customHeight="1">
      <c r="B228" s="286" t="n">
        <v>45432</v>
      </c>
      <c r="C228" s="278" t="n">
        <v>149</v>
      </c>
      <c r="D228" s="280" t="inlineStr">
        <is>
          <t>MCU Paket Umum Basic 1</t>
        </is>
      </c>
      <c r="E228" s="280" t="inlineStr">
        <is>
          <t>-</t>
        </is>
      </c>
      <c r="F228" s="287" t="n">
        <v>5322000</v>
      </c>
      <c r="G228" s="282" t="inlineStr">
        <is>
          <t>IDR</t>
        </is>
      </c>
      <c r="H228" s="288" t="n">
        <v>1</v>
      </c>
      <c r="I228" s="289" t="n"/>
      <c r="J228" s="289" t="n"/>
      <c r="K228" s="290" t="n"/>
      <c r="L228" s="280" t="n"/>
      <c r="M228" s="280" t="n"/>
      <c r="N228" s="280" t="n"/>
      <c r="O228" s="280" t="n"/>
      <c r="P228" s="280" t="n"/>
      <c r="Q228" s="291" t="n">
        <v>5322000</v>
      </c>
      <c r="R228" s="292" t="n"/>
      <c r="S228" s="292" t="n"/>
      <c r="T228" s="292" t="n"/>
      <c r="U228" s="292" t="n"/>
      <c r="V228" s="292" t="n"/>
      <c r="W228" s="292" t="n"/>
      <c r="X228" s="292" t="n"/>
      <c r="Y228" s="292" t="n"/>
    </row>
    <row r="229" ht="15.5" customHeight="1">
      <c r="B229" s="313" t="n"/>
      <c r="C229" s="278" t="n"/>
      <c r="D229" s="314" t="inlineStr">
        <is>
          <t>Pembelian Barang</t>
        </is>
      </c>
      <c r="E229" s="320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  <c r="R229" s="285" t="n"/>
      <c r="S229" s="285" t="n"/>
      <c r="T229" s="285" t="n"/>
      <c r="U229" s="285" t="n"/>
      <c r="V229" s="285" t="n"/>
      <c r="W229" s="285" t="n"/>
      <c r="X229" s="285" t="n"/>
      <c r="Y229" s="285" t="n"/>
    </row>
    <row r="230" ht="15.5" customHeight="1">
      <c r="B230" s="286" t="n">
        <v>45433</v>
      </c>
      <c r="C230" s="278" t="n">
        <v>150</v>
      </c>
      <c r="D230" s="280" t="inlineStr">
        <is>
          <t>Safety shoes</t>
        </is>
      </c>
      <c r="E230" s="280" t="inlineStr">
        <is>
          <t>-</t>
        </is>
      </c>
      <c r="F230" s="287" t="n">
        <v>2402000</v>
      </c>
      <c r="G230" s="282" t="inlineStr">
        <is>
          <t>IDR</t>
        </is>
      </c>
      <c r="H230" s="288" t="n">
        <v>1</v>
      </c>
      <c r="I230" s="289" t="n"/>
      <c r="J230" s="289" t="n"/>
      <c r="K230" s="290" t="n"/>
      <c r="L230" s="280" t="n"/>
      <c r="M230" s="280" t="n"/>
      <c r="N230" s="280" t="n"/>
      <c r="O230" s="291" t="n">
        <v>2402000</v>
      </c>
      <c r="P230" s="280" t="n"/>
      <c r="Q230" s="280" t="n"/>
      <c r="R230" s="292" t="n"/>
      <c r="S230" s="292" t="n"/>
      <c r="T230" s="292" t="n"/>
      <c r="U230" s="292" t="n"/>
      <c r="V230" s="292" t="n"/>
      <c r="W230" s="292" t="n"/>
      <c r="X230" s="292" t="n"/>
      <c r="Y230" s="292" t="n"/>
    </row>
    <row r="231" ht="15.5" customHeight="1">
      <c r="B231" s="304" t="inlineStr">
        <is>
          <t>Expense#14</t>
        </is>
      </c>
      <c r="C231" s="305" t="inlineStr">
        <is>
          <t>:</t>
        </is>
      </c>
      <c r="D231" s="306" t="inlineStr">
        <is>
          <t>Non project _ MCU - Ilham BR</t>
        </is>
      </c>
      <c r="E231" s="318" t="n"/>
      <c r="F231" s="325" t="n"/>
      <c r="G231" s="326" t="n"/>
      <c r="H231" s="305" t="n"/>
      <c r="I231" s="310" t="n"/>
      <c r="J231" s="310" t="n"/>
      <c r="K231" s="311" t="n"/>
      <c r="L231" s="311" t="n"/>
      <c r="M231" s="311" t="n"/>
      <c r="N231" s="311" t="n"/>
      <c r="O231" s="311" t="n"/>
      <c r="P231" s="311" t="n"/>
      <c r="Q231" s="311" t="n"/>
      <c r="R231" s="312" t="n"/>
      <c r="S231" s="312" t="n"/>
      <c r="T231" s="312" t="n"/>
      <c r="U231" s="312" t="n"/>
      <c r="V231" s="312" t="n"/>
      <c r="W231" s="312" t="n"/>
      <c r="X231" s="312" t="n"/>
      <c r="Y231" s="312" t="n"/>
    </row>
    <row r="232" ht="15.5" customHeight="1">
      <c r="B232" s="313" t="n"/>
      <c r="C232" s="278" t="n"/>
      <c r="D232" s="314" t="inlineStr">
        <is>
          <t>Kesehatan</t>
        </is>
      </c>
      <c r="E232" s="315" t="n"/>
      <c r="F232" s="281" t="n"/>
      <c r="G232" s="280" t="n"/>
      <c r="H232" s="319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  <c r="R232" s="285" t="n"/>
      <c r="S232" s="285" t="n"/>
      <c r="T232" s="285" t="n"/>
      <c r="U232" s="285" t="n"/>
      <c r="V232" s="285" t="n"/>
      <c r="W232" s="285" t="n"/>
      <c r="X232" s="285" t="n"/>
      <c r="Y232" s="285" t="n"/>
    </row>
    <row r="233" ht="15.5" customHeight="1">
      <c r="B233" s="286" t="n">
        <v>45432</v>
      </c>
      <c r="C233" s="278" t="n">
        <v>151</v>
      </c>
      <c r="D233" s="280" t="inlineStr">
        <is>
          <t>Biaya MCU</t>
        </is>
      </c>
      <c r="E233" s="280" t="inlineStr">
        <is>
          <t>-</t>
        </is>
      </c>
      <c r="F233" s="287" t="n">
        <v>5407000</v>
      </c>
      <c r="G233" s="282" t="inlineStr">
        <is>
          <t>IDR</t>
        </is>
      </c>
      <c r="H233" s="288" t="n">
        <v>1</v>
      </c>
      <c r="I233" s="289" t="n"/>
      <c r="J233" s="289" t="n"/>
      <c r="K233" s="290" t="n"/>
      <c r="L233" s="280" t="n"/>
      <c r="M233" s="280" t="n"/>
      <c r="N233" s="280" t="n"/>
      <c r="O233" s="280" t="n"/>
      <c r="P233" s="280" t="n"/>
      <c r="Q233" s="291" t="n">
        <v>5407000</v>
      </c>
      <c r="R233" s="292" t="n"/>
      <c r="S233" s="292" t="n"/>
      <c r="T233" s="292" t="n"/>
      <c r="U233" s="292" t="n"/>
      <c r="V233" s="292" t="n"/>
      <c r="W233" s="292" t="n"/>
      <c r="X233" s="292" t="n"/>
      <c r="Y233" s="292" t="n"/>
    </row>
    <row r="234" ht="15.5" customHeight="1">
      <c r="B234" s="327" t="inlineStr">
        <is>
          <t>Expense#15</t>
        </is>
      </c>
      <c r="C234" s="328" t="inlineStr">
        <is>
          <t>:</t>
        </is>
      </c>
      <c r="D234" s="329" t="inlineStr">
        <is>
          <t>ALFA Job - Jrk-193 _ OJT_ Ilham BR</t>
        </is>
      </c>
      <c r="E234" s="330" t="n"/>
      <c r="F234" s="325" t="n"/>
      <c r="G234" s="305" t="n"/>
      <c r="H234" s="305" t="n"/>
      <c r="I234" s="311" t="n"/>
      <c r="J234" s="311" t="n"/>
      <c r="K234" s="311" t="n"/>
      <c r="L234" s="311" t="n"/>
      <c r="M234" s="311" t="n"/>
      <c r="N234" s="311" t="n"/>
      <c r="O234" s="311" t="n"/>
      <c r="P234" s="311" t="n"/>
      <c r="Q234" s="311" t="n"/>
      <c r="R234" s="312" t="n"/>
      <c r="S234" s="312" t="n"/>
      <c r="T234" s="312" t="n"/>
      <c r="U234" s="312" t="n"/>
      <c r="V234" s="312" t="n"/>
      <c r="W234" s="312" t="n"/>
      <c r="X234" s="312" t="n"/>
      <c r="Y234" s="312" t="n"/>
    </row>
    <row r="235" ht="15.5" customHeight="1">
      <c r="B235" s="313" t="n"/>
      <c r="C235" s="278" t="n"/>
      <c r="D235" s="314" t="inlineStr">
        <is>
          <t>Biaya Operasi</t>
        </is>
      </c>
      <c r="E235" s="320" t="n"/>
      <c r="F235" s="281" t="n"/>
      <c r="G235" s="280" t="n"/>
      <c r="H235" s="280" t="n"/>
      <c r="I235" s="279" t="n"/>
      <c r="J235" s="279" t="n"/>
      <c r="K235" s="279" t="n"/>
      <c r="L235" s="279" t="n"/>
      <c r="M235" s="279" t="n"/>
      <c r="N235" s="279" t="n"/>
      <c r="O235" s="279" t="n"/>
      <c r="P235" s="279" t="n"/>
      <c r="Q235" s="279" t="n"/>
      <c r="R235" s="285" t="n"/>
      <c r="S235" s="285" t="n"/>
      <c r="T235" s="285" t="n"/>
      <c r="U235" s="285" t="n"/>
      <c r="V235" s="285" t="n"/>
      <c r="W235" s="285" t="n"/>
      <c r="X235" s="285" t="n"/>
      <c r="Y235" s="285" t="n"/>
    </row>
    <row r="236" ht="15.5" customHeight="1">
      <c r="B236" s="286" t="n">
        <v>45433</v>
      </c>
      <c r="C236" s="278" t="n">
        <v>152</v>
      </c>
      <c r="D236" s="280" t="inlineStr">
        <is>
          <t>Tiket Pesawat Citilink (CGK-PLM 25 Mei 2024)</t>
        </is>
      </c>
      <c r="E236" s="280" t="inlineStr">
        <is>
          <t>-</t>
        </is>
      </c>
      <c r="F236" s="287" t="n">
        <v>773238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773238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Reschedule Tiket Pesawat dari Citilink ke Super Air Jet (CGK-PLg)</t>
        </is>
      </c>
      <c r="E237" s="280" t="inlineStr">
        <is>
          <t>-</t>
        </is>
      </c>
      <c r="F237" s="287" t="n">
        <v>296853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296853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45436</v>
      </c>
      <c r="C238" s="278" t="n">
        <v>154</v>
      </c>
      <c r="D238" s="280" t="inlineStr">
        <is>
          <t>Taxi + Tol To Airport CGK</t>
        </is>
      </c>
      <c r="E238" s="280" t="inlineStr">
        <is>
          <t>-</t>
        </is>
      </c>
      <c r="F238" s="287" t="n">
        <v>250000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250000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Uang makan (25 - 30 May 2024)</t>
        </is>
      </c>
      <c r="E239" s="280" t="inlineStr">
        <is>
          <t>-</t>
        </is>
      </c>
      <c r="F239" s="287" t="n">
        <v>900000</v>
      </c>
      <c r="G239" s="282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900000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286" t="n">
        <v>45437</v>
      </c>
      <c r="C240" s="278" t="n">
        <v>156</v>
      </c>
      <c r="D240" s="280" t="inlineStr">
        <is>
          <t>Tunjangan Lapangan JRK-193 (25 - 30 May 2024)</t>
        </is>
      </c>
      <c r="E240" s="280" t="inlineStr">
        <is>
          <t>-</t>
        </is>
      </c>
      <c r="F240" s="287" t="n">
        <v>2430000</v>
      </c>
      <c r="G240" s="282" t="inlineStr">
        <is>
          <t>$</t>
        </is>
      </c>
      <c r="H240" s="288" t="n">
        <v>16200</v>
      </c>
      <c r="I240" s="289" t="n"/>
      <c r="J240" s="289" t="n"/>
      <c r="K240" s="290" t="n"/>
      <c r="L240" s="291" t="n">
        <v>2430000</v>
      </c>
      <c r="M240" s="280" t="n"/>
      <c r="N240" s="280" t="n"/>
      <c r="O240" s="280" t="n"/>
      <c r="P240" s="280" t="n"/>
      <c r="Q240" s="280" t="n"/>
      <c r="R240" s="292" t="n"/>
      <c r="S240" s="292" t="n"/>
      <c r="T240" s="292" t="n"/>
      <c r="U240" s="292" t="n"/>
      <c r="V240" s="292" t="n"/>
      <c r="W240" s="292" t="n"/>
      <c r="X240" s="292" t="n"/>
      <c r="Y240" s="292" t="n"/>
    </row>
    <row r="241" ht="15.5" customHeight="1">
      <c r="B241" s="304" t="inlineStr">
        <is>
          <t>Expense#16</t>
        </is>
      </c>
      <c r="C241" s="305" t="inlineStr">
        <is>
          <t>:</t>
        </is>
      </c>
      <c r="D241" s="306" t="inlineStr">
        <is>
          <t>ALFA job - JRK-193 OJT - Dwiyanto S</t>
        </is>
      </c>
      <c r="E241" s="307" t="n"/>
      <c r="F241" s="331" t="n"/>
      <c r="G241" s="326" t="n"/>
      <c r="H241" s="326" t="n"/>
      <c r="I241" s="309" t="n"/>
      <c r="J241" s="310" t="n"/>
      <c r="K241" s="311" t="n"/>
      <c r="L241" s="311" t="n"/>
      <c r="M241" s="311" t="n"/>
      <c r="N241" s="311" t="n"/>
      <c r="O241" s="311" t="n"/>
      <c r="P241" s="311" t="n"/>
      <c r="Q241" s="311" t="n"/>
      <c r="R241" s="312" t="n"/>
      <c r="S241" s="312" t="n"/>
      <c r="T241" s="312" t="n"/>
      <c r="U241" s="312" t="n"/>
      <c r="V241" s="312" t="n"/>
      <c r="W241" s="312" t="n"/>
      <c r="X241" s="312" t="n"/>
      <c r="Y241" s="312" t="n"/>
    </row>
    <row r="242" ht="15.5" customHeight="1">
      <c r="B242" s="313" t="n"/>
      <c r="C242" s="278" t="n"/>
      <c r="D242" s="314" t="inlineStr">
        <is>
          <t>Biaya Operasi</t>
        </is>
      </c>
      <c r="E242" s="320" t="n"/>
      <c r="F242" s="281" t="n"/>
      <c r="G242" s="280" t="n"/>
      <c r="H242" s="280" t="n"/>
      <c r="I242" s="283" t="n"/>
      <c r="J242" s="284" t="n"/>
      <c r="K242" s="279" t="n"/>
      <c r="L242" s="279" t="n"/>
      <c r="M242" s="279" t="n"/>
      <c r="N242" s="279" t="n"/>
      <c r="O242" s="279" t="n"/>
      <c r="P242" s="279" t="n"/>
      <c r="Q242" s="279" t="n"/>
      <c r="R242" s="285" t="n"/>
      <c r="S242" s="285" t="n"/>
      <c r="T242" s="285" t="n"/>
      <c r="U242" s="285" t="n"/>
      <c r="V242" s="285" t="n"/>
      <c r="W242" s="285" t="n"/>
      <c r="X242" s="285" t="n"/>
      <c r="Y242" s="285" t="n"/>
    </row>
    <row r="243" ht="15.5" customHeight="1">
      <c r="B243" s="286" t="n">
        <v>45437</v>
      </c>
      <c r="C243" s="278" t="n">
        <v>157</v>
      </c>
      <c r="D243" s="280" t="inlineStr">
        <is>
          <t>Taxi + Tol to Airport Jakarta</t>
        </is>
      </c>
      <c r="E243" s="280" t="inlineStr">
        <is>
          <t>-</t>
        </is>
      </c>
      <c r="F243" s="287" t="n">
        <v>232520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232520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fuel + tol PLM-Prabu</t>
        </is>
      </c>
      <c r="E244" s="280" t="inlineStr">
        <is>
          <t>-</t>
        </is>
      </c>
      <c r="F244" s="287" t="n">
        <v>312000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312000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Uang Makan (25 - 30 May 2024)</t>
        </is>
      </c>
      <c r="E245" s="280" t="inlineStr">
        <is>
          <t>-</t>
        </is>
      </c>
      <c r="F245" s="287" t="n">
        <v>900000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900000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Laundry (25 - 30 May 2024)</t>
        </is>
      </c>
      <c r="E246" s="280" t="inlineStr">
        <is>
          <t>-</t>
        </is>
      </c>
      <c r="F246" s="287" t="n">
        <v>300000</v>
      </c>
      <c r="G246" s="282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286" t="n">
        <v>45437</v>
      </c>
      <c r="C247" s="278" t="n">
        <v>161</v>
      </c>
      <c r="D247" s="280" t="inlineStr">
        <is>
          <t>Tunjangan Lapangan JRK-193 (25 - 30 May 2024). 1US$=16.200</t>
        </is>
      </c>
      <c r="E247" s="280" t="inlineStr">
        <is>
          <t>-</t>
        </is>
      </c>
      <c r="F247" s="287" t="n">
        <v>150</v>
      </c>
      <c r="G247" s="282" t="inlineStr">
        <is>
          <t>IDR</t>
        </is>
      </c>
      <c r="H247" s="288" t="n">
        <v>16200</v>
      </c>
      <c r="I247" s="289" t="n"/>
      <c r="J247" s="289" t="n"/>
      <c r="K247" s="290" t="n"/>
      <c r="L247" s="291" t="n">
        <v>150</v>
      </c>
      <c r="M247" s="280" t="n"/>
      <c r="N247" s="280" t="n"/>
      <c r="O247" s="280" t="n"/>
      <c r="P247" s="280" t="n"/>
      <c r="Q247" s="280" t="n"/>
      <c r="R247" s="292" t="n"/>
      <c r="S247" s="292" t="n"/>
      <c r="T247" s="292" t="n"/>
      <c r="U247" s="292" t="n"/>
      <c r="V247" s="292" t="n"/>
      <c r="W247" s="292" t="n"/>
      <c r="X247" s="292" t="n"/>
      <c r="Y247" s="292" t="n"/>
    </row>
    <row r="248" ht="15.5" customHeight="1">
      <c r="B248" s="279" t="n"/>
      <c r="C248" s="321" t="n"/>
      <c r="D248" s="322" t="inlineStr">
        <is>
          <t>Pembelian Barang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285" t="n"/>
      <c r="S248" s="285" t="n"/>
      <c r="T248" s="285" t="n"/>
      <c r="U248" s="285" t="n"/>
      <c r="V248" s="285" t="n"/>
      <c r="W248" s="285" t="n"/>
      <c r="X248" s="285" t="n"/>
      <c r="Y248" s="285" t="n"/>
    </row>
    <row r="249" ht="15.5" customHeight="1">
      <c r="B249" s="286" t="n">
        <v>45437</v>
      </c>
      <c r="C249" s="278" t="n">
        <v>162</v>
      </c>
      <c r="D249" s="280" t="inlineStr">
        <is>
          <t>Wrapping Alfa Box</t>
        </is>
      </c>
      <c r="E249" s="280" t="inlineStr">
        <is>
          <t>-</t>
        </is>
      </c>
      <c r="F249" s="287" t="n">
        <v>80000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80000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45439</v>
      </c>
      <c r="C250" s="278" t="n">
        <v>163</v>
      </c>
      <c r="D250" s="280" t="inlineStr">
        <is>
          <t>Hand gloves</t>
        </is>
      </c>
      <c r="E250" s="280" t="inlineStr">
        <is>
          <t>-</t>
        </is>
      </c>
      <c r="F250" s="287" t="n">
        <v>21900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21900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286" t="n">
        <v>45443</v>
      </c>
      <c r="C251" s="278" t="n">
        <v>164</v>
      </c>
      <c r="D251" s="280" t="inlineStr">
        <is>
          <t>Allen key, pliers, screwdrivers</t>
        </is>
      </c>
      <c r="E251" s="280" t="inlineStr">
        <is>
          <t>-</t>
        </is>
      </c>
      <c r="F251" s="287" t="n">
        <v>268000</v>
      </c>
      <c r="G251" s="282" t="inlineStr">
        <is>
          <t>IDR</t>
        </is>
      </c>
      <c r="H251" s="288" t="n">
        <v>1</v>
      </c>
      <c r="I251" s="289" t="n"/>
      <c r="J251" s="289" t="n"/>
      <c r="K251" s="290" t="n"/>
      <c r="L251" s="280" t="n"/>
      <c r="M251" s="280" t="n"/>
      <c r="N251" s="280" t="n"/>
      <c r="O251" s="291" t="n">
        <v>268000</v>
      </c>
      <c r="P251" s="280" t="n"/>
      <c r="Q251" s="280" t="n"/>
      <c r="R251" s="292" t="n"/>
      <c r="S251" s="292" t="n"/>
      <c r="T251" s="292" t="n"/>
      <c r="U251" s="292" t="n"/>
      <c r="V251" s="292" t="n"/>
      <c r="W251" s="292" t="n"/>
      <c r="X251" s="292" t="n"/>
      <c r="Y251" s="292" t="n"/>
    </row>
    <row r="252" ht="15.5" customHeight="1">
      <c r="B252" s="332" t="inlineStr">
        <is>
          <t>Expense#17</t>
        </is>
      </c>
      <c r="C252" s="305" t="inlineStr">
        <is>
          <t>:</t>
        </is>
      </c>
      <c r="D252" s="306" t="inlineStr">
        <is>
          <t>ALFA JRK-193 - project SI_ TMA</t>
        </is>
      </c>
      <c r="E252" s="326" t="n"/>
      <c r="F252" s="325" t="n"/>
      <c r="G252" s="305" t="n"/>
      <c r="H252" s="305" t="n"/>
      <c r="I252" s="310" t="n"/>
      <c r="J252" s="310" t="n"/>
      <c r="K252" s="311" t="n"/>
      <c r="L252" s="311" t="n"/>
      <c r="M252" s="311" t="n"/>
      <c r="N252" s="310" t="n"/>
      <c r="O252" s="311" t="n"/>
      <c r="P252" s="311" t="n"/>
      <c r="Q252" s="311" t="n"/>
      <c r="R252" s="312" t="n"/>
      <c r="S252" s="312" t="n"/>
      <c r="T252" s="312" t="n"/>
      <c r="U252" s="312" t="n"/>
      <c r="V252" s="312" t="n"/>
      <c r="W252" s="312" t="n"/>
      <c r="X252" s="312" t="n"/>
      <c r="Y252" s="312" t="n"/>
    </row>
    <row r="253" ht="15.5" customHeight="1">
      <c r="B253" s="279" t="n"/>
      <c r="C253" s="321" t="n"/>
      <c r="D253" s="322" t="inlineStr">
        <is>
          <t>Biaya Operasi</t>
        </is>
      </c>
      <c r="E253" s="333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285" t="n"/>
      <c r="S253" s="285" t="n"/>
      <c r="T253" s="285" t="n"/>
      <c r="U253" s="285" t="n"/>
      <c r="V253" s="285" t="n"/>
      <c r="W253" s="285" t="n"/>
      <c r="X253" s="285" t="n"/>
      <c r="Y253" s="285" t="n"/>
    </row>
    <row r="254" ht="15.5" customHeight="1">
      <c r="B254" s="286" t="n">
        <v>45437</v>
      </c>
      <c r="C254" s="278" t="n">
        <v>165</v>
      </c>
      <c r="D254" s="280" t="inlineStr">
        <is>
          <t>Hotel 24 May - 30 May (6 days)</t>
        </is>
      </c>
      <c r="E254" s="280" t="inlineStr">
        <is>
          <t>-</t>
        </is>
      </c>
      <c r="F254" s="287" t="n">
        <v>1650000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1650000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Laundry 6 days 1 Persons @ 50K IDR/day</t>
        </is>
      </c>
      <c r="E255" s="280" t="inlineStr">
        <is>
          <t>-</t>
        </is>
      </c>
      <c r="F255" s="287" t="n">
        <v>300000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300000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Airplane Ticket CGK-PLM (2 Person)</t>
        </is>
      </c>
      <c r="E256" s="280" t="inlineStr">
        <is>
          <t>-</t>
        </is>
      </c>
      <c r="F256" s="287" t="n">
        <v>1418800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1418800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Taxi Pondok Cabe-CGK</t>
        </is>
      </c>
      <c r="E257" s="280" t="inlineStr">
        <is>
          <t>-</t>
        </is>
      </c>
      <c r="F257" s="287" t="n">
        <v>166000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166000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Toll (Pondok Cabe-CGK)</t>
        </is>
      </c>
      <c r="E258" s="280" t="inlineStr">
        <is>
          <t>-</t>
        </is>
      </c>
      <c r="F258" s="287" t="n">
        <v>60000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60000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Rent Car 6 Days</t>
        </is>
      </c>
      <c r="E259" s="280" t="inlineStr">
        <is>
          <t>-</t>
        </is>
      </c>
      <c r="F259" s="287" t="n">
        <v>2900000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2900000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Gasoline</t>
        </is>
      </c>
      <c r="E260" s="280" t="inlineStr">
        <is>
          <t>-</t>
        </is>
      </c>
      <c r="F260" s="287" t="n">
        <v>400000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400000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 Crew's Operational</t>
        </is>
      </c>
      <c r="E261" s="280" t="inlineStr">
        <is>
          <t>-</t>
        </is>
      </c>
      <c r="F261" s="287" t="n">
        <v>709300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709300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Meals 7 days 1 Persons @ 150K IDR/day</t>
        </is>
      </c>
      <c r="E262" s="280" t="inlineStr">
        <is>
          <t>-</t>
        </is>
      </c>
      <c r="F262" s="287" t="n">
        <v>900000</v>
      </c>
      <c r="G262" s="282" t="inlineStr">
        <is>
          <t>IDR</t>
        </is>
      </c>
      <c r="H262" s="288" t="n">
        <v>1</v>
      </c>
      <c r="I262" s="289" t="n"/>
      <c r="J262" s="289" t="n"/>
      <c r="K262" s="290" t="n"/>
      <c r="L262" s="291" t="n">
        <v>900000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45437</v>
      </c>
      <c r="C263" s="278" t="n">
        <v>174</v>
      </c>
      <c r="D263" s="280" t="inlineStr">
        <is>
          <t>Tunjangan Lapangan for 6 days</t>
        </is>
      </c>
      <c r="E263" s="280" t="inlineStr">
        <is>
          <t>-</t>
        </is>
      </c>
      <c r="F263" s="287" t="n">
        <v>9717600</v>
      </c>
      <c r="G263" s="282" t="inlineStr">
        <is>
          <t>USD</t>
        </is>
      </c>
      <c r="H263" s="288" t="n">
        <v>16196</v>
      </c>
      <c r="I263" s="289" t="n"/>
      <c r="J263" s="289" t="n"/>
      <c r="K263" s="290" t="n"/>
      <c r="L263" s="291" t="n">
        <v>9717600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Taxi CGK-Pondok Cabe (inc Toll+Parking)</t>
        </is>
      </c>
      <c r="E264" s="280" t="inlineStr">
        <is>
          <t>-</t>
        </is>
      </c>
      <c r="F264" s="287" t="n">
        <v>300000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300000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286" t="n">
        <v>45442</v>
      </c>
      <c r="C265" s="278" t="n">
        <v>176</v>
      </c>
      <c r="D265" s="280" t="inlineStr">
        <is>
          <t>Airplane Ticket PLM-CGK (2 Person)</t>
        </is>
      </c>
      <c r="E265" s="280" t="inlineStr">
        <is>
          <t>-</t>
        </is>
      </c>
      <c r="F265" s="287" t="n">
        <v>1326410</v>
      </c>
      <c r="G265" s="282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1326410</v>
      </c>
      <c r="M265" s="280" t="n"/>
      <c r="N265" s="280" t="n"/>
      <c r="O265" s="280" t="n"/>
      <c r="P265" s="280" t="n"/>
      <c r="Q265" s="280" t="n"/>
      <c r="R265" s="292" t="n"/>
      <c r="S265" s="292" t="n"/>
      <c r="T265" s="292" t="n"/>
      <c r="U265" s="292" t="n"/>
      <c r="V265" s="292" t="n"/>
      <c r="W265" s="292" t="n"/>
      <c r="X265" s="292" t="n"/>
      <c r="Y265" s="292" t="n"/>
    </row>
    <row r="266" ht="15.5" customHeight="1">
      <c r="B266" s="334" t="inlineStr">
        <is>
          <t>Expense#18</t>
        </is>
      </c>
      <c r="C266" s="305" t="inlineStr">
        <is>
          <t>:</t>
        </is>
      </c>
      <c r="D266" s="306" t="inlineStr">
        <is>
          <t>Non Trip - BOSIET Training - DS</t>
        </is>
      </c>
      <c r="E266" s="307" t="n"/>
      <c r="F266" s="325" t="n"/>
      <c r="G266" s="305" t="n"/>
      <c r="H266" s="305" t="n"/>
      <c r="I266" s="309" t="n"/>
      <c r="J266" s="310" t="n"/>
      <c r="K266" s="311" t="n"/>
      <c r="L266" s="311" t="n"/>
      <c r="M266" s="311" t="n"/>
      <c r="N266" s="309" t="n"/>
      <c r="O266" s="311" t="n"/>
      <c r="P266" s="311" t="n"/>
      <c r="Q266" s="311" t="n"/>
      <c r="R266" s="312" t="n"/>
      <c r="S266" s="312" t="n"/>
      <c r="T266" s="312" t="n"/>
      <c r="U266" s="312" t="n"/>
      <c r="V266" s="312" t="n"/>
      <c r="W266" s="312" t="n"/>
      <c r="X266" s="312" t="n"/>
      <c r="Y266" s="312" t="n"/>
    </row>
    <row r="267" ht="15.5" customHeight="1">
      <c r="B267" s="313" t="n"/>
      <c r="C267" s="278" t="n"/>
      <c r="D267" s="314" t="inlineStr">
        <is>
          <t>Biaya Operasi</t>
        </is>
      </c>
      <c r="E267" s="315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285" t="n"/>
      <c r="S267" s="285" t="n"/>
      <c r="T267" s="285" t="n"/>
      <c r="U267" s="285" t="n"/>
      <c r="V267" s="285" t="n"/>
      <c r="W267" s="285" t="n"/>
      <c r="X267" s="285" t="n"/>
      <c r="Y267" s="285" t="n"/>
    </row>
    <row r="268" ht="15.5" customHeight="1">
      <c r="B268" s="286" t="n">
        <v>45448</v>
      </c>
      <c r="C268" s="278" t="n">
        <v>177</v>
      </c>
      <c r="D268" s="280" t="inlineStr">
        <is>
          <t>Personal Car from Home to PT. LTJ (converted) DAY-1</t>
        </is>
      </c>
      <c r="E268" s="280" t="inlineStr">
        <is>
          <t>-</t>
        </is>
      </c>
      <c r="F268" s="287" t="n">
        <v>233000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233000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45449</v>
      </c>
      <c r="C269" s="278" t="n">
        <v>178</v>
      </c>
      <c r="D269" s="280" t="inlineStr">
        <is>
          <t>Transport DAY - 2 BOSIET</t>
        </is>
      </c>
      <c r="E269" s="280" t="inlineStr">
        <is>
          <t>-</t>
        </is>
      </c>
      <c r="F269" s="287" t="n">
        <v>73000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73000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BOSIET 5 - 7 June 2024</t>
        </is>
      </c>
      <c r="E270" s="280" t="inlineStr">
        <is>
          <t>-</t>
        </is>
      </c>
      <c r="F270" s="287" t="n">
        <v>9693878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9693878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286" t="n">
        <v>45450</v>
      </c>
      <c r="C271" s="278" t="n">
        <v>180</v>
      </c>
      <c r="D271" s="280" t="inlineStr">
        <is>
          <t>Transport DAY - 3 BOSIET</t>
        </is>
      </c>
      <c r="E271" s="280" t="inlineStr">
        <is>
          <t>-</t>
        </is>
      </c>
      <c r="F271" s="287" t="n">
        <v>59000</v>
      </c>
      <c r="G271" s="282" t="inlineStr">
        <is>
          <t>IDR</t>
        </is>
      </c>
      <c r="H271" s="288" t="n">
        <v>1</v>
      </c>
      <c r="I271" s="289" t="n"/>
      <c r="J271" s="289" t="n"/>
      <c r="K271" s="290" t="n"/>
      <c r="L271" s="291" t="n">
        <v>59000</v>
      </c>
      <c r="M271" s="280" t="n"/>
      <c r="N271" s="280" t="n"/>
      <c r="O271" s="280" t="n"/>
      <c r="P271" s="280" t="n"/>
      <c r="Q271" s="280" t="n"/>
      <c r="R271" s="292" t="n"/>
      <c r="S271" s="292" t="n"/>
      <c r="T271" s="292" t="n"/>
      <c r="U271" s="292" t="n"/>
      <c r="V271" s="292" t="n"/>
      <c r="W271" s="292" t="n"/>
      <c r="X271" s="292" t="n"/>
      <c r="Y271" s="292" t="n"/>
    </row>
    <row r="272" ht="15.5" customHeight="1">
      <c r="B272" s="304" t="inlineStr">
        <is>
          <t>Expense#19</t>
        </is>
      </c>
      <c r="C272" s="305" t="inlineStr">
        <is>
          <t>:</t>
        </is>
      </c>
      <c r="D272" s="306" t="inlineStr">
        <is>
          <t>ALFA JRK-163 (Pending job) - TMA</t>
        </is>
      </c>
      <c r="E272" s="335" t="n"/>
      <c r="F272" s="325" t="n"/>
      <c r="G272" s="305" t="n"/>
      <c r="H272" s="305" t="n"/>
      <c r="I272" s="309" t="n"/>
      <c r="J272" s="310" t="n"/>
      <c r="K272" s="311" t="n"/>
      <c r="L272" s="311" t="n"/>
      <c r="M272" s="311" t="n"/>
      <c r="N272" s="309" t="n"/>
      <c r="O272" s="311" t="n"/>
      <c r="P272" s="311" t="n"/>
      <c r="Q272" s="311" t="n"/>
      <c r="R272" s="312" t="n"/>
      <c r="S272" s="312" t="n"/>
      <c r="T272" s="312" t="n"/>
      <c r="U272" s="312" t="n"/>
      <c r="V272" s="312" t="n"/>
      <c r="W272" s="312" t="n"/>
      <c r="X272" s="312" t="n"/>
      <c r="Y272" s="312" t="n"/>
    </row>
    <row r="273" ht="15.5" customHeight="1">
      <c r="B273" s="313" t="n"/>
      <c r="C273" s="278" t="n"/>
      <c r="D273" s="314" t="inlineStr">
        <is>
          <t>Biaya Operasi</t>
        </is>
      </c>
      <c r="E273" s="315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286" t="n">
        <v>45428</v>
      </c>
      <c r="C274" s="278" t="n">
        <v>181</v>
      </c>
      <c r="D274" s="280" t="inlineStr">
        <is>
          <t>Hotel 16 June - 19 June (3 days)</t>
        </is>
      </c>
      <c r="E274" s="280" t="inlineStr">
        <is>
          <t>-</t>
        </is>
      </c>
      <c r="F274" s="287" t="n">
        <v>720000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720000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Laundry 4 days 1 Persons @ 50K IDR/day</t>
        </is>
      </c>
      <c r="E275" s="280" t="inlineStr">
        <is>
          <t>-</t>
        </is>
      </c>
      <c r="F275" s="287" t="n">
        <v>200000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200000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Airplane Ticket CGK-PLM</t>
        </is>
      </c>
      <c r="E276" s="280" t="inlineStr">
        <is>
          <t>-</t>
        </is>
      </c>
      <c r="F276" s="287" t="n">
        <v>995500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995500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Taxi Pondok Cabe-CGK</t>
        </is>
      </c>
      <c r="E277" s="280" t="inlineStr">
        <is>
          <t>-</t>
        </is>
      </c>
      <c r="F277" s="287" t="n">
        <v>273500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273500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Toll Prabumulih (PP)</t>
        </is>
      </c>
      <c r="E278" s="280" t="inlineStr">
        <is>
          <t>-</t>
        </is>
      </c>
      <c r="F278" s="287" t="n">
        <v>224000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224000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Rent Car 4 Days</t>
        </is>
      </c>
      <c r="E279" s="280" t="inlineStr">
        <is>
          <t>-</t>
        </is>
      </c>
      <c r="F279" s="287" t="n">
        <v>2000000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2000000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Gasoline</t>
        </is>
      </c>
      <c r="E280" s="280" t="inlineStr">
        <is>
          <t>-</t>
        </is>
      </c>
      <c r="F280" s="287" t="n">
        <v>330000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330000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Taxi HLP-Pondok Cabe (inc Toll+Parking)</t>
        </is>
      </c>
      <c r="E281" s="280" t="inlineStr">
        <is>
          <t>-</t>
        </is>
      </c>
      <c r="F281" s="287" t="n">
        <v>270000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270000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Airplane Ticket PLM-HLP</t>
        </is>
      </c>
      <c r="E282" s="280" t="inlineStr">
        <is>
          <t>-</t>
        </is>
      </c>
      <c r="F282" s="287" t="n">
        <v>1004000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1004000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Meals 4 days 1 Persons @ 150K IDR/day</t>
        </is>
      </c>
      <c r="E283" s="280" t="inlineStr">
        <is>
          <t>-</t>
        </is>
      </c>
      <c r="F283" s="287" t="n">
        <v>600000</v>
      </c>
      <c r="G283" s="282" t="inlineStr">
        <is>
          <t>IDR</t>
        </is>
      </c>
      <c r="H283" s="288" t="n">
        <v>1</v>
      </c>
      <c r="I283" s="289" t="n"/>
      <c r="J283" s="289" t="n"/>
      <c r="K283" s="290" t="n"/>
      <c r="L283" s="291" t="n">
        <v>600000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286" t="n">
        <v>45428</v>
      </c>
      <c r="C284" s="278" t="n">
        <v>191</v>
      </c>
      <c r="D284" s="280" t="inlineStr">
        <is>
          <t>Tunjangan Lapangan for 4 days</t>
        </is>
      </c>
      <c r="E284" s="280" t="inlineStr">
        <is>
          <t>-</t>
        </is>
      </c>
      <c r="F284" s="287" t="n">
        <v>6551200</v>
      </c>
      <c r="G284" s="282" t="inlineStr">
        <is>
          <t>USD</t>
        </is>
      </c>
      <c r="H284" s="288" t="n">
        <v>16378</v>
      </c>
      <c r="I284" s="289" t="n"/>
      <c r="J284" s="289" t="n"/>
      <c r="K284" s="290" t="n"/>
      <c r="L284" s="291" t="n">
        <v>6551200</v>
      </c>
      <c r="M284" s="280" t="n"/>
      <c r="N284" s="280" t="n"/>
      <c r="O284" s="280" t="n"/>
      <c r="P284" s="280" t="n"/>
      <c r="Q284" s="280" t="n"/>
      <c r="R284" s="292" t="n"/>
      <c r="S284" s="292" t="n"/>
      <c r="T284" s="292" t="n"/>
      <c r="U284" s="292" t="n"/>
      <c r="V284" s="292" t="n"/>
      <c r="W284" s="292" t="n"/>
      <c r="X284" s="292" t="n"/>
      <c r="Y284" s="292" t="n"/>
    </row>
    <row r="285" ht="15.5" customHeight="1">
      <c r="B285" s="313" t="n"/>
      <c r="C285" s="278" t="n"/>
      <c r="D285" s="314" t="inlineStr">
        <is>
          <t>Pembelian Barang</t>
        </is>
      </c>
      <c r="E285" s="315" t="n"/>
      <c r="F285" s="316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285" t="n"/>
      <c r="S285" s="285" t="n"/>
      <c r="T285" s="285" t="n"/>
      <c r="U285" s="285" t="n"/>
      <c r="V285" s="285" t="n"/>
      <c r="W285" s="285" t="n"/>
      <c r="X285" s="285" t="n"/>
      <c r="Y285" s="285" t="n"/>
    </row>
    <row r="286" ht="15.5" customHeight="1">
      <c r="B286" s="286" t="n">
        <v>45428</v>
      </c>
      <c r="C286" s="278" t="n">
        <v>192</v>
      </c>
      <c r="D286" s="280" t="inlineStr">
        <is>
          <t>Uneed Power Station</t>
        </is>
      </c>
      <c r="E286" s="280" t="inlineStr">
        <is>
          <t>-</t>
        </is>
      </c>
      <c r="F286" s="287" t="n">
        <v>2371000</v>
      </c>
      <c r="G286" s="282" t="inlineStr">
        <is>
          <t>IDR</t>
        </is>
      </c>
      <c r="H286" s="288" t="n">
        <v>1</v>
      </c>
      <c r="I286" s="289" t="n"/>
      <c r="J286" s="289" t="n"/>
      <c r="K286" s="290" t="n"/>
      <c r="L286" s="280" t="n"/>
      <c r="M286" s="280" t="n"/>
      <c r="N286" s="280" t="n"/>
      <c r="O286" s="291" t="n">
        <v>2371000</v>
      </c>
      <c r="P286" s="280" t="n"/>
      <c r="Q286" s="280" t="n"/>
      <c r="R286" s="292" t="n"/>
      <c r="S286" s="292" t="n"/>
      <c r="T286" s="292" t="n"/>
      <c r="U286" s="292" t="n"/>
      <c r="V286" s="292" t="n"/>
      <c r="W286" s="292" t="n"/>
      <c r="X286" s="292" t="n"/>
      <c r="Y286" s="292" t="n"/>
    </row>
    <row r="287" ht="15.5" customHeight="1">
      <c r="B287" s="304" t="inlineStr">
        <is>
          <t>Expense#20</t>
        </is>
      </c>
      <c r="C287" s="305" t="inlineStr">
        <is>
          <t>:</t>
        </is>
      </c>
      <c r="D287" s="306" t="inlineStr">
        <is>
          <t>Preparation TIS Petroleum - TMA</t>
        </is>
      </c>
      <c r="E287" s="307" t="n"/>
      <c r="F287" s="308" t="n"/>
      <c r="G287" s="305" t="n"/>
      <c r="H287" s="305" t="n"/>
      <c r="I287" s="309" t="n"/>
      <c r="J287" s="310" t="n"/>
      <c r="K287" s="311" t="n"/>
      <c r="L287" s="311" t="n"/>
      <c r="M287" s="311" t="n"/>
      <c r="N287" s="311" t="n"/>
      <c r="O287" s="311" t="n"/>
      <c r="P287" s="311" t="n"/>
      <c r="Q287" s="311" t="n"/>
      <c r="R287" s="312" t="n"/>
      <c r="S287" s="312" t="n"/>
      <c r="T287" s="312" t="n"/>
      <c r="U287" s="312" t="n"/>
      <c r="V287" s="312" t="n"/>
      <c r="W287" s="312" t="n"/>
      <c r="X287" s="312" t="n"/>
      <c r="Y287" s="312" t="n"/>
    </row>
    <row r="288" ht="15.5" customHeight="1">
      <c r="B288" s="313" t="n"/>
      <c r="C288" s="278" t="n"/>
      <c r="D288" s="314" t="inlineStr">
        <is>
          <t>Biaya Operasi</t>
        </is>
      </c>
      <c r="E288" s="315" t="n"/>
      <c r="F288" s="316" t="n"/>
      <c r="G288" s="278" t="n"/>
      <c r="H288" s="278" t="n"/>
      <c r="I288" s="283" t="n"/>
      <c r="J288" s="284" t="n"/>
      <c r="K288" s="279" t="n"/>
      <c r="L288" s="279" t="n"/>
      <c r="M288" s="279" t="n"/>
      <c r="N288" s="279" t="n"/>
      <c r="O288" s="279" t="n"/>
      <c r="P288" s="279" t="n"/>
      <c r="Q288" s="279" t="n"/>
      <c r="R288" s="285" t="n"/>
      <c r="S288" s="285" t="n"/>
      <c r="T288" s="285" t="n"/>
      <c r="U288" s="285" t="n"/>
      <c r="V288" s="285" t="n"/>
      <c r="W288" s="285" t="n"/>
      <c r="X288" s="285" t="n"/>
      <c r="Y288" s="285" t="n"/>
    </row>
    <row r="289" ht="15.5" customHeight="1">
      <c r="B289" s="286" t="n">
        <v>45478</v>
      </c>
      <c r="C289" s="278" t="n">
        <v>193</v>
      </c>
      <c r="D289" s="280" t="inlineStr">
        <is>
          <t>Lalamove Gowell-Bogor-Gowell</t>
        </is>
      </c>
      <c r="E289" s="280" t="inlineStr">
        <is>
          <t>-</t>
        </is>
      </c>
      <c r="F289" s="287" t="n">
        <v>594804</v>
      </c>
      <c r="G289" s="282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594804</v>
      </c>
      <c r="M289" s="280" t="n"/>
      <c r="N289" s="280" t="n"/>
      <c r="O289" s="280" t="n"/>
      <c r="P289" s="280" t="n"/>
      <c r="Q289" s="280" t="n"/>
      <c r="R289" s="292" t="n"/>
      <c r="S289" s="292" t="n"/>
      <c r="T289" s="292" t="n"/>
      <c r="U289" s="292" t="n"/>
      <c r="V289" s="292" t="n"/>
      <c r="W289" s="292" t="n"/>
      <c r="X289" s="292" t="n"/>
      <c r="Y289" s="292" t="n"/>
    </row>
    <row r="290" ht="15.5" customHeight="1">
      <c r="B290" s="313" t="n"/>
      <c r="C290" s="278" t="n"/>
      <c r="D290" s="314" t="inlineStr">
        <is>
          <t>Pembelian Barang</t>
        </is>
      </c>
      <c r="E290" s="280" t="n"/>
      <c r="F290" s="316" t="n"/>
      <c r="G290" s="278" t="n"/>
      <c r="H290" s="278" t="n"/>
      <c r="I290" s="283" t="n"/>
      <c r="J290" s="284" t="n"/>
      <c r="K290" s="279" t="n"/>
      <c r="L290" s="279" t="n"/>
      <c r="M290" s="279" t="n"/>
      <c r="N290" s="279" t="n"/>
      <c r="O290" s="279" t="n"/>
      <c r="P290" s="279" t="n"/>
      <c r="Q290" s="279" t="n"/>
      <c r="R290" s="285" t="n"/>
      <c r="S290" s="285" t="n"/>
      <c r="T290" s="285" t="n"/>
      <c r="U290" s="285" t="n"/>
      <c r="V290" s="285" t="n"/>
      <c r="W290" s="285" t="n"/>
      <c r="X290" s="285" t="n"/>
      <c r="Y290" s="285" t="n"/>
    </row>
    <row r="291" ht="15.5" customHeight="1">
      <c r="B291" s="286" t="n">
        <v>45483</v>
      </c>
      <c r="C291" s="278" t="n">
        <v>194</v>
      </c>
      <c r="D291" s="280" t="inlineStr">
        <is>
          <t>Pin Punch</t>
        </is>
      </c>
      <c r="E291" s="280" t="inlineStr">
        <is>
          <t>-</t>
        </is>
      </c>
      <c r="F291" s="287" t="n">
        <v>381960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381960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286" t="n">
        <v>45483</v>
      </c>
      <c r="C292" s="278" t="n">
        <v>195</v>
      </c>
      <c r="D292" s="280" t="inlineStr">
        <is>
          <t>Hardcase Custom</t>
        </is>
      </c>
      <c r="E292" s="280" t="inlineStr">
        <is>
          <t>-</t>
        </is>
      </c>
      <c r="F292" s="287" t="n">
        <v>3595000</v>
      </c>
      <c r="G292" s="282" t="inlineStr">
        <is>
          <t>IDR</t>
        </is>
      </c>
      <c r="H292" s="288" t="n">
        <v>1</v>
      </c>
      <c r="I292" s="289" t="n"/>
      <c r="J292" s="289" t="n"/>
      <c r="K292" s="290" t="n"/>
      <c r="L292" s="280" t="n"/>
      <c r="M292" s="280" t="n"/>
      <c r="N292" s="280" t="n"/>
      <c r="O292" s="291" t="n">
        <v>3595000</v>
      </c>
      <c r="P292" s="280" t="n"/>
      <c r="Q292" s="280" t="n"/>
      <c r="R292" s="292" t="n"/>
      <c r="S292" s="292" t="n"/>
      <c r="T292" s="292" t="n"/>
      <c r="U292" s="292" t="n"/>
      <c r="V292" s="292" t="n"/>
      <c r="W292" s="292" t="n"/>
      <c r="X292" s="292" t="n"/>
      <c r="Y292" s="292" t="n"/>
    </row>
    <row r="293" ht="15.5" customHeight="1">
      <c r="B293" s="304" t="inlineStr">
        <is>
          <t>Expense#21</t>
        </is>
      </c>
      <c r="C293" s="305" t="inlineStr">
        <is>
          <t>:</t>
        </is>
      </c>
      <c r="D293" s="306" t="inlineStr">
        <is>
          <t>Delivery Tools Sonoecho (KL) - TMA</t>
        </is>
      </c>
      <c r="E293" s="307" t="n"/>
      <c r="F293" s="331" t="n"/>
      <c r="G293" s="305" t="n"/>
      <c r="H293" s="305" t="n"/>
      <c r="I293" s="310" t="n"/>
      <c r="J293" s="310" t="n"/>
      <c r="K293" s="311" t="n"/>
      <c r="L293" s="311" t="n"/>
      <c r="M293" s="311" t="n"/>
      <c r="N293" s="311" t="n"/>
      <c r="O293" s="311" t="n"/>
      <c r="P293" s="311" t="n"/>
      <c r="Q293" s="311" t="n"/>
      <c r="R293" s="312" t="n"/>
      <c r="S293" s="312" t="n"/>
      <c r="T293" s="312" t="n"/>
      <c r="U293" s="312" t="n"/>
      <c r="V293" s="312" t="n"/>
      <c r="W293" s="312" t="n"/>
      <c r="X293" s="312" t="n"/>
      <c r="Y293" s="312" t="n"/>
    </row>
    <row r="294" ht="15.5" customHeight="1">
      <c r="B294" s="313" t="n"/>
      <c r="C294" s="336" t="n"/>
      <c r="D294" s="314" t="inlineStr">
        <is>
          <t>Biaya Operasi</t>
        </is>
      </c>
      <c r="E294" s="320" t="n"/>
      <c r="F294" s="316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285" t="n"/>
      <c r="S294" s="285" t="n"/>
      <c r="T294" s="285" t="n"/>
      <c r="U294" s="285" t="n"/>
      <c r="V294" s="285" t="n"/>
      <c r="W294" s="285" t="n"/>
      <c r="X294" s="285" t="n"/>
      <c r="Y294" s="285" t="n"/>
    </row>
    <row r="295" ht="15.5" customHeight="1">
      <c r="B295" s="286" t="n">
        <v>45481</v>
      </c>
      <c r="C295" s="278" t="n">
        <v>196</v>
      </c>
      <c r="D295" s="280" t="inlineStr">
        <is>
          <t>Hotel</t>
        </is>
      </c>
      <c r="E295" s="280" t="inlineStr">
        <is>
          <t>-</t>
        </is>
      </c>
      <c r="F295" s="287" t="n">
        <v>344305</v>
      </c>
      <c r="G295" s="282" t="inlineStr">
        <is>
          <t>IDR</t>
        </is>
      </c>
      <c r="H295" s="288" t="n">
        <v>1</v>
      </c>
      <c r="I295" s="289" t="n"/>
      <c r="J295" s="289" t="n"/>
      <c r="K295" s="290" t="n"/>
      <c r="L295" s="291" t="n">
        <v>344305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Hotel Tax Foreigner</t>
        </is>
      </c>
      <c r="E296" s="280" t="inlineStr">
        <is>
          <t>-</t>
        </is>
      </c>
      <c r="F296" s="287" t="n">
        <v>34620</v>
      </c>
      <c r="G296" s="282" t="inlineStr">
        <is>
          <t>MYR</t>
        </is>
      </c>
      <c r="H296" s="288" t="n">
        <v>3462</v>
      </c>
      <c r="I296" s="289" t="n"/>
      <c r="J296" s="289" t="n"/>
      <c r="K296" s="290" t="n"/>
      <c r="L296" s="291" t="n">
        <v>34620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Airplane Ticket CGK-KLIA</t>
        </is>
      </c>
      <c r="E297" s="280" t="inlineStr">
        <is>
          <t>-</t>
        </is>
      </c>
      <c r="F297" s="287" t="n">
        <v>4912100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4912100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Home - CGK</t>
        </is>
      </c>
      <c r="E298" s="280" t="inlineStr">
        <is>
          <t>-</t>
        </is>
      </c>
      <c r="F298" s="287" t="n">
        <v>250000</v>
      </c>
      <c r="G298" s="282" t="inlineStr">
        <is>
          <t>IDR</t>
        </is>
      </c>
      <c r="H298" s="288" t="n">
        <v>1</v>
      </c>
      <c r="I298" s="289" t="n"/>
      <c r="J298" s="289" t="n"/>
      <c r="K298" s="290" t="n"/>
      <c r="L298" s="291" t="n">
        <v>250000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45481</v>
      </c>
      <c r="C299" s="278" t="n">
        <v>200</v>
      </c>
      <c r="D299" s="280" t="inlineStr">
        <is>
          <t>Taxi KLIA - Hotel</t>
        </is>
      </c>
      <c r="E299" s="280" t="inlineStr">
        <is>
          <t>-</t>
        </is>
      </c>
      <c r="F299" s="287" t="n">
        <v>249264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249264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Hyperseal - Hotel</t>
        </is>
      </c>
      <c r="E300" s="280" t="inlineStr">
        <is>
          <t>-</t>
        </is>
      </c>
      <c r="F300" s="287" t="n">
        <v>27696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27696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Hotel - KLIA</t>
        </is>
      </c>
      <c r="E301" s="280" t="inlineStr">
        <is>
          <t>-</t>
        </is>
      </c>
      <c r="F301" s="287" t="n">
        <v>283987.86</v>
      </c>
      <c r="G301" s="282" t="inlineStr">
        <is>
          <t>MYR</t>
        </is>
      </c>
      <c r="H301" s="288" t="n">
        <v>3462</v>
      </c>
      <c r="I301" s="289" t="n"/>
      <c r="J301" s="289" t="n"/>
      <c r="K301" s="290" t="n"/>
      <c r="L301" s="291" t="n">
        <v>283987.86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286" t="n">
        <v>45482</v>
      </c>
      <c r="C302" s="278" t="n">
        <v>203</v>
      </c>
      <c r="D302" s="280" t="inlineStr">
        <is>
          <t>Taxi CGK - Home</t>
        </is>
      </c>
      <c r="E302" s="280" t="inlineStr">
        <is>
          <t>-</t>
        </is>
      </c>
      <c r="F302" s="287" t="n">
        <v>259120</v>
      </c>
      <c r="G302" s="282" t="inlineStr">
        <is>
          <t>IDR</t>
        </is>
      </c>
      <c r="H302" s="288" t="n">
        <v>1</v>
      </c>
      <c r="I302" s="289" t="n"/>
      <c r="J302" s="289" t="n"/>
      <c r="K302" s="290" t="n"/>
      <c r="L302" s="291" t="n">
        <v>259120</v>
      </c>
      <c r="M302" s="280" t="n"/>
      <c r="N302" s="280" t="n"/>
      <c r="O302" s="280" t="n"/>
      <c r="P302" s="280" t="n"/>
      <c r="Q302" s="280" t="n"/>
      <c r="R302" s="292" t="n"/>
      <c r="S302" s="292" t="n"/>
      <c r="T302" s="292" t="n"/>
      <c r="U302" s="292" t="n"/>
      <c r="V302" s="292" t="n"/>
      <c r="W302" s="292" t="n"/>
      <c r="X302" s="292" t="n"/>
      <c r="Y302" s="292" t="n"/>
    </row>
    <row r="303" ht="15.5" customHeight="1">
      <c r="B303" s="337" t="n"/>
      <c r="C303" s="278" t="n"/>
      <c r="D303" s="314" t="inlineStr">
        <is>
          <t>Pembelian Barang</t>
        </is>
      </c>
      <c r="E303" s="338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  <c r="R303" s="285" t="n"/>
      <c r="S303" s="285" t="n"/>
      <c r="T303" s="285" t="n"/>
      <c r="U303" s="285" t="n"/>
      <c r="V303" s="285" t="n"/>
      <c r="W303" s="285" t="n"/>
      <c r="X303" s="285" t="n"/>
      <c r="Y303" s="285" t="n"/>
    </row>
    <row r="304" ht="15.5" customHeight="1">
      <c r="B304" s="286" t="n">
        <v>45483</v>
      </c>
      <c r="C304" s="278" t="n">
        <v>204</v>
      </c>
      <c r="D304" s="280" t="inlineStr">
        <is>
          <t>Asus Slate 13 (tablet asus)</t>
        </is>
      </c>
      <c r="E304" s="280" t="inlineStr">
        <is>
          <t>-</t>
        </is>
      </c>
      <c r="F304" s="287" t="n">
        <v>9778400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9778400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286" t="n">
        <v>45483</v>
      </c>
      <c r="C305" s="278" t="n">
        <v>205</v>
      </c>
      <c r="D305" s="280" t="inlineStr">
        <is>
          <t>OTG Type C</t>
        </is>
      </c>
      <c r="E305" s="280" t="inlineStr">
        <is>
          <t>-</t>
        </is>
      </c>
      <c r="F305" s="287" t="n">
        <v>163100</v>
      </c>
      <c r="G305" s="282" t="inlineStr">
        <is>
          <t>IDR</t>
        </is>
      </c>
      <c r="H305" s="288" t="n">
        <v>1</v>
      </c>
      <c r="I305" s="289" t="n"/>
      <c r="J305" s="289" t="n"/>
      <c r="K305" s="290" t="n"/>
      <c r="L305" s="280" t="n"/>
      <c r="M305" s="280" t="n"/>
      <c r="N305" s="280" t="n"/>
      <c r="O305" s="291" t="n">
        <v>163100</v>
      </c>
      <c r="P305" s="280" t="n"/>
      <c r="Q305" s="280" t="n"/>
      <c r="R305" s="292" t="n"/>
      <c r="S305" s="292" t="n"/>
      <c r="T305" s="292" t="n"/>
      <c r="U305" s="292" t="n"/>
      <c r="V305" s="292" t="n"/>
      <c r="W305" s="292" t="n"/>
      <c r="X305" s="292" t="n"/>
      <c r="Y305" s="292" t="n"/>
    </row>
    <row r="306" ht="15.5" customHeight="1">
      <c r="B306" s="304" t="inlineStr">
        <is>
          <t>Expense#22</t>
        </is>
      </c>
      <c r="C306" s="305" t="inlineStr">
        <is>
          <t>:</t>
        </is>
      </c>
      <c r="D306" s="306" t="inlineStr">
        <is>
          <t>Non project ( MCU ulang )_ IBR</t>
        </is>
      </c>
      <c r="E306" s="318" t="n"/>
      <c r="F306" s="325" t="n"/>
      <c r="G306" s="305" t="n"/>
      <c r="H306" s="305" t="n"/>
      <c r="I306" s="339" t="n"/>
      <c r="J306" s="310" t="n"/>
      <c r="K306" s="310" t="n"/>
      <c r="L306" s="310" t="n"/>
      <c r="M306" s="310" t="n"/>
      <c r="N306" s="310" t="n"/>
      <c r="O306" s="310" t="n"/>
      <c r="P306" s="310" t="n"/>
      <c r="Q306" s="310" t="n"/>
      <c r="R306" s="312" t="n"/>
      <c r="S306" s="312" t="n"/>
      <c r="T306" s="312" t="n"/>
      <c r="U306" s="312" t="n"/>
      <c r="V306" s="312" t="n"/>
      <c r="W306" s="312" t="n"/>
      <c r="X306" s="312" t="n"/>
      <c r="Y306" s="312" t="n"/>
    </row>
    <row r="307" ht="15.5" customHeight="1">
      <c r="B307" s="313" t="n"/>
      <c r="C307" s="278" t="n"/>
      <c r="D307" s="314" t="inlineStr">
        <is>
          <t>Kesehatan</t>
        </is>
      </c>
      <c r="E307" s="315" t="n"/>
      <c r="F307" s="281" t="n"/>
      <c r="G307" s="278" t="n"/>
      <c r="H307" s="278" t="n"/>
      <c r="I307" s="340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286" t="n">
        <v>45446</v>
      </c>
      <c r="C308" s="278" t="n">
        <v>206</v>
      </c>
      <c r="D308" s="280" t="inlineStr">
        <is>
          <t>Konsultasi Spesialis Penyakit Dalam</t>
        </is>
      </c>
      <c r="E308" s="280" t="inlineStr">
        <is>
          <t>-</t>
        </is>
      </c>
      <c r="F308" s="287" t="n">
        <v>206000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206000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45446</v>
      </c>
      <c r="C309" s="278" t="n">
        <v>207</v>
      </c>
      <c r="D309" s="280" t="inlineStr">
        <is>
          <t>Unit Labolatorium</t>
        </is>
      </c>
      <c r="E309" s="280" t="inlineStr">
        <is>
          <t>-</t>
        </is>
      </c>
      <c r="F309" s="287" t="n">
        <v>1474000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1474000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Konsultasi Spesialis Penyakit Dalam</t>
        </is>
      </c>
      <c r="E310" s="280" t="inlineStr">
        <is>
          <t>-</t>
        </is>
      </c>
      <c r="F310" s="287" t="n">
        <v>206000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206000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286" t="n">
        <v>45453</v>
      </c>
      <c r="C311" s="278" t="n">
        <v>209</v>
      </c>
      <c r="D311" s="280" t="inlineStr">
        <is>
          <t>Farmasi</t>
        </is>
      </c>
      <c r="E311" s="280" t="inlineStr">
        <is>
          <t>-</t>
        </is>
      </c>
      <c r="F311" s="287" t="n">
        <v>109000</v>
      </c>
      <c r="G311" s="282" t="inlineStr">
        <is>
          <t>IDR</t>
        </is>
      </c>
      <c r="H311" s="288" t="n">
        <v>1</v>
      </c>
      <c r="I311" s="289" t="n"/>
      <c r="J311" s="289" t="n"/>
      <c r="K311" s="290" t="n"/>
      <c r="L311" s="280" t="n"/>
      <c r="M311" s="280" t="n"/>
      <c r="N311" s="280" t="n"/>
      <c r="O311" s="280" t="n"/>
      <c r="P311" s="280" t="n"/>
      <c r="Q311" s="291" t="n">
        <v>109000</v>
      </c>
      <c r="R311" s="292" t="n"/>
      <c r="S311" s="292" t="n"/>
      <c r="T311" s="292" t="n"/>
      <c r="U311" s="292" t="n"/>
      <c r="V311" s="292" t="n"/>
      <c r="W311" s="292" t="n"/>
      <c r="X311" s="292" t="n"/>
      <c r="Y311" s="292" t="n"/>
    </row>
    <row r="312" ht="15.5" customHeight="1">
      <c r="B312" s="304" t="inlineStr">
        <is>
          <t>Expense#23</t>
        </is>
      </c>
      <c r="C312" s="305" t="inlineStr">
        <is>
          <t>:</t>
        </is>
      </c>
      <c r="D312" s="306" t="inlineStr">
        <is>
          <t>ALFA job - JRK-163 (Job)_undr Sijak_ DS</t>
        </is>
      </c>
      <c r="E312" s="307" t="n"/>
      <c r="F312" s="325" t="n"/>
      <c r="G312" s="305" t="n"/>
      <c r="H312" s="305" t="n"/>
      <c r="I312" s="309" t="n"/>
      <c r="J312" s="310" t="n"/>
      <c r="K312" s="311" t="n"/>
      <c r="L312" s="311" t="n"/>
      <c r="M312" s="309" t="n"/>
      <c r="N312" s="311" t="n"/>
      <c r="O312" s="311" t="n"/>
      <c r="P312" s="311" t="n"/>
      <c r="Q312" s="311" t="n"/>
      <c r="R312" s="312" t="n"/>
      <c r="S312" s="312" t="n"/>
      <c r="T312" s="312" t="n"/>
      <c r="U312" s="312" t="n"/>
      <c r="V312" s="312" t="n"/>
      <c r="W312" s="312" t="n"/>
      <c r="X312" s="312" t="n"/>
      <c r="Y312" s="312" t="n"/>
    </row>
    <row r="313" ht="15.5" customHeight="1">
      <c r="B313" s="313" t="n"/>
      <c r="C313" s="278" t="n"/>
      <c r="D313" s="314" t="inlineStr">
        <is>
          <t>Biaya Operasi</t>
        </is>
      </c>
      <c r="E313" s="315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285" t="n"/>
      <c r="S313" s="285" t="n"/>
      <c r="T313" s="285" t="n"/>
      <c r="U313" s="285" t="n"/>
      <c r="V313" s="285" t="n"/>
      <c r="W313" s="285" t="n"/>
      <c r="X313" s="285" t="n"/>
      <c r="Y313" s="285" t="n"/>
    </row>
    <row r="314" ht="15.5" customHeight="1">
      <c r="B314" s="286" t="n">
        <v>45494</v>
      </c>
      <c r="C314" s="278" t="n">
        <v>210</v>
      </c>
      <c r="D314" s="280" t="inlineStr">
        <is>
          <t>Jakarta - Palembang</t>
        </is>
      </c>
      <c r="E314" s="280" t="inlineStr">
        <is>
          <t>-</t>
        </is>
      </c>
      <c r="F314" s="287" t="n">
        <v>985367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985367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Taxi + Tol to Airport Jakarta</t>
        </is>
      </c>
      <c r="E315" s="280" t="inlineStr">
        <is>
          <t>-</t>
        </is>
      </c>
      <c r="F315" s="287" t="n">
        <v>225520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225520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fuel + tol PLM-Prabu</t>
        </is>
      </c>
      <c r="E316" s="280" t="inlineStr">
        <is>
          <t>-</t>
        </is>
      </c>
      <c r="F316" s="287" t="n">
        <v>292060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292060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45494</v>
      </c>
      <c r="C317" s="278" t="n">
        <v>213</v>
      </c>
      <c r="D317" s="280" t="inlineStr">
        <is>
          <t>Jakarta - Palembang</t>
        </is>
      </c>
      <c r="E317" s="280" t="inlineStr">
        <is>
          <t>-</t>
        </is>
      </c>
      <c r="F317" s="287" t="n">
        <v>400000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400000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45497</v>
      </c>
      <c r="C318" s="278" t="n">
        <v>214</v>
      </c>
      <c r="D318" s="280" t="inlineStr">
        <is>
          <t>fuel</t>
        </is>
      </c>
      <c r="E318" s="280" t="inlineStr">
        <is>
          <t>-</t>
        </is>
      </c>
      <c r="F318" s="287" t="n">
        <v>190430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190430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Palembang - Jakarta + Extra Bagage</t>
        </is>
      </c>
      <c r="E319" s="280" t="inlineStr">
        <is>
          <t>-</t>
        </is>
      </c>
      <c r="F319" s="287" t="n">
        <v>1175717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1175717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Prabu - PLM + Fuel</t>
        </is>
      </c>
      <c r="E320" s="280" t="inlineStr">
        <is>
          <t>-</t>
        </is>
      </c>
      <c r="F320" s="287" t="n">
        <v>262000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262000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Tol + Taxi From Airport Jakarta</t>
        </is>
      </c>
      <c r="E321" s="280" t="inlineStr">
        <is>
          <t>-</t>
        </is>
      </c>
      <c r="F321" s="287" t="n">
        <v>235000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235000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Car rental 21 - 27 Jul 2024</t>
        </is>
      </c>
      <c r="E322" s="280" t="inlineStr">
        <is>
          <t>-</t>
        </is>
      </c>
      <c r="F322" s="287" t="n">
        <v>3500000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3500000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Lodge 21-27 Jul 2024 (3 rooms)</t>
        </is>
      </c>
      <c r="E323" s="280" t="inlineStr">
        <is>
          <t>-</t>
        </is>
      </c>
      <c r="F323" s="287" t="n">
        <v>2160000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2160000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Uang Makan (21 - 27 Juli 2024)</t>
        </is>
      </c>
      <c r="E324" s="280" t="inlineStr">
        <is>
          <t>-</t>
        </is>
      </c>
      <c r="F324" s="287" t="n">
        <v>1050000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1050000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Laundry (21 - 27 Juli 2024)</t>
        </is>
      </c>
      <c r="E325" s="280" t="inlineStr">
        <is>
          <t>-</t>
        </is>
      </c>
      <c r="F325" s="287" t="n">
        <v>350000</v>
      </c>
      <c r="G325" s="282" t="inlineStr">
        <is>
          <t>IDR</t>
        </is>
      </c>
      <c r="H325" s="288" t="n">
        <v>1</v>
      </c>
      <c r="I325" s="289" t="n"/>
      <c r="J325" s="289" t="n"/>
      <c r="K325" s="290" t="n"/>
      <c r="L325" s="291" t="n">
        <v>350000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286" t="n">
        <v>45500</v>
      </c>
      <c r="C326" s="278" t="n">
        <v>222</v>
      </c>
      <c r="D326" s="280" t="inlineStr">
        <is>
          <t>Tunajngan Lapangan JRK-163 (21-27 Juli 2024). 1US$=16.200</t>
        </is>
      </c>
      <c r="E326" s="280" t="inlineStr">
        <is>
          <t>-</t>
        </is>
      </c>
      <c r="F326" s="287" t="n">
        <v>700</v>
      </c>
      <c r="G326" s="282" t="inlineStr">
        <is>
          <t>IDR</t>
        </is>
      </c>
      <c r="H326" s="288" t="n">
        <v>16200</v>
      </c>
      <c r="I326" s="289" t="n"/>
      <c r="J326" s="289" t="n"/>
      <c r="K326" s="290" t="n"/>
      <c r="L326" s="291" t="n">
        <v>700</v>
      </c>
      <c r="M326" s="280" t="n"/>
      <c r="N326" s="280" t="n"/>
      <c r="O326" s="280" t="n"/>
      <c r="P326" s="280" t="n"/>
      <c r="Q326" s="280" t="n"/>
      <c r="R326" s="292" t="n"/>
      <c r="S326" s="292" t="n"/>
      <c r="T326" s="292" t="n"/>
      <c r="U326" s="292" t="n"/>
      <c r="V326" s="292" t="n"/>
      <c r="W326" s="292" t="n"/>
      <c r="X326" s="292" t="n"/>
      <c r="Y326" s="292" t="n"/>
    </row>
    <row r="327" ht="15.5" customHeight="1">
      <c r="B327" s="313" t="n"/>
      <c r="C327" s="278" t="n"/>
      <c r="D327" s="314" t="inlineStr">
        <is>
          <t>Pembelian Barang</t>
        </is>
      </c>
      <c r="E327" s="315" t="n"/>
      <c r="F327" s="281" t="n"/>
      <c r="G327" s="278" t="n"/>
      <c r="H327" s="278" t="n"/>
      <c r="I327" s="284" t="n"/>
      <c r="J327" s="284" t="n"/>
      <c r="K327" s="279" t="n"/>
      <c r="L327" s="279" t="n"/>
      <c r="M327" s="283" t="n"/>
      <c r="N327" s="283" t="n"/>
      <c r="O327" s="279" t="n"/>
      <c r="P327" s="279" t="n"/>
      <c r="Q327" s="279" t="n"/>
      <c r="R327" s="285" t="n"/>
      <c r="S327" s="285" t="n"/>
      <c r="T327" s="285" t="n"/>
      <c r="U327" s="285" t="n"/>
      <c r="V327" s="285" t="n"/>
      <c r="W327" s="285" t="n"/>
      <c r="X327" s="285" t="n"/>
      <c r="Y327" s="285" t="n"/>
    </row>
    <row r="328" ht="15.5" customHeight="1">
      <c r="B328" s="286" t="n">
        <v>45495</v>
      </c>
      <c r="C328" s="278" t="n">
        <v>223</v>
      </c>
      <c r="D328" s="280" t="inlineStr">
        <is>
          <t>Rags - Gloves</t>
        </is>
      </c>
      <c r="E328" s="280" t="inlineStr">
        <is>
          <t>-</t>
        </is>
      </c>
      <c r="F328" s="287" t="n">
        <v>70000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70000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Snacks</t>
        </is>
      </c>
      <c r="E329" s="280" t="inlineStr">
        <is>
          <t>-</t>
        </is>
      </c>
      <c r="F329" s="287" t="n">
        <v>195000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195000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286" t="n">
        <v>45498</v>
      </c>
      <c r="C330" s="278" t="n">
        <v>225</v>
      </c>
      <c r="D330" s="280" t="inlineStr">
        <is>
          <t>Battery for DTR (Spare)</t>
        </is>
      </c>
      <c r="E330" s="280" t="inlineStr">
        <is>
          <t>-</t>
        </is>
      </c>
      <c r="F330" s="287" t="n">
        <v>38900</v>
      </c>
      <c r="G330" s="282" t="inlineStr">
        <is>
          <t>IDR</t>
        </is>
      </c>
      <c r="H330" s="288" t="n">
        <v>1</v>
      </c>
      <c r="I330" s="289" t="n"/>
      <c r="J330" s="289" t="n"/>
      <c r="K330" s="290" t="n"/>
      <c r="L330" s="280" t="n"/>
      <c r="M330" s="280" t="n"/>
      <c r="N330" s="280" t="n"/>
      <c r="O330" s="291" t="n">
        <v>38900</v>
      </c>
      <c r="P330" s="280" t="n"/>
      <c r="Q330" s="280" t="n"/>
      <c r="R330" s="292" t="n"/>
      <c r="S330" s="292" t="n"/>
      <c r="T330" s="292" t="n"/>
      <c r="U330" s="292" t="n"/>
      <c r="V330" s="292" t="n"/>
      <c r="W330" s="292" t="n"/>
      <c r="X330" s="292" t="n"/>
      <c r="Y330" s="292" t="n"/>
    </row>
    <row r="331" ht="15.5" customHeight="1">
      <c r="B331" s="304" t="inlineStr">
        <is>
          <t>Expense#24</t>
        </is>
      </c>
      <c r="C331" s="305" t="inlineStr">
        <is>
          <t>:</t>
        </is>
      </c>
      <c r="D331" s="306" t="inlineStr">
        <is>
          <t>ALFA JOB - JRK 163 (training 2nd_ IBR)</t>
        </is>
      </c>
      <c r="E331" s="307" t="n"/>
      <c r="F331" s="308" t="n"/>
      <c r="G331" s="305" t="n"/>
      <c r="H331" s="305" t="n"/>
      <c r="I331" s="339" t="n"/>
      <c r="J331" s="310" t="n"/>
      <c r="K331" s="311" t="n"/>
      <c r="L331" s="311" t="n"/>
      <c r="M331" s="311" t="n"/>
      <c r="N331" s="311" t="n"/>
      <c r="O331" s="311" t="n"/>
      <c r="P331" s="311" t="n"/>
      <c r="Q331" s="311" t="n"/>
      <c r="R331" s="312" t="n"/>
      <c r="S331" s="312" t="n"/>
      <c r="T331" s="312" t="n"/>
      <c r="U331" s="312" t="n"/>
      <c r="V331" s="312" t="n"/>
      <c r="W331" s="312" t="n"/>
      <c r="X331" s="312" t="n"/>
      <c r="Y331" s="312" t="n"/>
    </row>
    <row r="332" ht="15.5" customHeight="1">
      <c r="B332" s="313" t="n"/>
      <c r="C332" s="278" t="n"/>
      <c r="D332" s="314" t="inlineStr">
        <is>
          <t>Biaya Operasi</t>
        </is>
      </c>
      <c r="E332" s="280" t="n"/>
      <c r="F332" s="316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n">
        <v>45463</v>
      </c>
      <c r="C333" s="278" t="n">
        <v>226</v>
      </c>
      <c r="D333" s="280" t="inlineStr">
        <is>
          <t>Uang makan (16 - 19 June 2024) pending job /Job Postponed</t>
        </is>
      </c>
      <c r="E333" s="280" t="inlineStr">
        <is>
          <t>-</t>
        </is>
      </c>
      <c r="F333" s="287" t="n">
        <v>600000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600000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Laundry (16 - 19 June 2024) pending job /Job Postponed</t>
        </is>
      </c>
      <c r="E334" s="280" t="inlineStr">
        <is>
          <t>-</t>
        </is>
      </c>
      <c r="F334" s="287" t="n">
        <v>200000</v>
      </c>
      <c r="G334" s="282" t="inlineStr">
        <is>
          <t>IDR</t>
        </is>
      </c>
      <c r="H334" s="288" t="n">
        <v>1</v>
      </c>
      <c r="I334" s="289" t="n"/>
      <c r="J334" s="289" t="n"/>
      <c r="K334" s="290" t="n"/>
      <c r="L334" s="291" t="n">
        <v>200000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45463</v>
      </c>
      <c r="C335" s="278" t="n">
        <v>228</v>
      </c>
      <c r="D335" s="280" t="inlineStr">
        <is>
          <t>Tunjangan LapanganJRK-163 (16 - 19 Juni 2024) pending job</t>
        </is>
      </c>
      <c r="E335" s="280" t="inlineStr">
        <is>
          <t>-</t>
        </is>
      </c>
      <c r="F335" s="287" t="n">
        <v>1630000</v>
      </c>
      <c r="G335" s="282" t="inlineStr">
        <is>
          <t>$</t>
        </is>
      </c>
      <c r="H335" s="288" t="n">
        <v>16300</v>
      </c>
      <c r="I335" s="289" t="n"/>
      <c r="J335" s="289" t="n"/>
      <c r="K335" s="290" t="n"/>
      <c r="L335" s="291" t="n">
        <v>1630000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Uang makan (21 - 27 Juli 2024)</t>
        </is>
      </c>
      <c r="E336" s="280" t="inlineStr">
        <is>
          <t>-</t>
        </is>
      </c>
      <c r="F336" s="287" t="n">
        <v>1050000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1050000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Laundry (21 - 27 Juli 2024)</t>
        </is>
      </c>
      <c r="E337" s="280" t="inlineStr">
        <is>
          <t>-</t>
        </is>
      </c>
      <c r="F337" s="287" t="n">
        <v>350000</v>
      </c>
      <c r="G337" s="282" t="inlineStr">
        <is>
          <t>IDR</t>
        </is>
      </c>
      <c r="H337" s="288" t="n">
        <v>1</v>
      </c>
      <c r="I337" s="289" t="n"/>
      <c r="J337" s="289" t="n"/>
      <c r="K337" s="290" t="n"/>
      <c r="L337" s="291" t="n">
        <v>350000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286" t="n">
        <v>45501</v>
      </c>
      <c r="C338" s="278" t="n">
        <v>231</v>
      </c>
      <c r="D338" s="280" t="inlineStr">
        <is>
          <t>Tunjangan Lapangan JRK-163 (21 - 27 Juli 2024)</t>
        </is>
      </c>
      <c r="E338" s="280" t="inlineStr">
        <is>
          <t>-</t>
        </is>
      </c>
      <c r="F338" s="287" t="n">
        <v>2852500</v>
      </c>
      <c r="G338" s="282" t="inlineStr">
        <is>
          <t>$</t>
        </is>
      </c>
      <c r="H338" s="288" t="n">
        <v>16300</v>
      </c>
      <c r="I338" s="289" t="n"/>
      <c r="J338" s="289" t="n"/>
      <c r="K338" s="290" t="n"/>
      <c r="L338" s="291" t="n">
        <v>2852500</v>
      </c>
      <c r="M338" s="280" t="n"/>
      <c r="N338" s="280" t="n"/>
      <c r="O338" s="280" t="n"/>
      <c r="P338" s="280" t="n"/>
      <c r="Q338" s="280" t="n"/>
      <c r="R338" s="292" t="n"/>
      <c r="S338" s="292" t="n"/>
      <c r="T338" s="292" t="n"/>
      <c r="U338" s="292" t="n"/>
      <c r="V338" s="292" t="n"/>
      <c r="W338" s="292" t="n"/>
      <c r="X338" s="292" t="n"/>
      <c r="Y338" s="292" t="n"/>
    </row>
    <row r="339" ht="15.5" customHeight="1">
      <c r="B339" s="304" t="inlineStr">
        <is>
          <t>Expense#25</t>
        </is>
      </c>
      <c r="C339" s="305" t="inlineStr">
        <is>
          <t>:</t>
        </is>
      </c>
      <c r="D339" s="306" t="inlineStr">
        <is>
          <t>TIS-Blora Field-PLT ALFA BHS by BARIKIN - IC</t>
        </is>
      </c>
      <c r="E339" s="326" t="n"/>
      <c r="F339" s="308" t="n"/>
      <c r="G339" s="305" t="n"/>
      <c r="H339" s="305" t="n"/>
      <c r="I339" s="309" t="n"/>
      <c r="J339" s="310" t="n"/>
      <c r="K339" s="311" t="n"/>
      <c r="L339" s="311" t="n"/>
      <c r="M339" s="310" t="n"/>
      <c r="N339" s="311" t="n"/>
      <c r="O339" s="311" t="n"/>
      <c r="P339" s="311" t="n"/>
      <c r="Q339" s="311" t="n"/>
      <c r="R339" s="312" t="n"/>
      <c r="S339" s="312" t="n"/>
      <c r="T339" s="312" t="n"/>
      <c r="U339" s="312" t="n"/>
      <c r="V339" s="312" t="n"/>
      <c r="W339" s="312" t="n"/>
      <c r="X339" s="312" t="n"/>
      <c r="Y339" s="312" t="n"/>
    </row>
    <row r="340" ht="15.5" customHeight="1">
      <c r="B340" s="313" t="n"/>
      <c r="C340" s="278" t="n"/>
      <c r="D340" s="314" t="inlineStr">
        <is>
          <t>Biaya Operasi</t>
        </is>
      </c>
      <c r="E340" s="320" t="n"/>
      <c r="F340" s="316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285" t="n"/>
      <c r="S340" s="285" t="n"/>
      <c r="T340" s="285" t="n"/>
      <c r="U340" s="285" t="n"/>
      <c r="V340" s="285" t="n"/>
      <c r="W340" s="285" t="n"/>
      <c r="X340" s="285" t="n"/>
      <c r="Y340" s="285" t="n"/>
    </row>
    <row r="341" ht="15.5" customHeight="1">
      <c r="B341" s="286" t="n">
        <v>45511</v>
      </c>
      <c r="C341" s="278" t="n">
        <v>232</v>
      </c>
      <c r="D341" s="280" t="inlineStr">
        <is>
          <t>Laundry 10 days 1 Persons @ 50K IDR/day</t>
        </is>
      </c>
      <c r="E341" s="280" t="inlineStr">
        <is>
          <t>-</t>
        </is>
      </c>
      <c r="F341" s="287" t="n">
        <v>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45511</v>
      </c>
      <c r="C342" s="278" t="n">
        <v>233</v>
      </c>
      <c r="D342" s="280" t="inlineStr">
        <is>
          <t>Meals 10 days 1 Persons @ 150K IDR/day</t>
        </is>
      </c>
      <c r="E342" s="280" t="inlineStr">
        <is>
          <t>-</t>
        </is>
      </c>
      <c r="F342" s="287" t="n">
        <v>1500000</v>
      </c>
      <c r="G342" s="282" t="inlineStr">
        <is>
          <t>IDR</t>
        </is>
      </c>
      <c r="H342" s="288" t="n">
        <v>1</v>
      </c>
      <c r="I342" s="289" t="n"/>
      <c r="J342" s="289" t="n"/>
      <c r="K342" s="290" t="n"/>
      <c r="L342" s="291" t="n">
        <v>1500000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86" t="n">
        <v>45512</v>
      </c>
      <c r="C343" s="278" t="n">
        <v>234</v>
      </c>
      <c r="D343" s="280" t="inlineStr">
        <is>
          <t>Tunjangan Lapangan for 10 days</t>
        </is>
      </c>
      <c r="E343" s="280" t="inlineStr">
        <is>
          <t>-</t>
        </is>
      </c>
      <c r="F343" s="287" t="n">
        <v>16100000</v>
      </c>
      <c r="G343" s="282" t="inlineStr">
        <is>
          <t>USD</t>
        </is>
      </c>
      <c r="H343" s="288" t="n">
        <v>16100</v>
      </c>
      <c r="I343" s="289" t="n"/>
      <c r="J343" s="289" t="n"/>
      <c r="K343" s="290" t="n"/>
      <c r="L343" s="291" t="n">
        <v>16100000</v>
      </c>
      <c r="M343" s="280" t="n"/>
      <c r="N343" s="280" t="n"/>
      <c r="O343" s="280" t="n"/>
      <c r="P343" s="280" t="n"/>
      <c r="Q343" s="280" t="n"/>
      <c r="R343" s="292" t="n"/>
      <c r="S343" s="292" t="n"/>
      <c r="T343" s="292" t="n"/>
      <c r="U343" s="292" t="n"/>
      <c r="V343" s="292" t="n"/>
      <c r="W343" s="292" t="n"/>
      <c r="X343" s="292" t="n"/>
      <c r="Y343" s="292" t="n"/>
    </row>
    <row r="344" ht="15.5" customHeight="1">
      <c r="B344" s="277" t="n"/>
      <c r="C344" s="278" t="n"/>
      <c r="D344" s="314" t="inlineStr">
        <is>
          <t>Pembelian Barang</t>
        </is>
      </c>
      <c r="E344" s="279" t="n"/>
      <c r="F344" s="281" t="n"/>
      <c r="G344" s="278" t="n"/>
      <c r="H344" s="278" t="n"/>
      <c r="I344" s="279" t="n"/>
      <c r="J344" s="279" t="n"/>
      <c r="K344" s="279" t="n"/>
      <c r="L344" s="279" t="n"/>
      <c r="M344" s="283" t="n"/>
      <c r="N344" s="279" t="n"/>
      <c r="O344" s="279" t="n"/>
      <c r="P344" s="279" t="n"/>
      <c r="Q344" s="279" t="n"/>
      <c r="R344" s="285" t="n"/>
      <c r="S344" s="285" t="n"/>
      <c r="T344" s="285" t="n"/>
      <c r="U344" s="285" t="n"/>
      <c r="V344" s="285" t="n"/>
      <c r="W344" s="285" t="n"/>
      <c r="X344" s="285" t="n"/>
      <c r="Y344" s="285" t="n"/>
    </row>
    <row r="345" ht="15.5" customHeight="1">
      <c r="B345" s="286" t="n">
        <v>45516</v>
      </c>
      <c r="C345" s="278" t="n">
        <v>235</v>
      </c>
      <c r="D345" s="280" t="inlineStr">
        <is>
          <t>Pelican Long Case 1770</t>
        </is>
      </c>
      <c r="E345" s="280" t="inlineStr">
        <is>
          <t>-</t>
        </is>
      </c>
      <c r="F345" s="287" t="n">
        <v>15166600</v>
      </c>
      <c r="G345" s="282" t="inlineStr">
        <is>
          <t>IDR</t>
        </is>
      </c>
      <c r="H345" s="288" t="n">
        <v>1</v>
      </c>
      <c r="I345" s="289" t="n"/>
      <c r="J345" s="289" t="n"/>
      <c r="K345" s="290" t="n"/>
      <c r="L345" s="280" t="n"/>
      <c r="M345" s="280" t="n"/>
      <c r="N345" s="280" t="n"/>
      <c r="O345" s="291" t="n">
        <v>15166600</v>
      </c>
      <c r="P345" s="280" t="n"/>
      <c r="Q345" s="280" t="n"/>
      <c r="R345" s="292" t="n"/>
      <c r="S345" s="292" t="n"/>
      <c r="T345" s="292" t="n"/>
      <c r="U345" s="292" t="n"/>
      <c r="V345" s="292" t="n"/>
      <c r="W345" s="292" t="n"/>
      <c r="X345" s="292" t="n"/>
      <c r="Y345" s="292" t="n"/>
    </row>
    <row r="346" ht="15.5" customHeight="1">
      <c r="B346" s="332" t="inlineStr">
        <is>
          <t>Expense#26</t>
        </is>
      </c>
      <c r="C346" s="305" t="inlineStr">
        <is>
          <t>:</t>
        </is>
      </c>
      <c r="D346" s="306" t="inlineStr">
        <is>
          <t>ALFA-MPLT-BHS_ RBG 3B PT. TIS under Barikin sakti _DS</t>
        </is>
      </c>
      <c r="E346" s="326" t="n"/>
      <c r="F346" s="325" t="n"/>
      <c r="G346" s="305" t="n"/>
      <c r="H346" s="305" t="n"/>
      <c r="I346" s="311" t="n"/>
      <c r="J346" s="311" t="n"/>
      <c r="K346" s="311" t="n"/>
      <c r="L346" s="311" t="n"/>
      <c r="M346" s="309" t="n"/>
      <c r="N346" s="311" t="n"/>
      <c r="O346" s="311" t="n"/>
      <c r="P346" s="310" t="n"/>
      <c r="Q346" s="311" t="n"/>
      <c r="R346" s="312" t="n"/>
      <c r="S346" s="312" t="n"/>
      <c r="T346" s="312" t="n"/>
      <c r="U346" s="312" t="n"/>
      <c r="V346" s="312" t="n"/>
      <c r="W346" s="312" t="n"/>
      <c r="X346" s="312" t="n"/>
      <c r="Y346" s="312" t="n"/>
    </row>
    <row r="347" ht="15.5" customHeight="1">
      <c r="B347" s="277" t="n"/>
      <c r="C347" s="278" t="n"/>
      <c r="D347" s="314" t="inlineStr">
        <is>
          <t>Biaya Operasi</t>
        </is>
      </c>
      <c r="E347" s="280" t="n"/>
      <c r="F347" s="281" t="n"/>
      <c r="G347" s="278" t="n"/>
      <c r="H347" s="278" t="n"/>
      <c r="I347" s="279" t="n"/>
      <c r="J347" s="279" t="n"/>
      <c r="K347" s="279" t="n"/>
      <c r="L347" s="279" t="n"/>
      <c r="M347" s="283" t="n"/>
      <c r="N347" s="279" t="n"/>
      <c r="O347" s="279" t="n"/>
      <c r="P347" s="284" t="n"/>
      <c r="Q347" s="279" t="n"/>
      <c r="R347" s="285" t="n"/>
      <c r="S347" s="285" t="n"/>
      <c r="T347" s="285" t="n"/>
      <c r="U347" s="285" t="n"/>
      <c r="V347" s="285" t="n"/>
      <c r="W347" s="285" t="n"/>
      <c r="X347" s="285" t="n"/>
      <c r="Y347" s="285" t="n"/>
    </row>
    <row r="348" ht="15.5" customHeight="1">
      <c r="B348" s="286" t="n">
        <v>45507</v>
      </c>
      <c r="C348" s="278" t="n">
        <v>236</v>
      </c>
      <c r="D348" s="280" t="inlineStr">
        <is>
          <t>Jakarta - Semarang</t>
        </is>
      </c>
      <c r="E348" s="280" t="inlineStr">
        <is>
          <t>-</t>
        </is>
      </c>
      <c r="F348" s="287" t="n">
        <v>673500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673500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Taxi+Tol Serpong - Gambir</t>
        </is>
      </c>
      <c r="E349" s="280" t="inlineStr">
        <is>
          <t>-</t>
        </is>
      </c>
      <c r="F349" s="287" t="n">
        <v>154000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154000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Gocar St. Tawang - PT. TIS</t>
        </is>
      </c>
      <c r="E350" s="280" t="inlineStr">
        <is>
          <t>-</t>
        </is>
      </c>
      <c r="F350" s="287" t="n">
        <v>129000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129000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45507</v>
      </c>
      <c r="C351" s="278" t="n">
        <v>239</v>
      </c>
      <c r="D351" s="280" t="inlineStr">
        <is>
          <t>Hotel 3 Aug - 6 Aug 2024 (2 rooms)</t>
        </is>
      </c>
      <c r="E351" s="280" t="inlineStr">
        <is>
          <t>-</t>
        </is>
      </c>
      <c r="F351" s="287" t="n">
        <v>1591200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1591200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45509</v>
      </c>
      <c r="C352" s="278" t="n">
        <v>240</v>
      </c>
      <c r="D352" s="280" t="inlineStr">
        <is>
          <t>Hotel 6 Aug - 7 Aug 2024 (2 rooms)</t>
        </is>
      </c>
      <c r="E352" s="280" t="inlineStr">
        <is>
          <t>-</t>
        </is>
      </c>
      <c r="F352" s="287" t="n">
        <v>795600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795600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Gocar Hotel to Tawang</t>
        </is>
      </c>
      <c r="E353" s="280" t="inlineStr">
        <is>
          <t>-</t>
        </is>
      </c>
      <c r="F353" s="287" t="n">
        <v>45000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45000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Uang Makan (3 - 7 Aug 2024)</t>
        </is>
      </c>
      <c r="E354" s="280" t="inlineStr">
        <is>
          <t>-</t>
        </is>
      </c>
      <c r="F354" s="287" t="n">
        <v>750000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750000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Laundry (3 - 7 Aug 2024)</t>
        </is>
      </c>
      <c r="E355" s="280" t="inlineStr">
        <is>
          <t>-</t>
        </is>
      </c>
      <c r="F355" s="287" t="n">
        <v>250000</v>
      </c>
      <c r="G355" s="282" t="inlineStr">
        <is>
          <t>IDR</t>
        </is>
      </c>
      <c r="H355" s="288" t="n">
        <v>1</v>
      </c>
      <c r="I355" s="289" t="n"/>
      <c r="J355" s="289" t="n"/>
      <c r="K355" s="290" t="n"/>
      <c r="L355" s="291" t="n">
        <v>250000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286" t="n">
        <v>45511</v>
      </c>
      <c r="C356" s="278" t="n">
        <v>244</v>
      </c>
      <c r="D356" s="280" t="inlineStr">
        <is>
          <t>Tunjangan LapanganRBG-3B PT. TIS (3-7 Aug 2024)</t>
        </is>
      </c>
      <c r="E356" s="280" t="inlineStr">
        <is>
          <t>-</t>
        </is>
      </c>
      <c r="F356" s="287" t="n">
        <v>500</v>
      </c>
      <c r="G356" s="282" t="inlineStr">
        <is>
          <t>IDR</t>
        </is>
      </c>
      <c r="H356" s="288" t="n">
        <v>15900</v>
      </c>
      <c r="I356" s="289" t="n"/>
      <c r="J356" s="289" t="n"/>
      <c r="K356" s="290" t="n"/>
      <c r="L356" s="291" t="n">
        <v>500</v>
      </c>
      <c r="M356" s="280" t="n"/>
      <c r="N356" s="280" t="n"/>
      <c r="O356" s="280" t="n"/>
      <c r="P356" s="280" t="n"/>
      <c r="Q356" s="280" t="n"/>
      <c r="R356" s="292" t="n"/>
      <c r="S356" s="292" t="n"/>
      <c r="T356" s="292" t="n"/>
      <c r="U356" s="292" t="n"/>
      <c r="V356" s="292" t="n"/>
      <c r="W356" s="292" t="n"/>
      <c r="X356" s="292" t="n"/>
      <c r="Y356" s="292" t="n"/>
    </row>
    <row r="357" ht="15.5" customHeight="1">
      <c r="B357" s="304" t="inlineStr">
        <is>
          <t>Expense#27</t>
        </is>
      </c>
      <c r="C357" s="305" t="inlineStr">
        <is>
          <t>:</t>
        </is>
      </c>
      <c r="D357" s="306" t="inlineStr">
        <is>
          <t>Non tripo 1st -- MCU + Pembelian barang kelengkapan pump AC</t>
        </is>
      </c>
      <c r="E357" s="307" t="n"/>
      <c r="F357" s="325" t="n"/>
      <c r="G357" s="305" t="n"/>
      <c r="H357" s="305" t="n"/>
      <c r="I357" s="309" t="n"/>
      <c r="J357" s="311" t="n"/>
      <c r="K357" s="311" t="n"/>
      <c r="L357" s="311" t="n"/>
      <c r="M357" s="309" t="n"/>
      <c r="N357" s="311" t="n"/>
      <c r="O357" s="311" t="n"/>
      <c r="P357" s="311" t="n"/>
      <c r="Q357" s="311" t="n"/>
      <c r="R357" s="312" t="n"/>
      <c r="S357" s="312" t="n"/>
      <c r="T357" s="312" t="n"/>
      <c r="U357" s="312" t="n"/>
      <c r="V357" s="312" t="n"/>
      <c r="W357" s="312" t="n"/>
      <c r="X357" s="312" t="n"/>
      <c r="Y357" s="312" t="n"/>
    </row>
    <row r="358" ht="15.5" customHeight="1">
      <c r="B358" s="313" t="n"/>
      <c r="C358" s="278" t="n"/>
      <c r="D358" s="314" t="inlineStr">
        <is>
          <t>Biaya Operasi</t>
        </is>
      </c>
      <c r="E358" s="315" t="n"/>
      <c r="F358" s="281" t="n"/>
      <c r="G358" s="278" t="n"/>
      <c r="H358" s="278" t="n"/>
      <c r="I358" s="283" t="n"/>
      <c r="J358" s="279" t="n"/>
      <c r="K358" s="279" t="n"/>
      <c r="L358" s="279" t="n"/>
      <c r="M358" s="279" t="n"/>
      <c r="N358" s="283" t="n"/>
      <c r="O358" s="279" t="n"/>
      <c r="P358" s="279" t="n"/>
      <c r="Q358" s="279" t="n"/>
      <c r="R358" s="285" t="n"/>
      <c r="S358" s="285" t="n"/>
      <c r="T358" s="285" t="n"/>
      <c r="U358" s="285" t="n"/>
      <c r="V358" s="285" t="n"/>
      <c r="W358" s="285" t="n"/>
      <c r="X358" s="285" t="n"/>
      <c r="Y358" s="285" t="n"/>
    </row>
    <row r="359" ht="15.5" customHeight="1">
      <c r="B359" s="286" t="n">
        <v>45476</v>
      </c>
      <c r="C359" s="278" t="n">
        <v>245</v>
      </c>
      <c r="D359" s="280" t="inlineStr">
        <is>
          <t>Coffe drink visit to MEPI Jakarta ( Bondan)</t>
        </is>
      </c>
      <c r="E359" s="280" t="inlineStr">
        <is>
          <t>-</t>
        </is>
      </c>
      <c r="F359" s="287" t="n">
        <v>144100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144100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45477</v>
      </c>
      <c r="C360" s="278" t="n">
        <v>246</v>
      </c>
      <c r="D360" s="280" t="inlineStr">
        <is>
          <t>Meal lunch when inspect Sample tool</t>
        </is>
      </c>
      <c r="E360" s="280" t="inlineStr">
        <is>
          <t>-</t>
        </is>
      </c>
      <c r="F360" s="287" t="n">
        <v>157000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157000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ambil tool Sampler and to Andara )</t>
        </is>
      </c>
      <c r="E361" s="280" t="inlineStr">
        <is>
          <t>-</t>
        </is>
      </c>
      <c r="F361" s="287" t="n">
        <v>164100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164100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Fuel ( trip ke Lemigas and Workshop sampler)</t>
        </is>
      </c>
      <c r="E362" s="280" t="inlineStr">
        <is>
          <t>-</t>
        </is>
      </c>
      <c r="F362" s="287" t="n">
        <v>291000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291000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45484</v>
      </c>
      <c r="C363" s="278" t="n">
        <v>249</v>
      </c>
      <c r="D363" s="280" t="inlineStr">
        <is>
          <t>Meal lunch when visit to Lemigas (Sample Botol)</t>
        </is>
      </c>
      <c r="E363" s="280" t="inlineStr">
        <is>
          <t>-</t>
        </is>
      </c>
      <c r="F363" s="287" t="n">
        <v>81000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81000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45490</v>
      </c>
      <c r="C364" s="278" t="n">
        <v>250</v>
      </c>
      <c r="D364" s="280" t="inlineStr">
        <is>
          <t>Fuel ( trip ke Lemigas and Workshop sampler)</t>
        </is>
      </c>
      <c r="E364" s="280" t="inlineStr">
        <is>
          <t>-</t>
        </is>
      </c>
      <c r="F364" s="287" t="n">
        <v>177350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177350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45498</v>
      </c>
      <c r="C365" s="278" t="n">
        <v>251</v>
      </c>
      <c r="D365" s="280" t="inlineStr">
        <is>
          <t>Fuel ( trip ke Barekin Bogor, inspeksi tool)</t>
        </is>
      </c>
      <c r="E365" s="280" t="inlineStr">
        <is>
          <t>-</t>
        </is>
      </c>
      <c r="F365" s="287" t="n">
        <v>319700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319700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286" t="n">
        <v>45501</v>
      </c>
      <c r="C366" s="278" t="n">
        <v>252</v>
      </c>
      <c r="D366" s="280" t="inlineStr">
        <is>
          <t>Fuel trip ke Glodok buy Hydralic pump assesories</t>
        </is>
      </c>
      <c r="E366" s="280" t="inlineStr">
        <is>
          <t>-</t>
        </is>
      </c>
      <c r="F366" s="287" t="n">
        <v>217350</v>
      </c>
      <c r="G366" s="282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217350</v>
      </c>
      <c r="M366" s="280" t="n"/>
      <c r="N366" s="280" t="n"/>
      <c r="O366" s="280" t="n"/>
      <c r="P366" s="280" t="n"/>
      <c r="Q366" s="280" t="n"/>
      <c r="R366" s="292" t="n"/>
      <c r="S366" s="292" t="n"/>
      <c r="T366" s="292" t="n"/>
      <c r="U366" s="292" t="n"/>
      <c r="V366" s="292" t="n"/>
      <c r="W366" s="292" t="n"/>
      <c r="X366" s="292" t="n"/>
      <c r="Y366" s="292" t="n"/>
    </row>
    <row r="367" ht="15.5" customHeight="1">
      <c r="B367" s="313" t="n"/>
      <c r="C367" s="278" t="n"/>
      <c r="D367" s="314" t="inlineStr">
        <is>
          <t>Kesehatan</t>
        </is>
      </c>
      <c r="E367" s="315" t="n"/>
      <c r="F367" s="281" t="n"/>
      <c r="G367" s="278" t="n"/>
      <c r="H367" s="278" t="n"/>
      <c r="I367" s="284" t="n"/>
      <c r="J367" s="279" t="n"/>
      <c r="K367" s="279" t="n"/>
      <c r="L367" s="279" t="n"/>
      <c r="M367" s="279" t="n"/>
      <c r="N367" s="279" t="n"/>
      <c r="O367" s="279" t="n"/>
      <c r="P367" s="279" t="n"/>
      <c r="Q367" s="279" t="n"/>
      <c r="R367" s="285" t="n"/>
      <c r="S367" s="285" t="n"/>
      <c r="T367" s="285" t="n"/>
      <c r="U367" s="285" t="n"/>
      <c r="V367" s="285" t="n"/>
      <c r="W367" s="285" t="n"/>
      <c r="X367" s="285" t="n"/>
      <c r="Y367" s="285" t="n"/>
    </row>
    <row r="368" ht="15.5" customHeight="1">
      <c r="B368" s="286" t="n">
        <v>45474</v>
      </c>
      <c r="C368" s="278" t="n">
        <v>253</v>
      </c>
      <c r="D368" s="280" t="inlineStr">
        <is>
          <t>Biaya MCU di RSPP</t>
        </is>
      </c>
      <c r="E368" s="280" t="inlineStr">
        <is>
          <t>-</t>
        </is>
      </c>
      <c r="F368" s="287" t="n">
        <v>5630000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5630000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Konsul Dokter Jantung</t>
        </is>
      </c>
      <c r="E369" s="280" t="inlineStr">
        <is>
          <t>-</t>
        </is>
      </c>
      <c r="F369" s="287" t="n">
        <v>460000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460000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45476</v>
      </c>
      <c r="C370" s="278" t="n">
        <v>255</v>
      </c>
      <c r="D370" s="280" t="inlineStr">
        <is>
          <t>Biaya Echo_ kardio non Invasif</t>
        </is>
      </c>
      <c r="E370" s="280" t="inlineStr">
        <is>
          <t>-</t>
        </is>
      </c>
      <c r="F370" s="287" t="n">
        <v>2108000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2108000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45482</v>
      </c>
      <c r="C371" s="278" t="n">
        <v>256</v>
      </c>
      <c r="D371" s="280" t="inlineStr">
        <is>
          <t>Fisioterapi 1st</t>
        </is>
      </c>
      <c r="E371" s="280" t="inlineStr">
        <is>
          <t>-</t>
        </is>
      </c>
      <c r="F371" s="287" t="n">
        <v>285000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285000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Biaya Obat Candesartan</t>
        </is>
      </c>
      <c r="E372" s="280" t="inlineStr">
        <is>
          <t>-</t>
        </is>
      </c>
      <c r="F372" s="287" t="n">
        <v>149850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149850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45483</v>
      </c>
      <c r="C373" s="278" t="n">
        <v>258</v>
      </c>
      <c r="D373" s="280" t="inlineStr">
        <is>
          <t>Fisioterapi 2nd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86" t="n">
        <v>45484</v>
      </c>
      <c r="C374" s="278" t="n">
        <v>259</v>
      </c>
      <c r="D374" s="280" t="inlineStr">
        <is>
          <t>Fisioterapi 3rd</t>
        </is>
      </c>
      <c r="E374" s="280" t="inlineStr">
        <is>
          <t>-</t>
        </is>
      </c>
      <c r="F374" s="287" t="n">
        <v>285000</v>
      </c>
      <c r="G374" s="282" t="inlineStr">
        <is>
          <t>IDR</t>
        </is>
      </c>
      <c r="H374" s="288" t="n">
        <v>1</v>
      </c>
      <c r="I374" s="289" t="n"/>
      <c r="J374" s="289" t="n"/>
      <c r="K374" s="290" t="n"/>
      <c r="L374" s="280" t="n"/>
      <c r="M374" s="280" t="n"/>
      <c r="N374" s="280" t="n"/>
      <c r="O374" s="280" t="n"/>
      <c r="P374" s="280" t="n"/>
      <c r="Q374" s="291" t="n">
        <v>285000</v>
      </c>
      <c r="R374" s="292" t="n"/>
      <c r="S374" s="292" t="n"/>
      <c r="T374" s="292" t="n"/>
      <c r="U374" s="292" t="n"/>
      <c r="V374" s="292" t="n"/>
      <c r="W374" s="292" t="n"/>
      <c r="X374" s="292" t="n"/>
      <c r="Y374" s="292" t="n"/>
    </row>
    <row r="375" ht="15.5" customHeight="1">
      <c r="B375" s="313" t="n"/>
      <c r="C375" s="278" t="n"/>
      <c r="D375" s="314" t="inlineStr">
        <is>
          <t>Pembelian Barang</t>
        </is>
      </c>
      <c r="E375" s="341" t="n"/>
      <c r="F375" s="281" t="n"/>
      <c r="G375" s="278" t="n"/>
      <c r="H375" s="278" t="n"/>
      <c r="I375" s="279" t="n"/>
      <c r="J375" s="279" t="n"/>
      <c r="K375" s="279" t="n"/>
      <c r="L375" s="279" t="n"/>
      <c r="M375" s="283" t="n"/>
      <c r="N375" s="279" t="n"/>
      <c r="O375" s="279" t="n"/>
      <c r="P375" s="279" t="n"/>
      <c r="Q375" s="279" t="n"/>
      <c r="R375" s="285" t="n"/>
      <c r="S375" s="285" t="n"/>
      <c r="T375" s="285" t="n"/>
      <c r="U375" s="285" t="n"/>
      <c r="V375" s="285" t="n"/>
      <c r="W375" s="285" t="n"/>
      <c r="X375" s="285" t="n"/>
      <c r="Y375" s="285" t="n"/>
    </row>
    <row r="376" ht="15.5" customHeight="1">
      <c r="B376" s="286" t="n">
        <v>45497</v>
      </c>
      <c r="C376" s="278" t="n">
        <v>260</v>
      </c>
      <c r="D376" s="280" t="inlineStr">
        <is>
          <t>Buy Tang Bnegkok (Tekiro)</t>
        </is>
      </c>
      <c r="E376" s="280" t="inlineStr">
        <is>
          <t>-</t>
        </is>
      </c>
      <c r="F376" s="287" t="n">
        <v>75000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75000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Hose 1/4"</t>
        </is>
      </c>
      <c r="E377" s="280" t="inlineStr">
        <is>
          <t>-</t>
        </is>
      </c>
      <c r="F377" s="287" t="n">
        <v>133000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133000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45498</v>
      </c>
      <c r="C378" s="278" t="n">
        <v>262</v>
      </c>
      <c r="D378" s="280" t="inlineStr">
        <is>
          <t>Buy Needle Neple</t>
        </is>
      </c>
      <c r="E378" s="280" t="inlineStr">
        <is>
          <t>-</t>
        </is>
      </c>
      <c r="F378" s="287" t="n">
        <v>700000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700000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45499</v>
      </c>
      <c r="C379" s="278" t="n">
        <v>263</v>
      </c>
      <c r="D379" s="280" t="inlineStr">
        <is>
          <t>buy Adapter</t>
        </is>
      </c>
      <c r="E379" s="280" t="inlineStr">
        <is>
          <t>-</t>
        </is>
      </c>
      <c r="F379" s="287" t="n">
        <v>20000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20000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Hose 1/4"</t>
        </is>
      </c>
      <c r="E380" s="280" t="inlineStr">
        <is>
          <t>-</t>
        </is>
      </c>
      <c r="F380" s="287" t="n">
        <v>155000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155000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Needle Neple</t>
        </is>
      </c>
      <c r="E381" s="280" t="inlineStr">
        <is>
          <t>-</t>
        </is>
      </c>
      <c r="F381" s="287" t="n">
        <v>660000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660000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45500</v>
      </c>
      <c r="C382" s="278" t="n">
        <v>266</v>
      </c>
      <c r="D382" s="280" t="inlineStr">
        <is>
          <t>Buy Connection 1/4"</t>
        </is>
      </c>
      <c r="E382" s="280" t="inlineStr">
        <is>
          <t>-</t>
        </is>
      </c>
      <c r="F382" s="287" t="n">
        <v>1760000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1760000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286" t="n">
        <v>45501</v>
      </c>
      <c r="C383" s="278" t="n">
        <v>267</v>
      </c>
      <c r="D383" s="280" t="inlineStr">
        <is>
          <t>Buy Case for tools box dan hydraulic pump</t>
        </is>
      </c>
      <c r="E383" s="280" t="inlineStr">
        <is>
          <t>-</t>
        </is>
      </c>
      <c r="F383" s="287" t="n">
        <v>2636800</v>
      </c>
      <c r="G383" s="282" t="inlineStr">
        <is>
          <t>IDR</t>
        </is>
      </c>
      <c r="H383" s="288" t="n">
        <v>1</v>
      </c>
      <c r="I383" s="289" t="n"/>
      <c r="J383" s="289" t="n"/>
      <c r="K383" s="290" t="n"/>
      <c r="L383" s="280" t="n"/>
      <c r="M383" s="280" t="n"/>
      <c r="N383" s="280" t="n"/>
      <c r="O383" s="291" t="n">
        <v>2636800</v>
      </c>
      <c r="P383" s="280" t="n"/>
      <c r="Q383" s="280" t="n"/>
      <c r="R383" s="292" t="n"/>
      <c r="S383" s="292" t="n"/>
      <c r="T383" s="292" t="n"/>
      <c r="U383" s="292" t="n"/>
      <c r="V383" s="292" t="n"/>
      <c r="W383" s="292" t="n"/>
      <c r="X383" s="292" t="n"/>
      <c r="Y383" s="292" t="n"/>
    </row>
    <row r="384" ht="15.5" customHeight="1">
      <c r="B384" s="304" t="inlineStr">
        <is>
          <t>Expense#28</t>
        </is>
      </c>
      <c r="C384" s="305" t="inlineStr">
        <is>
          <t>:</t>
        </is>
      </c>
      <c r="D384" s="306" t="inlineStr">
        <is>
          <t>ALFA-MPLT-Sampler project TIS Energy Blora_well RBG-3B by Barekin Sakti- AC</t>
        </is>
      </c>
      <c r="E384" s="318" t="n"/>
      <c r="F384" s="308" t="n"/>
      <c r="G384" s="305" t="n"/>
      <c r="H384" s="305" t="n"/>
      <c r="I384" s="311" t="n"/>
      <c r="J384" s="311" t="n"/>
      <c r="K384" s="311" t="n"/>
      <c r="L384" s="311" t="n"/>
      <c r="M384" s="311" t="n"/>
      <c r="N384" s="311" t="n"/>
      <c r="O384" s="311" t="n"/>
      <c r="P384" s="311" t="n"/>
      <c r="Q384" s="311" t="n"/>
      <c r="R384" s="312" t="n"/>
      <c r="S384" s="312" t="n"/>
      <c r="T384" s="312" t="n"/>
      <c r="U384" s="312" t="n"/>
      <c r="V384" s="312" t="n"/>
      <c r="W384" s="312" t="n"/>
      <c r="X384" s="312" t="n"/>
      <c r="Y384" s="312" t="n"/>
    </row>
    <row r="385" ht="15.5" customHeight="1">
      <c r="B385" s="313" t="n"/>
      <c r="C385" s="278" t="n"/>
      <c r="D385" s="314" t="inlineStr">
        <is>
          <t>Biaya Operasi</t>
        </is>
      </c>
      <c r="E385" s="315" t="n"/>
      <c r="F385" s="316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  <c r="R385" s="285" t="n"/>
      <c r="S385" s="285" t="n"/>
      <c r="T385" s="285" t="n"/>
      <c r="U385" s="285" t="n"/>
      <c r="V385" s="285" t="n"/>
      <c r="W385" s="285" t="n"/>
      <c r="X385" s="285" t="n"/>
      <c r="Y385" s="285" t="n"/>
    </row>
    <row r="386" ht="15.5" customHeight="1">
      <c r="B386" s="286" t="n">
        <v>45476</v>
      </c>
      <c r="C386" s="278" t="n">
        <v>268</v>
      </c>
      <c r="D386" s="280" t="inlineStr">
        <is>
          <t>buy Soft drink</t>
        </is>
      </c>
      <c r="E386" s="280" t="inlineStr">
        <is>
          <t>-</t>
        </is>
      </c>
      <c r="F386" s="287" t="n">
        <v>98000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98000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Toll (Jkt Blora - PP)</t>
        </is>
      </c>
      <c r="E387" s="280" t="inlineStr">
        <is>
          <t>-</t>
        </is>
      </c>
      <c r="F387" s="287" t="n">
        <v>483000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483000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buy Soft drink</t>
        </is>
      </c>
      <c r="E388" s="280" t="inlineStr">
        <is>
          <t>-</t>
        </is>
      </c>
      <c r="F388" s="287" t="n">
        <v>199900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199900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45502</v>
      </c>
      <c r="C389" s="278" t="n">
        <v>271</v>
      </c>
      <c r="D389" s="280" t="inlineStr">
        <is>
          <t>w/ Crew Barekin</t>
        </is>
      </c>
      <c r="E389" s="280" t="inlineStr">
        <is>
          <t>-</t>
        </is>
      </c>
      <c r="F389" s="287" t="n">
        <v>275000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275000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45504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69000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69000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buy Soft drink</t>
        </is>
      </c>
      <c r="E391" s="280" t="inlineStr">
        <is>
          <t>-</t>
        </is>
      </c>
      <c r="F391" s="287" t="n">
        <v>109800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109800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45505</v>
      </c>
      <c r="C392" s="278" t="n">
        <v>274</v>
      </c>
      <c r="D392" s="280" t="inlineStr">
        <is>
          <t>W/ TIS Petroleum personnel</t>
        </is>
      </c>
      <c r="E392" s="280" t="inlineStr">
        <is>
          <t>-</t>
        </is>
      </c>
      <c r="F392" s="287" t="n">
        <v>157000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157000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45506</v>
      </c>
      <c r="C393" s="278" t="n">
        <v>275</v>
      </c>
      <c r="D393" s="280" t="inlineStr">
        <is>
          <t>w/ Crew Barekin (buy ice sirop) No reciept</t>
        </is>
      </c>
      <c r="E393" s="280" t="inlineStr">
        <is>
          <t>-</t>
        </is>
      </c>
      <c r="F393" s="287" t="n">
        <v>80000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80000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Hotel for 6 days ( 29 Jul - 3 aug 24)</t>
        </is>
      </c>
      <c r="E394" s="280" t="inlineStr">
        <is>
          <t>-</t>
        </is>
      </c>
      <c r="F394" s="287" t="n">
        <v>2700000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2700000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buy Soft drink</t>
        </is>
      </c>
      <c r="E395" s="280" t="inlineStr">
        <is>
          <t>-</t>
        </is>
      </c>
      <c r="F395" s="287" t="n">
        <v>96600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96600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Lemigas Personnel</t>
        </is>
      </c>
      <c r="E396" s="280" t="inlineStr">
        <is>
          <t>-</t>
        </is>
      </c>
      <c r="F396" s="287" t="n">
        <v>270350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270350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45507</v>
      </c>
      <c r="C397" s="278" t="n">
        <v>279</v>
      </c>
      <c r="D397" s="280" t="inlineStr">
        <is>
          <t>w/ TIS Petroleum Personnel</t>
        </is>
      </c>
      <c r="E397" s="280" t="inlineStr">
        <is>
          <t>-</t>
        </is>
      </c>
      <c r="F397" s="287" t="n">
        <v>401000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401000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45508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56600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56600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45510</v>
      </c>
      <c r="C399" s="278" t="n">
        <v>281</v>
      </c>
      <c r="D399" s="280" t="inlineStr">
        <is>
          <t>buy Soft drink</t>
        </is>
      </c>
      <c r="E399" s="280" t="inlineStr">
        <is>
          <t>-</t>
        </is>
      </c>
      <c r="F399" s="287" t="n">
        <v>118100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118100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Rental car (include Fuel ) 10 days, @Rp1.100.000</t>
        </is>
      </c>
      <c r="E400" s="280" t="inlineStr">
        <is>
          <t>-</t>
        </is>
      </c>
      <c r="F400" s="287" t="n">
        <v>11000000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11000000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Toll (Gubug - Jakarta)</t>
        </is>
      </c>
      <c r="E401" s="280" t="inlineStr">
        <is>
          <t>-</t>
        </is>
      </c>
      <c r="F401" s="287" t="n">
        <v>496000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496000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Laundry dor 10 days @Rp.50.000.</t>
        </is>
      </c>
      <c r="E402" s="280" t="inlineStr">
        <is>
          <t>-</t>
        </is>
      </c>
      <c r="F402" s="287" t="n">
        <v>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Meal utk 10 hari (29 Jul -7Aug-24) @Rp. 150.000</t>
        </is>
      </c>
      <c r="E403" s="280" t="inlineStr">
        <is>
          <t>-</t>
        </is>
      </c>
      <c r="F403" s="287" t="n">
        <v>1500000</v>
      </c>
      <c r="G403" s="282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1500000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286" t="n">
        <v>45511</v>
      </c>
      <c r="C404" s="278" t="n">
        <v>286</v>
      </c>
      <c r="D404" s="280" t="inlineStr">
        <is>
          <t>Tunjangan lapangan for 10 days (29Jul - 07Aug24) Anevril</t>
        </is>
      </c>
      <c r="E404" s="280" t="inlineStr">
        <is>
          <t>-</t>
        </is>
      </c>
      <c r="F404" s="287" t="n">
        <v>16100000</v>
      </c>
      <c r="G404" s="282" t="inlineStr">
        <is>
          <t>USD</t>
        </is>
      </c>
      <c r="H404" s="288" t="n">
        <v>16100</v>
      </c>
      <c r="I404" s="289" t="n"/>
      <c r="J404" s="289" t="n"/>
      <c r="K404" s="290" t="n"/>
      <c r="L404" s="291" t="n">
        <v>16100000</v>
      </c>
      <c r="M404" s="280" t="n"/>
      <c r="N404" s="280" t="n"/>
      <c r="O404" s="280" t="n"/>
      <c r="P404" s="280" t="n"/>
      <c r="Q404" s="280" t="n"/>
      <c r="R404" s="292" t="n"/>
      <c r="S404" s="292" t="n"/>
      <c r="T404" s="292" t="n"/>
      <c r="U404" s="292" t="n"/>
      <c r="V404" s="292" t="n"/>
      <c r="W404" s="292" t="n"/>
      <c r="X404" s="292" t="n"/>
      <c r="Y404" s="292" t="n"/>
    </row>
    <row r="405" ht="15.5" customHeight="1">
      <c r="B405" s="313" t="n"/>
      <c r="C405" s="278" t="n"/>
      <c r="D405" s="314" t="inlineStr">
        <is>
          <t>Kesehatan</t>
        </is>
      </c>
      <c r="E405" s="315" t="n"/>
      <c r="F405" s="316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  <c r="R405" s="285" t="n"/>
      <c r="S405" s="285" t="n"/>
      <c r="T405" s="285" t="n"/>
      <c r="U405" s="285" t="n"/>
      <c r="V405" s="285" t="n"/>
      <c r="W405" s="285" t="n"/>
      <c r="X405" s="285" t="n"/>
      <c r="Y405" s="285" t="n"/>
    </row>
    <row r="406" ht="15.5" customHeight="1">
      <c r="B406" s="286" t="n">
        <v>45502</v>
      </c>
      <c r="C406" s="278" t="n">
        <v>287</v>
      </c>
      <c r="D406" s="280" t="inlineStr">
        <is>
          <t>buy Zirolic</t>
        </is>
      </c>
      <c r="E406" s="280" t="inlineStr">
        <is>
          <t>-</t>
        </is>
      </c>
      <c r="F406" s="287" t="n">
        <v>34200</v>
      </c>
      <c r="G406" s="282" t="inlineStr">
        <is>
          <t>IDR</t>
        </is>
      </c>
      <c r="H406" s="288" t="n">
        <v>1</v>
      </c>
      <c r="I406" s="289" t="n"/>
      <c r="J406" s="289" t="n"/>
      <c r="K406" s="290" t="n"/>
      <c r="L406" s="280" t="n"/>
      <c r="M406" s="280" t="n"/>
      <c r="N406" s="280" t="n"/>
      <c r="O406" s="280" t="n"/>
      <c r="P406" s="280" t="n"/>
      <c r="Q406" s="291" t="n">
        <v>34200</v>
      </c>
      <c r="R406" s="292" t="n"/>
      <c r="S406" s="292" t="n"/>
      <c r="T406" s="292" t="n"/>
      <c r="U406" s="292" t="n"/>
      <c r="V406" s="292" t="n"/>
      <c r="W406" s="292" t="n"/>
      <c r="X406" s="292" t="n"/>
      <c r="Y406" s="292" t="n"/>
    </row>
    <row r="407" ht="15.5" customHeight="1">
      <c r="B407" s="313" t="n"/>
      <c r="C407" s="278" t="n"/>
      <c r="D407" s="314" t="inlineStr">
        <is>
          <t>Pembelian Barang</t>
        </is>
      </c>
      <c r="E407" s="338" t="n"/>
      <c r="F407" s="316" t="n"/>
      <c r="G407" s="278" t="n"/>
      <c r="H407" s="278" t="n"/>
      <c r="I407" s="284" t="n"/>
      <c r="J407" s="279" t="n"/>
      <c r="K407" s="279" t="n"/>
      <c r="L407" s="279" t="n"/>
      <c r="M407" s="279" t="n"/>
      <c r="N407" s="279" t="n"/>
      <c r="O407" s="279" t="n"/>
      <c r="P407" s="279" t="n"/>
      <c r="Q407" s="279" t="n"/>
      <c r="R407" s="285" t="n"/>
      <c r="S407" s="285" t="n"/>
      <c r="T407" s="285" t="n"/>
      <c r="U407" s="285" t="n"/>
      <c r="V407" s="285" t="n"/>
      <c r="W407" s="285" t="n"/>
      <c r="X407" s="285" t="n"/>
      <c r="Y407" s="285" t="n"/>
    </row>
    <row r="408" ht="15.5" customHeight="1">
      <c r="B408" s="286" t="n">
        <v>45505</v>
      </c>
      <c r="C408" s="278" t="n">
        <v>288</v>
      </c>
      <c r="D408" s="280" t="inlineStr">
        <is>
          <t>Buy WD 40</t>
        </is>
      </c>
      <c r="E408" s="280" t="inlineStr">
        <is>
          <t>-</t>
        </is>
      </c>
      <c r="F408" s="287" t="n">
        <v>65000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65000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connection T dan nipple</t>
        </is>
      </c>
      <c r="E409" s="280" t="inlineStr">
        <is>
          <t>-</t>
        </is>
      </c>
      <c r="F409" s="287" t="n">
        <v>72500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72500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45509</v>
      </c>
      <c r="C410" s="278" t="n">
        <v>290</v>
      </c>
      <c r="D410" s="280" t="inlineStr">
        <is>
          <t>Buy Quick connection</t>
        </is>
      </c>
      <c r="E410" s="280" t="inlineStr">
        <is>
          <t>-</t>
        </is>
      </c>
      <c r="F410" s="287" t="n">
        <v>400000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400000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286" t="n">
        <v>45510</v>
      </c>
      <c r="C411" s="278" t="n">
        <v>291</v>
      </c>
      <c r="D411" s="280" t="inlineStr">
        <is>
          <t>Buy Paint nippon</t>
        </is>
      </c>
      <c r="E411" s="280" t="inlineStr">
        <is>
          <t>-</t>
        </is>
      </c>
      <c r="F411" s="287" t="n">
        <v>60000</v>
      </c>
      <c r="G411" s="282" t="inlineStr">
        <is>
          <t>IDR</t>
        </is>
      </c>
      <c r="H411" s="288" t="n">
        <v>1</v>
      </c>
      <c r="I411" s="289" t="n"/>
      <c r="J411" s="289" t="n"/>
      <c r="K411" s="290" t="n"/>
      <c r="L411" s="280" t="n"/>
      <c r="M411" s="280" t="n"/>
      <c r="N411" s="280" t="n"/>
      <c r="O411" s="291" t="n">
        <v>60000</v>
      </c>
      <c r="P411" s="280" t="n"/>
      <c r="Q411" s="280" t="n"/>
      <c r="R411" s="292" t="n"/>
      <c r="S411" s="292" t="n"/>
      <c r="T411" s="292" t="n"/>
      <c r="U411" s="292" t="n"/>
      <c r="V411" s="292" t="n"/>
      <c r="W411" s="292" t="n"/>
      <c r="X411" s="292" t="n"/>
      <c r="Y411" s="292" t="n"/>
    </row>
    <row r="412" ht="15.5" customHeight="1">
      <c r="B412" s="332" t="inlineStr">
        <is>
          <t>Expense#29</t>
        </is>
      </c>
      <c r="C412" s="305" t="inlineStr">
        <is>
          <t>:</t>
        </is>
      </c>
      <c r="D412" s="306" t="inlineStr">
        <is>
          <t>ALFA-MPLT-BHS_ RBG 3B PT. TIS under Barikin sakti _TMA</t>
        </is>
      </c>
      <c r="E412" s="326" t="n"/>
      <c r="F412" s="325" t="n"/>
      <c r="G412" s="305" t="n"/>
      <c r="H412" s="305" t="n"/>
      <c r="I412" s="311" t="n"/>
      <c r="J412" s="311" t="n"/>
      <c r="K412" s="311" t="n"/>
      <c r="L412" s="311" t="n"/>
      <c r="M412" s="309" t="n"/>
      <c r="N412" s="311" t="n"/>
      <c r="O412" s="311" t="n"/>
      <c r="P412" s="310" t="n"/>
      <c r="Q412" s="311" t="n"/>
      <c r="R412" s="312" t="n"/>
      <c r="S412" s="312" t="n"/>
      <c r="T412" s="312" t="n"/>
      <c r="U412" s="312" t="n"/>
      <c r="V412" s="312" t="n"/>
      <c r="W412" s="312" t="n"/>
      <c r="X412" s="312" t="n"/>
      <c r="Y412" s="312" t="n"/>
    </row>
    <row r="413" ht="15.5" customHeight="1">
      <c r="B413" s="277" t="n"/>
      <c r="C413" s="278" t="n"/>
      <c r="D413" s="314" t="inlineStr">
        <is>
          <t>Biaya Operasi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n">
        <v>45499</v>
      </c>
      <c r="C414" s="278" t="n">
        <v>292</v>
      </c>
      <c r="D414" s="280" t="inlineStr">
        <is>
          <t>Lalamove Base to Barikin</t>
        </is>
      </c>
      <c r="E414" s="280" t="inlineStr">
        <is>
          <t>-</t>
        </is>
      </c>
      <c r="F414" s="287" t="n">
        <v>276500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276500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45499</v>
      </c>
      <c r="C415" s="278" t="n">
        <v>293</v>
      </c>
      <c r="D415" s="280" t="inlineStr">
        <is>
          <t>Lalamove Pak Subi to Base</t>
        </is>
      </c>
      <c r="E415" s="280" t="inlineStr">
        <is>
          <t>-</t>
        </is>
      </c>
      <c r="F415" s="287" t="n">
        <v>63568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63568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Electrical Bill</t>
        </is>
      </c>
      <c r="E416" s="280" t="inlineStr">
        <is>
          <t>-</t>
        </is>
      </c>
      <c r="F416" s="287" t="n">
        <v>159682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159682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Laundry 10 days 1 Persons @ 50K IDR/day</t>
        </is>
      </c>
      <c r="E417" s="280" t="inlineStr">
        <is>
          <t>-</t>
        </is>
      </c>
      <c r="F417" s="287" t="n">
        <v>500000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500000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 Crew's Operational</t>
        </is>
      </c>
      <c r="E418" s="280" t="inlineStr">
        <is>
          <t>-</t>
        </is>
      </c>
      <c r="F418" s="287" t="n">
        <v>263200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263200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Meals 10 days 1 Persons @ 150K IDR/day</t>
        </is>
      </c>
      <c r="E419" s="280" t="inlineStr">
        <is>
          <t>-</t>
        </is>
      </c>
      <c r="F419" s="287" t="n">
        <v>1500000</v>
      </c>
      <c r="G419" s="282" t="inlineStr">
        <is>
          <t>IDR</t>
        </is>
      </c>
      <c r="H419" s="288" t="n">
        <v>1</v>
      </c>
      <c r="I419" s="289" t="n"/>
      <c r="J419" s="289" t="n"/>
      <c r="K419" s="290" t="n"/>
      <c r="L419" s="291" t="n">
        <v>1500000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45502</v>
      </c>
      <c r="C420" s="278" t="n">
        <v>298</v>
      </c>
      <c r="D420" s="280" t="inlineStr">
        <is>
          <t>Tunjangan Lapangan for 10 days</t>
        </is>
      </c>
      <c r="E420" s="280" t="inlineStr">
        <is>
          <t>-</t>
        </is>
      </c>
      <c r="F420" s="287" t="n">
        <v>15513000</v>
      </c>
      <c r="G420" s="282" t="inlineStr">
        <is>
          <t>USD</t>
        </is>
      </c>
      <c r="H420" s="288" t="n">
        <v>15513</v>
      </c>
      <c r="I420" s="289" t="n"/>
      <c r="J420" s="289" t="n"/>
      <c r="K420" s="290" t="n"/>
      <c r="L420" s="291" t="n">
        <v>15513000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86" t="n">
        <v>45517</v>
      </c>
      <c r="C421" s="278" t="n">
        <v>299</v>
      </c>
      <c r="D421" s="280" t="inlineStr">
        <is>
          <t>Lalamove Barikin to Base</t>
        </is>
      </c>
      <c r="E421" s="280" t="inlineStr">
        <is>
          <t>-</t>
        </is>
      </c>
      <c r="F421" s="287" t="n">
        <v>161885</v>
      </c>
      <c r="G421" s="282" t="inlineStr">
        <is>
          <t>IDR</t>
        </is>
      </c>
      <c r="H421" s="288" t="n">
        <v>1</v>
      </c>
      <c r="I421" s="289" t="n"/>
      <c r="J421" s="289" t="n"/>
      <c r="K421" s="290" t="n"/>
      <c r="L421" s="291" t="n">
        <v>161885</v>
      </c>
      <c r="M421" s="280" t="n"/>
      <c r="N421" s="280" t="n"/>
      <c r="O421" s="280" t="n"/>
      <c r="P421" s="280" t="n"/>
      <c r="Q421" s="280" t="n"/>
      <c r="R421" s="292" t="n"/>
      <c r="S421" s="292" t="n"/>
      <c r="T421" s="292" t="n"/>
      <c r="U421" s="292" t="n"/>
      <c r="V421" s="292" t="n"/>
      <c r="W421" s="292" t="n"/>
      <c r="X421" s="292" t="n"/>
      <c r="Y421" s="292" t="n"/>
    </row>
    <row r="422" ht="15.5" customHeight="1">
      <c r="B422" s="277" t="n"/>
      <c r="C422" s="278" t="n"/>
      <c r="D422" s="314" t="inlineStr">
        <is>
          <t>Pembelian Barang</t>
        </is>
      </c>
      <c r="E422" s="315" t="n"/>
      <c r="F422" s="281" t="n"/>
      <c r="G422" s="278" t="n"/>
      <c r="H422" s="278" t="n"/>
      <c r="I422" s="283" t="n"/>
      <c r="J422" s="279" t="n"/>
      <c r="K422" s="279" t="n"/>
      <c r="L422" s="279" t="n"/>
      <c r="M422" s="283" t="n"/>
      <c r="N422" s="279" t="n"/>
      <c r="O422" s="279" t="n"/>
      <c r="P422" s="279" t="n"/>
      <c r="Q422" s="279" t="n"/>
      <c r="R422" s="285" t="n"/>
      <c r="S422" s="285" t="n"/>
      <c r="T422" s="285" t="n"/>
      <c r="U422" s="285" t="n"/>
      <c r="V422" s="285" t="n"/>
      <c r="W422" s="285" t="n"/>
      <c r="X422" s="285" t="n"/>
      <c r="Y422" s="285" t="n"/>
    </row>
    <row r="423" ht="15.5" customHeight="1">
      <c r="B423" s="286" t="n">
        <v>45499</v>
      </c>
      <c r="C423" s="278" t="n">
        <v>300</v>
      </c>
      <c r="D423" s="280" t="inlineStr">
        <is>
          <t>TOP 1 High Temp Grease</t>
        </is>
      </c>
      <c r="E423" s="280" t="inlineStr">
        <is>
          <t>-</t>
        </is>
      </c>
      <c r="F423" s="287" t="n">
        <v>144900</v>
      </c>
      <c r="G423" s="282" t="inlineStr">
        <is>
          <t>IDR</t>
        </is>
      </c>
      <c r="H423" s="288" t="n">
        <v>1</v>
      </c>
      <c r="I423" s="289" t="n"/>
      <c r="J423" s="289" t="n"/>
      <c r="K423" s="290" t="n"/>
      <c r="L423" s="280" t="n"/>
      <c r="M423" s="280" t="n"/>
      <c r="N423" s="280" t="n"/>
      <c r="O423" s="291" t="n">
        <v>144900</v>
      </c>
      <c r="P423" s="280" t="n"/>
      <c r="Q423" s="280" t="n"/>
      <c r="R423" s="292" t="n"/>
      <c r="S423" s="292" t="n"/>
      <c r="T423" s="292" t="n"/>
      <c r="U423" s="292" t="n"/>
      <c r="V423" s="292" t="n"/>
      <c r="W423" s="292" t="n"/>
      <c r="X423" s="292" t="n"/>
      <c r="Y423" s="292" t="n"/>
    </row>
    <row r="424" ht="15.5" customHeight="1">
      <c r="B424" s="332" t="inlineStr">
        <is>
          <t>Expense#30</t>
        </is>
      </c>
      <c r="C424" s="305" t="inlineStr">
        <is>
          <t>:</t>
        </is>
      </c>
      <c r="D424" s="306" t="inlineStr">
        <is>
          <t>ALFA JOB - PMB 009 (cancel job) - IBR</t>
        </is>
      </c>
      <c r="E424" s="307" t="n"/>
      <c r="F424" s="325" t="n"/>
      <c r="G424" s="305" t="n"/>
      <c r="H424" s="305" t="n"/>
      <c r="I424" s="309" t="n"/>
      <c r="J424" s="311" t="n"/>
      <c r="K424" s="311" t="n"/>
      <c r="L424" s="311" t="n"/>
      <c r="M424" s="311" t="n"/>
      <c r="N424" s="311" t="n"/>
      <c r="O424" s="311" t="n"/>
      <c r="P424" s="311" t="n"/>
      <c r="Q424" s="311" t="n"/>
      <c r="R424" s="312" t="n"/>
      <c r="S424" s="312" t="n"/>
      <c r="T424" s="312" t="n"/>
      <c r="U424" s="312" t="n"/>
      <c r="V424" s="312" t="n"/>
      <c r="W424" s="312" t="n"/>
      <c r="X424" s="312" t="n"/>
      <c r="Y424" s="312" t="n"/>
    </row>
    <row r="425" ht="15.5" customHeight="1">
      <c r="B425" s="277" t="n"/>
      <c r="C425" s="278" t="n"/>
      <c r="D425" s="314" t="inlineStr">
        <is>
          <t>Biaya Operasi</t>
        </is>
      </c>
      <c r="E425" s="315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n">
        <v>45548</v>
      </c>
      <c r="C426" s="278" t="n">
        <v>301</v>
      </c>
      <c r="D426" s="280" t="inlineStr">
        <is>
          <t>Uang makan (6 - 11 September 2024) 6 days</t>
        </is>
      </c>
      <c r="E426" s="280" t="inlineStr">
        <is>
          <t>-</t>
        </is>
      </c>
      <c r="F426" s="287" t="n">
        <v>900000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900000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Laundry (6 - 11 September 2024) 6 days</t>
        </is>
      </c>
      <c r="E427" s="280" t="inlineStr">
        <is>
          <t>-</t>
        </is>
      </c>
      <c r="F427" s="287" t="n">
        <v>300000</v>
      </c>
      <c r="G427" s="282" t="inlineStr">
        <is>
          <t>IDR</t>
        </is>
      </c>
      <c r="H427" s="288" t="n">
        <v>1</v>
      </c>
      <c r="I427" s="289" t="n"/>
      <c r="J427" s="289" t="n"/>
      <c r="K427" s="290" t="n"/>
      <c r="L427" s="291" t="n">
        <v>300000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286" t="n">
        <v>45548</v>
      </c>
      <c r="C428" s="278" t="n">
        <v>303</v>
      </c>
      <c r="D428" s="280" t="inlineStr">
        <is>
          <t>Tunjangan Lapangan PBM - 009 (6 - 11 September 2024)</t>
        </is>
      </c>
      <c r="E428" s="280" t="inlineStr">
        <is>
          <t>-</t>
        </is>
      </c>
      <c r="F428" s="287" t="n">
        <v>2317500</v>
      </c>
      <c r="G428" s="282" t="inlineStr">
        <is>
          <t>$</t>
        </is>
      </c>
      <c r="H428" s="288" t="n">
        <v>15450</v>
      </c>
      <c r="I428" s="289" t="n"/>
      <c r="J428" s="289" t="n"/>
      <c r="K428" s="290" t="n"/>
      <c r="L428" s="291" t="n">
        <v>2317500</v>
      </c>
      <c r="M428" s="280" t="n"/>
      <c r="N428" s="280" t="n"/>
      <c r="O428" s="280" t="n"/>
      <c r="P428" s="280" t="n"/>
      <c r="Q428" s="280" t="n"/>
      <c r="R428" s="292" t="n"/>
      <c r="S428" s="292" t="n"/>
      <c r="T428" s="292" t="n"/>
      <c r="U428" s="292" t="n"/>
      <c r="V428" s="292" t="n"/>
      <c r="W428" s="292" t="n"/>
      <c r="X428" s="292" t="n"/>
      <c r="Y428" s="292" t="n"/>
    </row>
    <row r="429" ht="15.5" customHeight="1">
      <c r="B429" s="332" t="inlineStr">
        <is>
          <t>Expense#31</t>
        </is>
      </c>
      <c r="C429" s="305" t="inlineStr">
        <is>
          <t>:</t>
        </is>
      </c>
      <c r="D429" s="306" t="inlineStr">
        <is>
          <t>ALFA PMB-009 (Cancel)_ TMA</t>
        </is>
      </c>
      <c r="E429" s="307" t="n"/>
      <c r="F429" s="325" t="n"/>
      <c r="G429" s="305" t="n"/>
      <c r="H429" s="305" t="n"/>
      <c r="I429" s="342" t="n"/>
      <c r="J429" s="342" t="n"/>
      <c r="K429" s="342" t="n"/>
      <c r="L429" s="342" t="n"/>
      <c r="M429" s="342" t="n"/>
      <c r="N429" s="310" t="n"/>
      <c r="O429" s="342" t="n"/>
      <c r="P429" s="342" t="n"/>
      <c r="Q429" s="342" t="n"/>
      <c r="R429" s="312" t="n"/>
      <c r="S429" s="312" t="n"/>
      <c r="T429" s="312" t="n"/>
      <c r="U429" s="312" t="n"/>
      <c r="V429" s="312" t="n"/>
      <c r="W429" s="312" t="n"/>
      <c r="X429" s="312" t="n"/>
      <c r="Y429" s="312" t="n"/>
    </row>
    <row r="430" ht="15.5" customHeight="1">
      <c r="B430" s="277" t="n"/>
      <c r="C430" s="278" t="n"/>
      <c r="D430" s="314" t="inlineStr">
        <is>
          <t>Biaya Operasi</t>
        </is>
      </c>
      <c r="E430" s="315" t="n"/>
      <c r="F430" s="281" t="n"/>
      <c r="G430" s="278" t="n"/>
      <c r="H430" s="278" t="n"/>
      <c r="I430" s="279" t="n"/>
      <c r="J430" s="279" t="n"/>
      <c r="K430" s="279" t="n"/>
      <c r="L430" s="279" t="n"/>
      <c r="M430" s="279" t="n"/>
      <c r="N430" s="284" t="n"/>
      <c r="O430" s="279" t="n"/>
      <c r="P430" s="279" t="n"/>
      <c r="Q430" s="279" t="n"/>
      <c r="R430" s="285" t="n"/>
      <c r="S430" s="285" t="n"/>
      <c r="T430" s="285" t="n"/>
      <c r="U430" s="285" t="n"/>
      <c r="V430" s="285" t="n"/>
      <c r="W430" s="285" t="n"/>
      <c r="X430" s="285" t="n"/>
      <c r="Y430" s="285" t="n"/>
    </row>
    <row r="431" ht="15.5" customHeight="1">
      <c r="B431" s="286" t="n">
        <v>45541</v>
      </c>
      <c r="C431" s="278" t="n">
        <v>304</v>
      </c>
      <c r="D431" s="280" t="inlineStr">
        <is>
          <t>Hotel 6 Sept - 11 Sept (5 days)</t>
        </is>
      </c>
      <c r="E431" s="280" t="inlineStr">
        <is>
          <t>-</t>
        </is>
      </c>
      <c r="F431" s="287" t="n">
        <v>1800000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1800000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Laundry 6 days 1 Persons @ 50K IDR/day</t>
        </is>
      </c>
      <c r="E432" s="280" t="inlineStr">
        <is>
          <t>-</t>
        </is>
      </c>
      <c r="F432" s="287" t="n">
        <v>300000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300000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Airplane Ticket CGK-PLM</t>
        </is>
      </c>
      <c r="E433" s="280" t="inlineStr">
        <is>
          <t>-</t>
        </is>
      </c>
      <c r="F433" s="287" t="n">
        <v>904682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904682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Taxi Pondok Cabe-Vania-CGK (inc Toll)</t>
        </is>
      </c>
      <c r="E434" s="280" t="inlineStr">
        <is>
          <t>-</t>
        </is>
      </c>
      <c r="F434" s="287" t="n">
        <v>256500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256500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Toll (PLM-Prabumulih-PLM)</t>
        </is>
      </c>
      <c r="E435" s="280" t="inlineStr">
        <is>
          <t>-</t>
        </is>
      </c>
      <c r="F435" s="287" t="n">
        <v>224000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224000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Rent Car 6 Days</t>
        </is>
      </c>
      <c r="E436" s="280" t="inlineStr">
        <is>
          <t>-</t>
        </is>
      </c>
      <c r="F436" s="287" t="n">
        <v>3000000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3000000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Gasoline</t>
        </is>
      </c>
      <c r="E437" s="280" t="inlineStr">
        <is>
          <t>-</t>
        </is>
      </c>
      <c r="F437" s="287" t="n">
        <v>400000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400000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Taxi CGK-Pondok Cabe (inc Toll+Parking)</t>
        </is>
      </c>
      <c r="E438" s="280" t="inlineStr">
        <is>
          <t>-</t>
        </is>
      </c>
      <c r="F438" s="287" t="n">
        <v>310660</v>
      </c>
      <c r="G438" s="282" t="inlineStr">
        <is>
          <t>IDR</t>
        </is>
      </c>
      <c r="H438" s="288" t="n">
        <v>1</v>
      </c>
      <c r="I438" s="289" t="n"/>
      <c r="J438" s="289" t="n"/>
      <c r="K438" s="290" t="n"/>
      <c r="L438" s="291" t="n">
        <v>310660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Field Allowance</t>
        </is>
      </c>
      <c r="E439" s="280" t="inlineStr">
        <is>
          <t>-</t>
        </is>
      </c>
      <c r="F439" s="287" t="n">
        <v>9262800</v>
      </c>
      <c r="G439" s="282" t="inlineStr">
        <is>
          <t>USD</t>
        </is>
      </c>
      <c r="H439" s="288" t="n">
        <v>15438</v>
      </c>
      <c r="I439" s="289" t="n"/>
      <c r="J439" s="289" t="n"/>
      <c r="K439" s="290" t="n"/>
      <c r="L439" s="291" t="n">
        <v>9262800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45541</v>
      </c>
      <c r="C440" s="278" t="n">
        <v>313</v>
      </c>
      <c r="D440" s="280" t="inlineStr">
        <is>
          <t>Meals</t>
        </is>
      </c>
      <c r="E440" s="280" t="inlineStr">
        <is>
          <t>-</t>
        </is>
      </c>
      <c r="F440" s="287" t="n">
        <v>900000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900000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286" t="n">
        <v>45543</v>
      </c>
      <c r="C441" s="278" t="n">
        <v>314</v>
      </c>
      <c r="D441" s="280" t="inlineStr">
        <is>
          <t>Airplane Ticket PLM-CGK</t>
        </is>
      </c>
      <c r="E441" s="280" t="inlineStr">
        <is>
          <t>-</t>
        </is>
      </c>
      <c r="F441" s="287" t="n">
        <v>836100</v>
      </c>
      <c r="G441" s="282" t="inlineStr">
        <is>
          <t>IDR</t>
        </is>
      </c>
      <c r="H441" s="288" t="n">
        <v>1</v>
      </c>
      <c r="I441" s="289" t="n"/>
      <c r="J441" s="289" t="n"/>
      <c r="K441" s="290" t="n"/>
      <c r="L441" s="291" t="n">
        <v>836100</v>
      </c>
      <c r="M441" s="280" t="n"/>
      <c r="N441" s="280" t="n"/>
      <c r="O441" s="280" t="n"/>
      <c r="P441" s="280" t="n"/>
      <c r="Q441" s="280" t="n"/>
      <c r="R441" s="292" t="n"/>
      <c r="S441" s="292" t="n"/>
      <c r="T441" s="292" t="n"/>
      <c r="U441" s="292" t="n"/>
      <c r="V441" s="292" t="n"/>
      <c r="W441" s="292" t="n"/>
      <c r="X441" s="292" t="n"/>
      <c r="Y441" s="292" t="n"/>
    </row>
    <row r="442" ht="15.5" customHeight="1">
      <c r="B442" s="304" t="inlineStr">
        <is>
          <t>Expense#32</t>
        </is>
      </c>
      <c r="C442" s="305" t="inlineStr">
        <is>
          <t>:</t>
        </is>
      </c>
      <c r="D442" s="306" t="inlineStr">
        <is>
          <t>ALFA PMB-009 (Cancel)_ TMA</t>
        </is>
      </c>
      <c r="E442" s="307" t="n"/>
      <c r="F442" s="325" t="n"/>
      <c r="G442" s="305" t="n"/>
      <c r="H442" s="305" t="n"/>
      <c r="I442" s="309" t="n"/>
      <c r="J442" s="311" t="n"/>
      <c r="K442" s="311" t="n"/>
      <c r="L442" s="311" t="n"/>
      <c r="M442" s="310" t="n"/>
      <c r="N442" s="311" t="n"/>
      <c r="O442" s="311" t="n"/>
      <c r="P442" s="311" t="n"/>
      <c r="Q442" s="311" t="n"/>
      <c r="R442" s="312" t="n"/>
      <c r="S442" s="312" t="n"/>
      <c r="T442" s="312" t="n"/>
      <c r="U442" s="312" t="n"/>
      <c r="V442" s="312" t="n"/>
      <c r="W442" s="312" t="n"/>
      <c r="X442" s="312" t="n"/>
      <c r="Y442" s="312" t="n"/>
    </row>
    <row r="443" ht="15.5" customHeight="1">
      <c r="B443" s="313" t="n"/>
      <c r="C443" s="278" t="n"/>
      <c r="D443" s="314" t="inlineStr">
        <is>
          <t>Biaya Operasi</t>
        </is>
      </c>
      <c r="E443" s="320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  <c r="R443" s="285" t="n"/>
      <c r="S443" s="285" t="n"/>
      <c r="T443" s="285" t="n"/>
      <c r="U443" s="285" t="n"/>
      <c r="V443" s="285" t="n"/>
      <c r="W443" s="285" t="n"/>
      <c r="X443" s="285" t="n"/>
      <c r="Y443" s="285" t="n"/>
    </row>
    <row r="444" ht="15.5" customHeight="1">
      <c r="B444" s="286" t="n">
        <v>45557</v>
      </c>
      <c r="C444" s="278" t="n">
        <v>315</v>
      </c>
      <c r="D444" s="280" t="inlineStr">
        <is>
          <t>Taxi+Tol Serpong - Gambir</t>
        </is>
      </c>
      <c r="E444" s="280" t="inlineStr">
        <is>
          <t>-</t>
        </is>
      </c>
      <c r="F444" s="287" t="n">
        <v>241280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241280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45558</v>
      </c>
      <c r="C445" s="278" t="n">
        <v>316</v>
      </c>
      <c r="D445" s="280" t="inlineStr">
        <is>
          <t>Gocar St. Cepu, Kalog - Bojonegoro</t>
        </is>
      </c>
      <c r="E445" s="280" t="inlineStr">
        <is>
          <t>-</t>
        </is>
      </c>
      <c r="F445" s="287" t="n">
        <v>250000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250000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Taxi+Tol Gambir - Serpong</t>
        </is>
      </c>
      <c r="E446" s="280" t="inlineStr">
        <is>
          <t>-</t>
        </is>
      </c>
      <c r="F446" s="287" t="n">
        <v>240000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240000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Uang Makan (22 - 26 Sept 2024)</t>
        </is>
      </c>
      <c r="E447" s="280" t="inlineStr">
        <is>
          <t>-</t>
        </is>
      </c>
      <c r="F447" s="287" t="n">
        <v>750000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Laundry (22 - 26 Sept 2024)</t>
        </is>
      </c>
      <c r="E448" s="280" t="inlineStr">
        <is>
          <t>-</t>
        </is>
      </c>
      <c r="F448" s="287" t="n">
        <v>250000</v>
      </c>
      <c r="G448" s="282" t="inlineStr">
        <is>
          <t>IDR</t>
        </is>
      </c>
      <c r="H448" s="288" t="n">
        <v>1</v>
      </c>
      <c r="I448" s="289" t="n"/>
      <c r="J448" s="289" t="n"/>
      <c r="K448" s="290" t="n"/>
      <c r="L448" s="291" t="n">
        <v>250000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286" t="n">
        <v>45561</v>
      </c>
      <c r="C449" s="278" t="n">
        <v>320</v>
      </c>
      <c r="D449" s="280" t="inlineStr">
        <is>
          <t>Field Bonus SKW#26 (22 - 26 Sept 2024). 1US$=15.100</t>
        </is>
      </c>
      <c r="E449" s="280" t="inlineStr">
        <is>
          <t>-</t>
        </is>
      </c>
      <c r="F449" s="287" t="n">
        <v>500</v>
      </c>
      <c r="G449" s="282" t="inlineStr">
        <is>
          <t>IDR</t>
        </is>
      </c>
      <c r="H449" s="288" t="n">
        <v>15100</v>
      </c>
      <c r="I449" s="289" t="n"/>
      <c r="J449" s="289" t="n"/>
      <c r="K449" s="290" t="n"/>
      <c r="L449" s="291" t="n">
        <v>500</v>
      </c>
      <c r="M449" s="280" t="n"/>
      <c r="N449" s="280" t="n"/>
      <c r="O449" s="280" t="n"/>
      <c r="P449" s="280" t="n"/>
      <c r="Q449" s="280" t="n"/>
      <c r="R449" s="292" t="n"/>
      <c r="S449" s="292" t="n"/>
      <c r="T449" s="292" t="n"/>
      <c r="U449" s="292" t="n"/>
      <c r="V449" s="292" t="n"/>
      <c r="W449" s="292" t="n"/>
      <c r="X449" s="292" t="n"/>
      <c r="Y449" s="292" t="n"/>
    </row>
    <row r="450" ht="15.5" customHeight="1">
      <c r="B450" s="304" t="inlineStr">
        <is>
          <t>Expense#33</t>
        </is>
      </c>
      <c r="C450" s="305" t="inlineStr">
        <is>
          <t>:</t>
        </is>
      </c>
      <c r="D450" s="306" t="inlineStr">
        <is>
          <t>ALFA Job JRK-095 (Jirak) - IBR</t>
        </is>
      </c>
      <c r="E450" s="307" t="n"/>
      <c r="F450" s="325" t="n"/>
      <c r="G450" s="305" t="n"/>
      <c r="H450" s="305" t="n"/>
      <c r="I450" s="310" t="n"/>
      <c r="J450" s="311" t="n"/>
      <c r="K450" s="311" t="n"/>
      <c r="L450" s="311" t="n"/>
      <c r="M450" s="311" t="n"/>
      <c r="N450" s="311" t="n"/>
      <c r="O450" s="311" t="n"/>
      <c r="P450" s="311" t="n"/>
      <c r="Q450" s="311" t="n"/>
      <c r="R450" s="312" t="n"/>
      <c r="S450" s="312" t="n"/>
      <c r="T450" s="312" t="n"/>
      <c r="U450" s="312" t="n"/>
      <c r="V450" s="312" t="n"/>
      <c r="W450" s="312" t="n"/>
      <c r="X450" s="312" t="n"/>
      <c r="Y450" s="312" t="n"/>
    </row>
    <row r="451" ht="15.5" customHeight="1">
      <c r="B451" s="313" t="n"/>
      <c r="C451" s="278" t="n"/>
      <c r="D451" s="314" t="inlineStr">
        <is>
          <t>Biaya Operasi</t>
        </is>
      </c>
      <c r="E451" s="315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  <c r="R451" s="285" t="n"/>
      <c r="S451" s="285" t="n"/>
      <c r="T451" s="285" t="n"/>
      <c r="U451" s="285" t="n"/>
      <c r="V451" s="285" t="n"/>
      <c r="W451" s="285" t="n"/>
      <c r="X451" s="285" t="n"/>
      <c r="Y451" s="285" t="n"/>
    </row>
    <row r="452" ht="15.5" customHeight="1">
      <c r="B452" s="286" t="n">
        <v>45563</v>
      </c>
      <c r="C452" s="278" t="n">
        <v>321</v>
      </c>
      <c r="D452" s="280" t="inlineStr">
        <is>
          <t>Hotel 21 Sept - 27 Sept 2024 (6 days)</t>
        </is>
      </c>
      <c r="E452" s="280" t="inlineStr">
        <is>
          <t>-</t>
        </is>
      </c>
      <c r="F452" s="287" t="n">
        <v>1680000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1680000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Laundry 20 Sept - 27 Sept 2024 (7days) @ Rp. 50000</t>
        </is>
      </c>
      <c r="E453" s="280" t="inlineStr">
        <is>
          <t>-</t>
        </is>
      </c>
      <c r="F453" s="287" t="n">
        <v>350000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350000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200000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200000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215000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215000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197000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197000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200000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200000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Gasoline</t>
        </is>
      </c>
      <c r="E458" s="280" t="inlineStr">
        <is>
          <t>-</t>
        </is>
      </c>
      <c r="F458" s="287" t="n">
        <v>220000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220000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(PLM-Prabumulih)</t>
        </is>
      </c>
      <c r="E459" s="280" t="inlineStr">
        <is>
          <t>-</t>
        </is>
      </c>
      <c r="F459" s="287" t="n">
        <v>112000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112000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Toll (Prabumulih-PLM)</t>
        </is>
      </c>
      <c r="E460" s="280" t="inlineStr">
        <is>
          <t>-</t>
        </is>
      </c>
      <c r="F460" s="287" t="n">
        <v>117000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117000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Car Wash</t>
        </is>
      </c>
      <c r="E461" s="280" t="inlineStr">
        <is>
          <t>-</t>
        </is>
      </c>
      <c r="F461" s="287" t="n">
        <v>40000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40000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Aqua 600 ML + Sunlight</t>
        </is>
      </c>
      <c r="E462" s="280" t="inlineStr">
        <is>
          <t>-</t>
        </is>
      </c>
      <c r="F462" s="287" t="n">
        <v>65000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65000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Fried Food + Soft Drink</t>
        </is>
      </c>
      <c r="E463" s="280" t="inlineStr">
        <is>
          <t>-</t>
        </is>
      </c>
      <c r="F463" s="287" t="n">
        <v>150000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Meal's Crew</t>
        </is>
      </c>
      <c r="E464" s="280" t="inlineStr">
        <is>
          <t>-</t>
        </is>
      </c>
      <c r="F464" s="287" t="n">
        <v>120000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120000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Snack's Crew</t>
        </is>
      </c>
      <c r="E465" s="280" t="inlineStr">
        <is>
          <t>-</t>
        </is>
      </c>
      <c r="F465" s="287" t="n">
        <v>172000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172000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Meal's + Soft Drink Crew</t>
        </is>
      </c>
      <c r="E466" s="280" t="inlineStr">
        <is>
          <t>-</t>
        </is>
      </c>
      <c r="F466" s="287" t="n">
        <v>300000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300000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Aqua 600 ML</t>
        </is>
      </c>
      <c r="E467" s="280" t="inlineStr">
        <is>
          <t>-</t>
        </is>
      </c>
      <c r="F467" s="287" t="n">
        <v>65000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65000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Meal's Crws + Ice Tea</t>
        </is>
      </c>
      <c r="E468" s="280" t="inlineStr">
        <is>
          <t>-</t>
        </is>
      </c>
      <c r="F468" s="287" t="n">
        <v>200000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200000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Snack's Crew</t>
        </is>
      </c>
      <c r="E469" s="280" t="inlineStr">
        <is>
          <t>-</t>
        </is>
      </c>
      <c r="F469" s="287" t="n">
        <v>240000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240000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Meal's + Soft Drink Crew</t>
        </is>
      </c>
      <c r="E470" s="280" t="inlineStr">
        <is>
          <t>-</t>
        </is>
      </c>
      <c r="F470" s="287" t="n">
        <v>230000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230000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Soft Drink</t>
        </is>
      </c>
      <c r="E471" s="280" t="inlineStr">
        <is>
          <t>-</t>
        </is>
      </c>
      <c r="F471" s="287" t="n">
        <v>110000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110000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Black Coffe</t>
        </is>
      </c>
      <c r="E472" s="280" t="inlineStr">
        <is>
          <t>-</t>
        </is>
      </c>
      <c r="F472" s="287" t="n">
        <v>47000</v>
      </c>
      <c r="G472" s="282" t="inlineStr">
        <is>
          <t>IDR</t>
        </is>
      </c>
      <c r="H472" s="288" t="n">
        <v>1</v>
      </c>
      <c r="I472" s="289" t="n"/>
      <c r="J472" s="289" t="n"/>
      <c r="K472" s="290" t="n"/>
      <c r="L472" s="291" t="n">
        <v>47000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Field Allowance 20 Sept - 27 Sept 2024</t>
        </is>
      </c>
      <c r="E473" s="280" t="inlineStr">
        <is>
          <t>-</t>
        </is>
      </c>
      <c r="F473" s="287" t="n">
        <v>2668750</v>
      </c>
      <c r="G473" s="282" t="inlineStr">
        <is>
          <t>USD</t>
        </is>
      </c>
      <c r="H473" s="288" t="n">
        <v>15250</v>
      </c>
      <c r="I473" s="289" t="n"/>
      <c r="J473" s="289" t="n"/>
      <c r="K473" s="290" t="n"/>
      <c r="L473" s="291" t="n">
        <v>2668750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286" t="n">
        <v>45563</v>
      </c>
      <c r="C474" s="278" t="n">
        <v>343</v>
      </c>
      <c r="D474" s="280" t="inlineStr">
        <is>
          <t>Meals 20 Sept - 27 Sept 2024 7 days</t>
        </is>
      </c>
      <c r="E474" s="280" t="inlineStr">
        <is>
          <t>-</t>
        </is>
      </c>
      <c r="F474" s="287" t="n">
        <v>1050000</v>
      </c>
      <c r="G474" s="282" t="inlineStr">
        <is>
          <t>IDR</t>
        </is>
      </c>
      <c r="H474" s="288" t="n">
        <v>1</v>
      </c>
      <c r="I474" s="289" t="n"/>
      <c r="J474" s="289" t="n"/>
      <c r="K474" s="290" t="n"/>
      <c r="L474" s="291" t="n">
        <v>1050000</v>
      </c>
      <c r="M474" s="280" t="n"/>
      <c r="N474" s="280" t="n"/>
      <c r="O474" s="280" t="n"/>
      <c r="P474" s="280" t="n"/>
      <c r="Q474" s="280" t="n"/>
      <c r="R474" s="292" t="n"/>
      <c r="S474" s="292" t="n"/>
      <c r="T474" s="292" t="n"/>
      <c r="U474" s="292" t="n"/>
      <c r="V474" s="292" t="n"/>
      <c r="W474" s="292" t="n"/>
      <c r="X474" s="292" t="n"/>
      <c r="Y474" s="292" t="n"/>
    </row>
    <row r="475" ht="15.5" customHeight="1">
      <c r="B475" s="304" t="inlineStr">
        <is>
          <t>Expense#34</t>
        </is>
      </c>
      <c r="C475" s="305" t="inlineStr">
        <is>
          <t>:</t>
        </is>
      </c>
      <c r="D475" s="306" t="inlineStr">
        <is>
          <t>ALFA_JRK-095 well (PEPZ4-PEndopo field) SI jakarta _ AC</t>
        </is>
      </c>
      <c r="E475" s="307" t="n"/>
      <c r="F475" s="308" t="n"/>
      <c r="G475" s="305" t="n"/>
      <c r="H475" s="305" t="n"/>
      <c r="I475" s="309" t="n"/>
      <c r="J475" s="311" t="n"/>
      <c r="K475" s="311" t="n"/>
      <c r="L475" s="311" t="n"/>
      <c r="M475" s="309" t="n"/>
      <c r="N475" s="311" t="n"/>
      <c r="O475" s="311" t="n"/>
      <c r="P475" s="311" t="n"/>
      <c r="Q475" s="311" t="n"/>
      <c r="R475" s="312" t="n"/>
      <c r="S475" s="312" t="n"/>
      <c r="T475" s="312" t="n"/>
      <c r="U475" s="312" t="n"/>
      <c r="V475" s="312" t="n"/>
      <c r="W475" s="312" t="n"/>
      <c r="X475" s="312" t="n"/>
      <c r="Y475" s="312" t="n"/>
    </row>
    <row r="476" ht="15.5" customHeight="1">
      <c r="B476" s="313" t="n"/>
      <c r="C476" s="278" t="n"/>
      <c r="D476" s="314" t="inlineStr">
        <is>
          <t>Biaya Operasi</t>
        </is>
      </c>
      <c r="E476" s="315" t="n"/>
      <c r="F476" s="316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285" t="n"/>
      <c r="S476" s="285" t="n"/>
      <c r="T476" s="285" t="n"/>
      <c r="U476" s="285" t="n"/>
      <c r="V476" s="285" t="n"/>
      <c r="W476" s="285" t="n"/>
      <c r="X476" s="285" t="n"/>
      <c r="Y476" s="285" t="n"/>
    </row>
    <row r="477" ht="15.5" customHeight="1">
      <c r="B477" s="286" t="n">
        <v>45556</v>
      </c>
      <c r="C477" s="278" t="n">
        <v>344</v>
      </c>
      <c r="D477" s="280" t="inlineStr">
        <is>
          <t>Air ticket Anevril JKT-Palembang</t>
        </is>
      </c>
      <c r="E477" s="280" t="inlineStr">
        <is>
          <t>-</t>
        </is>
      </c>
      <c r="F477" s="287" t="n">
        <v>796800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796800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45556</v>
      </c>
      <c r="C478" s="278" t="n">
        <v>345</v>
      </c>
      <c r="D478" s="280" t="inlineStr">
        <is>
          <t>Taxi Anevril Home - CGK Airport</t>
        </is>
      </c>
      <c r="E478" s="280" t="inlineStr">
        <is>
          <t>-</t>
        </is>
      </c>
      <c r="F478" s="287" t="n">
        <v>250000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250000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Air ticket Anevril Palembang-JKT</t>
        </is>
      </c>
      <c r="E479" s="280" t="inlineStr">
        <is>
          <t>-</t>
        </is>
      </c>
      <c r="F479" s="287" t="n">
        <v>804500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804500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Taxi Anevril CGK Airport - Home</t>
        </is>
      </c>
      <c r="E480" s="280" t="inlineStr">
        <is>
          <t>-</t>
        </is>
      </c>
      <c r="F480" s="287" t="n">
        <v>250000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Sewa mobil 8 hari (21/09/24 - 29/09/24)</t>
        </is>
      </c>
      <c r="E481" s="280" t="inlineStr">
        <is>
          <t>-</t>
        </is>
      </c>
      <c r="F481" s="287" t="n">
        <v>4000000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Laundry 8 days @ 50K IDR/day</t>
        </is>
      </c>
      <c r="E482" s="280" t="inlineStr">
        <is>
          <t>-</t>
        </is>
      </c>
      <c r="F482" s="287" t="n">
        <v>400000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400000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45564</v>
      </c>
      <c r="C483" s="278" t="n">
        <v>350</v>
      </c>
      <c r="D483" s="280" t="inlineStr">
        <is>
          <t>Meals 8 days @ 150K IDR/day</t>
        </is>
      </c>
      <c r="E483" s="280" t="inlineStr">
        <is>
          <t>-</t>
        </is>
      </c>
      <c r="F483" s="287" t="n">
        <v>900000</v>
      </c>
      <c r="G483" s="282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900000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286" t="n">
        <v>45565</v>
      </c>
      <c r="C484" s="278" t="n">
        <v>351</v>
      </c>
      <c r="D484" s="280" t="inlineStr">
        <is>
          <t>Tunjangan lapaangan for 8 days- (job at JRK-095)</t>
        </is>
      </c>
      <c r="E484" s="280" t="inlineStr">
        <is>
          <t>-</t>
        </is>
      </c>
      <c r="F484" s="287" t="n">
        <v>12160000</v>
      </c>
      <c r="G484" s="282" t="inlineStr">
        <is>
          <t>USD</t>
        </is>
      </c>
      <c r="H484" s="288" t="n">
        <v>15200</v>
      </c>
      <c r="I484" s="289" t="n"/>
      <c r="J484" s="289" t="n"/>
      <c r="K484" s="290" t="n"/>
      <c r="L484" s="291" t="n">
        <v>12160000</v>
      </c>
      <c r="M484" s="280" t="n"/>
      <c r="N484" s="280" t="n"/>
      <c r="O484" s="280" t="n"/>
      <c r="P484" s="280" t="n"/>
      <c r="Q484" s="280" t="n"/>
      <c r="R484" s="292" t="n"/>
      <c r="S484" s="292" t="n"/>
      <c r="T484" s="292" t="n"/>
      <c r="U484" s="292" t="n"/>
      <c r="V484" s="292" t="n"/>
      <c r="W484" s="292" t="n"/>
      <c r="X484" s="292" t="n"/>
      <c r="Y484" s="292" t="n"/>
    </row>
    <row r="485" ht="15.5" customHeight="1">
      <c r="B485" s="327" t="inlineStr">
        <is>
          <t>Expense#35</t>
        </is>
      </c>
      <c r="C485" s="328" t="inlineStr">
        <is>
          <t>:</t>
        </is>
      </c>
      <c r="D485" s="329" t="inlineStr">
        <is>
          <t>Trip to Cirebon Meeting MTD job X-ray field with PEP Zona 7 Region2_AC</t>
        </is>
      </c>
      <c r="E485" s="330" t="n"/>
      <c r="F485" s="326" t="n"/>
      <c r="G485" s="305" t="n"/>
      <c r="H485" s="305" t="n"/>
      <c r="I485" s="311" t="n"/>
      <c r="J485" s="311" t="n"/>
      <c r="K485" s="311" t="n"/>
      <c r="L485" s="311" t="n"/>
      <c r="M485" s="311" t="n"/>
      <c r="N485" s="309" t="n"/>
      <c r="O485" s="311" t="n"/>
      <c r="P485" s="311" t="n"/>
      <c r="Q485" s="311" t="n"/>
      <c r="R485" s="312" t="n"/>
      <c r="S485" s="312" t="n"/>
      <c r="T485" s="312" t="n"/>
      <c r="U485" s="312" t="n"/>
      <c r="V485" s="312" t="n"/>
      <c r="W485" s="312" t="n"/>
      <c r="X485" s="312" t="n"/>
      <c r="Y485" s="312" t="n"/>
    </row>
    <row r="486" ht="15.5" customFormat="1" customHeight="1" s="126">
      <c r="B486" s="313" t="n"/>
      <c r="C486" s="278" t="n"/>
      <c r="D486" s="314" t="inlineStr">
        <is>
          <t>Biaya Operasi</t>
        </is>
      </c>
      <c r="E486" s="343" t="n"/>
      <c r="F486" s="281" t="n"/>
      <c r="G486" s="278" t="n"/>
      <c r="H486" s="278" t="n"/>
      <c r="I486" s="344" t="n"/>
      <c r="J486" s="344" t="n"/>
      <c r="K486" s="344" t="n"/>
      <c r="L486" s="344" t="n"/>
      <c r="M486" s="344" t="n"/>
      <c r="N486" s="344" t="n"/>
      <c r="O486" s="344" t="n"/>
      <c r="P486" s="344" t="n"/>
      <c r="Q486" s="344" t="n"/>
      <c r="R486" s="285" t="n"/>
      <c r="S486" s="285" t="n"/>
      <c r="T486" s="285" t="n"/>
      <c r="U486" s="285" t="n"/>
      <c r="V486" s="285" t="n"/>
      <c r="W486" s="285" t="n"/>
      <c r="X486" s="285" t="n"/>
      <c r="Y486" s="285" t="n"/>
    </row>
    <row r="487" ht="15.5" customHeight="1">
      <c r="B487" s="286" t="n">
        <v>45526</v>
      </c>
      <c r="C487" s="278" t="n">
        <v>352</v>
      </c>
      <c r="D487" s="280" t="inlineStr">
        <is>
          <t>Fuel ( trip modified tool Sampler to Mr suby)</t>
        </is>
      </c>
      <c r="E487" s="280" t="inlineStr">
        <is>
          <t>-</t>
        </is>
      </c>
      <c r="F487" s="287" t="n">
        <v>274000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274000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Bintaro - Instrutek solusindo)</t>
        </is>
      </c>
      <c r="E488" s="280" t="inlineStr">
        <is>
          <t>-</t>
        </is>
      </c>
      <c r="F488" s="287" t="n">
        <v>144500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144500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Gocar ( trip Instrutek solusindo - Bintaro)</t>
        </is>
      </c>
      <c r="E489" s="280" t="inlineStr">
        <is>
          <t>-</t>
        </is>
      </c>
      <c r="F489" s="287" t="n">
        <v>160000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160000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Bintaro - Instrutek solusindo)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45544</v>
      </c>
      <c r="C491" s="278" t="n">
        <v>356</v>
      </c>
      <c r="D491" s="280" t="inlineStr">
        <is>
          <t>Tol ( trip Instrutek solusindo - Bintaro) No Reciept</t>
        </is>
      </c>
      <c r="E491" s="280" t="inlineStr">
        <is>
          <t>-</t>
        </is>
      </c>
      <c r="F491" s="287" t="n">
        <v>64500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64500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Fuel ( trip to Sclumberger Cikaranga,SIT seeting tool )</t>
        </is>
      </c>
      <c r="E492" s="280" t="inlineStr">
        <is>
          <t>-</t>
        </is>
      </c>
      <c r="F492" s="287" t="n">
        <v>232500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232500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(Bintaro - Cikarang)</t>
        </is>
      </c>
      <c r="E493" s="280" t="inlineStr">
        <is>
          <t>-</t>
        </is>
      </c>
      <c r="F493" s="287" t="n">
        <v>112500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112500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45545</v>
      </c>
      <c r="C494" s="278" t="n">
        <v>359</v>
      </c>
      <c r="D494" s="280" t="inlineStr">
        <is>
          <t>tol (Cikarang - Bekasi -Bintaro)</t>
        </is>
      </c>
      <c r="E494" s="280" t="inlineStr">
        <is>
          <t>-</t>
        </is>
      </c>
      <c r="F494" s="287" t="n">
        <v>50500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50500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tol (Bintaro - Cinere)</t>
        </is>
      </c>
      <c r="E495" s="280" t="inlineStr">
        <is>
          <t>-</t>
        </is>
      </c>
      <c r="F495" s="287" t="n">
        <v>59000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59000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45546</v>
      </c>
      <c r="C496" s="278" t="n">
        <v>361</v>
      </c>
      <c r="D496" s="280" t="inlineStr">
        <is>
          <t>lunch when check MTD tool at workshop Gowell</t>
        </is>
      </c>
      <c r="E496" s="280" t="inlineStr">
        <is>
          <t>-</t>
        </is>
      </c>
      <c r="F496" s="287" t="n">
        <v>171000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171000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45548</v>
      </c>
      <c r="C497" s="278" t="n">
        <v>362</v>
      </c>
      <c r="D497" s="280" t="inlineStr">
        <is>
          <t>Fuel ( trip to workshop Gowell &amp; ktr Pajak)</t>
        </is>
      </c>
      <c r="E497" s="280" t="inlineStr">
        <is>
          <t>-</t>
        </is>
      </c>
      <c r="F497" s="287" t="n">
        <v>256800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256800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Tol  Jakarta - Cirebon</t>
        </is>
      </c>
      <c r="E498" s="280" t="inlineStr">
        <is>
          <t>-</t>
        </is>
      </c>
      <c r="F498" s="287" t="n">
        <v>245000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245000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Fuel</t>
        </is>
      </c>
      <c r="E499" s="280" t="inlineStr">
        <is>
          <t>-</t>
        </is>
      </c>
      <c r="F499" s="287" t="n">
        <v>180000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180000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45552</v>
      </c>
      <c r="C500" s="278" t="n">
        <v>365</v>
      </c>
      <c r="D500" s="280" t="inlineStr">
        <is>
          <t>Hotel</t>
        </is>
      </c>
      <c r="E500" s="280" t="inlineStr">
        <is>
          <t>-</t>
        </is>
      </c>
      <c r="F500" s="287" t="n">
        <v>700000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700000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Tol  Cirebon - Jakarta</t>
        </is>
      </c>
      <c r="E501" s="280" t="inlineStr">
        <is>
          <t>-</t>
        </is>
      </c>
      <c r="F501" s="287" t="n">
        <v>166000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166000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Fuel</t>
        </is>
      </c>
      <c r="E502" s="280" t="inlineStr">
        <is>
          <t>-</t>
        </is>
      </c>
      <c r="F502" s="287" t="n">
        <v>222650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222650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Loundry 2 days @Rp. 50.000</t>
        </is>
      </c>
      <c r="E503" s="280" t="inlineStr">
        <is>
          <t>-</t>
        </is>
      </c>
      <c r="F503" s="287" t="n">
        <v>100000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100000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286" t="n">
        <v>45553</v>
      </c>
      <c r="C504" s="278" t="n">
        <v>369</v>
      </c>
      <c r="D504" s="280" t="inlineStr">
        <is>
          <t>Uang makan utk 3 hari (17-18 Sept-24) @150.000</t>
        </is>
      </c>
      <c r="E504" s="280" t="inlineStr">
        <is>
          <t>-</t>
        </is>
      </c>
      <c r="F504" s="287" t="n">
        <v>300000</v>
      </c>
      <c r="G504" s="282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300000</v>
      </c>
      <c r="M504" s="280" t="n"/>
      <c r="N504" s="280" t="n"/>
      <c r="O504" s="280" t="n"/>
      <c r="P504" s="280" t="n"/>
      <c r="Q504" s="280" t="n"/>
      <c r="R504" s="292" t="n"/>
      <c r="S504" s="292" t="n"/>
      <c r="T504" s="292" t="n"/>
      <c r="U504" s="292" t="n"/>
      <c r="V504" s="292" t="n"/>
      <c r="W504" s="292" t="n"/>
      <c r="X504" s="292" t="n"/>
      <c r="Y504" s="292" t="n"/>
    </row>
    <row r="505" ht="15.5" customHeight="1">
      <c r="B505" s="304" t="inlineStr">
        <is>
          <t>Expense#36</t>
        </is>
      </c>
      <c r="C505" s="305" t="inlineStr">
        <is>
          <t>:</t>
        </is>
      </c>
      <c r="D505" s="306" t="inlineStr">
        <is>
          <t>Non project (follow up MCU concul &amp; inspection tool)_AC_ 2 nd</t>
        </is>
      </c>
      <c r="E505" s="307" t="n"/>
      <c r="F505" s="308" t="n"/>
      <c r="G505" s="305" t="n"/>
      <c r="H505" s="305" t="n"/>
      <c r="I505" s="310" t="n"/>
      <c r="J505" s="311" t="n"/>
      <c r="K505" s="311" t="n"/>
      <c r="L505" s="311" t="n"/>
      <c r="M505" s="311" t="n"/>
      <c r="N505" s="311" t="n"/>
      <c r="O505" s="311" t="n"/>
      <c r="P505" s="311" t="n"/>
      <c r="Q505" s="311" t="n"/>
      <c r="R505" s="312" t="n"/>
      <c r="S505" s="312" t="n"/>
      <c r="T505" s="312" t="n"/>
      <c r="U505" s="312" t="n"/>
      <c r="V505" s="312" t="n"/>
      <c r="W505" s="312" t="n"/>
      <c r="X505" s="312" t="n"/>
      <c r="Y505" s="312" t="n"/>
    </row>
    <row r="506" ht="15.5" customHeight="1">
      <c r="B506" s="279" t="n"/>
      <c r="C506" s="321" t="n"/>
      <c r="D506" s="322" t="inlineStr">
        <is>
          <t>Biaya Operasi</t>
        </is>
      </c>
      <c r="E506" s="323" t="n"/>
      <c r="F506" s="280" t="n"/>
      <c r="G506" s="278" t="n"/>
      <c r="H506" s="278" t="n"/>
      <c r="I506" s="340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285" t="n"/>
      <c r="S506" s="285" t="n"/>
      <c r="T506" s="285" t="n"/>
      <c r="U506" s="285" t="n"/>
      <c r="V506" s="285" t="n"/>
      <c r="W506" s="285" t="n"/>
      <c r="X506" s="285" t="n"/>
      <c r="Y506" s="285" t="n"/>
    </row>
    <row r="507" ht="15.5" customHeight="1">
      <c r="B507" s="286" t="n">
        <v>45436</v>
      </c>
      <c r="C507" s="278" t="n">
        <v>370</v>
      </c>
      <c r="D507" s="280" t="inlineStr">
        <is>
          <t>Buy lag ban 2 ea</t>
        </is>
      </c>
      <c r="E507" s="280" t="inlineStr">
        <is>
          <t>-</t>
        </is>
      </c>
      <c r="F507" s="287" t="n">
        <v>25000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25000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45520</v>
      </c>
      <c r="C508" s="278" t="n">
        <v>371</v>
      </c>
      <c r="D508" s="280" t="inlineStr">
        <is>
          <t>Pengiriman dokumen ke Yulia - LBU</t>
        </is>
      </c>
      <c r="E508" s="280" t="inlineStr">
        <is>
          <t>-</t>
        </is>
      </c>
      <c r="F508" s="287" t="n">
        <v>18000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18000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45530</v>
      </c>
      <c r="C509" s="278" t="n">
        <v>372</v>
      </c>
      <c r="D509" s="280" t="inlineStr">
        <is>
          <t>printing di snappy</t>
        </is>
      </c>
      <c r="E509" s="280" t="inlineStr">
        <is>
          <t>-</t>
        </is>
      </c>
      <c r="F509" s="287" t="n">
        <v>31000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31000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Yufitri</t>
        </is>
      </c>
      <c r="E510" s="280" t="inlineStr">
        <is>
          <t>-</t>
        </is>
      </c>
      <c r="F510" s="287" t="n">
        <v>10000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10000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286" t="n">
        <v>45537</v>
      </c>
      <c r="C511" s="278" t="n">
        <v>374</v>
      </c>
      <c r="D511" s="280" t="inlineStr">
        <is>
          <t>Pengiriman dokumen ke Rachmansyah-Sijak</t>
        </is>
      </c>
      <c r="E511" s="280" t="inlineStr">
        <is>
          <t>-</t>
        </is>
      </c>
      <c r="F511" s="287" t="n">
        <v>18000</v>
      </c>
      <c r="G511" s="282" t="inlineStr">
        <is>
          <t>IDR</t>
        </is>
      </c>
      <c r="H511" s="288" t="n">
        <v>1</v>
      </c>
      <c r="I511" s="289" t="n"/>
      <c r="J511" s="289" t="n"/>
      <c r="K511" s="290" t="n"/>
      <c r="L511" s="291" t="n">
        <v>18000</v>
      </c>
      <c r="M511" s="280" t="n"/>
      <c r="N511" s="280" t="n"/>
      <c r="O511" s="280" t="n"/>
      <c r="P511" s="280" t="n"/>
      <c r="Q511" s="280" t="n"/>
      <c r="R511" s="292" t="n"/>
      <c r="S511" s="292" t="n"/>
      <c r="T511" s="292" t="n"/>
      <c r="U511" s="292" t="n"/>
      <c r="V511" s="292" t="n"/>
      <c r="W511" s="292" t="n"/>
      <c r="X511" s="292" t="n"/>
      <c r="Y511" s="292" t="n"/>
    </row>
    <row r="512" ht="15.5" customHeight="1">
      <c r="B512" s="313" t="n"/>
      <c r="C512" s="278" t="n"/>
      <c r="D512" s="314" t="inlineStr">
        <is>
          <t>Kesehatan</t>
        </is>
      </c>
      <c r="E512" s="315" t="n"/>
      <c r="F512" s="281" t="n"/>
      <c r="G512" s="280" t="n"/>
      <c r="H512" s="345" t="n"/>
      <c r="I512" s="340" t="n"/>
      <c r="J512" s="279" t="n"/>
      <c r="K512" s="279" t="n"/>
      <c r="L512" s="279" t="n"/>
      <c r="M512" s="279" t="n"/>
      <c r="N512" s="279" t="n"/>
      <c r="O512" s="279" t="n"/>
      <c r="P512" s="279" t="n"/>
      <c r="Q512" s="279" t="n"/>
      <c r="R512" s="285" t="n"/>
      <c r="S512" s="285" t="n"/>
      <c r="T512" s="285" t="n"/>
      <c r="U512" s="285" t="n"/>
      <c r="V512" s="285" t="n"/>
      <c r="W512" s="285" t="n"/>
      <c r="X512" s="285" t="n"/>
      <c r="Y512" s="285" t="n"/>
    </row>
    <row r="513" ht="15.5" customHeight="1">
      <c r="B513" s="286" t="n">
        <v>45528</v>
      </c>
      <c r="C513" s="278" t="n">
        <v>375</v>
      </c>
      <c r="D513" s="280" t="inlineStr">
        <is>
          <t>Medicine</t>
        </is>
      </c>
      <c r="E513" s="280" t="inlineStr">
        <is>
          <t>-</t>
        </is>
      </c>
      <c r="F513" s="287" t="n">
        <v>36000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36000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45530</v>
      </c>
      <c r="C514" s="278" t="n">
        <v>376</v>
      </c>
      <c r="D514" s="280" t="inlineStr">
        <is>
          <t>Biaya Konsul Dokter Penyakit dalam</t>
        </is>
      </c>
      <c r="E514" s="280" t="inlineStr">
        <is>
          <t>-</t>
        </is>
      </c>
      <c r="F514" s="287" t="n">
        <v>854100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854100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45532</v>
      </c>
      <c r="C515" s="278" t="n">
        <v>377</v>
      </c>
      <c r="D515" s="280" t="inlineStr">
        <is>
          <t>Fisioterapi 1st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45533</v>
      </c>
      <c r="C516" s="278" t="n">
        <v>378</v>
      </c>
      <c r="D516" s="280" t="inlineStr">
        <is>
          <t>Fisioterapi 2nd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45534</v>
      </c>
      <c r="C517" s="278" t="n">
        <v>379</v>
      </c>
      <c r="D517" s="280" t="inlineStr">
        <is>
          <t>Fisioterapi 3rd</t>
        </is>
      </c>
      <c r="E517" s="280" t="inlineStr">
        <is>
          <t>-</t>
        </is>
      </c>
      <c r="F517" s="287" t="n">
        <v>285000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285000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45536</v>
      </c>
      <c r="C518" s="278" t="n">
        <v>380</v>
      </c>
      <c r="D518" s="280" t="inlineStr">
        <is>
          <t>medicine</t>
        </is>
      </c>
      <c r="E518" s="280" t="inlineStr">
        <is>
          <t>-</t>
        </is>
      </c>
      <c r="F518" s="287" t="n">
        <v>45000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45000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45537</v>
      </c>
      <c r="C519" s="278" t="n">
        <v>381</v>
      </c>
      <c r="D519" s="280" t="inlineStr">
        <is>
          <t>Biaya Konsul Dokter Syaraf</t>
        </is>
      </c>
      <c r="E519" s="280" t="inlineStr">
        <is>
          <t>-</t>
        </is>
      </c>
      <c r="F519" s="287" t="n">
        <v>2906650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2906650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45547</v>
      </c>
      <c r="C520" s="278" t="n">
        <v>382</v>
      </c>
      <c r="D520" s="280" t="inlineStr">
        <is>
          <t>Medicine</t>
        </is>
      </c>
      <c r="E520" s="280" t="inlineStr">
        <is>
          <t>-</t>
        </is>
      </c>
      <c r="F520" s="287" t="n">
        <v>241100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241100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286" t="n">
        <v>45566</v>
      </c>
      <c r="C521" s="278" t="n">
        <v>383</v>
      </c>
      <c r="D521" s="280" t="inlineStr">
        <is>
          <t>Biaya Konsul ke 2, Dokter Jantung</t>
        </is>
      </c>
      <c r="E521" s="280" t="inlineStr">
        <is>
          <t>-</t>
        </is>
      </c>
      <c r="F521" s="287" t="n">
        <v>1370000</v>
      </c>
      <c r="G521" s="282" t="inlineStr">
        <is>
          <t>IDR</t>
        </is>
      </c>
      <c r="H521" s="288" t="n">
        <v>1</v>
      </c>
      <c r="I521" s="289" t="n"/>
      <c r="J521" s="289" t="n"/>
      <c r="K521" s="290" t="n"/>
      <c r="L521" s="280" t="n"/>
      <c r="M521" s="280" t="n"/>
      <c r="N521" s="280" t="n"/>
      <c r="O521" s="280" t="n"/>
      <c r="P521" s="280" t="n"/>
      <c r="Q521" s="291" t="n">
        <v>1370000</v>
      </c>
      <c r="R521" s="292" t="n"/>
      <c r="S521" s="292" t="n"/>
      <c r="T521" s="292" t="n"/>
      <c r="U521" s="292" t="n"/>
      <c r="V521" s="292" t="n"/>
      <c r="W521" s="292" t="n"/>
      <c r="X521" s="292" t="n"/>
      <c r="Y521" s="292" t="n"/>
    </row>
    <row r="522" ht="15.5" customHeight="1">
      <c r="B522" s="304" t="inlineStr">
        <is>
          <t>Expense#37</t>
        </is>
      </c>
      <c r="C522" s="305" t="inlineStr">
        <is>
          <t>:</t>
        </is>
      </c>
      <c r="D522" s="306" t="inlineStr">
        <is>
          <t>MTD SKW-26_sukowati_TMA</t>
        </is>
      </c>
      <c r="E522" s="307" t="n"/>
      <c r="F522" s="308" t="n"/>
      <c r="G522" s="305" t="n"/>
      <c r="H522" s="305" t="n"/>
      <c r="I522" s="309" t="n"/>
      <c r="J522" s="311" t="n"/>
      <c r="K522" s="311" t="n"/>
      <c r="L522" s="311" t="n"/>
      <c r="M522" s="309" t="n"/>
      <c r="N522" s="311" t="n"/>
      <c r="O522" s="311" t="n"/>
      <c r="P522" s="311" t="n"/>
      <c r="Q522" s="311" t="n"/>
      <c r="R522" s="312" t="n"/>
      <c r="S522" s="312" t="n"/>
      <c r="T522" s="312" t="n"/>
      <c r="U522" s="312" t="n"/>
      <c r="V522" s="312" t="n"/>
      <c r="W522" s="312" t="n"/>
      <c r="X522" s="312" t="n"/>
      <c r="Y522" s="312" t="n"/>
    </row>
    <row r="523" ht="15.5" customHeight="1">
      <c r="B523" s="313" t="n"/>
      <c r="C523" s="278" t="n"/>
      <c r="D523" s="314" t="inlineStr">
        <is>
          <t>Biaya Operasi</t>
        </is>
      </c>
      <c r="E523" s="315" t="n"/>
      <c r="F523" s="316" t="n"/>
      <c r="G523" s="278" t="n"/>
      <c r="H523" s="278" t="n"/>
      <c r="I523" s="283" t="n"/>
      <c r="J523" s="279" t="n"/>
      <c r="K523" s="279" t="n"/>
      <c r="L523" s="279" t="n"/>
      <c r="M523" s="283" t="n"/>
      <c r="N523" s="279" t="n"/>
      <c r="O523" s="279" t="n"/>
      <c r="P523" s="279" t="n"/>
      <c r="Q523" s="279" t="n"/>
      <c r="R523" s="285" t="n"/>
      <c r="S523" s="285" t="n"/>
      <c r="T523" s="285" t="n"/>
      <c r="U523" s="285" t="n"/>
      <c r="V523" s="285" t="n"/>
      <c r="W523" s="285" t="n"/>
      <c r="X523" s="285" t="n"/>
      <c r="Y523" s="285" t="n"/>
    </row>
    <row r="524" ht="15.5" customHeight="1">
      <c r="B524" s="286" t="n">
        <v>45558</v>
      </c>
      <c r="C524" s="278" t="n">
        <v>384</v>
      </c>
      <c r="D524" s="280" t="inlineStr">
        <is>
          <t>Hotel 23 Sept - 26 Sept (3 days)</t>
        </is>
      </c>
      <c r="E524" s="280" t="inlineStr">
        <is>
          <t>-</t>
        </is>
      </c>
      <c r="F524" s="287" t="n">
        <v>1584184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1584184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Laundry 6 days 1 Persons @ 50K IDR/day</t>
        </is>
      </c>
      <c r="E525" s="280" t="inlineStr">
        <is>
          <t>-</t>
        </is>
      </c>
      <c r="F525" s="287" t="n">
        <v>250000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250000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Train Ticket Gambir-Cepu (2 pax)</t>
        </is>
      </c>
      <c r="E526" s="280" t="inlineStr">
        <is>
          <t>-</t>
        </is>
      </c>
      <c r="F526" s="287" t="n">
        <v>1213500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1213500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Taxi Pondok Cabe-Gambir</t>
        </is>
      </c>
      <c r="E527" s="280" t="inlineStr">
        <is>
          <t>-</t>
        </is>
      </c>
      <c r="F527" s="287" t="n">
        <v>132500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132500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Demob Tools (Kalog)</t>
        </is>
      </c>
      <c r="E528" s="280" t="inlineStr">
        <is>
          <t>-</t>
        </is>
      </c>
      <c r="F528" s="287" t="n">
        <v>280400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280400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Taxi Gambir-Pondok Cabe (inc Toll+Parking)</t>
        </is>
      </c>
      <c r="E529" s="280" t="inlineStr">
        <is>
          <t>-</t>
        </is>
      </c>
      <c r="F529" s="287" t="n">
        <v>326600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326600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Train Ticket Bojonegoro-Gambir (2 pax)</t>
        </is>
      </c>
      <c r="E530" s="280" t="inlineStr">
        <is>
          <t>-</t>
        </is>
      </c>
      <c r="F530" s="287" t="n">
        <v>1653500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1653500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Lalamove Kalog-Gowell</t>
        </is>
      </c>
      <c r="E531" s="280" t="inlineStr">
        <is>
          <t>-</t>
        </is>
      </c>
      <c r="F531" s="287" t="n">
        <v>73584</v>
      </c>
      <c r="G531" s="282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73584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Field Allowance</t>
        </is>
      </c>
      <c r="E532" s="280" t="inlineStr">
        <is>
          <t>-</t>
        </is>
      </c>
      <c r="F532" s="287" t="n">
        <v>7615500</v>
      </c>
      <c r="G532" s="282" t="inlineStr">
        <is>
          <t>USD</t>
        </is>
      </c>
      <c r="H532" s="288" t="n">
        <v>15231</v>
      </c>
      <c r="I532" s="289" t="n"/>
      <c r="J532" s="289" t="n"/>
      <c r="K532" s="290" t="n"/>
      <c r="L532" s="291" t="n">
        <v>7615500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286" t="n">
        <v>45558</v>
      </c>
      <c r="C533" s="278" t="n">
        <v>393</v>
      </c>
      <c r="D533" s="280" t="inlineStr">
        <is>
          <t>Meals</t>
        </is>
      </c>
      <c r="E533" s="280" t="inlineStr">
        <is>
          <t>-</t>
        </is>
      </c>
      <c r="F533" s="287" t="n">
        <v>750000</v>
      </c>
      <c r="G533" s="282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750000</v>
      </c>
      <c r="M533" s="280" t="n"/>
      <c r="N533" s="280" t="n"/>
      <c r="O533" s="280" t="n"/>
      <c r="P533" s="280" t="n"/>
      <c r="Q533" s="280" t="n"/>
      <c r="R533" s="292" t="n"/>
      <c r="S533" s="292" t="n"/>
      <c r="T533" s="292" t="n"/>
      <c r="U533" s="292" t="n"/>
      <c r="V533" s="292" t="n"/>
      <c r="W533" s="292" t="n"/>
      <c r="X533" s="292" t="n"/>
      <c r="Y533" s="292" t="n"/>
    </row>
    <row r="534" ht="15.5" customHeight="1">
      <c r="B534" s="304" t="inlineStr">
        <is>
          <t>Expense#38</t>
        </is>
      </c>
      <c r="C534" s="305" t="inlineStr">
        <is>
          <t>:</t>
        </is>
      </c>
      <c r="D534" s="306" t="inlineStr">
        <is>
          <t>MTD_STM_HDP 01 s/d 03 well (BHI project ndr Gowell) Sumbawa</t>
        </is>
      </c>
      <c r="E534" s="326" t="n"/>
      <c r="F534" s="308" t="n"/>
      <c r="G534" s="305" t="n"/>
      <c r="H534" s="305" t="n"/>
      <c r="I534" s="310" t="n"/>
      <c r="J534" s="311" t="n"/>
      <c r="K534" s="311" t="n"/>
      <c r="L534" s="311" t="n"/>
      <c r="M534" s="309" t="n"/>
      <c r="N534" s="311" t="n"/>
      <c r="O534" s="311" t="n"/>
      <c r="P534" s="311" t="n"/>
      <c r="Q534" s="311" t="n"/>
      <c r="R534" s="312" t="n"/>
      <c r="S534" s="312" t="n"/>
      <c r="T534" s="312" t="n"/>
      <c r="U534" s="312" t="n"/>
      <c r="V534" s="312" t="n"/>
      <c r="W534" s="312" t="n"/>
      <c r="X534" s="312" t="n"/>
      <c r="Y534" s="312" t="n"/>
    </row>
    <row r="535" ht="15.5" customHeight="1">
      <c r="B535" s="313" t="n"/>
      <c r="C535" s="278" t="n"/>
      <c r="D535" s="314" t="inlineStr">
        <is>
          <t>Biaya Operasi</t>
        </is>
      </c>
      <c r="E535" s="280" t="n"/>
      <c r="F535" s="316" t="n"/>
      <c r="G535" s="278" t="n"/>
      <c r="H535" s="278" t="n"/>
      <c r="I535" s="284" t="n"/>
      <c r="J535" s="279" t="n"/>
      <c r="K535" s="279" t="n"/>
      <c r="L535" s="279" t="n"/>
      <c r="M535" s="284" t="n"/>
      <c r="N535" s="279" t="n"/>
      <c r="O535" s="279" t="n"/>
      <c r="P535" s="279" t="n"/>
      <c r="Q535" s="279" t="n"/>
      <c r="R535" s="285" t="n"/>
      <c r="S535" s="285" t="n"/>
      <c r="T535" s="285" t="n"/>
      <c r="U535" s="285" t="n"/>
      <c r="V535" s="285" t="n"/>
      <c r="W535" s="285" t="n"/>
      <c r="X535" s="285" t="n"/>
      <c r="Y535" s="285" t="n"/>
    </row>
    <row r="536" ht="15.5" customHeight="1">
      <c r="B536" s="286" t="n">
        <v>45568</v>
      </c>
      <c r="C536" s="278" t="n">
        <v>394</v>
      </c>
      <c r="D536" s="280" t="inlineStr">
        <is>
          <t>Taxi Anevril Home - CGK Airport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Taxi Anevril CGK Airport - Home</t>
        </is>
      </c>
      <c r="E537" s="280" t="inlineStr">
        <is>
          <t>-</t>
        </is>
      </c>
      <c r="F537" s="287" t="n">
        <v>250000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250000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Laundry 18 days @ 50K IDR/day</t>
        </is>
      </c>
      <c r="E538" s="280" t="inlineStr">
        <is>
          <t>-</t>
        </is>
      </c>
      <c r="F538" s="287" t="n">
        <v>900000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900000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operation meal with BHI person</t>
        </is>
      </c>
      <c r="E539" s="280" t="inlineStr">
        <is>
          <t>-</t>
        </is>
      </c>
      <c r="F539" s="287" t="n">
        <v>1102050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1102050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Meal 18 days @ 150K IDR/day</t>
        </is>
      </c>
      <c r="E540" s="280" t="inlineStr">
        <is>
          <t>-</t>
        </is>
      </c>
      <c r="F540" s="287" t="n">
        <v>2700000</v>
      </c>
      <c r="G540" s="282" t="inlineStr">
        <is>
          <t>IDR</t>
        </is>
      </c>
      <c r="H540" s="288" t="n">
        <v>1</v>
      </c>
      <c r="I540" s="289" t="n"/>
      <c r="J540" s="289" t="n"/>
      <c r="K540" s="290" t="n"/>
      <c r="L540" s="291" t="n">
        <v>2700000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286" t="n">
        <v>45585</v>
      </c>
      <c r="C541" s="278" t="n">
        <v>399</v>
      </c>
      <c r="D541" s="280" t="inlineStr">
        <is>
          <t>Field Allowance for 18 days</t>
        </is>
      </c>
      <c r="E541" s="280" t="inlineStr">
        <is>
          <t>-</t>
        </is>
      </c>
      <c r="F541" s="287" t="n">
        <v>28528200</v>
      </c>
      <c r="G541" s="282" t="inlineStr">
        <is>
          <t>USD</t>
        </is>
      </c>
      <c r="H541" s="288" t="n">
        <v>15849</v>
      </c>
      <c r="I541" s="289" t="n"/>
      <c r="J541" s="289" t="n"/>
      <c r="K541" s="290" t="n"/>
      <c r="L541" s="291" t="n">
        <v>28528200</v>
      </c>
      <c r="M541" s="280" t="n"/>
      <c r="N541" s="280" t="n"/>
      <c r="O541" s="280" t="n"/>
      <c r="P541" s="280" t="n"/>
      <c r="Q541" s="280" t="n"/>
      <c r="R541" s="292" t="n"/>
      <c r="S541" s="292" t="n"/>
      <c r="T541" s="292" t="n"/>
      <c r="U541" s="292" t="n"/>
      <c r="V541" s="292" t="n"/>
      <c r="W541" s="292" t="n"/>
      <c r="X541" s="292" t="n"/>
      <c r="Y541" s="292" t="n"/>
    </row>
    <row r="542" ht="15.5" customHeight="1">
      <c r="B542" s="304" t="inlineStr">
        <is>
          <t>Expense#39</t>
        </is>
      </c>
      <c r="C542" s="335" t="inlineStr">
        <is>
          <t>:</t>
        </is>
      </c>
      <c r="D542" s="306" t="inlineStr">
        <is>
          <t>Training Basic Sea Survival_IBR</t>
        </is>
      </c>
      <c r="E542" s="318" t="n"/>
      <c r="F542" s="308" t="n"/>
      <c r="G542" s="305" t="n"/>
      <c r="H542" s="305" t="n"/>
      <c r="I542" s="311" t="n"/>
      <c r="J542" s="311" t="n"/>
      <c r="K542" s="311" t="n"/>
      <c r="L542" s="311" t="n"/>
      <c r="M542" s="309" t="n"/>
      <c r="N542" s="311" t="n"/>
      <c r="O542" s="311" t="n"/>
      <c r="P542" s="311" t="n"/>
      <c r="Q542" s="311" t="n"/>
      <c r="R542" s="312" t="n"/>
      <c r="S542" s="312" t="n"/>
      <c r="T542" s="312" t="n"/>
      <c r="U542" s="312" t="n"/>
      <c r="V542" s="312" t="n"/>
      <c r="W542" s="312" t="n"/>
      <c r="X542" s="312" t="n"/>
      <c r="Y542" s="312" t="n"/>
    </row>
    <row r="543" ht="15.5" customHeight="1">
      <c r="B543" s="313" t="n"/>
      <c r="C543" s="336" t="n"/>
      <c r="D543" s="314" t="inlineStr">
        <is>
          <t>Biaya Operasi</t>
        </is>
      </c>
      <c r="E543" s="315" t="n"/>
      <c r="F543" s="316" t="n"/>
      <c r="G543" s="278" t="n"/>
      <c r="H543" s="319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285" t="n"/>
      <c r="S543" s="285" t="n"/>
      <c r="T543" s="285" t="n"/>
      <c r="U543" s="285" t="n"/>
      <c r="V543" s="285" t="n"/>
      <c r="W543" s="285" t="n"/>
      <c r="X543" s="285" t="n"/>
      <c r="Y543" s="285" t="n"/>
    </row>
    <row r="544" ht="15.5" customHeight="1">
      <c r="B544" s="286" t="n">
        <v>45622</v>
      </c>
      <c r="C544" s="278" t="n">
        <v>400</v>
      </c>
      <c r="D544" s="280" t="inlineStr">
        <is>
          <t>Basic Sea Survival</t>
        </is>
      </c>
      <c r="E544" s="280" t="inlineStr">
        <is>
          <t>-</t>
        </is>
      </c>
      <c r="F544" s="287" t="n">
        <v>2700000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2700000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Damn Coffe - PT Lautan Tenang Jaya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PT Lautan Tenang Jaya - Stasiun MRT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Gojek ( Stasiun Sudimara - Home )</t>
        </is>
      </c>
      <c r="E547" s="280" t="inlineStr">
        <is>
          <t>-</t>
        </is>
      </c>
      <c r="F547" s="287" t="n">
        <v>15000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15000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MRT ( Lebak Bulus - Duku Atas )</t>
        </is>
      </c>
      <c r="E548" s="280" t="inlineStr">
        <is>
          <t>-</t>
        </is>
      </c>
      <c r="F548" s="287" t="n">
        <v>14000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14000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286" t="n">
        <v>45622</v>
      </c>
      <c r="C549" s="278" t="n">
        <v>405</v>
      </c>
      <c r="D549" s="280" t="inlineStr">
        <is>
          <t>KRL ( Duku Atas - Sudimara )</t>
        </is>
      </c>
      <c r="E549" s="280" t="inlineStr">
        <is>
          <t>-</t>
        </is>
      </c>
      <c r="F549" s="287" t="n">
        <v>3000</v>
      </c>
      <c r="G549" s="282" t="inlineStr">
        <is>
          <t>IDR</t>
        </is>
      </c>
      <c r="H549" s="288" t="n">
        <v>1</v>
      </c>
      <c r="I549" s="289" t="n"/>
      <c r="J549" s="289" t="n"/>
      <c r="K549" s="290" t="n"/>
      <c r="L549" s="291" t="n">
        <v>3000</v>
      </c>
      <c r="M549" s="280" t="n"/>
      <c r="N549" s="280" t="n"/>
      <c r="O549" s="280" t="n"/>
      <c r="P549" s="280" t="n"/>
      <c r="Q549" s="280" t="n"/>
      <c r="R549" s="292" t="n"/>
      <c r="S549" s="292" t="n"/>
      <c r="T549" s="292" t="n"/>
      <c r="U549" s="292" t="n"/>
      <c r="V549" s="292" t="n"/>
      <c r="W549" s="292" t="n"/>
      <c r="X549" s="292" t="n"/>
      <c r="Y549" s="292" t="n"/>
    </row>
    <row r="550" ht="15.5" customHeight="1">
      <c r="B550" s="304" t="inlineStr">
        <is>
          <t>Expense#40</t>
        </is>
      </c>
      <c r="C550" s="305" t="inlineStr">
        <is>
          <t>:</t>
        </is>
      </c>
      <c r="D550" s="306" t="inlineStr">
        <is>
          <t>Non trip 1st - project _ Pety cash 1st - YY</t>
        </is>
      </c>
      <c r="E550" s="307" t="n"/>
      <c r="F550" s="325" t="n"/>
      <c r="G550" s="305" t="n"/>
      <c r="H550" s="305" t="n"/>
      <c r="I550" s="309" t="n"/>
      <c r="J550" s="311" t="n"/>
      <c r="K550" s="311" t="n"/>
      <c r="L550" s="311" t="n"/>
      <c r="M550" s="311" t="n"/>
      <c r="N550" s="309" t="n"/>
      <c r="O550" s="311" t="n"/>
      <c r="P550" s="311" t="n"/>
      <c r="Q550" s="311" t="n"/>
      <c r="R550" s="312" t="n"/>
      <c r="S550" s="312" t="n"/>
      <c r="T550" s="312" t="n"/>
      <c r="U550" s="312" t="n"/>
      <c r="V550" s="312" t="n"/>
      <c r="W550" s="312" t="n"/>
      <c r="X550" s="312" t="n"/>
      <c r="Y550" s="312" t="n"/>
    </row>
    <row r="551" ht="15.5" customHeight="1">
      <c r="B551" s="313" t="n"/>
      <c r="C551" s="278" t="n"/>
      <c r="D551" s="314" t="inlineStr">
        <is>
          <t>Administrasi</t>
        </is>
      </c>
      <c r="E551" s="315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  <c r="R551" s="285" t="n"/>
      <c r="S551" s="285" t="n"/>
      <c r="T551" s="285" t="n"/>
      <c r="U551" s="285" t="n"/>
      <c r="V551" s="285" t="n"/>
      <c r="W551" s="285" t="n"/>
      <c r="X551" s="285" t="n"/>
      <c r="Y551" s="285" t="n"/>
    </row>
    <row r="552" ht="15.5" customHeight="1">
      <c r="B552" s="286" t="n">
        <v>45572</v>
      </c>
      <c r="C552" s="278" t="n">
        <v>406</v>
      </c>
      <c r="D552" s="280" t="inlineStr">
        <is>
          <t>Materai 6 pcs</t>
        </is>
      </c>
      <c r="E552" s="280" t="inlineStr">
        <is>
          <t>-</t>
        </is>
      </c>
      <c r="F552" s="287" t="n">
        <v>62000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62000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45579</v>
      </c>
      <c r="C553" s="278" t="n">
        <v>407</v>
      </c>
      <c r="D553" s="280" t="inlineStr">
        <is>
          <t>Materai 10 pcs</t>
        </is>
      </c>
      <c r="E553" s="280" t="inlineStr">
        <is>
          <t>-</t>
        </is>
      </c>
      <c r="F553" s="287" t="n">
        <v>103000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103000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45582</v>
      </c>
      <c r="C554" s="278" t="n">
        <v>408</v>
      </c>
      <c r="D554" s="280" t="inlineStr">
        <is>
          <t>Materai 5 pcs</t>
        </is>
      </c>
      <c r="E554" s="280" t="inlineStr">
        <is>
          <t>-</t>
        </is>
      </c>
      <c r="F554" s="287" t="n">
        <v>55000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55000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286" t="n">
        <v>45617</v>
      </c>
      <c r="C555" s="278" t="n">
        <v>409</v>
      </c>
      <c r="D555" s="280" t="inlineStr">
        <is>
          <t>Materai 10 pcs</t>
        </is>
      </c>
      <c r="E555" s="280" t="inlineStr">
        <is>
          <t>-</t>
        </is>
      </c>
      <c r="F555" s="287" t="n">
        <v>103000</v>
      </c>
      <c r="G555" s="282" t="inlineStr">
        <is>
          <t>IDR</t>
        </is>
      </c>
      <c r="H555" s="288" t="n">
        <v>1</v>
      </c>
      <c r="I555" s="289" t="n"/>
      <c r="J555" s="289" t="n"/>
      <c r="K555" s="290" t="n"/>
      <c r="L555" s="280" t="n"/>
      <c r="M555" s="280" t="n"/>
      <c r="N555" s="291" t="n">
        <v>103000</v>
      </c>
      <c r="O555" s="280" t="n"/>
      <c r="P555" s="280" t="n"/>
      <c r="Q555" s="280" t="n"/>
      <c r="R555" s="292" t="n"/>
      <c r="S555" s="292" t="n"/>
      <c r="T555" s="292" t="n"/>
      <c r="U555" s="292" t="n"/>
      <c r="V555" s="292" t="n"/>
      <c r="W555" s="292" t="n"/>
      <c r="X555" s="292" t="n"/>
      <c r="Y555" s="292" t="n"/>
    </row>
    <row r="556" ht="15.5" customHeight="1">
      <c r="B556" s="313" t="n"/>
      <c r="C556" s="278" t="n"/>
      <c r="D556" s="314" t="inlineStr">
        <is>
          <t>Biaya Operasi</t>
        </is>
      </c>
      <c r="E556" s="320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285" t="n"/>
      <c r="S556" s="285" t="n"/>
      <c r="T556" s="285" t="n"/>
      <c r="U556" s="285" t="n"/>
      <c r="V556" s="285" t="n"/>
      <c r="W556" s="285" t="n"/>
      <c r="X556" s="285" t="n"/>
      <c r="Y556" s="285" t="n"/>
    </row>
    <row r="557" ht="15.5" customHeight="1">
      <c r="B557" s="286" t="n">
        <v>45555</v>
      </c>
      <c r="C557" s="278" t="n">
        <v>410</v>
      </c>
      <c r="D557" s="280" t="inlineStr">
        <is>
          <t>JNE courier</t>
        </is>
      </c>
      <c r="E557" s="280" t="inlineStr">
        <is>
          <t>-</t>
        </is>
      </c>
      <c r="F557" s="287" t="n">
        <v>18000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18000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45560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8000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8000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45574</v>
      </c>
      <c r="C559" s="278" t="n">
        <v>412</v>
      </c>
      <c r="D559" s="280" t="inlineStr">
        <is>
          <t>POS courier</t>
        </is>
      </c>
      <c r="E559" s="280" t="inlineStr">
        <is>
          <t>-</t>
        </is>
      </c>
      <c r="F559" s="287" t="n">
        <v>15000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15000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JNE courier</t>
        </is>
      </c>
      <c r="E560" s="280" t="inlineStr">
        <is>
          <t>-</t>
        </is>
      </c>
      <c r="F560" s="287" t="n">
        <v>10000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10000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GoCar to Elnusa PP</t>
        </is>
      </c>
      <c r="E561" s="280" t="inlineStr">
        <is>
          <t>-</t>
        </is>
      </c>
      <c r="F561" s="287" t="n">
        <v>275000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275000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45579</v>
      </c>
      <c r="C562" s="278" t="n">
        <v>415</v>
      </c>
      <c r="D562" s="280" t="inlineStr">
        <is>
          <t>Tol &amp; parking fee</t>
        </is>
      </c>
      <c r="E562" s="280" t="inlineStr">
        <is>
          <t>-</t>
        </is>
      </c>
      <c r="F562" s="287" t="n">
        <v>31500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31500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GoCar to Elnusa PP</t>
        </is>
      </c>
      <c r="E563" s="280" t="inlineStr">
        <is>
          <t>-</t>
        </is>
      </c>
      <c r="F563" s="287" t="n">
        <v>266000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266000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45582</v>
      </c>
      <c r="C564" s="278" t="n">
        <v>417</v>
      </c>
      <c r="D564" s="280" t="inlineStr">
        <is>
          <t>Tol &amp; parking fee</t>
        </is>
      </c>
      <c r="E564" s="280" t="inlineStr">
        <is>
          <t>-</t>
        </is>
      </c>
      <c r="F564" s="287" t="n">
        <v>53500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53500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GoCar to Elnusa PP</t>
        </is>
      </c>
      <c r="E565" s="280" t="inlineStr">
        <is>
          <t>-</t>
        </is>
      </c>
      <c r="F565" s="287" t="n">
        <v>269000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269000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45617</v>
      </c>
      <c r="C566" s="278" t="n">
        <v>419</v>
      </c>
      <c r="D566" s="280" t="inlineStr">
        <is>
          <t>Tol &amp; parking fee</t>
        </is>
      </c>
      <c r="E566" s="280" t="inlineStr">
        <is>
          <t>-</t>
        </is>
      </c>
      <c r="F566" s="287" t="n">
        <v>43450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43450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GoCar to Elnusa PP</t>
        </is>
      </c>
      <c r="E567" s="280" t="inlineStr">
        <is>
          <t>-</t>
        </is>
      </c>
      <c r="F567" s="287" t="n">
        <v>290000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290000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286" t="n">
        <v>45636</v>
      </c>
      <c r="C568" s="278" t="n">
        <v>421</v>
      </c>
      <c r="D568" s="280" t="inlineStr">
        <is>
          <t>Tol &amp; parking fee</t>
        </is>
      </c>
      <c r="E568" s="280" t="inlineStr">
        <is>
          <t>-</t>
        </is>
      </c>
      <c r="F568" s="287" t="n">
        <v>48500</v>
      </c>
      <c r="G568" s="282" t="inlineStr">
        <is>
          <t>IDR</t>
        </is>
      </c>
      <c r="H568" s="288" t="n">
        <v>1</v>
      </c>
      <c r="I568" s="289" t="n"/>
      <c r="J568" s="289" t="n"/>
      <c r="K568" s="290" t="n"/>
      <c r="L568" s="291" t="n">
        <v>48500</v>
      </c>
      <c r="M568" s="280" t="n"/>
      <c r="N568" s="280" t="n"/>
      <c r="O568" s="280" t="n"/>
      <c r="P568" s="280" t="n"/>
      <c r="Q568" s="280" t="n"/>
      <c r="R568" s="292" t="n"/>
      <c r="S568" s="292" t="n"/>
      <c r="T568" s="292" t="n"/>
      <c r="U568" s="292" t="n"/>
      <c r="V568" s="292" t="n"/>
      <c r="W568" s="292" t="n"/>
      <c r="X568" s="292" t="n"/>
      <c r="Y568" s="292" t="n"/>
    </row>
    <row r="569" ht="15.5" customHeight="1">
      <c r="B569" s="332" t="inlineStr">
        <is>
          <t>Expense#41</t>
        </is>
      </c>
      <c r="C569" s="305" t="inlineStr">
        <is>
          <t>:</t>
        </is>
      </c>
      <c r="D569" s="306" t="inlineStr">
        <is>
          <t>Starlink Kit_DS</t>
        </is>
      </c>
      <c r="E569" s="307" t="n"/>
      <c r="F569" s="325" t="n"/>
      <c r="G569" s="326" t="n"/>
      <c r="H569" s="326" t="n"/>
      <c r="I569" s="309" t="n"/>
      <c r="J569" s="311" t="n"/>
      <c r="K569" s="311" t="n"/>
      <c r="L569" s="311" t="n"/>
      <c r="M569" s="311" t="n"/>
      <c r="N569" s="311" t="n"/>
      <c r="O569" s="311" t="n"/>
      <c r="P569" s="310" t="n"/>
      <c r="Q569" s="311" t="n"/>
      <c r="R569" s="312" t="n"/>
      <c r="S569" s="312" t="n"/>
      <c r="T569" s="312" t="n"/>
      <c r="U569" s="312" t="n"/>
      <c r="V569" s="312" t="n"/>
      <c r="W569" s="312" t="n"/>
      <c r="X569" s="312" t="n"/>
      <c r="Y569" s="312" t="n"/>
    </row>
    <row r="570" ht="15.5" customHeight="1">
      <c r="B570" s="277" t="n"/>
      <c r="C570" s="278" t="n"/>
      <c r="D570" s="314" t="inlineStr">
        <is>
          <t>Pembelian Barang</t>
        </is>
      </c>
      <c r="E570" s="315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285" t="n"/>
      <c r="S570" s="285" t="n"/>
      <c r="T570" s="285" t="n"/>
      <c r="U570" s="285" t="n"/>
      <c r="V570" s="285" t="n"/>
      <c r="W570" s="285" t="n"/>
      <c r="X570" s="285" t="n"/>
      <c r="Y570" s="285" t="n"/>
    </row>
    <row r="571" ht="15.5" customHeight="1">
      <c r="B571" s="286" t="n">
        <v>45607</v>
      </c>
      <c r="C571" s="278" t="n">
        <v>422</v>
      </c>
      <c r="D571" s="280" t="inlineStr">
        <is>
          <t>Starlink Kit</t>
        </is>
      </c>
      <c r="E571" s="280" t="inlineStr">
        <is>
          <t>-</t>
        </is>
      </c>
      <c r="F571" s="287" t="n">
        <v>5583200</v>
      </c>
      <c r="G571" s="282" t="inlineStr">
        <is>
          <t>IDR</t>
        </is>
      </c>
      <c r="H571" s="288" t="n">
        <v>1</v>
      </c>
      <c r="I571" s="289" t="n"/>
      <c r="J571" s="289" t="n"/>
      <c r="K571" s="290" t="n"/>
      <c r="L571" s="280" t="n"/>
      <c r="M571" s="280" t="n"/>
      <c r="N571" s="280" t="n"/>
      <c r="O571" s="291" t="n">
        <v>5583200</v>
      </c>
      <c r="P571" s="280" t="n"/>
      <c r="Q571" s="280" t="n"/>
      <c r="R571" s="292" t="n"/>
      <c r="S571" s="292" t="n"/>
      <c r="T571" s="292" t="n"/>
      <c r="U571" s="292" t="n"/>
      <c r="V571" s="292" t="n"/>
      <c r="W571" s="292" t="n"/>
      <c r="X571" s="292" t="n"/>
      <c r="Y571" s="292" t="n"/>
    </row>
    <row r="572" ht="15.5" customHeight="1">
      <c r="B572" s="346" t="inlineStr">
        <is>
          <t>Expense#42</t>
        </is>
      </c>
      <c r="C572" s="347" t="inlineStr">
        <is>
          <t>:</t>
        </is>
      </c>
      <c r="D572" s="348" t="inlineStr">
        <is>
          <t>Pelican Case 1650 TMA</t>
        </is>
      </c>
      <c r="E572" s="349" t="n"/>
      <c r="F572" s="325" t="n"/>
      <c r="G572" s="326" t="n"/>
      <c r="H572" s="326" t="n"/>
      <c r="I572" s="311" t="n"/>
      <c r="J572" s="311" t="n"/>
      <c r="K572" s="311" t="n"/>
      <c r="L572" s="311" t="n"/>
      <c r="M572" s="311" t="n"/>
      <c r="N572" s="311" t="n"/>
      <c r="O572" s="311" t="n"/>
      <c r="P572" s="311" t="n"/>
      <c r="Q572" s="311" t="n"/>
      <c r="R572" s="312" t="n"/>
      <c r="S572" s="312" t="n"/>
      <c r="T572" s="312" t="n"/>
      <c r="U572" s="312" t="n"/>
      <c r="V572" s="312" t="n"/>
      <c r="W572" s="312" t="n"/>
      <c r="X572" s="312" t="n"/>
      <c r="Y572" s="312" t="n"/>
    </row>
    <row r="573" ht="15.5" customHeight="1">
      <c r="B573" s="313" t="n"/>
      <c r="C573" s="278" t="n"/>
      <c r="D573" s="314" t="inlineStr">
        <is>
          <t>Pembelian Barang</t>
        </is>
      </c>
      <c r="E573" s="315" t="n"/>
      <c r="F573" s="281" t="n"/>
      <c r="G573" s="280" t="n"/>
      <c r="H573" s="280" t="n"/>
      <c r="I573" s="283" t="n"/>
      <c r="J573" s="279" t="n"/>
      <c r="K573" s="279" t="n"/>
      <c r="L573" s="279" t="n"/>
      <c r="M573" s="279" t="n"/>
      <c r="N573" s="279" t="n"/>
      <c r="O573" s="279" t="n"/>
      <c r="P573" s="279" t="n"/>
      <c r="Q573" s="279" t="n"/>
      <c r="R573" s="285" t="n"/>
      <c r="S573" s="285" t="n"/>
      <c r="T573" s="285" t="n"/>
      <c r="U573" s="285" t="n"/>
      <c r="V573" s="285" t="n"/>
      <c r="W573" s="285" t="n"/>
      <c r="X573" s="285" t="n"/>
      <c r="Y573" s="285" t="n"/>
    </row>
    <row r="574" ht="15.5" customHeight="1">
      <c r="B574" s="286" t="n">
        <v>45640</v>
      </c>
      <c r="C574" s="278" t="n">
        <v>423</v>
      </c>
      <c r="D574" s="280" t="inlineStr">
        <is>
          <t>Pelican Case 1650</t>
        </is>
      </c>
      <c r="E574" s="280" t="inlineStr">
        <is>
          <t>-</t>
        </is>
      </c>
      <c r="F574" s="287" t="n">
        <v>8156000</v>
      </c>
      <c r="G574" s="282" t="inlineStr">
        <is>
          <t>IDR</t>
        </is>
      </c>
      <c r="H574" s="288" t="n">
        <v>1</v>
      </c>
      <c r="I574" s="289" t="n"/>
      <c r="J574" s="289" t="n"/>
      <c r="K574" s="290" t="n"/>
      <c r="L574" s="280" t="n"/>
      <c r="M574" s="280" t="n"/>
      <c r="N574" s="280" t="n"/>
      <c r="O574" s="291" t="n">
        <v>8156000</v>
      </c>
      <c r="P574" s="280" t="n"/>
      <c r="Q574" s="280" t="n"/>
      <c r="R574" s="292" t="n"/>
      <c r="S574" s="292" t="n"/>
      <c r="T574" s="292" t="n"/>
      <c r="U574" s="292" t="n"/>
      <c r="V574" s="292" t="n"/>
      <c r="W574" s="292" t="n"/>
      <c r="X574" s="292" t="n"/>
      <c r="Y574" s="292" t="n"/>
    </row>
    <row r="575" ht="15.5" customHeight="1">
      <c r="B575" s="304" t="inlineStr">
        <is>
          <t>Expense#43</t>
        </is>
      </c>
      <c r="C575" s="305" t="inlineStr">
        <is>
          <t>:</t>
        </is>
      </c>
      <c r="D575" s="306" t="inlineStr">
        <is>
          <t>Non trip 3rd (follow up MCU concul &amp; visit KPP and Graha Elnusa)_AC</t>
        </is>
      </c>
      <c r="E575" s="307" t="n"/>
      <c r="F575" s="325" t="n"/>
      <c r="G575" s="326" t="n"/>
      <c r="H575" s="326" t="n"/>
      <c r="I575" s="309" t="n"/>
      <c r="J575" s="311" t="n"/>
      <c r="K575" s="311" t="n"/>
      <c r="L575" s="311" t="n"/>
      <c r="M575" s="311" t="n"/>
      <c r="N575" s="311" t="n"/>
      <c r="O575" s="311" t="n"/>
      <c r="P575" s="311" t="n"/>
      <c r="Q575" s="311" t="n"/>
      <c r="R575" s="312" t="n"/>
      <c r="S575" s="312" t="n"/>
      <c r="T575" s="312" t="n"/>
      <c r="U575" s="312" t="n"/>
      <c r="V575" s="312" t="n"/>
      <c r="W575" s="312" t="n"/>
      <c r="X575" s="312" t="n"/>
      <c r="Y575" s="312" t="n"/>
    </row>
    <row r="576" ht="15.5" customHeight="1">
      <c r="B576" s="313" t="n"/>
      <c r="C576" s="278" t="n"/>
      <c r="D576" s="314" t="inlineStr">
        <is>
          <t>Biaya Operasi</t>
        </is>
      </c>
      <c r="E576" s="315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285" t="n"/>
      <c r="S576" s="285" t="n"/>
      <c r="T576" s="285" t="n"/>
      <c r="U576" s="285" t="n"/>
      <c r="V576" s="285" t="n"/>
      <c r="W576" s="285" t="n"/>
      <c r="X576" s="285" t="n"/>
      <c r="Y576" s="285" t="n"/>
    </row>
    <row r="577" ht="15.5" customHeight="1">
      <c r="B577" s="286" t="n">
        <v>45607</v>
      </c>
      <c r="C577" s="278" t="n">
        <v>424</v>
      </c>
      <c r="D577" s="280" t="inlineStr">
        <is>
          <t>Fuel diesel visit consul to KPP pajak</t>
        </is>
      </c>
      <c r="E577" s="280" t="inlineStr">
        <is>
          <t>-</t>
        </is>
      </c>
      <c r="F577" s="287" t="n">
        <v>276216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276216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45607</v>
      </c>
      <c r="C578" s="278" t="n">
        <v>425</v>
      </c>
      <c r="D578" s="280" t="inlineStr">
        <is>
          <t>toll gate</t>
        </is>
      </c>
      <c r="E578" s="280" t="inlineStr">
        <is>
          <t>-</t>
        </is>
      </c>
      <c r="F578" s="287" t="n">
        <v>79500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79500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Parkir Graha Elnusa (HSE tool hall meeting) at Elnusa (graha Elnusa)</t>
        </is>
      </c>
      <c r="E579" s="280" t="inlineStr">
        <is>
          <t>-</t>
        </is>
      </c>
      <c r="F579" s="287" t="n">
        <v>29000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29000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45622</v>
      </c>
      <c r="C580" s="278" t="n">
        <v>427</v>
      </c>
      <c r="D580" s="280" t="inlineStr">
        <is>
          <t>toll gate</t>
        </is>
      </c>
      <c r="E580" s="280" t="inlineStr">
        <is>
          <t>-</t>
        </is>
      </c>
      <c r="F580" s="287" t="n">
        <v>17000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17000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Taksi,take Document from Loket Graha Elnusa</t>
        </is>
      </c>
      <c r="E581" s="280" t="inlineStr">
        <is>
          <t>-</t>
        </is>
      </c>
      <c r="F581" s="287" t="n">
        <v>155680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155680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286" t="n">
        <v>45636</v>
      </c>
      <c r="C582" s="278" t="n">
        <v>429</v>
      </c>
      <c r="D582" s="280" t="inlineStr">
        <is>
          <t>Parkir Graha Elnusa (antar dokemen invoice)</t>
        </is>
      </c>
      <c r="E582" s="280" t="inlineStr">
        <is>
          <t>-</t>
        </is>
      </c>
      <c r="F582" s="287" t="n">
        <v>17000</v>
      </c>
      <c r="G582" s="282" t="inlineStr">
        <is>
          <t>IDR</t>
        </is>
      </c>
      <c r="H582" s="288" t="n">
        <v>1</v>
      </c>
      <c r="I582" s="289" t="n"/>
      <c r="J582" s="289" t="n"/>
      <c r="K582" s="290" t="n"/>
      <c r="L582" s="291" t="n">
        <v>17000</v>
      </c>
      <c r="M582" s="280" t="n"/>
      <c r="N582" s="280" t="n"/>
      <c r="O582" s="280" t="n"/>
      <c r="P582" s="280" t="n"/>
      <c r="Q582" s="280" t="n"/>
      <c r="R582" s="292" t="n"/>
      <c r="S582" s="292" t="n"/>
      <c r="T582" s="292" t="n"/>
      <c r="U582" s="292" t="n"/>
      <c r="V582" s="292" t="n"/>
      <c r="W582" s="292" t="n"/>
      <c r="X582" s="292" t="n"/>
      <c r="Y582" s="292" t="n"/>
    </row>
    <row r="583" ht="15.5" customHeight="1">
      <c r="B583" s="279" t="n"/>
      <c r="C583" s="321" t="n"/>
      <c r="D583" s="322" t="inlineStr">
        <is>
          <t>Kesehatan</t>
        </is>
      </c>
      <c r="E583" s="323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  <c r="R583" s="285" t="n"/>
      <c r="S583" s="285" t="n"/>
      <c r="T583" s="285" t="n"/>
      <c r="U583" s="285" t="n"/>
      <c r="V583" s="285" t="n"/>
      <c r="W583" s="285" t="n"/>
      <c r="X583" s="285" t="n"/>
      <c r="Y583" s="285" t="n"/>
    </row>
    <row r="584" ht="15.5" customHeight="1">
      <c r="B584" s="286" t="n">
        <v>45596</v>
      </c>
      <c r="C584" s="278" t="n">
        <v>430</v>
      </c>
      <c r="D584" s="280" t="inlineStr">
        <is>
          <t>Medicine lanjutan</t>
        </is>
      </c>
      <c r="E584" s="280" t="inlineStr">
        <is>
          <t>-</t>
        </is>
      </c>
      <c r="F584" s="287" t="n">
        <v>604000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604000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Kulit a/n Diofavian</t>
        </is>
      </c>
      <c r="E585" s="280" t="inlineStr">
        <is>
          <t>-</t>
        </is>
      </c>
      <c r="F585" s="287" t="n">
        <v>1582141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1582141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Biaya Konsul Dokter mata a/n Eva linda</t>
        </is>
      </c>
      <c r="E586" s="280" t="inlineStr">
        <is>
          <t>-</t>
        </is>
      </c>
      <c r="F586" s="287" t="n">
        <v>970767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970767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157000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157000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45627</v>
      </c>
      <c r="C588" s="278" t="n">
        <v>434</v>
      </c>
      <c r="D588" s="280" t="inlineStr">
        <is>
          <t>Medicine lanjutan</t>
        </is>
      </c>
      <c r="E588" s="280" t="inlineStr">
        <is>
          <t>-</t>
        </is>
      </c>
      <c r="F588" s="287" t="n">
        <v>152000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152000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Biaya Konsul Dokter Jantung 3rdPenyakit dalam</t>
        </is>
      </c>
      <c r="E589" s="280" t="inlineStr">
        <is>
          <t>-</t>
        </is>
      </c>
      <c r="F589" s="287" t="n">
        <v>799000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799000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45628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190309.5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190309.5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286" t="n">
        <v>45637</v>
      </c>
      <c r="C591" s="278" t="n">
        <v>437</v>
      </c>
      <c r="D591" s="280" t="inlineStr">
        <is>
          <t>Medicine after konsul jantung 3rd</t>
        </is>
      </c>
      <c r="E591" s="280" t="inlineStr">
        <is>
          <t>-</t>
        </is>
      </c>
      <c r="F591" s="287" t="n">
        <v>417600</v>
      </c>
      <c r="G591" s="282" t="inlineStr">
        <is>
          <t>IDR</t>
        </is>
      </c>
      <c r="H591" s="288" t="n">
        <v>1</v>
      </c>
      <c r="I591" s="289" t="n"/>
      <c r="J591" s="289" t="n"/>
      <c r="K591" s="290" t="n"/>
      <c r="L591" s="280" t="n"/>
      <c r="M591" s="280" t="n"/>
      <c r="N591" s="280" t="n"/>
      <c r="O591" s="280" t="n"/>
      <c r="P591" s="280" t="n"/>
      <c r="Q591" s="291" t="n">
        <v>417600</v>
      </c>
      <c r="R591" s="292" t="n"/>
      <c r="S591" s="292" t="n"/>
      <c r="T591" s="292" t="n"/>
      <c r="U591" s="292" t="n"/>
      <c r="V591" s="292" t="n"/>
      <c r="W591" s="292" t="n"/>
      <c r="X591" s="292" t="n"/>
      <c r="Y591" s="292" t="n"/>
    </row>
    <row r="592" ht="15.5" customHeight="1">
      <c r="B592" s="332" t="inlineStr">
        <is>
          <t>Expense#44</t>
        </is>
      </c>
      <c r="C592" s="305" t="inlineStr">
        <is>
          <t>:</t>
        </is>
      </c>
      <c r="D592" s="306" t="inlineStr">
        <is>
          <t>Meeting presentasi With Elnusa - Bandung &amp;Pembelian Sparepart dari Pei-Genesis.</t>
        </is>
      </c>
      <c r="E592" s="326" t="n"/>
      <c r="F592" s="325" t="n"/>
      <c r="G592" s="305" t="n"/>
      <c r="H592" s="305" t="n"/>
      <c r="I592" s="311" t="n"/>
      <c r="J592" s="311" t="n"/>
      <c r="K592" s="311" t="n"/>
      <c r="L592" s="311" t="n"/>
      <c r="M592" s="311" t="n"/>
      <c r="N592" s="311" t="n"/>
      <c r="O592" s="311" t="n"/>
      <c r="P592" s="310" t="n"/>
      <c r="Q592" s="311" t="n"/>
      <c r="R592" s="312" t="n"/>
      <c r="S592" s="312" t="n"/>
      <c r="T592" s="312" t="n"/>
      <c r="U592" s="312" t="n"/>
      <c r="V592" s="312" t="n"/>
      <c r="W592" s="312" t="n"/>
      <c r="X592" s="312" t="n"/>
      <c r="Y592" s="312" t="n"/>
    </row>
    <row r="593" ht="15.5" customHeight="1">
      <c r="B593" s="277" t="n"/>
      <c r="C593" s="278" t="n"/>
      <c r="D593" s="314" t="inlineStr">
        <is>
          <t>Administrasi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285" t="n"/>
      <c r="S593" s="285" t="n"/>
      <c r="T593" s="285" t="n"/>
      <c r="U593" s="285" t="n"/>
      <c r="V593" s="285" t="n"/>
      <c r="W593" s="285" t="n"/>
      <c r="X593" s="285" t="n"/>
      <c r="Y593" s="285" t="n"/>
    </row>
    <row r="594" ht="15.5" customHeight="1">
      <c r="B594" s="286" t="n">
        <v>45650</v>
      </c>
      <c r="C594" s="278" t="n">
        <v>438</v>
      </c>
      <c r="D594" s="280" t="inlineStr">
        <is>
          <t>payment for hotel Grand Dafam and</t>
        </is>
      </c>
      <c r="E594" s="280" t="inlineStr">
        <is>
          <t>-</t>
        </is>
      </c>
      <c r="F594" s="287" t="n">
        <v>4913283</v>
      </c>
      <c r="G594" s="282" t="inlineStr">
        <is>
          <t>IDR</t>
        </is>
      </c>
      <c r="H594" s="288" t="n">
        <v>1</v>
      </c>
      <c r="I594" s="289" t="n"/>
      <c r="J594" s="289" t="n"/>
      <c r="K594" s="290" t="n"/>
      <c r="L594" s="280" t="n"/>
      <c r="M594" s="280" t="n"/>
      <c r="N594" s="291" t="n">
        <v>4913283</v>
      </c>
      <c r="O594" s="280" t="n"/>
      <c r="P594" s="280" t="n"/>
      <c r="Q594" s="280" t="n"/>
      <c r="R594" s="292" t="n"/>
      <c r="S594" s="292" t="n"/>
      <c r="T594" s="292" t="n"/>
      <c r="U594" s="292" t="n"/>
      <c r="V594" s="292" t="n"/>
      <c r="W594" s="292" t="n"/>
      <c r="X594" s="292" t="n"/>
      <c r="Y594" s="292" t="n"/>
    </row>
    <row r="595" ht="15.5" customHeight="1">
      <c r="B595" s="313" t="n"/>
      <c r="C595" s="278" t="n"/>
      <c r="D595" s="314" t="inlineStr">
        <is>
          <t>Biaya Operasi</t>
        </is>
      </c>
      <c r="E595" s="315" t="n"/>
      <c r="F595" s="281" t="n"/>
      <c r="G595" s="278" t="n"/>
      <c r="H595" s="278" t="n"/>
      <c r="I595" s="283" t="n"/>
      <c r="J595" s="279" t="n"/>
      <c r="K595" s="279" t="n"/>
      <c r="L595" s="279" t="n"/>
      <c r="M595" s="279" t="n"/>
      <c r="N595" s="279" t="n"/>
      <c r="O595" s="279" t="n"/>
      <c r="P595" s="279" t="n"/>
      <c r="Q595" s="279" t="n"/>
      <c r="R595" s="285" t="n"/>
      <c r="S595" s="285" t="n"/>
      <c r="T595" s="285" t="n"/>
      <c r="U595" s="285" t="n"/>
      <c r="V595" s="285" t="n"/>
      <c r="W595" s="285" t="n"/>
      <c r="X595" s="285" t="n"/>
      <c r="Y595" s="285" t="n"/>
    </row>
    <row r="596" ht="15.5" customHeight="1">
      <c r="B596" s="286" t="n">
        <v>45646</v>
      </c>
      <c r="C596" s="278" t="n">
        <v>439</v>
      </c>
      <c r="D596" s="280" t="inlineStr">
        <is>
          <t>Traveling Jakarta - Bandung</t>
        </is>
      </c>
      <c r="E596" s="280" t="inlineStr">
        <is>
          <t>-</t>
        </is>
      </c>
      <c r="F596" s="287" t="n">
        <v>160000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160000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45646</v>
      </c>
      <c r="C597" s="278" t="n">
        <v>440</v>
      </c>
      <c r="D597" s="280" t="inlineStr">
        <is>
          <t>Meal</t>
        </is>
      </c>
      <c r="E597" s="280" t="inlineStr">
        <is>
          <t>-</t>
        </is>
      </c>
      <c r="F597" s="287" t="n">
        <v>195585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195585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Taksi around the Bandung city for 2 days</t>
        </is>
      </c>
      <c r="E598" s="280" t="inlineStr">
        <is>
          <t>-</t>
        </is>
      </c>
      <c r="F598" s="287" t="n">
        <v>200000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200000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Traveling Bandung - Jakarta</t>
        </is>
      </c>
      <c r="E599" s="280" t="inlineStr">
        <is>
          <t>-</t>
        </is>
      </c>
      <c r="F599" s="287" t="n">
        <v>160000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160000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286" t="n">
        <v>45647</v>
      </c>
      <c r="C600" s="278" t="n">
        <v>443</v>
      </c>
      <c r="D600" s="280" t="inlineStr">
        <is>
          <t>Meal</t>
        </is>
      </c>
      <c r="E600" s="280" t="inlineStr">
        <is>
          <t>-</t>
        </is>
      </c>
      <c r="F600" s="287" t="n">
        <v>299900</v>
      </c>
      <c r="G600" s="282" t="inlineStr">
        <is>
          <t>IDR</t>
        </is>
      </c>
      <c r="H600" s="288" t="n">
        <v>1</v>
      </c>
      <c r="I600" s="289" t="n"/>
      <c r="J600" s="289" t="n"/>
      <c r="K600" s="290" t="n"/>
      <c r="L600" s="291" t="n">
        <v>299900</v>
      </c>
      <c r="M600" s="280" t="n"/>
      <c r="N600" s="280" t="n"/>
      <c r="O600" s="280" t="n"/>
      <c r="P600" s="280" t="n"/>
      <c r="Q600" s="280" t="n"/>
      <c r="R600" s="292" t="n"/>
      <c r="S600" s="292" t="n"/>
      <c r="T600" s="292" t="n"/>
      <c r="U600" s="292" t="n"/>
      <c r="V600" s="292" t="n"/>
      <c r="W600" s="292" t="n"/>
      <c r="X600" s="292" t="n"/>
      <c r="Y600" s="292" t="n"/>
    </row>
    <row r="601" ht="15.5" customHeight="1">
      <c r="B601" s="304" t="inlineStr">
        <is>
          <t>Expense#45</t>
        </is>
      </c>
      <c r="C601" s="305" t="inlineStr">
        <is>
          <t>:</t>
        </is>
      </c>
      <c r="D601" s="306" t="inlineStr">
        <is>
          <t>General Operation_Year 2024 - AM</t>
        </is>
      </c>
      <c r="E601" s="318" t="n"/>
      <c r="F601" s="325" t="n"/>
      <c r="G601" s="305" t="n"/>
      <c r="H601" s="305" t="n"/>
      <c r="I601" s="311" t="n"/>
      <c r="J601" s="311" t="n"/>
      <c r="K601" s="311" t="n"/>
      <c r="L601" s="311" t="n"/>
      <c r="M601" s="311" t="n"/>
      <c r="N601" s="311" t="n"/>
      <c r="O601" s="311" t="n"/>
      <c r="P601" s="311" t="n"/>
      <c r="Q601" s="311" t="n"/>
      <c r="R601" s="312" t="n"/>
      <c r="S601" s="312" t="n"/>
      <c r="T601" s="312" t="n"/>
      <c r="U601" s="312" t="n"/>
      <c r="V601" s="312" t="n"/>
      <c r="W601" s="312" t="n"/>
      <c r="X601" s="312" t="n"/>
      <c r="Y601" s="312" t="n"/>
    </row>
    <row r="602" ht="15.5" customHeight="1">
      <c r="B602" s="313" t="n"/>
      <c r="C602" s="278" t="n"/>
      <c r="D602" s="314" t="inlineStr">
        <is>
          <t>Administrasi</t>
        </is>
      </c>
      <c r="E602" s="315" t="n"/>
      <c r="F602" s="281" t="n"/>
      <c r="G602" s="278" t="n"/>
      <c r="H602" s="278" t="n"/>
      <c r="I602" s="284" t="n"/>
      <c r="J602" s="279" t="n"/>
      <c r="K602" s="279" t="n"/>
      <c r="L602" s="279" t="n"/>
      <c r="M602" s="279" t="n"/>
      <c r="N602" s="279" t="n"/>
      <c r="O602" s="279" t="n"/>
      <c r="P602" s="279" t="n"/>
      <c r="Q602" s="279" t="n"/>
      <c r="R602" s="285" t="n"/>
      <c r="S602" s="285" t="n"/>
      <c r="T602" s="285" t="n"/>
      <c r="U602" s="285" t="n"/>
      <c r="V602" s="285" t="n"/>
      <c r="W602" s="285" t="n"/>
      <c r="X602" s="285" t="n"/>
      <c r="Y602" s="285" t="n"/>
    </row>
    <row r="603" ht="15.5" customHeight="1">
      <c r="B603" s="286" t="n">
        <v>45307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45338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45367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45398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286" t="n">
        <v>45428</v>
      </c>
      <c r="C607" s="278" t="n">
        <v>448</v>
      </c>
      <c r="D607" s="280" t="inlineStr">
        <is>
          <t>Google Workspace PT. EWI</t>
        </is>
      </c>
      <c r="E607" s="280" t="inlineStr">
        <is>
          <t>-</t>
        </is>
      </c>
      <c r="F607" s="287" t="n">
        <v>306982</v>
      </c>
      <c r="G607" s="282" t="inlineStr">
        <is>
          <t>IDR</t>
        </is>
      </c>
      <c r="H607" s="288" t="n">
        <v>1</v>
      </c>
      <c r="I607" s="289" t="n"/>
      <c r="J607" s="289" t="n"/>
      <c r="K607" s="290" t="n"/>
      <c r="L607" s="280" t="n"/>
      <c r="M607" s="280" t="n"/>
      <c r="N607" s="291" t="n">
        <v>306982</v>
      </c>
      <c r="O607" s="280" t="n"/>
      <c r="P607" s="280" t="n"/>
      <c r="Q607" s="280" t="n"/>
      <c r="R607" s="292" t="n"/>
      <c r="S607" s="292" t="n"/>
      <c r="T607" s="292" t="n"/>
      <c r="U607" s="292" t="n"/>
      <c r="V607" s="292" t="n"/>
      <c r="W607" s="292" t="n"/>
      <c r="X607" s="292" t="n"/>
      <c r="Y607" s="292" t="n"/>
    </row>
    <row r="608" ht="15.5" customHeight="1">
      <c r="B608" s="313" t="n"/>
      <c r="C608" s="278" t="n"/>
      <c r="D608" s="314" t="inlineStr">
        <is>
          <t>Biaya Operasi</t>
        </is>
      </c>
      <c r="E608" s="280" t="n"/>
      <c r="F608" s="281" t="n"/>
      <c r="G608" s="278" t="n"/>
      <c r="H608" s="278" t="n"/>
      <c r="I608" s="283" t="n"/>
      <c r="J608" s="279" t="n"/>
      <c r="K608" s="279" t="n"/>
      <c r="L608" s="279" t="n"/>
      <c r="M608" s="283" t="n"/>
      <c r="N608" s="279" t="n"/>
      <c r="O608" s="279" t="n"/>
      <c r="P608" s="279" t="n"/>
      <c r="Q608" s="279" t="n"/>
      <c r="R608" s="285" t="n"/>
      <c r="S608" s="285" t="n"/>
      <c r="T608" s="285" t="n"/>
      <c r="U608" s="285" t="n"/>
      <c r="V608" s="285" t="n"/>
      <c r="W608" s="285" t="n"/>
      <c r="X608" s="285" t="n"/>
      <c r="Y608" s="285" t="n"/>
    </row>
    <row r="609" ht="15.5" customHeight="1">
      <c r="B609" s="286" t="n">
        <v>45335</v>
      </c>
      <c r="C609" s="278" t="n">
        <v>449</v>
      </c>
      <c r="D609" s="280" t="inlineStr">
        <is>
          <t>Shipment Benchmark DTR to Malaysia</t>
        </is>
      </c>
      <c r="E609" s="280" t="inlineStr">
        <is>
          <t>-</t>
        </is>
      </c>
      <c r="F609" s="287" t="n">
        <v>13201183.322</v>
      </c>
      <c r="G609" s="282" t="inlineStr">
        <is>
          <t>MYR</t>
        </is>
      </c>
      <c r="H609" s="288" t="n">
        <v>3636.89</v>
      </c>
      <c r="I609" s="289" t="n"/>
      <c r="J609" s="289" t="n"/>
      <c r="K609" s="290" t="n"/>
      <c r="L609" s="291" t="n">
        <v>13201183.322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Taxi Home - CGK Airport</t>
        </is>
      </c>
      <c r="E610" s="280" t="inlineStr">
        <is>
          <t>-</t>
        </is>
      </c>
      <c r="F610" s="287" t="n">
        <v>200000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200000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Flight CGK-KUL + Hotel 1 night</t>
        </is>
      </c>
      <c r="E611" s="280" t="inlineStr">
        <is>
          <t>-</t>
        </is>
      </c>
      <c r="F611" s="287" t="n">
        <v>1803353</v>
      </c>
      <c r="G611" s="282" t="inlineStr">
        <is>
          <t>IDR</t>
        </is>
      </c>
      <c r="H611" s="288" t="n">
        <v>1</v>
      </c>
      <c r="I611" s="289" t="n"/>
      <c r="J611" s="289" t="n"/>
      <c r="K611" s="290" t="n"/>
      <c r="L611" s="291" t="n">
        <v>1803353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45362</v>
      </c>
      <c r="C612" s="278" t="n">
        <v>452</v>
      </c>
      <c r="D612" s="280" t="inlineStr">
        <is>
          <t>Train KLIA Airport to Hyperseal</t>
        </is>
      </c>
      <c r="E612" s="280" t="inlineStr">
        <is>
          <t>-</t>
        </is>
      </c>
      <c r="F612" s="287" t="n">
        <v>181844.5</v>
      </c>
      <c r="G612" s="282" t="inlineStr">
        <is>
          <t>MYR</t>
        </is>
      </c>
      <c r="H612" s="288" t="n">
        <v>3636.89</v>
      </c>
      <c r="I612" s="289" t="n"/>
      <c r="J612" s="289" t="n"/>
      <c r="K612" s="290" t="n"/>
      <c r="L612" s="291" t="n">
        <v>181844.5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Flight KUL- CGK</t>
        </is>
      </c>
      <c r="E613" s="280" t="inlineStr">
        <is>
          <t>-</t>
        </is>
      </c>
      <c r="F613" s="287" t="n">
        <v>1897983</v>
      </c>
      <c r="G613" s="282" t="inlineStr">
        <is>
          <t>IDR</t>
        </is>
      </c>
      <c r="H613" s="288" t="n">
        <v>1</v>
      </c>
      <c r="I613" s="289" t="n"/>
      <c r="J613" s="289" t="n"/>
      <c r="K613" s="290" t="n"/>
      <c r="L613" s="291" t="n">
        <v>1897983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Train Hyperseal to KLIA Airport</t>
        </is>
      </c>
      <c r="E614" s="280" t="inlineStr">
        <is>
          <t>-</t>
        </is>
      </c>
      <c r="F614" s="287" t="n">
        <v>181844.5</v>
      </c>
      <c r="G614" s="282" t="inlineStr">
        <is>
          <t>MYR</t>
        </is>
      </c>
      <c r="H614" s="288" t="n">
        <v>3636.89</v>
      </c>
      <c r="I614" s="289" t="n"/>
      <c r="J614" s="289" t="n"/>
      <c r="K614" s="290" t="n"/>
      <c r="L614" s="291" t="n">
        <v>181844.5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Taxi CGK Airport to Home</t>
        </is>
      </c>
      <c r="E615" s="280" t="inlineStr">
        <is>
          <t>-</t>
        </is>
      </c>
      <c r="F615" s="287" t="n">
        <v>200000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200000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45363</v>
      </c>
      <c r="C616" s="278" t="n">
        <v>456</v>
      </c>
      <c r="D616" s="280" t="inlineStr">
        <is>
          <t>Meals 2 days @ 300,000/day</t>
        </is>
      </c>
      <c r="E616" s="280" t="inlineStr">
        <is>
          <t>-</t>
        </is>
      </c>
      <c r="F616" s="287" t="n">
        <v>600000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600000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45404</v>
      </c>
      <c r="C617" s="278" t="n">
        <v>457</v>
      </c>
      <c r="D617" s="280" t="inlineStr">
        <is>
          <t>Car 22-23 Apr 2024 (2 days) incl. Fuel &amp; Tol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Tunjangan Lapangan @ 1.5 juta/day x 2 days</t>
        </is>
      </c>
      <c r="E618" s="280" t="inlineStr">
        <is>
          <t>-</t>
        </is>
      </c>
      <c r="F618" s="287" t="n">
        <v>3000000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45405</v>
      </c>
      <c r="C619" s="278" t="n">
        <v>459</v>
      </c>
      <c r="D619" s="280" t="inlineStr">
        <is>
          <t>Meals 2 days @ 150,000/day</t>
        </is>
      </c>
      <c r="E619" s="280" t="inlineStr">
        <is>
          <t>-</t>
        </is>
      </c>
      <c r="F619" s="287" t="n">
        <v>300000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45412</v>
      </c>
      <c r="C620" s="278" t="n">
        <v>460</v>
      </c>
      <c r="D620" s="280" t="inlineStr">
        <is>
          <t>Car 30 Apr-01 May 2024 (2 days) incl. Fuel &amp; Tol</t>
        </is>
      </c>
      <c r="E620" s="280" t="inlineStr">
        <is>
          <t>-</t>
        </is>
      </c>
      <c r="F620" s="287" t="n">
        <v>3000000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3000000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Taxi Home to KCIC Train station</t>
        </is>
      </c>
      <c r="E621" s="280" t="inlineStr">
        <is>
          <t>-</t>
        </is>
      </c>
      <c r="F621" s="287" t="n">
        <v>100000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100000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45646</v>
      </c>
      <c r="C622" s="278" t="n">
        <v>462</v>
      </c>
      <c r="D622" s="280" t="inlineStr">
        <is>
          <t>Train Round trip Jakarta - Bandung @200K/trip</t>
        </is>
      </c>
      <c r="E622" s="280" t="inlineStr">
        <is>
          <t>-</t>
        </is>
      </c>
      <c r="F622" s="287" t="n">
        <v>400000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400000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Hotel 1 night 20 - 21 Dec 2024</t>
        </is>
      </c>
      <c r="E623" s="280" t="inlineStr">
        <is>
          <t>-</t>
        </is>
      </c>
      <c r="F623" s="287" t="n">
        <v>784000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784000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Taxi from KCIC Stationa Halim to Home</t>
        </is>
      </c>
      <c r="E624" s="280" t="inlineStr">
        <is>
          <t>-</t>
        </is>
      </c>
      <c r="F624" s="287" t="n">
        <v>100000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100000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286" t="n">
        <v>45647</v>
      </c>
      <c r="C625" s="278" t="n">
        <v>465</v>
      </c>
      <c r="D625" s="280" t="inlineStr">
        <is>
          <t>Meals 2 days @ 150,000/day</t>
        </is>
      </c>
      <c r="E625" s="280" t="inlineStr">
        <is>
          <t>-</t>
        </is>
      </c>
      <c r="F625" s="287" t="n">
        <v>300000</v>
      </c>
      <c r="G625" s="282" t="inlineStr">
        <is>
          <t>IDR</t>
        </is>
      </c>
      <c r="H625" s="288" t="n">
        <v>1</v>
      </c>
      <c r="I625" s="289" t="n"/>
      <c r="J625" s="289" t="n"/>
      <c r="K625" s="290" t="n"/>
      <c r="L625" s="291" t="n">
        <v>300000</v>
      </c>
      <c r="M625" s="280" t="n"/>
      <c r="N625" s="280" t="n"/>
      <c r="O625" s="280" t="n"/>
      <c r="P625" s="280" t="n"/>
      <c r="Q625" s="280" t="n"/>
      <c r="R625" s="292" t="n"/>
      <c r="S625" s="292" t="n"/>
      <c r="T625" s="292" t="n"/>
      <c r="U625" s="292" t="n"/>
      <c r="V625" s="292" t="n"/>
      <c r="W625" s="292" t="n"/>
      <c r="X625" s="292" t="n"/>
      <c r="Y625" s="292" t="n"/>
    </row>
    <row r="626" ht="15.5" customHeight="1">
      <c r="B626" s="304" t="inlineStr">
        <is>
          <t>Expense#46</t>
        </is>
      </c>
      <c r="C626" s="305" t="inlineStr">
        <is>
          <t>:</t>
        </is>
      </c>
      <c r="D626" s="306" t="inlineStr">
        <is>
          <t>Non trip - Training BSS - AC</t>
        </is>
      </c>
      <c r="E626" s="307" t="n"/>
      <c r="F626" s="325" t="n"/>
      <c r="G626" s="305" t="n"/>
      <c r="H626" s="305" t="n"/>
      <c r="I626" s="339" t="n"/>
      <c r="J626" s="311" t="n"/>
      <c r="K626" s="311" t="n"/>
      <c r="L626" s="311" t="n"/>
      <c r="M626" s="311" t="n"/>
      <c r="N626" s="311" t="n"/>
      <c r="O626" s="311" t="n"/>
      <c r="P626" s="311" t="n"/>
      <c r="Q626" s="311" t="n"/>
      <c r="R626" s="312" t="n"/>
      <c r="S626" s="312" t="n"/>
      <c r="T626" s="312" t="n"/>
      <c r="U626" s="312" t="n"/>
      <c r="V626" s="312" t="n"/>
      <c r="W626" s="312" t="n"/>
      <c r="X626" s="312" t="n"/>
      <c r="Y626" s="312" t="n"/>
    </row>
    <row r="627" ht="15.5" customHeight="1">
      <c r="B627" s="279" t="n"/>
      <c r="C627" s="321" t="n"/>
      <c r="D627" s="322" t="inlineStr">
        <is>
          <t>Biaya Operasi</t>
        </is>
      </c>
      <c r="E627" s="323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285" t="n"/>
      <c r="S627" s="285" t="n"/>
      <c r="T627" s="285" t="n"/>
      <c r="U627" s="285" t="n"/>
      <c r="V627" s="285" t="n"/>
      <c r="W627" s="285" t="n"/>
      <c r="X627" s="285" t="n"/>
      <c r="Y627" s="285" t="n"/>
    </row>
    <row r="628" ht="15.5" customHeight="1">
      <c r="B628" s="286" t="n">
        <v>45636</v>
      </c>
      <c r="C628" s="278" t="n">
        <v>466</v>
      </c>
      <c r="D628" s="280" t="inlineStr">
        <is>
          <t>Traning Basic Sea Survival (BSS)</t>
        </is>
      </c>
      <c r="E628" s="280" t="inlineStr">
        <is>
          <t>-</t>
        </is>
      </c>
      <c r="F628" s="287" t="n">
        <v>2700000</v>
      </c>
      <c r="G628" s="282" t="inlineStr">
        <is>
          <t>IDR</t>
        </is>
      </c>
      <c r="H628" s="288" t="n">
        <v>1</v>
      </c>
      <c r="I628" s="289" t="n"/>
      <c r="J628" s="289" t="n"/>
      <c r="K628" s="290" t="n"/>
      <c r="L628" s="291" t="n">
        <v>2700000</v>
      </c>
      <c r="M628" s="280" t="n"/>
      <c r="N628" s="280" t="n"/>
      <c r="O628" s="280" t="n"/>
      <c r="P628" s="280" t="n"/>
      <c r="Q628" s="280" t="n"/>
      <c r="R628" s="292" t="n"/>
      <c r="S628" s="292" t="n"/>
      <c r="T628" s="292" t="n"/>
      <c r="U628" s="292" t="n"/>
      <c r="V628" s="292" t="n"/>
      <c r="W628" s="292" t="n"/>
      <c r="X628" s="292" t="n"/>
      <c r="Y628" s="292" t="n"/>
    </row>
    <row r="629" ht="15.5" customHeight="1">
      <c r="B629" s="304" t="inlineStr">
        <is>
          <t>Expense#47</t>
        </is>
      </c>
      <c r="C629" s="305" t="inlineStr">
        <is>
          <t>:</t>
        </is>
      </c>
      <c r="D629" s="306" t="inlineStr">
        <is>
          <t>Trip Rakan : BSTTraining at HSSE Training Center PT Pertamina EP Zone 7 Cirebon</t>
        </is>
      </c>
      <c r="E629" s="307" t="n"/>
      <c r="F629" s="325" t="n"/>
      <c r="G629" s="305" t="n"/>
      <c r="H629" s="305" t="n"/>
      <c r="I629" s="309" t="n"/>
      <c r="J629" s="311" t="n"/>
      <c r="K629" s="311" t="n"/>
      <c r="L629" s="311" t="n"/>
      <c r="M629" s="311" t="n"/>
      <c r="N629" s="311" t="n"/>
      <c r="O629" s="311" t="n"/>
      <c r="P629" s="311" t="n"/>
      <c r="Q629" s="311" t="n"/>
      <c r="R629" s="312" t="n"/>
      <c r="S629" s="312" t="n"/>
      <c r="T629" s="312" t="n"/>
      <c r="U629" s="312" t="n"/>
      <c r="V629" s="312" t="n"/>
      <c r="W629" s="312" t="n"/>
      <c r="X629" s="312" t="n"/>
      <c r="Y629" s="312" t="n"/>
    </row>
    <row r="630" ht="15.5" customHeight="1">
      <c r="B630" s="313" t="n"/>
      <c r="C630" s="278" t="n"/>
      <c r="D630" s="314" t="inlineStr">
        <is>
          <t>Biaya Operasi</t>
        </is>
      </c>
      <c r="E630" s="320" t="n"/>
      <c r="F630" s="281" t="n"/>
      <c r="G630" s="278" t="n"/>
      <c r="H630" s="278" t="n"/>
      <c r="I630" s="279" t="n"/>
      <c r="J630" s="279" t="n"/>
      <c r="K630" s="279" t="n"/>
      <c r="L630" s="279" t="n"/>
      <c r="M630" s="279" t="n"/>
      <c r="N630" s="279" t="n"/>
      <c r="O630" s="279" t="n"/>
      <c r="P630" s="279" t="n"/>
      <c r="Q630" s="279" t="n"/>
      <c r="R630" s="285" t="n"/>
      <c r="S630" s="285" t="n"/>
      <c r="T630" s="285" t="n"/>
      <c r="U630" s="285" t="n"/>
      <c r="V630" s="285" t="n"/>
      <c r="W630" s="285" t="n"/>
      <c r="X630" s="285" t="n"/>
      <c r="Y630" s="285" t="n"/>
    </row>
    <row r="631" ht="15.5" customHeight="1">
      <c r="B631" s="286" t="n">
        <v>45655</v>
      </c>
      <c r="C631" s="278" t="n">
        <v>467</v>
      </c>
      <c r="D631" s="280" t="inlineStr">
        <is>
          <t>Transport Train, (Jakarta to Cirebon)</t>
        </is>
      </c>
      <c r="E631" s="280" t="inlineStr">
        <is>
          <t>-</t>
        </is>
      </c>
      <c r="F631" s="287" t="n">
        <v>200000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200000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(Cirendeu to Gambir Station)</t>
        </is>
      </c>
      <c r="E632" s="280" t="inlineStr">
        <is>
          <t>-</t>
        </is>
      </c>
      <c r="F632" s="287" t="n">
        <v>61500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61500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Gojek (Cirebon Station to Hotel)</t>
        </is>
      </c>
      <c r="E633" s="280" t="inlineStr">
        <is>
          <t>-</t>
        </is>
      </c>
      <c r="F633" s="287" t="n">
        <v>12500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12500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45655</v>
      </c>
      <c r="C634" s="278" t="n">
        <v>470</v>
      </c>
      <c r="D634" s="280" t="inlineStr">
        <is>
          <t>Accomodation Hotel (Pia Hotel 29 - 30 des, 1 Night)</t>
        </is>
      </c>
      <c r="E634" s="280" t="inlineStr">
        <is>
          <t>-</t>
        </is>
      </c>
      <c r="F634" s="287" t="n">
        <v>224000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224000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Transport Train (Cirebon to Jakarta)</t>
        </is>
      </c>
      <c r="E635" s="280" t="inlineStr">
        <is>
          <t>-</t>
        </is>
      </c>
      <c r="F635" s="287" t="n">
        <v>140000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140000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(Hotel to HSSE Training Center PEP Zone 7)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(CSB to Cirebon Train Station)</t>
        </is>
      </c>
      <c r="E637" s="280" t="inlineStr">
        <is>
          <t>-</t>
        </is>
      </c>
      <c r="F637" s="287" t="n">
        <v>11000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11000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Gojek (Gambir Station to Cirendeu)</t>
        </is>
      </c>
      <c r="E638" s="280" t="inlineStr">
        <is>
          <t>-</t>
        </is>
      </c>
      <c r="F638" s="287" t="n">
        <v>66000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66000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286" t="n">
        <v>45656</v>
      </c>
      <c r="C639" s="278" t="n">
        <v>475</v>
      </c>
      <c r="D639" s="280" t="inlineStr">
        <is>
          <t>Meal Allowance 2 Days (29 - 30 December 2024)@ 150 rb</t>
        </is>
      </c>
      <c r="E639" s="280" t="inlineStr">
        <is>
          <t>-</t>
        </is>
      </c>
      <c r="F639" s="287" t="n">
        <v>300000</v>
      </c>
      <c r="G639" s="282" t="inlineStr">
        <is>
          <t>IDR</t>
        </is>
      </c>
      <c r="H639" s="288" t="n">
        <v>1</v>
      </c>
      <c r="I639" s="289" t="n"/>
      <c r="J639" s="289" t="n"/>
      <c r="K639" s="290" t="n"/>
      <c r="L639" s="291" t="n">
        <v>300000</v>
      </c>
      <c r="M639" s="280" t="n"/>
      <c r="N639" s="280" t="n"/>
      <c r="O639" s="280" t="n"/>
      <c r="P639" s="280" t="n"/>
      <c r="Q639" s="280" t="n"/>
      <c r="R639" s="292" t="n"/>
      <c r="S639" s="292" t="n"/>
      <c r="T639" s="292" t="n"/>
      <c r="U639" s="292" t="n"/>
      <c r="V639" s="292" t="n"/>
      <c r="W639" s="292" t="n"/>
      <c r="X639" s="292" t="n"/>
      <c r="Y639" s="292" t="n"/>
    </row>
    <row r="640" ht="15.5" customHeight="1">
      <c r="B640" s="350" t="inlineStr">
        <is>
          <t>TOTAL</t>
        </is>
      </c>
      <c r="C640" s="230" t="n"/>
      <c r="D640" s="230" t="n"/>
      <c r="E640" s="230" t="n"/>
      <c r="F640" s="230" t="n"/>
      <c r="G640" s="230" t="n"/>
      <c r="H640" s="227" t="n"/>
      <c r="I640" s="351" t="n">
        <v>991500000</v>
      </c>
      <c r="J640" s="352" t="n">
        <v>356135126</v>
      </c>
      <c r="K640" s="352" t="n">
        <v>367745000</v>
      </c>
      <c r="L640" s="352" t="n">
        <v>1165223146.932</v>
      </c>
      <c r="M640" s="351" t="n">
        <v>0</v>
      </c>
      <c r="N640" s="352" t="n">
        <v>8769780</v>
      </c>
      <c r="O640" s="352" t="n">
        <v>200517570</v>
      </c>
      <c r="P640" s="352" t="n">
        <v>4995000</v>
      </c>
      <c r="Q640" s="352" t="n">
        <v>38548717.5</v>
      </c>
      <c r="R640" s="352" t="n">
        <v>202920000</v>
      </c>
      <c r="S640" s="352" t="n">
        <v>0</v>
      </c>
      <c r="T640" s="352" t="n">
        <v>0</v>
      </c>
      <c r="U640" s="352" t="n">
        <v>0</v>
      </c>
      <c r="V640" s="352" t="n">
        <v>0</v>
      </c>
      <c r="W640" s="352" t="n">
        <v>0</v>
      </c>
      <c r="X640" s="352" t="n">
        <v>0</v>
      </c>
      <c r="Y640" s="352" t="n">
        <v>0</v>
      </c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353" t="inlineStr">
        <is>
          <t>Nama Lengkap</t>
        </is>
      </c>
      <c r="C644" s="230" t="n"/>
      <c r="D644" s="230" t="n"/>
      <c r="E644" s="227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354" t="inlineStr">
        <is>
          <t>Direktur</t>
        </is>
      </c>
      <c r="C645" s="230" t="n"/>
      <c r="D645" s="230" t="n"/>
      <c r="E645" s="227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B640:H64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B645:E645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644:E644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E50-'Business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RESEARCH (R&amp;D)</t>
        </is>
      </c>
      <c r="D15" s="383" t="inlineStr">
        <is>
          <t>Rp</t>
        </is>
      </c>
      <c r="E15" s="384">
        <f>'Revenue-Cost_2024'!I640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SEWA PERALATAN</t>
        </is>
      </c>
      <c r="D16" s="383" t="inlineStr">
        <is>
          <t>Rp</t>
        </is>
      </c>
      <c r="E16" s="384">
        <f>'Revenue-Cost_2024'!J640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'Revenue-Cost_2024'!K640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'Revenue-Cost_2024'!L640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1" t="n"/>
      <c r="C19" s="382" t="inlineStr">
        <is>
          <t>DIOFAVIAN</t>
        </is>
      </c>
      <c r="D19" s="383" t="inlineStr">
        <is>
          <t>Rp</t>
        </is>
      </c>
      <c r="E19" s="384">
        <f>'Revenue-Cost_2024'!M640</f>
        <v/>
      </c>
      <c r="F19" s="358" t="n"/>
      <c r="G19" s="385" t="n"/>
      <c r="H19" s="386" t="n"/>
      <c r="I19" s="387" t="n"/>
      <c r="J19" s="384" t="n"/>
    </row>
    <row r="20" ht="15" customHeight="1">
      <c r="A20" s="373" t="n"/>
      <c r="B20" s="388" t="inlineStr">
        <is>
          <t>TOTAL BIAYA LANGSUNG</t>
        </is>
      </c>
      <c r="C20" s="389" t="n"/>
      <c r="D20" s="390" t="inlineStr">
        <is>
          <t>Rp</t>
        </is>
      </c>
      <c r="E20" s="391">
        <f>SUM(E15:E19)</f>
        <v/>
      </c>
      <c r="F20" s="358" t="n"/>
      <c r="G20" s="392" t="n"/>
      <c r="H20" s="393" t="inlineStr">
        <is>
          <t>INVENTARIS KANTOR</t>
        </is>
      </c>
      <c r="I20" s="390" t="inlineStr">
        <is>
          <t>Rp</t>
        </is>
      </c>
      <c r="J20" s="391" t="n">
        <v>0</v>
      </c>
    </row>
    <row r="21" ht="15" customHeight="1">
      <c r="A21" s="373" t="n"/>
      <c r="B21" s="381" t="n"/>
      <c r="C21" s="382" t="n"/>
      <c r="D21" s="383" t="n"/>
      <c r="E21" s="384" t="n"/>
      <c r="F21" s="358" t="n"/>
      <c r="G21" s="385" t="n"/>
      <c r="H21" s="386" t="n"/>
      <c r="I21" s="387" t="n"/>
      <c r="J21" s="384" t="n"/>
    </row>
    <row r="22" ht="15" customHeight="1">
      <c r="A22" s="373" t="n"/>
      <c r="B22" s="374" t="inlineStr">
        <is>
          <t>BEBAN TIDAK LANGSUNG</t>
        </is>
      </c>
      <c r="C22" s="375" t="n"/>
      <c r="D22" s="376" t="n"/>
      <c r="E22" s="377" t="n"/>
      <c r="F22" s="358" t="n"/>
      <c r="G22" s="378" t="n"/>
      <c r="H22" s="379" t="inlineStr">
        <is>
          <t>TOTAL AKTIVA TETAP</t>
        </is>
      </c>
      <c r="I22" s="376" t="inlineStr">
        <is>
          <t>Rp</t>
        </is>
      </c>
      <c r="J22" s="377">
        <f>J20</f>
        <v/>
      </c>
    </row>
    <row r="23" ht="15" customHeight="1">
      <c r="A23" s="373" t="n"/>
      <c r="B23" s="381" t="n"/>
      <c r="C23" s="382" t="n"/>
      <c r="D23" s="383" t="inlineStr">
        <is>
          <t>Rp</t>
        </is>
      </c>
      <c r="E23" s="384" t="n">
        <v>0</v>
      </c>
      <c r="F23" s="358" t="n"/>
      <c r="G23" s="385" t="n"/>
      <c r="H23" s="386" t="n"/>
      <c r="I23" s="387" t="n"/>
      <c r="J23" s="384" t="n"/>
    </row>
    <row r="24" ht="15" customHeight="1">
      <c r="A24" s="373" t="n"/>
      <c r="B24" s="388" t="inlineStr">
        <is>
          <t>TOTAL BIAYA TIDAK LANGSUNG</t>
        </is>
      </c>
      <c r="C24" s="389" t="n"/>
      <c r="D24" s="390" t="inlineStr">
        <is>
          <t>Rp</t>
        </is>
      </c>
      <c r="E24" s="391">
        <f>SUM(E23:E23)</f>
        <v/>
      </c>
      <c r="F24" s="358" t="n"/>
      <c r="G24" s="392" t="inlineStr">
        <is>
          <t>ACTIVA LAIN LAIN</t>
        </is>
      </c>
      <c r="H24" s="393" t="n"/>
      <c r="I24" s="395" t="n"/>
      <c r="J24" s="391" t="n">
        <v>0</v>
      </c>
    </row>
    <row r="25" ht="15" customHeight="1">
      <c r="A25" s="373" t="n"/>
      <c r="B25" s="381" t="n"/>
      <c r="C25" s="382" t="n"/>
      <c r="D25" s="383" t="n"/>
      <c r="E25" s="384" t="n"/>
      <c r="F25" s="358" t="n"/>
      <c r="G25" s="385" t="n"/>
      <c r="H25" s="386" t="n"/>
      <c r="I25" s="387" t="n"/>
      <c r="J25" s="384" t="n">
        <v>0</v>
      </c>
    </row>
    <row r="26" ht="15" customHeight="1">
      <c r="A26" s="373" t="n"/>
      <c r="B26" s="374" t="inlineStr">
        <is>
          <t>BIAYA ADMINISTRASI DAN UMUM</t>
        </is>
      </c>
      <c r="C26" s="375" t="n"/>
      <c r="D26" s="376" t="n"/>
      <c r="E26" s="377" t="n"/>
      <c r="F26" s="358" t="n"/>
      <c r="G26" s="378" t="n"/>
      <c r="H26" s="379" t="inlineStr">
        <is>
          <t>TOTAL AKTIVA LAIN LAIN</t>
        </is>
      </c>
      <c r="I26" s="376" t="inlineStr">
        <is>
          <t>Rp</t>
        </is>
      </c>
      <c r="J26" s="377">
        <f>SUM(J25:J25)</f>
        <v/>
      </c>
    </row>
    <row r="27" ht="15" customHeight="1">
      <c r="A27" s="373" t="n"/>
      <c r="B27" s="381" t="n"/>
      <c r="C27" s="382" t="inlineStr">
        <is>
          <t>ADMINISTRASI</t>
        </is>
      </c>
      <c r="D27" s="383" t="inlineStr">
        <is>
          <t>Rp</t>
        </is>
      </c>
      <c r="E27" s="384">
        <f>'Revenue-Cost_2024'!N640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PEMBELIAN BARANG</t>
        </is>
      </c>
      <c r="D28" s="383" t="inlineStr">
        <is>
          <t>Rp</t>
        </is>
      </c>
      <c r="E28" s="384">
        <f>'Revenue-Cost_2024'!O640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SEWA KANTOR</t>
        </is>
      </c>
      <c r="D29" s="383" t="inlineStr">
        <is>
          <t>Rp</t>
        </is>
      </c>
      <c r="E29" s="384">
        <f>'Revenue-Cost_2024'!P640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KESEHATAN</t>
        </is>
      </c>
      <c r="D30" s="383" t="inlineStr">
        <is>
          <t>Rp</t>
        </is>
      </c>
      <c r="E30" s="384">
        <f>'Revenue-Cost_2024'!Q640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1" t="n"/>
      <c r="C31" s="382" t="inlineStr">
        <is>
          <t>BISNIS DEV</t>
        </is>
      </c>
      <c r="D31" s="383" t="inlineStr">
        <is>
          <t>Rp</t>
        </is>
      </c>
      <c r="E31" s="384">
        <f>'Revenue-Cost_2024'!R640</f>
        <v/>
      </c>
      <c r="F31" s="358" t="n"/>
      <c r="G31" s="385" t="n"/>
      <c r="H31" s="386" t="n"/>
      <c r="I31" s="387" t="n"/>
      <c r="J31" s="384" t="n"/>
    </row>
    <row r="32" ht="15" customHeight="1">
      <c r="A32" s="373" t="n"/>
      <c r="B32" s="381" t="n"/>
      <c r="C32" s="382" t="inlineStr">
        <is>
          <t>ASDASD</t>
        </is>
      </c>
      <c r="D32" s="383" t="inlineStr">
        <is>
          <t>Rp</t>
        </is>
      </c>
      <c r="E32" s="384">
        <f>'Revenue-Cost_2024'!S640</f>
        <v/>
      </c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1" t="n"/>
      <c r="C33" s="382" t="inlineStr">
        <is>
          <t>MAKANAN JEPANG</t>
        </is>
      </c>
      <c r="D33" s="383" t="inlineStr">
        <is>
          <t>Rp</t>
        </is>
      </c>
      <c r="E33" s="384">
        <f>'Revenue-Cost_2024'!T640</f>
        <v/>
      </c>
      <c r="F33" s="358" t="n"/>
      <c r="G33" s="385" t="n"/>
      <c r="H33" s="386" t="inlineStr">
        <is>
          <t>HUTANG USAHA</t>
        </is>
      </c>
      <c r="I33" s="383" t="inlineStr">
        <is>
          <t>Rp</t>
        </is>
      </c>
      <c r="J33" s="384" t="n">
        <v>0</v>
      </c>
    </row>
    <row r="34" ht="15" customHeight="1">
      <c r="A34" s="373" t="n"/>
      <c r="B34" s="381" t="n"/>
      <c r="C34" s="382" t="inlineStr">
        <is>
          <t>AAAAA</t>
        </is>
      </c>
      <c r="D34" s="383" t="inlineStr">
        <is>
          <t>Rp</t>
        </is>
      </c>
      <c r="E34" s="384">
        <f>'Revenue-Cost_2024'!U640</f>
        <v/>
      </c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81" t="n"/>
      <c r="C35" s="382" t="inlineStr">
        <is>
          <t>BBBBB</t>
        </is>
      </c>
      <c r="D35" s="383" t="inlineStr">
        <is>
          <t>Rp</t>
        </is>
      </c>
      <c r="E35" s="384">
        <f>'Revenue-Cost_2024'!V640</f>
        <v/>
      </c>
      <c r="F35" s="358" t="n"/>
      <c r="G35" s="385" t="n"/>
      <c r="H35" s="386" t="inlineStr">
        <is>
          <t>HUTANG PEMEGANG SAHAM</t>
        </is>
      </c>
      <c r="I35" s="383" t="inlineStr">
        <is>
          <t>Rp</t>
        </is>
      </c>
      <c r="J35" s="384" t="n">
        <v>0</v>
      </c>
    </row>
    <row r="36" ht="15" customHeight="1">
      <c r="A36" s="373" t="n"/>
      <c r="B36" s="381" t="n"/>
      <c r="C36" s="382" t="inlineStr">
        <is>
          <t>ASDSAD</t>
        </is>
      </c>
      <c r="D36" s="383" t="inlineStr">
        <is>
          <t>Rp</t>
        </is>
      </c>
      <c r="E36" s="384">
        <f>'Revenue-Cost_2024'!W640</f>
        <v/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inlineStr">
        <is>
          <t>DFGDFGDFGD</t>
        </is>
      </c>
      <c r="D37" s="383" t="inlineStr">
        <is>
          <t>Rp</t>
        </is>
      </c>
      <c r="E37" s="384">
        <f>'Revenue-Cost_2024'!X640</f>
        <v/>
      </c>
      <c r="F37" s="358" t="n"/>
      <c r="G37" s="381" t="n"/>
      <c r="H37" s="382" t="n"/>
      <c r="I37" s="383" t="n"/>
      <c r="J37" s="384" t="n"/>
    </row>
    <row r="38" ht="15" customHeight="1">
      <c r="A38" s="373" t="n"/>
      <c r="B38" s="381" t="n"/>
      <c r="C38" s="382" t="inlineStr">
        <is>
          <t>12312</t>
        </is>
      </c>
      <c r="D38" s="383" t="inlineStr">
        <is>
          <t>Rp</t>
        </is>
      </c>
      <c r="E38" s="384">
        <f>'Revenue-Cost_2024'!Y640</f>
        <v/>
      </c>
      <c r="F38" s="358" t="n"/>
      <c r="G38" s="385" t="n"/>
      <c r="H38" s="386" t="inlineStr">
        <is>
          <t>TOTAL HUTANG LANCAR</t>
        </is>
      </c>
      <c r="I38" s="387" t="n"/>
      <c r="J38" s="384">
        <f>SUM(J33:J36)</f>
        <v/>
      </c>
    </row>
    <row r="39" ht="15" customHeight="1">
      <c r="A39" s="373" t="n"/>
      <c r="B39" s="388" t="inlineStr">
        <is>
          <t>TOTAL BIAYA ADMINISTRASI DAN UMUM</t>
        </is>
      </c>
      <c r="C39" s="389" t="n"/>
      <c r="D39" s="390" t="inlineStr">
        <is>
          <t>Rp</t>
        </is>
      </c>
      <c r="E39" s="391">
        <f>SUM(E27:E38)</f>
        <v/>
      </c>
      <c r="F39" s="358" t="n"/>
      <c r="G39" s="392" t="n"/>
      <c r="H39" s="393" t="n"/>
      <c r="I39" s="395" t="n"/>
      <c r="J39" s="391" t="n"/>
    </row>
    <row r="40" ht="15" customHeight="1">
      <c r="A40" s="373" t="n"/>
      <c r="B40" s="381" t="n"/>
      <c r="C40" s="382" t="n"/>
      <c r="D40" s="383" t="n"/>
      <c r="E40" s="384" t="n"/>
      <c r="F40" s="358" t="n"/>
      <c r="G40" s="385" t="inlineStr">
        <is>
          <t>MODAL</t>
        </is>
      </c>
      <c r="H40" s="386" t="n"/>
      <c r="I40" s="387" t="n"/>
      <c r="J40" s="384" t="n"/>
    </row>
    <row r="41" ht="15" customHeight="1">
      <c r="A41" s="373" t="n"/>
      <c r="B41" s="388" t="inlineStr">
        <is>
          <t>TOTAL BIAYA</t>
        </is>
      </c>
      <c r="C41" s="389" t="n"/>
      <c r="D41" s="390" t="inlineStr">
        <is>
          <t>Rp</t>
        </is>
      </c>
      <c r="E41" s="391">
        <f>E20+E24+E39</f>
        <v/>
      </c>
      <c r="F41" s="358" t="n"/>
      <c r="G41" s="392" t="n"/>
      <c r="H41" s="393" t="inlineStr">
        <is>
          <t>MODAL SAHAM</t>
        </is>
      </c>
      <c r="I41" s="390" t="inlineStr">
        <is>
          <t>Rp</t>
        </is>
      </c>
      <c r="J41" s="391" t="n">
        <v>0</v>
      </c>
    </row>
    <row r="42" ht="15" customHeight="1">
      <c r="A42" s="373" t="n"/>
      <c r="B42" s="381" t="n"/>
      <c r="C42" s="382" t="n"/>
      <c r="D42" s="383" t="n"/>
      <c r="E42" s="384" t="n"/>
      <c r="F42" s="358" t="n"/>
      <c r="G42" s="385" t="n"/>
      <c r="H42" s="386" t="inlineStr">
        <is>
          <t>LABA DI TAHAN</t>
        </is>
      </c>
      <c r="I42" s="383" t="inlineStr">
        <is>
          <t>Rp</t>
        </is>
      </c>
      <c r="J42" s="384" t="n">
        <v>0</v>
      </c>
    </row>
    <row r="43" ht="15" customHeight="1">
      <c r="A43" s="373" t="n"/>
      <c r="B43" s="374" t="inlineStr">
        <is>
          <t>PENDAPATAN/BEBAN LAIN LAIN</t>
        </is>
      </c>
      <c r="C43" s="375" t="n"/>
      <c r="D43" s="376" t="n"/>
      <c r="E43" s="377" t="n"/>
      <c r="F43" s="358" t="n"/>
      <c r="G43" s="378" t="n"/>
      <c r="H43" s="379" t="inlineStr">
        <is>
          <t>TOTAL LABA (RUGI) DITAHAN</t>
        </is>
      </c>
      <c r="I43" s="376" t="inlineStr">
        <is>
          <t>Rp</t>
        </is>
      </c>
      <c r="J43" s="377">
        <f>J28-J38-J41-J42</f>
        <v/>
      </c>
    </row>
    <row r="44" ht="15" customHeight="1">
      <c r="A44" s="373" t="n"/>
      <c r="B44" s="381" t="n"/>
      <c r="C44" s="382" t="inlineStr">
        <is>
          <t>PENDAPATAN LAIN LAIN</t>
        </is>
      </c>
      <c r="D44" s="383" t="inlineStr">
        <is>
          <t>Rp</t>
        </is>
      </c>
      <c r="E44" s="384" t="n">
        <v>0</v>
      </c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81" t="n"/>
      <c r="C45" s="382" t="n"/>
      <c r="D45" s="383" t="n"/>
      <c r="E45" s="384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88" t="inlineStr">
        <is>
          <t>LABA RUGI SEBELUM PAJAK</t>
        </is>
      </c>
      <c r="C46" s="389" t="n"/>
      <c r="D46" s="390" t="inlineStr">
        <is>
          <t>Rp</t>
        </is>
      </c>
      <c r="E46" s="391">
        <f>E12-E41</f>
        <v/>
      </c>
      <c r="F46" s="358" t="n"/>
      <c r="G46" s="392" t="inlineStr">
        <is>
          <t>TOTAL HUTANG DAN MODAL</t>
        </is>
      </c>
      <c r="H46" s="393" t="n"/>
      <c r="I46" s="390" t="inlineStr">
        <is>
          <t>Rp</t>
        </is>
      </c>
      <c r="J46" s="391">
        <f>J44+J38</f>
        <v/>
      </c>
    </row>
    <row r="47" ht="15" customHeight="1">
      <c r="A47" s="373" t="n"/>
      <c r="B47" s="381" t="n"/>
      <c r="C47" s="382" t="n"/>
      <c r="D47" s="383" t="n"/>
      <c r="E47" s="384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88" t="inlineStr">
        <is>
          <t>CORPORATE TAX (PPh 29)</t>
        </is>
      </c>
      <c r="C48" s="389" t="n"/>
      <c r="D48" s="390" t="inlineStr">
        <is>
          <t>Rp</t>
        </is>
      </c>
      <c r="E48" s="391" t="n">
        <v>0</v>
      </c>
      <c r="F48" s="373" t="n"/>
      <c r="G48" s="388" t="n"/>
      <c r="H48" s="389" t="n"/>
      <c r="I48" s="390" t="n"/>
      <c r="J48" s="391" t="n"/>
    </row>
    <row r="49" ht="15" customHeight="1">
      <c r="A49" s="373" t="n"/>
      <c r="B49" s="381" t="n"/>
      <c r="C49" s="382" t="n"/>
      <c r="D49" s="383" t="n"/>
      <c r="E49" s="384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97" t="inlineStr">
        <is>
          <t>LABA / RUGI BERSIH</t>
        </is>
      </c>
      <c r="C50" s="398" t="n"/>
      <c r="D50" s="399" t="inlineStr">
        <is>
          <t>Rp</t>
        </is>
      </c>
      <c r="E50" s="400">
        <f>E46-E48</f>
        <v/>
      </c>
      <c r="F50" s="373" t="n"/>
      <c r="G50" s="397" t="n"/>
      <c r="H50" s="398" t="n"/>
      <c r="I50" s="399" t="n"/>
      <c r="J50" s="400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373" t="n"/>
      <c r="C52" s="373" t="n"/>
      <c r="D52" s="373" t="n"/>
      <c r="E52" s="373" t="n"/>
      <c r="F52" s="373" t="n"/>
      <c r="G52" s="373" t="n"/>
      <c r="H52" s="373" t="n"/>
      <c r="J52" s="401" t="n"/>
    </row>
    <row r="53">
      <c r="A53" s="373" t="n"/>
      <c r="B53" s="373" t="n"/>
      <c r="C53" s="373" t="n"/>
      <c r="D53" s="373" t="n"/>
      <c r="E53" s="373" t="n"/>
      <c r="F53" s="373" t="n"/>
      <c r="G53" s="373" t="n"/>
      <c r="H53" s="373" t="n"/>
    </row>
    <row r="54">
      <c r="A54" s="373" t="n"/>
      <c r="B54" s="402" t="inlineStr">
        <is>
          <t>Nama Lengkap</t>
        </is>
      </c>
      <c r="F54" s="373" t="n"/>
      <c r="G54" s="402" t="inlineStr">
        <is>
          <t>Nama Lengkap</t>
        </is>
      </c>
    </row>
    <row r="55">
      <c r="A55" s="373" t="n"/>
      <c r="B55" s="403" t="inlineStr">
        <is>
          <t>Direktur</t>
        </is>
      </c>
      <c r="F55" s="373" t="n"/>
      <c r="G55" s="403" t="inlineStr">
        <is>
          <t>Direktur</t>
        </is>
      </c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4" t="inlineStr">
        <is>
          <t>#</t>
        </is>
      </c>
      <c r="C6" s="404" t="inlineStr">
        <is>
          <t>Items</t>
        </is>
      </c>
      <c r="D6" s="405" t="inlineStr">
        <is>
          <t>Amount</t>
        </is>
      </c>
      <c r="E6" s="227" t="n"/>
      <c r="F6" s="358" t="n"/>
    </row>
    <row r="7" ht="20" customHeight="1">
      <c r="A7" s="355" t="n"/>
      <c r="B7" s="406" t="n">
        <v>1</v>
      </c>
      <c r="C7" s="407" t="inlineStr">
        <is>
          <t>Revenue</t>
        </is>
      </c>
      <c r="D7" s="408" t="inlineStr">
        <is>
          <t>Rp</t>
        </is>
      </c>
      <c r="E7" s="409">
        <f>SUM('Revenue-Cost_2024'!L8:L21)</f>
        <v/>
      </c>
      <c r="F7" s="358" t="n"/>
    </row>
    <row r="8" ht="20" customHeight="1">
      <c r="A8" s="355" t="n"/>
      <c r="B8" s="406" t="n">
        <v>2</v>
      </c>
      <c r="C8" s="407" t="inlineStr">
        <is>
          <t>Revenue Diterima (Setelah Pajak)</t>
        </is>
      </c>
      <c r="D8" s="408" t="inlineStr">
        <is>
          <t>Rp</t>
        </is>
      </c>
      <c r="E8" s="409">
        <f>E7-SUM('Revenue-Cost_2024'!N8:N21)</f>
        <v/>
      </c>
      <c r="F8" s="358" t="n"/>
    </row>
    <row r="9" ht="20" customHeight="1">
      <c r="A9" s="355" t="n"/>
      <c r="B9" s="406" t="n">
        <v>3</v>
      </c>
      <c r="C9" s="407" t="inlineStr">
        <is>
          <t>Biaya</t>
        </is>
      </c>
      <c r="D9" s="408" t="inlineStr">
        <is>
          <t>Rp</t>
        </is>
      </c>
      <c r="E9" s="409">
        <f>SUM('Revenue-Cost_2024'!I640:Y640)</f>
        <v/>
      </c>
      <c r="F9" s="358" t="n"/>
    </row>
    <row r="10" ht="20" customHeight="1">
      <c r="A10" s="355" t="n"/>
      <c r="B10" s="406" t="n">
        <v>4</v>
      </c>
      <c r="C10" s="407" t="inlineStr">
        <is>
          <t>Profit SebelumTax</t>
        </is>
      </c>
      <c r="D10" s="408" t="inlineStr">
        <is>
          <t>Rp</t>
        </is>
      </c>
      <c r="E10" s="409">
        <f>E7-E9</f>
        <v/>
      </c>
      <c r="F10" s="358" t="n"/>
    </row>
    <row r="11" ht="20" customHeight="1">
      <c r="A11" s="355" t="n"/>
      <c r="B11" s="406" t="n">
        <v>5</v>
      </c>
      <c r="C11" s="407" t="inlineStr">
        <is>
          <t>PPh Badan (22%*50%)</t>
        </is>
      </c>
      <c r="D11" s="408" t="inlineStr">
        <is>
          <t>Rp</t>
        </is>
      </c>
      <c r="E11" s="409">
        <f>E10*22%*50%</f>
        <v/>
      </c>
      <c r="F11" s="358" t="n"/>
    </row>
    <row r="12" ht="20" customHeight="1">
      <c r="A12" s="355" t="n"/>
      <c r="B12" s="406" t="n">
        <v>6</v>
      </c>
      <c r="C12" s="407" t="inlineStr">
        <is>
          <t>PPh 23 Dipotong oleh client</t>
        </is>
      </c>
      <c r="D12" s="408" t="inlineStr">
        <is>
          <t>Rp</t>
        </is>
      </c>
      <c r="E12" s="409">
        <f>SUM('Revenue-Cost_2024'!N8:N21)</f>
        <v/>
      </c>
      <c r="F12" s="358" t="n"/>
    </row>
    <row r="13" ht="20" customHeight="1">
      <c r="A13" s="355" t="n"/>
      <c r="B13" s="406" t="n">
        <v>7</v>
      </c>
      <c r="C13" s="407" t="inlineStr">
        <is>
          <t>Kekurangan Bayar PPh Badan</t>
        </is>
      </c>
      <c r="D13" s="408" t="inlineStr">
        <is>
          <t>Rp</t>
        </is>
      </c>
      <c r="E13" s="410">
        <f>E11-E12</f>
        <v/>
      </c>
      <c r="F13" s="358" t="n"/>
    </row>
    <row r="14" ht="20" customHeight="1">
      <c r="A14" s="355" t="n"/>
      <c r="B14" s="406" t="n">
        <v>8</v>
      </c>
      <c r="C14" s="407" t="inlineStr">
        <is>
          <t>Profit After Tax</t>
        </is>
      </c>
      <c r="D14" s="408" t="inlineStr">
        <is>
          <t>Rp</t>
        </is>
      </c>
      <c r="E14" s="409">
        <f>E10-E13</f>
        <v/>
      </c>
      <c r="F14" s="358" t="n"/>
    </row>
    <row r="15" ht="20" customHeight="1">
      <c r="A15" s="355" t="n"/>
      <c r="B15" s="406" t="n">
        <v>9</v>
      </c>
      <c r="C15" s="407" t="inlineStr">
        <is>
          <t>Deviden Dibagi</t>
        </is>
      </c>
      <c r="D15" s="408" t="inlineStr">
        <is>
          <t>Rp</t>
        </is>
      </c>
      <c r="E15" s="409">
        <f>E14-E16</f>
        <v/>
      </c>
      <c r="F15" s="358" t="n"/>
    </row>
    <row r="16" ht="20" customHeight="1">
      <c r="A16" s="355" t="n"/>
      <c r="B16" s="406" t="n">
        <v>10</v>
      </c>
      <c r="C16" s="407" t="inlineStr">
        <is>
          <t>Profit Ditahan</t>
        </is>
      </c>
      <c r="D16" s="408" t="inlineStr">
        <is>
          <t>Rp</t>
        </is>
      </c>
      <c r="E16" s="409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1" t="inlineStr">
        <is>
          <t>DEVIDEN</t>
        </is>
      </c>
      <c r="F18" s="358" t="n"/>
    </row>
    <row r="19" ht="20" customHeight="1">
      <c r="A19" s="355" t="n"/>
      <c r="B19" s="412" t="inlineStr">
        <is>
          <t>#</t>
        </is>
      </c>
      <c r="C19" s="412" t="inlineStr">
        <is>
          <t>Nama Lengkap</t>
        </is>
      </c>
      <c r="D19" s="413" t="inlineStr">
        <is>
          <t>Rp</t>
        </is>
      </c>
      <c r="E19" s="414" t="inlineStr">
        <is>
          <t>Amount</t>
        </is>
      </c>
      <c r="F19" s="358" t="n"/>
      <c r="G19" s="415" t="inlineStr"/>
    </row>
    <row r="20" ht="20" customHeight="1">
      <c r="A20" s="355" t="n"/>
      <c r="B20" s="416" t="n">
        <v>1</v>
      </c>
      <c r="C20" s="417" t="inlineStr">
        <is>
          <t>Anevril Chairulsyah</t>
        </is>
      </c>
      <c r="D20" s="418" t="inlineStr">
        <is>
          <t>Rp</t>
        </is>
      </c>
      <c r="E20" s="419">
        <f>IF(C20="","",ROUND($E$15/COUNTA($C$20:$C$21), 0))</f>
        <v/>
      </c>
      <c r="F20" s="420" t="n"/>
      <c r="G20" s="421" t="inlineStr">
        <is>
          <t>Pajak 10%</t>
        </is>
      </c>
    </row>
    <row r="21" ht="20" customHeight="1">
      <c r="A21" s="422" t="n"/>
      <c r="B21" s="423" t="n">
        <v>2</v>
      </c>
      <c r="C21" s="424" t="inlineStr">
        <is>
          <t>Alan Muhadjir</t>
        </is>
      </c>
      <c r="D21" s="425" t="inlineStr">
        <is>
          <t>Rp</t>
        </is>
      </c>
      <c r="E21" s="426">
        <f>IF(C21="","",ROUND($E$15/COUNTA($C$20:$C$21), 0))</f>
        <v/>
      </c>
      <c r="F21" s="420" t="n"/>
      <c r="G21" s="427" t="inlineStr">
        <is>
          <t>Pajak 10%</t>
        </is>
      </c>
    </row>
    <row r="22" ht="14.25" customHeight="1">
      <c r="A22" s="422" t="n"/>
      <c r="B22" s="427" t="n"/>
      <c r="C22" s="427" t="n"/>
      <c r="D22" s="427" t="n"/>
      <c r="E22" s="427" t="n"/>
      <c r="F22" s="420" t="n"/>
      <c r="G22" s="427" t="n"/>
    </row>
    <row r="23">
      <c r="B23" s="427" t="n"/>
      <c r="C23" s="427" t="n"/>
      <c r="D23" s="427" t="n"/>
      <c r="E23" s="427" t="n"/>
      <c r="F23" s="427" t="n"/>
      <c r="G23" s="427" t="n"/>
    </row>
    <row r="24">
      <c r="B24" s="427" t="n"/>
      <c r="C24" s="427" t="n"/>
      <c r="D24" s="427" t="n"/>
      <c r="E24" s="427" t="n"/>
      <c r="F24" s="427" t="n"/>
      <c r="G24" s="427" t="n"/>
    </row>
    <row r="25">
      <c r="B25" s="427" t="n"/>
      <c r="C25" s="427" t="n"/>
      <c r="D25" s="427" t="n"/>
      <c r="E25" s="427" t="n"/>
      <c r="F25" s="427" t="n"/>
      <c r="G25" s="427" t="n"/>
    </row>
    <row r="26">
      <c r="B26" s="427" t="n"/>
      <c r="C26" s="427" t="n"/>
      <c r="D26" s="427" t="n"/>
      <c r="E26" s="427" t="n"/>
      <c r="F26" s="427" t="n"/>
      <c r="G26" s="427" t="n"/>
    </row>
    <row r="27">
      <c r="B27" s="427" t="n"/>
      <c r="C27" s="427" t="n"/>
      <c r="D27" s="427" t="n"/>
      <c r="E27" s="427" t="n"/>
      <c r="F27" s="427" t="n"/>
      <c r="G27" s="427" t="n"/>
    </row>
    <row r="28">
      <c r="B28" s="427" t="n"/>
      <c r="C28" s="427" t="n"/>
      <c r="D28" s="427" t="n"/>
      <c r="E28" s="427" t="n"/>
      <c r="F28" s="427" t="n"/>
      <c r="G28" s="427" t="n"/>
    </row>
    <row r="29">
      <c r="B29" s="427" t="n"/>
      <c r="C29" s="427" t="n"/>
      <c r="D29" s="427" t="n"/>
      <c r="E29" s="427" t="n"/>
      <c r="F29" s="427" t="n"/>
      <c r="G29" s="427" t="n"/>
    </row>
    <row r="30">
      <c r="B30" s="427" t="n"/>
      <c r="C30" s="427" t="n"/>
      <c r="D30" s="427" t="n"/>
      <c r="E30" s="427" t="n"/>
      <c r="F30" s="427" t="n"/>
      <c r="G30" s="427" t="n"/>
    </row>
    <row r="31">
      <c r="B31" s="427" t="n"/>
      <c r="C31" s="427" t="n"/>
      <c r="D31" s="427" t="n"/>
      <c r="E31" s="427" t="n"/>
      <c r="F31" s="427" t="n"/>
      <c r="G31" s="427" t="n"/>
    </row>
    <row r="32">
      <c r="B32" s="427" t="n"/>
      <c r="C32" s="427" t="n"/>
      <c r="D32" s="427" t="n"/>
      <c r="E32" s="427" t="n"/>
      <c r="F32" s="427" t="n"/>
      <c r="G32" s="427" t="n"/>
    </row>
    <row r="33">
      <c r="B33" s="427" t="n"/>
      <c r="C33" s="427" t="n"/>
      <c r="D33" s="427" t="n"/>
      <c r="E33" s="427" t="n"/>
      <c r="F33" s="427" t="n"/>
      <c r="G33" s="427" t="n"/>
    </row>
    <row r="34">
      <c r="B34" s="427" t="n"/>
      <c r="C34" s="427" t="n"/>
      <c r="D34" s="427" t="n"/>
      <c r="E34" s="427" t="n"/>
      <c r="F34" s="427" t="n"/>
      <c r="G34" s="427" t="n"/>
    </row>
    <row r="35">
      <c r="B35" s="427" t="n"/>
      <c r="C35" s="427" t="n"/>
      <c r="D35" s="427" t="n"/>
      <c r="E35" s="427" t="n"/>
      <c r="F35" s="427" t="n"/>
      <c r="G35" s="427" t="n"/>
    </row>
    <row r="36">
      <c r="B36" s="427" t="n"/>
      <c r="C36" s="427" t="n"/>
      <c r="D36" s="427" t="n"/>
      <c r="E36" s="427" t="n"/>
      <c r="F36" s="427" t="n"/>
      <c r="G36" s="427" t="n"/>
    </row>
    <row r="37">
      <c r="B37" s="427" t="n"/>
      <c r="C37" s="427" t="n"/>
      <c r="D37" s="427" t="n"/>
      <c r="E37" s="427" t="n"/>
      <c r="F37" s="427" t="n"/>
      <c r="G37" s="427" t="n"/>
    </row>
    <row r="38">
      <c r="B38" s="427" t="n"/>
      <c r="C38" s="427" t="n"/>
      <c r="D38" s="427" t="n"/>
      <c r="E38" s="427" t="n"/>
      <c r="F38" s="427" t="n"/>
      <c r="G38" s="427" t="n"/>
    </row>
    <row r="39">
      <c r="B39" s="427" t="n"/>
      <c r="C39" s="427" t="n"/>
      <c r="D39" s="427" t="n"/>
      <c r="E39" s="427" t="n"/>
      <c r="F39" s="427" t="n"/>
      <c r="G39" s="427" t="n"/>
    </row>
    <row r="40">
      <c r="B40" s="427" t="n"/>
      <c r="C40" s="427" t="n"/>
      <c r="D40" s="427" t="n"/>
      <c r="E40" s="427" t="n"/>
      <c r="F40" s="427" t="n"/>
      <c r="G40" s="427" t="n"/>
    </row>
    <row r="41">
      <c r="B41" s="427" t="n"/>
      <c r="C41" s="427" t="n"/>
      <c r="D41" s="427" t="n"/>
      <c r="E41" s="427" t="n"/>
      <c r="F41" s="427" t="n"/>
      <c r="G41" s="427" t="n"/>
    </row>
    <row r="42">
      <c r="B42" s="427" t="n"/>
      <c r="C42" s="427" t="n"/>
      <c r="D42" s="427" t="n"/>
      <c r="E42" s="427" t="n"/>
      <c r="F42" s="427" t="n"/>
      <c r="G42" s="427" t="n"/>
    </row>
    <row r="43">
      <c r="B43" s="427" t="n"/>
      <c r="C43" s="427" t="n"/>
      <c r="D43" s="427" t="n"/>
      <c r="E43" s="427" t="n"/>
      <c r="F43" s="427" t="n"/>
      <c r="G43" s="427" t="n"/>
    </row>
    <row r="44">
      <c r="B44" s="427" t="n"/>
      <c r="C44" s="427" t="n"/>
      <c r="D44" s="427" t="n"/>
      <c r="E44" s="427" t="n"/>
      <c r="F44" s="427" t="n"/>
      <c r="G44" s="427" t="n"/>
    </row>
    <row r="45">
      <c r="B45" s="427" t="n"/>
      <c r="C45" s="427" t="n"/>
      <c r="D45" s="427" t="n"/>
      <c r="E45" s="427" t="n"/>
      <c r="F45" s="427" t="n"/>
      <c r="G45" s="427" t="n"/>
    </row>
    <row r="46">
      <c r="B46" s="427" t="n"/>
      <c r="C46" s="427" t="n"/>
      <c r="D46" s="427" t="n"/>
      <c r="E46" s="427" t="n"/>
      <c r="F46" s="427" t="n"/>
      <c r="G46" s="427" t="n"/>
    </row>
    <row r="47">
      <c r="B47" s="427" t="n"/>
      <c r="C47" s="427" t="n"/>
      <c r="D47" s="427" t="n"/>
      <c r="E47" s="427" t="n"/>
      <c r="F47" s="427" t="n"/>
      <c r="G47" s="427" t="n"/>
    </row>
    <row r="48">
      <c r="B48" s="427" t="n"/>
      <c r="C48" s="427" t="n"/>
      <c r="D48" s="427" t="n"/>
      <c r="E48" s="427" t="n"/>
      <c r="F48" s="427" t="n"/>
      <c r="G48" s="427" t="n"/>
    </row>
    <row r="49">
      <c r="B49" s="427" t="n"/>
      <c r="C49" s="427" t="n"/>
      <c r="D49" s="427" t="n"/>
      <c r="E49" s="427" t="n"/>
      <c r="F49" s="427" t="n"/>
      <c r="G49" s="427" t="n"/>
    </row>
    <row r="50">
      <c r="B50" s="427" t="n"/>
      <c r="C50" s="427" t="n"/>
      <c r="D50" s="427" t="n"/>
      <c r="E50" s="427" t="n"/>
      <c r="F50" s="427" t="n"/>
      <c r="G50" s="427" t="n"/>
    </row>
    <row r="51">
      <c r="B51" s="427" t="n"/>
      <c r="C51" s="427" t="n"/>
      <c r="D51" s="427" t="n"/>
      <c r="E51" s="427" t="n"/>
      <c r="F51" s="427" t="n"/>
      <c r="G51" s="427" t="n"/>
    </row>
    <row r="52">
      <c r="B52" s="427" t="n"/>
      <c r="C52" s="427" t="n"/>
      <c r="D52" s="427" t="n"/>
      <c r="E52" s="427" t="n"/>
      <c r="F52" s="427" t="n"/>
      <c r="G52" s="427" t="n"/>
    </row>
    <row r="53">
      <c r="B53" s="427" t="n"/>
      <c r="C53" s="427" t="n"/>
      <c r="D53" s="427" t="n"/>
      <c r="E53" s="427" t="n"/>
      <c r="F53" s="427" t="n"/>
      <c r="G53" s="427" t="n"/>
    </row>
    <row r="54">
      <c r="B54" s="427" t="n"/>
      <c r="C54" s="427" t="n"/>
      <c r="D54" s="427" t="n"/>
      <c r="E54" s="427" t="n"/>
      <c r="F54" s="427" t="n"/>
      <c r="G54" s="427" t="n"/>
    </row>
    <row r="55">
      <c r="B55" s="427" t="n"/>
      <c r="C55" s="427" t="n"/>
      <c r="D55" s="427" t="n"/>
      <c r="E55" s="427" t="n"/>
      <c r="F55" s="427" t="n"/>
      <c r="G55" s="427" t="n"/>
    </row>
    <row r="56">
      <c r="B56" s="427" t="n"/>
      <c r="C56" s="427" t="n"/>
      <c r="D56" s="427" t="n"/>
      <c r="E56" s="427" t="n"/>
      <c r="F56" s="427" t="n"/>
      <c r="G56" s="427" t="n"/>
    </row>
    <row r="57">
      <c r="B57" s="427" t="n"/>
      <c r="C57" s="427" t="n"/>
      <c r="D57" s="427" t="n"/>
      <c r="E57" s="427" t="n"/>
      <c r="F57" s="427" t="n"/>
      <c r="G57" s="427" t="n"/>
    </row>
    <row r="58">
      <c r="B58" s="427" t="n"/>
      <c r="C58" s="427" t="n"/>
      <c r="D58" s="427" t="n"/>
      <c r="E58" s="427" t="n"/>
      <c r="F58" s="427" t="n"/>
      <c r="G58" s="427" t="n"/>
    </row>
    <row r="59">
      <c r="B59" s="427" t="n"/>
      <c r="C59" s="427" t="n"/>
      <c r="D59" s="427" t="n"/>
      <c r="E59" s="427" t="n"/>
      <c r="F59" s="427" t="n"/>
      <c r="G59" s="427" t="n"/>
    </row>
    <row r="60">
      <c r="B60" s="427" t="n"/>
      <c r="C60" s="427" t="n"/>
      <c r="D60" s="427" t="n"/>
      <c r="E60" s="427" t="n"/>
      <c r="F60" s="427" t="n"/>
      <c r="G60" s="427" t="n"/>
    </row>
    <row r="61">
      <c r="B61" s="427" t="n"/>
      <c r="C61" s="427" t="n"/>
      <c r="D61" s="427" t="n"/>
      <c r="E61" s="427" t="n"/>
      <c r="F61" s="427" t="n"/>
      <c r="G61" s="427" t="n"/>
    </row>
    <row r="62">
      <c r="B62" s="427" t="n"/>
      <c r="C62" s="427" t="n"/>
      <c r="D62" s="427" t="n"/>
      <c r="E62" s="427" t="n"/>
      <c r="F62" s="427" t="n"/>
      <c r="G62" s="427" t="n"/>
    </row>
    <row r="63" ht="64.5" customHeight="1">
      <c r="B63" s="427" t="n"/>
      <c r="C63" s="427" t="n"/>
      <c r="D63" s="427" t="n"/>
      <c r="E63" s="427" t="n"/>
      <c r="F63" s="427" t="n"/>
      <c r="G63" s="427" t="n"/>
    </row>
    <row r="64">
      <c r="B64" s="427" t="n"/>
      <c r="C64" s="427" t="n"/>
      <c r="D64" s="427" t="n"/>
      <c r="E64" s="427" t="n"/>
      <c r="F64" s="427" t="n"/>
      <c r="G64" s="427" t="n"/>
    </row>
    <row r="65">
      <c r="B65" s="427" t="n"/>
      <c r="C65" s="427" t="n"/>
      <c r="D65" s="427" t="n"/>
      <c r="E65" s="427" t="n"/>
      <c r="F65" s="427" t="n"/>
      <c r="G65" s="427" t="n"/>
    </row>
    <row r="66">
      <c r="B66" s="427" t="n"/>
      <c r="C66" s="427" t="n"/>
      <c r="D66" s="427" t="n"/>
      <c r="E66" s="427" t="n"/>
      <c r="F66" s="427" t="n"/>
      <c r="G66" s="427" t="n"/>
    </row>
    <row r="67">
      <c r="B67" s="427" t="n"/>
      <c r="C67" s="427" t="n"/>
      <c r="D67" s="427" t="n"/>
      <c r="E67" s="427" t="n"/>
      <c r="F67" s="427" t="n"/>
      <c r="G67" s="427" t="n"/>
    </row>
    <row r="68">
      <c r="B68" s="427" t="n"/>
      <c r="C68" s="427" t="n"/>
      <c r="D68" s="427" t="n"/>
      <c r="E68" s="427" t="n"/>
      <c r="F68" s="427" t="n"/>
      <c r="G68" s="427" t="n"/>
    </row>
    <row r="69">
      <c r="B69" s="427" t="n"/>
      <c r="C69" s="427" t="n"/>
      <c r="D69" s="427" t="n"/>
      <c r="E69" s="427" t="n"/>
      <c r="F69" s="427" t="n"/>
      <c r="G69" s="427" t="n"/>
    </row>
    <row r="70">
      <c r="B70" s="427" t="n"/>
      <c r="C70" s="427" t="n"/>
      <c r="D70" s="427" t="n"/>
      <c r="E70" s="427" t="n"/>
      <c r="F70" s="427" t="n"/>
      <c r="G70" s="427" t="n"/>
    </row>
    <row r="71">
      <c r="B71" s="427" t="n"/>
      <c r="C71" s="427" t="n"/>
      <c r="D71" s="427" t="n"/>
      <c r="E71" s="427" t="n"/>
      <c r="F71" s="427" t="n"/>
      <c r="G71" s="427" t="n"/>
    </row>
    <row r="72">
      <c r="B72" s="427" t="n"/>
      <c r="C72" s="427" t="n"/>
      <c r="D72" s="427" t="n"/>
      <c r="E72" s="427" t="n"/>
      <c r="F72" s="427" t="n"/>
      <c r="G72" s="427" t="n"/>
    </row>
    <row r="73">
      <c r="B73" s="427" t="n"/>
      <c r="C73" s="427" t="n"/>
      <c r="D73" s="427" t="n"/>
      <c r="E73" s="427" t="n"/>
      <c r="F73" s="427" t="n"/>
      <c r="G73" s="427" t="n"/>
    </row>
    <row r="74">
      <c r="B74" s="427" t="n"/>
      <c r="C74" s="427" t="n"/>
      <c r="D74" s="427" t="n"/>
      <c r="E74" s="427" t="n"/>
      <c r="F74" s="427" t="n"/>
      <c r="G74" s="427" t="n"/>
    </row>
    <row r="75">
      <c r="B75" s="427" t="n"/>
      <c r="C75" s="427" t="n"/>
      <c r="D75" s="427" t="n"/>
      <c r="E75" s="427" t="n"/>
      <c r="F75" s="427" t="n"/>
      <c r="G75" s="427" t="n"/>
    </row>
    <row r="76">
      <c r="B76" s="427" t="n"/>
      <c r="C76" s="427" t="n"/>
      <c r="D76" s="427" t="n"/>
      <c r="E76" s="427" t="n"/>
      <c r="F76" s="427" t="n"/>
      <c r="G76" s="427" t="n"/>
    </row>
    <row r="77">
      <c r="B77" s="427" t="n"/>
      <c r="C77" s="427" t="n"/>
      <c r="D77" s="427" t="n"/>
      <c r="E77" s="427" t="n"/>
      <c r="F77" s="427" t="n"/>
      <c r="G77" s="427" t="n"/>
    </row>
    <row r="78">
      <c r="B78" s="427" t="n"/>
      <c r="C78" s="427" t="n"/>
      <c r="D78" s="427" t="n"/>
      <c r="E78" s="427" t="n"/>
      <c r="F78" s="427" t="n"/>
      <c r="G78" s="427" t="n"/>
    </row>
    <row r="79">
      <c r="B79" s="427" t="n"/>
      <c r="C79" s="427" t="n"/>
      <c r="D79" s="427" t="n"/>
      <c r="E79" s="427" t="n"/>
      <c r="F79" s="427" t="n"/>
      <c r="G79" s="427" t="n"/>
    </row>
    <row r="80">
      <c r="B80" s="427" t="n"/>
      <c r="C80" s="427" t="n"/>
      <c r="D80" s="427" t="n"/>
      <c r="E80" s="427" t="n"/>
      <c r="F80" s="427" t="n"/>
      <c r="G80" s="42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2026-04-24T16:18:24Z</dcterms:modified>
  <cp:lastModifiedBy>Diofavian - Student</cp:lastModifiedBy>
</cp:coreProperties>
</file>