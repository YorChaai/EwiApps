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30" sheetId="1" state="visible" r:id="rId1"/>
    <sheet name="Laba rugi -2030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2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i val="1"/>
      <color rgb="00808080"/>
    </font>
    <font>
      <name val="Arial Narrow"/>
      <family val="2"/>
      <i val="1"/>
      <color rgb="00808080"/>
      <sz val="12"/>
    </font>
    <font>
      <b val="1"/>
    </font>
    <font>
      <b val="1"/>
      <color rgb="00000000"/>
      <sz val="10"/>
    </font>
    <font>
      <name val="Trebuchet MS"/>
      <b val="1"/>
      <sz val="14"/>
    </font>
  </fonts>
  <fills count="12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82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0" fontId="35" fillId="0" borderId="0" applyAlignment="1" pivotButton="0" quotePrefix="0" xfId="0">
      <alignment horizontal="center"/>
    </xf>
    <xf numFmtId="0" fontId="36" fillId="0" borderId="4" applyAlignment="1" pivotButton="0" quotePrefix="0" xfId="0">
      <alignment horizontal="center"/>
    </xf>
    <xf numFmtId="0" fontId="1" fillId="0" borderId="0" pivotButton="0" quotePrefix="0" xfId="0"/>
    <xf numFmtId="0" fontId="37" fillId="0" borderId="4" applyAlignment="1" pivotButton="0" quotePrefix="0" xfId="0">
      <alignment horizontal="right" vertical="center"/>
    </xf>
    <xf numFmtId="0" fontId="10" fillId="0" borderId="4" pivotButton="0" quotePrefix="0" xfId="1"/>
    <xf numFmtId="0" fontId="10" fillId="10" borderId="4" applyAlignment="1" pivotButton="0" quotePrefix="0" xfId="0">
      <alignment horizontal="center"/>
    </xf>
    <xf numFmtId="0" fontId="10" fillId="10" borderId="4" pivotButton="0" quotePrefix="0" xfId="0"/>
    <xf numFmtId="0" fontId="10" fillId="10" borderId="4" pivotButton="0" quotePrefix="0" xfId="1"/>
    <xf numFmtId="0" fontId="11" fillId="10" borderId="4" pivotButton="0" quotePrefix="0" xfId="0"/>
    <xf numFmtId="0" fontId="13" fillId="0" borderId="0" pivotButton="0" quotePrefix="0" xfId="0"/>
    <xf numFmtId="0" fontId="10" fillId="0" borderId="9" pivotButton="0" quotePrefix="0" xfId="1"/>
    <xf numFmtId="0" fontId="10" fillId="0" borderId="10" pivotButton="0" quotePrefix="0" xfId="1"/>
    <xf numFmtId="0" fontId="10" fillId="0" borderId="0" pivotButton="0" quotePrefix="0" xfId="1"/>
    <xf numFmtId="0" fontId="10" fillId="6" borderId="4" applyAlignment="1" pivotButton="0" quotePrefix="0" xfId="0">
      <alignment horizontal="right" vertical="center"/>
    </xf>
    <xf numFmtId="0" fontId="10" fillId="0" borderId="4" applyAlignment="1" pivotButton="0" quotePrefix="0" xfId="1">
      <alignment horizontal="center" vertical="center"/>
    </xf>
    <xf numFmtId="0" fontId="10" fillId="0" borderId="4" applyAlignment="1" pivotButton="0" quotePrefix="0" xfId="0">
      <alignment vertical="center"/>
    </xf>
    <xf numFmtId="0" fontId="10" fillId="6" borderId="6" applyAlignment="1" pivotButton="0" quotePrefix="0" xfId="0">
      <alignment horizontal="right" vertical="center"/>
    </xf>
    <xf numFmtId="0" fontId="10" fillId="0" borderId="5" applyAlignment="1" pivotButton="0" quotePrefix="0" xfId="1">
      <alignment horizontal="center" vertical="center"/>
    </xf>
    <xf numFmtId="0" fontId="10" fillId="0" borderId="5" applyAlignment="1" pivotButton="0" quotePrefix="0" xfId="0">
      <alignment vertical="center"/>
    </xf>
    <xf numFmtId="0" fontId="8" fillId="0" borderId="8" pivotButton="0" quotePrefix="0" xfId="0"/>
    <xf numFmtId="0" fontId="8" fillId="7" borderId="10" pivotButton="0" quotePrefix="0" xfId="0"/>
    <xf numFmtId="0" fontId="8" fillId="7" borderId="8" pivotButton="0" quotePrefix="0" xfId="0"/>
    <xf numFmtId="0" fontId="8" fillId="7" borderId="4" pivotButton="0" quotePrefix="0" xfId="0"/>
    <xf numFmtId="3" fontId="10" fillId="0" borderId="4" applyAlignment="1" pivotButton="0" quotePrefix="0" xfId="0">
      <alignment horizontal="center"/>
    </xf>
    <xf numFmtId="15" fontId="37" fillId="0" borderId="4" applyAlignment="1" pivotButton="0" quotePrefix="0" xfId="0">
      <alignment horizontal="right" vertical="center"/>
    </xf>
    <xf numFmtId="0" fontId="37" fillId="0" borderId="9" pivotButton="0" quotePrefix="0" xfId="0"/>
    <xf numFmtId="0" fontId="37" fillId="0" borderId="8" pivotButton="0" quotePrefix="0" xfId="0"/>
    <xf numFmtId="0" fontId="37" fillId="0" borderId="4" pivotButton="0" quotePrefix="0" xfId="0"/>
    <xf numFmtId="165" fontId="37" fillId="0" borderId="4" pivotButton="0" quotePrefix="0" xfId="1"/>
    <xf numFmtId="15" fontId="37" fillId="6" borderId="4" pivotButton="0" quotePrefix="0" xfId="0"/>
    <xf numFmtId="165" fontId="37" fillId="0" borderId="0" pivotButton="0" quotePrefix="0" xfId="1"/>
    <xf numFmtId="167" fontId="38" fillId="11" borderId="20" applyAlignment="1" pivotButton="0" quotePrefix="0" xfId="0">
      <alignment horizontal="center" vertical="center" wrapText="1"/>
    </xf>
    <xf numFmtId="165" fontId="38" fillId="11" borderId="20" applyAlignment="1" pivotButton="0" quotePrefix="0" xfId="0">
      <alignment horizontal="center" vertical="center" wrapText="1"/>
    </xf>
    <xf numFmtId="0" fontId="38" fillId="11" borderId="20" applyAlignment="1" pivotButton="0" quotePrefix="0" xfId="0">
      <alignment horizontal="center" vertical="center" wrapText="1"/>
    </xf>
    <xf numFmtId="0" fontId="38" fillId="11" borderId="20" applyAlignment="1" pivotButton="0" quotePrefix="0" xfId="3">
      <alignment horizontal="center" vertical="center" wrapText="1"/>
    </xf>
    <xf numFmtId="15" fontId="10" fillId="0" borderId="20" pivotButton="0" quotePrefix="0" xfId="0"/>
    <xf numFmtId="0" fontId="10" fillId="0" borderId="20" applyAlignment="1" pivotButton="0" quotePrefix="0" xfId="0">
      <alignment horizontal="center"/>
    </xf>
    <xf numFmtId="0" fontId="36" fillId="0" borderId="20" applyAlignment="1" pivotButton="0" quotePrefix="0" xfId="0">
      <alignment horizontal="center"/>
    </xf>
    <xf numFmtId="0" fontId="10" fillId="0" borderId="20" pivotButton="0" quotePrefix="0" xfId="0"/>
    <xf numFmtId="165" fontId="10" fillId="0" borderId="20" pivotButton="0" quotePrefix="0" xfId="1"/>
    <xf numFmtId="0" fontId="10" fillId="0" borderId="20" applyAlignment="1" pivotButton="0" quotePrefix="0" xfId="0">
      <alignment horizontal="center" vertical="center"/>
    </xf>
    <xf numFmtId="165" fontId="8" fillId="0" borderId="20" applyAlignment="1" pivotButton="0" quotePrefix="0" xfId="0">
      <alignment vertical="top"/>
    </xf>
    <xf numFmtId="165" fontId="8" fillId="0" borderId="20" pivotButton="0" quotePrefix="0" xfId="0"/>
    <xf numFmtId="0" fontId="8" fillId="0" borderId="20" pivotButton="0" quotePrefix="0" xfId="0"/>
    <xf numFmtId="0" fontId="1" fillId="0" borderId="20" pivotButton="0" quotePrefix="0" xfId="0"/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7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7" fillId="0" borderId="20" applyAlignment="1" pivotButton="0" quotePrefix="0" xfId="0">
      <alignment horizontal="right" vertical="center"/>
    </xf>
    <xf numFmtId="167" fontId="8" fillId="0" borderId="20" applyAlignment="1" pivotButton="0" quotePrefix="0" xfId="1">
      <alignment vertical="top"/>
    </xf>
    <xf numFmtId="0" fontId="0" fillId="0" borderId="20" pivotButton="0" quotePrefix="0" xfId="0"/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7" fontId="8" fillId="0" borderId="4" applyAlignment="1" pivotButton="0" quotePrefix="0" xfId="1">
      <alignment vertical="top"/>
    </xf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167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9" fillId="6" borderId="0" pivotButton="0" quotePrefix="0" xfId="0"/>
    <xf numFmtId="0" fontId="39" fillId="6" borderId="20" applyAlignment="1" pivotButton="0" quotePrefix="0" xfId="0">
      <alignment horizontal="center" vertical="center"/>
    </xf>
    <xf numFmtId="165" fontId="39" fillId="6" borderId="20" applyAlignment="1" pivotButton="0" quotePrefix="0" xfId="0">
      <alignment horizontal="center" vertical="center"/>
    </xf>
    <xf numFmtId="0" fontId="39" fillId="6" borderId="0" applyAlignment="1" pivotButton="0" quotePrefix="0" xfId="0">
      <alignment horizontal="center" vertical="center"/>
    </xf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12" customWidth="1" style="298" min="7" max="7"/>
    <col width="16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2030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2030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  <c r="Q7" s="309" t="inlineStr">
        <is>
          <t>con: inc.PPN11%</t>
        </is>
      </c>
    </row>
    <row r="8" ht="15.5" customHeight="1" s="297">
      <c r="B8" s="18" t="n"/>
      <c r="C8" s="15" t="n"/>
      <c r="D8" s="310" t="inlineStr">
        <is>
          <t>Belum ada data revenue dan pajak</t>
        </is>
      </c>
      <c r="E8" s="279" t="n"/>
      <c r="F8" s="28" t="n"/>
      <c r="G8" s="15" t="n"/>
      <c r="H8" s="15" t="n"/>
      <c r="I8" s="15" t="n"/>
      <c r="J8" s="18" t="n"/>
      <c r="K8" s="18" t="n"/>
      <c r="L8" s="18" t="n"/>
      <c r="M8" s="143" t="n"/>
      <c r="N8" s="143" t="n"/>
      <c r="O8" s="18" t="n"/>
      <c r="P8" s="18" t="n"/>
      <c r="Q8" s="311" t="n"/>
    </row>
    <row r="9" ht="15.5" customHeight="1" s="297">
      <c r="B9" s="312" t="inlineStr">
        <is>
          <t>REVENUE (IDR)</t>
        </is>
      </c>
      <c r="C9" s="278" t="n"/>
      <c r="D9" s="278" t="n"/>
      <c r="E9" s="279" t="n"/>
      <c r="F9" s="313">
        <f>SUM(F8:F8)</f>
        <v/>
      </c>
      <c r="G9" s="15" t="n"/>
      <c r="H9" s="15" t="n"/>
      <c r="I9" s="314" t="n"/>
      <c r="J9" s="315" t="n"/>
      <c r="K9" s="315" t="n"/>
      <c r="L9" s="316">
        <f>SUM(L8:L8)</f>
        <v/>
      </c>
      <c r="M9" s="317">
        <f>SUM(M8:M8)</f>
        <v/>
      </c>
      <c r="N9" s="317">
        <f>SUM(N8:N8)</f>
        <v/>
      </c>
      <c r="O9" s="18">
        <f>SUM(O8:O8)</f>
        <v/>
      </c>
      <c r="P9" s="18" t="inlineStr"/>
    </row>
    <row r="10" hidden="1" ht="15.5" customHeight="1" s="297">
      <c r="B10" s="18" t="n"/>
      <c r="C10" s="15" t="n"/>
      <c r="D10" s="284" t="n"/>
      <c r="F10" s="28" t="n"/>
      <c r="G10" s="15" t="n"/>
      <c r="H10" s="15" t="n"/>
      <c r="I10" s="15" t="n"/>
      <c r="J10" s="18" t="n"/>
      <c r="K10" s="18" t="n"/>
      <c r="L10" s="18" t="n"/>
      <c r="M10" s="143" t="n"/>
      <c r="N10" s="143" t="n"/>
      <c r="O10" s="18" t="n"/>
      <c r="P10" s="18" t="n"/>
      <c r="Q10" s="318" t="n"/>
    </row>
    <row r="11" hidden="1" ht="15.5" customHeight="1" s="297">
      <c r="B11" s="18" t="n"/>
      <c r="C11" s="15" t="n"/>
      <c r="D11" s="284" t="n"/>
      <c r="F11" s="28" t="n"/>
      <c r="G11" s="15" t="n"/>
      <c r="H11" s="15" t="n"/>
      <c r="I11" s="15" t="n"/>
      <c r="J11" s="18" t="n"/>
      <c r="K11" s="18" t="n"/>
      <c r="L11" s="18" t="n"/>
      <c r="M11" s="143" t="n"/>
      <c r="N11" s="143" t="n"/>
      <c r="O11" s="18" t="n"/>
      <c r="P11" s="18" t="n"/>
    </row>
    <row r="12" hidden="1" ht="15.5" customHeight="1" s="297">
      <c r="B12" s="18" t="n"/>
      <c r="C12" s="15" t="n"/>
      <c r="D12" s="284" t="n"/>
      <c r="F12" s="28" t="n"/>
      <c r="G12" s="15" t="n"/>
      <c r="H12" s="15" t="n"/>
      <c r="I12" s="15" t="n"/>
      <c r="J12" s="18" t="n"/>
      <c r="K12" s="98" t="n"/>
      <c r="L12" s="18" t="n"/>
      <c r="M12" s="143" t="n"/>
      <c r="N12" s="143" t="n"/>
      <c r="O12" s="18" t="n"/>
      <c r="P12" s="18" t="n"/>
    </row>
    <row r="13" hidden="1" ht="15.5" customHeight="1" s="297">
      <c r="B13" s="18" t="n"/>
      <c r="C13" s="15" t="n"/>
      <c r="D13" s="284" t="n"/>
      <c r="F13" s="28" t="n"/>
      <c r="G13" s="15" t="n"/>
      <c r="H13" s="15" t="n"/>
      <c r="I13" s="15" t="n"/>
      <c r="J13" s="18" t="n"/>
      <c r="K13" s="98" t="n"/>
      <c r="L13" s="18" t="n"/>
      <c r="M13" s="143" t="n"/>
      <c r="N13" s="143" t="n"/>
      <c r="O13" s="18" t="n"/>
      <c r="P13" s="18" t="n"/>
    </row>
    <row r="14" hidden="1" ht="15.5" customHeight="1" s="297">
      <c r="B14" s="18" t="n"/>
      <c r="C14" s="15" t="n"/>
      <c r="D14" s="284" t="n"/>
      <c r="F14" s="28" t="n"/>
      <c r="G14" s="15" t="n"/>
      <c r="H14" s="15" t="n"/>
      <c r="I14" s="15" t="n"/>
      <c r="J14" s="18" t="n"/>
      <c r="K14" s="18" t="n"/>
      <c r="L14" s="18" t="n"/>
      <c r="M14" s="143" t="n"/>
      <c r="N14" s="143" t="n"/>
      <c r="O14" s="18" t="n"/>
      <c r="P14" s="18" t="n"/>
    </row>
    <row r="15" hidden="1" ht="15.5" customHeight="1" s="297">
      <c r="B15" s="18" t="n"/>
      <c r="C15" s="15" t="n"/>
      <c r="D15" s="284" t="n"/>
      <c r="F15" s="28" t="n"/>
      <c r="G15" s="15" t="n"/>
      <c r="H15" s="15" t="n"/>
      <c r="I15" s="15" t="n"/>
      <c r="J15" s="18" t="n"/>
      <c r="K15" s="98" t="n"/>
      <c r="L15" s="18" t="n"/>
      <c r="M15" s="143" t="n"/>
      <c r="N15" s="143" t="n"/>
      <c r="O15" s="18" t="n"/>
      <c r="P15" s="18" t="n"/>
    </row>
    <row r="16" hidden="1" ht="15.5" customHeight="1" s="297">
      <c r="B16" s="18" t="n"/>
      <c r="C16" s="15" t="n"/>
      <c r="D16" s="284" t="n"/>
      <c r="F16" s="28" t="n"/>
      <c r="G16" s="15" t="n"/>
      <c r="H16" s="15" t="n"/>
      <c r="I16" s="15" t="n"/>
      <c r="J16" s="18" t="n"/>
      <c r="K16" s="98" t="n"/>
      <c r="L16" s="18" t="n"/>
      <c r="M16" s="143" t="n"/>
      <c r="N16" s="143" t="n"/>
      <c r="O16" s="18" t="n"/>
      <c r="P16" s="18" t="n"/>
    </row>
    <row r="17" hidden="1" ht="15.5" customHeight="1" s="297">
      <c r="B17" s="18" t="n"/>
      <c r="C17" s="15" t="n"/>
      <c r="D17" s="284" t="n"/>
      <c r="F17" s="28" t="n"/>
      <c r="G17" s="15" t="n"/>
      <c r="H17" s="15" t="n"/>
      <c r="I17" s="15" t="n"/>
      <c r="J17" s="18" t="n"/>
      <c r="K17" s="98" t="n"/>
      <c r="L17" s="18" t="n"/>
      <c r="M17" s="143" t="n"/>
      <c r="N17" s="143" t="n"/>
      <c r="O17" s="18" t="n"/>
      <c r="P17" s="18" t="n"/>
    </row>
    <row r="18" hidden="1" ht="15.5" customHeight="1" s="297">
      <c r="B18" s="18" t="n"/>
      <c r="C18" s="15" t="n"/>
      <c r="D18" s="284" t="n"/>
      <c r="F18" s="319" t="n"/>
      <c r="G18" s="15" t="n"/>
      <c r="H18" s="15" t="n"/>
      <c r="I18" s="15" t="n"/>
      <c r="J18" s="18" t="n"/>
      <c r="K18" s="98" t="n"/>
      <c r="L18" s="320" t="n"/>
      <c r="M18" s="143" t="n"/>
      <c r="N18" s="143" t="n"/>
      <c r="O18" s="18" t="n"/>
      <c r="P18" s="18" t="n"/>
    </row>
    <row r="19" hidden="1" ht="15.5" customHeight="1" s="297">
      <c r="B19" s="18" t="n"/>
      <c r="C19" s="15" t="n"/>
      <c r="D19" s="284" t="n"/>
      <c r="F19" s="321" t="n"/>
      <c r="G19" s="15" t="n"/>
      <c r="H19" s="15" t="n"/>
      <c r="I19" s="15" t="n"/>
      <c r="J19" s="18" t="n"/>
      <c r="K19" s="322" t="n"/>
      <c r="L19" s="323" t="n"/>
      <c r="M19" s="143" t="n"/>
      <c r="N19" s="143" t="n"/>
      <c r="O19" s="324" t="n"/>
      <c r="P19" s="18" t="n"/>
    </row>
    <row r="20" hidden="1" ht="15.5" customHeight="1" s="297">
      <c r="B20" s="18" t="n"/>
      <c r="C20" s="15" t="n"/>
      <c r="D20" s="284" t="n"/>
      <c r="F20" s="28" t="n"/>
      <c r="G20" s="15" t="n"/>
      <c r="H20" s="15" t="n"/>
      <c r="I20" s="15" t="n"/>
      <c r="J20" s="18" t="n"/>
      <c r="M20" s="143" t="n"/>
      <c r="N20" s="143" t="n"/>
      <c r="P20" s="18" t="n"/>
    </row>
    <row r="21" hidden="1" ht="15.5" customHeight="1" s="297">
      <c r="B21" s="18" t="n"/>
      <c r="C21" s="15" t="n"/>
      <c r="D21" s="284" t="n"/>
      <c r="F21" s="28" t="n"/>
      <c r="G21" s="15" t="n"/>
      <c r="H21" s="15" t="n"/>
      <c r="I21" s="27" t="n"/>
      <c r="J21" s="28" t="n"/>
      <c r="K21" s="325" t="n"/>
      <c r="L21" s="326" t="n"/>
      <c r="M21" s="143" t="n"/>
      <c r="N21" s="143" t="n"/>
      <c r="O21" s="327" t="n"/>
      <c r="P21" s="18" t="n"/>
    </row>
    <row r="22" hidden="1" ht="15.5" customHeight="1" s="297">
      <c r="B22" s="286" t="n"/>
      <c r="F22" s="328" t="n"/>
      <c r="G22" s="33" t="n"/>
      <c r="H22" s="33" t="n"/>
      <c r="I22" s="329" t="n"/>
      <c r="J22" s="330" t="n"/>
      <c r="K22" s="329" t="n"/>
      <c r="L22" s="331" t="n"/>
      <c r="M22" s="331" t="n"/>
      <c r="N22" s="331" t="n"/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/>
      <c r="C27" s="15" t="n"/>
      <c r="D27" s="310" t="inlineStr">
        <is>
          <t>Belum ada data pajak</t>
        </is>
      </c>
      <c r="E27" s="279" t="n"/>
      <c r="F27" s="19" t="n"/>
      <c r="G27" s="15" t="inlineStr">
        <is>
          <t>IDR</t>
        </is>
      </c>
      <c r="H27" s="332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333" t="inlineStr">
        <is>
          <t>PENERIMAAN NEGARA (TAX) (IDR)</t>
        </is>
      </c>
      <c r="C28" s="334" t="n"/>
      <c r="D28" s="334" t="n"/>
      <c r="E28" s="334" t="n"/>
      <c r="F28" s="334" t="n"/>
      <c r="G28" s="334" t="n"/>
      <c r="H28" s="335" t="n"/>
      <c r="I28" s="336" t="inlineStr">
        <is>
          <t>PPN</t>
        </is>
      </c>
      <c r="J28" s="337">
        <f>SUM(J27:J27)</f>
        <v/>
      </c>
      <c r="K28" s="338" t="inlineStr">
        <is>
          <t>PPh</t>
        </is>
      </c>
      <c r="L28" s="337">
        <f>SUM(L27:L27)</f>
        <v/>
      </c>
      <c r="M28" s="338" t="inlineStr">
        <is>
          <t>PPh</t>
        </is>
      </c>
      <c r="N28" s="337">
        <f>SUM(N27:N27)</f>
        <v/>
      </c>
      <c r="O28" s="338" t="inlineStr">
        <is>
          <t>PPh</t>
        </is>
      </c>
      <c r="P28" s="337">
        <f>SUM(P27:P27)</f>
        <v/>
      </c>
      <c r="Q28" s="339" t="inlineStr">
        <is>
          <t>-</t>
        </is>
      </c>
    </row>
    <row r="29" hidden="1" ht="15.5" customHeight="1" s="297">
      <c r="B29" s="14" t="n"/>
      <c r="C29" s="15" t="n"/>
      <c r="D29" s="284" t="n"/>
      <c r="F29" s="19" t="n"/>
      <c r="G29" s="15" t="n"/>
      <c r="H29" s="15" t="n"/>
      <c r="I29" s="18" t="n"/>
      <c r="J29" s="21" t="n"/>
      <c r="K29" s="24" t="n"/>
      <c r="L29" s="21" t="n"/>
      <c r="M29" s="24" t="n"/>
      <c r="N29" s="21" t="n"/>
      <c r="O29" s="24" t="n"/>
      <c r="P29" s="21" t="n"/>
      <c r="Q29" s="42" t="n"/>
    </row>
    <row r="30" hidden="1" ht="15.5" customHeight="1" s="297">
      <c r="B30" s="14" t="n"/>
      <c r="C30" s="15" t="n"/>
      <c r="D30" s="284" t="n"/>
      <c r="F30" s="19" t="n"/>
      <c r="G30" s="15" t="n"/>
      <c r="H30" s="15" t="n"/>
      <c r="I30" s="18" t="n"/>
      <c r="J30" s="21" t="n"/>
      <c r="K30" s="24" t="n"/>
      <c r="L30" s="21" t="n"/>
      <c r="M30" s="24" t="n"/>
      <c r="N30" s="21" t="n"/>
      <c r="O30" s="24" t="n"/>
      <c r="P30" s="21" t="n"/>
      <c r="Q30" s="42" t="n"/>
    </row>
    <row r="31" hidden="1" ht="15.5" customHeight="1" s="297">
      <c r="B31" s="14" t="n"/>
      <c r="C31" s="15" t="n"/>
      <c r="D31" s="284" t="n"/>
      <c r="F31" s="19" t="n"/>
      <c r="G31" s="15" t="n"/>
      <c r="H31" s="15" t="n"/>
      <c r="I31" s="18" t="n"/>
      <c r="J31" s="18" t="n"/>
      <c r="K31" s="24" t="n"/>
      <c r="L31" s="21" t="n"/>
      <c r="M31" s="24" t="n"/>
      <c r="N31" s="21" t="n"/>
      <c r="O31" s="24" t="n"/>
      <c r="P31" s="21" t="n"/>
      <c r="Q31" s="42" t="n"/>
    </row>
    <row r="32" hidden="1" ht="15.5" customHeight="1" s="297">
      <c r="B32" s="14" t="n"/>
      <c r="C32" s="15" t="n"/>
      <c r="D32" s="284" t="n"/>
      <c r="F32" s="19" t="n"/>
      <c r="G32" s="15" t="n"/>
      <c r="H32" s="15" t="n"/>
      <c r="I32" s="18" t="n"/>
      <c r="J32" s="21" t="n"/>
      <c r="K32" s="24" t="n"/>
      <c r="L32" s="21" t="n"/>
      <c r="M32" s="24" t="n"/>
      <c r="N32" s="21" t="n"/>
      <c r="O32" s="24" t="n"/>
      <c r="P32" s="21" t="n"/>
      <c r="Q32" s="42" t="n"/>
    </row>
    <row r="33" hidden="1" ht="15.5" customHeight="1" s="297">
      <c r="B33" s="14" t="n"/>
      <c r="C33" s="15" t="n"/>
      <c r="D33" s="284" t="n"/>
      <c r="F33" s="19" t="n"/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idden="1" ht="15.5" customHeight="1" s="297">
      <c r="B34" s="14" t="n"/>
      <c r="C34" s="15" t="n"/>
      <c r="D34" s="284" t="n"/>
      <c r="F34" s="19" t="n"/>
      <c r="G34" s="15" t="n"/>
      <c r="H34" s="15" t="n"/>
      <c r="I34" s="18" t="n"/>
      <c r="J34" s="21" t="n"/>
      <c r="K34" s="24" t="n"/>
      <c r="L34" s="21" t="n"/>
      <c r="M34" s="24" t="n"/>
      <c r="N34" s="21" t="n"/>
      <c r="O34" s="24" t="n"/>
      <c r="P34" s="21" t="n"/>
      <c r="Q34" s="42" t="n"/>
    </row>
    <row r="35" hidden="1" ht="15.5" customHeight="1" s="297">
      <c r="B35" s="14" t="n"/>
      <c r="C35" s="15" t="n"/>
      <c r="D35" s="284" t="n"/>
      <c r="F35" s="19" t="n"/>
      <c r="G35" s="15" t="n"/>
      <c r="H35" s="15" t="n"/>
      <c r="I35" s="18" t="n"/>
      <c r="J35" s="21" t="n"/>
      <c r="K35" s="24" t="n"/>
      <c r="L35" s="21" t="n"/>
      <c r="M35" s="24" t="n"/>
      <c r="N35" s="21" t="n"/>
      <c r="O35" s="24" t="n"/>
      <c r="P35" s="21" t="n"/>
      <c r="Q35" s="42" t="n"/>
    </row>
    <row r="36" hidden="1" ht="15.5" customHeight="1" s="297">
      <c r="B36" s="14" t="n"/>
      <c r="C36" s="15" t="n"/>
      <c r="D36" s="284" t="n"/>
      <c r="F36" s="19" t="n"/>
      <c r="G36" s="15" t="n"/>
      <c r="H36" s="15" t="n"/>
      <c r="I36" s="18" t="n"/>
      <c r="J36" s="18" t="n"/>
      <c r="K36" s="24" t="n"/>
      <c r="L36" s="21" t="n"/>
      <c r="M36" s="24" t="n"/>
      <c r="N36" s="21" t="n"/>
      <c r="O36" s="24" t="n"/>
      <c r="P36" s="21" t="n"/>
      <c r="Q36" s="42" t="n"/>
    </row>
    <row r="37" hidden="1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40" t="inlineStr">
        <is>
          <t>Biaya Operasi</t>
        </is>
      </c>
      <c r="J40" s="341" t="inlineStr">
        <is>
          <t>Biaya Research (R&amp;D)</t>
        </is>
      </c>
      <c r="K40" s="342" t="inlineStr">
        <is>
          <t>Biaya Sewa Peralatan</t>
        </is>
      </c>
      <c r="L40" s="342" t="inlineStr">
        <is>
          <t>Biaya Interpretasi Log Data</t>
        </is>
      </c>
      <c r="M40" s="343" t="inlineStr">
        <is>
          <t>Administrasi</t>
        </is>
      </c>
      <c r="N40" s="343" t="inlineStr">
        <is>
          <t>Pembelian Barang</t>
        </is>
      </c>
      <c r="O40" s="343" t="inlineStr">
        <is>
          <t>Sewa Kantor</t>
        </is>
      </c>
      <c r="P40" s="343" t="inlineStr">
        <is>
          <t>Kesehatan</t>
        </is>
      </c>
      <c r="Q40" s="343" t="inlineStr">
        <is>
          <t>Bisnis Dev</t>
        </is>
      </c>
      <c r="R40" s="342" t="inlineStr">
        <is>
          <t>asdasd</t>
        </is>
      </c>
      <c r="S40" s="342" t="inlineStr">
        <is>
          <t>makanan jepang</t>
        </is>
      </c>
      <c r="T40" s="342" t="inlineStr">
        <is>
          <t>aaaaa</t>
        </is>
      </c>
      <c r="U40" s="342" t="inlineStr">
        <is>
          <t>bbbbb</t>
        </is>
      </c>
      <c r="V40" s="342" t="inlineStr">
        <is>
          <t>asdsad</t>
        </is>
      </c>
      <c r="W40" s="342" t="inlineStr">
        <is>
          <t>dfgdfgdfgd</t>
        </is>
      </c>
      <c r="X40" s="342" t="inlineStr">
        <is>
          <t>12312</t>
        </is>
      </c>
    </row>
    <row r="41" ht="15.5" customHeight="1" s="297">
      <c r="B41" s="344" t="n"/>
      <c r="C41" s="345" t="n"/>
      <c r="D41" s="346" t="inlineStr">
        <is>
          <t>Belum ada data single pengeluaran</t>
        </is>
      </c>
      <c r="E41" s="347" t="n"/>
      <c r="F41" s="348" t="n"/>
      <c r="G41" s="349" t="n"/>
      <c r="H41" s="349" t="n"/>
      <c r="I41" s="350" t="n"/>
      <c r="J41" s="350" t="n"/>
      <c r="K41" s="351" t="n"/>
      <c r="L41" s="352" t="n"/>
      <c r="M41" s="352" t="n"/>
      <c r="N41" s="352" t="n"/>
      <c r="O41" s="352" t="n"/>
      <c r="P41" s="352" t="n"/>
      <c r="Q41" s="352" t="n"/>
      <c r="R41" s="353" t="n"/>
      <c r="S41" s="353" t="n"/>
      <c r="T41" s="353" t="n"/>
      <c r="U41" s="353" t="n"/>
      <c r="V41" s="353" t="n"/>
      <c r="W41" s="353" t="n"/>
      <c r="X41" s="353" t="n"/>
    </row>
    <row r="42" ht="15.5" customHeight="1" s="297">
      <c r="B42" s="354" t="n"/>
      <c r="C42" s="355" t="n"/>
      <c r="D42" s="356" t="inlineStr">
        <is>
          <t>OPERATION COST AND OFFICE - Expenses Report</t>
        </is>
      </c>
      <c r="E42" s="357" t="n"/>
      <c r="F42" s="358" t="n"/>
      <c r="G42" s="359" t="n"/>
      <c r="H42" s="359" t="n"/>
      <c r="I42" s="360" t="n"/>
      <c r="J42" s="360" t="n"/>
      <c r="K42" s="361" t="n"/>
      <c r="L42" s="362" t="n"/>
      <c r="M42" s="362" t="n"/>
      <c r="N42" s="362" t="n"/>
      <c r="O42" s="362" t="n"/>
      <c r="P42" s="362" t="n"/>
      <c r="Q42" s="362" t="n"/>
      <c r="R42" s="363" t="n"/>
      <c r="S42" s="363" t="n"/>
      <c r="T42" s="363" t="n"/>
      <c r="U42" s="363" t="n"/>
      <c r="V42" s="363" t="n"/>
      <c r="W42" s="363" t="n"/>
      <c r="X42" s="363" t="n"/>
    </row>
    <row r="43" ht="15.5" customHeight="1" s="297">
      <c r="B43" s="344" t="n"/>
      <c r="C43" s="345" t="n"/>
      <c r="D43" s="346" t="inlineStr">
        <is>
          <t>Belum ada data batch pengeluaran</t>
        </is>
      </c>
      <c r="E43" s="347" t="n"/>
      <c r="F43" s="348" t="n"/>
      <c r="G43" s="349" t="n"/>
      <c r="H43" s="349" t="n"/>
      <c r="I43" s="350" t="n"/>
      <c r="J43" s="350" t="n"/>
      <c r="K43" s="351" t="n"/>
      <c r="L43" s="352" t="n"/>
      <c r="M43" s="352" t="n"/>
      <c r="N43" s="352" t="n"/>
      <c r="O43" s="352" t="n"/>
      <c r="P43" s="352" t="n"/>
      <c r="Q43" s="352" t="n"/>
      <c r="R43" s="353" t="n"/>
      <c r="S43" s="353" t="n"/>
      <c r="T43" s="353" t="n"/>
      <c r="U43" s="353" t="n"/>
      <c r="V43" s="353" t="n"/>
      <c r="W43" s="353" t="n"/>
      <c r="X43" s="353" t="n"/>
    </row>
    <row r="44" ht="15.5" customHeight="1" s="297">
      <c r="B44" s="364" t="inlineStr">
        <is>
          <t>TOTAL</t>
        </is>
      </c>
      <c r="C44" s="278" t="n"/>
      <c r="D44" s="278" t="n"/>
      <c r="E44" s="278" t="n"/>
      <c r="F44" s="278" t="n"/>
      <c r="G44" s="278" t="n"/>
      <c r="H44" s="279" t="n"/>
      <c r="I44" s="351" t="n">
        <v>0</v>
      </c>
      <c r="J44" s="352" t="n">
        <v>0</v>
      </c>
      <c r="K44" s="365" t="n">
        <v>0</v>
      </c>
      <c r="L44" s="352" t="n">
        <v>0</v>
      </c>
      <c r="M44" s="352" t="n">
        <v>0</v>
      </c>
      <c r="N44" s="352" t="n">
        <v>0</v>
      </c>
      <c r="O44" s="352" t="n">
        <v>0</v>
      </c>
      <c r="P44" s="352" t="n">
        <v>0</v>
      </c>
      <c r="Q44" s="352" t="n">
        <v>0</v>
      </c>
      <c r="R44" s="366" t="n">
        <v>0</v>
      </c>
      <c r="S44" s="366" t="n">
        <v>0</v>
      </c>
      <c r="T44" s="366" t="n">
        <v>0</v>
      </c>
      <c r="U44" s="366" t="n">
        <v>0</v>
      </c>
      <c r="V44" s="366" t="n">
        <v>0</v>
      </c>
      <c r="W44" s="366" t="n">
        <v>0</v>
      </c>
      <c r="X44" s="366" t="n">
        <v>0</v>
      </c>
    </row>
    <row r="45" hidden="1" ht="15.5" customHeight="1" s="297">
      <c r="B45" s="14" t="n">
        <v>45323</v>
      </c>
      <c r="C45" s="15" t="n">
        <v>5</v>
      </c>
      <c r="D45" s="63" t="inlineStr">
        <is>
          <t>Gaji Januari 2024 _Yufitri</t>
        </is>
      </c>
      <c r="E45" s="63" t="inlineStr">
        <is>
          <t>BCA</t>
        </is>
      </c>
      <c r="F45" s="367" t="n">
        <v>2500000</v>
      </c>
      <c r="G45" s="60" t="inlineStr">
        <is>
          <t>IDR</t>
        </is>
      </c>
      <c r="H45" s="60" t="n">
        <v>1</v>
      </c>
      <c r="I45" s="61">
        <f>F45</f>
        <v/>
      </c>
      <c r="J45" s="61" t="n"/>
      <c r="K45" s="44" t="n"/>
      <c r="L45" s="44" t="n"/>
      <c r="M45" s="44" t="n"/>
      <c r="N45" s="44" t="n"/>
      <c r="O45" s="44" t="n"/>
      <c r="P45" s="44" t="n"/>
      <c r="Q45" s="44" t="n"/>
    </row>
    <row r="46" hidden="1" ht="15.5" customHeight="1" s="297">
      <c r="B46" s="14" t="n">
        <v>45356</v>
      </c>
      <c r="C46" s="15" t="n">
        <v>6</v>
      </c>
      <c r="D46" s="63" t="inlineStr">
        <is>
          <t>Gaji Februari 2024 + raple gaji Januari 2024_Yufitri</t>
        </is>
      </c>
      <c r="E46" s="63" t="inlineStr">
        <is>
          <t>BCA</t>
        </is>
      </c>
      <c r="F46" s="367" t="n">
        <v>3500000</v>
      </c>
      <c r="G46" s="60" t="inlineStr">
        <is>
          <t>IDR</t>
        </is>
      </c>
      <c r="H46" s="60" t="n">
        <v>1</v>
      </c>
      <c r="I46" s="61" t="n">
        <v>3500000</v>
      </c>
      <c r="J46" s="61" t="n"/>
      <c r="K46" s="44" t="n"/>
      <c r="L46" s="44" t="n"/>
      <c r="M46" s="44" t="n"/>
      <c r="N46" s="44" t="n"/>
      <c r="O46" s="44" t="n"/>
      <c r="P46" s="44" t="n"/>
      <c r="Q46" s="44" t="n"/>
    </row>
    <row r="47" hidden="1" ht="15.5" customHeight="1" s="297">
      <c r="A47" s="66" t="n"/>
      <c r="B47" s="14" t="n">
        <v>45364</v>
      </c>
      <c r="C47" s="15" t="n">
        <v>7</v>
      </c>
      <c r="D47" s="63" t="inlineStr">
        <is>
          <t>Ralika Jaya Utama | Permbuatan alat Downhole Wireless Telemetry</t>
        </is>
      </c>
      <c r="E47" s="63" t="inlineStr">
        <is>
          <t>BCA</t>
        </is>
      </c>
      <c r="F47" s="368" t="n">
        <v>100000000</v>
      </c>
      <c r="G47" s="60" t="inlineStr">
        <is>
          <t>IDR</t>
        </is>
      </c>
      <c r="H47" s="60" t="n">
        <v>1</v>
      </c>
      <c r="I47" s="61" t="n"/>
      <c r="J47" s="62">
        <f>$F47*$H47</f>
        <v/>
      </c>
      <c r="K47" s="44" t="n"/>
      <c r="L47" s="44" t="n"/>
      <c r="M47" s="44" t="n"/>
      <c r="N47" s="44" t="n"/>
      <c r="O47" s="44" t="n"/>
      <c r="P47" s="44" t="n"/>
      <c r="Q47" s="44" t="n"/>
    </row>
    <row r="48" hidden="1" ht="15.5" customHeight="1" s="297">
      <c r="B48" s="14" t="n">
        <v>45379</v>
      </c>
      <c r="C48" s="15" t="n">
        <v>8</v>
      </c>
      <c r="D48" s="63" t="inlineStr">
        <is>
          <t>Gaji Maret 2024_Yufitri</t>
        </is>
      </c>
      <c r="E48" s="63" t="inlineStr">
        <is>
          <t>BCA</t>
        </is>
      </c>
      <c r="F48" s="174" t="n">
        <v>3000000</v>
      </c>
      <c r="G48" s="60" t="inlineStr">
        <is>
          <t>IDR</t>
        </is>
      </c>
      <c r="H48" s="60" t="n">
        <v>1</v>
      </c>
      <c r="I48" s="61" t="n">
        <v>3000000</v>
      </c>
      <c r="J48" s="61" t="n"/>
      <c r="K48" s="44" t="n"/>
      <c r="L48" s="44" t="n"/>
      <c r="M48" s="44" t="n"/>
      <c r="N48" s="44" t="n"/>
      <c r="O48" s="44" t="n"/>
      <c r="P48" s="44" t="n"/>
      <c r="Q48" s="44" t="n"/>
    </row>
    <row r="49" hidden="1" ht="15.5" customHeight="1" s="297">
      <c r="B49" s="292" t="n">
        <v>45388</v>
      </c>
      <c r="C49" s="15" t="n">
        <v>9</v>
      </c>
      <c r="D49" s="63" t="inlineStr">
        <is>
          <t>THR 2024_Yufitri</t>
        </is>
      </c>
      <c r="E49" s="63" t="inlineStr">
        <is>
          <t>BCA</t>
        </is>
      </c>
      <c r="F49" s="174" t="n">
        <v>3000000</v>
      </c>
      <c r="G49" s="60" t="inlineStr">
        <is>
          <t>IDR</t>
        </is>
      </c>
      <c r="H49" s="60" t="n">
        <v>1</v>
      </c>
      <c r="I49" s="61" t="n">
        <v>3000000</v>
      </c>
      <c r="J49" s="61" t="n"/>
      <c r="K49" s="44" t="n"/>
      <c r="L49" s="44" t="n"/>
      <c r="M49" s="44" t="n"/>
      <c r="N49" s="44" t="n"/>
      <c r="O49" s="44" t="n"/>
      <c r="P49" s="44" t="n"/>
      <c r="Q49" s="44" t="n"/>
    </row>
    <row r="50" hidden="1" ht="15.5" customHeight="1" s="297">
      <c r="B50" s="14" t="n">
        <v>45413</v>
      </c>
      <c r="C50" s="15" t="n">
        <v>10</v>
      </c>
      <c r="D50" s="63" t="inlineStr">
        <is>
          <t>Data proccesing MTD 4 well, project Tomori-Alan</t>
        </is>
      </c>
      <c r="E50" s="63" t="inlineStr">
        <is>
          <t>BCA</t>
        </is>
      </c>
      <c r="F50" s="369" t="n">
        <v>122625000</v>
      </c>
      <c r="G50" s="60" t="inlineStr">
        <is>
          <t>IDR</t>
        </is>
      </c>
      <c r="H50" s="60" t="n">
        <v>1</v>
      </c>
      <c r="I50" s="61" t="n"/>
      <c r="J50" s="61" t="n"/>
      <c r="K50" s="44" t="n"/>
      <c r="L50" s="68" t="n">
        <v>122625000</v>
      </c>
      <c r="M50" s="44" t="n"/>
      <c r="N50" s="44" t="n"/>
      <c r="O50" s="44" t="n"/>
      <c r="P50" s="44" t="n"/>
      <c r="Q50" s="44" t="n"/>
    </row>
    <row r="51" hidden="1" ht="15.5" customHeight="1" s="297">
      <c r="B51" s="14" t="n">
        <v>45416</v>
      </c>
      <c r="C51" s="15" t="n">
        <v>11</v>
      </c>
      <c r="D51" s="63" t="inlineStr">
        <is>
          <t>Gaji April_Yufitri</t>
        </is>
      </c>
      <c r="E51" s="63" t="inlineStr">
        <is>
          <t>BCA</t>
        </is>
      </c>
      <c r="F51" s="368" t="n">
        <v>3000000</v>
      </c>
      <c r="G51" s="60" t="inlineStr">
        <is>
          <t>IDR</t>
        </is>
      </c>
      <c r="H51" s="60" t="n">
        <v>1</v>
      </c>
      <c r="I51" s="61" t="n">
        <v>3000000</v>
      </c>
      <c r="J51" s="61" t="n"/>
      <c r="K51" s="44" t="n"/>
      <c r="L51" s="44" t="n"/>
      <c r="M51" s="44" t="n"/>
      <c r="N51" s="44" t="n"/>
      <c r="O51" s="44" t="n"/>
      <c r="P51" s="44" t="n"/>
      <c r="Q51" s="44" t="n"/>
    </row>
    <row r="52" hidden="1" ht="15.5" customFormat="1" customHeight="1" s="66">
      <c r="B52" s="14" t="n">
        <v>45418</v>
      </c>
      <c r="C52" s="15" t="n">
        <v>12</v>
      </c>
      <c r="D52" s="63" t="inlineStr">
        <is>
          <t>Ralika Jaya Utama | Permbuatan alat Downhole Wireless Telemetry</t>
        </is>
      </c>
      <c r="E52" s="63" t="inlineStr">
        <is>
          <t>BRI</t>
        </is>
      </c>
      <c r="F52" s="176" t="n">
        <v>100000000</v>
      </c>
      <c r="G52" s="60" t="inlineStr">
        <is>
          <t>IDR</t>
        </is>
      </c>
      <c r="H52" s="60" t="n">
        <v>1</v>
      </c>
      <c r="I52" s="61" t="n"/>
      <c r="J52" s="62">
        <f>$F52*$H52</f>
        <v/>
      </c>
      <c r="K52" s="44" t="n"/>
      <c r="L52" s="44" t="n"/>
      <c r="M52" s="44" t="n"/>
      <c r="N52" s="44" t="n"/>
      <c r="O52" s="44" t="n"/>
      <c r="P52" s="44" t="n"/>
      <c r="Q52" s="44" t="n"/>
    </row>
    <row r="53" hidden="1" ht="15.5" customFormat="1" customHeight="1" s="66">
      <c r="B53" s="14" t="n">
        <v>45422</v>
      </c>
      <c r="C53" s="15" t="n">
        <v>13</v>
      </c>
      <c r="D53" s="63" t="inlineStr">
        <is>
          <t>Aro Energy | Moving slickline dari Duri (Toni Supriadi) ke Sungai lilin</t>
        </is>
      </c>
      <c r="E53" s="63" t="inlineStr">
        <is>
          <t>BCA</t>
        </is>
      </c>
      <c r="F53" s="368" t="n">
        <v>18000000</v>
      </c>
      <c r="G53" s="60" t="inlineStr">
        <is>
          <t>IDR</t>
        </is>
      </c>
      <c r="H53" s="60" t="n">
        <v>1</v>
      </c>
      <c r="I53" s="62">
        <f>$F53*$H53</f>
        <v/>
      </c>
      <c r="J53" s="61" t="n"/>
      <c r="K53" s="44" t="n"/>
      <c r="L53" s="44" t="n"/>
      <c r="M53" s="44" t="n"/>
      <c r="N53" s="44" t="n"/>
      <c r="O53" s="44" t="n"/>
      <c r="P53" s="44" t="n"/>
      <c r="Q53" s="44" t="n"/>
    </row>
    <row r="54" hidden="1" ht="15.5" customFormat="1" customHeight="1" s="66">
      <c r="B54" s="14" t="n">
        <v>45446</v>
      </c>
      <c r="C54" s="15" t="n">
        <v>14</v>
      </c>
      <c r="D54" s="18" t="inlineStr">
        <is>
          <t>ALFA Service TLJ-58 Pertamina Zona#4 - Rental Tool</t>
        </is>
      </c>
      <c r="E54" s="18" t="inlineStr">
        <is>
          <t>BCA</t>
        </is>
      </c>
      <c r="F54" s="176" t="n">
        <v>29640916</v>
      </c>
      <c r="G54" s="60" t="inlineStr">
        <is>
          <t>IDR</t>
        </is>
      </c>
      <c r="H54" s="60" t="n">
        <v>1</v>
      </c>
      <c r="I54" s="61" t="n"/>
      <c r="J54" s="61" t="n"/>
      <c r="K54" s="62">
        <f>$F54*$H54</f>
        <v/>
      </c>
      <c r="L54" s="68" t="n"/>
      <c r="M54" s="44" t="n"/>
      <c r="N54" s="44" t="n"/>
      <c r="O54" s="44" t="n"/>
      <c r="P54" s="44" t="n"/>
      <c r="Q54" s="44" t="n"/>
    </row>
    <row r="55" hidden="1" ht="15.5" customFormat="1" customHeight="1" s="66">
      <c r="B55" s="14" t="n">
        <v>45446</v>
      </c>
      <c r="C55" s="15" t="n">
        <v>15</v>
      </c>
      <c r="D55" s="63" t="inlineStr">
        <is>
          <t>PT Laka Indonesia |  Wastafel for WIKA Anantara Ubud Bali</t>
        </is>
      </c>
      <c r="E55" s="63" t="inlineStr">
        <is>
          <t>BCA</t>
        </is>
      </c>
      <c r="F55" s="370" t="n">
        <v>300000000</v>
      </c>
      <c r="G55" s="60" t="inlineStr">
        <is>
          <t>IDR</t>
        </is>
      </c>
      <c r="H55" s="60" t="n">
        <v>1</v>
      </c>
      <c r="I55" s="62">
        <f>$F55*$H55</f>
        <v/>
      </c>
      <c r="J55" s="61" t="n"/>
      <c r="K55" s="44" t="n"/>
      <c r="L55" s="44" t="n"/>
      <c r="M55" s="44" t="n"/>
      <c r="N55" s="44" t="n"/>
      <c r="O55" s="44" t="n"/>
      <c r="P55" s="44" t="n"/>
      <c r="Q55" s="44" t="n"/>
    </row>
    <row r="56" hidden="1" ht="15.5" customFormat="1" customHeight="1" s="66">
      <c r="B56" s="14" t="n">
        <v>45446</v>
      </c>
      <c r="C56" s="15" t="n">
        <v>16</v>
      </c>
      <c r="D56" s="63" t="inlineStr">
        <is>
          <t>Gaji Mei_Yufitri</t>
        </is>
      </c>
      <c r="E56" s="63" t="inlineStr">
        <is>
          <t>BCA</t>
        </is>
      </c>
      <c r="F56" s="370" t="n">
        <v>3000000</v>
      </c>
      <c r="G56" s="60" t="inlineStr">
        <is>
          <t>IDR</t>
        </is>
      </c>
      <c r="H56" s="60" t="n">
        <v>1</v>
      </c>
      <c r="I56" s="61" t="n">
        <v>3000000</v>
      </c>
      <c r="J56" s="61" t="n"/>
      <c r="K56" s="44" t="n"/>
      <c r="L56" s="44" t="n"/>
      <c r="M56" s="44" t="n"/>
      <c r="N56" s="44" t="n"/>
      <c r="O56" s="44" t="n"/>
      <c r="P56" s="44" t="n"/>
      <c r="Q56" s="68" t="n"/>
    </row>
    <row r="57" hidden="1" ht="15.5" customFormat="1" customHeight="1" s="66">
      <c r="B57" s="14" t="n">
        <v>45447</v>
      </c>
      <c r="C57" s="15" t="n">
        <v>17</v>
      </c>
      <c r="D57" s="18" t="inlineStr">
        <is>
          <t>ALFA Service JRK-193 Pertamina Zona#4 - Rental Tool</t>
        </is>
      </c>
      <c r="E57" s="18" t="inlineStr">
        <is>
          <t>BCA</t>
        </is>
      </c>
      <c r="F57" s="21" t="n">
        <v>29640916</v>
      </c>
      <c r="G57" s="60" t="inlineStr">
        <is>
          <t>IDR</t>
        </is>
      </c>
      <c r="H57" s="60" t="n">
        <v>1</v>
      </c>
      <c r="I57" s="61" t="n"/>
      <c r="J57" s="61" t="n"/>
      <c r="K57" s="62">
        <f>$F57*$H57</f>
        <v/>
      </c>
      <c r="L57" s="44" t="n"/>
      <c r="M57" s="44" t="n"/>
      <c r="N57" s="44" t="n"/>
      <c r="O57" s="44" t="n"/>
      <c r="P57" s="44" t="n"/>
      <c r="Q57" s="44" t="n"/>
    </row>
    <row r="58" hidden="1" ht="15.5" customFormat="1" customHeight="1" s="66">
      <c r="B58" s="14" t="n">
        <v>45473</v>
      </c>
      <c r="C58" s="15" t="n">
        <v>18</v>
      </c>
      <c r="D58" s="63" t="inlineStr">
        <is>
          <t>Gaji Juni 2024_Yufitri</t>
        </is>
      </c>
      <c r="E58" s="63" t="inlineStr">
        <is>
          <t>BCA</t>
        </is>
      </c>
      <c r="F58" s="370" t="n">
        <v>3000000</v>
      </c>
      <c r="G58" s="60" t="inlineStr">
        <is>
          <t>IDR</t>
        </is>
      </c>
      <c r="H58" s="60" t="n">
        <v>1</v>
      </c>
      <c r="I58" s="61" t="n">
        <v>3000000</v>
      </c>
      <c r="J58" s="61" t="n"/>
      <c r="K58" s="44" t="n"/>
      <c r="L58" s="44" t="n"/>
      <c r="M58" s="44" t="n"/>
      <c r="N58" s="44" t="n"/>
      <c r="O58" s="44" t="n"/>
      <c r="P58" s="44" t="n"/>
      <c r="Q58" s="44" t="n"/>
    </row>
    <row r="59" hidden="1" ht="15.5" customFormat="1" customHeight="1" s="66">
      <c r="B59" s="14" t="n">
        <v>45473</v>
      </c>
      <c r="C59" s="15" t="n">
        <v>19</v>
      </c>
      <c r="D59" s="63" t="inlineStr">
        <is>
          <t>Downhole Sampling tool #1-1 GARINDO SARANA BARU</t>
        </is>
      </c>
      <c r="E59" s="63" t="inlineStr">
        <is>
          <t>BCA</t>
        </is>
      </c>
      <c r="F59" s="370" t="n">
        <v>39800000</v>
      </c>
      <c r="G59" s="60" t="inlineStr">
        <is>
          <t>IDR</t>
        </is>
      </c>
      <c r="H59" s="60" t="n">
        <v>1</v>
      </c>
      <c r="I59" s="61" t="n"/>
      <c r="J59" s="61" t="n"/>
      <c r="K59" s="44" t="n"/>
      <c r="L59" s="44" t="n"/>
      <c r="M59" s="44" t="n"/>
      <c r="N59" s="68" t="n">
        <v>3980000</v>
      </c>
      <c r="O59" s="44" t="n"/>
      <c r="P59" s="44" t="n"/>
      <c r="Q59" s="44" t="n"/>
    </row>
    <row r="60" hidden="1" ht="15.5" customFormat="1" customHeight="1" s="66">
      <c r="B60" s="14" t="n">
        <v>45476</v>
      </c>
      <c r="C60" s="15" t="n">
        <v>20</v>
      </c>
      <c r="D60" s="63" t="inlineStr">
        <is>
          <t>Kekurangan (PPN ) ke PT Garindo sarana Baru (Downhole Sampling)</t>
        </is>
      </c>
      <c r="E60" s="63" t="inlineStr">
        <is>
          <t>BCA</t>
        </is>
      </c>
      <c r="F60" s="370" t="n">
        <v>3582000</v>
      </c>
      <c r="G60" s="60" t="inlineStr">
        <is>
          <t>IDR</t>
        </is>
      </c>
      <c r="H60" s="60" t="n">
        <v>1</v>
      </c>
      <c r="I60" s="61" t="n"/>
      <c r="J60" s="61" t="n"/>
      <c r="K60" s="44" t="n"/>
      <c r="L60" s="44" t="n"/>
      <c r="M60" s="44" t="n"/>
      <c r="N60" s="68" t="n">
        <v>3582000</v>
      </c>
      <c r="O60" s="44" t="n"/>
      <c r="P60" s="44" t="n"/>
      <c r="Q60" s="44" t="n"/>
    </row>
    <row r="61" hidden="1" ht="15.5" customFormat="1" customHeight="1" s="66">
      <c r="B61" s="14" t="n">
        <v>45478</v>
      </c>
      <c r="C61" s="15" t="n">
        <v>21</v>
      </c>
      <c r="D61" s="70" t="inlineStr">
        <is>
          <t>Repair ESOR panel &amp; Fabricate dummy test load, Payment#2</t>
        </is>
      </c>
      <c r="E61" s="63" t="inlineStr">
        <is>
          <t>BRI</t>
        </is>
      </c>
      <c r="F61" s="21" t="n">
        <v>25000000</v>
      </c>
      <c r="G61" s="64" t="inlineStr">
        <is>
          <t>IDR</t>
        </is>
      </c>
      <c r="H61" s="60" t="n">
        <v>1</v>
      </c>
      <c r="I61" s="61">
        <f>$F61</f>
        <v/>
      </c>
      <c r="J61" s="62" t="n"/>
      <c r="K61" s="371" t="n"/>
      <c r="L61" s="44" t="n"/>
      <c r="M61" s="44" t="n"/>
      <c r="N61" s="44" t="n"/>
      <c r="O61" s="44" t="n"/>
      <c r="P61" s="44" t="n"/>
      <c r="Q61" s="44" t="n"/>
    </row>
    <row r="62" hidden="1" ht="15.5" customFormat="1" customHeight="1" s="66">
      <c r="B62" s="14" t="n">
        <v>45480</v>
      </c>
      <c r="C62" s="15" t="n">
        <v>22</v>
      </c>
      <c r="D62" s="63" t="inlineStr">
        <is>
          <t>PT Laka Indonesia |  Wastafel for WIKA Anantara Ubud Bali</t>
        </is>
      </c>
      <c r="E62" s="63" t="inlineStr">
        <is>
          <t>BCA</t>
        </is>
      </c>
      <c r="F62" s="370" t="n">
        <v>25000000</v>
      </c>
      <c r="G62" s="60" t="inlineStr">
        <is>
          <t>IDR</t>
        </is>
      </c>
      <c r="H62" s="60" t="n">
        <v>1</v>
      </c>
      <c r="I62" s="62">
        <f>$F62*$H62</f>
        <v/>
      </c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>
        <v>45483</v>
      </c>
      <c r="C63" s="15" t="n">
        <v>23</v>
      </c>
      <c r="D63" s="63" t="inlineStr">
        <is>
          <t>Pembelian Lisence Sonoechometer to PT Weebz Mandiri</t>
        </is>
      </c>
      <c r="E63" s="63" t="inlineStr">
        <is>
          <t>BCA</t>
        </is>
      </c>
      <c r="F63" s="370" t="n">
        <v>16650000</v>
      </c>
      <c r="G63" s="60" t="inlineStr">
        <is>
          <t>IDR</t>
        </is>
      </c>
      <c r="H63" s="60" t="n">
        <v>1</v>
      </c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>
        <f>$F63*$H63</f>
        <v/>
      </c>
    </row>
    <row r="64" hidden="1" ht="15.5" customFormat="1" customHeight="1" s="66">
      <c r="B64" s="14" t="n">
        <v>45492</v>
      </c>
      <c r="C64" s="15" t="n">
        <v>24</v>
      </c>
      <c r="D64" s="63" t="inlineStr">
        <is>
          <t>PT Laka Indonesia |  Wastafel for WIKA Anantara Ubud Bali</t>
        </is>
      </c>
      <c r="E64" s="63" t="inlineStr">
        <is>
          <t>BCA</t>
        </is>
      </c>
      <c r="F64" s="370" t="n">
        <v>25000000</v>
      </c>
      <c r="G64" s="60" t="inlineStr">
        <is>
          <t>IDR</t>
        </is>
      </c>
      <c r="H64" s="60" t="n">
        <v>1</v>
      </c>
      <c r="I64" s="62">
        <f>$F64*$H64</f>
        <v/>
      </c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>
        <v>45493</v>
      </c>
      <c r="C65" s="15" t="n">
        <v>25</v>
      </c>
      <c r="D65" s="70" t="inlineStr">
        <is>
          <t>Repair ESOR panel &amp; Fabricate dummy test load, Payment#1</t>
        </is>
      </c>
      <c r="E65" s="63" t="inlineStr">
        <is>
          <t>BCA</t>
        </is>
      </c>
      <c r="F65" s="370" t="n">
        <v>20000000</v>
      </c>
      <c r="G65" s="60" t="inlineStr">
        <is>
          <t>IDR</t>
        </is>
      </c>
      <c r="H65" s="60" t="n">
        <v>1</v>
      </c>
      <c r="I65" s="61">
        <f>$F65</f>
        <v/>
      </c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>
        <v>45501</v>
      </c>
      <c r="C66" s="15" t="n">
        <v>26</v>
      </c>
      <c r="D66" s="63" t="inlineStr">
        <is>
          <t>Gaji Juli 2024_Yufitri</t>
        </is>
      </c>
      <c r="E66" s="63" t="inlineStr">
        <is>
          <t>BCA</t>
        </is>
      </c>
      <c r="F66" s="370" t="n">
        <v>3000000</v>
      </c>
      <c r="G66" s="60" t="inlineStr">
        <is>
          <t>IDR</t>
        </is>
      </c>
      <c r="H66" s="60" t="n">
        <v>1</v>
      </c>
      <c r="I66" s="61" t="n">
        <v>3000000</v>
      </c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 s="297">
      <c r="B67" s="14" t="n">
        <v>45501</v>
      </c>
      <c r="C67" s="15" t="n">
        <v>27</v>
      </c>
      <c r="D67" s="63" t="inlineStr">
        <is>
          <t>Handphone Operational untuk Secretary (Yufitri)</t>
        </is>
      </c>
      <c r="E67" s="63" t="inlineStr">
        <is>
          <t>BCA</t>
        </is>
      </c>
      <c r="F67" s="370" t="n">
        <v>2600000</v>
      </c>
      <c r="G67" s="60" t="inlineStr">
        <is>
          <t>IDR</t>
        </is>
      </c>
      <c r="H67" s="60" t="n">
        <v>1</v>
      </c>
      <c r="I67" s="61" t="n"/>
      <c r="J67" s="61" t="n"/>
      <c r="K67" s="44" t="n"/>
      <c r="L67" s="44" t="n"/>
      <c r="M67" s="44" t="n"/>
      <c r="N67" s="68" t="n">
        <v>2600000</v>
      </c>
      <c r="O67" s="44" t="n"/>
      <c r="P67" s="44" t="n"/>
      <c r="Q67" s="44" t="n"/>
    </row>
    <row r="68" hidden="1" ht="15.5" customHeight="1" s="297">
      <c r="A68" s="66" t="n"/>
      <c r="B68" s="14" t="n">
        <v>45502</v>
      </c>
      <c r="C68" s="15" t="n">
        <v>28</v>
      </c>
      <c r="D68" s="63" t="inlineStr">
        <is>
          <t>Ralika Jaya Utama | Permbuatan alat injeksi listrik (EAS)</t>
        </is>
      </c>
      <c r="E68" s="63" t="inlineStr">
        <is>
          <t>BRI</t>
        </is>
      </c>
      <c r="F68" s="21" t="n">
        <v>100000000</v>
      </c>
      <c r="G68" s="60" t="inlineStr">
        <is>
          <t>IDR</t>
        </is>
      </c>
      <c r="H68" s="60" t="n">
        <v>1</v>
      </c>
      <c r="I68" s="61" t="n"/>
      <c r="J68" s="62">
        <f>$F68*$H68</f>
        <v/>
      </c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 s="297">
      <c r="A69" s="66" t="n"/>
      <c r="B69" s="14" t="n">
        <v>45519</v>
      </c>
      <c r="C69" s="15" t="n">
        <v>29</v>
      </c>
      <c r="D69" s="63" t="inlineStr">
        <is>
          <t>MUTRI | Sewa ruangan kantor BBC 2 bulan</t>
        </is>
      </c>
      <c r="E69" s="63" t="inlineStr">
        <is>
          <t>BCA</t>
        </is>
      </c>
      <c r="F69" s="370" t="n">
        <v>11270000</v>
      </c>
      <c r="G69" s="60" t="inlineStr">
        <is>
          <t>IDR</t>
        </is>
      </c>
      <c r="H69" s="60" t="n">
        <v>1</v>
      </c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>
        <f>$F69*$H69</f>
        <v/>
      </c>
    </row>
    <row r="70" hidden="1" ht="15.5" customHeight="1" s="297">
      <c r="B70" s="14" t="n">
        <v>45519</v>
      </c>
      <c r="C70" s="15" t="n">
        <v>30</v>
      </c>
      <c r="D70" s="63" t="inlineStr">
        <is>
          <t>Downhole Sampling tool #1-2 GARINDO SARANA BARU</t>
        </is>
      </c>
      <c r="E70" s="63" t="inlineStr">
        <is>
          <t>BCA</t>
        </is>
      </c>
      <c r="F70" s="370" t="n">
        <v>53835000</v>
      </c>
      <c r="G70" s="60" t="inlineStr">
        <is>
          <t>IDR</t>
        </is>
      </c>
      <c r="H70" s="60" t="n">
        <v>1</v>
      </c>
      <c r="I70" s="61" t="n"/>
      <c r="J70" s="61" t="n"/>
      <c r="K70" s="44" t="n"/>
      <c r="L70" s="44" t="n"/>
      <c r="M70" s="44" t="n"/>
      <c r="N70" s="372">
        <f>F70</f>
        <v/>
      </c>
      <c r="O70" s="44" t="n"/>
      <c r="P70" s="44" t="n"/>
      <c r="Q70" s="44" t="n"/>
    </row>
    <row r="71" hidden="1" ht="15.5" customHeight="1" s="297">
      <c r="B71" s="14" t="n">
        <v>45525</v>
      </c>
      <c r="C71" s="15" t="n">
        <v>31</v>
      </c>
      <c r="D71" s="63" t="inlineStr">
        <is>
          <t>Data proccesing TGB-33 DAN TIS (RBG-3b)-Alan</t>
        </is>
      </c>
      <c r="E71" s="63" t="inlineStr">
        <is>
          <t>BCA</t>
        </is>
      </c>
      <c r="F71" s="370" t="n">
        <v>101120000</v>
      </c>
      <c r="G71" s="60" t="inlineStr">
        <is>
          <t>IDR</t>
        </is>
      </c>
      <c r="H71" s="60" t="n">
        <v>1</v>
      </c>
      <c r="I71" s="61" t="n"/>
      <c r="J71" s="61" t="n"/>
      <c r="K71" s="44" t="n"/>
      <c r="L71" s="372">
        <f>F71</f>
        <v/>
      </c>
      <c r="M71" s="44" t="n"/>
      <c r="N71" s="44" t="n"/>
      <c r="O71" s="44" t="n"/>
      <c r="P71" s="44" t="n"/>
      <c r="Q71" s="44" t="n"/>
    </row>
    <row r="72" hidden="1" ht="15.5" customHeight="1" s="297">
      <c r="B72" s="14" t="n">
        <v>45535</v>
      </c>
      <c r="C72" s="15" t="n">
        <v>32</v>
      </c>
      <c r="D72" s="63" t="inlineStr">
        <is>
          <t>Gaji Agustus 2024_Yufitri</t>
        </is>
      </c>
      <c r="E72" s="63" t="inlineStr">
        <is>
          <t>BCA</t>
        </is>
      </c>
      <c r="F72" s="370" t="n">
        <v>3000000</v>
      </c>
      <c r="G72" s="60" t="inlineStr">
        <is>
          <t>IDR</t>
        </is>
      </c>
      <c r="H72" s="60" t="n">
        <v>1</v>
      </c>
      <c r="I72" s="61">
        <f>F72</f>
        <v/>
      </c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 s="297">
      <c r="B73" s="14" t="n">
        <v>45537</v>
      </c>
      <c r="C73" s="15" t="n">
        <v>33</v>
      </c>
      <c r="D73" s="18" t="inlineStr">
        <is>
          <t>ALFA Service JRK-163 Pertamina Zona#4 - Rental Tool</t>
        </is>
      </c>
      <c r="E73" s="18" t="inlineStr">
        <is>
          <t>BCA</t>
        </is>
      </c>
      <c r="F73" s="21" t="n">
        <v>29640916</v>
      </c>
      <c r="G73" s="60" t="inlineStr">
        <is>
          <t>IDR</t>
        </is>
      </c>
      <c r="H73" s="60" t="n">
        <v>1</v>
      </c>
      <c r="I73" s="61" t="n"/>
      <c r="J73" s="61" t="n"/>
      <c r="K73" s="62">
        <f>$F73*$H73</f>
        <v/>
      </c>
      <c r="L73" s="44" t="n"/>
      <c r="M73" s="44" t="n"/>
      <c r="N73" s="44" t="n"/>
      <c r="O73" s="44" t="n"/>
      <c r="P73" s="44" t="n"/>
      <c r="Q73" s="44" t="n"/>
    </row>
    <row r="74" hidden="1" ht="15.5" customHeight="1" s="297">
      <c r="A74" s="66" t="n"/>
      <c r="B74" s="14" t="n">
        <v>45539</v>
      </c>
      <c r="C74" s="15" t="n">
        <v>34</v>
      </c>
      <c r="D74" s="63" t="inlineStr">
        <is>
          <t>MUTRI | Penambahan modal biaya kerja</t>
        </is>
      </c>
      <c r="E74" s="63" t="inlineStr">
        <is>
          <t>BRI</t>
        </is>
      </c>
      <c r="F74" s="21" t="n">
        <v>100000000</v>
      </c>
      <c r="G74" s="60" t="inlineStr">
        <is>
          <t>IDR</t>
        </is>
      </c>
      <c r="H74" s="60" t="n">
        <v>1</v>
      </c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>
        <f>$F74*$H74</f>
        <v/>
      </c>
    </row>
    <row r="75" hidden="1" ht="15.5" customHeight="1" s="297">
      <c r="A75" s="66" t="n"/>
      <c r="B75" s="14" t="n">
        <v>45548</v>
      </c>
      <c r="C75" s="15" t="n">
        <v>35</v>
      </c>
      <c r="D75" s="63" t="inlineStr">
        <is>
          <t>Ralika Jaya Utama | Permbuatan alat EMR</t>
        </is>
      </c>
      <c r="E75" s="63" t="inlineStr">
        <is>
          <t>BRI</t>
        </is>
      </c>
      <c r="F75" s="21" t="n">
        <v>150000000</v>
      </c>
      <c r="G75" s="60" t="inlineStr">
        <is>
          <t>IDR</t>
        </is>
      </c>
      <c r="H75" s="60" t="n">
        <v>1</v>
      </c>
      <c r="I75" s="61" t="n"/>
      <c r="J75" s="62">
        <f>$F75*$H75</f>
        <v/>
      </c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 s="297">
      <c r="B76" s="14" t="n">
        <v>45556</v>
      </c>
      <c r="C76" s="15" t="n">
        <v>36</v>
      </c>
      <c r="D76" s="63" t="inlineStr">
        <is>
          <t>Downhole Sampling tool #2 GARINDO SARANA BARU</t>
        </is>
      </c>
      <c r="E76" s="63" t="inlineStr">
        <is>
          <t>BCA</t>
        </is>
      </c>
      <c r="F76" s="370" t="n">
        <v>34299000</v>
      </c>
      <c r="G76" s="60" t="inlineStr">
        <is>
          <t>IDR</t>
        </is>
      </c>
      <c r="H76" s="60" t="n">
        <v>1</v>
      </c>
      <c r="I76" s="61" t="n"/>
      <c r="J76" s="61" t="n"/>
      <c r="K76" s="44" t="n"/>
      <c r="L76" s="44" t="n"/>
      <c r="M76" s="44" t="n"/>
      <c r="N76" s="372">
        <f>F76</f>
        <v/>
      </c>
      <c r="O76" s="44" t="n"/>
      <c r="P76" s="44" t="n"/>
      <c r="Q76" s="44" t="n"/>
    </row>
    <row r="77" hidden="1" ht="15.5" customHeight="1" s="297">
      <c r="B77" s="14" t="n">
        <v>45568</v>
      </c>
      <c r="C77" s="15" t="n">
        <v>37</v>
      </c>
      <c r="D77" s="63" t="inlineStr">
        <is>
          <t>Gaji fitri bulan september 2024</t>
        </is>
      </c>
      <c r="E77" s="63" t="inlineStr">
        <is>
          <t>BRI</t>
        </is>
      </c>
      <c r="F77" s="21" t="n">
        <v>3000000</v>
      </c>
      <c r="G77" s="64" t="inlineStr">
        <is>
          <t>IDR</t>
        </is>
      </c>
      <c r="H77" s="60" t="n">
        <v>1</v>
      </c>
      <c r="I77" s="61">
        <f>F77</f>
        <v/>
      </c>
      <c r="J77" s="44" t="n"/>
      <c r="K77" s="371" t="n"/>
      <c r="L77" s="44" t="n"/>
      <c r="M77" s="44" t="n"/>
      <c r="N77" s="44" t="n"/>
      <c r="O77" s="44" t="n"/>
      <c r="P77" s="44" t="n"/>
      <c r="Q77" s="44" t="n"/>
    </row>
    <row r="78" hidden="1" ht="15.5" customHeight="1" s="297">
      <c r="B78" s="14" t="n">
        <v>45568</v>
      </c>
      <c r="C78" s="15" t="n">
        <v>38</v>
      </c>
      <c r="D78" s="63" t="inlineStr">
        <is>
          <t>Gaji fitri bulan October 2024</t>
        </is>
      </c>
      <c r="E78" s="63" t="inlineStr">
        <is>
          <t>BRI</t>
        </is>
      </c>
      <c r="F78" s="21" t="n">
        <v>3000000</v>
      </c>
      <c r="G78" s="64" t="inlineStr">
        <is>
          <t>IDR</t>
        </is>
      </c>
      <c r="H78" s="60" t="n">
        <v>1</v>
      </c>
      <c r="I78" s="61">
        <f>F78</f>
        <v/>
      </c>
      <c r="J78" s="44" t="n"/>
      <c r="K78" s="371" t="n"/>
      <c r="L78" s="44" t="n"/>
      <c r="M78" s="44" t="n"/>
      <c r="N78" s="44" t="n"/>
      <c r="O78" s="44" t="n"/>
      <c r="P78" s="44" t="n"/>
      <c r="Q78" s="44" t="n"/>
    </row>
    <row r="79" hidden="1" ht="15.5" customHeight="1" s="297">
      <c r="B79" s="14" t="n">
        <v>45569</v>
      </c>
      <c r="C79" s="15" t="n">
        <v>41</v>
      </c>
      <c r="D79" s="18" t="inlineStr">
        <is>
          <t>PLT Service TGB-033 Pertamina Cirebon - Rental Tool</t>
        </is>
      </c>
      <c r="E79" s="18" t="inlineStr">
        <is>
          <t>BCA</t>
        </is>
      </c>
      <c r="F79" s="19" t="n">
        <v>16165271</v>
      </c>
      <c r="G79" s="60" t="inlineStr">
        <is>
          <t>IDR</t>
        </is>
      </c>
      <c r="H79" s="60" t="n">
        <v>1</v>
      </c>
      <c r="I79" s="61" t="n"/>
      <c r="J79" s="61" t="n"/>
      <c r="K79" s="62">
        <f>$F79*$H79</f>
        <v/>
      </c>
      <c r="L79" s="44" t="n"/>
      <c r="M79" s="44" t="n"/>
      <c r="N79" s="44" t="n"/>
      <c r="O79" s="44" t="n"/>
      <c r="P79" s="44" t="n"/>
      <c r="Q79" s="68" t="n"/>
    </row>
    <row r="80" hidden="1" ht="15.5" customHeight="1" s="297">
      <c r="B80" s="14" t="n">
        <v>45569</v>
      </c>
      <c r="C80" s="15" t="n">
        <v>39</v>
      </c>
      <c r="D80" s="18" t="inlineStr">
        <is>
          <t>ALFA Service TGB-033 Pertamina Cirebon - Rental Tool</t>
        </is>
      </c>
      <c r="E80" s="18" t="inlineStr">
        <is>
          <t>BCA</t>
        </is>
      </c>
      <c r="F80" s="21" t="n">
        <v>25967616</v>
      </c>
      <c r="G80" s="60" t="inlineStr">
        <is>
          <t>IDR</t>
        </is>
      </c>
      <c r="H80" s="60" t="n">
        <v>1</v>
      </c>
      <c r="I80" s="61" t="n"/>
      <c r="J80" s="61" t="n"/>
      <c r="K80" s="62">
        <f>$F80*$H80</f>
        <v/>
      </c>
      <c r="L80" s="44" t="n"/>
      <c r="M80" s="44" t="n"/>
      <c r="N80" s="44" t="n"/>
      <c r="O80" s="44" t="n"/>
      <c r="P80" s="44" t="n"/>
      <c r="Q80" s="44" t="n"/>
    </row>
    <row r="81" hidden="1" ht="15.5" customHeight="1" s="297">
      <c r="B81" s="14" t="n">
        <v>45569</v>
      </c>
      <c r="C81" s="15" t="n">
        <v>40</v>
      </c>
      <c r="D81" s="18" t="inlineStr">
        <is>
          <t>MFC Service TGB-033 Pertamina Cirebon - Rental Tool</t>
        </is>
      </c>
      <c r="E81" s="18" t="inlineStr">
        <is>
          <t>BCA</t>
        </is>
      </c>
      <c r="F81" s="177" t="n">
        <v>32101247</v>
      </c>
      <c r="G81" s="60" t="inlineStr">
        <is>
          <t>IDR</t>
        </is>
      </c>
      <c r="H81" s="60" t="n">
        <v>1</v>
      </c>
      <c r="I81" s="61" t="n"/>
      <c r="J81" s="61" t="n"/>
      <c r="K81" s="62">
        <f>$F81*$H81</f>
        <v/>
      </c>
      <c r="L81" s="44" t="n"/>
      <c r="M81" s="44" t="n"/>
      <c r="N81" s="44" t="n"/>
      <c r="O81" s="44" t="n"/>
      <c r="P81" s="44" t="n"/>
      <c r="Q81" s="68" t="n"/>
    </row>
    <row r="82" hidden="1" ht="15.5" customHeight="1" s="297">
      <c r="B82" s="14" t="n">
        <v>45572</v>
      </c>
      <c r="C82" s="15" t="n">
        <v>42</v>
      </c>
      <c r="D82" s="18" t="inlineStr">
        <is>
          <t>ALFA Service JRK-095 Pertamina Zona#4 - Rental Tool</t>
        </is>
      </c>
      <c r="E82" s="18" t="inlineStr">
        <is>
          <t>BCA</t>
        </is>
      </c>
      <c r="F82" s="21" t="n">
        <v>29640916</v>
      </c>
      <c r="G82" s="60" t="inlineStr">
        <is>
          <t>IDR</t>
        </is>
      </c>
      <c r="H82" s="60" t="n">
        <v>1</v>
      </c>
      <c r="I82" s="61" t="n"/>
      <c r="J82" s="61" t="n"/>
      <c r="K82" s="62">
        <f>$F82*$H82</f>
        <v/>
      </c>
      <c r="L82" s="68" t="n"/>
      <c r="M82" s="44" t="n"/>
      <c r="N82" s="44" t="n"/>
      <c r="O82" s="44" t="n"/>
      <c r="P82" s="44" t="n"/>
      <c r="Q82" s="44" t="n"/>
    </row>
    <row r="83" hidden="1" ht="15.5" customHeight="1" s="297">
      <c r="B83" s="14" t="n">
        <v>45576</v>
      </c>
      <c r="C83" s="15" t="n">
        <v>43</v>
      </c>
      <c r="D83" s="18" t="inlineStr">
        <is>
          <t>MPLT/GR-CCL/ALFA TIS - Rental Tool</t>
        </is>
      </c>
      <c r="E83" s="18" t="inlineStr">
        <is>
          <t>BCA</t>
        </is>
      </c>
      <c r="F83" s="19" t="n">
        <v>74291457</v>
      </c>
      <c r="G83" s="60" t="inlineStr">
        <is>
          <t>IDR</t>
        </is>
      </c>
      <c r="H83" s="60" t="n">
        <v>1</v>
      </c>
      <c r="I83" s="61" t="n"/>
      <c r="J83" s="61" t="n"/>
      <c r="K83" s="62">
        <f>$F83*$H83</f>
        <v/>
      </c>
      <c r="L83" s="44" t="n"/>
      <c r="M83" s="44" t="n"/>
      <c r="N83" s="44" t="n"/>
      <c r="O83" s="44" t="n"/>
      <c r="P83" s="44" t="n"/>
      <c r="Q83" s="44" t="n"/>
    </row>
    <row r="84" hidden="1" ht="15.5" customHeight="1" s="297">
      <c r="A84" s="66" t="n"/>
      <c r="B84" s="14" t="n">
        <v>45581</v>
      </c>
      <c r="C84" s="15" t="n">
        <v>44</v>
      </c>
      <c r="D84" s="63" t="inlineStr">
        <is>
          <t>PT Laka Indonesia | Project Lampu Taman Istana Negara Jakarta</t>
        </is>
      </c>
      <c r="E84" s="63" t="inlineStr">
        <is>
          <t>BRI</t>
        </is>
      </c>
      <c r="F84" s="21" t="n">
        <v>100000000</v>
      </c>
      <c r="G84" s="60" t="inlineStr">
        <is>
          <t>IDR</t>
        </is>
      </c>
      <c r="H84" s="60" t="n">
        <v>1</v>
      </c>
      <c r="I84" s="62">
        <f>$F84*$H84</f>
        <v/>
      </c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 s="297">
      <c r="B85" s="14" t="n">
        <v>45589</v>
      </c>
      <c r="C85" s="15" t="n">
        <v>45</v>
      </c>
      <c r="D85" s="63" t="inlineStr">
        <is>
          <t>Data Processing 8 Well Alan Project SIJAK</t>
        </is>
      </c>
      <c r="E85" s="63" t="inlineStr">
        <is>
          <t>BRI</t>
        </is>
      </c>
      <c r="F85" s="21" t="n">
        <v>144000000</v>
      </c>
      <c r="G85" s="64" t="inlineStr">
        <is>
          <t>IDR</t>
        </is>
      </c>
      <c r="H85" s="60" t="n">
        <v>1</v>
      </c>
      <c r="I85" s="61" t="n"/>
      <c r="J85" s="44" t="n"/>
      <c r="K85" s="371" t="n"/>
      <c r="L85" s="62">
        <f>F85</f>
        <v/>
      </c>
      <c r="M85" s="44" t="n"/>
      <c r="N85" s="44" t="n"/>
      <c r="O85" s="44" t="n"/>
      <c r="P85" s="44" t="n"/>
      <c r="Q85" s="44" t="n"/>
    </row>
    <row r="86" hidden="1" ht="15.5" customHeight="1" s="297">
      <c r="B86" s="14" t="n">
        <v>45601</v>
      </c>
      <c r="C86" s="15" t="n">
        <v>46</v>
      </c>
      <c r="D86" s="63" t="inlineStr">
        <is>
          <t xml:space="preserve">Sales fee 2 Well Integrity Pertamina Z.4 </t>
        </is>
      </c>
      <c r="E86" s="63" t="inlineStr">
        <is>
          <t>BRI</t>
        </is>
      </c>
      <c r="F86" s="21" t="n">
        <v>38838700</v>
      </c>
      <c r="G86" s="64" t="inlineStr">
        <is>
          <t>IDR</t>
        </is>
      </c>
      <c r="H86" s="60" t="n">
        <v>1</v>
      </c>
      <c r="I86" s="62">
        <f>$F86*$H86</f>
        <v/>
      </c>
      <c r="J86" s="44" t="n"/>
      <c r="K86" s="371" t="n"/>
      <c r="L86" s="44" t="n"/>
      <c r="M86" s="44" t="n"/>
      <c r="N86" s="44" t="n"/>
      <c r="O86" s="44" t="n"/>
      <c r="P86" s="44" t="n"/>
      <c r="Q86" s="44" t="n"/>
    </row>
    <row r="87" hidden="1" ht="15.5" customHeight="1" s="297">
      <c r="A87" s="66" t="n"/>
      <c r="B87" s="14" t="n">
        <v>45625</v>
      </c>
      <c r="C87" s="15" t="n">
        <v>47</v>
      </c>
      <c r="D87" s="63" t="inlineStr">
        <is>
          <t>MUTRI | Penambahan modal biaya kerja 3rd</t>
        </is>
      </c>
      <c r="E87" s="63" t="inlineStr">
        <is>
          <t>BRI</t>
        </is>
      </c>
      <c r="F87" s="21" t="n">
        <v>75000000</v>
      </c>
      <c r="G87" s="60" t="inlineStr">
        <is>
          <t>IDR</t>
        </is>
      </c>
      <c r="H87" s="60" t="n">
        <v>1</v>
      </c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>
        <f>$F87*$H87</f>
        <v/>
      </c>
    </row>
    <row r="88" hidden="1" ht="15.5" customHeight="1" s="297">
      <c r="B88" s="14" t="n">
        <v>45625</v>
      </c>
      <c r="C88" s="15" t="n">
        <v>48</v>
      </c>
      <c r="D88" s="63" t="inlineStr">
        <is>
          <t>Gaji fitri bulan November 2024</t>
        </is>
      </c>
      <c r="E88" s="63" t="inlineStr">
        <is>
          <t>BRI</t>
        </is>
      </c>
      <c r="F88" s="21" t="n">
        <v>3000000</v>
      </c>
      <c r="G88" s="60" t="inlineStr">
        <is>
          <t>IDR</t>
        </is>
      </c>
      <c r="H88" s="60" t="n">
        <v>1</v>
      </c>
      <c r="I88" s="61">
        <f>F88</f>
        <v/>
      </c>
      <c r="J88" s="44" t="n"/>
      <c r="K88" s="371" t="n"/>
      <c r="L88" s="44" t="n"/>
      <c r="M88" s="44" t="n"/>
      <c r="N88" s="44" t="n"/>
      <c r="O88" s="44" t="n"/>
      <c r="P88" s="44" t="n"/>
      <c r="Q88" s="44" t="n"/>
    </row>
    <row r="89" hidden="1" ht="15.5" customHeight="1" s="297">
      <c r="B89" s="14" t="n">
        <v>45630</v>
      </c>
      <c r="C89" s="15" t="n">
        <v>49</v>
      </c>
      <c r="D89" s="63" t="inlineStr">
        <is>
          <t>Payment ke UPS Biaya Import pembelian sparepart dari Pei-Genesis</t>
        </is>
      </c>
      <c r="E89" s="63" t="inlineStr">
        <is>
          <t>BRI</t>
        </is>
      </c>
      <c r="F89" s="21" t="n">
        <v>777246</v>
      </c>
      <c r="G89" s="60" t="inlineStr">
        <is>
          <t>IDR</t>
        </is>
      </c>
      <c r="H89" s="60" t="n">
        <v>1</v>
      </c>
      <c r="I89" s="61" t="n"/>
      <c r="J89" s="44" t="n"/>
      <c r="K89" s="371" t="n"/>
      <c r="L89" s="44" t="n"/>
      <c r="M89" s="44" t="n"/>
      <c r="N89" s="62">
        <f>F89</f>
        <v/>
      </c>
      <c r="O89" s="44" t="n"/>
      <c r="P89" s="44" t="n"/>
      <c r="Q89" s="44" t="n"/>
    </row>
    <row r="90" hidden="1" ht="15.5" customHeight="1" s="297">
      <c r="A90" s="66" t="n"/>
      <c r="B90" s="14" t="n">
        <v>45631</v>
      </c>
      <c r="C90" s="15" t="n">
        <v>50</v>
      </c>
      <c r="D90" s="63" t="inlineStr">
        <is>
          <t>Ralika Jaya Utama | Permbuatan alat injeksi listrik (EAS)</t>
        </is>
      </c>
      <c r="E90" s="63" t="inlineStr">
        <is>
          <t>BRI</t>
        </is>
      </c>
      <c r="F90" s="21" t="n">
        <v>400000000</v>
      </c>
      <c r="G90" s="60" t="inlineStr">
        <is>
          <t>IDR</t>
        </is>
      </c>
      <c r="H90" s="60" t="n">
        <v>1</v>
      </c>
      <c r="I90" s="61" t="n"/>
      <c r="J90" s="62">
        <f>$F90*$H90</f>
        <v/>
      </c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 s="297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370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372">
        <f>F91</f>
        <v/>
      </c>
      <c r="P91" s="44" t="n"/>
      <c r="Q91" s="44" t="n"/>
    </row>
    <row r="92" hidden="1" ht="15.5" customHeight="1" s="297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370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 s="297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370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 s="297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370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 s="297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 s="297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370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 s="297">
      <c r="B97" s="79" t="n"/>
      <c r="C97" s="80" t="n"/>
      <c r="D97" s="80" t="inlineStr">
        <is>
          <t>OPERATION COST AND OFFICE - Expenses Report</t>
        </is>
      </c>
      <c r="E97" s="80" t="n"/>
      <c r="F97" s="373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 s="297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 s="297">
      <c r="B99" s="24" t="n"/>
      <c r="C99" s="91" t="n"/>
      <c r="D99" s="92" t="inlineStr">
        <is>
          <t>Transportation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 s="297">
      <c r="B100" s="24" t="n"/>
      <c r="C100" s="91" t="n"/>
      <c r="D100" s="94" t="inlineStr">
        <is>
          <t>Transportation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 s="297">
      <c r="B101" s="292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 s="297">
      <c r="B102" s="292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 s="297">
      <c r="B103" s="292" t="n"/>
      <c r="C103" s="91" t="n"/>
      <c r="D103" s="94" t="inlineStr">
        <is>
          <t>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 s="297">
      <c r="B104" s="292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 s="297">
      <c r="B105" s="292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 s="297">
      <c r="B106" s="292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 s="297">
      <c r="B107" s="292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 s="297">
      <c r="B108" s="292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 s="297">
      <c r="B109" s="292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 s="297">
      <c r="B110" s="292" t="n"/>
      <c r="C110" s="91" t="n"/>
      <c r="D110" s="97" t="inlineStr">
        <is>
          <t>Accommodation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 s="297">
      <c r="B111" s="292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 s="297">
      <c r="B112" s="292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 s="297">
      <c r="B113" s="292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 s="297">
      <c r="B114" s="292" t="n"/>
      <c r="C114" s="91" t="n"/>
      <c r="D114" s="97" t="inlineStr">
        <is>
          <t>Logistic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 s="297">
      <c r="B115" s="292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 s="297">
      <c r="B116" s="292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 s="297">
      <c r="B117" s="292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 s="297">
      <c r="B118" s="292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 s="297">
      <c r="B119" s="292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 s="297">
      <c r="B120" s="292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 s="297">
      <c r="B121" s="292" t="n"/>
      <c r="C121" s="91" t="n"/>
      <c r="D121" s="97" t="inlineStr">
        <is>
          <t>Meal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 s="297">
      <c r="B122" s="292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 s="297">
      <c r="B123" s="292" t="n"/>
      <c r="C123" s="91" t="n"/>
      <c r="D123" s="97" t="inlineStr">
        <is>
          <t>Meal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 s="297">
      <c r="B124" s="292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 s="297">
      <c r="B125" s="292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 s="297">
      <c r="B126" s="292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 s="297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 s="297">
      <c r="B128" s="24" t="n"/>
      <c r="C128" s="91" t="n"/>
      <c r="D128" s="94" t="inlineStr">
        <is>
          <t>Transportation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 s="297">
      <c r="B129" s="292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 s="297">
      <c r="B130" s="292" t="n"/>
      <c r="C130" s="91" t="n"/>
      <c r="D130" s="94" t="inlineStr">
        <is>
          <t>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 s="297">
      <c r="B131" s="292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 s="297">
      <c r="B132" s="292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 s="297">
      <c r="B133" s="292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 s="297">
      <c r="B134" s="292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 s="297">
      <c r="B135" s="292" t="n"/>
      <c r="C135" s="91" t="n"/>
      <c r="D135" s="97" t="inlineStr">
        <is>
          <t>Accommodation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 s="297">
      <c r="B136" s="292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 s="297">
      <c r="B137" s="292" t="n"/>
      <c r="C137" s="91" t="n"/>
      <c r="D137" s="97" t="inlineStr">
        <is>
          <t>Logistic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 s="297">
      <c r="B138" s="292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 s="297">
      <c r="B139" s="292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 s="297">
      <c r="B140" s="292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 s="297">
      <c r="B141" s="292" t="n"/>
      <c r="C141" s="91" t="n">
        <v>9</v>
      </c>
      <c r="D141" s="97" t="inlineStr">
        <is>
          <t>Meal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 s="297">
      <c r="B142" s="292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 s="297">
      <c r="B143" s="292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 s="297">
      <c r="B144" s="292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 s="297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 s="297">
      <c r="B146" s="292" t="n"/>
      <c r="C146" s="91" t="n"/>
      <c r="D146" s="94" t="inlineStr">
        <is>
          <t>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 s="297">
      <c r="B147" s="292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 s="297">
      <c r="B148" s="292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 s="297">
      <c r="B149" s="292" t="n"/>
      <c r="C149" s="91" t="n"/>
      <c r="D149" s="97" t="inlineStr">
        <is>
          <t>Accommodation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 s="297">
      <c r="B150" s="292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 s="297">
      <c r="B151" s="292" t="n"/>
      <c r="C151" s="91" t="n"/>
      <c r="D151" s="97" t="inlineStr">
        <is>
          <t>Meal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 s="297">
      <c r="B152" s="292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 s="297">
      <c r="B153" s="292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 s="297">
      <c r="B154" s="292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 s="297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 s="297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 s="297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 s="297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 s="297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 s="297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 s="297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 s="297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 s="297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 s="297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 s="297">
      <c r="B165" s="292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 s="297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 s="297">
      <c r="B167" s="292" t="n"/>
      <c r="C167" s="91" t="n"/>
      <c r="D167" s="94" t="inlineStr">
        <is>
          <t>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 s="297">
      <c r="B168" s="292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 s="297">
      <c r="B169" s="292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 s="297">
      <c r="B170" s="292" t="n"/>
      <c r="C170" s="91" t="n"/>
      <c r="D170" s="97" t="inlineStr">
        <is>
          <t>Accommodation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 s="297">
      <c r="B171" s="292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 s="297">
      <c r="B172" s="292" t="n"/>
      <c r="C172" s="91" t="n"/>
      <c r="D172" s="97" t="inlineStr">
        <is>
          <t>Meal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 s="297">
      <c r="B173" s="292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 s="297">
      <c r="B174" s="292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 s="297">
      <c r="B175" s="292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 s="297">
      <c r="B176" s="292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 s="297">
      <c r="B177" s="292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 s="297">
      <c r="B178" s="292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 s="297">
      <c r="B179" s="292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 s="297">
      <c r="B180" s="292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 s="297">
      <c r="B181" s="292" t="n"/>
      <c r="C181" s="91" t="n"/>
      <c r="D181" s="97" t="inlineStr">
        <is>
          <t>Meal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 s="297">
      <c r="B182" s="292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 s="297">
      <c r="B183" s="292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374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 s="297">
      <c r="B184" s="292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 s="297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 s="297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 s="297">
      <c r="B187" s="292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 s="297">
      <c r="B188" s="292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 s="297">
      <c r="B189" s="292" t="n"/>
      <c r="C189" s="91" t="n"/>
      <c r="D189" s="97" t="inlineStr">
        <is>
          <t>Accommodation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 s="297">
      <c r="B190" s="292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 s="297">
      <c r="B191" s="292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 s="297">
      <c r="B192" s="292" t="n"/>
      <c r="C192" s="91" t="n"/>
      <c r="D192" s="97" t="inlineStr">
        <is>
          <t>Meal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 s="297">
      <c r="B193" s="292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 s="297">
      <c r="B194" s="292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 s="297">
      <c r="B195" s="292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 s="297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 s="297">
      <c r="B197" s="14" t="n"/>
      <c r="C197" s="15" t="n"/>
      <c r="D197" s="106" t="inlineStr">
        <is>
          <t>Transportation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 s="297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 s="297">
      <c r="B199" s="102" t="n"/>
      <c r="C199" s="15" t="n"/>
      <c r="D199" s="106" t="inlineStr">
        <is>
          <t>Transportation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 s="297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 s="297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 s="297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 s="297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 s="297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 s="297">
      <c r="B205" s="102" t="n"/>
      <c r="C205" s="15" t="n"/>
      <c r="D205" s="108" t="inlineStr">
        <is>
          <t>Accommodation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 s="297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375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 s="297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375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 s="297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 s="297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 s="297">
      <c r="B210" s="102" t="n"/>
      <c r="C210" s="15" t="n"/>
      <c r="D210" s="106" t="inlineStr">
        <is>
          <t>Transportation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 s="297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 s="297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 s="297">
      <c r="B213" s="102" t="n"/>
      <c r="C213" s="15" t="n"/>
      <c r="D213" s="108" t="inlineStr">
        <is>
          <t>Accommodation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 s="297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 s="297">
      <c r="B215" s="102" t="n"/>
      <c r="C215" s="15" t="n"/>
      <c r="D215" s="108" t="inlineStr">
        <is>
          <t>Allowance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 s="297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 s="297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 s="297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 s="297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 s="297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 s="297">
      <c r="B221" s="292" t="n"/>
      <c r="C221" s="91" t="n"/>
      <c r="D221" s="97" t="inlineStr">
        <is>
          <t>Accommodation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 s="297">
      <c r="B222" s="292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 s="297">
      <c r="B223" s="292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 s="297">
      <c r="B224" s="292" t="n"/>
      <c r="C224" s="91" t="n"/>
      <c r="D224" s="97" t="inlineStr">
        <is>
          <t>Logistic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 s="297">
      <c r="B225" s="292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 s="297">
      <c r="B226" s="292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 s="297">
      <c r="B227" s="292" t="n"/>
      <c r="C227" s="91" t="n"/>
      <c r="D227" s="97" t="inlineStr">
        <is>
          <t>Meal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 s="297">
      <c r="B228" s="292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 s="297">
      <c r="B229" s="292" t="n"/>
      <c r="C229" s="91" t="n"/>
      <c r="D229" s="97" t="inlineStr">
        <is>
          <t>Meal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 s="297">
      <c r="B230" s="292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 s="297">
      <c r="B231" s="292" t="n"/>
      <c r="C231" s="91" t="n"/>
      <c r="D231" s="97" t="inlineStr">
        <is>
          <t>Allowance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 s="297">
      <c r="B232" s="292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 s="297">
      <c r="B233" s="292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 s="297">
      <c r="B235" s="292" t="n"/>
      <c r="C235" s="91" t="n"/>
      <c r="D235" s="97" t="inlineStr">
        <is>
          <t>Accommodation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 s="297">
      <c r="B236" s="292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 s="297">
      <c r="B237" s="292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 s="297">
      <c r="B238" s="292" t="n"/>
      <c r="C238" s="91" t="n"/>
      <c r="D238" s="97" t="inlineStr">
        <is>
          <t>Logistic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 s="297">
      <c r="B239" s="292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 s="297">
      <c r="B240" s="292" t="n"/>
      <c r="C240" s="91" t="n"/>
      <c r="D240" s="97" t="inlineStr">
        <is>
          <t>Meal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 s="297">
      <c r="B241" s="292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 s="297">
      <c r="B242" s="292" t="n"/>
      <c r="C242" s="91" t="n"/>
      <c r="D242" s="97" t="inlineStr">
        <is>
          <t>Meal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 s="297">
      <c r="B243" s="292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 s="297">
      <c r="B244" s="292" t="n"/>
      <c r="C244" s="91" t="n"/>
      <c r="D244" s="97" t="inlineStr">
        <is>
          <t>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 s="297">
      <c r="B245" s="292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97" t="inlineStr">
        <is>
          <t>Allowance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 s="297">
      <c r="B247" s="292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 s="297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 s="297">
      <c r="B249" s="292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 s="297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 s="297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 s="297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 s="297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 s="297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 s="297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 s="297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 s="297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 s="297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102" t="n"/>
      <c r="C259" s="15" t="n"/>
      <c r="D259" s="114" t="inlineStr">
        <is>
          <t>Allowance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 s="297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 s="297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 s="297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 s="297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 s="297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 s="297">
      <c r="B265" s="102" t="n"/>
      <c r="C265" s="15" t="n"/>
      <c r="D265" s="106" t="inlineStr">
        <is>
          <t>Transportation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 s="297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 s="297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 s="297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 s="297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 s="297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 s="297">
      <c r="B271" s="102" t="n"/>
      <c r="C271" s="15" t="n"/>
      <c r="D271" s="108" t="inlineStr">
        <is>
          <t>Logistic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 s="297">
      <c r="B272" s="102" t="n">
        <v>45437</v>
      </c>
      <c r="C272" s="15" t="n">
        <v>3</v>
      </c>
      <c r="D272" s="284" t="inlineStr">
        <is>
          <t>Wrapping Alfa Box</t>
        </is>
      </c>
      <c r="E272" s="284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 s="297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 s="297">
      <c r="B274" s="102" t="n"/>
      <c r="C274" s="15" t="n"/>
      <c r="D274" s="108" t="inlineStr">
        <is>
          <t>Allowance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 s="297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 s="297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 s="297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108" t="inlineStr">
        <is>
          <t>Allowance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 s="297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 s="297">
      <c r="B281" s="292" t="n"/>
      <c r="C281" s="91" t="n"/>
      <c r="D281" s="97" t="inlineStr">
        <is>
          <t>Accommodation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 s="297">
      <c r="B282" s="292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 s="297">
      <c r="B283" s="292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 s="297">
      <c r="B284" s="292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 s="297">
      <c r="B285" s="292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 s="297">
      <c r="B286" s="292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 s="297">
      <c r="B287" s="292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 s="297">
      <c r="B288" s="292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 s="297">
      <c r="B289" s="292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 s="297">
      <c r="B290" s="292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 s="297">
      <c r="B291" s="292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 s="297">
      <c r="B292" s="292" t="n"/>
      <c r="C292" s="117" t="n"/>
      <c r="D292" s="97" t="inlineStr">
        <is>
          <t>Meal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 s="297">
      <c r="B293" s="292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 s="297">
      <c r="B294" s="292" t="n"/>
      <c r="C294" s="117" t="n"/>
      <c r="D294" s="97" t="inlineStr">
        <is>
          <t>Meal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 s="297">
      <c r="B295" s="292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292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 s="297">
      <c r="B297" s="292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 s="297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 s="297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 s="297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 s="297">
      <c r="B301" s="102" t="n"/>
      <c r="C301" s="15" t="n"/>
      <c r="D301" s="106" t="inlineStr">
        <is>
          <t>Transportation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 s="297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 s="297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 s="297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 s="297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 s="297">
      <c r="B306" s="292" t="n"/>
      <c r="C306" s="91" t="n"/>
      <c r="D306" s="97" t="inlineStr">
        <is>
          <t>Accommodation</t>
        </is>
      </c>
      <c r="E306" s="97" t="n"/>
      <c r="F306" s="103" t="n"/>
      <c r="G306" s="91" t="n"/>
      <c r="H306" s="91" t="n"/>
      <c r="I306" s="374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 s="297">
      <c r="B307" s="292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374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 s="297">
      <c r="B308" s="292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 s="297">
      <c r="B309" s="292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374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 s="297">
      <c r="B310" s="292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 s="297">
      <c r="B312" s="292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 s="297">
      <c r="B313" s="292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 s="297">
      <c r="B314" s="292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 s="297">
      <c r="B315" s="292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 s="297">
      <c r="B316" s="292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 s="297">
      <c r="B317" s="292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 s="297">
      <c r="B318" s="292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 s="297">
      <c r="B319" s="292" t="n"/>
      <c r="C319" s="117" t="n"/>
      <c r="D319" s="97" t="inlineStr">
        <is>
          <t>Meal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 s="297">
      <c r="B320" s="292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 s="297">
      <c r="B321" s="292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 s="297">
      <c r="B322" s="292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 s="297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 s="297">
      <c r="B324" s="292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 s="297">
      <c r="B325" s="292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 s="297">
      <c r="B326" s="292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 s="297">
      <c r="B327" s="292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 s="297">
      <c r="B328" s="292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 s="297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 s="297">
      <c r="B330" s="292" t="n"/>
      <c r="C330" s="91" t="n"/>
      <c r="D330" s="97" t="inlineStr">
        <is>
          <t>Accommodation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 s="297">
      <c r="B331" s="292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374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 s="297">
      <c r="B332" s="292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 s="297">
      <c r="B333" s="292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 s="297">
      <c r="B334" s="292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 s="297">
      <c r="B335" s="292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 s="297">
      <c r="B336" s="292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 s="297">
      <c r="B337" s="292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 s="297">
      <c r="B338" s="292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 s="297">
      <c r="B339" s="292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 s="297">
      <c r="B340" s="292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 s="297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 s="297">
      <c r="B342" s="292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 s="297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 s="297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 s="297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 s="297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 s="297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 s="297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 s="297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 s="297">
      <c r="B350" s="14" t="n"/>
      <c r="C350" s="15" t="n"/>
      <c r="D350" s="106" t="inlineStr">
        <is>
          <t>Transportation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 s="297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 s="297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 s="297">
      <c r="B353" s="102" t="n"/>
      <c r="C353" s="15" t="n"/>
      <c r="D353" s="106" t="inlineStr">
        <is>
          <t>Transportation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 s="297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 s="297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 s="297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 s="297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 s="297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 s="297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 s="297">
      <c r="B360" s="102" t="n"/>
      <c r="C360" s="15" t="n"/>
      <c r="D360" s="118" t="inlineStr">
        <is>
          <t>Transportation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 s="297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 s="297">
      <c r="B362" s="102" t="n"/>
      <c r="C362" s="15" t="n"/>
      <c r="D362" s="108" t="inlineStr">
        <is>
          <t>Accommodation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 s="297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 s="297">
      <c r="B364" s="102" t="n"/>
      <c r="C364" s="15" t="n"/>
      <c r="D364" s="108" t="inlineStr">
        <is>
          <t>Allowance</t>
        </is>
      </c>
      <c r="E364" s="108" t="n"/>
      <c r="F364" s="21" t="n"/>
      <c r="G364" s="15" t="n"/>
      <c r="H364" s="15" t="n"/>
      <c r="I364" s="374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 s="297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374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 s="297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 s="297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 s="297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 s="297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 s="297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 s="297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 s="297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 s="297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 s="297">
      <c r="B375" s="102" t="n"/>
      <c r="C375" s="15" t="n"/>
      <c r="D375" s="118" t="inlineStr">
        <is>
          <t>Allowance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 s="297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 s="297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 s="297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 s="297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 s="297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 s="297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 s="297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 s="297">
      <c r="B384" s="292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292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 s="297">
      <c r="B386" s="292" t="n"/>
      <c r="C386" s="91" t="n"/>
      <c r="D386" s="97" t="inlineStr">
        <is>
          <t>Meal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 s="297">
      <c r="B387" s="292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 s="297">
      <c r="B388" s="292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 s="297">
      <c r="B389" s="292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 s="297">
      <c r="B390" s="292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 s="297">
      <c r="B391" s="292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 s="297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 s="297">
      <c r="B393" s="14" t="n"/>
      <c r="C393" s="15" t="n"/>
      <c r="D393" s="106" t="inlineStr">
        <is>
          <t>Transportation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 s="297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 s="297">
      <c r="B395" s="102" t="n"/>
      <c r="C395" s="15" t="n"/>
      <c r="D395" s="106" t="inlineStr">
        <is>
          <t>Transportation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 s="297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 s="297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 s="297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 s="297">
      <c r="B399" s="102" t="n"/>
      <c r="C399" s="15" t="n"/>
      <c r="D399" s="108" t="inlineStr">
        <is>
          <t>Accommodation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 s="297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 s="297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 s="297">
      <c r="B402" s="102" t="n"/>
      <c r="C402" s="15" t="n"/>
      <c r="D402" s="108" t="inlineStr">
        <is>
          <t>Allowance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 s="297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 s="297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 s="297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 s="297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 s="297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 s="297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 s="297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 s="297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 s="297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 s="297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 s="297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 s="297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 s="297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 s="297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 s="297">
      <c r="B417" s="102" t="n"/>
      <c r="C417" s="15" t="n"/>
      <c r="D417" s="106" t="inlineStr">
        <is>
          <t>Shipping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 s="297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 s="297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 s="297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 s="297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 s="297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 s="297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 s="297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 s="297">
      <c r="B425" s="14" t="n"/>
      <c r="C425" s="15" t="n"/>
      <c r="D425" s="63" t="inlineStr">
        <is>
          <t>Logistic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 s="297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 s="297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 s="297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 s="297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 s="297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 s="297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 s="297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 s="297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 s="297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 s="297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 s="297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 s="297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 s="297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 s="297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 s="297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 s="297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 s="297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 s="297">
      <c r="B443" s="102" t="n"/>
      <c r="C443" s="15" t="n"/>
      <c r="D443" s="108" t="inlineStr">
        <is>
          <t>Accommodation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 s="297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 s="297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 s="297">
      <c r="B446" s="102" t="n"/>
      <c r="C446" s="15" t="n"/>
      <c r="D446" s="108" t="inlineStr">
        <is>
          <t>Logistic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 s="297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 s="297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 s="297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 s="297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 s="297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 s="297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 s="297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 s="297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 s="297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 s="297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 s="297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 s="297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 s="297">
      <c r="B459" s="102" t="n"/>
      <c r="C459" s="15" t="n"/>
      <c r="D459" s="108" t="inlineStr">
        <is>
          <t>Meal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 s="297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 s="297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 s="297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 s="297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 s="297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 s="297">
      <c r="B465" s="102" t="n"/>
      <c r="C465" s="15" t="n"/>
      <c r="D465" s="108" t="inlineStr">
        <is>
          <t>Allowance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 s="297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 s="297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 s="297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 s="297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 s="297">
      <c r="B470" s="292" t="n"/>
      <c r="C470" s="91" t="n"/>
      <c r="D470" s="97" t="inlineStr">
        <is>
          <t>Accommodation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 s="297">
      <c r="B471" s="292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 s="297">
      <c r="B472" s="292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 s="297">
      <c r="B473" s="292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 s="297">
      <c r="B474" s="292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 s="297">
      <c r="B475" s="292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 s="297">
      <c r="B476" s="292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 s="297">
      <c r="B477" s="292" t="n"/>
      <c r="C477" s="91" t="n"/>
      <c r="D477" s="97" t="inlineStr">
        <is>
          <t>Operation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 s="297">
      <c r="B478" s="292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 s="297">
      <c r="B479" s="292" t="n"/>
      <c r="C479" s="117" t="n"/>
      <c r="D479" s="97" t="inlineStr">
        <is>
          <t>Meal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 s="297">
      <c r="B480" s="292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 s="297">
      <c r="B481" s="292" t="n"/>
      <c r="C481" s="117" t="n"/>
      <c r="D481" s="97" t="inlineStr">
        <is>
          <t>Meal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 s="297">
      <c r="B482" s="292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 s="297">
      <c r="B483" s="292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 s="297">
      <c r="B484" s="292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 s="297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Allowance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 s="297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 s="297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 s="297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 s="297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 s="297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376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 s="297">
      <c r="B492" s="292" t="n"/>
      <c r="C492" s="91" t="n"/>
      <c r="D492" s="127" t="inlineStr">
        <is>
          <t>Accommodation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 s="297">
      <c r="B493" s="292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374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 s="297">
      <c r="B494" s="292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 s="297">
      <c r="B495" s="292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 s="297">
      <c r="B496" s="292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 s="297">
      <c r="B497" s="292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 s="297">
      <c r="B499" s="292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 s="297">
      <c r="B500" s="292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 s="297">
      <c r="B501" s="292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 s="297">
      <c r="B502" s="292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 s="297">
      <c r="B503" s="292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 s="297">
      <c r="B504" s="292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 s="297">
      <c r="B505" s="292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 s="297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376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 s="297">
      <c r="B507" s="128" t="n"/>
      <c r="C507" s="129" t="n"/>
      <c r="D507" s="130" t="inlineStr">
        <is>
          <t>Transportation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 s="297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 s="297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 s="297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 s="297">
      <c r="B511" s="128" t="n"/>
      <c r="C511" s="129" t="n"/>
      <c r="D511" s="134" t="inlineStr">
        <is>
          <t>Allowance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 s="297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374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 s="297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 s="297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374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 s="297">
      <c r="B515" s="102" t="n"/>
      <c r="C515" s="15" t="n"/>
      <c r="D515" s="108" t="inlineStr">
        <is>
          <t>Allowance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 s="297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374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 s="297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 s="297">
      <c r="B518" s="292" t="n"/>
      <c r="C518" s="91" t="n"/>
      <c r="D518" s="97" t="inlineStr">
        <is>
          <t>Accommodation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 s="297">
      <c r="B519" s="292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 s="297">
      <c r="B520" s="292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 s="297">
      <c r="B521" s="292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 s="297">
      <c r="B522" s="292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 s="297">
      <c r="B523" s="292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 s="297">
      <c r="B524" s="292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 s="297">
      <c r="B525" s="292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 s="297">
      <c r="B526" s="292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 s="297">
      <c r="B527" s="292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 s="297">
      <c r="B528" s="292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 s="297">
      <c r="B529" s="292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 s="297">
      <c r="B530" s="292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 s="297">
      <c r="B531" s="292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292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 s="297">
      <c r="B533" s="292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 s="297">
      <c r="B534" s="292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 s="297">
      <c r="B535" s="292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 s="297">
      <c r="B536" s="292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 s="297">
      <c r="B537" s="292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 s="297">
      <c r="B538" s="292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 s="297">
      <c r="B539" s="292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 s="297">
      <c r="B540" s="292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 s="297">
      <c r="B541" s="292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 s="297">
      <c r="B542" s="292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 s="297">
      <c r="B543" s="292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 s="297">
      <c r="B544" s="292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 s="297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 s="297">
      <c r="B546" s="14" t="n"/>
      <c r="C546" s="15" t="n"/>
      <c r="D546" s="106" t="inlineStr">
        <is>
          <t>Transportation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 s="297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 s="297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 s="297">
      <c r="B549" s="102" t="n"/>
      <c r="C549" s="15" t="n"/>
      <c r="D549" s="106" t="inlineStr">
        <is>
          <t>Transportation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 s="297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 s="297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 s="297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 s="297">
      <c r="B553" s="102" t="n"/>
      <c r="C553" s="15" t="n"/>
      <c r="D553" s="118" t="inlineStr">
        <is>
          <t>Transportation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 s="297">
      <c r="B554" s="102" t="n"/>
      <c r="C554" s="15" t="n"/>
      <c r="D554" s="108" t="inlineStr">
        <is>
          <t>Accommodation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 s="297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 s="297">
      <c r="B556" s="102" t="n"/>
      <c r="C556" s="15" t="n"/>
      <c r="D556" s="108" t="inlineStr">
        <is>
          <t>Allowance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 s="297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 s="297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 s="297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374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 s="297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 s="297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 s="297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 s="297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 s="297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 s="297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 s="297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 s="297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 s="297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 s="297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 s="297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 s="297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 s="297">
      <c r="B572" s="135" t="n"/>
      <c r="C572" s="136" t="n"/>
      <c r="D572" s="137" t="inlineStr">
        <is>
          <t>Trip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 s="297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 s="297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 s="297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 s="297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 s="297">
      <c r="B577" s="128" t="n"/>
      <c r="C577" s="129" t="n"/>
      <c r="D577" s="134" t="inlineStr">
        <is>
          <t>Accommodation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 s="297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 s="297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 s="297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 s="297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 s="297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 s="297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 s="297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 s="297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 s="297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 s="297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 s="297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 s="297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 s="297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 s="297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 s="297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 s="297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 s="297">
      <c r="B594" s="102" t="n"/>
      <c r="C594" s="15" t="n"/>
      <c r="D594" s="106" t="inlineStr">
        <is>
          <t>Shipping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 s="297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 s="297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 s="297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 s="297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 s="297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 s="297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 s="297">
      <c r="B601" s="292" t="n"/>
      <c r="C601" s="91" t="n"/>
      <c r="D601" s="97" t="inlineStr">
        <is>
          <t>Accommodation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 s="297">
      <c r="B602" s="292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 s="297">
      <c r="B603" s="292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 s="297">
      <c r="B604" s="292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 s="297">
      <c r="B605" s="292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 s="297">
      <c r="B606" s="292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 s="297">
      <c r="B607" s="292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 s="297">
      <c r="B608" s="292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 s="297">
      <c r="B609" s="292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 s="297">
      <c r="B610" s="292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 s="297">
      <c r="B611" s="292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 s="297">
      <c r="B612" s="292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 s="297">
      <c r="B613" s="292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 s="297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 s="297">
      <c r="B615" s="102" t="n"/>
      <c r="C615" s="15" t="n"/>
      <c r="D615" s="106" t="inlineStr">
        <is>
          <t>Transportation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 s="297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 s="297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 s="297">
      <c r="B618" s="102" t="n"/>
      <c r="C618" s="15" t="n"/>
      <c r="D618" s="118" t="inlineStr">
        <is>
          <t>Accommodation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 s="297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 s="297">
      <c r="B620" s="102" t="n"/>
      <c r="C620" s="15" t="n"/>
      <c r="D620" s="108" t="inlineStr">
        <is>
          <t>Logistic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 s="297">
      <c r="B621" s="102" t="n"/>
      <c r="C621" s="15" t="n"/>
      <c r="D621" s="118" t="inlineStr">
        <is>
          <t>Meal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 s="297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 s="297">
      <c r="B623" s="102" t="n"/>
      <c r="C623" s="15" t="n"/>
      <c r="D623" s="118" t="inlineStr">
        <is>
          <t>Allowance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 s="297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 s="297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 s="297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374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 s="297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 s="297">
      <c r="B628" s="292" t="n"/>
      <c r="C628" s="91" t="n"/>
      <c r="D628" s="97" t="inlineStr">
        <is>
          <t>Training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 s="297">
      <c r="B629" s="292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 s="297">
      <c r="B630" s="292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 s="297">
      <c r="B631" s="292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 s="297">
      <c r="B632" s="292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 s="297">
      <c r="B633" s="292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 s="297">
      <c r="B634" s="292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 s="297">
      <c r="B635" s="292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 s="297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 s="297">
      <c r="B637" s="140" t="n"/>
      <c r="C637" s="141" t="n"/>
      <c r="D637" s="142" t="inlineStr">
        <is>
          <t>Shipping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 s="297">
      <c r="B638" s="377" t="n">
        <v>45071</v>
      </c>
      <c r="C638" s="141" t="n"/>
      <c r="D638" s="145" t="inlineStr">
        <is>
          <t>Materai 15 pcs</t>
        </is>
      </c>
      <c r="E638" s="145" t="n"/>
      <c r="F638" s="378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 s="297">
      <c r="B639" s="377" t="n">
        <v>45085</v>
      </c>
      <c r="C639" s="141" t="n"/>
      <c r="D639" s="145" t="inlineStr">
        <is>
          <t>Plastic folder 3 pcs</t>
        </is>
      </c>
      <c r="E639" s="145" t="n"/>
      <c r="F639" s="379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 s="297">
      <c r="B640" s="377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 s="297">
      <c r="B641" s="377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377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 s="297">
      <c r="B643" s="377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 s="297">
      <c r="B644" s="377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 s="297">
      <c r="B645" s="377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 s="297">
      <c r="B646" s="377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 s="297">
      <c r="B647" s="377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 s="297">
      <c r="B648" s="377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 s="297">
      <c r="B649" s="377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 s="297">
      <c r="B650" s="377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 s="297">
      <c r="B651" s="377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 s="297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 s="297">
      <c r="B653" s="377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 s="297">
      <c r="B654" s="377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 s="297">
      <c r="B655" s="377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 s="297">
      <c r="B656" s="377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 s="297">
      <c r="B657" s="377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 s="297">
      <c r="B658" s="377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 s="297">
      <c r="B659" s="377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 s="297">
      <c r="B660" s="377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 s="297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 s="297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 s="297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 s="297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 s="297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 s="297">
      <c r="B666" s="286" t="n"/>
      <c r="C666" s="286" t="n"/>
      <c r="D666" s="153" t="inlineStr">
        <is>
          <t>Medical</t>
        </is>
      </c>
      <c r="E666" s="153" t="n"/>
      <c r="F666" s="286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 s="297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 s="297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 s="297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 s="297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 s="297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 s="297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 s="297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 s="297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 s="297">
      <c r="B675" s="102" t="n"/>
      <c r="C675" s="15" t="n"/>
      <c r="D675" s="106" t="inlineStr">
        <is>
          <t>Transportation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 s="297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 s="297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 s="297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 s="297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 s="297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 s="297">
      <c r="B683" s="102" t="n"/>
      <c r="C683" s="15" t="n"/>
      <c r="D683" s="106" t="inlineStr">
        <is>
          <t>Transportation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 s="297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 s="297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 s="297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 s="297">
      <c r="B687" s="102" t="n"/>
      <c r="C687" s="15" t="n"/>
      <c r="D687" s="108" t="inlineStr">
        <is>
          <t>Meal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 s="297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 s="297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 s="297">
      <c r="B690" s="102" t="n"/>
      <c r="C690" s="15" t="n"/>
      <c r="D690" s="108" t="inlineStr">
        <is>
          <t>Accommodation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 s="297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 s="297">
      <c r="B692" s="102" t="n"/>
      <c r="C692" s="15" t="n"/>
      <c r="D692" s="63" t="inlineStr">
        <is>
          <t>Hand Tools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 s="297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 s="297">
      <c r="B694" s="156" t="n"/>
      <c r="C694" s="15" t="n"/>
      <c r="D694" s="156" t="inlineStr">
        <is>
          <t>Trip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 s="297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 s="297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 s="297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 s="297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 s="297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 s="297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 s="297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 s="297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 s="297">
      <c r="B703" s="156" t="n"/>
      <c r="C703" s="64" t="n"/>
      <c r="D703" s="156" t="inlineStr">
        <is>
          <t>Trip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 s="297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 s="297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 s="297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 s="297">
      <c r="B707" s="156" t="n"/>
      <c r="C707" s="64" t="n"/>
      <c r="D707" s="156" t="inlineStr">
        <is>
          <t>Trip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 s="297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56" t="n"/>
      <c r="C709" s="64" t="n"/>
      <c r="D709" s="156" t="inlineStr">
        <is>
          <t>Training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 s="297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 s="297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 s="297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 s="297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 s="297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 s="297">
      <c r="B715" s="156" t="n"/>
      <c r="C715" s="64" t="n"/>
      <c r="D715" s="156" t="inlineStr">
        <is>
          <t>IT Services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 s="297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 s="297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 s="297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 s="297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 s="297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380" t="n"/>
      <c r="K741" s="380" t="n"/>
      <c r="L741" s="380" t="n"/>
      <c r="M741" s="380" t="n"/>
      <c r="N741" s="380" t="n"/>
      <c r="O741" s="380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381" t="n"/>
      <c r="K742" s="381" t="n"/>
      <c r="L742" s="380" t="n"/>
      <c r="M742" s="381" t="n"/>
      <c r="N742" s="381" t="n"/>
      <c r="O742" s="380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381" t="n"/>
      <c r="K743" s="381" t="n"/>
      <c r="L743" s="380" t="n"/>
      <c r="M743" s="381" t="n"/>
      <c r="N743" s="381" t="n"/>
      <c r="O743" s="380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381" t="n"/>
      <c r="K744" s="381" t="n"/>
      <c r="L744" s="380" t="n"/>
      <c r="M744" s="381" t="n"/>
      <c r="N744" s="381" t="n"/>
      <c r="O744" s="380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381" t="n"/>
      <c r="K745" s="381" t="n"/>
      <c r="L745" s="380" t="n"/>
      <c r="M745" s="381" t="n"/>
      <c r="N745" s="381" t="n"/>
      <c r="O745" s="380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381" t="n"/>
      <c r="K746" s="381" t="n"/>
      <c r="L746" s="380" t="n"/>
      <c r="M746" s="381" t="n"/>
      <c r="N746" s="381" t="n"/>
      <c r="O746" s="380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381" t="n"/>
      <c r="K747" s="381" t="n"/>
      <c r="L747" s="380" t="n"/>
      <c r="M747" s="381" t="n"/>
      <c r="N747" s="381" t="n"/>
      <c r="O747" s="380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381" t="n"/>
      <c r="K748" s="381" t="n"/>
      <c r="L748" s="380" t="n"/>
      <c r="M748" s="381" t="n"/>
      <c r="N748" s="381" t="n"/>
      <c r="O748" s="380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381" t="n"/>
      <c r="K749" s="381" t="n"/>
      <c r="L749" s="381" t="n"/>
      <c r="M749" s="381" t="n"/>
      <c r="N749" s="381" t="n"/>
      <c r="O749" s="380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27">
    <mergeCell ref="B9:E9"/>
    <mergeCell ref="K25:L25"/>
    <mergeCell ref="H6:H7"/>
    <mergeCell ref="J6:J7"/>
    <mergeCell ref="B1:J1"/>
    <mergeCell ref="P6:P7"/>
    <mergeCell ref="D25:E26"/>
    <mergeCell ref="I25:J25"/>
    <mergeCell ref="C25:C26"/>
    <mergeCell ref="D27:E27"/>
    <mergeCell ref="G6:G7"/>
    <mergeCell ref="B6:B7"/>
    <mergeCell ref="M25:N25"/>
    <mergeCell ref="O25:P25"/>
    <mergeCell ref="D6:E7"/>
    <mergeCell ref="G25:G26"/>
    <mergeCell ref="D8:E8"/>
    <mergeCell ref="B44:H44"/>
    <mergeCell ref="C750:H750"/>
    <mergeCell ref="I6:I7"/>
    <mergeCell ref="B25:B26"/>
    <mergeCell ref="K6:K7"/>
    <mergeCell ref="C6:C7"/>
    <mergeCell ref="O6:O7"/>
    <mergeCell ref="H25:H26"/>
    <mergeCell ref="B37:H37"/>
    <mergeCell ref="B28:H2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382" t="n"/>
      <c r="B1" s="382" t="n"/>
      <c r="C1" s="382" t="n"/>
      <c r="D1" s="382" t="n"/>
      <c r="E1" s="383" t="n"/>
    </row>
    <row r="2" ht="37.25" customHeight="1" s="297">
      <c r="A2" s="382" t="n"/>
      <c r="B2" s="382" t="n"/>
      <c r="C2" s="382" t="n"/>
      <c r="D2" s="382" t="n"/>
      <c r="E2" s="383" t="n"/>
    </row>
    <row r="3" ht="33.65" customHeight="1" s="297">
      <c r="A3" s="382" t="n"/>
      <c r="B3" s="384" t="inlineStr">
        <is>
          <t>PT. EXSPAN WIRELINE INDONESIA</t>
        </is>
      </c>
      <c r="F3" s="385" t="n"/>
      <c r="G3" s="386" t="inlineStr">
        <is>
          <t>PT. EXSPAN WIRELINE INDONESIA</t>
        </is>
      </c>
      <c r="H3" s="386" t="n"/>
      <c r="I3" s="386" t="n"/>
      <c r="J3" s="386" t="n"/>
    </row>
    <row r="4" ht="20.5" customHeight="1" s="297">
      <c r="A4" s="382" t="n"/>
      <c r="B4" s="387" t="inlineStr">
        <is>
          <t>LABA RUGI | TAHUN 2024</t>
        </is>
      </c>
      <c r="F4" s="385" t="n"/>
      <c r="G4" s="388" t="inlineStr">
        <is>
          <t>NERACA |TAHUN YANG BERAKHIR, 31 DESEMBER 2024</t>
        </is>
      </c>
      <c r="H4" s="388" t="n"/>
      <c r="I4" s="388" t="n"/>
      <c r="J4" s="388" t="n"/>
    </row>
    <row r="5" ht="6" customHeight="1" s="297">
      <c r="A5" s="382" t="n"/>
      <c r="B5" s="382" t="n"/>
      <c r="C5" s="382" t="n"/>
      <c r="D5" s="382" t="n"/>
      <c r="E5" s="383" t="n"/>
      <c r="F5" s="385" t="n"/>
      <c r="G5" s="385" t="n"/>
      <c r="H5" s="389" t="n"/>
      <c r="I5" s="389" t="n"/>
      <c r="J5" s="389" t="n"/>
    </row>
    <row r="6" ht="15.5" customHeight="1" s="297">
      <c r="A6" s="382" t="n"/>
      <c r="B6" s="390" t="n"/>
      <c r="C6" s="391" t="n"/>
      <c r="D6" s="392" t="inlineStr">
        <is>
          <t>PT. Exspan Wireline Indonesia</t>
        </is>
      </c>
      <c r="E6" s="289" t="n"/>
      <c r="F6" s="385" t="n"/>
      <c r="G6" s="393" t="n"/>
      <c r="H6" s="394" t="n"/>
      <c r="I6" s="392" t="inlineStr">
        <is>
          <t>PT. Exspan Wireline Indonesia</t>
        </is>
      </c>
      <c r="J6" s="289" t="n"/>
    </row>
    <row r="7" ht="15.5" customHeight="1" s="297">
      <c r="A7" s="382" t="n"/>
      <c r="B7" s="395" t="n"/>
      <c r="C7" s="396" t="n"/>
      <c r="D7" s="397" t="inlineStr">
        <is>
          <t>(Rp)</t>
        </is>
      </c>
      <c r="E7" s="290" t="n"/>
      <c r="F7" s="385" t="n"/>
      <c r="G7" s="398" t="n"/>
      <c r="H7" s="399" t="n"/>
      <c r="I7" s="397" t="inlineStr">
        <is>
          <t>(Rp)</t>
        </is>
      </c>
      <c r="J7" s="290" t="n"/>
    </row>
    <row r="8">
      <c r="A8" s="382" t="n"/>
      <c r="B8" s="400" t="inlineStr">
        <is>
          <t>PENDAPATAN</t>
        </is>
      </c>
      <c r="C8" s="401" t="n"/>
      <c r="D8" s="402" t="n"/>
      <c r="E8" s="403" t="n"/>
      <c r="F8" s="385" t="n"/>
      <c r="G8" s="404" t="inlineStr">
        <is>
          <t>AKTIVA</t>
        </is>
      </c>
      <c r="H8" s="405" t="n"/>
      <c r="I8" s="406" t="n"/>
      <c r="J8" s="407" t="n"/>
    </row>
    <row r="9">
      <c r="A9" s="382" t="n"/>
      <c r="B9" s="408" t="n"/>
      <c r="C9" s="401" t="inlineStr">
        <is>
          <t>PENDAPATAN LANGSUNG</t>
        </is>
      </c>
      <c r="D9" s="408" t="inlineStr">
        <is>
          <t>Rp</t>
        </is>
      </c>
      <c r="E9" s="409">
        <f>SUM('Revenue-Cost_2030'!L8:'Revenue-Cost_2030'!L22)</f>
        <v/>
      </c>
      <c r="F9" s="385" t="n"/>
      <c r="G9" s="410" t="inlineStr">
        <is>
          <t>AKTIVA LANCAR</t>
        </is>
      </c>
      <c r="H9" s="411" t="n"/>
      <c r="I9" s="410" t="n"/>
      <c r="J9" s="412" t="n"/>
    </row>
    <row r="10">
      <c r="A10" s="382" t="n"/>
      <c r="B10" s="408" t="n"/>
      <c r="C10" s="401" t="inlineStr">
        <is>
          <t>PENDAPATAN LAIN LAIN</t>
        </is>
      </c>
      <c r="D10" s="408" t="inlineStr">
        <is>
          <t>Rp</t>
        </is>
      </c>
      <c r="E10" s="409">
        <f>SUM('Revenue-Cost_2030'!L8:'Revenue-Cost_2030'!L22)</f>
        <v/>
      </c>
      <c r="F10" s="385" t="n"/>
      <c r="G10" s="413" t="n"/>
      <c r="H10" s="414" t="inlineStr">
        <is>
          <t>KAS DAN SETARA KAS TAHUN SEBELUMNYA</t>
        </is>
      </c>
      <c r="I10" s="408" t="inlineStr">
        <is>
          <t>Rp</t>
        </is>
      </c>
      <c r="J10" s="415" t="n">
        <v>0</v>
      </c>
    </row>
    <row r="11">
      <c r="A11" s="382" t="n"/>
      <c r="B11" s="408" t="n"/>
      <c r="C11" s="401" t="n"/>
      <c r="D11" s="416" t="n"/>
      <c r="E11" s="417" t="n"/>
      <c r="F11" s="385" t="n"/>
      <c r="G11" s="413" t="n"/>
      <c r="H11" s="414" t="inlineStr">
        <is>
          <t>KAS DAN SETARA KAS TAHUN LAPORAN</t>
        </is>
      </c>
      <c r="I11" s="408" t="inlineStr">
        <is>
          <t>Rp</t>
        </is>
      </c>
      <c r="J11" s="415">
        <f>E46-'Business Summary'!E13</f>
        <v/>
      </c>
    </row>
    <row r="12">
      <c r="A12" s="382" t="n"/>
      <c r="B12" s="418" t="inlineStr">
        <is>
          <t>TOTALPENDAPATAN</t>
        </is>
      </c>
      <c r="C12" s="419" t="n"/>
      <c r="D12" s="420" t="inlineStr">
        <is>
          <t>Rp</t>
        </is>
      </c>
      <c r="E12" s="421">
        <f>SUM(E9:E11)</f>
        <v/>
      </c>
      <c r="F12" s="385" t="n"/>
      <c r="G12" s="413" t="n"/>
      <c r="H12" s="414" t="inlineStr">
        <is>
          <t>PIUTANG USAHA</t>
        </is>
      </c>
      <c r="I12" s="408" t="inlineStr">
        <is>
          <t>Rp</t>
        </is>
      </c>
      <c r="J12" s="415" t="n">
        <v>0</v>
      </c>
    </row>
    <row r="13">
      <c r="A13" s="382" t="n"/>
      <c r="B13" s="408" t="n"/>
      <c r="C13" s="401" t="n"/>
      <c r="D13" s="402" t="n"/>
      <c r="E13" s="422" t="n"/>
      <c r="F13" s="385" t="n"/>
      <c r="G13" s="413" t="n"/>
      <c r="H13" s="414" t="inlineStr">
        <is>
          <t>PAJAK BAYAR DI MUKA (pph23)</t>
        </is>
      </c>
      <c r="I13" s="408" t="inlineStr">
        <is>
          <t>Rp</t>
        </is>
      </c>
      <c r="J13" s="415" t="n">
        <v>0</v>
      </c>
    </row>
    <row r="14">
      <c r="A14" s="382" t="n"/>
      <c r="B14" s="423" t="inlineStr">
        <is>
          <t>BEBAN LANGSUNG</t>
        </is>
      </c>
      <c r="C14" s="401" t="n"/>
      <c r="D14" s="408" t="n"/>
      <c r="E14" s="424" t="n"/>
      <c r="F14" s="385" t="n"/>
      <c r="G14" s="413" t="n"/>
      <c r="H14" s="414" t="inlineStr">
        <is>
          <t>BIAYA BAYAR DI MUKA</t>
        </is>
      </c>
      <c r="I14" s="408" t="inlineStr">
        <is>
          <t>Rp</t>
        </is>
      </c>
      <c r="J14" s="415" t="n">
        <v>0</v>
      </c>
    </row>
    <row r="15">
      <c r="A15" s="382" t="n"/>
      <c r="B15" s="425" t="n"/>
      <c r="C15" s="401" t="inlineStr">
        <is>
          <t xml:space="preserve">Biaya Operasi </t>
        </is>
      </c>
      <c r="D15" s="408" t="inlineStr">
        <is>
          <t>Rp</t>
        </is>
      </c>
      <c r="E15" s="424">
        <f>'Revenue-Cost_2030'!I44</f>
        <v/>
      </c>
      <c r="F15" s="385" t="n"/>
      <c r="G15" s="426" t="n"/>
      <c r="H15" s="414" t="inlineStr">
        <is>
          <t>PIUTANG LAIN LAIN</t>
        </is>
      </c>
      <c r="I15" s="408" t="inlineStr">
        <is>
          <t>Rp</t>
        </is>
      </c>
      <c r="J15" s="415" t="n">
        <v>0</v>
      </c>
    </row>
    <row r="16">
      <c r="A16" s="382" t="n"/>
      <c r="B16" s="425" t="n"/>
      <c r="C16" s="401" t="inlineStr">
        <is>
          <t>Biaya research (R &amp; D)</t>
        </is>
      </c>
      <c r="D16" s="408" t="inlineStr">
        <is>
          <t>Rp</t>
        </is>
      </c>
      <c r="E16" s="424">
        <f>'Revenue-Cost_2030'!J44</f>
        <v/>
      </c>
      <c r="F16" s="385" t="n"/>
      <c r="G16" s="427" t="n"/>
      <c r="H16" s="428" t="inlineStr">
        <is>
          <t>TOTAL AKTIVA LANCAR</t>
        </is>
      </c>
      <c r="I16" s="420" t="inlineStr">
        <is>
          <t>Rp</t>
        </is>
      </c>
      <c r="J16" s="429">
        <f>SUM(J10:J15)</f>
        <v/>
      </c>
    </row>
    <row r="17">
      <c r="A17" s="382" t="n"/>
      <c r="B17" s="425" t="n"/>
      <c r="C17" s="401" t="inlineStr">
        <is>
          <t>BIAYA SEWA PERALATAN</t>
        </is>
      </c>
      <c r="D17" s="408" t="inlineStr">
        <is>
          <t>Rp</t>
        </is>
      </c>
      <c r="E17" s="424">
        <f>'Revenue-Cost_2030'!K44</f>
        <v/>
      </c>
      <c r="F17" s="385" t="n"/>
      <c r="G17" s="413" t="n"/>
      <c r="H17" s="414" t="n"/>
      <c r="I17" s="430" t="n"/>
      <c r="J17" s="431" t="n"/>
    </row>
    <row r="18">
      <c r="A18" s="382" t="n"/>
      <c r="B18" s="425" t="n"/>
      <c r="C18" s="401" t="inlineStr">
        <is>
          <t>BIAYA Data Processing</t>
        </is>
      </c>
      <c r="D18" s="408" t="inlineStr">
        <is>
          <t>Rp</t>
        </is>
      </c>
      <c r="E18" s="424">
        <f>'Revenue-Cost_2030'!L44</f>
        <v/>
      </c>
      <c r="F18" s="385" t="n"/>
      <c r="G18" s="410" t="inlineStr">
        <is>
          <t>ACTIVA TETAP</t>
        </is>
      </c>
      <c r="H18" s="432" t="n"/>
      <c r="I18" s="404" t="n"/>
      <c r="J18" s="415" t="n"/>
    </row>
    <row r="19">
      <c r="A19" s="382" t="n"/>
      <c r="B19" s="425" t="n"/>
      <c r="C19" s="401" t="n"/>
      <c r="D19" s="408" t="n"/>
      <c r="E19" s="424" t="n"/>
      <c r="F19" s="385" t="n"/>
      <c r="G19" s="410" t="n"/>
      <c r="H19" s="432" t="n"/>
      <c r="I19" s="404" t="n"/>
      <c r="J19" s="415" t="n"/>
    </row>
    <row r="20">
      <c r="A20" s="382" t="n"/>
      <c r="B20" s="425" t="n"/>
      <c r="C20" s="401" t="n"/>
      <c r="D20" s="416" t="n"/>
      <c r="E20" s="433" t="n"/>
      <c r="F20" s="385" t="n"/>
      <c r="G20" s="413" t="n"/>
      <c r="H20" s="414" t="inlineStr">
        <is>
          <t>INVENTARIS KANTOR</t>
        </is>
      </c>
      <c r="I20" s="408" t="inlineStr">
        <is>
          <t>Rp</t>
        </is>
      </c>
      <c r="J20" s="415" t="n">
        <v>0</v>
      </c>
    </row>
    <row r="21">
      <c r="A21" s="382" t="n"/>
      <c r="B21" s="418" t="inlineStr">
        <is>
          <t>TOTAL BIAYA LANGSUNG</t>
        </is>
      </c>
      <c r="C21" s="419" t="n"/>
      <c r="D21" s="420" t="inlineStr">
        <is>
          <t>Rp</t>
        </is>
      </c>
      <c r="E21" s="434">
        <f>SUM(E15:E20)</f>
        <v/>
      </c>
      <c r="F21" s="385" t="n"/>
      <c r="G21" s="413" t="n"/>
      <c r="H21" s="432" t="n"/>
      <c r="I21" s="435" t="n"/>
      <c r="J21" s="436" t="n"/>
    </row>
    <row r="22">
      <c r="A22" s="382" t="n"/>
      <c r="B22" s="408" t="n"/>
      <c r="C22" s="401" t="n"/>
      <c r="D22" s="402" t="n"/>
      <c r="E22" s="437" t="n"/>
      <c r="F22" s="385" t="n"/>
      <c r="G22" s="427" t="n"/>
      <c r="H22" s="428" t="inlineStr">
        <is>
          <t>TOTAL AKTIVA TETAP</t>
        </is>
      </c>
      <c r="I22" s="420" t="inlineStr">
        <is>
          <t>Rp</t>
        </is>
      </c>
      <c r="J22" s="429">
        <f>J20</f>
        <v/>
      </c>
    </row>
    <row r="23">
      <c r="A23" s="382" t="n"/>
      <c r="B23" s="423" t="inlineStr">
        <is>
          <t>BEBAN TIDAK LANGSUNG</t>
        </is>
      </c>
      <c r="C23" s="401" t="n"/>
      <c r="D23" s="408" t="n"/>
      <c r="E23" s="424">
        <f>'Revenue-Cost_2030'!Q44</f>
        <v/>
      </c>
      <c r="F23" s="385" t="n"/>
      <c r="G23" s="413" t="n"/>
      <c r="H23" s="414" t="n"/>
      <c r="I23" s="430" t="n"/>
      <c r="J23" s="407" t="n"/>
    </row>
    <row r="24">
      <c r="A24" s="382" t="n"/>
      <c r="B24" s="408" t="n"/>
      <c r="C24" s="401" t="n"/>
      <c r="D24" s="408" t="n"/>
      <c r="E24" s="424" t="n"/>
      <c r="F24" s="385" t="n"/>
      <c r="G24" s="410" t="inlineStr">
        <is>
          <t>ACTIVA LAIN LAIN</t>
        </is>
      </c>
      <c r="H24" s="432" t="n"/>
      <c r="I24" s="404" t="n"/>
      <c r="J24" s="415" t="n">
        <v>0</v>
      </c>
    </row>
    <row r="25">
      <c r="A25" s="382" t="n"/>
      <c r="B25" s="408" t="n"/>
      <c r="C25" s="401" t="n"/>
      <c r="D25" s="408" t="inlineStr">
        <is>
          <t>Rp</t>
        </is>
      </c>
      <c r="E25" s="424" t="n"/>
      <c r="F25" s="385" t="n"/>
      <c r="G25" s="413" t="n"/>
      <c r="H25" s="414" t="n"/>
      <c r="I25" s="438" t="n"/>
      <c r="J25" s="439" t="n">
        <v>0</v>
      </c>
    </row>
    <row r="26">
      <c r="A26" s="382" t="n"/>
      <c r="B26" s="408" t="n"/>
      <c r="C26" s="401" t="n"/>
      <c r="D26" s="416" t="n"/>
      <c r="E26" s="433" t="n"/>
      <c r="F26" s="385" t="n"/>
      <c r="G26" s="427" t="n"/>
      <c r="H26" s="428" t="inlineStr">
        <is>
          <t>TOTAL AKTIVA LAIN LAIN</t>
        </is>
      </c>
      <c r="I26" s="420" t="inlineStr">
        <is>
          <t>Rp</t>
        </is>
      </c>
      <c r="J26" s="429">
        <f>SUM(J25:J25)</f>
        <v/>
      </c>
    </row>
    <row r="27">
      <c r="A27" s="382" t="n"/>
      <c r="B27" s="418" t="inlineStr">
        <is>
          <t>TOTAL BIAYA TIDAK LANGSUNG</t>
        </is>
      </c>
      <c r="C27" s="419" t="n"/>
      <c r="D27" s="420" t="inlineStr">
        <is>
          <t>Rp</t>
        </is>
      </c>
      <c r="E27" s="434">
        <f>SUM(E22:E26)</f>
        <v/>
      </c>
      <c r="F27" s="385" t="n"/>
      <c r="G27" s="413" t="n"/>
      <c r="H27" s="414" t="n"/>
      <c r="I27" s="440" t="n"/>
      <c r="J27" s="441" t="n"/>
    </row>
    <row r="28">
      <c r="A28" s="382" t="n"/>
      <c r="B28" s="408" t="n"/>
      <c r="C28" s="401" t="n"/>
      <c r="D28" s="402" t="n"/>
      <c r="E28" s="437" t="n"/>
      <c r="F28" s="385" t="n"/>
      <c r="G28" s="418" t="inlineStr">
        <is>
          <t>TOTAL AKTIVA</t>
        </is>
      </c>
      <c r="H28" s="419" t="n"/>
      <c r="I28" s="420" t="inlineStr">
        <is>
          <t>Rp</t>
        </is>
      </c>
      <c r="J28" s="442">
        <f>J26+J22+J16</f>
        <v/>
      </c>
    </row>
    <row r="29">
      <c r="A29" s="382" t="n"/>
      <c r="B29" s="423" t="inlineStr">
        <is>
          <t>BIAYA ADMINISTRASI DAN UMUM</t>
        </is>
      </c>
      <c r="C29" s="401" t="n"/>
      <c r="D29" s="408" t="n"/>
      <c r="E29" s="424" t="n"/>
      <c r="F29" s="385" t="n"/>
      <c r="G29" s="443" t="n"/>
      <c r="H29" s="444" t="n"/>
      <c r="I29" s="443" t="n"/>
      <c r="J29" s="431" t="n"/>
    </row>
    <row r="30">
      <c r="A30" s="382" t="n"/>
      <c r="B30" s="425" t="n"/>
      <c r="C30" s="401" t="inlineStr">
        <is>
          <t>BIAYA ADMINISTRASI</t>
        </is>
      </c>
      <c r="D30" s="408" t="inlineStr">
        <is>
          <t>Rp</t>
        </is>
      </c>
      <c r="E30" s="424">
        <f>'Revenue-Cost_2030'!M44</f>
        <v/>
      </c>
      <c r="F30" s="385" t="n"/>
      <c r="G30" s="445" t="inlineStr">
        <is>
          <t>HUTANG DAN MODAL</t>
        </is>
      </c>
      <c r="H30" s="405" t="n"/>
      <c r="I30" s="445" t="n"/>
      <c r="J30" s="446" t="n"/>
    </row>
    <row r="31">
      <c r="A31" s="382" t="n"/>
      <c r="B31" s="425" t="n"/>
      <c r="C31" s="401" t="inlineStr">
        <is>
          <t>BIAYA PEMBELIAN Barang</t>
        </is>
      </c>
      <c r="D31" s="408" t="inlineStr">
        <is>
          <t>Rp</t>
        </is>
      </c>
      <c r="E31" s="424">
        <f>'Revenue-Cost_2030'!N44</f>
        <v/>
      </c>
      <c r="F31" s="385" t="n"/>
      <c r="G31" s="445" t="n"/>
      <c r="H31" s="405" t="n"/>
      <c r="I31" s="445" t="n"/>
      <c r="J31" s="446" t="n"/>
    </row>
    <row r="32">
      <c r="A32" s="382" t="n"/>
      <c r="B32" s="425" t="n"/>
      <c r="C32" s="401" t="inlineStr">
        <is>
          <t>BIAYA SEWA KANTOR</t>
        </is>
      </c>
      <c r="D32" s="408" t="inlineStr">
        <is>
          <t>Rp</t>
        </is>
      </c>
      <c r="E32" s="424">
        <f>'Revenue-Cost_2030'!O44</f>
        <v/>
      </c>
      <c r="F32" s="385" t="n"/>
      <c r="G32" s="410" t="inlineStr">
        <is>
          <t>HUTANG LANCAR</t>
        </is>
      </c>
      <c r="H32" s="411" t="n"/>
      <c r="I32" s="410" t="n"/>
      <c r="J32" s="412" t="n"/>
    </row>
    <row r="33">
      <c r="A33" s="382" t="n"/>
      <c r="B33" s="425" t="n"/>
      <c r="C33" s="401" t="inlineStr">
        <is>
          <t>BIAYA KESEHATAN</t>
        </is>
      </c>
      <c r="D33" s="408" t="inlineStr">
        <is>
          <t>Rp</t>
        </is>
      </c>
      <c r="E33" s="424">
        <f>'Revenue-Cost_2030'!P44</f>
        <v/>
      </c>
      <c r="F33" s="385" t="n"/>
      <c r="G33" s="413" t="n"/>
      <c r="H33" s="414" t="inlineStr">
        <is>
          <t>HUTANG USAHA</t>
        </is>
      </c>
      <c r="I33" s="408" t="inlineStr">
        <is>
          <t>Rp</t>
        </is>
      </c>
      <c r="J33" s="415" t="n">
        <v>0</v>
      </c>
    </row>
    <row r="34">
      <c r="A34" s="382" t="n"/>
      <c r="B34" s="425" t="n"/>
      <c r="C34" s="401" t="n"/>
      <c r="D34" s="416" t="n"/>
      <c r="E34" s="433" t="n"/>
      <c r="F34" s="385" t="n"/>
      <c r="G34" s="413" t="n"/>
      <c r="H34" s="447" t="inlineStr">
        <is>
          <t>HUTANG GAJI</t>
        </is>
      </c>
      <c r="I34" s="408" t="inlineStr">
        <is>
          <t>Rp</t>
        </is>
      </c>
      <c r="J34" s="415" t="n">
        <v>0</v>
      </c>
    </row>
    <row r="35">
      <c r="A35" s="382" t="n"/>
      <c r="B35" s="418" t="inlineStr">
        <is>
          <t>TOTAL BIAYA ADMINISTRASI DAN UMUM</t>
        </is>
      </c>
      <c r="C35" s="419" t="n"/>
      <c r="D35" s="420" t="inlineStr">
        <is>
          <t>Rp</t>
        </is>
      </c>
      <c r="E35" s="421">
        <f>SUM(E30:E34)</f>
        <v/>
      </c>
      <c r="F35" s="385" t="n"/>
      <c r="G35" s="413" t="n"/>
      <c r="H35" s="414" t="inlineStr">
        <is>
          <t>HUTANG PEMEGANG SAHAM</t>
        </is>
      </c>
      <c r="I35" s="408" t="inlineStr">
        <is>
          <t>Rp</t>
        </is>
      </c>
      <c r="J35" s="415" t="n">
        <v>0</v>
      </c>
    </row>
    <row r="36">
      <c r="A36" s="382" t="n"/>
      <c r="B36" s="425" t="n"/>
      <c r="C36" s="401" t="n"/>
      <c r="D36" s="420" t="n"/>
      <c r="E36" s="448" t="n"/>
      <c r="F36" s="385" t="n"/>
      <c r="G36" s="413" t="n"/>
      <c r="H36" s="414" t="inlineStr">
        <is>
          <t>BIAYA YANG MASIH HARUS DI BAYAR</t>
        </is>
      </c>
      <c r="I36" s="408" t="inlineStr">
        <is>
          <t>Rp</t>
        </is>
      </c>
      <c r="J36" s="415" t="n">
        <v>0</v>
      </c>
    </row>
    <row r="37">
      <c r="A37" s="382" t="n"/>
      <c r="B37" s="418" t="inlineStr">
        <is>
          <t>TOTAL BIAYA</t>
        </is>
      </c>
      <c r="C37" s="419" t="n"/>
      <c r="D37" s="420" t="inlineStr">
        <is>
          <t>Rp</t>
        </is>
      </c>
      <c r="E37" s="421">
        <f>E35+E21+E27</f>
        <v/>
      </c>
      <c r="F37" s="385" t="n"/>
      <c r="G37" s="449" t="n"/>
      <c r="H37" s="450" t="n"/>
      <c r="I37" s="449" t="n"/>
      <c r="J37" s="451" t="n"/>
    </row>
    <row r="38">
      <c r="A38" s="382" t="n"/>
      <c r="B38" s="400" t="n"/>
      <c r="C38" s="452" t="n"/>
      <c r="D38" s="402" t="n"/>
      <c r="E38" s="453" t="n"/>
      <c r="F38" s="385" t="n"/>
      <c r="G38" s="427" t="n"/>
      <c r="H38" s="428" t="inlineStr">
        <is>
          <t>TOTAL HUTANG LANCAR</t>
        </is>
      </c>
      <c r="I38" s="454" t="n"/>
      <c r="J38" s="429">
        <f>SUM(J33:J36)</f>
        <v/>
      </c>
    </row>
    <row r="39">
      <c r="A39" s="382" t="n"/>
      <c r="B39" s="423" t="inlineStr">
        <is>
          <t xml:space="preserve">PENDAPATAN/BEBAN LAIN LAIN </t>
        </is>
      </c>
      <c r="C39" s="401" t="n"/>
      <c r="D39" s="408" t="inlineStr">
        <is>
          <t>Rp</t>
        </is>
      </c>
      <c r="E39" s="455" t="n"/>
      <c r="F39" s="385" t="n"/>
      <c r="G39" s="413" t="n"/>
      <c r="H39" s="432" t="n"/>
      <c r="I39" s="456" t="n"/>
      <c r="J39" s="407" t="n"/>
    </row>
    <row r="40">
      <c r="A40" s="382" t="n"/>
      <c r="B40" s="423" t="n"/>
      <c r="C40" s="401" t="inlineStr">
        <is>
          <t>PENDAPATAN LAINNYA</t>
        </is>
      </c>
      <c r="D40" s="408" t="inlineStr">
        <is>
          <t>Rp</t>
        </is>
      </c>
      <c r="E40" s="409" t="n">
        <v>0</v>
      </c>
      <c r="F40" s="385" t="n"/>
      <c r="G40" s="410" t="inlineStr">
        <is>
          <t>MODAL</t>
        </is>
      </c>
      <c r="H40" s="411" t="n"/>
      <c r="I40" s="410" t="n"/>
      <c r="J40" s="412" t="n"/>
    </row>
    <row r="41">
      <c r="A41" s="382" t="n"/>
      <c r="B41" s="423" t="n"/>
      <c r="C41" s="401" t="n"/>
      <c r="D41" s="416" t="n"/>
      <c r="E41" s="457" t="n"/>
      <c r="F41" s="385" t="n"/>
      <c r="G41" s="413" t="n"/>
      <c r="H41" s="414" t="inlineStr">
        <is>
          <t>MODAL SAHAM</t>
        </is>
      </c>
      <c r="I41" s="408" t="inlineStr">
        <is>
          <t>Rp</t>
        </is>
      </c>
      <c r="J41" s="415" t="n">
        <v>0</v>
      </c>
    </row>
    <row r="42">
      <c r="A42" s="382" t="n"/>
      <c r="B42" s="418" t="inlineStr">
        <is>
          <t>LABA RUGI SEBELUM PAJAK</t>
        </is>
      </c>
      <c r="C42" s="419" t="n"/>
      <c r="D42" s="420" t="inlineStr">
        <is>
          <t>Rp</t>
        </is>
      </c>
      <c r="E42" s="421">
        <f>E12-E37</f>
        <v/>
      </c>
      <c r="F42" s="385" t="n"/>
      <c r="G42" s="413" t="n"/>
      <c r="H42" s="414" t="inlineStr">
        <is>
          <t>LABA DI TAHAN</t>
        </is>
      </c>
      <c r="I42" s="408" t="inlineStr">
        <is>
          <t>Rp</t>
        </is>
      </c>
      <c r="J42" s="415" t="n">
        <v>0</v>
      </c>
    </row>
    <row r="43">
      <c r="A43" s="382" t="n"/>
      <c r="B43" s="458" t="n"/>
      <c r="C43" s="452" t="n"/>
      <c r="D43" s="402" t="n"/>
      <c r="E43" s="422" t="n"/>
      <c r="F43" s="385" t="n"/>
      <c r="G43" s="410" t="n"/>
      <c r="H43" s="414" t="inlineStr">
        <is>
          <t>TOTAL LABA (RUGI) DITAHAN</t>
        </is>
      </c>
      <c r="I43" s="416" t="inlineStr">
        <is>
          <t>Rp</t>
        </is>
      </c>
      <c r="J43" s="439">
        <f>J28-J38-J41-J42</f>
        <v/>
      </c>
    </row>
    <row r="44">
      <c r="A44" s="382" t="n"/>
      <c r="B44" s="423" t="inlineStr">
        <is>
          <t>CORPORATE TAX (PPh 29)</t>
        </is>
      </c>
      <c r="D44" s="408" t="inlineStr">
        <is>
          <t>Rp</t>
        </is>
      </c>
      <c r="E44" s="409" t="n">
        <v>0</v>
      </c>
      <c r="F44" s="385" t="n"/>
      <c r="G44" s="427" t="n"/>
      <c r="H44" s="428" t="inlineStr">
        <is>
          <t>TOTAL MODAL</t>
        </is>
      </c>
      <c r="I44" s="420" t="inlineStr">
        <is>
          <t>Rp</t>
        </is>
      </c>
      <c r="J44" s="429">
        <f>SUM(J41:J43)</f>
        <v/>
      </c>
    </row>
    <row r="45">
      <c r="A45" s="382" t="n"/>
      <c r="B45" s="423" t="n"/>
      <c r="C45" s="401" t="n"/>
      <c r="D45" s="416" t="n"/>
      <c r="E45" s="457" t="n"/>
      <c r="F45" s="385" t="n"/>
      <c r="G45" s="413" t="n"/>
      <c r="H45" s="414" t="n"/>
      <c r="I45" s="440" t="n"/>
      <c r="J45" s="441" t="n"/>
    </row>
    <row r="46" ht="15" customHeight="1" s="297">
      <c r="A46" s="382" t="n"/>
      <c r="B46" s="459" t="inlineStr">
        <is>
          <t>LABA / RUGI BERSIH</t>
        </is>
      </c>
      <c r="C46" s="303" t="n"/>
      <c r="D46" s="460" t="n"/>
      <c r="E46" s="461">
        <f>E42-E44</f>
        <v/>
      </c>
      <c r="F46" s="385" t="n"/>
      <c r="G46" s="462" t="inlineStr">
        <is>
          <t>TOTAL HUTANG DAN MODAL</t>
        </is>
      </c>
      <c r="H46" s="463" t="n"/>
      <c r="I46" s="460" t="inlineStr">
        <is>
          <t>Rp</t>
        </is>
      </c>
      <c r="J46" s="464">
        <f>J44+J38</f>
        <v/>
      </c>
    </row>
    <row r="47" ht="4.5" customHeight="1" s="297">
      <c r="A47" s="382" t="n"/>
      <c r="F47" s="385" t="n"/>
    </row>
    <row r="48" ht="50.65" customHeight="1" s="297">
      <c r="A48" s="382" t="n"/>
      <c r="F48" s="385" t="n"/>
      <c r="G48" s="465" t="n"/>
    </row>
    <row r="49" ht="16.75" customHeight="1" s="297">
      <c r="A49" s="382" t="n"/>
      <c r="B49" s="466" t="n"/>
      <c r="F49" s="385" t="n"/>
      <c r="G49" s="466" t="n"/>
    </row>
    <row r="50" ht="15.65" customHeight="1" s="297">
      <c r="A50" s="401" t="n"/>
      <c r="B50" s="467" t="inlineStr">
        <is>
          <t>Direktur</t>
        </is>
      </c>
      <c r="F50" s="385" t="n"/>
      <c r="G50" s="467" t="inlineStr">
        <is>
          <t>Direktur</t>
        </is>
      </c>
    </row>
    <row r="51">
      <c r="A51" s="401" t="n"/>
      <c r="F51" s="385" t="n"/>
    </row>
    <row r="52">
      <c r="A52" s="401" t="n"/>
      <c r="F52" s="385" t="n"/>
      <c r="J52" s="468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4" customWidth="1" style="297" min="1" max="1"/>
    <col width="5" customWidth="1" style="297" min="2" max="2"/>
    <col width="28" customWidth="1" style="297" min="3" max="3"/>
    <col width="5" customWidth="1" style="297" min="4" max="4"/>
    <col width="18" customWidth="1" style="297" min="5" max="5"/>
    <col width="4" customWidth="1" style="297" min="6" max="6"/>
    <col width="10" customWidth="1" style="297" min="7" max="7"/>
  </cols>
  <sheetData>
    <row r="1" ht="15" customHeight="1" s="297">
      <c r="A1" s="382" t="n"/>
      <c r="B1" s="382" t="n"/>
      <c r="C1" s="382" t="n"/>
      <c r="D1" s="382" t="n"/>
      <c r="E1" s="383" t="n"/>
    </row>
    <row r="2" ht="37.25" customHeight="1" s="297">
      <c r="A2" s="382" t="n"/>
      <c r="B2" s="382" t="n"/>
      <c r="C2" s="382" t="n"/>
      <c r="D2" s="382" t="n"/>
      <c r="E2" s="383" t="n"/>
    </row>
    <row r="3" ht="33.65" customHeight="1" s="297">
      <c r="A3" s="382" t="n"/>
      <c r="B3" s="384" t="inlineStr">
        <is>
          <t>PT. EXSPAN WIRELINE INDONESIA</t>
        </is>
      </c>
      <c r="F3" s="385" t="n"/>
    </row>
    <row r="4" ht="20.5" customHeight="1" s="297">
      <c r="A4" s="382" t="n"/>
      <c r="B4" s="387" t="inlineStr">
        <is>
          <t>BUSINESS SUMMARY | TAHUN 2030</t>
        </is>
      </c>
      <c r="F4" s="385" t="n"/>
    </row>
    <row r="5" ht="6" customHeight="1" s="297">
      <c r="A5" s="382" t="n"/>
      <c r="B5" s="382" t="n"/>
      <c r="C5" s="382" t="n"/>
      <c r="D5" s="382" t="n"/>
      <c r="E5" s="383" t="n"/>
      <c r="F5" s="385" t="n"/>
    </row>
    <row r="6" ht="20" customHeight="1" s="297">
      <c r="A6" s="382" t="n"/>
      <c r="B6" s="469" t="inlineStr">
        <is>
          <t>#</t>
        </is>
      </c>
      <c r="C6" s="469" t="inlineStr">
        <is>
          <t>Items</t>
        </is>
      </c>
      <c r="D6" s="470" t="inlineStr">
        <is>
          <t>Amount</t>
        </is>
      </c>
      <c r="E6" s="279" t="n"/>
      <c r="F6" s="385" t="n"/>
    </row>
    <row r="7" ht="20" customHeight="1" s="297">
      <c r="A7" s="382" t="n"/>
      <c r="B7" s="471" t="n">
        <v>1</v>
      </c>
      <c r="C7" s="472" t="inlineStr">
        <is>
          <t>Revenue</t>
        </is>
      </c>
      <c r="D7" s="473" t="inlineStr">
        <is>
          <t>Rp</t>
        </is>
      </c>
      <c r="E7" s="474">
        <f>SUM('Revenue-Cost_2030'!L8:'Revenue-Cost_2030'!L22)</f>
        <v/>
      </c>
      <c r="F7" s="385" t="n"/>
    </row>
    <row r="8" ht="20" customHeight="1" s="297">
      <c r="A8" s="382" t="n"/>
      <c r="B8" s="471" t="n">
        <v>2</v>
      </c>
      <c r="C8" s="472" t="inlineStr">
        <is>
          <t>Revenue Diterima (Setelah Pajak)</t>
        </is>
      </c>
      <c r="D8" s="473" t="inlineStr">
        <is>
          <t>Rp</t>
        </is>
      </c>
      <c r="E8" s="474">
        <f>E7-SUM('Revenue-Cost_2030'!N8:'Revenue-Cost_2030'!N22)</f>
        <v/>
      </c>
      <c r="F8" s="385" t="n"/>
    </row>
    <row r="9" ht="20" customHeight="1" s="297">
      <c r="A9" s="382" t="n"/>
      <c r="B9" s="471" t="n">
        <v>3</v>
      </c>
      <c r="C9" s="472" t="inlineStr">
        <is>
          <t>Biaya</t>
        </is>
      </c>
      <c r="D9" s="473" t="inlineStr">
        <is>
          <t>Rp</t>
        </is>
      </c>
      <c r="E9" s="474">
        <f>SUM('Revenue-Cost_2030'!I44:Q44)</f>
        <v/>
      </c>
      <c r="F9" s="385" t="n"/>
    </row>
    <row r="10" ht="20" customHeight="1" s="297">
      <c r="A10" s="382" t="n"/>
      <c r="B10" s="471" t="n">
        <v>4</v>
      </c>
      <c r="C10" s="472" t="inlineStr">
        <is>
          <t>Profit SebelumTax</t>
        </is>
      </c>
      <c r="D10" s="473" t="inlineStr">
        <is>
          <t>Rp</t>
        </is>
      </c>
      <c r="E10" s="474">
        <f>E7-E9</f>
        <v/>
      </c>
      <c r="F10" s="385" t="n"/>
    </row>
    <row r="11" ht="20" customHeight="1" s="297">
      <c r="A11" s="382" t="n"/>
      <c r="B11" s="471" t="n">
        <v>5</v>
      </c>
      <c r="C11" s="472" t="inlineStr">
        <is>
          <t>PPh Badan (22%*50%)</t>
        </is>
      </c>
      <c r="D11" s="473" t="inlineStr">
        <is>
          <t>Rp</t>
        </is>
      </c>
      <c r="E11" s="474">
        <f>E10*22%*50%</f>
        <v/>
      </c>
      <c r="F11" s="385" t="n"/>
    </row>
    <row r="12" ht="20" customHeight="1" s="297">
      <c r="A12" s="382" t="n"/>
      <c r="B12" s="471" t="n">
        <v>6</v>
      </c>
      <c r="C12" s="472" t="inlineStr">
        <is>
          <t>PPh 23 Dipotong oleh client</t>
        </is>
      </c>
      <c r="D12" s="473" t="inlineStr">
        <is>
          <t>Rp</t>
        </is>
      </c>
      <c r="E12" s="474">
        <f>SUM('Revenue-Cost_2030'!N8:'Revenue-Cost_2030'!N22)</f>
        <v/>
      </c>
      <c r="F12" s="385" t="n"/>
    </row>
    <row r="13" ht="20" customHeight="1" s="297">
      <c r="A13" s="382" t="n"/>
      <c r="B13" s="471" t="n">
        <v>7</v>
      </c>
      <c r="C13" s="472" t="inlineStr">
        <is>
          <t>Kekurangan Bayar PPh Badan</t>
        </is>
      </c>
      <c r="D13" s="473" t="inlineStr">
        <is>
          <t>Rp</t>
        </is>
      </c>
      <c r="E13" s="475">
        <f>E11-E12</f>
        <v/>
      </c>
      <c r="F13" s="385" t="n"/>
    </row>
    <row r="14" ht="20" customHeight="1" s="297">
      <c r="A14" s="382" t="n"/>
      <c r="B14" s="471" t="n">
        <v>8</v>
      </c>
      <c r="C14" s="472" t="inlineStr">
        <is>
          <t>Profit After Tax</t>
        </is>
      </c>
      <c r="D14" s="473" t="inlineStr">
        <is>
          <t>Rp</t>
        </is>
      </c>
      <c r="E14" s="474">
        <f>E10-E13</f>
        <v/>
      </c>
      <c r="F14" s="385" t="n"/>
    </row>
    <row r="15" ht="20" customHeight="1" s="297">
      <c r="A15" s="382" t="n"/>
      <c r="B15" s="471" t="n">
        <v>9</v>
      </c>
      <c r="C15" s="472" t="inlineStr">
        <is>
          <t>Deviden Dibagi</t>
        </is>
      </c>
      <c r="D15" s="473" t="inlineStr">
        <is>
          <t>Rp</t>
        </is>
      </c>
      <c r="E15" s="474">
        <f>E14-E16</f>
        <v/>
      </c>
      <c r="F15" s="385" t="n"/>
    </row>
    <row r="16" ht="20" customHeight="1" s="297">
      <c r="A16" s="382" t="n"/>
      <c r="B16" s="471" t="n">
        <v>10</v>
      </c>
      <c r="C16" s="472" t="inlineStr">
        <is>
          <t>Profit Ditahan</t>
        </is>
      </c>
      <c r="D16" s="473" t="inlineStr">
        <is>
          <t>Rp</t>
        </is>
      </c>
      <c r="E16" s="474" t="n">
        <v>0</v>
      </c>
      <c r="F16" s="385" t="n"/>
    </row>
    <row r="17">
      <c r="A17" s="382" t="n"/>
      <c r="B17" s="382" t="n"/>
      <c r="C17" s="382" t="n"/>
      <c r="D17" s="382" t="n"/>
      <c r="E17" s="383" t="n"/>
      <c r="F17" s="385" t="n"/>
    </row>
    <row r="18" ht="18" customHeight="1" s="297">
      <c r="A18" s="382" t="n"/>
      <c r="B18" s="476" t="inlineStr">
        <is>
          <t>DEVIDEN</t>
        </is>
      </c>
      <c r="F18" s="385" t="n"/>
    </row>
    <row r="19" ht="20" customHeight="1" s="297">
      <c r="A19" s="382" t="n"/>
      <c r="B19" s="477" t="inlineStr">
        <is>
          <t>#</t>
        </is>
      </c>
      <c r="C19" s="477" t="inlineStr">
        <is>
          <t>Nama Lengkap</t>
        </is>
      </c>
      <c r="D19" s="477" t="inlineStr"/>
      <c r="E19" s="478" t="inlineStr">
        <is>
          <t>Amount</t>
        </is>
      </c>
      <c r="F19" s="385" t="inlineStr"/>
      <c r="G19" s="479" t="inlineStr">
        <is>
          <t>Pajak</t>
        </is>
      </c>
    </row>
    <row r="20" ht="19" customHeight="1" s="297">
      <c r="A20" s="382" t="n"/>
      <c r="B20" s="271" t="n"/>
      <c r="C20" s="272" t="n"/>
      <c r="D20" s="472" t="n"/>
      <c r="E20" s="480" t="n"/>
      <c r="F20" s="385" t="n"/>
      <c r="G20" s="481" t="n"/>
    </row>
    <row r="21" ht="48.75" customHeight="1" s="297">
      <c r="A21" s="401" t="n"/>
      <c r="F21" s="385" t="n"/>
    </row>
    <row r="22">
      <c r="A22" s="401" t="n"/>
      <c r="F22" s="385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2026-04-01T15:19:53Z</dcterms:modified>
  <cp:lastModifiedBy>Diofavian - Student</cp:lastModifiedBy>
</cp:coreProperties>
</file>