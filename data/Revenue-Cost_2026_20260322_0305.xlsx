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6" sheetId="1" state="visible" r:id="rId1"/>
    <sheet name="Laba rugi -2026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3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</numFmts>
  <fonts count="3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</fonts>
  <fills count="11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FF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55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67" fontId="8" fillId="2" borderId="4" applyAlignment="1" pivotButton="0" quotePrefix="0" xfId="0">
      <alignment horizontal="center" vertical="center" wrapText="1"/>
    </xf>
    <xf numFmtId="15" fontId="10" fillId="10" borderId="4" pivotButton="0" quotePrefix="0" xfId="0"/>
    <xf numFmtId="0" fontId="10" fillId="10" borderId="4" applyAlignment="1" pivotButton="0" quotePrefix="0" xfId="0">
      <alignment horizontal="center"/>
    </xf>
    <xf numFmtId="0" fontId="35" fillId="10" borderId="4" pivotButton="0" quotePrefix="0" xfId="0"/>
    <xf numFmtId="0" fontId="10" fillId="10" borderId="4" pivotButton="0" quotePrefix="0" xfId="0"/>
    <xf numFmtId="165" fontId="10" fillId="10" borderId="9" pivotButton="0" quotePrefix="0" xfId="1"/>
    <xf numFmtId="0" fontId="10" fillId="10" borderId="4" applyAlignment="1" pivotButton="0" quotePrefix="0" xfId="0">
      <alignment horizontal="center" vertical="center"/>
    </xf>
    <xf numFmtId="165" fontId="8" fillId="10" borderId="4" applyAlignment="1" pivotButton="0" quotePrefix="0" xfId="0">
      <alignment vertical="top"/>
    </xf>
    <xf numFmtId="165" fontId="8" fillId="10" borderId="4" pivotButton="0" quotePrefix="0" xfId="0"/>
    <xf numFmtId="0" fontId="8" fillId="10" borderId="4" pivotButton="0" quotePrefix="0" xfId="0"/>
    <xf numFmtId="3" fontId="10" fillId="10" borderId="9" pivotButton="0" quotePrefix="0" xfId="1"/>
    <xf numFmtId="176" fontId="10" fillId="10" borderId="4" applyAlignment="1" pivotButton="0" quotePrefix="0" xfId="0">
      <alignment horizontal="center" vertical="center"/>
    </xf>
    <xf numFmtId="3" fontId="8" fillId="10" borderId="4" applyAlignment="1" pivotButton="0" quotePrefix="0" xfId="0">
      <alignment vertical="top"/>
    </xf>
    <xf numFmtId="0" fontId="10" fillId="10" borderId="4" applyAlignment="1" pivotButton="0" quotePrefix="0" xfId="0">
      <alignment horizontal="left" vertical="center"/>
    </xf>
    <xf numFmtId="0" fontId="10" fillId="10" borderId="4" applyAlignment="1" pivotButton="0" quotePrefix="0" xfId="0">
      <alignment horizontal="center" vertical="top"/>
    </xf>
    <xf numFmtId="3" fontId="8" fillId="10" borderId="4" pivotButton="0" quotePrefix="0" xfId="0"/>
    <xf numFmtId="167" fontId="8" fillId="10" borderId="4" applyAlignment="1" pivotButton="0" quotePrefix="0" xfId="1">
      <alignment vertical="top"/>
    </xf>
    <xf numFmtId="0" fontId="35" fillId="10" borderId="4" applyAlignment="1" pivotButton="0" quotePrefix="0" xfId="0">
      <alignment horizontal="left" vertical="center"/>
    </xf>
    <xf numFmtId="168" fontId="10" fillId="10" borderId="9" pivotButton="0" quotePrefix="0" xfId="1"/>
    <xf numFmtId="3" fontId="10" fillId="10" borderId="8" pivotButton="0" quotePrefix="0" xfId="1"/>
    <xf numFmtId="3" fontId="10" fillId="10" borderId="9" pivotButton="0" quotePrefix="0" xfId="2"/>
    <xf numFmtId="15" fontId="10" fillId="10" borderId="4" applyAlignment="1" pivotButton="0" quotePrefix="0" xfId="0">
      <alignment horizontal="right" vertical="center"/>
    </xf>
    <xf numFmtId="168" fontId="10" fillId="10" borderId="0" pivotButton="0" quotePrefix="0" xfId="1"/>
    <xf numFmtId="165" fontId="8" fillId="10" borderId="4" pivotButton="0" quotePrefix="0" xfId="1"/>
    <xf numFmtId="165" fontId="10" fillId="10" borderId="8" pivotButton="0" quotePrefix="0" xfId="1"/>
    <xf numFmtId="168" fontId="10" fillId="0" borderId="4" pivotButton="0" quotePrefix="0" xfId="1"/>
    <xf numFmtId="167" fontId="8" fillId="0" borderId="4" applyAlignment="1" pivotButton="0" quotePrefix="0" xfId="1">
      <alignment vertical="top"/>
    </xf>
    <xf numFmtId="168" fontId="8" fillId="0" borderId="4" pivotButton="0" quotePrefix="0" xfId="0"/>
    <xf numFmtId="0" fontId="35" fillId="8" borderId="4" pivotButton="0" quotePrefix="0" xfId="0"/>
    <xf numFmtId="168" fontId="10" fillId="8" borderId="4" pivotButton="0" quotePrefix="0" xfId="0"/>
    <xf numFmtId="0" fontId="35" fillId="5" borderId="4" pivotButton="0" quotePrefix="0" xfId="0"/>
    <xf numFmtId="164" fontId="35" fillId="5" borderId="4" applyAlignment="1" pivotButton="0" quotePrefix="0" xfId="0">
      <alignment horizontal="left"/>
    </xf>
    <xf numFmtId="0" fontId="35" fillId="6" borderId="4" pivotButton="0" quotePrefix="0" xfId="0"/>
    <xf numFmtId="3" fontId="10" fillId="6" borderId="4" pivotButton="0" quotePrefix="0" xfId="2"/>
    <xf numFmtId="176" fontId="10" fillId="6" borderId="4" applyAlignment="1" pivotButton="0" quotePrefix="0" xfId="0">
      <alignment horizontal="center"/>
    </xf>
    <xf numFmtId="0" fontId="35" fillId="6" borderId="4" applyAlignment="1" pivotButton="0" quotePrefix="0" xfId="0">
      <alignment horizontal="left" vertical="center"/>
    </xf>
    <xf numFmtId="3" fontId="8" fillId="0" borderId="4" pivotButton="0" quotePrefix="0" xfId="0"/>
    <xf numFmtId="3" fontId="10" fillId="0" borderId="4" pivotButton="0" quotePrefix="0" xfId="2"/>
    <xf numFmtId="176" fontId="10" fillId="0" borderId="4" applyAlignment="1" pivotButton="0" quotePrefix="0" xfId="0">
      <alignment horizontal="center"/>
    </xf>
    <xf numFmtId="3" fontId="8" fillId="0" borderId="4" applyAlignment="1" pivotButton="0" quotePrefix="0" xfId="0">
      <alignment vertical="top"/>
    </xf>
    <xf numFmtId="3" fontId="10" fillId="6" borderId="4" pivotButton="0" quotePrefix="0" xfId="1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5.08984375" customWidth="1" style="297" min="9" max="9"/>
    <col width="14.453125" bestFit="1" customWidth="1" style="297" min="10" max="10"/>
    <col width="14.81640625" bestFit="1" customWidth="1" style="297" min="11" max="11"/>
    <col width="13.90625" customWidth="1" style="297" min="12" max="12"/>
    <col width="14.54296875" bestFit="1" customWidth="1" style="297" min="13" max="13"/>
    <col width="14.453125" bestFit="1" customWidth="1" style="297" min="14" max="14"/>
    <col width="15.08984375" bestFit="1" customWidth="1" style="297" min="15" max="15"/>
    <col width="12.08984375" customWidth="1" style="297" min="16" max="16"/>
    <col width="12.08984375" bestFit="1" customWidth="1" style="297" min="17" max="17"/>
    <col width="2.1796875" customWidth="1" style="297" min="18" max="18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2026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2026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/>
      <c r="C8" s="15" t="n">
        <v>1</v>
      </c>
      <c r="D8" s="284" t="inlineStr">
        <is>
          <t>Belum ada data revenue</t>
        </is>
      </c>
      <c r="E8" s="279" t="n"/>
      <c r="F8" s="17" t="n"/>
      <c r="G8" s="15" t="inlineStr">
        <is>
          <t>IDR</t>
        </is>
      </c>
      <c r="H8" s="15" t="n">
        <v>1</v>
      </c>
      <c r="I8" s="15" t="n"/>
      <c r="J8" s="18" t="n"/>
      <c r="K8" s="14" t="n"/>
      <c r="L8" s="19" t="n"/>
      <c r="M8" s="20">
        <f>(F8*11%)</f>
        <v/>
      </c>
      <c r="N8" s="20">
        <f>(F8*2%)</f>
        <v/>
      </c>
      <c r="O8" s="19">
        <f>F8-N8-L8</f>
        <v/>
      </c>
      <c r="P8" s="18" t="n"/>
    </row>
    <row r="9" hidden="1" ht="15.5" customHeight="1" s="297">
      <c r="B9" s="14" t="n"/>
      <c r="C9" s="15" t="n"/>
      <c r="D9" s="284" t="n"/>
      <c r="E9" s="279" t="n"/>
      <c r="F9" s="21" t="n"/>
      <c r="G9" s="15" t="n"/>
      <c r="H9" s="15" t="n"/>
      <c r="I9" s="15" t="n"/>
      <c r="J9" s="18" t="n"/>
      <c r="K9" s="14" t="n"/>
      <c r="L9" s="21" t="n"/>
      <c r="M9" s="20">
        <f>(F9*11%)</f>
        <v/>
      </c>
      <c r="N9" s="20">
        <f>(F9*2%)</f>
        <v/>
      </c>
      <c r="O9" s="19" t="n"/>
      <c r="P9" s="18" t="n"/>
      <c r="Q9" s="22" t="inlineStr">
        <is>
          <t>inc.PPN11%</t>
        </is>
      </c>
    </row>
    <row r="10" hidden="1" ht="15.5" customHeight="1" s="297">
      <c r="B10" s="14" t="n"/>
      <c r="C10" s="15" t="n"/>
      <c r="D10" s="284" t="n"/>
      <c r="E10" s="279" t="n"/>
      <c r="F10" s="17" t="n"/>
      <c r="G10" s="15" t="n"/>
      <c r="H10" s="15" t="n"/>
      <c r="I10" s="15" t="n"/>
      <c r="J10" s="18" t="n"/>
      <c r="K10" s="14" t="n"/>
      <c r="L10" s="19" t="n"/>
      <c r="M10" s="20">
        <f>(F10*11%)</f>
        <v/>
      </c>
      <c r="N10" s="20">
        <f>(F10*2%)</f>
        <v/>
      </c>
      <c r="O10" s="19">
        <f>F10-N10-L10</f>
        <v/>
      </c>
      <c r="P10" s="18" t="n"/>
      <c r="Q10" s="23" t="n"/>
    </row>
    <row r="11" hidden="1" ht="15.5" customHeight="1" s="297">
      <c r="B11" s="14" t="n"/>
      <c r="C11" s="15" t="n"/>
      <c r="D11" s="284" t="n"/>
      <c r="E11" s="279" t="n"/>
      <c r="F11" s="17" t="n"/>
      <c r="G11" s="15" t="n"/>
      <c r="H11" s="15" t="n"/>
      <c r="I11" s="15" t="n"/>
      <c r="J11" s="18" t="n"/>
      <c r="K11" s="14" t="n"/>
      <c r="L11" s="19" t="n"/>
      <c r="M11" s="20">
        <f>(F11*11%)</f>
        <v/>
      </c>
      <c r="N11" s="20">
        <f>(F11*2%)</f>
        <v/>
      </c>
      <c r="O11" s="19">
        <f>F11-N11-L11</f>
        <v/>
      </c>
      <c r="P11" s="18" t="n"/>
      <c r="Q11" s="22" t="n"/>
    </row>
    <row r="12" hidden="1" ht="15.5" customHeight="1" s="297">
      <c r="B12" s="14" t="n"/>
      <c r="C12" s="15" t="n"/>
      <c r="D12" s="284" t="n"/>
      <c r="E12" s="279" t="n"/>
      <c r="F12" s="17" t="n"/>
      <c r="G12" s="15" t="n"/>
      <c r="H12" s="15" t="n"/>
      <c r="I12" s="15" t="n"/>
      <c r="J12" s="18" t="n"/>
      <c r="K12" s="24" t="n"/>
      <c r="L12" s="19" t="n"/>
      <c r="M12" s="20">
        <f>(F12*11%)</f>
        <v/>
      </c>
      <c r="N12" s="20">
        <f>(F12*2%)</f>
        <v/>
      </c>
      <c r="O12" s="19">
        <f>F12-N12-L12</f>
        <v/>
      </c>
      <c r="P12" s="18" t="n"/>
    </row>
    <row r="13" hidden="1" ht="15.5" customHeight="1" s="297">
      <c r="B13" s="14" t="n"/>
      <c r="C13" s="15" t="n"/>
      <c r="D13" s="284" t="n"/>
      <c r="E13" s="279" t="n"/>
      <c r="F13" s="17" t="n"/>
      <c r="G13" s="15" t="n"/>
      <c r="H13" s="15" t="n"/>
      <c r="I13" s="15" t="n"/>
      <c r="J13" s="18" t="n"/>
      <c r="K13" s="24" t="n"/>
      <c r="L13" s="19" t="n"/>
      <c r="M13" s="20">
        <f>(F13*11%)</f>
        <v/>
      </c>
      <c r="N13" s="20">
        <f>(F13*2%)</f>
        <v/>
      </c>
      <c r="O13" s="19">
        <f>F13-N13-L13</f>
        <v/>
      </c>
      <c r="P13" s="18" t="n"/>
    </row>
    <row r="14" hidden="1" ht="15.5" customHeight="1" s="297">
      <c r="B14" s="14" t="n"/>
      <c r="C14" s="15" t="n"/>
      <c r="D14" s="284" t="n"/>
      <c r="E14" s="279" t="n"/>
      <c r="F14" s="17" t="n"/>
      <c r="G14" s="15" t="n"/>
      <c r="H14" s="15" t="n"/>
      <c r="I14" s="15" t="n"/>
      <c r="J14" s="18" t="n"/>
      <c r="K14" s="14" t="n"/>
      <c r="L14" s="19">
        <f>(89000000*98%)+9700000</f>
        <v/>
      </c>
      <c r="M14" s="20">
        <f>(F14*11%)</f>
        <v/>
      </c>
      <c r="N14" s="20">
        <f>(F14*2%)</f>
        <v/>
      </c>
      <c r="O14" s="19" t="n"/>
      <c r="P14" s="18" t="n"/>
      <c r="Q14" s="22" t="inlineStr">
        <is>
          <t>inc.PPN11%</t>
        </is>
      </c>
    </row>
    <row r="15" hidden="1" ht="15.5" customHeight="1" s="297">
      <c r="B15" s="14" t="n"/>
      <c r="C15" s="15" t="n"/>
      <c r="D15" s="284" t="n"/>
      <c r="E15" s="279" t="n"/>
      <c r="F15" s="17" t="n"/>
      <c r="G15" s="15" t="n"/>
      <c r="H15" s="15" t="n"/>
      <c r="I15" s="15" t="n"/>
      <c r="J15" s="18" t="n"/>
      <c r="K15" s="24" t="n"/>
      <c r="L15" s="19" t="n"/>
      <c r="M15" s="20">
        <f>(F15*11%)</f>
        <v/>
      </c>
      <c r="N15" s="20">
        <f>(F15*2%)</f>
        <v/>
      </c>
      <c r="O15" s="19">
        <f>F15-N15-L15</f>
        <v/>
      </c>
      <c r="P15" s="18" t="n"/>
    </row>
    <row r="16" hidden="1" ht="15.5" customHeight="1" s="297">
      <c r="B16" s="14" t="n"/>
      <c r="C16" s="15" t="n"/>
      <c r="D16" s="284" t="n"/>
      <c r="E16" s="279" t="n"/>
      <c r="F16" s="17" t="n"/>
      <c r="G16" s="15" t="n"/>
      <c r="H16" s="15" t="n"/>
      <c r="I16" s="15" t="n"/>
      <c r="J16" s="18" t="n"/>
      <c r="K16" s="24" t="n"/>
      <c r="L16" s="19" t="n"/>
      <c r="M16" s="20">
        <f>(F16*11%)</f>
        <v/>
      </c>
      <c r="N16" s="20">
        <f>(F16*2%)</f>
        <v/>
      </c>
      <c r="O16" s="19">
        <f>L16-(F16+M16-N16)</f>
        <v/>
      </c>
      <c r="P16" s="18" t="n"/>
      <c r="Q16" s="22" t="inlineStr">
        <is>
          <t>inc.PPN11%</t>
        </is>
      </c>
    </row>
    <row r="17" hidden="1" ht="15.5" customHeight="1" s="297">
      <c r="B17" s="14" t="n"/>
      <c r="C17" s="15" t="n"/>
      <c r="D17" s="284" t="n"/>
      <c r="E17" s="279" t="n"/>
      <c r="F17" s="17" t="n"/>
      <c r="G17" s="15" t="n"/>
      <c r="H17" s="15" t="n"/>
      <c r="I17" s="15" t="n"/>
      <c r="J17" s="18" t="n"/>
      <c r="K17" s="24" t="n"/>
      <c r="L17" s="19" t="n"/>
      <c r="M17" s="20">
        <f>(F17*11%)</f>
        <v/>
      </c>
      <c r="N17" s="20">
        <f>(F17*2%)</f>
        <v/>
      </c>
      <c r="O17" s="19">
        <f>F17-N17-L17</f>
        <v/>
      </c>
      <c r="P17" s="18" t="n"/>
    </row>
    <row r="18" hidden="1" ht="15.5" customHeight="1" s="297">
      <c r="B18" s="14" t="n"/>
      <c r="C18" s="15" t="n"/>
      <c r="D18" s="284" t="n"/>
      <c r="E18" s="279" t="n"/>
      <c r="F18" s="25" t="n"/>
      <c r="G18" s="15" t="n"/>
      <c r="H18" s="15" t="n"/>
      <c r="I18" s="15" t="n"/>
      <c r="J18" s="18" t="n"/>
      <c r="K18" s="24" t="n"/>
      <c r="L18" s="170" t="n"/>
      <c r="M18" s="20">
        <f>(F18*11%)</f>
        <v/>
      </c>
      <c r="N18" s="20">
        <f>(F18*2%)</f>
        <v/>
      </c>
      <c r="O18" s="19">
        <f>F18-N18-L18</f>
        <v/>
      </c>
      <c r="P18" s="18" t="n"/>
    </row>
    <row r="19" hidden="1" ht="15.5" customHeight="1" s="297">
      <c r="B19" s="14" t="n"/>
      <c r="C19" s="15" t="n"/>
      <c r="D19" s="284" t="n"/>
      <c r="E19" s="279" t="n"/>
      <c r="F19" s="171" t="n"/>
      <c r="G19" s="15" t="n"/>
      <c r="H19" s="15" t="n"/>
      <c r="I19" s="15" t="n"/>
      <c r="J19" s="18" t="n"/>
      <c r="K19" s="292" t="n"/>
      <c r="L19" s="295" t="n"/>
      <c r="M19" s="20">
        <f>(F19*11%)</f>
        <v/>
      </c>
      <c r="N19" s="20">
        <f>(F19*2%)</f>
        <v/>
      </c>
      <c r="O19" s="293">
        <f>F19+F20-L19-(N19+N20)</f>
        <v/>
      </c>
      <c r="P19" s="18" t="n"/>
    </row>
    <row r="20" hidden="1" ht="15.5" customHeight="1" s="297">
      <c r="B20" s="14" t="n"/>
      <c r="C20" s="15" t="n"/>
      <c r="D20" s="284" t="n"/>
      <c r="E20" s="279" t="n"/>
      <c r="F20" s="17" t="n"/>
      <c r="G20" s="15" t="n"/>
      <c r="H20" s="15" t="n"/>
      <c r="I20" s="15" t="n"/>
      <c r="J20" s="18" t="n"/>
      <c r="K20" s="283" t="n"/>
      <c r="L20" s="283" t="n"/>
      <c r="M20" s="20">
        <f>(F20*11%)</f>
        <v/>
      </c>
      <c r="N20" s="20">
        <f>(F20*2%)</f>
        <v/>
      </c>
      <c r="O20" s="283" t="n"/>
      <c r="P20" s="18" t="n"/>
    </row>
    <row r="21" hidden="1" ht="15.5" customHeight="1" s="297">
      <c r="B21" s="14" t="n"/>
      <c r="C21" s="15" t="n"/>
      <c r="D21" s="284" t="n"/>
      <c r="E21" s="279" t="n"/>
      <c r="F21" s="17" t="n"/>
      <c r="G21" s="15" t="n"/>
      <c r="H21" s="15" t="n"/>
      <c r="I21" s="27" t="n"/>
      <c r="J21" s="28" t="n"/>
      <c r="K21" s="29" t="n"/>
      <c r="L21" s="30">
        <f>F21</f>
        <v/>
      </c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0</v>
      </c>
      <c r="G22" s="33" t="n"/>
      <c r="H22" s="33" t="n"/>
      <c r="I22" s="34" t="n"/>
      <c r="J22" s="35" t="n"/>
      <c r="K22" s="34" t="n"/>
      <c r="L22" s="36" t="n">
        <v>0</v>
      </c>
      <c r="M22" s="36" t="n">
        <v>0</v>
      </c>
      <c r="N22" s="36" t="n">
        <v>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/>
      <c r="C27" s="15" t="n">
        <v>1</v>
      </c>
      <c r="D27" s="284" t="inlineStr">
        <is>
          <t>Belum ada data pajak</t>
        </is>
      </c>
      <c r="F27" s="19" t="n"/>
      <c r="G27" s="15" t="inlineStr">
        <is>
          <t>IDR</t>
        </is>
      </c>
      <c r="H27" s="15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idden="1" ht="15.5" customHeight="1" s="297">
      <c r="B28" s="14" t="n"/>
      <c r="C28" s="15" t="n"/>
      <c r="D28" s="284" t="n"/>
      <c r="E28" s="279" t="n"/>
      <c r="F28" s="21" t="n"/>
      <c r="G28" s="15" t="n"/>
      <c r="H28" s="15" t="n"/>
      <c r="I28" s="18" t="n"/>
      <c r="J28" s="21" t="n"/>
      <c r="K28" s="24" t="n"/>
      <c r="L28" s="21" t="n"/>
      <c r="M28" s="24" t="n"/>
      <c r="N28" s="21" t="n"/>
      <c r="O28" s="24" t="n"/>
      <c r="P28" s="21" t="n"/>
      <c r="Q28" s="42" t="n"/>
    </row>
    <row r="29" hidden="1" ht="15.5" customHeight="1" s="297">
      <c r="B29" s="14" t="n"/>
      <c r="C29" s="15" t="n"/>
      <c r="D29" s="284" t="n"/>
      <c r="E29" s="279" t="n"/>
      <c r="F29" s="19" t="n"/>
      <c r="G29" s="15" t="n"/>
      <c r="H29" s="15" t="n"/>
      <c r="I29" s="18" t="n"/>
      <c r="J29" s="21" t="n"/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/>
      <c r="C30" s="15" t="n"/>
      <c r="D30" s="284" t="n"/>
      <c r="E30" s="279" t="n"/>
      <c r="F30" s="19" t="n"/>
      <c r="G30" s="15" t="n"/>
      <c r="H30" s="15" t="n"/>
      <c r="I30" s="18" t="n"/>
      <c r="J30" s="21" t="n"/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/>
      <c r="C31" s="15" t="n"/>
      <c r="D31" s="284" t="n"/>
      <c r="E31" s="279" t="n"/>
      <c r="F31" s="19" t="n"/>
      <c r="G31" s="15" t="n"/>
      <c r="H31" s="15" t="n"/>
      <c r="I31" s="18" t="n"/>
      <c r="J31" s="18" t="n"/>
      <c r="K31" s="24" t="n"/>
      <c r="L31" s="21" t="n"/>
      <c r="M31" s="24" t="n"/>
      <c r="N31" s="21" t="n"/>
      <c r="O31" s="24" t="n"/>
      <c r="P31" s="21" t="n"/>
      <c r="Q31" s="42" t="n"/>
    </row>
    <row r="32" hidden="1" ht="15.5" customHeight="1" s="297">
      <c r="B32" s="14" t="n"/>
      <c r="C32" s="15" t="n"/>
      <c r="D32" s="284" t="n"/>
      <c r="E32" s="279" t="n"/>
      <c r="F32" s="19" t="n"/>
      <c r="G32" s="15" t="n"/>
      <c r="H32" s="15" t="n"/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/>
      <c r="C33" s="15" t="n"/>
      <c r="D33" s="284" t="n"/>
      <c r="E33" s="279" t="n"/>
      <c r="F33" s="19" t="n"/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/>
      <c r="C34" s="15" t="n"/>
      <c r="D34" s="284" t="n"/>
      <c r="E34" s="279" t="n"/>
      <c r="F34" s="19" t="n"/>
      <c r="G34" s="15" t="n"/>
      <c r="H34" s="15" t="n"/>
      <c r="I34" s="18" t="n"/>
      <c r="J34" s="21" t="n"/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/>
      <c r="C35" s="15" t="n"/>
      <c r="D35" s="284" t="n"/>
      <c r="E35" s="279" t="n"/>
      <c r="F35" s="19" t="n"/>
      <c r="G35" s="15" t="n"/>
      <c r="H35" s="15" t="n"/>
      <c r="I35" s="18" t="n"/>
      <c r="J35" s="21" t="n"/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/>
      <c r="C36" s="15" t="n"/>
      <c r="D36" s="284" t="n"/>
      <c r="E36" s="279" t="n"/>
      <c r="F36" s="19" t="n"/>
      <c r="G36" s="15" t="n"/>
      <c r="H36" s="15" t="n"/>
      <c r="I36" s="18" t="n"/>
      <c r="J36" s="18" t="n"/>
      <c r="K36" s="24" t="n"/>
      <c r="L36" s="21" t="n"/>
      <c r="M36" s="24" t="n"/>
      <c r="N36" s="21" t="n"/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0</v>
      </c>
      <c r="K37" s="44" t="inlineStr">
        <is>
          <t>PPh</t>
        </is>
      </c>
      <c r="L37" s="36" t="n">
        <v>0</v>
      </c>
      <c r="M37" s="44" t="inlineStr">
        <is>
          <t>PPh</t>
        </is>
      </c>
      <c r="N37" s="36" t="n">
        <v>0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09" t="inlineStr">
        <is>
          <t>Biaya Operasi (Gaji, Tunjangan Lapangan, Training, THR, Transport, Meal, Hotel, loundry)</t>
        </is>
      </c>
      <c r="J40" s="57" t="inlineStr">
        <is>
          <t>Biaya research
(R &amp; D)</t>
        </is>
      </c>
      <c r="K40" s="58" t="inlineStr">
        <is>
          <t>BIAYA SEWA PERALATAN</t>
        </is>
      </c>
      <c r="L40" s="58" t="inlineStr">
        <is>
          <t>BIAYA INTEPRETASI LOG DATA</t>
        </is>
      </c>
      <c r="M40" s="59" t="inlineStr">
        <is>
          <t>ADMINISTRASI</t>
        </is>
      </c>
      <c r="N40" s="59" t="inlineStr">
        <is>
          <t xml:space="preserve"> PEMBELIAN Barang</t>
        </is>
      </c>
      <c r="O40" s="59" t="inlineStr">
        <is>
          <t xml:space="preserve"> SEWA KANTOR</t>
        </is>
      </c>
      <c r="P40" s="59" t="inlineStr">
        <is>
          <t xml:space="preserve"> KESEHATAN</t>
        </is>
      </c>
      <c r="Q40" s="59" t="inlineStr">
        <is>
          <t>BISNIS DEV</t>
        </is>
      </c>
    </row>
    <row r="41" ht="15.5" customHeight="1" s="297">
      <c r="B41" s="310" t="n"/>
      <c r="C41" s="311" t="n"/>
      <c r="D41" s="312" t="inlineStr">
        <is>
          <t>Accommodation</t>
        </is>
      </c>
      <c r="E41" s="313" t="n"/>
      <c r="F41" s="314" t="n"/>
      <c r="G41" s="315" t="n"/>
      <c r="H41" s="315" t="n"/>
      <c r="I41" s="316" t="n"/>
      <c r="J41" s="316" t="n"/>
      <c r="K41" s="317" t="n"/>
      <c r="L41" s="318" t="n"/>
      <c r="M41" s="318" t="n"/>
      <c r="N41" s="318" t="n"/>
      <c r="O41" s="318" t="n"/>
      <c r="P41" s="318" t="n"/>
      <c r="Q41" s="318" t="n"/>
    </row>
    <row r="42" ht="15.5" customHeight="1" s="297">
      <c r="B42" s="310" t="n">
        <v>46094</v>
      </c>
      <c r="C42" s="311" t="n">
        <v>1</v>
      </c>
      <c r="D42" s="313" t="inlineStr">
        <is>
          <t>diofavian</t>
        </is>
      </c>
      <c r="E42" s="313" t="inlineStr">
        <is>
          <t>BCA</t>
        </is>
      </c>
      <c r="F42" s="319" t="n">
        <v>101</v>
      </c>
      <c r="G42" s="315" t="inlineStr">
        <is>
          <t>IDR</t>
        </is>
      </c>
      <c r="H42" s="320" t="n">
        <v>1</v>
      </c>
      <c r="I42" s="321" t="n">
        <v>101</v>
      </c>
      <c r="J42" s="316" t="n"/>
      <c r="K42" s="317" t="n"/>
      <c r="L42" s="318" t="n"/>
      <c r="M42" s="318" t="n"/>
      <c r="N42" s="318" t="n"/>
      <c r="O42" s="318" t="n"/>
      <c r="P42" s="318" t="n"/>
      <c r="Q42" s="318" t="n"/>
    </row>
    <row r="43" ht="15.5" customHeight="1" s="297">
      <c r="B43" s="310" t="n"/>
      <c r="C43" s="311" t="n"/>
      <c r="D43" s="312" t="inlineStr">
        <is>
          <t>Gaji</t>
        </is>
      </c>
      <c r="E43" s="313" t="n"/>
      <c r="F43" s="314" t="n"/>
      <c r="G43" s="315" t="n"/>
      <c r="H43" s="315" t="n"/>
      <c r="I43" s="316" t="n"/>
      <c r="J43" s="316" t="n"/>
      <c r="K43" s="317" t="n"/>
      <c r="L43" s="318" t="n"/>
      <c r="M43" s="318" t="n"/>
      <c r="N43" s="318" t="n"/>
      <c r="O43" s="318" t="n"/>
      <c r="P43" s="318" t="n"/>
      <c r="Q43" s="318" t="n"/>
    </row>
    <row r="44" ht="15.5" customHeight="1" s="297">
      <c r="B44" s="310" t="n">
        <v>46093</v>
      </c>
      <c r="C44" s="311" t="n">
        <v>2</v>
      </c>
      <c r="D44" s="322" t="inlineStr">
        <is>
          <t>Gaji mael</t>
        </is>
      </c>
      <c r="E44" s="322" t="inlineStr">
        <is>
          <t>Mandiri</t>
        </is>
      </c>
      <c r="F44" s="319" t="n">
        <v>234234234</v>
      </c>
      <c r="G44" s="323" t="inlineStr">
        <is>
          <t>IDR</t>
        </is>
      </c>
      <c r="H44" s="320" t="n">
        <v>1</v>
      </c>
      <c r="I44" s="324" t="n">
        <v>234234234</v>
      </c>
      <c r="J44" s="318" t="n"/>
      <c r="K44" s="325" t="n"/>
      <c r="L44" s="318" t="n"/>
      <c r="M44" s="318" t="n"/>
      <c r="N44" s="318" t="n"/>
      <c r="O44" s="318" t="n"/>
      <c r="P44" s="318" t="n"/>
      <c r="Q44" s="318" t="n"/>
    </row>
    <row r="45" ht="15.5" customHeight="1" s="297">
      <c r="B45" s="310" t="n">
        <v>46093</v>
      </c>
      <c r="C45" s="311" t="n">
        <v>3</v>
      </c>
      <c r="D45" s="322" t="inlineStr">
        <is>
          <t>gaji diofavian</t>
        </is>
      </c>
      <c r="E45" s="322" t="inlineStr">
        <is>
          <t>BRI</t>
        </is>
      </c>
      <c r="F45" s="319" t="n">
        <v>300000</v>
      </c>
      <c r="G45" s="315" t="inlineStr">
        <is>
          <t>IDR</t>
        </is>
      </c>
      <c r="H45" s="320" t="n">
        <v>1</v>
      </c>
      <c r="I45" s="316" t="n"/>
      <c r="J45" s="321" t="n">
        <v>300000</v>
      </c>
      <c r="K45" s="318" t="n"/>
      <c r="L45" s="318" t="n"/>
      <c r="M45" s="318" t="n"/>
      <c r="N45" s="318" t="n"/>
      <c r="O45" s="318" t="n"/>
      <c r="P45" s="318" t="n"/>
      <c r="Q45" s="318" t="n"/>
    </row>
    <row r="46" ht="15.5" customHeight="1" s="297">
      <c r="B46" s="310" t="n"/>
      <c r="C46" s="311" t="n"/>
      <c r="D46" s="326" t="inlineStr">
        <is>
          <t>Pembuatan Alat</t>
        </is>
      </c>
      <c r="E46" s="322" t="n"/>
      <c r="F46" s="327" t="n"/>
      <c r="G46" s="315" t="n"/>
      <c r="H46" s="315" t="n"/>
      <c r="I46" s="316" t="n"/>
      <c r="J46" s="316" t="n"/>
      <c r="K46" s="318" t="n"/>
      <c r="L46" s="318" t="n"/>
      <c r="M46" s="318" t="n"/>
      <c r="N46" s="318" t="n"/>
      <c r="O46" s="318" t="n"/>
      <c r="P46" s="318" t="n"/>
      <c r="Q46" s="318" t="n"/>
    </row>
    <row r="47" ht="15.5" customHeight="1" s="297">
      <c r="A47" s="66" t="n"/>
      <c r="B47" s="310" t="n">
        <v>46093</v>
      </c>
      <c r="C47" s="311" t="n">
        <v>4</v>
      </c>
      <c r="D47" s="322" t="inlineStr">
        <is>
          <t>sdasd</t>
        </is>
      </c>
      <c r="E47" s="322" t="inlineStr">
        <is>
          <t>BNI</t>
        </is>
      </c>
      <c r="F47" s="328" t="n">
        <v>50000</v>
      </c>
      <c r="G47" s="315" t="inlineStr">
        <is>
          <t>IDR</t>
        </is>
      </c>
      <c r="H47" s="320" t="n">
        <v>1</v>
      </c>
      <c r="I47" s="316" t="n"/>
      <c r="J47" s="324" t="n">
        <v>50000</v>
      </c>
      <c r="K47" s="318" t="n"/>
      <c r="L47" s="318" t="n"/>
      <c r="M47" s="318" t="n"/>
      <c r="N47" s="318" t="n"/>
      <c r="O47" s="318" t="n"/>
      <c r="P47" s="318" t="n"/>
      <c r="Q47" s="318" t="n"/>
    </row>
    <row r="48" ht="15.5" customHeight="1" s="297">
      <c r="B48" s="310" t="n">
        <v>46093</v>
      </c>
      <c r="C48" s="311" t="n">
        <v>5</v>
      </c>
      <c r="D48" s="322" t="inlineStr">
        <is>
          <t>12</t>
        </is>
      </c>
      <c r="E48" s="322" t="inlineStr">
        <is>
          <t>BRI</t>
        </is>
      </c>
      <c r="F48" s="329" t="n">
        <v>121</v>
      </c>
      <c r="G48" s="315" t="inlineStr">
        <is>
          <t>IDR</t>
        </is>
      </c>
      <c r="H48" s="320" t="n">
        <v>1</v>
      </c>
      <c r="I48" s="316" t="n"/>
      <c r="J48" s="321" t="n">
        <v>121</v>
      </c>
      <c r="K48" s="318" t="n"/>
      <c r="L48" s="318" t="n"/>
      <c r="M48" s="318" t="n"/>
      <c r="N48" s="318" t="n"/>
      <c r="O48" s="318" t="n"/>
      <c r="P48" s="318" t="n"/>
      <c r="Q48" s="318" t="n"/>
    </row>
    <row r="49" ht="15.5" customHeight="1" s="297">
      <c r="B49" s="330" t="n">
        <v>46093</v>
      </c>
      <c r="C49" s="311" t="n">
        <v>6</v>
      </c>
      <c r="D49" s="322" t="inlineStr">
        <is>
          <t>sfdsf</t>
        </is>
      </c>
      <c r="E49" s="322" t="inlineStr">
        <is>
          <t>BRI</t>
        </is>
      </c>
      <c r="F49" s="329" t="n">
        <v>234234</v>
      </c>
      <c r="G49" s="315" t="inlineStr">
        <is>
          <t>IDR</t>
        </is>
      </c>
      <c r="H49" s="320" t="n">
        <v>1</v>
      </c>
      <c r="I49" s="316" t="n"/>
      <c r="J49" s="321" t="n">
        <v>234234</v>
      </c>
      <c r="K49" s="318" t="n"/>
      <c r="L49" s="318" t="n"/>
      <c r="M49" s="318" t="n"/>
      <c r="N49" s="318" t="n"/>
      <c r="O49" s="318" t="n"/>
      <c r="P49" s="318" t="n"/>
      <c r="Q49" s="318" t="n"/>
    </row>
    <row r="50" ht="15.5" customHeight="1" s="297">
      <c r="B50" s="310" t="n"/>
      <c r="C50" s="311" t="n"/>
      <c r="D50" s="326" t="inlineStr">
        <is>
          <t>Rental Tool</t>
        </is>
      </c>
      <c r="E50" s="322" t="n"/>
      <c r="F50" s="331" t="n"/>
      <c r="G50" s="315" t="n"/>
      <c r="H50" s="315" t="n"/>
      <c r="I50" s="316" t="n"/>
      <c r="J50" s="316" t="n"/>
      <c r="K50" s="318" t="n"/>
      <c r="L50" s="332" t="n"/>
      <c r="M50" s="318" t="n"/>
      <c r="N50" s="318" t="n"/>
      <c r="O50" s="318" t="n"/>
      <c r="P50" s="318" t="n"/>
      <c r="Q50" s="318" t="n"/>
    </row>
    <row r="51" ht="15.5" customHeight="1" s="297">
      <c r="B51" s="310" t="n">
        <v>46095</v>
      </c>
      <c r="C51" s="311" t="n">
        <v>7</v>
      </c>
      <c r="D51" s="322" t="inlineStr">
        <is>
          <t>coba maka</t>
        </is>
      </c>
      <c r="E51" s="322" t="inlineStr">
        <is>
          <t>BRI</t>
        </is>
      </c>
      <c r="F51" s="328" t="n">
        <v>123123123112</v>
      </c>
      <c r="G51" s="315" t="inlineStr">
        <is>
          <t>IDR</t>
        </is>
      </c>
      <c r="H51" s="320" t="n">
        <v>1</v>
      </c>
      <c r="I51" s="316" t="n"/>
      <c r="J51" s="316" t="n"/>
      <c r="K51" s="324" t="n">
        <v>123123123112</v>
      </c>
      <c r="L51" s="318" t="n"/>
      <c r="M51" s="318" t="n"/>
      <c r="N51" s="318" t="n"/>
      <c r="O51" s="318" t="n"/>
      <c r="P51" s="318" t="n"/>
      <c r="Q51" s="318" t="n"/>
    </row>
    <row r="52" ht="15.5" customFormat="1" customHeight="1" s="66">
      <c r="B52" s="310" t="n"/>
      <c r="C52" s="311" t="n"/>
      <c r="D52" s="326" t="inlineStr">
        <is>
          <t>Sewa Ruangan</t>
        </is>
      </c>
      <c r="E52" s="322" t="n"/>
      <c r="F52" s="333" t="n"/>
      <c r="G52" s="315" t="n"/>
      <c r="H52" s="315" t="n"/>
      <c r="I52" s="316" t="n"/>
      <c r="J52" s="317" t="n"/>
      <c r="K52" s="318" t="n"/>
      <c r="L52" s="318" t="n"/>
      <c r="M52" s="318" t="n"/>
      <c r="N52" s="318" t="n"/>
      <c r="O52" s="318" t="n"/>
      <c r="P52" s="318" t="n"/>
      <c r="Q52" s="318" t="n"/>
    </row>
    <row r="53" ht="15.5" customFormat="1" customHeight="1" s="66">
      <c r="B53" s="310" t="n">
        <v>46097</v>
      </c>
      <c r="C53" s="311" t="n">
        <v>8</v>
      </c>
      <c r="D53" s="322" t="inlineStr">
        <is>
          <t>aaaaaaaaaaaaaaaa</t>
        </is>
      </c>
      <c r="E53" s="322" t="inlineStr">
        <is>
          <t>Mandiri</t>
        </is>
      </c>
      <c r="F53" s="328" t="n">
        <v>1111111</v>
      </c>
      <c r="G53" s="315" t="inlineStr">
        <is>
          <t>IDR</t>
        </is>
      </c>
      <c r="H53" s="320" t="n">
        <v>1</v>
      </c>
      <c r="I53" s="317" t="n"/>
      <c r="J53" s="316" t="n"/>
      <c r="K53" s="318" t="n"/>
      <c r="L53" s="318" t="n"/>
      <c r="M53" s="318" t="n"/>
      <c r="N53" s="318" t="n"/>
      <c r="O53" s="324" t="n">
        <v>1111111</v>
      </c>
      <c r="P53" s="318" t="n"/>
      <c r="Q53" s="318" t="n"/>
    </row>
    <row r="54" hidden="1" ht="15.5" customFormat="1" customHeight="1" s="66">
      <c r="B54" s="14" t="n"/>
      <c r="C54" s="15" t="n"/>
      <c r="D54" s="18" t="n"/>
      <c r="E54" s="18" t="n"/>
      <c r="F54" s="176" t="n"/>
      <c r="G54" s="60" t="n"/>
      <c r="H54" s="60" t="n"/>
      <c r="I54" s="61" t="n"/>
      <c r="J54" s="61" t="n"/>
      <c r="K54" s="62" t="n"/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/>
      <c r="C55" s="15" t="n"/>
      <c r="D55" s="63" t="n"/>
      <c r="E55" s="63" t="n"/>
      <c r="F55" s="334" t="n"/>
      <c r="G55" s="60" t="n"/>
      <c r="H55" s="60" t="n"/>
      <c r="I55" s="62" t="n"/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/>
      <c r="C56" s="15" t="n"/>
      <c r="D56" s="63" t="n"/>
      <c r="E56" s="63" t="n"/>
      <c r="F56" s="334" t="n"/>
      <c r="G56" s="60" t="n"/>
      <c r="H56" s="60" t="n"/>
      <c r="I56" s="61" t="n"/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/>
      <c r="C57" s="15" t="n"/>
      <c r="D57" s="18" t="n"/>
      <c r="E57" s="18" t="n"/>
      <c r="F57" s="21" t="n"/>
      <c r="G57" s="60" t="n"/>
      <c r="H57" s="60" t="n"/>
      <c r="I57" s="61" t="n"/>
      <c r="J57" s="61" t="n"/>
      <c r="K57" s="62" t="n"/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/>
      <c r="C58" s="15" t="n"/>
      <c r="D58" s="63" t="n"/>
      <c r="E58" s="63" t="n"/>
      <c r="F58" s="334" t="n"/>
      <c r="G58" s="60" t="n"/>
      <c r="H58" s="60" t="n"/>
      <c r="I58" s="61" t="n"/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/>
      <c r="C59" s="15" t="n"/>
      <c r="D59" s="63" t="n"/>
      <c r="E59" s="63" t="n"/>
      <c r="F59" s="334" t="n"/>
      <c r="G59" s="60" t="n"/>
      <c r="H59" s="60" t="n"/>
      <c r="I59" s="61" t="n"/>
      <c r="J59" s="61" t="n"/>
      <c r="K59" s="44" t="n"/>
      <c r="L59" s="44" t="n"/>
      <c r="M59" s="44" t="n"/>
      <c r="N59" s="68" t="n"/>
      <c r="O59" s="44" t="n"/>
      <c r="P59" s="44" t="n"/>
      <c r="Q59" s="44" t="n"/>
    </row>
    <row r="60" hidden="1" ht="15.5" customFormat="1" customHeight="1" s="66">
      <c r="B60" s="14" t="n"/>
      <c r="C60" s="15" t="n"/>
      <c r="D60" s="63" t="n"/>
      <c r="E60" s="63" t="n"/>
      <c r="F60" s="334" t="n"/>
      <c r="G60" s="60" t="n"/>
      <c r="H60" s="60" t="n"/>
      <c r="I60" s="61" t="n"/>
      <c r="J60" s="61" t="n"/>
      <c r="K60" s="44" t="n"/>
      <c r="L60" s="44" t="n"/>
      <c r="M60" s="44" t="n"/>
      <c r="N60" s="68" t="n"/>
      <c r="O60" s="44" t="n"/>
      <c r="P60" s="44" t="n"/>
      <c r="Q60" s="44" t="n"/>
    </row>
    <row r="61" hidden="1" ht="15.5" customFormat="1" customHeight="1" s="66">
      <c r="B61" s="14" t="n"/>
      <c r="C61" s="15" t="n"/>
      <c r="D61" s="70" t="n"/>
      <c r="E61" s="63" t="n"/>
      <c r="F61" s="21" t="n"/>
      <c r="G61" s="64" t="n"/>
      <c r="H61" s="60" t="n"/>
      <c r="I61" s="61" t="n"/>
      <c r="J61" s="62" t="n"/>
      <c r="K61" s="335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/>
      <c r="C62" s="15" t="n"/>
      <c r="D62" s="63" t="n"/>
      <c r="E62" s="63" t="n"/>
      <c r="F62" s="334" t="n"/>
      <c r="G62" s="60" t="n"/>
      <c r="H62" s="60" t="n"/>
      <c r="I62" s="62" t="n"/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/>
      <c r="C63" s="15" t="n"/>
      <c r="D63" s="63" t="n"/>
      <c r="E63" s="63" t="n"/>
      <c r="F63" s="334" t="n"/>
      <c r="G63" s="60" t="n"/>
      <c r="H63" s="60" t="n"/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 t="n"/>
    </row>
    <row r="64" hidden="1" ht="15.5" customFormat="1" customHeight="1" s="66">
      <c r="B64" s="14" t="n"/>
      <c r="C64" s="15" t="n"/>
      <c r="D64" s="63" t="n"/>
      <c r="E64" s="63" t="n"/>
      <c r="F64" s="334" t="n"/>
      <c r="G64" s="60" t="n"/>
      <c r="H64" s="60" t="n"/>
      <c r="I64" s="62" t="n"/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/>
      <c r="C65" s="15" t="n"/>
      <c r="D65" s="70" t="n"/>
      <c r="E65" s="63" t="n"/>
      <c r="F65" s="334" t="n"/>
      <c r="G65" s="60" t="n"/>
      <c r="H65" s="60" t="n"/>
      <c r="I65" s="61" t="n"/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/>
      <c r="C66" s="15" t="n"/>
      <c r="D66" s="63" t="n"/>
      <c r="E66" s="63" t="n"/>
      <c r="F66" s="334" t="n"/>
      <c r="G66" s="60" t="n"/>
      <c r="H66" s="60" t="n"/>
      <c r="I66" s="61" t="n"/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/>
      <c r="C67" s="15" t="n"/>
      <c r="D67" s="63" t="n"/>
      <c r="E67" s="63" t="n"/>
      <c r="F67" s="334" t="n"/>
      <c r="G67" s="60" t="n"/>
      <c r="H67" s="60" t="n"/>
      <c r="I67" s="61" t="n"/>
      <c r="J67" s="61" t="n"/>
      <c r="K67" s="44" t="n"/>
      <c r="L67" s="44" t="n"/>
      <c r="M67" s="44" t="n"/>
      <c r="N67" s="68" t="n"/>
      <c r="O67" s="44" t="n"/>
      <c r="P67" s="44" t="n"/>
      <c r="Q67" s="44" t="n"/>
    </row>
    <row r="68" hidden="1" ht="15.5" customHeight="1" s="297">
      <c r="A68" s="66" t="n"/>
      <c r="B68" s="14" t="n"/>
      <c r="C68" s="15" t="n"/>
      <c r="D68" s="63" t="n"/>
      <c r="E68" s="63" t="n"/>
      <c r="F68" s="21" t="n"/>
      <c r="G68" s="60" t="n"/>
      <c r="H68" s="60" t="n"/>
      <c r="I68" s="61" t="n"/>
      <c r="J68" s="62" t="n"/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/>
      <c r="C69" s="15" t="n"/>
      <c r="D69" s="63" t="n"/>
      <c r="E69" s="63" t="n"/>
      <c r="F69" s="334" t="n"/>
      <c r="G69" s="60" t="n"/>
      <c r="H69" s="60" t="n"/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 t="n"/>
    </row>
    <row r="70" hidden="1" ht="15.5" customHeight="1" s="297">
      <c r="B70" s="14" t="n"/>
      <c r="C70" s="15" t="n"/>
      <c r="D70" s="63" t="n"/>
      <c r="E70" s="63" t="n"/>
      <c r="F70" s="334" t="n"/>
      <c r="G70" s="60" t="n"/>
      <c r="H70" s="60" t="n"/>
      <c r="I70" s="61" t="n"/>
      <c r="J70" s="61" t="n"/>
      <c r="K70" s="44" t="n"/>
      <c r="L70" s="44" t="n"/>
      <c r="M70" s="44" t="n"/>
      <c r="N70" s="336" t="n"/>
      <c r="O70" s="44" t="n"/>
      <c r="P70" s="44" t="n"/>
      <c r="Q70" s="44" t="n"/>
    </row>
    <row r="71" hidden="1" ht="15.5" customHeight="1" s="297">
      <c r="B71" s="14" t="n"/>
      <c r="C71" s="15" t="n"/>
      <c r="D71" s="63" t="n"/>
      <c r="E71" s="63" t="n"/>
      <c r="F71" s="334" t="n"/>
      <c r="G71" s="60" t="n"/>
      <c r="H71" s="60" t="n"/>
      <c r="I71" s="61" t="n"/>
      <c r="J71" s="61" t="n"/>
      <c r="K71" s="44" t="n"/>
      <c r="L71" s="336" t="n"/>
      <c r="M71" s="44" t="n"/>
      <c r="N71" s="44" t="n"/>
      <c r="O71" s="44" t="n"/>
      <c r="P71" s="44" t="n"/>
      <c r="Q71" s="44" t="n"/>
    </row>
    <row r="72" hidden="1" ht="15.5" customHeight="1" s="297">
      <c r="B72" s="14" t="n"/>
      <c r="C72" s="15" t="n"/>
      <c r="D72" s="63" t="n"/>
      <c r="E72" s="63" t="n"/>
      <c r="F72" s="334" t="n"/>
      <c r="G72" s="60" t="n"/>
      <c r="H72" s="60" t="n"/>
      <c r="I72" s="61" t="n"/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/>
      <c r="C73" s="15" t="n"/>
      <c r="D73" s="18" t="n"/>
      <c r="E73" s="18" t="n"/>
      <c r="F73" s="21" t="n"/>
      <c r="G73" s="60" t="n"/>
      <c r="H73" s="60" t="n"/>
      <c r="I73" s="61" t="n"/>
      <c r="J73" s="61" t="n"/>
      <c r="K73" s="62" t="n"/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/>
      <c r="C74" s="15" t="n"/>
      <c r="D74" s="63" t="n"/>
      <c r="E74" s="63" t="n"/>
      <c r="F74" s="21" t="n"/>
      <c r="G74" s="60" t="n"/>
      <c r="H74" s="60" t="n"/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 t="n"/>
    </row>
    <row r="75" hidden="1" ht="15.5" customHeight="1" s="297">
      <c r="A75" s="66" t="n"/>
      <c r="B75" s="14" t="n"/>
      <c r="C75" s="15" t="n"/>
      <c r="D75" s="63" t="n"/>
      <c r="E75" s="63" t="n"/>
      <c r="F75" s="21" t="n"/>
      <c r="G75" s="60" t="n"/>
      <c r="H75" s="60" t="n"/>
      <c r="I75" s="61" t="n"/>
      <c r="J75" s="62" t="n"/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/>
      <c r="C76" s="15" t="n"/>
      <c r="D76" s="63" t="n"/>
      <c r="E76" s="63" t="n"/>
      <c r="F76" s="334" t="n"/>
      <c r="G76" s="60" t="n"/>
      <c r="H76" s="60" t="n"/>
      <c r="I76" s="61" t="n"/>
      <c r="J76" s="61" t="n"/>
      <c r="K76" s="44" t="n"/>
      <c r="L76" s="44" t="n"/>
      <c r="M76" s="44" t="n"/>
      <c r="N76" s="336" t="n"/>
      <c r="O76" s="44" t="n"/>
      <c r="P76" s="44" t="n"/>
      <c r="Q76" s="44" t="n"/>
    </row>
    <row r="77" hidden="1" ht="15.5" customHeight="1" s="297">
      <c r="B77" s="14" t="n"/>
      <c r="C77" s="15" t="n"/>
      <c r="D77" s="63" t="n"/>
      <c r="E77" s="63" t="n"/>
      <c r="F77" s="21" t="n"/>
      <c r="G77" s="64" t="n"/>
      <c r="H77" s="60" t="n"/>
      <c r="I77" s="61" t="n"/>
      <c r="J77" s="44" t="n"/>
      <c r="K77" s="335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/>
      <c r="C78" s="15" t="n"/>
      <c r="D78" s="63" t="n"/>
      <c r="E78" s="63" t="n"/>
      <c r="F78" s="21" t="n"/>
      <c r="G78" s="64" t="n"/>
      <c r="H78" s="60" t="n"/>
      <c r="I78" s="61" t="n"/>
      <c r="J78" s="44" t="n"/>
      <c r="K78" s="335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/>
      <c r="C79" s="15" t="n"/>
      <c r="D79" s="18" t="n"/>
      <c r="E79" s="18" t="n"/>
      <c r="F79" s="19" t="n"/>
      <c r="G79" s="60" t="n"/>
      <c r="H79" s="60" t="n"/>
      <c r="I79" s="61" t="n"/>
      <c r="J79" s="61" t="n"/>
      <c r="K79" s="62" t="n"/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/>
      <c r="C80" s="15" t="n"/>
      <c r="D80" s="18" t="n"/>
      <c r="E80" s="18" t="n"/>
      <c r="F80" s="21" t="n"/>
      <c r="G80" s="60" t="n"/>
      <c r="H80" s="60" t="n"/>
      <c r="I80" s="61" t="n"/>
      <c r="J80" s="61" t="n"/>
      <c r="K80" s="62" t="n"/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/>
      <c r="C81" s="15" t="n"/>
      <c r="D81" s="18" t="n"/>
      <c r="E81" s="18" t="n"/>
      <c r="F81" s="177" t="n"/>
      <c r="G81" s="60" t="n"/>
      <c r="H81" s="60" t="n"/>
      <c r="I81" s="61" t="n"/>
      <c r="J81" s="61" t="n"/>
      <c r="K81" s="62" t="n"/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/>
      <c r="C82" s="15" t="n"/>
      <c r="D82" s="18" t="n"/>
      <c r="E82" s="18" t="n"/>
      <c r="F82" s="21" t="n"/>
      <c r="G82" s="60" t="n"/>
      <c r="H82" s="60" t="n"/>
      <c r="I82" s="61" t="n"/>
      <c r="J82" s="61" t="n"/>
      <c r="K82" s="62" t="n"/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/>
      <c r="C83" s="15" t="n"/>
      <c r="D83" s="18" t="n"/>
      <c r="E83" s="18" t="n"/>
      <c r="F83" s="19" t="n"/>
      <c r="G83" s="60" t="n"/>
      <c r="H83" s="60" t="n"/>
      <c r="I83" s="61" t="n"/>
      <c r="J83" s="61" t="n"/>
      <c r="K83" s="62" t="n"/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/>
      <c r="C84" s="15" t="n"/>
      <c r="D84" s="63" t="n"/>
      <c r="E84" s="63" t="n"/>
      <c r="F84" s="21" t="n"/>
      <c r="G84" s="60" t="n"/>
      <c r="H84" s="60" t="n"/>
      <c r="I84" s="62" t="n"/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/>
      <c r="C85" s="15" t="n"/>
      <c r="D85" s="63" t="n"/>
      <c r="E85" s="63" t="n"/>
      <c r="F85" s="21" t="n"/>
      <c r="G85" s="64" t="n"/>
      <c r="H85" s="60" t="n"/>
      <c r="I85" s="61" t="n"/>
      <c r="J85" s="44" t="n"/>
      <c r="K85" s="335" t="n"/>
      <c r="L85" s="62" t="n"/>
      <c r="M85" s="44" t="n"/>
      <c r="N85" s="44" t="n"/>
      <c r="O85" s="44" t="n"/>
      <c r="P85" s="44" t="n"/>
      <c r="Q85" s="44" t="n"/>
    </row>
    <row r="86" hidden="1" ht="15.5" customHeight="1" s="297">
      <c r="B86" s="14" t="n"/>
      <c r="C86" s="15" t="n"/>
      <c r="D86" s="63" t="n"/>
      <c r="E86" s="63" t="n"/>
      <c r="F86" s="21" t="n"/>
      <c r="G86" s="64" t="n"/>
      <c r="H86" s="60" t="n"/>
      <c r="I86" s="62" t="n"/>
      <c r="J86" s="44" t="n"/>
      <c r="K86" s="335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/>
      <c r="C87" s="15" t="n"/>
      <c r="D87" s="63" t="n"/>
      <c r="E87" s="63" t="n"/>
      <c r="F87" s="21" t="n"/>
      <c r="G87" s="60" t="n"/>
      <c r="H87" s="60" t="n"/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 t="n"/>
    </row>
    <row r="88" hidden="1" ht="15.5" customHeight="1" s="297">
      <c r="B88" s="14" t="n"/>
      <c r="C88" s="15" t="n"/>
      <c r="D88" s="63" t="n"/>
      <c r="E88" s="63" t="n"/>
      <c r="F88" s="21" t="n"/>
      <c r="G88" s="60" t="n"/>
      <c r="H88" s="60" t="n"/>
      <c r="I88" s="61" t="n"/>
      <c r="J88" s="44" t="n"/>
      <c r="K88" s="335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/>
      <c r="C89" s="15" t="n"/>
      <c r="D89" s="63" t="n"/>
      <c r="E89" s="63" t="n"/>
      <c r="F89" s="21" t="n"/>
      <c r="G89" s="60" t="n"/>
      <c r="H89" s="60" t="n"/>
      <c r="I89" s="61" t="n"/>
      <c r="J89" s="44" t="n"/>
      <c r="K89" s="335" t="n"/>
      <c r="L89" s="44" t="n"/>
      <c r="M89" s="44" t="n"/>
      <c r="N89" s="62" t="n"/>
      <c r="O89" s="44" t="n"/>
      <c r="P89" s="44" t="n"/>
      <c r="Q89" s="44" t="n"/>
    </row>
    <row r="90" hidden="1" ht="15.5" customHeight="1" s="297">
      <c r="A90" s="66" t="n"/>
      <c r="B90" s="14" t="n"/>
      <c r="C90" s="15" t="n"/>
      <c r="D90" s="63" t="n"/>
      <c r="E90" s="63" t="n"/>
      <c r="F90" s="21" t="n"/>
      <c r="G90" s="60" t="n"/>
      <c r="H90" s="60" t="n"/>
      <c r="I90" s="61" t="n"/>
      <c r="J90" s="62" t="n"/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/>
      <c r="C91" s="15" t="n"/>
      <c r="D91" s="63" t="n"/>
      <c r="E91" s="63" t="n"/>
      <c r="F91" s="334" t="n"/>
      <c r="G91" s="60" t="n"/>
      <c r="H91" s="60" t="n"/>
      <c r="I91" s="61" t="n"/>
      <c r="J91" s="61" t="n"/>
      <c r="K91" s="44" t="n"/>
      <c r="L91" s="44" t="n"/>
      <c r="M91" s="44" t="n"/>
      <c r="N91" s="44" t="n"/>
      <c r="O91" s="336" t="n"/>
      <c r="P91" s="44" t="n"/>
      <c r="Q91" s="44" t="n"/>
    </row>
    <row r="92" hidden="1" ht="15.5" customHeight="1" s="297">
      <c r="B92" s="14" t="n"/>
      <c r="C92" s="15" t="n"/>
      <c r="D92" s="63" t="n"/>
      <c r="E92" s="63" t="n"/>
      <c r="F92" s="334" t="n"/>
      <c r="G92" s="60" t="n"/>
      <c r="H92" s="60" t="n"/>
      <c r="I92" s="62" t="n"/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/>
      <c r="C93" s="15" t="n"/>
      <c r="D93" s="63" t="n"/>
      <c r="E93" s="63" t="n"/>
      <c r="F93" s="334" t="n"/>
      <c r="G93" s="60" t="n"/>
      <c r="H93" s="60" t="n"/>
      <c r="I93" s="61" t="n"/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/>
      <c r="C94" s="15" t="n"/>
      <c r="D94" s="63" t="n"/>
      <c r="E94" s="63" t="n"/>
      <c r="F94" s="334" t="n"/>
      <c r="G94" s="60" t="n"/>
      <c r="H94" s="60" t="n"/>
      <c r="I94" s="61" t="n"/>
      <c r="J94" s="62" t="n"/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n"/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/>
      <c r="C96" s="64" t="n"/>
      <c r="D96" s="63" t="n"/>
      <c r="E96" s="63" t="n"/>
      <c r="F96" s="334" t="n"/>
      <c r="G96" s="60" t="n"/>
      <c r="H96" s="60" t="n"/>
      <c r="I96" s="61" t="n"/>
      <c r="J96" s="44" t="n"/>
      <c r="K96" s="61" t="n"/>
      <c r="L96" s="44" t="n"/>
      <c r="M96" s="62" t="n"/>
      <c r="N96" s="44" t="n"/>
      <c r="O96" s="44" t="n"/>
      <c r="P96" s="44" t="n"/>
      <c r="Q96" s="44" t="n"/>
    </row>
    <row r="97" ht="15.5" customHeight="1" s="297">
      <c r="B97" s="79" t="n"/>
      <c r="C97" s="80" t="n"/>
      <c r="D97" s="337" t="inlineStr">
        <is>
          <t>OPERATION COST AND OFFICE - Expenses Report</t>
        </is>
      </c>
      <c r="E97" s="80" t="n"/>
      <c r="F97" s="33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t="15.5" customHeight="1" s="297">
      <c r="B98" s="339" t="inlineStr">
        <is>
          <t>Expense#1</t>
        </is>
      </c>
      <c r="C98" s="85" t="inlineStr">
        <is>
          <t>:</t>
        </is>
      </c>
      <c r="D98" s="340" t="inlineStr">
        <is>
          <t>asdasd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t="15.5" customHeight="1" s="297">
      <c r="B99" s="24" t="n"/>
      <c r="C99" s="91" t="n"/>
      <c r="D99" s="341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341" t="n"/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t="15.5" customHeight="1" s="297">
      <c r="B101" s="292" t="n">
        <v>46100</v>
      </c>
      <c r="C101" s="91" t="n">
        <v>2</v>
      </c>
      <c r="D101" s="95" t="inlineStr">
        <is>
          <t>asdasda</t>
        </is>
      </c>
      <c r="E101" s="95" t="n"/>
      <c r="F101" s="342" t="n">
        <v>123123123</v>
      </c>
      <c r="G101" s="91" t="inlineStr">
        <is>
          <t>IDR</t>
        </is>
      </c>
      <c r="H101" s="343" t="n">
        <v>1</v>
      </c>
      <c r="I101" s="61" t="n"/>
      <c r="J101" s="62" t="n"/>
      <c r="K101" s="44" t="n"/>
      <c r="L101" s="44" t="n"/>
      <c r="M101" s="44" t="n"/>
      <c r="N101" s="44" t="n"/>
      <c r="O101" s="44" t="n"/>
      <c r="P101" s="44" t="n"/>
      <c r="Q101" s="44" t="n"/>
      <c r="V101" s="37" t="n">
        <v>123123123</v>
      </c>
    </row>
    <row r="102" hidden="1" ht="15.5" customHeight="1" s="297">
      <c r="B102" s="292" t="n"/>
      <c r="C102" s="91" t="n"/>
      <c r="D102" s="95" t="n"/>
      <c r="E102" s="95" t="n"/>
      <c r="F102" s="93" t="n"/>
      <c r="G102" s="91" t="n"/>
      <c r="H102" s="91" t="n"/>
      <c r="I102" s="61" t="n"/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341" t="n"/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/>
      <c r="C104" s="91" t="n"/>
      <c r="D104" s="95" t="n"/>
      <c r="E104" s="95" t="n"/>
      <c r="F104" s="93" t="n"/>
      <c r="G104" s="91" t="n"/>
      <c r="H104" s="91" t="n"/>
      <c r="I104" s="61" t="n"/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/>
      <c r="C105" s="91" t="n"/>
      <c r="D105" s="95" t="n"/>
      <c r="E105" s="95" t="n"/>
      <c r="F105" s="93" t="n"/>
      <c r="G105" s="91" t="n"/>
      <c r="H105" s="91" t="n"/>
      <c r="I105" s="61" t="n"/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/>
      <c r="C106" s="91" t="n"/>
      <c r="D106" s="95" t="n"/>
      <c r="E106" s="95" t="n"/>
      <c r="F106" s="93" t="n"/>
      <c r="G106" s="91" t="n"/>
      <c r="H106" s="91" t="n"/>
      <c r="I106" s="61" t="n"/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/>
      <c r="C107" s="91" t="n"/>
      <c r="D107" s="95" t="n"/>
      <c r="E107" s="95" t="n"/>
      <c r="F107" s="93" t="n"/>
      <c r="G107" s="91" t="n"/>
      <c r="H107" s="91" t="n"/>
      <c r="I107" s="61" t="n"/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/>
      <c r="C108" s="91" t="n"/>
      <c r="D108" s="95" t="n"/>
      <c r="E108" s="95" t="n"/>
      <c r="F108" s="96" t="n"/>
      <c r="G108" s="91" t="n"/>
      <c r="H108" s="91" t="n"/>
      <c r="I108" s="61" t="n"/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/>
      <c r="C109" s="91" t="n"/>
      <c r="D109" s="95" t="n"/>
      <c r="E109" s="95" t="n"/>
      <c r="F109" s="96" t="n"/>
      <c r="G109" s="91" t="n"/>
      <c r="H109" s="91" t="n"/>
      <c r="I109" s="61" t="n"/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344" t="n"/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/>
      <c r="C111" s="91" t="n"/>
      <c r="D111" s="95" t="n"/>
      <c r="E111" s="95" t="n"/>
      <c r="F111" s="93" t="n"/>
      <c r="G111" s="91" t="n"/>
      <c r="H111" s="91" t="n"/>
      <c r="I111" s="61" t="n"/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/>
      <c r="C112" s="91" t="n"/>
      <c r="D112" s="95" t="n"/>
      <c r="E112" s="95" t="n"/>
      <c r="F112" s="93" t="n"/>
      <c r="G112" s="91" t="n"/>
      <c r="H112" s="91" t="n"/>
      <c r="I112" s="61" t="n"/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/>
      <c r="C113" s="91" t="n"/>
      <c r="D113" s="95" t="n"/>
      <c r="E113" s="95" t="n"/>
      <c r="F113" s="93" t="n"/>
      <c r="G113" s="91" t="n"/>
      <c r="H113" s="91" t="n"/>
      <c r="I113" s="61" t="n"/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344" t="n"/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/>
      <c r="C115" s="91" t="n"/>
      <c r="D115" s="98" t="n"/>
      <c r="E115" s="98" t="n"/>
      <c r="F115" s="93" t="n"/>
      <c r="G115" s="91" t="n"/>
      <c r="H115" s="91" t="n"/>
      <c r="I115" s="61" t="n"/>
      <c r="J115" s="62" t="n"/>
      <c r="K115" s="44" t="n"/>
      <c r="L115" s="44" t="n"/>
      <c r="M115" s="44" t="n"/>
      <c r="N115" s="61" t="n"/>
      <c r="O115" s="44" t="n"/>
      <c r="P115" s="44" t="n"/>
      <c r="Q115" s="44" t="n"/>
    </row>
    <row r="116" hidden="1" ht="15.5" customHeight="1" s="297">
      <c r="B116" s="292" t="n"/>
      <c r="C116" s="91" t="n"/>
      <c r="D116" s="98" t="n"/>
      <c r="E116" s="98" t="n"/>
      <c r="F116" s="93" t="n"/>
      <c r="G116" s="91" t="n"/>
      <c r="H116" s="91" t="n"/>
      <c r="I116" s="61" t="n"/>
      <c r="J116" s="62" t="n"/>
      <c r="K116" s="44" t="n"/>
      <c r="L116" s="44" t="n"/>
      <c r="M116" s="44" t="n"/>
      <c r="N116" s="61" t="n"/>
      <c r="O116" s="44" t="n"/>
      <c r="P116" s="44" t="n"/>
      <c r="Q116" s="44" t="n"/>
    </row>
    <row r="117" hidden="1" ht="15.5" customHeight="1" s="297">
      <c r="B117" s="292" t="n"/>
      <c r="C117" s="91" t="n"/>
      <c r="D117" s="98" t="n"/>
      <c r="E117" s="98" t="n"/>
      <c r="F117" s="93" t="n"/>
      <c r="G117" s="91" t="n"/>
      <c r="H117" s="91" t="n"/>
      <c r="I117" s="61" t="n"/>
      <c r="J117" s="62" t="n"/>
      <c r="K117" s="44" t="n"/>
      <c r="L117" s="44" t="n"/>
      <c r="M117" s="44" t="n"/>
      <c r="N117" s="61" t="n"/>
      <c r="O117" s="44" t="n"/>
      <c r="P117" s="44" t="n"/>
      <c r="Q117" s="44" t="n"/>
    </row>
    <row r="118" hidden="1" ht="15.5" customHeight="1" s="297">
      <c r="B118" s="292" t="n"/>
      <c r="C118" s="91" t="n"/>
      <c r="D118" s="98" t="n"/>
      <c r="E118" s="98" t="n"/>
      <c r="F118" s="93" t="n"/>
      <c r="G118" s="91" t="n"/>
      <c r="H118" s="91" t="n"/>
      <c r="I118" s="61" t="n"/>
      <c r="J118" s="62" t="n"/>
      <c r="K118" s="44" t="n"/>
      <c r="L118" s="44" t="n"/>
      <c r="M118" s="44" t="n"/>
      <c r="N118" s="61" t="n"/>
      <c r="O118" s="44" t="n"/>
      <c r="P118" s="44" t="n"/>
      <c r="Q118" s="44" t="n"/>
    </row>
    <row r="119" hidden="1" ht="15.5" customHeight="1" s="297">
      <c r="B119" s="292" t="n"/>
      <c r="C119" s="91" t="n"/>
      <c r="D119" s="98" t="n"/>
      <c r="E119" s="98" t="n"/>
      <c r="F119" s="93" t="n"/>
      <c r="G119" s="91" t="n"/>
      <c r="H119" s="91" t="n"/>
      <c r="I119" s="62" t="n"/>
      <c r="J119" s="62" t="n"/>
      <c r="K119" s="44" t="n"/>
      <c r="L119" s="44" t="n"/>
      <c r="M119" s="44" t="n"/>
      <c r="N119" s="61" t="n"/>
      <c r="O119" s="44" t="n"/>
      <c r="P119" s="44" t="n"/>
      <c r="Q119" s="44" t="n"/>
    </row>
    <row r="120" hidden="1" ht="15.5" customHeight="1" s="297">
      <c r="B120" s="292" t="n"/>
      <c r="C120" s="91" t="n"/>
      <c r="D120" s="98" t="n"/>
      <c r="E120" s="98" t="n"/>
      <c r="F120" s="93" t="n"/>
      <c r="G120" s="91" t="n"/>
      <c r="H120" s="91" t="n"/>
      <c r="I120" s="44" t="n"/>
      <c r="J120" s="62" t="n"/>
      <c r="K120" s="44" t="n"/>
      <c r="L120" s="44" t="n"/>
      <c r="M120" s="61" t="n"/>
      <c r="N120" s="61" t="n"/>
      <c r="O120" s="44" t="n"/>
      <c r="P120" s="44" t="n"/>
      <c r="Q120" s="44" t="n"/>
    </row>
    <row r="121" hidden="1" ht="15.5" customHeight="1" s="297">
      <c r="B121" s="292" t="n"/>
      <c r="C121" s="91" t="n"/>
      <c r="D121" s="344" t="n"/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/>
      <c r="C122" s="91" t="n"/>
      <c r="D122" s="95" t="n"/>
      <c r="E122" s="95" t="n"/>
      <c r="F122" s="99" t="n"/>
      <c r="G122" s="91" t="n"/>
      <c r="H122" s="91" t="n"/>
      <c r="I122" s="62" t="n"/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344" t="n"/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/>
      <c r="C124" s="91" t="n"/>
      <c r="D124" s="95" t="n"/>
      <c r="E124" s="95" t="n"/>
      <c r="F124" s="93" t="n"/>
      <c r="G124" s="91" t="n"/>
      <c r="H124" s="91" t="n"/>
      <c r="I124" s="61" t="n"/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344" t="n"/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/>
      <c r="C126" s="91" t="n"/>
      <c r="D126" s="95" t="n"/>
      <c r="E126" s="95" t="n"/>
      <c r="F126" s="93" t="n"/>
      <c r="G126" s="91" t="n"/>
      <c r="H126" s="100" t="n"/>
      <c r="I126" s="62" t="n"/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t="15.5" customHeight="1" s="297">
      <c r="B127" s="339" t="inlineStr">
        <is>
          <t>Expense#2</t>
        </is>
      </c>
      <c r="C127" s="85" t="inlineStr">
        <is>
          <t>:</t>
        </is>
      </c>
      <c r="D127" s="340" t="inlineStr">
        <is>
          <t>kerja sampingan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t="15.5" customHeight="1" s="297">
      <c r="B128" s="24" t="n"/>
      <c r="C128" s="91" t="n"/>
      <c r="D128" s="341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t="15.5" customHeight="1" s="297">
      <c r="B129" s="292" t="n">
        <v>46099</v>
      </c>
      <c r="C129" s="91" t="n">
        <v>1</v>
      </c>
      <c r="D129" s="95" t="inlineStr">
        <is>
          <t>asdasd11</t>
        </is>
      </c>
      <c r="E129" s="95" t="n"/>
      <c r="F129" s="342" t="n">
        <v>1231231</v>
      </c>
      <c r="G129" s="91" t="inlineStr">
        <is>
          <t>IDR</t>
        </is>
      </c>
      <c r="H129" s="343" t="n">
        <v>1</v>
      </c>
      <c r="I129" s="61" t="n"/>
      <c r="J129" s="44" t="n"/>
      <c r="K129" s="44" t="n"/>
      <c r="L129" s="44" t="n"/>
      <c r="M129" s="44" t="n"/>
      <c r="N129" s="345" t="n">
        <v>1231231</v>
      </c>
      <c r="O129" s="44" t="n"/>
      <c r="P129" s="44" t="n"/>
      <c r="Q129" s="44" t="n"/>
    </row>
    <row r="130" hidden="1" ht="15.5" customHeight="1" s="297">
      <c r="B130" s="292" t="n"/>
      <c r="C130" s="91" t="n"/>
      <c r="D130" s="341" t="n"/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 s="297">
      <c r="B131" s="292" t="n"/>
      <c r="C131" s="91" t="n"/>
      <c r="D131" s="95" t="n"/>
      <c r="E131" s="95" t="n"/>
      <c r="F131" s="93" t="n"/>
      <c r="G131" s="91" t="n"/>
      <c r="H131" s="91" t="n"/>
      <c r="I131" s="61" t="n"/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/>
      <c r="C132" s="91" t="n"/>
      <c r="D132" s="95" t="n"/>
      <c r="E132" s="95" t="n"/>
      <c r="F132" s="93" t="n"/>
      <c r="G132" s="91" t="n"/>
      <c r="H132" s="91" t="n"/>
      <c r="I132" s="61" t="n"/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/>
      <c r="C133" s="91" t="n"/>
      <c r="D133" s="95" t="n"/>
      <c r="E133" s="95" t="n"/>
      <c r="F133" s="96" t="n"/>
      <c r="G133" s="91" t="n"/>
      <c r="H133" s="91" t="n"/>
      <c r="I133" s="61" t="n"/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/>
      <c r="C134" s="91" t="n"/>
      <c r="D134" s="95" t="n"/>
      <c r="E134" s="95" t="n"/>
      <c r="F134" s="96" t="n"/>
      <c r="G134" s="91" t="n"/>
      <c r="H134" s="91" t="n"/>
      <c r="I134" s="61" t="n"/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344" t="n"/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/>
      <c r="C136" s="91" t="n"/>
      <c r="D136" s="95" t="n"/>
      <c r="E136" s="95" t="n"/>
      <c r="F136" s="93" t="n"/>
      <c r="G136" s="91" t="n"/>
      <c r="H136" s="91" t="n"/>
      <c r="I136" s="61" t="n"/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344" t="n"/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/>
      <c r="C138" s="91" t="n"/>
      <c r="D138" s="98" t="n"/>
      <c r="E138" s="98" t="n"/>
      <c r="F138" s="93" t="n"/>
      <c r="G138" s="91" t="n"/>
      <c r="H138" s="91" t="n"/>
      <c r="I138" s="61" t="n"/>
      <c r="J138" s="62" t="n"/>
      <c r="K138" s="44" t="n"/>
      <c r="L138" s="44" t="n"/>
      <c r="M138" s="44" t="n"/>
      <c r="N138" s="62" t="n"/>
      <c r="O138" s="44" t="n"/>
      <c r="P138" s="44" t="n"/>
      <c r="Q138" s="44" t="n"/>
    </row>
    <row r="139" hidden="1" ht="15.5" customHeight="1" s="297">
      <c r="B139" s="292" t="n"/>
      <c r="C139" s="91" t="n"/>
      <c r="D139" s="98" t="n"/>
      <c r="E139" s="98" t="n"/>
      <c r="F139" s="93" t="n"/>
      <c r="G139" s="91" t="n"/>
      <c r="H139" s="91" t="n"/>
      <c r="I139" s="44" t="n"/>
      <c r="J139" s="62" t="n"/>
      <c r="K139" s="44" t="n"/>
      <c r="L139" s="44" t="n"/>
      <c r="M139" s="61" t="n"/>
      <c r="N139" s="62" t="n"/>
      <c r="O139" s="44" t="n"/>
      <c r="P139" s="44" t="n"/>
      <c r="Q139" s="44" t="n"/>
    </row>
    <row r="140" hidden="1" ht="15.5" customHeight="1" s="297">
      <c r="B140" s="292" t="n"/>
      <c r="C140" s="91" t="n"/>
      <c r="D140" s="98" t="n"/>
      <c r="E140" s="98" t="n"/>
      <c r="F140" s="93" t="n"/>
      <c r="G140" s="91" t="n"/>
      <c r="H140" s="91" t="n"/>
      <c r="I140" s="62" t="n"/>
      <c r="J140" s="62" t="n"/>
      <c r="K140" s="62" t="n"/>
      <c r="L140" s="62" t="n"/>
      <c r="M140" s="62" t="n"/>
      <c r="N140" s="62" t="n"/>
      <c r="O140" s="62" t="n"/>
      <c r="P140" s="62" t="n"/>
      <c r="Q140" s="62" t="n"/>
    </row>
    <row r="141" hidden="1" ht="15.5" customHeight="1" s="297">
      <c r="B141" s="292" t="n"/>
      <c r="C141" s="91" t="n">
        <v>9</v>
      </c>
      <c r="D141" s="344" t="n"/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/>
      <c r="C142" s="91" t="n"/>
      <c r="D142" s="95" t="n"/>
      <c r="E142" s="95" t="n"/>
      <c r="F142" s="93" t="n"/>
      <c r="G142" s="91" t="n"/>
      <c r="H142" s="91" t="n"/>
      <c r="I142" s="61" t="n"/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344" t="n"/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/>
      <c r="C144" s="91" t="n"/>
      <c r="D144" s="95" t="n"/>
      <c r="E144" s="95" t="n"/>
      <c r="F144" s="93" t="n"/>
      <c r="G144" s="91" t="n"/>
      <c r="H144" s="100" t="n"/>
      <c r="I144" s="62" t="n"/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t="15.5" customHeight="1" s="297">
      <c r="B145" s="339" t="inlineStr">
        <is>
          <t>Expense#3</t>
        </is>
      </c>
      <c r="C145" s="85" t="inlineStr">
        <is>
          <t>:</t>
        </is>
      </c>
      <c r="D145" s="340" t="inlineStr">
        <is>
          <t>Pengeluaran Batch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t="15.5" customHeight="1" s="297">
      <c r="B146" s="292" t="n"/>
      <c r="C146" s="91" t="n"/>
      <c r="D146" s="341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t="15.5" customHeight="1" s="297">
      <c r="B147" s="292" t="n">
        <v>46093</v>
      </c>
      <c r="C147" s="91" t="n">
        <v>4</v>
      </c>
      <c r="D147" s="95" t="inlineStr">
        <is>
          <t>12312</t>
        </is>
      </c>
      <c r="E147" s="95" t="n"/>
      <c r="F147" s="342" t="n">
        <v>123123</v>
      </c>
      <c r="G147" s="91" t="inlineStr">
        <is>
          <t>IDR</t>
        </is>
      </c>
      <c r="H147" s="343" t="n">
        <v>1</v>
      </c>
      <c r="I147" s="61" t="n"/>
      <c r="J147" s="345" t="n">
        <v>123123</v>
      </c>
      <c r="K147" s="44" t="n"/>
      <c r="L147" s="44" t="n"/>
      <c r="M147" s="61" t="n"/>
      <c r="N147" s="44" t="n"/>
      <c r="O147" s="44" t="n"/>
      <c r="P147" s="44" t="n"/>
      <c r="Q147" s="44" t="n"/>
    </row>
    <row r="148" ht="15.5" customHeight="1" s="297">
      <c r="B148" s="292" t="n">
        <v>46093</v>
      </c>
      <c r="C148" s="91" t="n">
        <v>7</v>
      </c>
      <c r="D148" s="95" t="inlineStr">
        <is>
          <t>123123</t>
        </is>
      </c>
      <c r="E148" s="95" t="n"/>
      <c r="F148" s="342" t="n">
        <v>12312312</v>
      </c>
      <c r="G148" s="91" t="inlineStr">
        <is>
          <t>IDR</t>
        </is>
      </c>
      <c r="H148" s="343" t="n">
        <v>1</v>
      </c>
      <c r="I148" s="61" t="n"/>
      <c r="J148" s="345" t="n">
        <v>12312312</v>
      </c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344" t="n"/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/>
      <c r="C150" s="91" t="n"/>
      <c r="D150" s="95" t="n"/>
      <c r="E150" s="95" t="n"/>
      <c r="F150" s="93" t="n"/>
      <c r="G150" s="91" t="n"/>
      <c r="H150" s="91" t="n"/>
      <c r="I150" s="62" t="n"/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344" t="n"/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/>
      <c r="C152" s="91" t="n"/>
      <c r="D152" s="95" t="n"/>
      <c r="E152" s="95" t="n"/>
      <c r="F152" s="93" t="n"/>
      <c r="G152" s="91" t="n"/>
      <c r="H152" s="91" t="n"/>
      <c r="I152" s="62" t="n"/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344" t="n"/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/>
      <c r="C154" s="91" t="n"/>
      <c r="D154" s="95" t="n"/>
      <c r="E154" s="95" t="n"/>
      <c r="F154" s="93" t="n"/>
      <c r="G154" s="91" t="n"/>
      <c r="H154" s="100" t="n"/>
      <c r="I154" s="62" t="n"/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t="15.5" customHeight="1" s="297">
      <c r="B155" s="339" t="inlineStr">
        <is>
          <t>Expense#4</t>
        </is>
      </c>
      <c r="C155" s="85" t="inlineStr">
        <is>
          <t>:</t>
        </is>
      </c>
      <c r="D155" s="340" t="inlineStr">
        <is>
          <t>kerja ke goweel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t="15.5" customHeight="1" s="297">
      <c r="B156" s="102" t="n">
        <v>46093</v>
      </c>
      <c r="C156" s="15" t="n">
        <v>1</v>
      </c>
      <c r="D156" s="63" t="inlineStr">
        <is>
          <t>23000</t>
        </is>
      </c>
      <c r="E156" s="63" t="n"/>
      <c r="F156" s="346" t="n">
        <v>200000</v>
      </c>
      <c r="G156" s="15" t="inlineStr">
        <is>
          <t>IDR</t>
        </is>
      </c>
      <c r="H156" s="347" t="n">
        <v>1</v>
      </c>
      <c r="I156" s="62" t="n"/>
      <c r="J156" s="62" t="n"/>
      <c r="K156" s="44" t="n"/>
      <c r="L156" s="44" t="n"/>
      <c r="M156" s="348" t="n">
        <v>200000</v>
      </c>
      <c r="N156" s="62" t="n"/>
      <c r="O156" s="44" t="n"/>
      <c r="P156" s="44" t="n"/>
      <c r="Q156" s="44" t="n"/>
    </row>
    <row r="157" ht="15.5" customHeight="1" s="297">
      <c r="B157" s="102" t="n">
        <v>46093</v>
      </c>
      <c r="C157" s="15" t="n">
        <v>1</v>
      </c>
      <c r="D157" s="63" t="inlineStr">
        <is>
          <t>123123</t>
        </is>
      </c>
      <c r="E157" s="63" t="n"/>
      <c r="F157" s="346" t="n">
        <v>544000</v>
      </c>
      <c r="G157" s="15" t="inlineStr">
        <is>
          <t>USD</t>
        </is>
      </c>
      <c r="H157" s="347" t="n">
        <v>16000</v>
      </c>
      <c r="I157" s="62" t="n"/>
      <c r="J157" s="345" t="n">
        <v>544000</v>
      </c>
      <c r="K157" s="44" t="n"/>
      <c r="L157" s="44" t="n"/>
      <c r="M157" s="61" t="n"/>
      <c r="N157" s="62" t="n"/>
      <c r="O157" s="44" t="n"/>
      <c r="P157" s="44" t="n"/>
      <c r="Q157" s="44" t="n"/>
    </row>
    <row r="158" hidden="1" ht="15.5" customHeight="1" s="297">
      <c r="B158" s="102" t="n"/>
      <c r="C158" s="15" t="n"/>
      <c r="D158" s="63" t="n"/>
      <c r="E158" s="63" t="n"/>
      <c r="F158" s="96" t="n"/>
      <c r="G158" s="15" t="n"/>
      <c r="H158" s="15" t="n"/>
      <c r="I158" s="62" t="n"/>
      <c r="J158" s="62" t="n"/>
      <c r="K158" s="44" t="n"/>
      <c r="L158" s="44" t="n"/>
      <c r="M158" s="61" t="n"/>
      <c r="N158" s="62" t="n"/>
      <c r="O158" s="44" t="n"/>
      <c r="P158" s="44" t="n"/>
      <c r="Q158" s="44" t="n"/>
    </row>
    <row r="159" hidden="1" ht="15.5" customHeight="1" s="297">
      <c r="B159" s="102" t="n"/>
      <c r="C159" s="15" t="n"/>
      <c r="D159" s="63" t="n"/>
      <c r="E159" s="63" t="n"/>
      <c r="F159" s="96" t="n"/>
      <c r="G159" s="15" t="n"/>
      <c r="H159" s="15" t="n"/>
      <c r="I159" s="62" t="n"/>
      <c r="J159" s="62" t="n"/>
      <c r="K159" s="44" t="n"/>
      <c r="L159" s="44" t="n"/>
      <c r="M159" s="61" t="n"/>
      <c r="N159" s="62" t="n"/>
      <c r="O159" s="44" t="n"/>
      <c r="P159" s="44" t="n"/>
      <c r="Q159" s="44" t="n"/>
    </row>
    <row r="160" hidden="1" ht="15.5" customHeight="1" s="297">
      <c r="B160" s="102" t="n"/>
      <c r="C160" s="15" t="n"/>
      <c r="D160" s="63" t="n"/>
      <c r="E160" s="63" t="n"/>
      <c r="F160" s="96" t="n"/>
      <c r="G160" s="15" t="n"/>
      <c r="H160" s="15" t="n"/>
      <c r="I160" s="62" t="n"/>
      <c r="J160" s="62" t="n"/>
      <c r="K160" s="44" t="n"/>
      <c r="L160" s="44" t="n"/>
      <c r="M160" s="44" t="n"/>
      <c r="N160" s="62" t="n"/>
      <c r="O160" s="44" t="n"/>
      <c r="P160" s="44" t="n"/>
      <c r="Q160" s="44" t="n"/>
    </row>
    <row r="161" hidden="1" ht="15.5" customHeight="1" s="297">
      <c r="B161" s="102" t="n"/>
      <c r="C161" s="15" t="n"/>
      <c r="D161" s="63" t="n"/>
      <c r="E161" s="63" t="n"/>
      <c r="F161" s="96" t="n"/>
      <c r="G161" s="15" t="n"/>
      <c r="H161" s="15" t="n"/>
      <c r="I161" s="62" t="n"/>
      <c r="J161" s="62" t="n"/>
      <c r="K161" s="44" t="n"/>
      <c r="L161" s="44" t="n"/>
      <c r="M161" s="61" t="n"/>
      <c r="N161" s="62" t="n"/>
      <c r="O161" s="44" t="n"/>
      <c r="P161" s="44" t="n"/>
      <c r="Q161" s="44" t="n"/>
    </row>
    <row r="162" hidden="1" ht="15.5" customHeight="1" s="297">
      <c r="B162" s="102" t="n"/>
      <c r="C162" s="15" t="n"/>
      <c r="D162" s="63" t="n"/>
      <c r="E162" s="63" t="n"/>
      <c r="F162" s="96" t="n"/>
      <c r="G162" s="15" t="n"/>
      <c r="H162" s="15" t="n"/>
      <c r="I162" s="62" t="n"/>
      <c r="J162" s="62" t="n"/>
      <c r="K162" s="62" t="n"/>
      <c r="L162" s="62" t="n"/>
      <c r="M162" s="62" t="n"/>
      <c r="N162" s="62" t="n"/>
      <c r="O162" s="62" t="n"/>
      <c r="P162" s="62" t="n"/>
      <c r="Q162" s="62" t="n"/>
    </row>
    <row r="163" hidden="1" ht="15.5" customHeight="1" s="297">
      <c r="B163" s="102" t="n"/>
      <c r="C163" s="15" t="n"/>
      <c r="D163" s="63" t="n"/>
      <c r="E163" s="63" t="n"/>
      <c r="F163" s="96" t="n"/>
      <c r="G163" s="15" t="n"/>
      <c r="H163" s="15" t="n"/>
      <c r="I163" s="62" t="n"/>
      <c r="J163" s="62" t="n"/>
      <c r="K163" s="44" t="n"/>
      <c r="L163" s="44" t="n"/>
      <c r="M163" s="44" t="n"/>
      <c r="N163" s="62" t="n"/>
      <c r="O163" s="44" t="n"/>
      <c r="P163" s="44" t="n"/>
      <c r="Q163" s="44" t="n"/>
    </row>
    <row r="164" ht="15.5" customHeight="1" s="297">
      <c r="B164" s="339" t="inlineStr">
        <is>
          <t>Expense#5</t>
        </is>
      </c>
      <c r="C164" s="85" t="inlineStr">
        <is>
          <t>:</t>
        </is>
      </c>
      <c r="D164" s="340" t="inlineStr">
        <is>
          <t>Pengeluaran Batch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t="15.5" customHeight="1" s="297">
      <c r="B165" s="292" t="n">
        <v>46100</v>
      </c>
      <c r="C165" s="91" t="n">
        <v>1</v>
      </c>
      <c r="D165" s="95" t="inlineStr">
        <is>
          <t>pepaya panas</t>
        </is>
      </c>
      <c r="E165" s="95" t="n"/>
      <c r="F165" s="349" t="n">
        <v>111111</v>
      </c>
      <c r="G165" s="91" t="inlineStr">
        <is>
          <t>IDR</t>
        </is>
      </c>
      <c r="H165" s="343" t="n">
        <v>1</v>
      </c>
      <c r="I165" s="62" t="n"/>
      <c r="J165" s="345" t="n">
        <v>111111</v>
      </c>
      <c r="K165" s="44" t="n"/>
      <c r="L165" s="44" t="n"/>
      <c r="M165" s="44" t="n"/>
      <c r="N165" s="44" t="n"/>
      <c r="O165" s="44" t="n"/>
      <c r="P165" s="62" t="n"/>
      <c r="Q165" s="44" t="n"/>
    </row>
    <row r="166" ht="15.5" customHeight="1" s="297">
      <c r="B166" s="339" t="inlineStr">
        <is>
          <t>Expense#6</t>
        </is>
      </c>
      <c r="C166" s="85" t="inlineStr">
        <is>
          <t>:</t>
        </is>
      </c>
      <c r="D166" s="340" t="inlineStr">
        <is>
          <t>gowel party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t="15.5" customHeight="1" s="297">
      <c r="B167" s="292" t="n"/>
      <c r="C167" s="91" t="n"/>
      <c r="D167" s="341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t="15.5" customHeight="1" s="297">
      <c r="B168" s="292" t="n">
        <v>46093</v>
      </c>
      <c r="C168" s="91" t="n">
        <v>1</v>
      </c>
      <c r="D168" s="95" t="inlineStr">
        <is>
          <t>blejar party</t>
        </is>
      </c>
      <c r="E168" s="95" t="n"/>
      <c r="F168" s="342" t="n">
        <v>12312312</v>
      </c>
      <c r="G168" s="91" t="inlineStr">
        <is>
          <t>IDR</t>
        </is>
      </c>
      <c r="H168" s="343" t="n">
        <v>1</v>
      </c>
      <c r="I168" s="61" t="n"/>
      <c r="J168" s="62" t="n"/>
      <c r="K168" s="345" t="n">
        <v>12312312</v>
      </c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/>
      <c r="C169" s="91" t="n"/>
      <c r="D169" s="95" t="n"/>
      <c r="E169" s="95" t="n"/>
      <c r="F169" s="93" t="n"/>
      <c r="G169" s="91" t="n"/>
      <c r="H169" s="91" t="n"/>
      <c r="I169" s="61" t="n"/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344" t="n"/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/>
      <c r="C171" s="91" t="n"/>
      <c r="D171" s="95" t="n"/>
      <c r="E171" s="95" t="n"/>
      <c r="F171" s="93" t="n"/>
      <c r="G171" s="91" t="n"/>
      <c r="H171" s="91" t="n"/>
      <c r="I171" s="62" t="n"/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344" t="n"/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/>
      <c r="C173" s="91" t="n"/>
      <c r="D173" s="95" t="n"/>
      <c r="E173" s="95" t="n"/>
      <c r="F173" s="93" t="n"/>
      <c r="G173" s="91" t="n"/>
      <c r="H173" s="91" t="n"/>
      <c r="I173" s="62" t="n"/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344" t="n"/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/>
      <c r="C175" s="91" t="n"/>
      <c r="D175" s="95" t="n"/>
      <c r="E175" s="95" t="n"/>
      <c r="F175" s="93" t="n"/>
      <c r="G175" s="91" t="n"/>
      <c r="H175" s="91" t="n"/>
      <c r="I175" s="61" t="n"/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/>
      <c r="C176" s="91" t="n"/>
      <c r="D176" s="95" t="n"/>
      <c r="E176" s="95" t="n"/>
      <c r="F176" s="93" t="n"/>
      <c r="G176" s="91" t="n"/>
      <c r="H176" s="91" t="n"/>
      <c r="I176" s="61" t="n"/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/>
      <c r="C177" s="91" t="n"/>
      <c r="D177" s="95" t="n"/>
      <c r="E177" s="95" t="n"/>
      <c r="F177" s="93" t="n"/>
      <c r="G177" s="91" t="n"/>
      <c r="H177" s="91" t="n"/>
      <c r="I177" s="61" t="n"/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/>
      <c r="C178" s="91" t="n"/>
      <c r="D178" s="95" t="n"/>
      <c r="E178" s="95" t="n"/>
      <c r="F178" s="93" t="n"/>
      <c r="G178" s="91" t="n"/>
      <c r="H178" s="91" t="n"/>
      <c r="I178" s="61" t="n"/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/>
      <c r="C179" s="91" t="n"/>
      <c r="D179" s="95" t="n"/>
      <c r="E179" s="95" t="n"/>
      <c r="F179" s="93" t="n"/>
      <c r="G179" s="91" t="n"/>
      <c r="H179" s="91" t="n"/>
      <c r="I179" s="61" t="n"/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/>
      <c r="C180" s="91" t="n"/>
      <c r="D180" s="95" t="n"/>
      <c r="E180" s="95" t="n"/>
      <c r="F180" s="93" t="n"/>
      <c r="G180" s="91" t="n"/>
      <c r="H180" s="91" t="n"/>
      <c r="I180" s="61" t="n"/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344" t="n"/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/>
      <c r="C182" s="91" t="n"/>
      <c r="D182" s="95" t="n"/>
      <c r="E182" s="95" t="n"/>
      <c r="F182" s="93" t="n"/>
      <c r="G182" s="91" t="n"/>
      <c r="H182" s="91" t="n"/>
      <c r="I182" s="61" t="n"/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344" t="n"/>
      <c r="E183" s="97" t="n"/>
      <c r="F183" s="93" t="n"/>
      <c r="G183" s="91" t="n"/>
      <c r="H183" s="91" t="n"/>
      <c r="I183" s="350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>
        <v>1</v>
      </c>
      <c r="D184" s="344" t="n"/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n"/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n"/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51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51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n"/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n"/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n"/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n"/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n"/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n"/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n"/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n"/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n"/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n"/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n"/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50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50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50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n"/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n"/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50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n"/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n"/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50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50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n"/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n"/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n"/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n"/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n"/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n"/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n"/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n"/>
      <c r="E491" s="86" t="n"/>
      <c r="F491" s="87" t="n"/>
      <c r="G491" s="73" t="n"/>
      <c r="H491" s="73" t="n"/>
      <c r="I491" s="35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50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n"/>
      <c r="E506" s="86" t="n"/>
      <c r="F506" s="87" t="n"/>
      <c r="G506" s="73" t="n"/>
      <c r="H506" s="73" t="n"/>
      <c r="I506" s="35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50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50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50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n"/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n"/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50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n"/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n"/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n"/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n"/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50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n"/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n"/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53" t="n">
        <v>45071</v>
      </c>
      <c r="C638" s="141" t="n"/>
      <c r="D638" s="145" t="inlineStr">
        <is>
          <t>Materai 15 pcs</t>
        </is>
      </c>
      <c r="E638" s="145" t="n"/>
      <c r="F638" s="35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53" t="n">
        <v>45085</v>
      </c>
      <c r="C639" s="141" t="n"/>
      <c r="D639" s="145" t="inlineStr">
        <is>
          <t>Plastic folder 3 pcs</t>
        </is>
      </c>
      <c r="E639" s="145" t="n"/>
      <c r="F639" s="35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5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5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5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5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5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5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5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5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5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5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5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5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5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5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5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5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5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5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5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5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n"/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n"/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n"/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n"/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n"/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n"/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n"/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56" t="n"/>
      <c r="K741" s="356" t="n"/>
      <c r="L741" s="356" t="n"/>
      <c r="M741" s="356" t="n"/>
      <c r="N741" s="356" t="n"/>
      <c r="O741" s="356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57" t="n"/>
      <c r="K742" s="357" t="n"/>
      <c r="L742" s="356" t="n"/>
      <c r="M742" s="357" t="n"/>
      <c r="N742" s="357" t="n"/>
      <c r="O742" s="356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57" t="n"/>
      <c r="K743" s="357" t="n"/>
      <c r="L743" s="356" t="n"/>
      <c r="M743" s="357" t="n"/>
      <c r="N743" s="357" t="n"/>
      <c r="O743" s="356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57" t="n"/>
      <c r="K744" s="357" t="n"/>
      <c r="L744" s="356" t="n"/>
      <c r="M744" s="357" t="n"/>
      <c r="N744" s="357" t="n"/>
      <c r="O744" s="356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57" t="n"/>
      <c r="K745" s="357" t="n"/>
      <c r="L745" s="356" t="n"/>
      <c r="M745" s="357" t="n"/>
      <c r="N745" s="357" t="n"/>
      <c r="O745" s="356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57" t="n"/>
      <c r="K746" s="357" t="n"/>
      <c r="L746" s="356" t="n"/>
      <c r="M746" s="357" t="n"/>
      <c r="N746" s="357" t="n"/>
      <c r="O746" s="356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57" t="n"/>
      <c r="K747" s="357" t="n"/>
      <c r="L747" s="356" t="n"/>
      <c r="M747" s="357" t="n"/>
      <c r="N747" s="357" t="n"/>
      <c r="O747" s="356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57" t="n"/>
      <c r="K748" s="357" t="n"/>
      <c r="L748" s="356" t="n"/>
      <c r="M748" s="357" t="n"/>
      <c r="N748" s="357" t="n"/>
      <c r="O748" s="356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57" t="n"/>
      <c r="K749" s="357" t="n"/>
      <c r="L749" s="357" t="n"/>
      <c r="M749" s="357" t="n"/>
      <c r="N749" s="357" t="n"/>
      <c r="O749" s="356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 t="n">
        <v>234234335</v>
      </c>
      <c r="J750" s="120" t="n">
        <v>13674901</v>
      </c>
      <c r="K750" s="120" t="n">
        <v>123135435424</v>
      </c>
      <c r="L750" s="120" t="n">
        <v>0</v>
      </c>
      <c r="M750" s="120" t="n">
        <v>200000</v>
      </c>
      <c r="N750" s="120" t="n">
        <v>1231231</v>
      </c>
      <c r="O750" s="120" t="n">
        <v>1111111</v>
      </c>
      <c r="P750" s="120" t="n">
        <v>0</v>
      </c>
      <c r="Q750" s="12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123123123</v>
      </c>
      <c r="W750" t="n">
        <v>0</v>
      </c>
      <c r="X750" t="n">
        <v>0</v>
      </c>
    </row>
  </sheetData>
  <mergeCells count="49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6:E36"/>
    <mergeCell ref="D31:E31"/>
    <mergeCell ref="D21:E21"/>
    <mergeCell ref="D25:E26"/>
    <mergeCell ref="D11:E11"/>
    <mergeCell ref="I25:J25"/>
    <mergeCell ref="C25:C26"/>
    <mergeCell ref="D13:E13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K19:K20"/>
    <mergeCell ref="D12:E12"/>
    <mergeCell ref="D8:E8"/>
    <mergeCell ref="O19:O20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58" t="n"/>
      <c r="B1" s="358" t="n"/>
      <c r="C1" s="358" t="n"/>
      <c r="D1" s="358" t="n"/>
      <c r="E1" s="359" t="n"/>
    </row>
    <row r="2" ht="37.25" customHeight="1" s="297">
      <c r="A2" s="358" t="n"/>
      <c r="B2" s="358" t="n"/>
      <c r="C2" s="358" t="n"/>
      <c r="D2" s="358" t="n"/>
      <c r="E2" s="359" t="n"/>
    </row>
    <row r="3" ht="33.65" customHeight="1" s="297">
      <c r="A3" s="358" t="n"/>
      <c r="B3" s="360" t="inlineStr">
        <is>
          <t>PT. EXSPAN WIRELINE INDONESIA</t>
        </is>
      </c>
      <c r="F3" s="361" t="n"/>
      <c r="G3" s="362" t="inlineStr">
        <is>
          <t>PT. EXSPAN WIRELINE INDONESIA</t>
        </is>
      </c>
      <c r="H3" s="362" t="n"/>
      <c r="I3" s="362" t="n"/>
      <c r="J3" s="362" t="n"/>
    </row>
    <row r="4" ht="20.5" customHeight="1" s="297">
      <c r="A4" s="358" t="n"/>
      <c r="B4" s="363" t="inlineStr">
        <is>
          <t>LABA RUGI | TAHUN 2026</t>
        </is>
      </c>
      <c r="F4" s="361" t="n"/>
      <c r="G4" s="364" t="inlineStr">
        <is>
          <t>NERACA | TAHUN YANG BERAKHIR, 31 DESEMBER 2026</t>
        </is>
      </c>
      <c r="H4" s="364" t="n"/>
      <c r="I4" s="364" t="n"/>
      <c r="J4" s="364" t="n"/>
      <c r="K4" s="365" t="inlineStr">
        <is>
          <t>CATATAN KEAMANAN</t>
        </is>
      </c>
    </row>
    <row r="5" ht="6" customHeight="1" s="297">
      <c r="A5" s="358" t="n"/>
      <c r="B5" s="358" t="n"/>
      <c r="C5" s="358" t="n"/>
      <c r="D5" s="358" t="n"/>
      <c r="E5" s="359" t="n"/>
      <c r="F5" s="361" t="n"/>
      <c r="G5" s="361" t="n"/>
      <c r="H5" s="366" t="n"/>
      <c r="I5" s="366" t="n"/>
      <c r="J5" s="366" t="n"/>
      <c r="K5" t="inlineStr">
        <is>
          <t>Kolom ini aman dari overwrite sistem.</t>
        </is>
      </c>
    </row>
    <row r="6" ht="15.5" customHeight="1" s="297">
      <c r="A6" s="358" t="n"/>
      <c r="B6" s="367" t="n"/>
      <c r="C6" s="368" t="n"/>
      <c r="D6" s="369" t="inlineStr">
        <is>
          <t>PT. Exspan Wireline Indonesia</t>
        </is>
      </c>
      <c r="E6" s="289" t="n"/>
      <c r="F6" s="361" t="n"/>
      <c r="G6" s="370" t="n"/>
      <c r="H6" s="371" t="n"/>
      <c r="I6" s="369" t="inlineStr">
        <is>
          <t>PT. Exspan Wireline Indonesia</t>
        </is>
      </c>
      <c r="J6" s="289" t="n"/>
      <c r="K6" t="inlineStr">
        <is>
          <t>Diverifikasi pada: 2026-03-22 03:05</t>
        </is>
      </c>
    </row>
    <row r="7" ht="15.5" customHeight="1" s="297">
      <c r="A7" s="358" t="n"/>
      <c r="B7" s="372" t="n"/>
      <c r="C7" s="373" t="n"/>
      <c r="D7" s="374" t="inlineStr">
        <is>
          <t>(Rp)</t>
        </is>
      </c>
      <c r="E7" s="290" t="n"/>
      <c r="F7" s="361" t="n"/>
      <c r="G7" s="375" t="n"/>
      <c r="H7" s="376" t="n"/>
      <c r="I7" s="374" t="inlineStr">
        <is>
          <t>(Rp)</t>
        </is>
      </c>
      <c r="J7" s="290" t="n"/>
    </row>
    <row r="8">
      <c r="A8" s="358" t="n"/>
      <c r="B8" s="377" t="inlineStr">
        <is>
          <t>PENDAPATAN</t>
        </is>
      </c>
      <c r="C8" s="378" t="n"/>
      <c r="D8" s="379" t="n"/>
      <c r="E8" s="380" t="n"/>
      <c r="F8" s="361" t="n"/>
      <c r="G8" s="381" t="inlineStr">
        <is>
          <t>AKTIVA</t>
        </is>
      </c>
      <c r="H8" s="382" t="n"/>
      <c r="I8" s="383" t="n"/>
      <c r="J8" s="384" t="n"/>
    </row>
    <row r="9">
      <c r="A9" s="358" t="n"/>
      <c r="B9" s="385" t="n"/>
      <c r="C9" s="378" t="inlineStr">
        <is>
          <t>PENDAPATAN LANGSUNG</t>
        </is>
      </c>
      <c r="D9" s="385" t="inlineStr">
        <is>
          <t>Rp</t>
        </is>
      </c>
      <c r="E9" s="386">
        <f>SUM('Revenue-Cost_2026'!F8:F20)</f>
        <v/>
      </c>
      <c r="F9" s="361" t="n"/>
      <c r="G9" s="387" t="inlineStr">
        <is>
          <t>AKTIVA LANCAR</t>
        </is>
      </c>
      <c r="H9" s="388" t="n"/>
      <c r="I9" s="387" t="n"/>
      <c r="J9" s="389" t="n"/>
    </row>
    <row r="10">
      <c r="A10" s="358" t="n"/>
      <c r="B10" s="385" t="n"/>
      <c r="C10" s="378" t="inlineStr">
        <is>
          <t>PENDAPATAN LAIN LAIN</t>
        </is>
      </c>
      <c r="D10" s="385" t="inlineStr">
        <is>
          <t>Rp</t>
        </is>
      </c>
      <c r="E10" s="386">
        <f>SUM('Revenue-Cost_2026'!F21)</f>
        <v/>
      </c>
      <c r="F10" s="361" t="n"/>
      <c r="G10" s="390" t="n"/>
      <c r="H10" s="391" t="inlineStr">
        <is>
          <t>KAS DAN SETARA KAS TAHUN SEBELUMNYA</t>
        </is>
      </c>
      <c r="I10" s="385" t="inlineStr">
        <is>
          <t>Rp</t>
        </is>
      </c>
      <c r="J10" s="392" t="n">
        <v>0</v>
      </c>
    </row>
    <row r="11">
      <c r="A11" s="358" t="n"/>
      <c r="B11" s="385" t="n"/>
      <c r="C11" s="378" t="n"/>
      <c r="D11" s="393" t="n"/>
      <c r="E11" s="394" t="n"/>
      <c r="F11" s="361" t="n"/>
      <c r="G11" s="390" t="n"/>
      <c r="H11" s="391" t="inlineStr">
        <is>
          <t>KAS DAN SETARA KAS TAHUN LAPORAN</t>
        </is>
      </c>
      <c r="I11" s="385" t="inlineStr">
        <is>
          <t>Rp</t>
        </is>
      </c>
      <c r="J11" s="392">
        <f>E46-'Business Summary'!E13</f>
        <v/>
      </c>
    </row>
    <row r="12">
      <c r="A12" s="358" t="n"/>
      <c r="B12" s="395" t="inlineStr">
        <is>
          <t>TOTALPENDAPATAN</t>
        </is>
      </c>
      <c r="C12" s="396" t="n"/>
      <c r="D12" s="397" t="inlineStr">
        <is>
          <t>Rp</t>
        </is>
      </c>
      <c r="E12" s="398">
        <f>SUM(E9:E11)</f>
        <v/>
      </c>
      <c r="F12" s="361" t="n"/>
      <c r="G12" s="390" t="n"/>
      <c r="H12" s="391" t="inlineStr">
        <is>
          <t>PIUTANG USAHA</t>
        </is>
      </c>
      <c r="I12" s="385" t="inlineStr">
        <is>
          <t>Rp</t>
        </is>
      </c>
      <c r="J12" s="392" t="n">
        <v>0</v>
      </c>
    </row>
    <row r="13">
      <c r="A13" s="358" t="n"/>
      <c r="B13" s="385" t="n"/>
      <c r="C13" s="378" t="n"/>
      <c r="D13" s="379" t="n"/>
      <c r="E13" s="399" t="n"/>
      <c r="F13" s="361" t="n"/>
      <c r="G13" s="390" t="n"/>
      <c r="H13" s="391" t="inlineStr">
        <is>
          <t>PAJAK BAYAR DI MUKA (pph23)</t>
        </is>
      </c>
      <c r="I13" s="385" t="inlineStr">
        <is>
          <t>Rp</t>
        </is>
      </c>
      <c r="J13" s="392" t="n">
        <v>0</v>
      </c>
    </row>
    <row r="14">
      <c r="A14" s="358" t="n"/>
      <c r="B14" s="400" t="inlineStr">
        <is>
          <t>BEBAN LANGSUNG</t>
        </is>
      </c>
      <c r="C14" s="378" t="n"/>
      <c r="D14" s="385" t="n"/>
      <c r="E14" s="401" t="n"/>
      <c r="F14" s="361" t="n"/>
      <c r="G14" s="390" t="n"/>
      <c r="H14" s="391" t="inlineStr">
        <is>
          <t>BIAYA BAYAR DI MUKA</t>
        </is>
      </c>
      <c r="I14" s="385" t="inlineStr">
        <is>
          <t>Rp</t>
        </is>
      </c>
      <c r="J14" s="392" t="n">
        <v>0</v>
      </c>
    </row>
    <row r="15">
      <c r="A15" s="358" t="n"/>
      <c r="B15" s="402" t="n"/>
      <c r="C15" s="378" t="inlineStr">
        <is>
          <t xml:space="preserve">Biaya Operasi </t>
        </is>
      </c>
      <c r="D15" s="385" t="inlineStr">
        <is>
          <t>Rp</t>
        </is>
      </c>
      <c r="E15" s="401">
        <f>'Revenue-Cost_2026'!I750</f>
        <v/>
      </c>
      <c r="F15" s="361" t="n"/>
      <c r="G15" s="403" t="n"/>
      <c r="H15" s="391" t="inlineStr">
        <is>
          <t>PIUTANG LAIN LAIN</t>
        </is>
      </c>
      <c r="I15" s="385" t="inlineStr">
        <is>
          <t>Rp</t>
        </is>
      </c>
      <c r="J15" s="392" t="n">
        <v>0</v>
      </c>
    </row>
    <row r="16">
      <c r="A16" s="358" t="n"/>
      <c r="B16" s="402" t="n"/>
      <c r="C16" s="378" t="inlineStr">
        <is>
          <t>Biaya research (R &amp; D)</t>
        </is>
      </c>
      <c r="D16" s="385" t="inlineStr">
        <is>
          <t>Rp</t>
        </is>
      </c>
      <c r="E16" s="401">
        <f>'Revenue-Cost_2026'!J750</f>
        <v/>
      </c>
      <c r="F16" s="361" t="n"/>
      <c r="G16" s="404" t="n"/>
      <c r="H16" s="405" t="inlineStr">
        <is>
          <t>TOTAL AKTIVA LANCAR</t>
        </is>
      </c>
      <c r="I16" s="397" t="inlineStr">
        <is>
          <t>Rp</t>
        </is>
      </c>
      <c r="J16" s="406">
        <f>SUM(J10:J15)</f>
        <v/>
      </c>
    </row>
    <row r="17">
      <c r="A17" s="358" t="n"/>
      <c r="B17" s="402" t="n"/>
      <c r="C17" s="378" t="inlineStr">
        <is>
          <t>BIAYA SEWA PERALATAN</t>
        </is>
      </c>
      <c r="D17" s="385" t="inlineStr">
        <is>
          <t>Rp</t>
        </is>
      </c>
      <c r="E17" s="401">
        <f>'Revenue-Cost_2026'!K750</f>
        <v/>
      </c>
      <c r="F17" s="361" t="n"/>
      <c r="G17" s="390" t="n"/>
      <c r="H17" s="391" t="n"/>
      <c r="I17" s="407" t="n"/>
      <c r="J17" s="408" t="n"/>
    </row>
    <row r="18">
      <c r="A18" s="358" t="n"/>
      <c r="B18" s="402" t="n"/>
      <c r="C18" s="378" t="inlineStr">
        <is>
          <t>BIAYA Data Processing</t>
        </is>
      </c>
      <c r="D18" s="385" t="inlineStr">
        <is>
          <t>Rp</t>
        </is>
      </c>
      <c r="E18" s="401">
        <f>'Revenue-Cost_2026'!L750</f>
        <v/>
      </c>
      <c r="F18" s="361" t="n"/>
      <c r="G18" s="387" t="inlineStr">
        <is>
          <t>ACTIVA TETAP</t>
        </is>
      </c>
      <c r="H18" s="409" t="n"/>
      <c r="I18" s="381" t="n"/>
      <c r="J18" s="392" t="n"/>
    </row>
    <row r="19">
      <c r="A19" s="358" t="n"/>
      <c r="B19" s="402" t="n"/>
      <c r="C19" s="378" t="n"/>
      <c r="D19" s="385" t="n"/>
      <c r="E19" s="401" t="n"/>
      <c r="F19" s="361" t="n"/>
      <c r="G19" s="387" t="n"/>
      <c r="H19" s="409" t="n"/>
      <c r="I19" s="381" t="n"/>
      <c r="J19" s="392" t="n"/>
    </row>
    <row r="20">
      <c r="A20" s="358" t="n"/>
      <c r="B20" s="402" t="n"/>
      <c r="C20" s="378" t="n"/>
      <c r="D20" s="393" t="n"/>
      <c r="E20" s="410" t="n"/>
      <c r="F20" s="361" t="n"/>
      <c r="G20" s="390" t="n"/>
      <c r="H20" s="391" t="inlineStr">
        <is>
          <t>INVENTARIS KANTOR</t>
        </is>
      </c>
      <c r="I20" s="385" t="inlineStr">
        <is>
          <t>Rp</t>
        </is>
      </c>
      <c r="J20" s="392" t="n">
        <v>0</v>
      </c>
    </row>
    <row r="21">
      <c r="A21" s="358" t="n"/>
      <c r="B21" s="395" t="inlineStr">
        <is>
          <t>TOTAL BIAYA LANGSUNG</t>
        </is>
      </c>
      <c r="C21" s="396" t="n"/>
      <c r="D21" s="397" t="inlineStr">
        <is>
          <t>Rp</t>
        </is>
      </c>
      <c r="E21" s="411">
        <f>SUM(E15:E20)</f>
        <v/>
      </c>
      <c r="F21" s="361" t="n"/>
      <c r="G21" s="390" t="n"/>
      <c r="H21" s="409" t="n"/>
      <c r="I21" s="412" t="n"/>
      <c r="J21" s="413" t="n"/>
    </row>
    <row r="22">
      <c r="A22" s="358" t="n"/>
      <c r="B22" s="385" t="n"/>
      <c r="C22" s="378" t="n"/>
      <c r="D22" s="379" t="n"/>
      <c r="E22" s="414" t="n"/>
      <c r="F22" s="361" t="n"/>
      <c r="G22" s="404" t="n"/>
      <c r="H22" s="405" t="inlineStr">
        <is>
          <t>TOTAL AKTIVA TETAP</t>
        </is>
      </c>
      <c r="I22" s="397" t="inlineStr">
        <is>
          <t>Rp</t>
        </is>
      </c>
      <c r="J22" s="406">
        <f>J20</f>
        <v/>
      </c>
    </row>
    <row r="23">
      <c r="A23" s="358" t="n"/>
      <c r="B23" s="400" t="inlineStr">
        <is>
          <t>BEBAN TIDAK LANGSUNG</t>
        </is>
      </c>
      <c r="C23" s="378" t="n"/>
      <c r="D23" s="385" t="n"/>
      <c r="E23" s="401">
        <f>'Revenue-Cost_2026'!Q750</f>
        <v/>
      </c>
      <c r="F23" s="361" t="n"/>
      <c r="G23" s="390" t="n"/>
      <c r="H23" s="391" t="n"/>
      <c r="I23" s="407" t="n"/>
      <c r="J23" s="384" t="n"/>
    </row>
    <row r="24">
      <c r="A24" s="358" t="n"/>
      <c r="B24" s="385" t="n"/>
      <c r="C24" s="378" t="n"/>
      <c r="D24" s="385" t="n"/>
      <c r="E24" s="401" t="n"/>
      <c r="F24" s="361" t="n"/>
      <c r="G24" s="387" t="inlineStr">
        <is>
          <t>ACTIVA LAIN LAIN</t>
        </is>
      </c>
      <c r="H24" s="409" t="n"/>
      <c r="I24" s="381" t="n"/>
      <c r="J24" s="392" t="n">
        <v>0</v>
      </c>
    </row>
    <row r="25">
      <c r="A25" s="358" t="n"/>
      <c r="B25" s="385" t="n"/>
      <c r="C25" s="378" t="n"/>
      <c r="D25" s="385" t="inlineStr">
        <is>
          <t>Rp</t>
        </is>
      </c>
      <c r="E25" s="401" t="n"/>
      <c r="F25" s="361" t="n"/>
      <c r="G25" s="390" t="n"/>
      <c r="H25" s="391" t="n"/>
      <c r="I25" s="415" t="n"/>
      <c r="J25" s="416" t="n">
        <v>0</v>
      </c>
    </row>
    <row r="26">
      <c r="A26" s="358" t="n"/>
      <c r="B26" s="385" t="n"/>
      <c r="C26" s="378" t="n"/>
      <c r="D26" s="393" t="n"/>
      <c r="E26" s="410" t="n"/>
      <c r="F26" s="361" t="n"/>
      <c r="G26" s="404" t="n"/>
      <c r="H26" s="405" t="inlineStr">
        <is>
          <t>TOTAL AKTIVA LAIN LAIN</t>
        </is>
      </c>
      <c r="I26" s="397" t="inlineStr">
        <is>
          <t>Rp</t>
        </is>
      </c>
      <c r="J26" s="406">
        <f>SUM(J25:J25)</f>
        <v/>
      </c>
    </row>
    <row r="27">
      <c r="A27" s="358" t="n"/>
      <c r="B27" s="395" t="inlineStr">
        <is>
          <t>TOTAL BIAYA TIDAK LANGSUNG</t>
        </is>
      </c>
      <c r="C27" s="396" t="n"/>
      <c r="D27" s="397" t="inlineStr">
        <is>
          <t>Rp</t>
        </is>
      </c>
      <c r="E27" s="411">
        <f>SUM(E22:E26)</f>
        <v/>
      </c>
      <c r="F27" s="361" t="n"/>
      <c r="G27" s="390" t="n"/>
      <c r="H27" s="391" t="n"/>
      <c r="I27" s="417" t="n"/>
      <c r="J27" s="418" t="n"/>
    </row>
    <row r="28">
      <c r="A28" s="358" t="n"/>
      <c r="B28" s="385" t="n"/>
      <c r="C28" s="378" t="n"/>
      <c r="D28" s="379" t="n"/>
      <c r="E28" s="414" t="n"/>
      <c r="F28" s="361" t="n"/>
      <c r="G28" s="395" t="inlineStr">
        <is>
          <t>TOTAL AKTIVA</t>
        </is>
      </c>
      <c r="H28" s="396" t="n"/>
      <c r="I28" s="397" t="inlineStr">
        <is>
          <t>Rp</t>
        </is>
      </c>
      <c r="J28" s="419">
        <f>J26+J22+J16</f>
        <v/>
      </c>
    </row>
    <row r="29">
      <c r="A29" s="358" t="n"/>
      <c r="B29" s="400" t="inlineStr">
        <is>
          <t>BIAYA ADMINISTRASI DAN UMUM</t>
        </is>
      </c>
      <c r="C29" s="378" t="n"/>
      <c r="D29" s="385" t="n"/>
      <c r="E29" s="401" t="n"/>
      <c r="F29" s="361" t="n"/>
      <c r="G29" s="420" t="n"/>
      <c r="H29" s="421" t="n"/>
      <c r="I29" s="420" t="n"/>
      <c r="J29" s="408" t="n"/>
    </row>
    <row r="30">
      <c r="A30" s="358" t="n"/>
      <c r="B30" s="402" t="n"/>
      <c r="C30" s="378" t="inlineStr">
        <is>
          <t>BIAYA ADMINISTRASI</t>
        </is>
      </c>
      <c r="D30" s="385" t="inlineStr">
        <is>
          <t>Rp</t>
        </is>
      </c>
      <c r="E30" s="401">
        <f>'Revenue-Cost_2026'!M750</f>
        <v/>
      </c>
      <c r="F30" s="361" t="n"/>
      <c r="G30" s="422" t="inlineStr">
        <is>
          <t>HUTANG DAN MODAL</t>
        </is>
      </c>
      <c r="H30" s="382" t="n"/>
      <c r="I30" s="422" t="n"/>
      <c r="J30" s="423" t="n"/>
    </row>
    <row r="31">
      <c r="A31" s="358" t="n"/>
      <c r="B31" s="402" t="n"/>
      <c r="C31" s="378" t="inlineStr">
        <is>
          <t>BIAYA PEMBELIAN Barang</t>
        </is>
      </c>
      <c r="D31" s="385" t="inlineStr">
        <is>
          <t>Rp</t>
        </is>
      </c>
      <c r="E31" s="401">
        <f>'Revenue-Cost_2026'!N750</f>
        <v/>
      </c>
      <c r="F31" s="361" t="n"/>
      <c r="G31" s="422" t="n"/>
      <c r="H31" s="382" t="n"/>
      <c r="I31" s="422" t="n"/>
      <c r="J31" s="423" t="n"/>
    </row>
    <row r="32">
      <c r="A32" s="358" t="n"/>
      <c r="B32" s="402" t="n"/>
      <c r="C32" s="378" t="inlineStr">
        <is>
          <t>BIAYA SEWA KANTOR</t>
        </is>
      </c>
      <c r="D32" s="385" t="inlineStr">
        <is>
          <t>Rp</t>
        </is>
      </c>
      <c r="E32" s="401">
        <f>'Revenue-Cost_2026'!O750</f>
        <v/>
      </c>
      <c r="F32" s="361" t="n"/>
      <c r="G32" s="387" t="inlineStr">
        <is>
          <t>HUTANG LANCAR</t>
        </is>
      </c>
      <c r="H32" s="388" t="n"/>
      <c r="I32" s="387" t="n"/>
      <c r="J32" s="389" t="n"/>
    </row>
    <row r="33">
      <c r="A33" s="358" t="n"/>
      <c r="B33" s="402" t="n"/>
      <c r="C33" s="378" t="inlineStr">
        <is>
          <t>BIAYA KESEHATAN</t>
        </is>
      </c>
      <c r="D33" s="385" t="inlineStr">
        <is>
          <t>Rp</t>
        </is>
      </c>
      <c r="E33" s="401">
        <f>'Revenue-Cost_2026'!P750</f>
        <v/>
      </c>
      <c r="F33" s="361" t="n"/>
      <c r="G33" s="390" t="n"/>
      <c r="H33" s="391" t="inlineStr">
        <is>
          <t>HUTANG USAHA</t>
        </is>
      </c>
      <c r="I33" s="385" t="inlineStr">
        <is>
          <t>Rp</t>
        </is>
      </c>
      <c r="J33" s="392" t="n">
        <v>0</v>
      </c>
    </row>
    <row r="34">
      <c r="A34" s="358" t="n"/>
      <c r="B34" s="402" t="n"/>
      <c r="C34" s="378" t="n"/>
      <c r="D34" s="393" t="n"/>
      <c r="E34" s="410" t="n"/>
      <c r="F34" s="361" t="n"/>
      <c r="G34" s="390" t="n"/>
      <c r="H34" s="424" t="inlineStr">
        <is>
          <t>HUTANG GAJI</t>
        </is>
      </c>
      <c r="I34" s="385" t="inlineStr">
        <is>
          <t>Rp</t>
        </is>
      </c>
      <c r="J34" s="392" t="n">
        <v>0</v>
      </c>
    </row>
    <row r="35">
      <c r="A35" s="358" t="n"/>
      <c r="B35" s="395" t="inlineStr">
        <is>
          <t>TOTAL BIAYA ADMINISTRASI DAN UMUM</t>
        </is>
      </c>
      <c r="C35" s="396" t="n"/>
      <c r="D35" s="397" t="inlineStr">
        <is>
          <t>Rp</t>
        </is>
      </c>
      <c r="E35" s="398">
        <f>SUM(E30:E34)</f>
        <v/>
      </c>
      <c r="F35" s="361" t="n"/>
      <c r="G35" s="390" t="n"/>
      <c r="H35" s="391" t="inlineStr">
        <is>
          <t>HUTANG PEMEGANG SAHAM</t>
        </is>
      </c>
      <c r="I35" s="385" t="inlineStr">
        <is>
          <t>Rp</t>
        </is>
      </c>
      <c r="J35" s="392" t="n">
        <v>0</v>
      </c>
    </row>
    <row r="36">
      <c r="A36" s="358" t="n"/>
      <c r="B36" s="402" t="n"/>
      <c r="C36" s="378" t="n"/>
      <c r="D36" s="397" t="n"/>
      <c r="E36" s="425" t="n"/>
      <c r="F36" s="361" t="n"/>
      <c r="G36" s="390" t="n"/>
      <c r="H36" s="391" t="inlineStr">
        <is>
          <t>BIAYA YANG MASIH HARUS DI BAYAR</t>
        </is>
      </c>
      <c r="I36" s="385" t="inlineStr">
        <is>
          <t>Rp</t>
        </is>
      </c>
      <c r="J36" s="392" t="n">
        <v>0</v>
      </c>
    </row>
    <row r="37">
      <c r="A37" s="358" t="n"/>
      <c r="B37" s="395" t="inlineStr">
        <is>
          <t>TOTAL BIAYA</t>
        </is>
      </c>
      <c r="C37" s="396" t="n"/>
      <c r="D37" s="397" t="inlineStr">
        <is>
          <t>Rp</t>
        </is>
      </c>
      <c r="E37" s="398">
        <f>E35+E21+E27</f>
        <v/>
      </c>
      <c r="F37" s="361" t="n"/>
      <c r="G37" s="426" t="n"/>
      <c r="H37" s="427" t="n"/>
      <c r="I37" s="426" t="n"/>
      <c r="J37" s="428" t="n"/>
    </row>
    <row r="38">
      <c r="A38" s="358" t="n"/>
      <c r="B38" s="377" t="n"/>
      <c r="C38" s="429" t="n"/>
      <c r="D38" s="379" t="n"/>
      <c r="E38" s="430" t="n"/>
      <c r="F38" s="361" t="n"/>
      <c r="G38" s="404" t="n"/>
      <c r="H38" s="405" t="inlineStr">
        <is>
          <t>TOTAL HUTANG LANCAR</t>
        </is>
      </c>
      <c r="I38" s="431" t="n"/>
      <c r="J38" s="406">
        <f>SUM(J33:J36)</f>
        <v/>
      </c>
    </row>
    <row r="39">
      <c r="A39" s="358" t="n"/>
      <c r="B39" s="400" t="inlineStr">
        <is>
          <t xml:space="preserve">PENDAPATAN/BEBAN LAIN LAIN </t>
        </is>
      </c>
      <c r="C39" s="378" t="n"/>
      <c r="D39" s="385" t="inlineStr">
        <is>
          <t>Rp</t>
        </is>
      </c>
      <c r="E39" s="432" t="n"/>
      <c r="F39" s="361" t="n"/>
      <c r="G39" s="390" t="n"/>
      <c r="H39" s="409" t="n"/>
      <c r="I39" s="433" t="n"/>
      <c r="J39" s="384" t="n"/>
    </row>
    <row r="40">
      <c r="A40" s="358" t="n"/>
      <c r="B40" s="400" t="n"/>
      <c r="C40" s="378" t="inlineStr">
        <is>
          <t>PENDAPATAN LAINNYA</t>
        </is>
      </c>
      <c r="D40" s="385" t="inlineStr">
        <is>
          <t>Rp</t>
        </is>
      </c>
      <c r="E40" s="386" t="n">
        <v>0</v>
      </c>
      <c r="F40" s="361" t="n"/>
      <c r="G40" s="387" t="inlineStr">
        <is>
          <t>MODAL</t>
        </is>
      </c>
      <c r="H40" s="388" t="n"/>
      <c r="I40" s="387" t="n"/>
      <c r="J40" s="389" t="n"/>
    </row>
    <row r="41">
      <c r="A41" s="358" t="n"/>
      <c r="B41" s="400" t="n"/>
      <c r="C41" s="378" t="n"/>
      <c r="D41" s="393" t="n"/>
      <c r="E41" s="434" t="n"/>
      <c r="F41" s="361" t="n"/>
      <c r="G41" s="390" t="n"/>
      <c r="H41" s="391" t="inlineStr">
        <is>
          <t>MODAL SAHAM</t>
        </is>
      </c>
      <c r="I41" s="385" t="inlineStr">
        <is>
          <t>Rp</t>
        </is>
      </c>
      <c r="J41" s="392" t="n">
        <v>0</v>
      </c>
    </row>
    <row r="42">
      <c r="A42" s="358" t="n"/>
      <c r="B42" s="395" t="inlineStr">
        <is>
          <t>LABA RUGI SEBELUM PAJAK</t>
        </is>
      </c>
      <c r="C42" s="396" t="n"/>
      <c r="D42" s="397" t="inlineStr">
        <is>
          <t>Rp</t>
        </is>
      </c>
      <c r="E42" s="398">
        <f>E12-E37</f>
        <v/>
      </c>
      <c r="F42" s="361" t="n"/>
      <c r="G42" s="390" t="n"/>
      <c r="H42" s="391" t="inlineStr">
        <is>
          <t>LABA DI TAHAN</t>
        </is>
      </c>
      <c r="I42" s="385" t="inlineStr">
        <is>
          <t>Rp</t>
        </is>
      </c>
      <c r="J42" s="392" t="n">
        <v>0</v>
      </c>
    </row>
    <row r="43">
      <c r="A43" s="358" t="n"/>
      <c r="B43" s="435" t="n"/>
      <c r="C43" s="429" t="n"/>
      <c r="D43" s="379" t="n"/>
      <c r="E43" s="399" t="n"/>
      <c r="F43" s="361" t="n"/>
      <c r="G43" s="387" t="n"/>
      <c r="H43" s="391" t="inlineStr">
        <is>
          <t>TOTAL LABA (RUGI) DITAHAN</t>
        </is>
      </c>
      <c r="I43" s="393" t="inlineStr">
        <is>
          <t>Rp</t>
        </is>
      </c>
      <c r="J43" s="416">
        <f>J28-J38-J41-J42</f>
        <v/>
      </c>
    </row>
    <row r="44">
      <c r="A44" s="358" t="n"/>
      <c r="B44" s="400" t="inlineStr">
        <is>
          <t>CORPORATE TAX (PPh 29)</t>
        </is>
      </c>
      <c r="D44" s="385" t="inlineStr">
        <is>
          <t>Rp</t>
        </is>
      </c>
      <c r="E44" s="386" t="n">
        <v>0</v>
      </c>
      <c r="F44" s="361" t="n"/>
      <c r="G44" s="404" t="n"/>
      <c r="H44" s="405" t="inlineStr">
        <is>
          <t>TOTAL MODAL</t>
        </is>
      </c>
      <c r="I44" s="397" t="inlineStr">
        <is>
          <t>Rp</t>
        </is>
      </c>
      <c r="J44" s="406">
        <f>SUM(J41:J43)</f>
        <v/>
      </c>
    </row>
    <row r="45">
      <c r="A45" s="358" t="n"/>
      <c r="B45" s="400" t="n"/>
      <c r="C45" s="378" t="n"/>
      <c r="D45" s="393" t="n"/>
      <c r="E45" s="434" t="n"/>
      <c r="F45" s="361" t="n"/>
      <c r="G45" s="390" t="n"/>
      <c r="H45" s="391" t="n"/>
      <c r="I45" s="417" t="n"/>
      <c r="J45" s="418" t="n"/>
    </row>
    <row r="46" ht="15" customHeight="1" s="297">
      <c r="A46" s="358" t="n"/>
      <c r="B46" s="436" t="inlineStr">
        <is>
          <t>LABA / RUGI BERSIH</t>
        </is>
      </c>
      <c r="C46" s="303" t="n"/>
      <c r="D46" s="437" t="n"/>
      <c r="E46" s="438">
        <f>E42-E44</f>
        <v/>
      </c>
      <c r="F46" s="361" t="n"/>
      <c r="G46" s="439" t="inlineStr">
        <is>
          <t>TOTAL HUTANG DAN MODAL</t>
        </is>
      </c>
      <c r="H46" s="440" t="n"/>
      <c r="I46" s="437" t="inlineStr">
        <is>
          <t>Rp</t>
        </is>
      </c>
      <c r="J46" s="441">
        <f>J44+J38</f>
        <v/>
      </c>
    </row>
    <row r="47" ht="4.5" customHeight="1" s="297">
      <c r="A47" s="358" t="n"/>
      <c r="F47" s="361" t="n"/>
    </row>
    <row r="48" ht="50.65" customHeight="1" s="297">
      <c r="A48" s="358" t="n"/>
      <c r="F48" s="361" t="n"/>
      <c r="G48" s="442" t="n"/>
    </row>
    <row r="49" ht="16.75" customHeight="1" s="297">
      <c r="A49" s="358" t="n"/>
      <c r="B49" s="443" t="n"/>
      <c r="F49" s="361" t="n"/>
      <c r="G49" s="443" t="n"/>
    </row>
    <row r="50" ht="15.65" customHeight="1" s="297">
      <c r="A50" s="378" t="n"/>
      <c r="B50" s="444" t="inlineStr">
        <is>
          <t>Direktur</t>
        </is>
      </c>
      <c r="F50" s="361" t="n"/>
      <c r="G50" s="444" t="inlineStr">
        <is>
          <t>Direktur</t>
        </is>
      </c>
    </row>
    <row r="51">
      <c r="A51" s="378" t="n"/>
      <c r="F51" s="361" t="n"/>
    </row>
    <row r="52">
      <c r="A52" s="378" t="n"/>
      <c r="F52" s="361" t="n"/>
      <c r="J52" s="445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58" t="n"/>
      <c r="B1" s="358" t="n"/>
      <c r="C1" s="358" t="n"/>
      <c r="D1" s="358" t="n"/>
      <c r="E1" s="359" t="n"/>
    </row>
    <row r="2" ht="37.25" customHeight="1" s="297">
      <c r="A2" s="358" t="n"/>
      <c r="B2" s="358" t="n"/>
      <c r="C2" s="358" t="n"/>
      <c r="D2" s="358" t="n"/>
      <c r="E2" s="359" t="n"/>
    </row>
    <row r="3" ht="33.65" customHeight="1" s="297">
      <c r="A3" s="358" t="n"/>
      <c r="B3" s="360" t="inlineStr">
        <is>
          <t>PT. EXSPAN WIRELINE INDONESIA</t>
        </is>
      </c>
      <c r="F3" s="361" t="n"/>
    </row>
    <row r="4" ht="20.5" customHeight="1" s="297">
      <c r="A4" s="358" t="n"/>
      <c r="B4" s="363" t="inlineStr">
        <is>
          <t>BUSINESS SUMMARY | TAHUN 2026</t>
        </is>
      </c>
      <c r="F4" s="361" t="n"/>
    </row>
    <row r="5" ht="6" customHeight="1" s="297">
      <c r="A5" s="358" t="n"/>
      <c r="B5" s="358" t="n"/>
      <c r="C5" s="358" t="n"/>
      <c r="D5" s="358" t="n"/>
      <c r="E5" s="359" t="n"/>
      <c r="F5" s="361" t="n"/>
    </row>
    <row r="6" ht="19" customHeight="1" s="297">
      <c r="A6" s="358" t="n"/>
      <c r="B6" s="446" t="inlineStr">
        <is>
          <t>#</t>
        </is>
      </c>
      <c r="C6" s="446" t="inlineStr">
        <is>
          <t>Items</t>
        </is>
      </c>
      <c r="D6" s="447" t="inlineStr">
        <is>
          <t>Amount</t>
        </is>
      </c>
      <c r="E6" s="279" t="n"/>
      <c r="F6" s="361" t="n"/>
    </row>
    <row r="7" ht="19" customHeight="1" s="297">
      <c r="A7" s="358" t="n"/>
      <c r="B7" s="448" t="n">
        <v>1</v>
      </c>
      <c r="C7" s="449" t="inlineStr">
        <is>
          <t>Revenue</t>
        </is>
      </c>
      <c r="D7" s="450" t="inlineStr">
        <is>
          <t>Rp</t>
        </is>
      </c>
      <c r="E7" s="451">
        <f>'Revenue-Cost_2026'!F22</f>
        <v/>
      </c>
      <c r="F7" s="361" t="n"/>
    </row>
    <row r="8" ht="19" customHeight="1" s="297">
      <c r="A8" s="358" t="n"/>
      <c r="B8" s="448" t="n">
        <v>2</v>
      </c>
      <c r="C8" s="449" t="inlineStr">
        <is>
          <t>Revenue Diterima (Setelah Pajak)</t>
        </is>
      </c>
      <c r="D8" s="450" t="inlineStr">
        <is>
          <t>Rp</t>
        </is>
      </c>
      <c r="E8" s="451">
        <f>E7-'Revenue-Cost_2026'!N22</f>
        <v/>
      </c>
      <c r="F8" s="361" t="n"/>
    </row>
    <row r="9" ht="19" customHeight="1" s="297">
      <c r="A9" s="358" t="n"/>
      <c r="B9" s="448" t="n">
        <v>3</v>
      </c>
      <c r="C9" s="449" t="inlineStr">
        <is>
          <t>Biaya</t>
        </is>
      </c>
      <c r="D9" s="450" t="inlineStr">
        <is>
          <t>Rp</t>
        </is>
      </c>
      <c r="E9" s="451">
        <f>SUM('Revenue-Cost_2026'!I750:Q750)</f>
        <v/>
      </c>
      <c r="F9" s="361" t="n"/>
    </row>
    <row r="10" ht="19" customHeight="1" s="297">
      <c r="A10" s="358" t="n"/>
      <c r="B10" s="448" t="n">
        <v>4</v>
      </c>
      <c r="C10" s="449" t="inlineStr">
        <is>
          <t>Profit SebelumTax</t>
        </is>
      </c>
      <c r="D10" s="450" t="inlineStr">
        <is>
          <t>Rp</t>
        </is>
      </c>
      <c r="E10" s="451">
        <f>E7-E9</f>
        <v/>
      </c>
      <c r="F10" s="361" t="n"/>
    </row>
    <row r="11" ht="19" customHeight="1" s="297">
      <c r="A11" s="358" t="n"/>
      <c r="B11" s="448" t="n">
        <v>5</v>
      </c>
      <c r="C11" s="449" t="inlineStr">
        <is>
          <t>PPh Badan (22%*50%)</t>
        </is>
      </c>
      <c r="D11" s="450" t="inlineStr">
        <is>
          <t>Rp</t>
        </is>
      </c>
      <c r="E11" s="451">
        <f>E10*22%*50%</f>
        <v/>
      </c>
      <c r="F11" s="361" t="n"/>
    </row>
    <row r="12" ht="19" customHeight="1" s="297">
      <c r="A12" s="358" t="n"/>
      <c r="B12" s="448" t="n">
        <v>6</v>
      </c>
      <c r="C12" s="449" t="inlineStr">
        <is>
          <t>PPh 23 Dipotong oleh client</t>
        </is>
      </c>
      <c r="D12" s="450" t="inlineStr">
        <is>
          <t>Rp</t>
        </is>
      </c>
      <c r="E12" s="451">
        <f>'Revenue-Cost_2026'!N22</f>
        <v/>
      </c>
      <c r="F12" s="361" t="n"/>
    </row>
    <row r="13" ht="19" customHeight="1" s="297">
      <c r="A13" s="358" t="n"/>
      <c r="B13" s="448" t="n">
        <v>7</v>
      </c>
      <c r="C13" s="449" t="inlineStr">
        <is>
          <t>Kekurangan Bayar PPh Badan</t>
        </is>
      </c>
      <c r="D13" s="450" t="inlineStr">
        <is>
          <t>Rp</t>
        </is>
      </c>
      <c r="E13" s="452">
        <f>E11-E12</f>
        <v/>
      </c>
      <c r="F13" s="361" t="n"/>
    </row>
    <row r="14" ht="19" customHeight="1" s="297">
      <c r="A14" s="358" t="n"/>
      <c r="B14" s="448" t="n">
        <v>8</v>
      </c>
      <c r="C14" s="449" t="inlineStr">
        <is>
          <t>Profit After Tax</t>
        </is>
      </c>
      <c r="D14" s="450" t="inlineStr">
        <is>
          <t>Rp</t>
        </is>
      </c>
      <c r="E14" s="451">
        <f>E10-E13</f>
        <v/>
      </c>
      <c r="F14" s="361" t="n"/>
    </row>
    <row r="15" ht="19" customHeight="1" s="297">
      <c r="A15" s="358" t="n"/>
      <c r="B15" s="448" t="n">
        <v>9</v>
      </c>
      <c r="C15" s="449" t="inlineStr">
        <is>
          <t>Deviden Dibagi</t>
        </is>
      </c>
      <c r="D15" s="450" t="inlineStr">
        <is>
          <t>Rp</t>
        </is>
      </c>
      <c r="E15" s="451">
        <f>E14-E16</f>
        <v/>
      </c>
      <c r="F15" s="361" t="n"/>
    </row>
    <row r="16" ht="19" customHeight="1" s="297">
      <c r="A16" s="358" t="n"/>
      <c r="B16" s="448" t="n">
        <v>10</v>
      </c>
      <c r="C16" s="449" t="inlineStr">
        <is>
          <t>Profit Ditahan</t>
        </is>
      </c>
      <c r="D16" s="450" t="inlineStr">
        <is>
          <t>Rp</t>
        </is>
      </c>
      <c r="E16" s="451" t="n">
        <v>200</v>
      </c>
      <c r="F16" s="361" t="n"/>
    </row>
    <row r="17">
      <c r="A17" s="358" t="n"/>
      <c r="B17" s="358" t="n"/>
      <c r="C17" s="358" t="n"/>
      <c r="D17" s="358" t="n"/>
      <c r="E17" s="359" t="n"/>
      <c r="F17" s="361" t="n"/>
    </row>
    <row r="18" ht="18" customHeight="1" s="297">
      <c r="A18" s="358" t="n"/>
      <c r="B18" s="270" t="inlineStr">
        <is>
          <t>DEVIDEN</t>
        </is>
      </c>
      <c r="F18" s="361" t="n"/>
    </row>
    <row r="19" ht="19" customHeight="1" s="297">
      <c r="A19" s="358" t="n"/>
      <c r="B19" s="271" t="n"/>
      <c r="C19" s="272" t="n"/>
      <c r="D19" s="449" t="n"/>
      <c r="E19" s="453" t="n"/>
      <c r="F19" s="361" t="n"/>
      <c r="G19" s="454" t="n"/>
    </row>
    <row r="20" ht="19" customHeight="1" s="297">
      <c r="A20" s="358" t="n"/>
      <c r="B20" s="271" t="n"/>
      <c r="C20" s="272" t="n"/>
      <c r="D20" s="449" t="n"/>
      <c r="E20" s="453" t="n"/>
      <c r="F20" s="361" t="n"/>
      <c r="G20" s="454" t="n"/>
    </row>
    <row r="21" ht="48.75" customHeight="1" s="297">
      <c r="A21" s="378" t="n"/>
      <c r="F21" s="361" t="n"/>
    </row>
    <row r="22">
      <c r="A22" s="378" t="n"/>
      <c r="F22" s="361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2026-03-21T20:05:44Z</dcterms:modified>
  <cp:lastModifiedBy>Diofavian - Student</cp:lastModifiedBy>
</cp:coreProperties>
</file>