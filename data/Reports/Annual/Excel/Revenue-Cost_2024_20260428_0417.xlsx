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7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0" borderId="4" pivotButton="0" quotePrefix="0" xfId="0"/>
    <xf numFmtId="0" fontId="1" fillId="0" borderId="0" pivotButton="0" quotePrefix="0" xfId="0"/>
    <xf numFmtId="172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172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0" fontId="25" fillId="0" borderId="4" applyAlignment="1" pivotButton="0" quotePrefix="0" xfId="0">
      <alignment horizontal="center"/>
    </xf>
    <xf numFmtId="3" fontId="25" fillId="0" borderId="4" pivotButton="0" quotePrefix="0" xfId="0"/>
    <xf numFmtId="172" fontId="25" fillId="0" borderId="4" pivotButton="0" quotePrefix="0" xfId="0"/>
    <xf numFmtId="0" fontId="25" fillId="0" borderId="0" pivotButton="0" quotePrefix="0" xfId="0"/>
    <xf numFmtId="172" fontId="26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3" fontId="26" fillId="0" borderId="8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 textRotation="90" wrapText="1"/>
    </xf>
    <xf numFmtId="3" fontId="26" fillId="0" borderId="4" applyAlignment="1" pivotButton="0" quotePrefix="0" xfId="0">
      <alignment horizontal="center" vertical="center" textRotation="90" wrapText="1"/>
    </xf>
    <xf numFmtId="0" fontId="26" fillId="10" borderId="16" applyAlignment="1" pivotButton="0" quotePrefix="0" xfId="0">
      <alignment horizontal="center" vertical="center" wrapText="1"/>
    </xf>
    <xf numFmtId="172" fontId="26" fillId="10" borderId="16" applyAlignment="1" pivotButton="0" quotePrefix="0" xfId="0">
      <alignment horizontal="center" vertical="center" wrapText="1"/>
    </xf>
    <xf numFmtId="3" fontId="26" fillId="10" borderId="16" applyAlignment="1" pivotButton="0" quotePrefix="0" xfId="0">
      <alignment horizontal="center" vertical="center" wrapText="1"/>
    </xf>
    <xf numFmtId="0" fontId="0" fillId="0" borderId="15" pivotButton="0" quotePrefix="0" xfId="0"/>
    <xf numFmtId="172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horizontal="center"/>
    </xf>
    <xf numFmtId="0" fontId="10" fillId="11" borderId="16" pivotButton="0" quotePrefix="0" xfId="0"/>
    <xf numFmtId="3" fontId="11" fillId="11" borderId="16" pivotButton="0" quotePrefix="0" xfId="0"/>
    <xf numFmtId="0" fontId="1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center" vertical="center"/>
    </xf>
    <xf numFmtId="3" fontId="10" fillId="11" borderId="16" applyAlignment="1" pivotButton="0" quotePrefix="0" xfId="0">
      <alignment horizontal="center" vertical="center"/>
    </xf>
    <xf numFmtId="3" fontId="1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9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0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227" t="n"/>
      <c r="K25" s="249" t="n">
        <v>45350</v>
      </c>
      <c r="L25" s="227" t="n"/>
      <c r="M25" s="253" t="n">
        <v>38963100</v>
      </c>
      <c r="N25" s="227" t="n"/>
      <c r="O25" s="252" t="n">
        <v>0</v>
      </c>
      <c r="P25" s="227" t="n"/>
    </row>
    <row r="26" ht="15.5" customHeight="1">
      <c r="B26" s="224" t="n"/>
      <c r="C26" s="224" t="n"/>
      <c r="D26" s="224" t="n"/>
      <c r="E26" s="226" t="n"/>
      <c r="F26" s="250" t="n">
        <v>354210000</v>
      </c>
      <c r="G26" s="224" t="n"/>
      <c r="H26" s="224" t="n"/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45302</v>
      </c>
      <c r="C29" s="15" t="n">
        <v>22</v>
      </c>
      <c r="D29" s="170" t="inlineStr">
        <is>
          <t>ALFA Service PDP-075 Pertamina Zona#4</t>
        </is>
      </c>
      <c r="E29" s="227" t="n"/>
      <c r="F29" s="250" t="n">
        <v>354210000</v>
      </c>
      <c r="G29" s="15" t="inlineStr">
        <is>
          <t>IDR</t>
        </is>
      </c>
      <c r="H29" s="251" t="n">
        <v>1</v>
      </c>
      <c r="I29" s="15" t="inlineStr">
        <is>
          <t>INV017</t>
        </is>
      </c>
      <c r="J29" s="18" t="inlineStr">
        <is>
          <t>SI Jak</t>
        </is>
      </c>
      <c r="K29" s="249" t="n">
        <v>45350</v>
      </c>
      <c r="L29" s="252" t="n">
        <v>347125800</v>
      </c>
      <c r="M29" s="253" t="n">
        <v>38963100</v>
      </c>
      <c r="N29" s="253" t="n">
        <v>7084200</v>
      </c>
      <c r="O29" s="252" t="n">
        <v>0</v>
      </c>
      <c r="P29" s="18" t="inlineStr">
        <is>
          <t>Pemungut</t>
        </is>
      </c>
    </row>
    <row r="30" ht="15.5" customHeight="1">
      <c r="B30" s="249" t="n">
        <v>45302</v>
      </c>
      <c r="C30" s="15" t="n">
        <v>23</v>
      </c>
      <c r="D30" s="170" t="inlineStr">
        <is>
          <t>ALFA Service PDP-075 Pertamina Zona#4</t>
        </is>
      </c>
      <c r="E30" s="227" t="n"/>
      <c r="F30" s="250" t="n">
        <v>354210000</v>
      </c>
      <c r="G30" s="15" t="inlineStr">
        <is>
          <t>IDR</t>
        </is>
      </c>
      <c r="H30" s="251" t="n">
        <v>1</v>
      </c>
      <c r="I30" s="15" t="inlineStr">
        <is>
          <t>INV017</t>
        </is>
      </c>
      <c r="J30" s="18" t="inlineStr">
        <is>
          <t>SI Jak</t>
        </is>
      </c>
      <c r="K30" s="249" t="n">
        <v>45350</v>
      </c>
      <c r="L30" s="252" t="n">
        <v>347125800</v>
      </c>
      <c r="M30" s="253" t="n">
        <v>38963100</v>
      </c>
      <c r="N30" s="253" t="n">
        <v>7084200</v>
      </c>
      <c r="O30" s="252" t="n">
        <v>0</v>
      </c>
      <c r="P30" s="18" t="inlineStr">
        <is>
          <t>Pemungut</t>
        </is>
      </c>
    </row>
    <row r="31" ht="15.5" customHeight="1">
      <c r="B31" s="249" t="n">
        <v>45302</v>
      </c>
      <c r="C31" s="15" t="n">
        <v>24</v>
      </c>
      <c r="D31" s="170" t="inlineStr">
        <is>
          <t>ALFA Service PDP-075 Pertamina Zona#4</t>
        </is>
      </c>
      <c r="E31" s="227" t="n"/>
      <c r="F31" s="250" t="n">
        <v>354210000</v>
      </c>
      <c r="G31" s="15" t="inlineStr">
        <is>
          <t>IDR</t>
        </is>
      </c>
      <c r="H31" s="251" t="n">
        <v>1</v>
      </c>
      <c r="I31" s="15" t="inlineStr">
        <is>
          <t>INV017</t>
        </is>
      </c>
      <c r="J31" s="18" t="inlineStr">
        <is>
          <t>SI Jak</t>
        </is>
      </c>
      <c r="K31" s="249" t="n">
        <v>45350</v>
      </c>
      <c r="L31" s="252" t="n">
        <v>347125800</v>
      </c>
      <c r="M31" s="253" t="n">
        <v>38963100</v>
      </c>
      <c r="N31" s="253" t="n">
        <v>7084200</v>
      </c>
      <c r="O31" s="252" t="n">
        <v>0</v>
      </c>
      <c r="P31" s="18" t="inlineStr">
        <is>
          <t>Pemungut</t>
        </is>
      </c>
    </row>
    <row r="32" ht="15.5" customHeight="1">
      <c r="B32" s="249" t="n">
        <v>45302</v>
      </c>
      <c r="C32" s="15" t="n">
        <v>25</v>
      </c>
      <c r="D32" s="170" t="inlineStr">
        <is>
          <t>ALFA Service PDP-075 Pertamina Zona#4</t>
        </is>
      </c>
      <c r="E32" s="227" t="n"/>
      <c r="F32" s="250" t="n">
        <v>354210000</v>
      </c>
      <c r="G32" s="15" t="inlineStr">
        <is>
          <t>IDR</t>
        </is>
      </c>
      <c r="H32" s="251" t="n">
        <v>1</v>
      </c>
      <c r="I32" s="15" t="inlineStr">
        <is>
          <t>INV017</t>
        </is>
      </c>
      <c r="J32" s="18" t="inlineStr">
        <is>
          <t>SI Jak</t>
        </is>
      </c>
      <c r="K32" s="249" t="n">
        <v>45350</v>
      </c>
      <c r="L32" s="252" t="n">
        <v>347125800</v>
      </c>
      <c r="M32" s="253" t="n">
        <v>38963100</v>
      </c>
      <c r="N32" s="253" t="n">
        <v>7084200</v>
      </c>
      <c r="O32" s="252" t="n">
        <v>0</v>
      </c>
      <c r="P32" s="18" t="inlineStr">
        <is>
          <t>Pemungut</t>
        </is>
      </c>
    </row>
    <row r="33" ht="15.5" customHeight="1">
      <c r="B33" s="249" t="n">
        <v>45302</v>
      </c>
      <c r="C33" s="15" t="n">
        <v>26</v>
      </c>
      <c r="D33" s="170" t="inlineStr">
        <is>
          <t>ALFA Service PDP-075 Pertamina Zona#4</t>
        </is>
      </c>
      <c r="E33" s="227" t="n"/>
      <c r="F33" s="250" t="n">
        <v>354210000</v>
      </c>
      <c r="G33" s="15" t="inlineStr">
        <is>
          <t>IDR</t>
        </is>
      </c>
      <c r="H33" s="251" t="n">
        <v>1</v>
      </c>
      <c r="I33" s="15" t="inlineStr">
        <is>
          <t>INV017</t>
        </is>
      </c>
      <c r="J33" s="18" t="inlineStr">
        <is>
          <t>SI Jak</t>
        </is>
      </c>
      <c r="K33" s="249" t="n">
        <v>45350</v>
      </c>
      <c r="L33" s="252" t="n">
        <v>347125800</v>
      </c>
      <c r="M33" s="253" t="n">
        <v>38963100</v>
      </c>
      <c r="N33" s="253" t="n">
        <v>7084200</v>
      </c>
      <c r="O33" s="252" t="n">
        <v>0</v>
      </c>
      <c r="P33" s="18" t="inlineStr">
        <is>
          <t>Pemungut</t>
        </is>
      </c>
    </row>
    <row r="34" ht="15.5" customHeight="1">
      <c r="B34" s="249" t="n">
        <v>45302</v>
      </c>
      <c r="C34" s="15" t="n">
        <v>27</v>
      </c>
      <c r="D34" s="170" t="inlineStr">
        <is>
          <t>ALFA Service PDP-075 Pertamina Zona#4</t>
        </is>
      </c>
      <c r="E34" s="227" t="n"/>
      <c r="F34" s="250" t="n">
        <v>354210000</v>
      </c>
      <c r="G34" s="15" t="inlineStr">
        <is>
          <t>IDR</t>
        </is>
      </c>
      <c r="H34" s="251" t="n">
        <v>1</v>
      </c>
      <c r="I34" s="15" t="inlineStr">
        <is>
          <t>INV017</t>
        </is>
      </c>
      <c r="J34" s="18" t="inlineStr">
        <is>
          <t>SI Jak</t>
        </is>
      </c>
      <c r="K34" s="249" t="n">
        <v>45350</v>
      </c>
      <c r="L34" s="252" t="n">
        <v>347125800</v>
      </c>
      <c r="M34" s="253" t="n">
        <v>38963100</v>
      </c>
      <c r="N34" s="253" t="n">
        <v>7084200</v>
      </c>
      <c r="O34" s="252" t="n">
        <v>0</v>
      </c>
      <c r="P34" s="18" t="inlineStr">
        <is>
          <t>Pemungut</t>
        </is>
      </c>
    </row>
    <row r="35" ht="15.5" customHeight="1">
      <c r="B35" s="249" t="n">
        <v>45302</v>
      </c>
      <c r="C35" s="15" t="n">
        <v>28</v>
      </c>
      <c r="D35" s="170" t="inlineStr">
        <is>
          <t>ALFA Service PDP-075 Pertamina Zona#4</t>
        </is>
      </c>
      <c r="E35" s="227" t="n"/>
      <c r="F35" s="250" t="n">
        <v>354210000</v>
      </c>
      <c r="G35" s="15" t="inlineStr">
        <is>
          <t>IDR</t>
        </is>
      </c>
      <c r="H35" s="251" t="n">
        <v>1</v>
      </c>
      <c r="I35" s="15" t="inlineStr">
        <is>
          <t>INV017</t>
        </is>
      </c>
      <c r="J35" s="18" t="inlineStr">
        <is>
          <t>SI Jak</t>
        </is>
      </c>
      <c r="K35" s="249" t="n">
        <v>45350</v>
      </c>
      <c r="L35" s="252" t="n">
        <v>347125800</v>
      </c>
      <c r="M35" s="253" t="n">
        <v>38963100</v>
      </c>
      <c r="N35" s="253" t="n">
        <v>7084200</v>
      </c>
      <c r="O35" s="252" t="n">
        <v>0</v>
      </c>
      <c r="P35" s="18" t="inlineStr">
        <is>
          <t>Pemungut</t>
        </is>
      </c>
    </row>
    <row r="36" ht="15.5" customHeight="1">
      <c r="B36" s="249" t="n">
        <v>45302</v>
      </c>
      <c r="C36" s="15" t="n">
        <v>29</v>
      </c>
      <c r="D36" s="170" t="inlineStr">
        <is>
          <t>ALFA Service PDP-075 Pertamina Zona#4</t>
        </is>
      </c>
      <c r="E36" s="227" t="n"/>
      <c r="F36" s="250" t="n">
        <v>354210000</v>
      </c>
      <c r="G36" s="15" t="inlineStr">
        <is>
          <t>IDR</t>
        </is>
      </c>
      <c r="H36" s="251" t="n">
        <v>1</v>
      </c>
      <c r="I36" s="15" t="inlineStr">
        <is>
          <t>INV017</t>
        </is>
      </c>
      <c r="J36" s="18" t="inlineStr">
        <is>
          <t>SI Jak</t>
        </is>
      </c>
      <c r="K36" s="249" t="n">
        <v>45350</v>
      </c>
      <c r="L36" s="252" t="n">
        <v>347125800</v>
      </c>
      <c r="M36" s="253" t="n">
        <v>38963100</v>
      </c>
      <c r="N36" s="253" t="n">
        <v>7084200</v>
      </c>
      <c r="O36" s="252" t="n">
        <v>0</v>
      </c>
      <c r="P36" s="18" t="inlineStr">
        <is>
          <t>Pemungut</t>
        </is>
      </c>
    </row>
    <row r="37" ht="15.5" customHeight="1">
      <c r="B37" s="249" t="inlineStr">
        <is>
          <t>ALFA Service PDP-075 Pertamina Zona#4</t>
        </is>
      </c>
      <c r="C37" s="230" t="n"/>
      <c r="D37" s="230" t="n"/>
      <c r="E37" s="230" t="n"/>
      <c r="F37" s="230" t="n"/>
      <c r="G37" s="230" t="n"/>
      <c r="H37" s="227" t="n"/>
      <c r="I37" s="15" t="inlineStr">
        <is>
          <t>INV017</t>
        </is>
      </c>
      <c r="J37" s="18" t="inlineStr">
        <is>
          <t>SI Jak</t>
        </is>
      </c>
      <c r="K37" s="249" t="n">
        <v>45350</v>
      </c>
      <c r="L37" s="252" t="n">
        <v>347125800</v>
      </c>
      <c r="M37" s="253" t="n">
        <v>38963100</v>
      </c>
      <c r="N37" s="253" t="n">
        <v>7084200</v>
      </c>
      <c r="O37" s="252" t="n">
        <v>0</v>
      </c>
      <c r="P37" s="18" t="inlineStr">
        <is>
          <t>Pemungut</t>
        </is>
      </c>
    </row>
    <row r="38" ht="15.5" customHeight="1">
      <c r="B38" s="249" t="n">
        <v>45302</v>
      </c>
      <c r="C38" s="15" t="n">
        <v>31</v>
      </c>
      <c r="D38" s="170" t="inlineStr">
        <is>
          <t>ALFA Service PDP-075 Pertamina Zona#4</t>
        </is>
      </c>
      <c r="E38" s="227" t="n"/>
      <c r="F38" s="250" t="n">
        <v>354210000</v>
      </c>
      <c r="G38" s="15" t="inlineStr">
        <is>
          <t>IDR</t>
        </is>
      </c>
      <c r="H38" s="251" t="n">
        <v>1</v>
      </c>
      <c r="I38" s="15" t="inlineStr">
        <is>
          <t>INV017</t>
        </is>
      </c>
      <c r="J38" s="18" t="inlineStr">
        <is>
          <t>SI Jak</t>
        </is>
      </c>
      <c r="K38" s="249" t="n">
        <v>45350</v>
      </c>
      <c r="L38" s="252" t="n">
        <v>347125800</v>
      </c>
      <c r="M38" s="253" t="n">
        <v>38963100</v>
      </c>
      <c r="N38" s="253" t="n">
        <v>7084200</v>
      </c>
      <c r="O38" s="252" t="n">
        <v>0</v>
      </c>
      <c r="P38" s="18" t="inlineStr">
        <is>
          <t>Pemungut</t>
        </is>
      </c>
    </row>
    <row r="39" ht="15.5" customHeight="1">
      <c r="B39" s="249" t="n">
        <v>45302</v>
      </c>
      <c r="C39" s="15" t="n">
        <v>32</v>
      </c>
      <c r="D39" s="170" t="inlineStr">
        <is>
          <t>ALFA Service PDP-075 Pertamina Zona#4</t>
        </is>
      </c>
      <c r="E39" s="227" t="n"/>
      <c r="F39" s="250" t="n">
        <v>354210000</v>
      </c>
      <c r="G39" s="15" t="inlineStr">
        <is>
          <t>IDR</t>
        </is>
      </c>
      <c r="H39" s="251" t="n">
        <v>1</v>
      </c>
      <c r="I39" s="15" t="inlineStr">
        <is>
          <t>INV017</t>
        </is>
      </c>
      <c r="J39" s="18" t="inlineStr">
        <is>
          <t>SI Jak</t>
        </is>
      </c>
      <c r="K39" s="249" t="n">
        <v>45350</v>
      </c>
      <c r="L39" s="252" t="n">
        <v>347125800</v>
      </c>
      <c r="M39" s="253" t="n">
        <v>38963100</v>
      </c>
      <c r="N39" s="253" t="n">
        <v>7084200</v>
      </c>
      <c r="O39" s="252" t="n">
        <v>0</v>
      </c>
      <c r="P39" s="18" t="inlineStr">
        <is>
          <t>Pemungut</t>
        </is>
      </c>
    </row>
    <row r="40" ht="15.5" customFormat="1" customHeight="1" s="49">
      <c r="B40" s="249" t="n">
        <v>45302</v>
      </c>
      <c r="C40" s="15" t="n">
        <v>33</v>
      </c>
      <c r="D40" s="170" t="inlineStr">
        <is>
          <t>ALFA Service PDP-075 Pertamina Zona#4</t>
        </is>
      </c>
      <c r="E40" s="227" t="n"/>
      <c r="F40" s="250" t="n">
        <v>354210000</v>
      </c>
      <c r="G40" s="15" t="inlineStr">
        <is>
          <t>IDR</t>
        </is>
      </c>
      <c r="H40" s="251" t="n">
        <v>1</v>
      </c>
      <c r="I40" s="15" t="inlineStr">
        <is>
          <t>INV017</t>
        </is>
      </c>
      <c r="J40" s="18" t="inlineStr">
        <is>
          <t>SI Jak</t>
        </is>
      </c>
      <c r="K40" s="249" t="n">
        <v>45350</v>
      </c>
      <c r="L40" s="252" t="n">
        <v>347125800</v>
      </c>
      <c r="M40" s="253" t="n">
        <v>38963100</v>
      </c>
      <c r="N40" s="253" t="n">
        <v>7084200</v>
      </c>
      <c r="O40" s="252" t="n">
        <v>0</v>
      </c>
      <c r="P40" s="18" t="inlineStr">
        <is>
          <t>Pemungut</t>
        </is>
      </c>
      <c r="Q40" t="inlineStr">
        <is>
          <t>BISNIS DEV</t>
        </is>
      </c>
    </row>
    <row r="41" ht="15.5" customHeight="1">
      <c r="B41" s="249" t="n">
        <v>45302</v>
      </c>
      <c r="C41" s="15" t="n">
        <v>34</v>
      </c>
      <c r="D41" s="170" t="inlineStr">
        <is>
          <t>ALFA Service PDP-075 Pertamina Zona#4</t>
        </is>
      </c>
      <c r="E41" s="227" t="n"/>
      <c r="F41" s="250" t="n">
        <v>354210000</v>
      </c>
      <c r="G41" s="15" t="inlineStr">
        <is>
          <t>IDR</t>
        </is>
      </c>
      <c r="H41" s="251" t="n">
        <v>1</v>
      </c>
      <c r="I41" s="15" t="inlineStr">
        <is>
          <t>INV017</t>
        </is>
      </c>
      <c r="J41" s="18" t="inlineStr">
        <is>
          <t>SI Jak</t>
        </is>
      </c>
      <c r="K41" s="249" t="n">
        <v>45350</v>
      </c>
      <c r="L41" s="252" t="n">
        <v>347125800</v>
      </c>
      <c r="M41" s="253" t="n">
        <v>38963100</v>
      </c>
      <c r="N41" s="253" t="n">
        <v>7084200</v>
      </c>
      <c r="O41" s="252" t="n">
        <v>0</v>
      </c>
      <c r="P41" s="18" t="inlineStr">
        <is>
          <t>Pemungut</t>
        </is>
      </c>
    </row>
    <row r="42" ht="15.5" customHeight="1">
      <c r="B42" s="249" t="n">
        <v>45302</v>
      </c>
      <c r="C42" s="15" t="n">
        <v>35</v>
      </c>
      <c r="D42" s="170" t="inlineStr">
        <is>
          <t>ALFA Service PDP-075 Pertamina Zona#4</t>
        </is>
      </c>
      <c r="E42" s="227" t="n"/>
      <c r="F42" s="250" t="n">
        <v>354210000</v>
      </c>
      <c r="G42" s="15" t="inlineStr">
        <is>
          <t>IDR</t>
        </is>
      </c>
      <c r="H42" s="251" t="n">
        <v>1</v>
      </c>
      <c r="I42" s="15" t="inlineStr">
        <is>
          <t>INV017</t>
        </is>
      </c>
      <c r="J42" s="18" t="inlineStr">
        <is>
          <t>SI Jak</t>
        </is>
      </c>
      <c r="K42" s="249" t="n">
        <v>45350</v>
      </c>
      <c r="L42" s="252" t="n">
        <v>347125800</v>
      </c>
      <c r="M42" s="253" t="n">
        <v>38963100</v>
      </c>
      <c r="N42" s="253" t="n">
        <v>7084200</v>
      </c>
      <c r="O42" s="252" t="n">
        <v>0</v>
      </c>
      <c r="P42" s="18" t="inlineStr">
        <is>
          <t>Pemungut</t>
        </is>
      </c>
    </row>
    <row r="43" ht="15.5" customHeight="1">
      <c r="B43" s="249" t="n">
        <v>45302</v>
      </c>
      <c r="C43" s="15" t="n">
        <v>36</v>
      </c>
      <c r="D43" s="170" t="inlineStr">
        <is>
          <t>ALFA Service PDP-075 Pertamina Zona#4</t>
        </is>
      </c>
      <c r="E43" s="227" t="n"/>
      <c r="F43" s="250" t="n">
        <v>354210000</v>
      </c>
      <c r="G43" s="15" t="inlineStr">
        <is>
          <t>IDR</t>
        </is>
      </c>
      <c r="H43" s="251" t="n">
        <v>1</v>
      </c>
      <c r="I43" s="15" t="inlineStr">
        <is>
          <t>INV017</t>
        </is>
      </c>
      <c r="J43" s="18" t="inlineStr">
        <is>
          <t>SI Jak</t>
        </is>
      </c>
      <c r="K43" s="249" t="n">
        <v>45350</v>
      </c>
      <c r="L43" s="252" t="n">
        <v>347125800</v>
      </c>
      <c r="M43" s="253" t="n">
        <v>38963100</v>
      </c>
      <c r="N43" s="253" t="n">
        <v>7084200</v>
      </c>
      <c r="O43" s="252" t="n">
        <v>0</v>
      </c>
      <c r="P43" s="18" t="inlineStr">
        <is>
          <t>Pemungut</t>
        </is>
      </c>
    </row>
    <row r="44" ht="15.5" customHeight="1">
      <c r="B44" s="249" t="n">
        <v>45302</v>
      </c>
      <c r="C44" s="15" t="n">
        <v>37</v>
      </c>
      <c r="D44" s="170" t="inlineStr">
        <is>
          <t>ALFA Service PDP-075 Pertamina Zona#4</t>
        </is>
      </c>
      <c r="E44" s="227" t="n"/>
      <c r="F44" s="250" t="n">
        <v>354210000</v>
      </c>
      <c r="G44" s="15" t="inlineStr">
        <is>
          <t>IDR</t>
        </is>
      </c>
      <c r="H44" s="251" t="n">
        <v>1</v>
      </c>
      <c r="I44" s="15" t="inlineStr">
        <is>
          <t>INV017</t>
        </is>
      </c>
      <c r="J44" s="18" t="inlineStr">
        <is>
          <t>SI Jak</t>
        </is>
      </c>
      <c r="K44" s="249" t="n">
        <v>45350</v>
      </c>
      <c r="L44" s="252" t="n">
        <v>347125800</v>
      </c>
      <c r="M44" s="253" t="n">
        <v>38963100</v>
      </c>
      <c r="N44" s="253" t="n">
        <v>7084200</v>
      </c>
      <c r="O44" s="252" t="n">
        <v>0</v>
      </c>
      <c r="P44" s="18" t="inlineStr">
        <is>
          <t>Pemungut</t>
        </is>
      </c>
    </row>
    <row r="45" ht="15.5" customHeight="1">
      <c r="B45" s="249" t="n">
        <v>45302</v>
      </c>
      <c r="C45" s="15" t="n">
        <v>38</v>
      </c>
      <c r="D45" s="170" t="inlineStr">
        <is>
          <t>ALFA Service PDP-075 Pertamina Zona#4</t>
        </is>
      </c>
      <c r="E45" s="227" t="n"/>
      <c r="F45" s="250" t="n">
        <v>354210000</v>
      </c>
      <c r="G45" s="15" t="inlineStr">
        <is>
          <t>IDR</t>
        </is>
      </c>
      <c r="H45" s="251" t="n">
        <v>1</v>
      </c>
      <c r="I45" s="15" t="inlineStr">
        <is>
          <t>INV017</t>
        </is>
      </c>
      <c r="J45" s="18" t="inlineStr">
        <is>
          <t>SI Jak</t>
        </is>
      </c>
      <c r="K45" s="249" t="n">
        <v>45350</v>
      </c>
      <c r="L45" s="252" t="n">
        <v>347125800</v>
      </c>
      <c r="M45" s="253" t="n">
        <v>38963100</v>
      </c>
      <c r="N45" s="253" t="n">
        <v>7084200</v>
      </c>
      <c r="O45" s="252" t="n">
        <v>0</v>
      </c>
      <c r="P45" s="18" t="inlineStr">
        <is>
          <t>Pemungut</t>
        </is>
      </c>
    </row>
    <row r="46" ht="15.5" customHeight="1">
      <c r="B46" s="249" t="n">
        <v>45302</v>
      </c>
      <c r="C46" s="15" t="n">
        <v>39</v>
      </c>
      <c r="D46" s="170" t="inlineStr">
        <is>
          <t>ALFA Service PDP-075 Pertamina Zona#4</t>
        </is>
      </c>
      <c r="E46" s="227" t="n"/>
      <c r="F46" s="250" t="n">
        <v>354210000</v>
      </c>
      <c r="G46" s="15" t="inlineStr">
        <is>
          <t>IDR</t>
        </is>
      </c>
      <c r="H46" s="251" t="n">
        <v>1</v>
      </c>
      <c r="I46" s="15" t="inlineStr">
        <is>
          <t>INV017</t>
        </is>
      </c>
      <c r="J46" s="18" t="inlineStr">
        <is>
          <t>SI Jak</t>
        </is>
      </c>
      <c r="K46" s="249" t="n">
        <v>45350</v>
      </c>
      <c r="L46" s="252" t="n">
        <v>347125800</v>
      </c>
      <c r="M46" s="253" t="n">
        <v>38963100</v>
      </c>
      <c r="N46" s="253" t="n">
        <v>7084200</v>
      </c>
      <c r="O46" s="252" t="n">
        <v>0</v>
      </c>
      <c r="P46" s="18" t="inlineStr">
        <is>
          <t>Pemungut</t>
        </is>
      </c>
    </row>
    <row r="47" ht="15.5" customHeight="1">
      <c r="A47" s="66" t="n"/>
      <c r="B47" s="249" t="n">
        <v>45302</v>
      </c>
      <c r="C47" s="15" t="n">
        <v>40</v>
      </c>
      <c r="D47" s="170" t="inlineStr">
        <is>
          <t>ALFA Service PDP-075 Pertamina Zona#4</t>
        </is>
      </c>
      <c r="E47" s="227" t="n"/>
      <c r="F47" s="250" t="n">
        <v>354210000</v>
      </c>
      <c r="G47" s="15" t="inlineStr">
        <is>
          <t>IDR</t>
        </is>
      </c>
      <c r="H47" s="251" t="n">
        <v>1</v>
      </c>
      <c r="I47" s="15" t="inlineStr">
        <is>
          <t>INV017</t>
        </is>
      </c>
      <c r="J47" s="18" t="inlineStr">
        <is>
          <t>SI Jak</t>
        </is>
      </c>
      <c r="K47" s="249" t="n">
        <v>45350</v>
      </c>
      <c r="L47" s="252" t="n">
        <v>347125800</v>
      </c>
      <c r="M47" s="253" t="n">
        <v>38963100</v>
      </c>
      <c r="N47" s="253" t="n">
        <v>7084200</v>
      </c>
      <c r="O47" s="252" t="n">
        <v>0</v>
      </c>
      <c r="P47" s="18" t="inlineStr">
        <is>
          <t>Pemungut</t>
        </is>
      </c>
    </row>
    <row r="48" ht="15.5" customHeight="1">
      <c r="B48" s="249" t="n">
        <v>45302</v>
      </c>
      <c r="C48" s="15" t="n">
        <v>41</v>
      </c>
      <c r="D48" s="170" t="inlineStr">
        <is>
          <t>ALFA Service PDP-075 Pertamina Zona#4</t>
        </is>
      </c>
      <c r="E48" s="227" t="n"/>
      <c r="F48" s="250" t="n">
        <v>354210000</v>
      </c>
      <c r="G48" s="15" t="inlineStr">
        <is>
          <t>IDR</t>
        </is>
      </c>
      <c r="H48" s="251" t="n">
        <v>1</v>
      </c>
      <c r="I48" s="15" t="inlineStr">
        <is>
          <t>INV017</t>
        </is>
      </c>
      <c r="J48" s="18" t="inlineStr">
        <is>
          <t>SI Jak</t>
        </is>
      </c>
      <c r="K48" s="249" t="n">
        <v>45350</v>
      </c>
      <c r="L48" s="252" t="n">
        <v>347125800</v>
      </c>
      <c r="M48" s="253" t="n">
        <v>38963100</v>
      </c>
      <c r="N48" s="253" t="n">
        <v>7084200</v>
      </c>
      <c r="O48" s="252" t="n">
        <v>0</v>
      </c>
      <c r="P48" s="18" t="inlineStr">
        <is>
          <t>Pemungut</t>
        </is>
      </c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45301</v>
      </c>
      <c r="C50" s="15" t="n">
        <v>43</v>
      </c>
      <c r="D50" s="170" t="inlineStr">
        <is>
          <t>Revenue data procesing MTD_Tomori</t>
        </is>
      </c>
      <c r="E50" s="227" t="n"/>
      <c r="F50" s="250" t="n">
        <v>150000000</v>
      </c>
      <c r="G50" s="15" t="inlineStr">
        <is>
          <t>IDR</t>
        </is>
      </c>
      <c r="H50" s="251" t="n">
        <v>1</v>
      </c>
      <c r="I50" s="15" t="inlineStr">
        <is>
          <t>INV015</t>
        </is>
      </c>
      <c r="J50" s="18" t="inlineStr">
        <is>
          <t>TGE</t>
        </is>
      </c>
      <c r="K50" s="249" t="n">
        <v>45399</v>
      </c>
      <c r="L50" s="252" t="n">
        <v>166500000</v>
      </c>
      <c r="M50" s="253" t="n">
        <v>16500000</v>
      </c>
      <c r="N50" s="253" t="n">
        <v>3000000</v>
      </c>
      <c r="O50" s="252" t="n">
        <v>0</v>
      </c>
      <c r="P50" s="18" t="inlineStr"/>
    </row>
    <row r="51" ht="15.5" customHeight="1">
      <c r="B51" s="249" t="n">
        <v>45301</v>
      </c>
      <c r="C51" s="15" t="n">
        <v>44</v>
      </c>
      <c r="D51" s="170" t="inlineStr">
        <is>
          <t>Revenue data procesing MTD_Tomori</t>
        </is>
      </c>
      <c r="E51" s="227" t="n"/>
      <c r="F51" s="250" t="n">
        <v>150000000</v>
      </c>
      <c r="G51" s="15" t="inlineStr">
        <is>
          <t>IDR</t>
        </is>
      </c>
      <c r="H51" s="251" t="n">
        <v>1</v>
      </c>
      <c r="I51" s="15" t="inlineStr">
        <is>
          <t>INV015</t>
        </is>
      </c>
      <c r="J51" s="18" t="inlineStr">
        <is>
          <t>TGE</t>
        </is>
      </c>
      <c r="K51" s="249" t="n">
        <v>45399</v>
      </c>
      <c r="L51" s="252" t="n">
        <v>166500000</v>
      </c>
      <c r="M51" s="253" t="n">
        <v>16500000</v>
      </c>
      <c r="N51" s="253" t="n">
        <v>3000000</v>
      </c>
      <c r="O51" s="252" t="n">
        <v>0</v>
      </c>
      <c r="P51" s="18" t="inlineStr"/>
    </row>
    <row r="52" ht="15.5" customFormat="1" customHeight="1" s="66">
      <c r="B52" s="249" t="n">
        <v>45301</v>
      </c>
      <c r="C52" s="15" t="n">
        <v>45</v>
      </c>
      <c r="D52" s="170" t="inlineStr">
        <is>
          <t>Revenue data procesing MTD_Tomori</t>
        </is>
      </c>
      <c r="E52" s="227" t="n"/>
      <c r="F52" s="250" t="n">
        <v>150000000</v>
      </c>
      <c r="G52" s="15" t="inlineStr">
        <is>
          <t>IDR</t>
        </is>
      </c>
      <c r="H52" s="251" t="n">
        <v>1</v>
      </c>
      <c r="I52" s="15" t="inlineStr">
        <is>
          <t>INV015</t>
        </is>
      </c>
      <c r="J52" s="18" t="inlineStr">
        <is>
          <t>TGE</t>
        </is>
      </c>
      <c r="K52" s="249" t="n">
        <v>45399</v>
      </c>
      <c r="L52" s="252" t="n">
        <v>166500000</v>
      </c>
      <c r="M52" s="253" t="n">
        <v>16500000</v>
      </c>
      <c r="N52" s="253" t="n">
        <v>3000000</v>
      </c>
      <c r="O52" s="252" t="n">
        <v>0</v>
      </c>
      <c r="P52" s="18" t="inlineStr"/>
    </row>
    <row r="53" ht="15.5" customFormat="1" customHeight="1" s="66">
      <c r="B53" s="249" t="n">
        <v>45301</v>
      </c>
      <c r="C53" s="15" t="n">
        <v>46</v>
      </c>
      <c r="D53" s="170" t="inlineStr">
        <is>
          <t>Revenue data procesing MTD_Tomori</t>
        </is>
      </c>
      <c r="E53" s="227" t="n"/>
      <c r="F53" s="250" t="n">
        <v>150000000</v>
      </c>
      <c r="G53" s="15" t="inlineStr">
        <is>
          <t>IDR</t>
        </is>
      </c>
      <c r="H53" s="251" t="n">
        <v>1</v>
      </c>
      <c r="I53" s="15" t="inlineStr">
        <is>
          <t>INV015</t>
        </is>
      </c>
      <c r="J53" s="18" t="inlineStr">
        <is>
          <t>TGE</t>
        </is>
      </c>
      <c r="K53" s="249" t="n">
        <v>45399</v>
      </c>
      <c r="L53" s="252" t="n">
        <v>166500000</v>
      </c>
      <c r="M53" s="253" t="n">
        <v>16500000</v>
      </c>
      <c r="N53" s="253" t="n">
        <v>3000000</v>
      </c>
      <c r="O53" s="252" t="n">
        <v>0</v>
      </c>
      <c r="P53" s="18" t="inlineStr"/>
    </row>
    <row r="54" ht="15.5" customFormat="1" customHeight="1" s="66">
      <c r="B54" s="249" t="n">
        <v>45301</v>
      </c>
      <c r="C54" s="15" t="n">
        <v>47</v>
      </c>
      <c r="D54" s="170" t="inlineStr">
        <is>
          <t>Revenue data procesing MTD_Tomori</t>
        </is>
      </c>
      <c r="E54" s="227" t="n"/>
      <c r="F54" s="250" t="n">
        <v>150000000</v>
      </c>
      <c r="G54" s="15" t="inlineStr">
        <is>
          <t>IDR</t>
        </is>
      </c>
      <c r="H54" s="251" t="n">
        <v>1</v>
      </c>
      <c r="I54" s="15" t="inlineStr">
        <is>
          <t>INV015</t>
        </is>
      </c>
      <c r="J54" s="18" t="inlineStr">
        <is>
          <t>TGE</t>
        </is>
      </c>
      <c r="K54" s="249" t="n">
        <v>45399</v>
      </c>
      <c r="L54" s="252" t="n">
        <v>166500000</v>
      </c>
      <c r="M54" s="253" t="n">
        <v>16500000</v>
      </c>
      <c r="N54" s="253" t="n">
        <v>3000000</v>
      </c>
      <c r="O54" s="252" t="n">
        <v>0</v>
      </c>
      <c r="P54" s="18" t="inlineStr"/>
    </row>
    <row r="55" ht="15.5" customFormat="1" customHeight="1" s="66">
      <c r="B55" s="249" t="n">
        <v>45301</v>
      </c>
      <c r="C55" s="15" t="n">
        <v>48</v>
      </c>
      <c r="D55" s="170" t="inlineStr">
        <is>
          <t>Revenue data procesing MTD_Tomori</t>
        </is>
      </c>
      <c r="E55" s="227" t="n"/>
      <c r="F55" s="250" t="n">
        <v>150000000</v>
      </c>
      <c r="G55" s="15" t="inlineStr">
        <is>
          <t>IDR</t>
        </is>
      </c>
      <c r="H55" s="251" t="n">
        <v>1</v>
      </c>
      <c r="I55" s="15" t="inlineStr">
        <is>
          <t>INV015</t>
        </is>
      </c>
      <c r="J55" s="18" t="inlineStr">
        <is>
          <t>TGE</t>
        </is>
      </c>
      <c r="K55" s="249" t="n">
        <v>45399</v>
      </c>
      <c r="L55" s="252" t="n">
        <v>166500000</v>
      </c>
      <c r="M55" s="253" t="n">
        <v>16500000</v>
      </c>
      <c r="N55" s="253" t="n">
        <v>3000000</v>
      </c>
      <c r="O55" s="252" t="n">
        <v>0</v>
      </c>
      <c r="P55" s="18" t="inlineStr"/>
    </row>
    <row r="56" ht="15.5" customFormat="1" customHeight="1" s="66">
      <c r="B56" s="249" t="n">
        <v>45301</v>
      </c>
      <c r="C56" s="15" t="n">
        <v>49</v>
      </c>
      <c r="D56" s="170" t="inlineStr">
        <is>
          <t>Revenue data procesing MTD_Tomori</t>
        </is>
      </c>
      <c r="E56" s="227" t="n"/>
      <c r="F56" s="250" t="n">
        <v>150000000</v>
      </c>
      <c r="G56" s="15" t="inlineStr">
        <is>
          <t>IDR</t>
        </is>
      </c>
      <c r="H56" s="251" t="n">
        <v>1</v>
      </c>
      <c r="I56" s="15" t="inlineStr">
        <is>
          <t>INV015</t>
        </is>
      </c>
      <c r="J56" s="18" t="inlineStr">
        <is>
          <t>TGE</t>
        </is>
      </c>
      <c r="K56" s="249" t="n">
        <v>45399</v>
      </c>
      <c r="L56" s="252" t="n">
        <v>166500000</v>
      </c>
      <c r="M56" s="253" t="n">
        <v>16500000</v>
      </c>
      <c r="N56" s="253" t="n">
        <v>3000000</v>
      </c>
      <c r="O56" s="252" t="n">
        <v>0</v>
      </c>
      <c r="P56" s="18" t="inlineStr"/>
    </row>
    <row r="57" ht="15.5" customFormat="1" customHeight="1" s="66">
      <c r="B57" s="249" t="n">
        <v>45301</v>
      </c>
      <c r="C57" s="15" t="n">
        <v>50</v>
      </c>
      <c r="D57" s="170" t="inlineStr">
        <is>
          <t>Revenue data procesing MTD_Tomori</t>
        </is>
      </c>
      <c r="E57" s="227" t="n"/>
      <c r="F57" s="250" t="n">
        <v>150000000</v>
      </c>
      <c r="G57" s="15" t="inlineStr">
        <is>
          <t>IDR</t>
        </is>
      </c>
      <c r="H57" s="251" t="n">
        <v>1</v>
      </c>
      <c r="I57" s="15" t="inlineStr">
        <is>
          <t>INV015</t>
        </is>
      </c>
      <c r="J57" s="18" t="inlineStr">
        <is>
          <t>TGE</t>
        </is>
      </c>
      <c r="K57" s="249" t="n">
        <v>45399</v>
      </c>
      <c r="L57" s="252" t="n">
        <v>166500000</v>
      </c>
      <c r="M57" s="253" t="n">
        <v>16500000</v>
      </c>
      <c r="N57" s="253" t="n">
        <v>3000000</v>
      </c>
      <c r="O57" s="252" t="n">
        <v>0</v>
      </c>
      <c r="P57" s="18" t="inlineStr"/>
    </row>
    <row r="58" ht="15.5" customFormat="1" customHeight="1" s="66">
      <c r="B58" s="249" t="n">
        <v>45301</v>
      </c>
      <c r="C58" s="15" t="n">
        <v>51</v>
      </c>
      <c r="D58" s="170" t="inlineStr">
        <is>
          <t>Revenue data procesing MTD_Tomori</t>
        </is>
      </c>
      <c r="E58" s="227" t="n"/>
      <c r="F58" s="250" t="n">
        <v>150000000</v>
      </c>
      <c r="G58" s="15" t="inlineStr">
        <is>
          <t>IDR</t>
        </is>
      </c>
      <c r="H58" s="251" t="n">
        <v>1</v>
      </c>
      <c r="I58" s="15" t="inlineStr">
        <is>
          <t>INV015</t>
        </is>
      </c>
      <c r="J58" s="18" t="inlineStr">
        <is>
          <t>TGE</t>
        </is>
      </c>
      <c r="K58" s="249" t="n">
        <v>45399</v>
      </c>
      <c r="L58" s="252" t="n">
        <v>166500000</v>
      </c>
      <c r="M58" s="253" t="n">
        <v>16500000</v>
      </c>
      <c r="N58" s="253" t="n">
        <v>3000000</v>
      </c>
      <c r="O58" s="252" t="n">
        <v>0</v>
      </c>
      <c r="P58" s="18" t="inlineStr"/>
    </row>
    <row r="59" ht="15.5" customFormat="1" customHeight="1" s="66">
      <c r="B59" s="249" t="n">
        <v>45301</v>
      </c>
      <c r="C59" s="15" t="n">
        <v>52</v>
      </c>
      <c r="D59" s="170" t="inlineStr">
        <is>
          <t>Revenue data procesing MTD_Tomori</t>
        </is>
      </c>
      <c r="E59" s="227" t="n"/>
      <c r="F59" s="250" t="n">
        <v>150000000</v>
      </c>
      <c r="G59" s="15" t="inlineStr">
        <is>
          <t>IDR</t>
        </is>
      </c>
      <c r="H59" s="251" t="n">
        <v>1</v>
      </c>
      <c r="I59" s="15" t="inlineStr">
        <is>
          <t>INV015</t>
        </is>
      </c>
      <c r="J59" s="18" t="inlineStr">
        <is>
          <t>TGE</t>
        </is>
      </c>
      <c r="K59" s="249" t="n">
        <v>45399</v>
      </c>
      <c r="L59" s="252" t="n">
        <v>166500000</v>
      </c>
      <c r="M59" s="253" t="n">
        <v>16500000</v>
      </c>
      <c r="N59" s="253" t="n">
        <v>3000000</v>
      </c>
      <c r="O59" s="252" t="n">
        <v>0</v>
      </c>
      <c r="P59" s="18" t="inlineStr"/>
    </row>
    <row r="60" ht="15.5" customFormat="1" customHeight="1" s="66">
      <c r="B60" s="249" t="n">
        <v>45301</v>
      </c>
      <c r="C60" s="15" t="n">
        <v>53</v>
      </c>
      <c r="D60" s="170" t="inlineStr">
        <is>
          <t>Revenue data procesing MTD_Tomori</t>
        </is>
      </c>
      <c r="E60" s="227" t="n"/>
      <c r="F60" s="250" t="n">
        <v>150000000</v>
      </c>
      <c r="G60" s="15" t="inlineStr">
        <is>
          <t>IDR</t>
        </is>
      </c>
      <c r="H60" s="251" t="n">
        <v>1</v>
      </c>
      <c r="I60" s="15" t="inlineStr">
        <is>
          <t>INV015</t>
        </is>
      </c>
      <c r="J60" s="18" t="inlineStr">
        <is>
          <t>TGE</t>
        </is>
      </c>
      <c r="K60" s="249" t="n">
        <v>45399</v>
      </c>
      <c r="L60" s="252" t="n">
        <v>166500000</v>
      </c>
      <c r="M60" s="253" t="n">
        <v>16500000</v>
      </c>
      <c r="N60" s="253" t="n">
        <v>3000000</v>
      </c>
      <c r="O60" s="252" t="n">
        <v>0</v>
      </c>
      <c r="P60" s="18" t="inlineStr"/>
    </row>
    <row r="61" ht="15.5" customFormat="1" customHeight="1" s="66">
      <c r="B61" s="249" t="n">
        <v>45301</v>
      </c>
      <c r="C61" s="15" t="n">
        <v>54</v>
      </c>
      <c r="D61" s="170" t="inlineStr">
        <is>
          <t>Revenue data procesing MTD_Tomori</t>
        </is>
      </c>
      <c r="E61" s="227" t="n"/>
      <c r="F61" s="250" t="n">
        <v>150000000</v>
      </c>
      <c r="G61" s="15" t="inlineStr">
        <is>
          <t>IDR</t>
        </is>
      </c>
      <c r="H61" s="251" t="n">
        <v>1</v>
      </c>
      <c r="I61" s="15" t="inlineStr">
        <is>
          <t>INV015</t>
        </is>
      </c>
      <c r="J61" s="18" t="inlineStr">
        <is>
          <t>TGE</t>
        </is>
      </c>
      <c r="K61" s="249" t="n">
        <v>45399</v>
      </c>
      <c r="L61" s="252" t="n">
        <v>166500000</v>
      </c>
      <c r="M61" s="253" t="n">
        <v>16500000</v>
      </c>
      <c r="N61" s="253" t="n">
        <v>3000000</v>
      </c>
      <c r="O61" s="252" t="n">
        <v>0</v>
      </c>
      <c r="P61" s="18" t="inlineStr"/>
    </row>
    <row r="62" ht="15.5" customFormat="1" customHeight="1" s="66">
      <c r="B62" s="249" t="n">
        <v>45301</v>
      </c>
      <c r="C62" s="15" t="n">
        <v>55</v>
      </c>
      <c r="D62" s="170" t="inlineStr">
        <is>
          <t>Revenue data procesing MTD_Tomori</t>
        </is>
      </c>
      <c r="E62" s="227" t="n"/>
      <c r="F62" s="250" t="n">
        <v>150000000</v>
      </c>
      <c r="G62" s="15" t="inlineStr">
        <is>
          <t>IDR</t>
        </is>
      </c>
      <c r="H62" s="251" t="n">
        <v>1</v>
      </c>
      <c r="I62" s="15" t="inlineStr">
        <is>
          <t>INV015</t>
        </is>
      </c>
      <c r="J62" s="18" t="inlineStr">
        <is>
          <t>TGE</t>
        </is>
      </c>
      <c r="K62" s="249" t="n">
        <v>45399</v>
      </c>
      <c r="L62" s="252" t="n">
        <v>166500000</v>
      </c>
      <c r="M62" s="253" t="n">
        <v>16500000</v>
      </c>
      <c r="N62" s="253" t="n">
        <v>3000000</v>
      </c>
      <c r="O62" s="252" t="n">
        <v>0</v>
      </c>
      <c r="P62" s="18" t="inlineStr"/>
    </row>
    <row r="63" ht="15.5" customFormat="1" customHeight="1" s="66">
      <c r="B63" s="249" t="n">
        <v>45301</v>
      </c>
      <c r="C63" s="15" t="n">
        <v>56</v>
      </c>
      <c r="D63" s="170" t="inlineStr">
        <is>
          <t>Revenue data procesing MTD_Tomori</t>
        </is>
      </c>
      <c r="E63" s="227" t="n"/>
      <c r="F63" s="250" t="n">
        <v>150000000</v>
      </c>
      <c r="G63" s="15" t="inlineStr">
        <is>
          <t>IDR</t>
        </is>
      </c>
      <c r="H63" s="251" t="n">
        <v>1</v>
      </c>
      <c r="I63" s="15" t="inlineStr">
        <is>
          <t>INV015</t>
        </is>
      </c>
      <c r="J63" s="18" t="inlineStr">
        <is>
          <t>TGE</t>
        </is>
      </c>
      <c r="K63" s="249" t="n">
        <v>45399</v>
      </c>
      <c r="L63" s="252" t="n">
        <v>166500000</v>
      </c>
      <c r="M63" s="253" t="n">
        <v>16500000</v>
      </c>
      <c r="N63" s="253" t="n">
        <v>3000000</v>
      </c>
      <c r="O63" s="252" t="n">
        <v>0</v>
      </c>
      <c r="P63" s="18" t="inlineStr"/>
      <c r="Q63">
        <f>$F63*$H63</f>
        <v/>
      </c>
    </row>
    <row r="64" ht="15.5" customFormat="1" customHeight="1" s="66">
      <c r="B64" s="249" t="n">
        <v>45301</v>
      </c>
      <c r="C64" s="15" t="n">
        <v>57</v>
      </c>
      <c r="D64" s="170" t="inlineStr">
        <is>
          <t>Revenue data procesing MTD_Tomori</t>
        </is>
      </c>
      <c r="E64" s="227" t="n"/>
      <c r="F64" s="250" t="n">
        <v>150000000</v>
      </c>
      <c r="G64" s="15" t="inlineStr">
        <is>
          <t>IDR</t>
        </is>
      </c>
      <c r="H64" s="251" t="n">
        <v>1</v>
      </c>
      <c r="I64" s="15" t="inlineStr">
        <is>
          <t>INV015</t>
        </is>
      </c>
      <c r="J64" s="18" t="inlineStr">
        <is>
          <t>TGE</t>
        </is>
      </c>
      <c r="K64" s="249" t="n">
        <v>45399</v>
      </c>
      <c r="L64" s="252" t="n">
        <v>166500000</v>
      </c>
      <c r="M64" s="253" t="n">
        <v>16500000</v>
      </c>
      <c r="N64" s="253" t="n">
        <v>3000000</v>
      </c>
      <c r="O64" s="252" t="n">
        <v>0</v>
      </c>
      <c r="P64" s="18" t="inlineStr"/>
    </row>
    <row r="65" ht="15.5" customFormat="1" customHeight="1" s="66">
      <c r="B65" s="249" t="n">
        <v>45301</v>
      </c>
      <c r="C65" s="15" t="n">
        <v>58</v>
      </c>
      <c r="D65" s="170" t="inlineStr">
        <is>
          <t>Revenue data procesing MTD_Tomori</t>
        </is>
      </c>
      <c r="E65" s="227" t="n"/>
      <c r="F65" s="250" t="n">
        <v>150000000</v>
      </c>
      <c r="G65" s="15" t="inlineStr">
        <is>
          <t>IDR</t>
        </is>
      </c>
      <c r="H65" s="251" t="n">
        <v>1</v>
      </c>
      <c r="I65" s="15" t="inlineStr">
        <is>
          <t>INV015</t>
        </is>
      </c>
      <c r="J65" s="18" t="inlineStr">
        <is>
          <t>TGE</t>
        </is>
      </c>
      <c r="K65" s="249" t="n">
        <v>45399</v>
      </c>
      <c r="L65" s="252" t="n">
        <v>166500000</v>
      </c>
      <c r="M65" s="253" t="n">
        <v>16500000</v>
      </c>
      <c r="N65" s="253" t="n">
        <v>3000000</v>
      </c>
      <c r="O65" s="252" t="n">
        <v>0</v>
      </c>
      <c r="P65" s="18" t="inlineStr"/>
    </row>
    <row r="66" ht="15.5" customFormat="1" customHeight="1" s="66">
      <c r="B66" s="249" t="n">
        <v>45301</v>
      </c>
      <c r="C66" s="15" t="n">
        <v>59</v>
      </c>
      <c r="D66" s="170" t="inlineStr">
        <is>
          <t>Revenue data procesing MTD_Tomori</t>
        </is>
      </c>
      <c r="E66" s="227" t="n"/>
      <c r="F66" s="250" t="n">
        <v>150000000</v>
      </c>
      <c r="G66" s="15" t="inlineStr">
        <is>
          <t>IDR</t>
        </is>
      </c>
      <c r="H66" s="251" t="n">
        <v>1</v>
      </c>
      <c r="I66" s="15" t="inlineStr">
        <is>
          <t>INV015</t>
        </is>
      </c>
      <c r="J66" s="18" t="inlineStr">
        <is>
          <t>TGE</t>
        </is>
      </c>
      <c r="K66" s="249" t="n">
        <v>45399</v>
      </c>
      <c r="L66" s="252" t="n">
        <v>166500000</v>
      </c>
      <c r="M66" s="253" t="n">
        <v>16500000</v>
      </c>
      <c r="N66" s="253" t="n">
        <v>3000000</v>
      </c>
      <c r="O66" s="252" t="n">
        <v>0</v>
      </c>
      <c r="P66" s="18" t="inlineStr"/>
    </row>
    <row r="67" ht="15.5" customHeight="1">
      <c r="B67" s="249" t="n">
        <v>45301</v>
      </c>
      <c r="C67" s="15" t="n">
        <v>60</v>
      </c>
      <c r="D67" s="170" t="inlineStr">
        <is>
          <t>Revenue data procesing MTD_Tomori</t>
        </is>
      </c>
      <c r="E67" s="227" t="n"/>
      <c r="F67" s="250" t="n">
        <v>150000000</v>
      </c>
      <c r="G67" s="15" t="inlineStr">
        <is>
          <t>IDR</t>
        </is>
      </c>
      <c r="H67" s="251" t="n">
        <v>1</v>
      </c>
      <c r="I67" s="15" t="inlineStr">
        <is>
          <t>INV015</t>
        </is>
      </c>
      <c r="J67" s="18" t="inlineStr">
        <is>
          <t>TGE</t>
        </is>
      </c>
      <c r="K67" s="249" t="n">
        <v>45399</v>
      </c>
      <c r="L67" s="252" t="n">
        <v>166500000</v>
      </c>
      <c r="M67" s="253" t="n">
        <v>16500000</v>
      </c>
      <c r="N67" s="253" t="n">
        <v>3000000</v>
      </c>
      <c r="O67" s="252" t="n">
        <v>0</v>
      </c>
      <c r="P67" s="18" t="inlineStr"/>
    </row>
    <row r="68" ht="15.5" customHeight="1">
      <c r="A68" s="66" t="n"/>
      <c r="B68" s="249" t="n">
        <v>45301</v>
      </c>
      <c r="C68" s="15" t="n">
        <v>61</v>
      </c>
      <c r="D68" s="170" t="inlineStr">
        <is>
          <t>Revenue data procesing MTD_Tomori</t>
        </is>
      </c>
      <c r="E68" s="227" t="n"/>
      <c r="F68" s="250" t="n">
        <v>150000000</v>
      </c>
      <c r="G68" s="15" t="inlineStr">
        <is>
          <t>IDR</t>
        </is>
      </c>
      <c r="H68" s="251" t="n">
        <v>1</v>
      </c>
      <c r="I68" s="15" t="inlineStr">
        <is>
          <t>INV015</t>
        </is>
      </c>
      <c r="J68" s="18" t="inlineStr">
        <is>
          <t>TGE</t>
        </is>
      </c>
      <c r="K68" s="249" t="n">
        <v>45399</v>
      </c>
      <c r="L68" s="252" t="n">
        <v>166500000</v>
      </c>
      <c r="M68" s="253" t="n">
        <v>16500000</v>
      </c>
      <c r="N68" s="253" t="n">
        <v>3000000</v>
      </c>
      <c r="O68" s="252" t="n">
        <v>0</v>
      </c>
      <c r="P68" s="18" t="inlineStr"/>
    </row>
    <row r="69" ht="15.5" customHeight="1">
      <c r="A69" s="66" t="n"/>
      <c r="B69" s="249" t="n">
        <v>45301</v>
      </c>
      <c r="C69" s="15" t="n">
        <v>62</v>
      </c>
      <c r="D69" s="170" t="inlineStr">
        <is>
          <t>Revenue data procesing MTD_Tomori</t>
        </is>
      </c>
      <c r="E69" s="227" t="n"/>
      <c r="F69" s="250" t="n">
        <v>150000000</v>
      </c>
      <c r="G69" s="15" t="inlineStr">
        <is>
          <t>IDR</t>
        </is>
      </c>
      <c r="H69" s="251" t="n">
        <v>1</v>
      </c>
      <c r="I69" s="15" t="inlineStr">
        <is>
          <t>INV015</t>
        </is>
      </c>
      <c r="J69" s="18" t="inlineStr">
        <is>
          <t>TGE</t>
        </is>
      </c>
      <c r="K69" s="249" t="n">
        <v>45399</v>
      </c>
      <c r="L69" s="252" t="n">
        <v>166500000</v>
      </c>
      <c r="M69" s="253" t="n">
        <v>16500000</v>
      </c>
      <c r="N69" s="253" t="n">
        <v>3000000</v>
      </c>
      <c r="O69" s="252" t="n">
        <v>0</v>
      </c>
      <c r="P69" s="18" t="inlineStr"/>
      <c r="Q69">
        <f>$F69*$H69</f>
        <v/>
      </c>
    </row>
    <row r="70" ht="15.5" customHeight="1">
      <c r="B70" s="249" t="n">
        <v>45301</v>
      </c>
      <c r="C70" s="15" t="n">
        <v>63</v>
      </c>
      <c r="D70" s="170" t="inlineStr">
        <is>
          <t>Revenue data procesing MTD_Tomori</t>
        </is>
      </c>
      <c r="E70" s="227" t="n"/>
      <c r="F70" s="250" t="n">
        <v>150000000</v>
      </c>
      <c r="G70" s="15" t="inlineStr">
        <is>
          <t>IDR</t>
        </is>
      </c>
      <c r="H70" s="251" t="n">
        <v>1</v>
      </c>
      <c r="I70" s="15" t="inlineStr">
        <is>
          <t>INV015</t>
        </is>
      </c>
      <c r="J70" s="18" t="inlineStr">
        <is>
          <t>TGE</t>
        </is>
      </c>
      <c r="K70" s="249" t="n">
        <v>45399</v>
      </c>
      <c r="L70" s="252" t="n">
        <v>166500000</v>
      </c>
      <c r="M70" s="253" t="n">
        <v>16500000</v>
      </c>
      <c r="N70" s="253" t="n">
        <v>3000000</v>
      </c>
      <c r="O70" s="252" t="n">
        <v>0</v>
      </c>
      <c r="P70" s="18" t="inlineStr"/>
    </row>
    <row r="71" ht="15.5" customHeight="1">
      <c r="B71" s="249" t="n">
        <v>45301</v>
      </c>
      <c r="C71" s="15" t="n">
        <v>64</v>
      </c>
      <c r="D71" s="170" t="inlineStr">
        <is>
          <t>Revenue data procesing MTD_Tomori</t>
        </is>
      </c>
      <c r="E71" s="227" t="n"/>
      <c r="F71" s="250" t="n">
        <v>150000000</v>
      </c>
      <c r="G71" s="15" t="inlineStr">
        <is>
          <t>IDR</t>
        </is>
      </c>
      <c r="H71" s="251" t="n">
        <v>1</v>
      </c>
      <c r="I71" s="15" t="inlineStr">
        <is>
          <t>INV015</t>
        </is>
      </c>
      <c r="J71" s="18" t="inlineStr">
        <is>
          <t>TGE</t>
        </is>
      </c>
      <c r="K71" s="249" t="n">
        <v>45399</v>
      </c>
      <c r="L71" s="252" t="n">
        <v>166500000</v>
      </c>
      <c r="M71" s="253" t="n">
        <v>16500000</v>
      </c>
      <c r="N71" s="253" t="n">
        <v>3000000</v>
      </c>
      <c r="O71" s="252" t="n">
        <v>0</v>
      </c>
      <c r="P71" s="18" t="inlineStr"/>
    </row>
    <row r="72" ht="15.5" customHeight="1">
      <c r="B72" s="249" t="n">
        <v>45301</v>
      </c>
      <c r="C72" s="15" t="n">
        <v>65</v>
      </c>
      <c r="D72" s="170" t="inlineStr">
        <is>
          <t>Revenue data procesing MTD_Tomori</t>
        </is>
      </c>
      <c r="E72" s="227" t="n"/>
      <c r="F72" s="250" t="n">
        <v>150000000</v>
      </c>
      <c r="G72" s="15" t="inlineStr">
        <is>
          <t>IDR</t>
        </is>
      </c>
      <c r="H72" s="251" t="n">
        <v>1</v>
      </c>
      <c r="I72" s="15" t="inlineStr">
        <is>
          <t>INV015</t>
        </is>
      </c>
      <c r="J72" s="18" t="inlineStr">
        <is>
          <t>TGE</t>
        </is>
      </c>
      <c r="K72" s="249" t="n">
        <v>45399</v>
      </c>
      <c r="L72" s="252" t="n">
        <v>166500000</v>
      </c>
      <c r="M72" s="253" t="n">
        <v>16500000</v>
      </c>
      <c r="N72" s="253" t="n">
        <v>3000000</v>
      </c>
      <c r="O72" s="252" t="n">
        <v>0</v>
      </c>
      <c r="P72" s="18" t="inlineStr"/>
    </row>
    <row r="73" ht="15.5" customHeight="1">
      <c r="B73" s="249" t="n">
        <v>45301</v>
      </c>
      <c r="C73" s="15" t="n">
        <v>66</v>
      </c>
      <c r="D73" s="170" t="inlineStr">
        <is>
          <t>Revenue data procesing MTD_Tomori</t>
        </is>
      </c>
      <c r="E73" s="227" t="n"/>
      <c r="F73" s="250" t="n">
        <v>150000000</v>
      </c>
      <c r="G73" s="15" t="inlineStr">
        <is>
          <t>IDR</t>
        </is>
      </c>
      <c r="H73" s="251" t="n">
        <v>1</v>
      </c>
      <c r="I73" s="15" t="inlineStr">
        <is>
          <t>INV015</t>
        </is>
      </c>
      <c r="J73" s="18" t="inlineStr">
        <is>
          <t>TGE</t>
        </is>
      </c>
      <c r="K73" s="249" t="n">
        <v>45399</v>
      </c>
      <c r="L73" s="252" t="n">
        <v>166500000</v>
      </c>
      <c r="M73" s="253" t="n">
        <v>16500000</v>
      </c>
      <c r="N73" s="253" t="n">
        <v>3000000</v>
      </c>
      <c r="O73" s="252" t="n">
        <v>0</v>
      </c>
      <c r="P73" s="18" t="inlineStr"/>
    </row>
    <row r="74" ht="15.5" customHeight="1">
      <c r="A74" s="66" t="n"/>
      <c r="B74" s="249" t="n">
        <v>45301</v>
      </c>
      <c r="C74" s="15" t="n">
        <v>67</v>
      </c>
      <c r="D74" s="170" t="inlineStr">
        <is>
          <t>Revenue data procesing MTD_Tomori</t>
        </is>
      </c>
      <c r="E74" s="227" t="n"/>
      <c r="F74" s="250" t="n">
        <v>150000000</v>
      </c>
      <c r="G74" s="15" t="inlineStr">
        <is>
          <t>IDR</t>
        </is>
      </c>
      <c r="H74" s="251" t="n">
        <v>1</v>
      </c>
      <c r="I74" s="15" t="inlineStr">
        <is>
          <t>INV015</t>
        </is>
      </c>
      <c r="J74" s="18" t="inlineStr">
        <is>
          <t>TGE</t>
        </is>
      </c>
      <c r="K74" s="249" t="n">
        <v>45399</v>
      </c>
      <c r="L74" s="252" t="n">
        <v>166500000</v>
      </c>
      <c r="M74" s="253" t="n">
        <v>16500000</v>
      </c>
      <c r="N74" s="253" t="n">
        <v>3000000</v>
      </c>
      <c r="O74" s="252" t="n">
        <v>0</v>
      </c>
      <c r="P74" s="18" t="inlineStr"/>
      <c r="Q74">
        <f>$F74*$H74</f>
        <v/>
      </c>
    </row>
    <row r="75" ht="15.5" customHeight="1">
      <c r="A75" s="66" t="n"/>
      <c r="B75" s="249" t="n">
        <v>45301</v>
      </c>
      <c r="C75" s="15" t="n">
        <v>68</v>
      </c>
      <c r="D75" s="170" t="inlineStr">
        <is>
          <t>Revenue data procesing MTD_Tomori</t>
        </is>
      </c>
      <c r="E75" s="227" t="n"/>
      <c r="F75" s="250" t="n">
        <v>150000000</v>
      </c>
      <c r="G75" s="15" t="inlineStr">
        <is>
          <t>IDR</t>
        </is>
      </c>
      <c r="H75" s="251" t="n">
        <v>1</v>
      </c>
      <c r="I75" s="15" t="inlineStr">
        <is>
          <t>INV015</t>
        </is>
      </c>
      <c r="J75" s="18" t="inlineStr">
        <is>
          <t>TGE</t>
        </is>
      </c>
      <c r="K75" s="249" t="n">
        <v>45399</v>
      </c>
      <c r="L75" s="252" t="n">
        <v>166500000</v>
      </c>
      <c r="M75" s="253" t="n">
        <v>16500000</v>
      </c>
      <c r="N75" s="253" t="n">
        <v>3000000</v>
      </c>
      <c r="O75" s="252" t="n">
        <v>0</v>
      </c>
      <c r="P75" s="18" t="inlineStr"/>
    </row>
    <row r="76" ht="15.5" customHeight="1">
      <c r="B76" s="249" t="n">
        <v>45301</v>
      </c>
      <c r="C76" s="15" t="n">
        <v>69</v>
      </c>
      <c r="D76" s="170" t="inlineStr">
        <is>
          <t>Revenue data procesing MTD_Tomori</t>
        </is>
      </c>
      <c r="E76" s="227" t="n"/>
      <c r="F76" s="250" t="n">
        <v>150000000</v>
      </c>
      <c r="G76" s="15" t="inlineStr">
        <is>
          <t>IDR</t>
        </is>
      </c>
      <c r="H76" s="251" t="n">
        <v>1</v>
      </c>
      <c r="I76" s="15" t="inlineStr">
        <is>
          <t>INV015</t>
        </is>
      </c>
      <c r="J76" s="18" t="inlineStr">
        <is>
          <t>TGE</t>
        </is>
      </c>
      <c r="K76" s="249" t="n">
        <v>45399</v>
      </c>
      <c r="L76" s="252" t="n">
        <v>166500000</v>
      </c>
      <c r="M76" s="253" t="n">
        <v>16500000</v>
      </c>
      <c r="N76" s="253" t="n">
        <v>3000000</v>
      </c>
      <c r="O76" s="252" t="n">
        <v>0</v>
      </c>
      <c r="P76" s="18" t="inlineStr"/>
    </row>
    <row r="77" ht="15.5" customHeight="1">
      <c r="B77" s="249" t="n">
        <v>45301</v>
      </c>
      <c r="C77" s="15" t="n">
        <v>70</v>
      </c>
      <c r="D77" s="170" t="inlineStr">
        <is>
          <t>Revenue data procesing MTD_Tomori</t>
        </is>
      </c>
      <c r="E77" s="227" t="n"/>
      <c r="F77" s="250" t="n">
        <v>150000000</v>
      </c>
      <c r="G77" s="15" t="inlineStr">
        <is>
          <t>IDR</t>
        </is>
      </c>
      <c r="H77" s="251" t="n">
        <v>1</v>
      </c>
      <c r="I77" s="15" t="inlineStr">
        <is>
          <t>INV015</t>
        </is>
      </c>
      <c r="J77" s="18" t="inlineStr">
        <is>
          <t>TGE</t>
        </is>
      </c>
      <c r="K77" s="249" t="n">
        <v>45399</v>
      </c>
      <c r="L77" s="252" t="n">
        <v>166500000</v>
      </c>
      <c r="M77" s="253" t="n">
        <v>16500000</v>
      </c>
      <c r="N77" s="253" t="n">
        <v>3000000</v>
      </c>
      <c r="O77" s="252" t="n">
        <v>0</v>
      </c>
      <c r="P77" s="18" t="inlineStr"/>
    </row>
    <row r="78" ht="15.5" customHeight="1">
      <c r="B78" s="249" t="n">
        <v>45301</v>
      </c>
      <c r="C78" s="15" t="n">
        <v>71</v>
      </c>
      <c r="D78" s="170" t="inlineStr">
        <is>
          <t>Revenue data procesing MTD_Tomori</t>
        </is>
      </c>
      <c r="E78" s="227" t="n"/>
      <c r="F78" s="250" t="n">
        <v>150000000</v>
      </c>
      <c r="G78" s="15" t="inlineStr">
        <is>
          <t>IDR</t>
        </is>
      </c>
      <c r="H78" s="251" t="n">
        <v>1</v>
      </c>
      <c r="I78" s="15" t="inlineStr">
        <is>
          <t>INV015</t>
        </is>
      </c>
      <c r="J78" s="18" t="inlineStr">
        <is>
          <t>TGE</t>
        </is>
      </c>
      <c r="K78" s="249" t="n">
        <v>45399</v>
      </c>
      <c r="L78" s="252" t="n">
        <v>166500000</v>
      </c>
      <c r="M78" s="253" t="n">
        <v>16500000</v>
      </c>
      <c r="N78" s="253" t="n">
        <v>3000000</v>
      </c>
      <c r="O78" s="252" t="n">
        <v>0</v>
      </c>
      <c r="P78" s="18" t="inlineStr"/>
    </row>
    <row r="79" ht="15.5" customHeight="1">
      <c r="B79" s="249" t="n">
        <v>45301</v>
      </c>
      <c r="C79" s="15" t="n">
        <v>72</v>
      </c>
      <c r="D79" s="170" t="inlineStr">
        <is>
          <t>Revenue data procesing MTD_Tomori</t>
        </is>
      </c>
      <c r="E79" s="227" t="n"/>
      <c r="F79" s="250" t="n">
        <v>150000000</v>
      </c>
      <c r="G79" s="15" t="inlineStr">
        <is>
          <t>IDR</t>
        </is>
      </c>
      <c r="H79" s="251" t="n">
        <v>1</v>
      </c>
      <c r="I79" s="15" t="inlineStr">
        <is>
          <t>INV015</t>
        </is>
      </c>
      <c r="J79" s="18" t="inlineStr">
        <is>
          <t>TGE</t>
        </is>
      </c>
      <c r="K79" s="249" t="n">
        <v>45399</v>
      </c>
      <c r="L79" s="252" t="n">
        <v>166500000</v>
      </c>
      <c r="M79" s="253" t="n">
        <v>16500000</v>
      </c>
      <c r="N79" s="253" t="n">
        <v>3000000</v>
      </c>
      <c r="O79" s="252" t="n">
        <v>0</v>
      </c>
      <c r="P79" s="18" t="inlineStr"/>
    </row>
    <row r="80" ht="15.5" customHeight="1">
      <c r="B80" s="249" t="n">
        <v>45301</v>
      </c>
      <c r="C80" s="15" t="n">
        <v>73</v>
      </c>
      <c r="D80" s="170" t="inlineStr">
        <is>
          <t>Revenue data procesing MTD_Tomori</t>
        </is>
      </c>
      <c r="E80" s="227" t="n"/>
      <c r="F80" s="250" t="n">
        <v>150000000</v>
      </c>
      <c r="G80" s="15" t="inlineStr">
        <is>
          <t>IDR</t>
        </is>
      </c>
      <c r="H80" s="251" t="n">
        <v>1</v>
      </c>
      <c r="I80" s="15" t="inlineStr">
        <is>
          <t>INV015</t>
        </is>
      </c>
      <c r="J80" s="18" t="inlineStr">
        <is>
          <t>TGE</t>
        </is>
      </c>
      <c r="K80" s="249" t="n">
        <v>45399</v>
      </c>
      <c r="L80" s="252" t="n">
        <v>166500000</v>
      </c>
      <c r="M80" s="253" t="n">
        <v>16500000</v>
      </c>
      <c r="N80" s="253" t="n">
        <v>3000000</v>
      </c>
      <c r="O80" s="252" t="n">
        <v>0</v>
      </c>
      <c r="P80" s="18" t="inlineStr"/>
    </row>
    <row r="81" ht="15.5" customHeight="1">
      <c r="B81" s="249" t="n">
        <v>45301</v>
      </c>
      <c r="C81" s="15" t="n">
        <v>74</v>
      </c>
      <c r="D81" s="170" t="inlineStr">
        <is>
          <t>Revenue data procesing MTD_Tomori</t>
        </is>
      </c>
      <c r="E81" s="227" t="n"/>
      <c r="F81" s="250" t="n">
        <v>150000000</v>
      </c>
      <c r="G81" s="15" t="inlineStr">
        <is>
          <t>IDR</t>
        </is>
      </c>
      <c r="H81" s="251" t="n">
        <v>1</v>
      </c>
      <c r="I81" s="15" t="inlineStr">
        <is>
          <t>INV015</t>
        </is>
      </c>
      <c r="J81" s="18" t="inlineStr">
        <is>
          <t>TGE</t>
        </is>
      </c>
      <c r="K81" s="249" t="n">
        <v>45399</v>
      </c>
      <c r="L81" s="252" t="n">
        <v>166500000</v>
      </c>
      <c r="M81" s="253" t="n">
        <v>16500000</v>
      </c>
      <c r="N81" s="253" t="n">
        <v>3000000</v>
      </c>
      <c r="O81" s="252" t="n">
        <v>0</v>
      </c>
      <c r="P81" s="18" t="inlineStr"/>
    </row>
    <row r="82" ht="15.5" customHeight="1">
      <c r="B82" s="249" t="n">
        <v>45301</v>
      </c>
      <c r="C82" s="15" t="n">
        <v>75</v>
      </c>
      <c r="D82" s="170" t="inlineStr">
        <is>
          <t>Revenue data procesing MTD_Tomori</t>
        </is>
      </c>
      <c r="E82" s="227" t="n"/>
      <c r="F82" s="250" t="n">
        <v>150000000</v>
      </c>
      <c r="G82" s="15" t="inlineStr">
        <is>
          <t>IDR</t>
        </is>
      </c>
      <c r="H82" s="251" t="n">
        <v>1</v>
      </c>
      <c r="I82" s="15" t="inlineStr">
        <is>
          <t>INV015</t>
        </is>
      </c>
      <c r="J82" s="18" t="inlineStr">
        <is>
          <t>TGE</t>
        </is>
      </c>
      <c r="K82" s="249" t="n">
        <v>45399</v>
      </c>
      <c r="L82" s="252" t="n">
        <v>166500000</v>
      </c>
      <c r="M82" s="253" t="n">
        <v>16500000</v>
      </c>
      <c r="N82" s="253" t="n">
        <v>3000000</v>
      </c>
      <c r="O82" s="252" t="n">
        <v>0</v>
      </c>
      <c r="P82" s="18" t="inlineStr"/>
    </row>
    <row r="83" ht="15.5" customHeight="1">
      <c r="B83" s="249" t="n">
        <v>45301</v>
      </c>
      <c r="C83" s="15" t="n">
        <v>76</v>
      </c>
      <c r="D83" s="170" t="inlineStr">
        <is>
          <t>Revenue data procesing MTD_Tomori</t>
        </is>
      </c>
      <c r="E83" s="227" t="n"/>
      <c r="F83" s="250" t="n">
        <v>150000000</v>
      </c>
      <c r="G83" s="15" t="inlineStr">
        <is>
          <t>IDR</t>
        </is>
      </c>
      <c r="H83" s="251" t="n">
        <v>1</v>
      </c>
      <c r="I83" s="15" t="inlineStr">
        <is>
          <t>INV015</t>
        </is>
      </c>
      <c r="J83" s="18" t="inlineStr">
        <is>
          <t>TGE</t>
        </is>
      </c>
      <c r="K83" s="249" t="n">
        <v>45399</v>
      </c>
      <c r="L83" s="252" t="n">
        <v>166500000</v>
      </c>
      <c r="M83" s="253" t="n">
        <v>16500000</v>
      </c>
      <c r="N83" s="253" t="n">
        <v>3000000</v>
      </c>
      <c r="O83" s="252" t="n">
        <v>0</v>
      </c>
      <c r="P83" s="18" t="inlineStr"/>
    </row>
    <row r="84" ht="15.5" customHeight="1">
      <c r="A84" s="66" t="n"/>
      <c r="B84" s="249" t="n">
        <v>45301</v>
      </c>
      <c r="C84" s="15" t="n">
        <v>77</v>
      </c>
      <c r="D84" s="170" t="inlineStr">
        <is>
          <t>Revenue data procesing MTD_Tomori</t>
        </is>
      </c>
      <c r="E84" s="227" t="n"/>
      <c r="F84" s="250" t="n">
        <v>150000000</v>
      </c>
      <c r="G84" s="15" t="inlineStr">
        <is>
          <t>IDR</t>
        </is>
      </c>
      <c r="H84" s="251" t="n">
        <v>1</v>
      </c>
      <c r="I84" s="15" t="inlineStr">
        <is>
          <t>INV015</t>
        </is>
      </c>
      <c r="J84" s="18" t="inlineStr">
        <is>
          <t>TGE</t>
        </is>
      </c>
      <c r="K84" s="249" t="n">
        <v>45399</v>
      </c>
      <c r="L84" s="252" t="n">
        <v>166500000</v>
      </c>
      <c r="M84" s="253" t="n">
        <v>16500000</v>
      </c>
      <c r="N84" s="253" t="n">
        <v>3000000</v>
      </c>
      <c r="O84" s="252" t="n">
        <v>0</v>
      </c>
      <c r="P84" s="18" t="inlineStr"/>
    </row>
    <row r="85" ht="15.5" customHeight="1">
      <c r="B85" s="249" t="n">
        <v>45301</v>
      </c>
      <c r="C85" s="15" t="n">
        <v>78</v>
      </c>
      <c r="D85" s="170" t="inlineStr">
        <is>
          <t>Revenue data procesing MTD_Tomori</t>
        </is>
      </c>
      <c r="E85" s="227" t="n"/>
      <c r="F85" s="250" t="n">
        <v>150000000</v>
      </c>
      <c r="G85" s="15" t="inlineStr">
        <is>
          <t>IDR</t>
        </is>
      </c>
      <c r="H85" s="251" t="n">
        <v>1</v>
      </c>
      <c r="I85" s="15" t="inlineStr">
        <is>
          <t>INV015</t>
        </is>
      </c>
      <c r="J85" s="18" t="inlineStr">
        <is>
          <t>TGE</t>
        </is>
      </c>
      <c r="K85" s="249" t="n">
        <v>45399</v>
      </c>
      <c r="L85" s="252" t="n">
        <v>166500000</v>
      </c>
      <c r="M85" s="253" t="n">
        <v>16500000</v>
      </c>
      <c r="N85" s="253" t="n">
        <v>3000000</v>
      </c>
      <c r="O85" s="252" t="n">
        <v>0</v>
      </c>
      <c r="P85" s="18" t="inlineStr"/>
    </row>
    <row r="86" ht="15.5" customHeight="1">
      <c r="B86" s="249" t="n">
        <v>45301</v>
      </c>
      <c r="C86" s="15" t="n">
        <v>79</v>
      </c>
      <c r="D86" s="170" t="inlineStr">
        <is>
          <t>Revenue data procesing MTD_Tomori</t>
        </is>
      </c>
      <c r="E86" s="227" t="n"/>
      <c r="F86" s="250" t="n">
        <v>150000000</v>
      </c>
      <c r="G86" s="15" t="inlineStr">
        <is>
          <t>IDR</t>
        </is>
      </c>
      <c r="H86" s="251" t="n">
        <v>1</v>
      </c>
      <c r="I86" s="15" t="inlineStr">
        <is>
          <t>INV015</t>
        </is>
      </c>
      <c r="J86" s="18" t="inlineStr">
        <is>
          <t>TGE</t>
        </is>
      </c>
      <c r="K86" s="249" t="n">
        <v>45399</v>
      </c>
      <c r="L86" s="252" t="n">
        <v>166500000</v>
      </c>
      <c r="M86" s="253" t="n">
        <v>16500000</v>
      </c>
      <c r="N86" s="253" t="n">
        <v>3000000</v>
      </c>
      <c r="O86" s="252" t="n">
        <v>0</v>
      </c>
      <c r="P86" s="18" t="inlineStr"/>
    </row>
    <row r="87" ht="15.5" customHeight="1">
      <c r="A87" s="66" t="n"/>
      <c r="B87" s="249" t="n">
        <v>45301</v>
      </c>
      <c r="C87" s="15" t="n">
        <v>80</v>
      </c>
      <c r="D87" s="170" t="inlineStr">
        <is>
          <t>Revenue data procesing MTD_Tomori</t>
        </is>
      </c>
      <c r="E87" s="227" t="n"/>
      <c r="F87" s="250" t="n">
        <v>150000000</v>
      </c>
      <c r="G87" s="15" t="inlineStr">
        <is>
          <t>IDR</t>
        </is>
      </c>
      <c r="H87" s="251" t="n">
        <v>1</v>
      </c>
      <c r="I87" s="15" t="inlineStr">
        <is>
          <t>INV015</t>
        </is>
      </c>
      <c r="J87" s="18" t="inlineStr">
        <is>
          <t>TGE</t>
        </is>
      </c>
      <c r="K87" s="249" t="n">
        <v>45399</v>
      </c>
      <c r="L87" s="252" t="n">
        <v>166500000</v>
      </c>
      <c r="M87" s="253" t="n">
        <v>16500000</v>
      </c>
      <c r="N87" s="253" t="n">
        <v>3000000</v>
      </c>
      <c r="O87" s="252" t="n">
        <v>0</v>
      </c>
      <c r="P87" s="18" t="inlineStr"/>
      <c r="Q87">
        <f>$F87*$H87</f>
        <v/>
      </c>
    </row>
    <row r="88" ht="15.5" customHeight="1">
      <c r="B88" s="249" t="n">
        <v>45301</v>
      </c>
      <c r="C88" s="15" t="n">
        <v>81</v>
      </c>
      <c r="D88" s="170" t="inlineStr">
        <is>
          <t>Revenue data procesing MTD_Tomori</t>
        </is>
      </c>
      <c r="E88" s="227" t="n"/>
      <c r="F88" s="250" t="n">
        <v>150000000</v>
      </c>
      <c r="G88" s="15" t="inlineStr">
        <is>
          <t>IDR</t>
        </is>
      </c>
      <c r="H88" s="251" t="n">
        <v>1</v>
      </c>
      <c r="I88" s="15" t="inlineStr">
        <is>
          <t>INV015</t>
        </is>
      </c>
      <c r="J88" s="18" t="inlineStr">
        <is>
          <t>TGE</t>
        </is>
      </c>
      <c r="K88" s="249" t="n">
        <v>45399</v>
      </c>
      <c r="L88" s="252" t="n">
        <v>166500000</v>
      </c>
      <c r="M88" s="253" t="n">
        <v>16500000</v>
      </c>
      <c r="N88" s="253" t="n">
        <v>3000000</v>
      </c>
      <c r="O88" s="252" t="n">
        <v>0</v>
      </c>
      <c r="P88" s="18" t="inlineStr"/>
    </row>
    <row r="89" ht="15.5" customHeight="1">
      <c r="B89" s="249" t="n">
        <v>45301</v>
      </c>
      <c r="C89" s="15" t="n">
        <v>82</v>
      </c>
      <c r="D89" s="170" t="inlineStr">
        <is>
          <t>Revenue data procesing MTD_Tomori</t>
        </is>
      </c>
      <c r="E89" s="227" t="n"/>
      <c r="F89" s="250" t="n">
        <v>150000000</v>
      </c>
      <c r="G89" s="15" t="inlineStr">
        <is>
          <t>IDR</t>
        </is>
      </c>
      <c r="H89" s="251" t="n">
        <v>1</v>
      </c>
      <c r="I89" s="15" t="inlineStr">
        <is>
          <t>INV015</t>
        </is>
      </c>
      <c r="J89" s="18" t="inlineStr">
        <is>
          <t>TGE</t>
        </is>
      </c>
      <c r="K89" s="249" t="n">
        <v>45399</v>
      </c>
      <c r="L89" s="252" t="n">
        <v>166500000</v>
      </c>
      <c r="M89" s="253" t="n">
        <v>16500000</v>
      </c>
      <c r="N89" s="253" t="n">
        <v>3000000</v>
      </c>
      <c r="O89" s="252" t="n">
        <v>0</v>
      </c>
      <c r="P89" s="18" t="inlineStr"/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PDS-01ST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INV019</t>
        </is>
      </c>
      <c r="J90" s="18" t="inlineStr">
        <is>
          <t>SI Jak</t>
        </is>
      </c>
      <c r="K90" s="249" t="n">
        <v>45425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PDS-01ST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INV019</t>
        </is>
      </c>
      <c r="J91" s="18" t="inlineStr">
        <is>
          <t>SI Jak</t>
        </is>
      </c>
      <c r="K91" s="249" t="n">
        <v>45425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45302</v>
      </c>
      <c r="C92" s="15" t="n">
        <v>85</v>
      </c>
      <c r="D92" s="170" t="inlineStr">
        <is>
          <t>ALFA Service PDS-01ST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INV019</t>
        </is>
      </c>
      <c r="J92" s="18" t="inlineStr">
        <is>
          <t>SI Jak</t>
        </is>
      </c>
      <c r="K92" s="249" t="n">
        <v>45425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45302</v>
      </c>
      <c r="C93" s="15" t="n">
        <v>86</v>
      </c>
      <c r="D93" s="170" t="inlineStr">
        <is>
          <t>ALFA Service PDS-01ST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INV019</t>
        </is>
      </c>
      <c r="J93" s="18" t="inlineStr">
        <is>
          <t>SI Jak</t>
        </is>
      </c>
      <c r="K93" s="249" t="n">
        <v>45425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45302</v>
      </c>
      <c r="C94" s="15" t="n">
        <v>87</v>
      </c>
      <c r="D94" s="170" t="inlineStr">
        <is>
          <t>ALFA Service PDS-01ST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INV019</t>
        </is>
      </c>
      <c r="J94" s="18" t="inlineStr">
        <is>
          <t>SI Jak</t>
        </is>
      </c>
      <c r="K94" s="249" t="n">
        <v>45425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45302</v>
      </c>
      <c r="C95" s="15" t="n">
        <v>88</v>
      </c>
      <c r="D95" s="170" t="inlineStr">
        <is>
          <t>ALFA Service PDS-01ST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INV019</t>
        </is>
      </c>
      <c r="J95" s="18" t="inlineStr">
        <is>
          <t>SI Jak</t>
        </is>
      </c>
      <c r="K95" s="249" t="n">
        <v>45425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45302</v>
      </c>
      <c r="C96" s="15" t="n">
        <v>89</v>
      </c>
      <c r="D96" s="170" t="inlineStr">
        <is>
          <t>ALFA Service PDS-01ST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INV019</t>
        </is>
      </c>
      <c r="J96" s="18" t="inlineStr">
        <is>
          <t>SI Jak</t>
        </is>
      </c>
      <c r="K96" s="249" t="n">
        <v>45425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45302</v>
      </c>
      <c r="C97" s="15" t="n">
        <v>90</v>
      </c>
      <c r="D97" s="170" t="inlineStr">
        <is>
          <t>ALFA Service PDS-01ST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INV019</t>
        </is>
      </c>
      <c r="J97" s="18" t="inlineStr">
        <is>
          <t>SI Jak</t>
        </is>
      </c>
      <c r="K97" s="249" t="n">
        <v>45425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45302</v>
      </c>
      <c r="C98" s="15" t="n">
        <v>91</v>
      </c>
      <c r="D98" s="170" t="inlineStr">
        <is>
          <t>ALFA Service PDS-01ST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INV019</t>
        </is>
      </c>
      <c r="J98" s="18" t="inlineStr">
        <is>
          <t>SI Jak</t>
        </is>
      </c>
      <c r="K98" s="249" t="n">
        <v>45425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45302</v>
      </c>
      <c r="C99" s="15" t="n">
        <v>92</v>
      </c>
      <c r="D99" s="170" t="inlineStr">
        <is>
          <t>ALFA Service PDS-01ST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INV019</t>
        </is>
      </c>
      <c r="J99" s="18" t="inlineStr">
        <is>
          <t>SI Jak</t>
        </is>
      </c>
      <c r="K99" s="249" t="n">
        <v>45425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45302</v>
      </c>
      <c r="C100" s="15" t="n">
        <v>93</v>
      </c>
      <c r="D100" s="170" t="inlineStr">
        <is>
          <t>ALFA Service PDS-01ST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INV019</t>
        </is>
      </c>
      <c r="J100" s="18" t="inlineStr">
        <is>
          <t>SI Jak</t>
        </is>
      </c>
      <c r="K100" s="249" t="n">
        <v>45425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45302</v>
      </c>
      <c r="C101" s="15" t="n">
        <v>94</v>
      </c>
      <c r="D101" s="170" t="inlineStr">
        <is>
          <t>ALFA Service PDS-01ST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INV019</t>
        </is>
      </c>
      <c r="J101" s="18" t="inlineStr">
        <is>
          <t>SI Jak</t>
        </is>
      </c>
      <c r="K101" s="249" t="n">
        <v>45425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45302</v>
      </c>
      <c r="C102" s="15" t="n">
        <v>95</v>
      </c>
      <c r="D102" s="170" t="inlineStr">
        <is>
          <t>ALFA Service PDS-01ST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INV019</t>
        </is>
      </c>
      <c r="J102" s="18" t="inlineStr">
        <is>
          <t>SI Jak</t>
        </is>
      </c>
      <c r="K102" s="249" t="n">
        <v>45425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45302</v>
      </c>
      <c r="C103" s="15" t="n">
        <v>96</v>
      </c>
      <c r="D103" s="170" t="inlineStr">
        <is>
          <t>ALFA Service PDS-01ST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INV019</t>
        </is>
      </c>
      <c r="J103" s="18" t="inlineStr">
        <is>
          <t>SI Jak</t>
        </is>
      </c>
      <c r="K103" s="249" t="n">
        <v>45425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45302</v>
      </c>
      <c r="C104" s="15" t="n">
        <v>97</v>
      </c>
      <c r="D104" s="170" t="inlineStr">
        <is>
          <t>ALFA Service PDS-01ST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INV019</t>
        </is>
      </c>
      <c r="J104" s="18" t="inlineStr">
        <is>
          <t>SI Jak</t>
        </is>
      </c>
      <c r="K104" s="249" t="n">
        <v>45425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45302</v>
      </c>
      <c r="C105" s="15" t="n">
        <v>98</v>
      </c>
      <c r="D105" s="170" t="inlineStr">
        <is>
          <t>ALFA Service PDS-01ST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INV019</t>
        </is>
      </c>
      <c r="J105" s="18" t="inlineStr">
        <is>
          <t>SI Jak</t>
        </is>
      </c>
      <c r="K105" s="249" t="n">
        <v>45425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45302</v>
      </c>
      <c r="C106" s="15" t="n">
        <v>99</v>
      </c>
      <c r="D106" s="170" t="inlineStr">
        <is>
          <t>ALFA Service PDS-01ST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INV019</t>
        </is>
      </c>
      <c r="J106" s="18" t="inlineStr">
        <is>
          <t>SI Jak</t>
        </is>
      </c>
      <c r="K106" s="249" t="n">
        <v>45425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45302</v>
      </c>
      <c r="C107" s="15" t="n">
        <v>100</v>
      </c>
      <c r="D107" s="170" t="inlineStr">
        <is>
          <t>ALFA Service PDS-01ST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INV019</t>
        </is>
      </c>
      <c r="J107" s="18" t="inlineStr">
        <is>
          <t>SI Jak</t>
        </is>
      </c>
      <c r="K107" s="249" t="n">
        <v>45425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45302</v>
      </c>
      <c r="C108" s="15" t="n">
        <v>101</v>
      </c>
      <c r="D108" s="170" t="inlineStr">
        <is>
          <t>ALFA Service PDS-01ST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INV019</t>
        </is>
      </c>
      <c r="J108" s="18" t="inlineStr">
        <is>
          <t>SI Jak</t>
        </is>
      </c>
      <c r="K108" s="249" t="n">
        <v>45425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45302</v>
      </c>
      <c r="C109" s="15" t="n">
        <v>102</v>
      </c>
      <c r="D109" s="170" t="inlineStr">
        <is>
          <t>ALFA Service PDS-01ST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INV019</t>
        </is>
      </c>
      <c r="J109" s="18" t="inlineStr">
        <is>
          <t>SI Jak</t>
        </is>
      </c>
      <c r="K109" s="249" t="n">
        <v>45425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45302</v>
      </c>
      <c r="C110" s="15" t="n">
        <v>103</v>
      </c>
      <c r="D110" s="170" t="inlineStr">
        <is>
          <t>ALFA Service PDS-01ST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INV019</t>
        </is>
      </c>
      <c r="J110" s="18" t="inlineStr">
        <is>
          <t>SI Jak</t>
        </is>
      </c>
      <c r="K110" s="249" t="n">
        <v>45425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45302</v>
      </c>
      <c r="C111" s="15" t="n">
        <v>104</v>
      </c>
      <c r="D111" s="170" t="inlineStr">
        <is>
          <t>ALFA Service PDS-01ST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INV019</t>
        </is>
      </c>
      <c r="J111" s="18" t="inlineStr">
        <is>
          <t>SI Jak</t>
        </is>
      </c>
      <c r="K111" s="249" t="n">
        <v>45425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45302</v>
      </c>
      <c r="C112" s="15" t="n">
        <v>105</v>
      </c>
      <c r="D112" s="170" t="inlineStr">
        <is>
          <t>ALFA Service PDS-01ST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INV019</t>
        </is>
      </c>
      <c r="J112" s="18" t="inlineStr">
        <is>
          <t>SI Jak</t>
        </is>
      </c>
      <c r="K112" s="249" t="n">
        <v>45425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45302</v>
      </c>
      <c r="C113" s="15" t="n">
        <v>106</v>
      </c>
      <c r="D113" s="170" t="inlineStr">
        <is>
          <t>ALFA Service PDS-01ST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INV019</t>
        </is>
      </c>
      <c r="J113" s="18" t="inlineStr">
        <is>
          <t>SI Jak</t>
        </is>
      </c>
      <c r="K113" s="249" t="n">
        <v>45425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45302</v>
      </c>
      <c r="C114" s="15" t="n">
        <v>107</v>
      </c>
      <c r="D114" s="170" t="inlineStr">
        <is>
          <t>ALFA Service PDS-01ST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INV019</t>
        </is>
      </c>
      <c r="J114" s="18" t="inlineStr">
        <is>
          <t>SI Jak</t>
        </is>
      </c>
      <c r="K114" s="249" t="n">
        <v>45425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45302</v>
      </c>
      <c r="C115" s="15" t="n">
        <v>108</v>
      </c>
      <c r="D115" s="170" t="inlineStr">
        <is>
          <t>ALFA Service PDS-01ST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INV019</t>
        </is>
      </c>
      <c r="J115" s="18" t="inlineStr">
        <is>
          <t>SI Jak</t>
        </is>
      </c>
      <c r="K115" s="249" t="n">
        <v>45425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45302</v>
      </c>
      <c r="C116" s="15" t="n">
        <v>109</v>
      </c>
      <c r="D116" s="170" t="inlineStr">
        <is>
          <t>ALFA Service PDS-01ST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INV019</t>
        </is>
      </c>
      <c r="J116" s="18" t="inlineStr">
        <is>
          <t>SI Jak</t>
        </is>
      </c>
      <c r="K116" s="249" t="n">
        <v>45425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45302</v>
      </c>
      <c r="C117" s="15" t="n">
        <v>110</v>
      </c>
      <c r="D117" s="170" t="inlineStr">
        <is>
          <t>ALFA Service PDS-01ST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INV019</t>
        </is>
      </c>
      <c r="J117" s="18" t="inlineStr">
        <is>
          <t>SI Jak</t>
        </is>
      </c>
      <c r="K117" s="249" t="n">
        <v>45425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45302</v>
      </c>
      <c r="C118" s="15" t="n">
        <v>111</v>
      </c>
      <c r="D118" s="170" t="inlineStr">
        <is>
          <t>ALFA Service PDS-01ST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INV019</t>
        </is>
      </c>
      <c r="J118" s="18" t="inlineStr">
        <is>
          <t>SI Jak</t>
        </is>
      </c>
      <c r="K118" s="249" t="n">
        <v>45425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45302</v>
      </c>
      <c r="C119" s="15" t="n">
        <v>112</v>
      </c>
      <c r="D119" s="170" t="inlineStr">
        <is>
          <t>ALFA Service PDS-01ST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INV019</t>
        </is>
      </c>
      <c r="J119" s="18" t="inlineStr">
        <is>
          <t>SI Jak</t>
        </is>
      </c>
      <c r="K119" s="249" t="n">
        <v>45425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45302</v>
      </c>
      <c r="C120" s="15" t="n">
        <v>113</v>
      </c>
      <c r="D120" s="170" t="inlineStr">
        <is>
          <t>ALFA Service PDS-01ST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INV019</t>
        </is>
      </c>
      <c r="J120" s="18" t="inlineStr">
        <is>
          <t>SI Jak</t>
        </is>
      </c>
      <c r="K120" s="249" t="n">
        <v>45425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45302</v>
      </c>
      <c r="C121" s="15" t="n">
        <v>114</v>
      </c>
      <c r="D121" s="170" t="inlineStr">
        <is>
          <t>ALFA Service PDS-01ST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INV019</t>
        </is>
      </c>
      <c r="J121" s="18" t="inlineStr">
        <is>
          <t>SI Jak</t>
        </is>
      </c>
      <c r="K121" s="249" t="n">
        <v>45425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45302</v>
      </c>
      <c r="C122" s="15" t="n">
        <v>115</v>
      </c>
      <c r="D122" s="170" t="inlineStr">
        <is>
          <t>ALFA Service PDS-01ST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INV019</t>
        </is>
      </c>
      <c r="J122" s="18" t="inlineStr">
        <is>
          <t>SI Jak</t>
        </is>
      </c>
      <c r="K122" s="249" t="n">
        <v>45425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45302</v>
      </c>
      <c r="C123" s="15" t="n">
        <v>116</v>
      </c>
      <c r="D123" s="170" t="inlineStr">
        <is>
          <t>ALFA Service PDS-01ST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INV019</t>
        </is>
      </c>
      <c r="J123" s="18" t="inlineStr">
        <is>
          <t>SI Jak</t>
        </is>
      </c>
      <c r="K123" s="249" t="n">
        <v>45425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45302</v>
      </c>
      <c r="C124" s="15" t="n">
        <v>117</v>
      </c>
      <c r="D124" s="170" t="inlineStr">
        <is>
          <t>ALFA Service PDS-01ST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INV019</t>
        </is>
      </c>
      <c r="J124" s="18" t="inlineStr">
        <is>
          <t>SI Jak</t>
        </is>
      </c>
      <c r="K124" s="249" t="n">
        <v>45425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45302</v>
      </c>
      <c r="C125" s="15" t="n">
        <v>118</v>
      </c>
      <c r="D125" s="170" t="inlineStr">
        <is>
          <t>ALFA Service PDS-01ST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INV019</t>
        </is>
      </c>
      <c r="J125" s="18" t="inlineStr">
        <is>
          <t>SI Jak</t>
        </is>
      </c>
      <c r="K125" s="249" t="n">
        <v>45425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45302</v>
      </c>
      <c r="C126" s="15" t="n">
        <v>119</v>
      </c>
      <c r="D126" s="170" t="inlineStr">
        <is>
          <t>ALFA Service PDS-01ST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INV019</t>
        </is>
      </c>
      <c r="J126" s="18" t="inlineStr">
        <is>
          <t>SI Jak</t>
        </is>
      </c>
      <c r="K126" s="249" t="n">
        <v>45425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45302</v>
      </c>
      <c r="C127" s="15" t="n">
        <v>120</v>
      </c>
      <c r="D127" s="170" t="inlineStr">
        <is>
          <t>ALFA Service PDS-01ST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INV019</t>
        </is>
      </c>
      <c r="J127" s="18" t="inlineStr">
        <is>
          <t>SI Jak</t>
        </is>
      </c>
      <c r="K127" s="249" t="n">
        <v>45425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45302</v>
      </c>
      <c r="C128" s="15" t="n">
        <v>121</v>
      </c>
      <c r="D128" s="170" t="inlineStr">
        <is>
          <t>ALFA Service PDS-01ST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INV019</t>
        </is>
      </c>
      <c r="J128" s="18" t="inlineStr">
        <is>
          <t>SI Jak</t>
        </is>
      </c>
      <c r="K128" s="249" t="n">
        <v>45425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45302</v>
      </c>
      <c r="C129" s="15" t="n">
        <v>122</v>
      </c>
      <c r="D129" s="170" t="inlineStr">
        <is>
          <t>ALFA Service PDS-01ST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INV019</t>
        </is>
      </c>
      <c r="J129" s="18" t="inlineStr">
        <is>
          <t>SI Jak</t>
        </is>
      </c>
      <c r="K129" s="249" t="n">
        <v>45425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45302</v>
      </c>
      <c r="C130" s="15" t="n">
        <v>123</v>
      </c>
      <c r="D130" s="170" t="inlineStr">
        <is>
          <t>ALFA Service PDS-01ST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INV019</t>
        </is>
      </c>
      <c r="J130" s="18" t="inlineStr">
        <is>
          <t>SI Jak</t>
        </is>
      </c>
      <c r="K130" s="249" t="n">
        <v>45425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45302</v>
      </c>
      <c r="C131" s="15" t="n">
        <v>124</v>
      </c>
      <c r="D131" s="170" t="inlineStr">
        <is>
          <t>ALFA Service JRK-254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INV018</t>
        </is>
      </c>
      <c r="J131" s="18" t="inlineStr">
        <is>
          <t>SI Jak</t>
        </is>
      </c>
      <c r="K131" s="249" t="n">
        <v>45453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45302</v>
      </c>
      <c r="C132" s="15" t="n">
        <v>125</v>
      </c>
      <c r="D132" s="170" t="inlineStr">
        <is>
          <t>ALFA Service JRK-254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INV018</t>
        </is>
      </c>
      <c r="J132" s="18" t="inlineStr">
        <is>
          <t>SI Jak</t>
        </is>
      </c>
      <c r="K132" s="249" t="n">
        <v>45453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45302</v>
      </c>
      <c r="C133" s="15" t="n">
        <v>126</v>
      </c>
      <c r="D133" s="170" t="inlineStr">
        <is>
          <t>ALFA Service JRK-254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INV018</t>
        </is>
      </c>
      <c r="J133" s="18" t="inlineStr">
        <is>
          <t>SI Jak</t>
        </is>
      </c>
      <c r="K133" s="249" t="n">
        <v>45453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45302</v>
      </c>
      <c r="C134" s="15" t="n">
        <v>127</v>
      </c>
      <c r="D134" s="170" t="inlineStr">
        <is>
          <t>ALFA Service JRK-254 Pertamina Zona#4</t>
        </is>
      </c>
      <c r="E134" s="227" t="n"/>
      <c r="F134" s="250" t="n">
        <v>354210000</v>
      </c>
      <c r="G134" s="15" t="inlineStr">
        <is>
          <t>IDR</t>
        </is>
      </c>
      <c r="H134" s="251" t="n">
        <v>1</v>
      </c>
      <c r="I134" s="15" t="inlineStr">
        <is>
          <t>INV018</t>
        </is>
      </c>
      <c r="J134" s="18" t="inlineStr">
        <is>
          <t>SI Jak</t>
        </is>
      </c>
      <c r="K134" s="249" t="n">
        <v>45453</v>
      </c>
      <c r="L134" s="252" t="n">
        <v>347125800</v>
      </c>
      <c r="M134" s="253" t="n">
        <v>38963100</v>
      </c>
      <c r="N134" s="253" t="n">
        <v>7084200</v>
      </c>
      <c r="O134" s="252" t="n">
        <v>0</v>
      </c>
      <c r="P134" s="18" t="inlineStr">
        <is>
          <t>Pemungut</t>
        </is>
      </c>
    </row>
    <row r="135" ht="15.5" customHeight="1">
      <c r="B135" s="249" t="n">
        <v>45302</v>
      </c>
      <c r="C135" s="15" t="n">
        <v>128</v>
      </c>
      <c r="D135" s="170" t="inlineStr">
        <is>
          <t>ALFA Service JRK-254 Pertamina Zona#4</t>
        </is>
      </c>
      <c r="E135" s="227" t="n"/>
      <c r="F135" s="250" t="n">
        <v>354210000</v>
      </c>
      <c r="G135" s="15" t="inlineStr">
        <is>
          <t>IDR</t>
        </is>
      </c>
      <c r="H135" s="251" t="n">
        <v>1</v>
      </c>
      <c r="I135" s="15" t="inlineStr">
        <is>
          <t>INV018</t>
        </is>
      </c>
      <c r="J135" s="18" t="inlineStr">
        <is>
          <t>SI Jak</t>
        </is>
      </c>
      <c r="K135" s="249" t="n">
        <v>45453</v>
      </c>
      <c r="L135" s="252" t="n">
        <v>347125800</v>
      </c>
      <c r="M135" s="253" t="n">
        <v>38963100</v>
      </c>
      <c r="N135" s="253" t="n">
        <v>7084200</v>
      </c>
      <c r="O135" s="252" t="n">
        <v>0</v>
      </c>
      <c r="P135" s="18" t="inlineStr">
        <is>
          <t>Pemungut</t>
        </is>
      </c>
    </row>
    <row r="136" ht="15.5" customHeight="1">
      <c r="B136" s="249" t="n">
        <v>45302</v>
      </c>
      <c r="C136" s="15" t="n">
        <v>129</v>
      </c>
      <c r="D136" s="170" t="inlineStr">
        <is>
          <t>ALFA Service JRK-254 Pertamina Zona#4</t>
        </is>
      </c>
      <c r="E136" s="227" t="n"/>
      <c r="F136" s="250" t="n">
        <v>354210000</v>
      </c>
      <c r="G136" s="15" t="inlineStr">
        <is>
          <t>IDR</t>
        </is>
      </c>
      <c r="H136" s="251" t="n">
        <v>1</v>
      </c>
      <c r="I136" s="15" t="inlineStr">
        <is>
          <t>INV018</t>
        </is>
      </c>
      <c r="J136" s="18" t="inlineStr">
        <is>
          <t>SI Jak</t>
        </is>
      </c>
      <c r="K136" s="249" t="n">
        <v>45453</v>
      </c>
      <c r="L136" s="252" t="n">
        <v>347125800</v>
      </c>
      <c r="M136" s="253" t="n">
        <v>38963100</v>
      </c>
      <c r="N136" s="253" t="n">
        <v>7084200</v>
      </c>
      <c r="O136" s="252" t="n">
        <v>0</v>
      </c>
      <c r="P136" s="18" t="inlineStr">
        <is>
          <t>Pemungut</t>
        </is>
      </c>
    </row>
    <row r="137" ht="15.5" customHeight="1">
      <c r="B137" s="249" t="n">
        <v>45302</v>
      </c>
      <c r="C137" s="15" t="n">
        <v>130</v>
      </c>
      <c r="D137" s="170" t="inlineStr">
        <is>
          <t>ALFA Service JRK-254 Pertamina Zona#4</t>
        </is>
      </c>
      <c r="E137" s="227" t="n"/>
      <c r="F137" s="250" t="n">
        <v>354210000</v>
      </c>
      <c r="G137" s="15" t="inlineStr">
        <is>
          <t>IDR</t>
        </is>
      </c>
      <c r="H137" s="251" t="n">
        <v>1</v>
      </c>
      <c r="I137" s="15" t="inlineStr">
        <is>
          <t>INV018</t>
        </is>
      </c>
      <c r="J137" s="18" t="inlineStr">
        <is>
          <t>SI Jak</t>
        </is>
      </c>
      <c r="K137" s="249" t="n">
        <v>45453</v>
      </c>
      <c r="L137" s="252" t="n">
        <v>347125800</v>
      </c>
      <c r="M137" s="253" t="n">
        <v>38963100</v>
      </c>
      <c r="N137" s="253" t="n">
        <v>7084200</v>
      </c>
      <c r="O137" s="252" t="n">
        <v>0</v>
      </c>
      <c r="P137" s="18" t="inlineStr">
        <is>
          <t>Pemungut</t>
        </is>
      </c>
    </row>
    <row r="138" ht="15.5" customHeight="1">
      <c r="B138" s="249" t="n">
        <v>45302</v>
      </c>
      <c r="C138" s="15" t="n">
        <v>131</v>
      </c>
      <c r="D138" s="170" t="inlineStr">
        <is>
          <t>ALFA Service JRK-254 Pertamina Zona#4</t>
        </is>
      </c>
      <c r="E138" s="227" t="n"/>
      <c r="F138" s="250" t="n">
        <v>354210000</v>
      </c>
      <c r="G138" s="15" t="inlineStr">
        <is>
          <t>IDR</t>
        </is>
      </c>
      <c r="H138" s="251" t="n">
        <v>1</v>
      </c>
      <c r="I138" s="15" t="inlineStr">
        <is>
          <t>INV018</t>
        </is>
      </c>
      <c r="J138" s="18" t="inlineStr">
        <is>
          <t>SI Jak</t>
        </is>
      </c>
      <c r="K138" s="249" t="n">
        <v>45453</v>
      </c>
      <c r="L138" s="252" t="n">
        <v>347125800</v>
      </c>
      <c r="M138" s="253" t="n">
        <v>38963100</v>
      </c>
      <c r="N138" s="253" t="n">
        <v>7084200</v>
      </c>
      <c r="O138" s="252" t="n">
        <v>0</v>
      </c>
      <c r="P138" s="18" t="inlineStr">
        <is>
          <t>Pemungut</t>
        </is>
      </c>
    </row>
    <row r="139" ht="15.5" customHeight="1">
      <c r="B139" s="249" t="n">
        <v>45302</v>
      </c>
      <c r="C139" s="15" t="n">
        <v>132</v>
      </c>
      <c r="D139" s="170" t="inlineStr">
        <is>
          <t>ALFA Service JRK-254 Pertamina Zona#4</t>
        </is>
      </c>
      <c r="E139" s="227" t="n"/>
      <c r="F139" s="250" t="n">
        <v>354210000</v>
      </c>
      <c r="G139" s="15" t="inlineStr">
        <is>
          <t>IDR</t>
        </is>
      </c>
      <c r="H139" s="251" t="n">
        <v>1</v>
      </c>
      <c r="I139" s="15" t="inlineStr">
        <is>
          <t>INV018</t>
        </is>
      </c>
      <c r="J139" s="18" t="inlineStr">
        <is>
          <t>SI Jak</t>
        </is>
      </c>
      <c r="K139" s="249" t="n">
        <v>45453</v>
      </c>
      <c r="L139" s="252" t="n">
        <v>347125800</v>
      </c>
      <c r="M139" s="253" t="n">
        <v>38963100</v>
      </c>
      <c r="N139" s="253" t="n">
        <v>7084200</v>
      </c>
      <c r="O139" s="252" t="n">
        <v>0</v>
      </c>
      <c r="P139" s="18" t="inlineStr">
        <is>
          <t>Pemungut</t>
        </is>
      </c>
    </row>
    <row r="140" ht="15.5" customHeight="1">
      <c r="B140" s="249" t="n">
        <v>45302</v>
      </c>
      <c r="C140" s="15" t="n">
        <v>133</v>
      </c>
      <c r="D140" s="170" t="inlineStr">
        <is>
          <t>ALFA Service JRK-254 Pertamina Zona#4</t>
        </is>
      </c>
      <c r="E140" s="227" t="n"/>
      <c r="F140" s="250" t="n">
        <v>354210000</v>
      </c>
      <c r="G140" s="15" t="inlineStr">
        <is>
          <t>IDR</t>
        </is>
      </c>
      <c r="H140" s="251" t="n">
        <v>1</v>
      </c>
      <c r="I140" s="15" t="inlineStr">
        <is>
          <t>INV018</t>
        </is>
      </c>
      <c r="J140" s="18" t="inlineStr">
        <is>
          <t>SI Jak</t>
        </is>
      </c>
      <c r="K140" s="249" t="n">
        <v>45453</v>
      </c>
      <c r="L140" s="252" t="n">
        <v>347125800</v>
      </c>
      <c r="M140" s="253" t="n">
        <v>38963100</v>
      </c>
      <c r="N140" s="253" t="n">
        <v>7084200</v>
      </c>
      <c r="O140" s="252" t="n">
        <v>0</v>
      </c>
      <c r="P140" s="18" t="inlineStr">
        <is>
          <t>Pemungut</t>
        </is>
      </c>
    </row>
    <row r="141" ht="15.5" customHeight="1">
      <c r="B141" s="249" t="n">
        <v>45302</v>
      </c>
      <c r="C141" s="15" t="n">
        <v>134</v>
      </c>
      <c r="D141" s="170" t="inlineStr">
        <is>
          <t>ALFA Service JRK-254 Pertamina Zona#4</t>
        </is>
      </c>
      <c r="E141" s="227" t="n"/>
      <c r="F141" s="250" t="n">
        <v>354210000</v>
      </c>
      <c r="G141" s="15" t="inlineStr">
        <is>
          <t>IDR</t>
        </is>
      </c>
      <c r="H141" s="251" t="n">
        <v>1</v>
      </c>
      <c r="I141" s="15" t="inlineStr">
        <is>
          <t>INV018</t>
        </is>
      </c>
      <c r="J141" s="18" t="inlineStr">
        <is>
          <t>SI Jak</t>
        </is>
      </c>
      <c r="K141" s="249" t="n">
        <v>45453</v>
      </c>
      <c r="L141" s="252" t="n">
        <v>347125800</v>
      </c>
      <c r="M141" s="253" t="n">
        <v>38963100</v>
      </c>
      <c r="N141" s="253" t="n">
        <v>7084200</v>
      </c>
      <c r="O141" s="252" t="n">
        <v>0</v>
      </c>
      <c r="P141" s="18" t="inlineStr">
        <is>
          <t>Pemungut</t>
        </is>
      </c>
    </row>
    <row r="142" ht="15.5" customHeight="1">
      <c r="B142" s="249" t="n">
        <v>45302</v>
      </c>
      <c r="C142" s="15" t="n">
        <v>135</v>
      </c>
      <c r="D142" s="170" t="inlineStr">
        <is>
          <t>ALFA Service JRK-254 Pertamina Zona#4</t>
        </is>
      </c>
      <c r="E142" s="227" t="n"/>
      <c r="F142" s="250" t="n">
        <v>354210000</v>
      </c>
      <c r="G142" s="15" t="inlineStr">
        <is>
          <t>IDR</t>
        </is>
      </c>
      <c r="H142" s="251" t="n">
        <v>1</v>
      </c>
      <c r="I142" s="15" t="inlineStr">
        <is>
          <t>INV018</t>
        </is>
      </c>
      <c r="J142" s="18" t="inlineStr">
        <is>
          <t>SI Jak</t>
        </is>
      </c>
      <c r="K142" s="249" t="n">
        <v>45453</v>
      </c>
      <c r="L142" s="252" t="n">
        <v>347125800</v>
      </c>
      <c r="M142" s="253" t="n">
        <v>38963100</v>
      </c>
      <c r="N142" s="253" t="n">
        <v>7084200</v>
      </c>
      <c r="O142" s="252" t="n">
        <v>0</v>
      </c>
      <c r="P142" s="18" t="inlineStr">
        <is>
          <t>Pemungut</t>
        </is>
      </c>
    </row>
    <row r="143" ht="15.5" customHeight="1">
      <c r="B143" s="249" t="n">
        <v>45302</v>
      </c>
      <c r="C143" s="15" t="n">
        <v>136</v>
      </c>
      <c r="D143" s="170" t="inlineStr">
        <is>
          <t>ALFA Service JRK-254 Pertamina Zona#4</t>
        </is>
      </c>
      <c r="E143" s="227" t="n"/>
      <c r="F143" s="250" t="n">
        <v>354210000</v>
      </c>
      <c r="G143" s="15" t="inlineStr">
        <is>
          <t>IDR</t>
        </is>
      </c>
      <c r="H143" s="251" t="n">
        <v>1</v>
      </c>
      <c r="I143" s="15" t="inlineStr">
        <is>
          <t>INV018</t>
        </is>
      </c>
      <c r="J143" s="18" t="inlineStr">
        <is>
          <t>SI Jak</t>
        </is>
      </c>
      <c r="K143" s="249" t="n">
        <v>45453</v>
      </c>
      <c r="L143" s="252" t="n">
        <v>347125800</v>
      </c>
      <c r="M143" s="253" t="n">
        <v>38963100</v>
      </c>
      <c r="N143" s="253" t="n">
        <v>7084200</v>
      </c>
      <c r="O143" s="252" t="n">
        <v>0</v>
      </c>
      <c r="P143" s="18" t="inlineStr">
        <is>
          <t>Pemungut</t>
        </is>
      </c>
    </row>
    <row r="144" ht="15.5" customHeight="1">
      <c r="B144" s="249" t="n">
        <v>45302</v>
      </c>
      <c r="C144" s="15" t="n">
        <v>137</v>
      </c>
      <c r="D144" s="170" t="inlineStr">
        <is>
          <t>ALFA Service JRK-254 Pertamina Zona#4</t>
        </is>
      </c>
      <c r="E144" s="227" t="n"/>
      <c r="F144" s="250" t="n">
        <v>354210000</v>
      </c>
      <c r="G144" s="15" t="inlineStr">
        <is>
          <t>IDR</t>
        </is>
      </c>
      <c r="H144" s="251" t="n">
        <v>1</v>
      </c>
      <c r="I144" s="15" t="inlineStr">
        <is>
          <t>INV018</t>
        </is>
      </c>
      <c r="J144" s="18" t="inlineStr">
        <is>
          <t>SI Jak</t>
        </is>
      </c>
      <c r="K144" s="249" t="n">
        <v>45453</v>
      </c>
      <c r="L144" s="252" t="n">
        <v>347125800</v>
      </c>
      <c r="M144" s="253" t="n">
        <v>38963100</v>
      </c>
      <c r="N144" s="253" t="n">
        <v>7084200</v>
      </c>
      <c r="O144" s="252" t="n">
        <v>0</v>
      </c>
      <c r="P144" s="18" t="inlineStr">
        <is>
          <t>Pemungut</t>
        </is>
      </c>
    </row>
    <row r="145" ht="15.5" customHeight="1">
      <c r="B145" s="249" t="n">
        <v>45302</v>
      </c>
      <c r="C145" s="15" t="n">
        <v>138</v>
      </c>
      <c r="D145" s="170" t="inlineStr">
        <is>
          <t>ALFA Service JRK-254 Pertamina Zona#4</t>
        </is>
      </c>
      <c r="E145" s="227" t="n"/>
      <c r="F145" s="250" t="n">
        <v>354210000</v>
      </c>
      <c r="G145" s="15" t="inlineStr">
        <is>
          <t>IDR</t>
        </is>
      </c>
      <c r="H145" s="251" t="n">
        <v>1</v>
      </c>
      <c r="I145" s="15" t="inlineStr">
        <is>
          <t>INV018</t>
        </is>
      </c>
      <c r="J145" s="18" t="inlineStr">
        <is>
          <t>SI Jak</t>
        </is>
      </c>
      <c r="K145" s="249" t="n">
        <v>45453</v>
      </c>
      <c r="L145" s="252" t="n">
        <v>347125800</v>
      </c>
      <c r="M145" s="253" t="n">
        <v>38963100</v>
      </c>
      <c r="N145" s="253" t="n">
        <v>7084200</v>
      </c>
      <c r="O145" s="252" t="n">
        <v>0</v>
      </c>
      <c r="P145" s="18" t="inlineStr">
        <is>
          <t>Pemungut</t>
        </is>
      </c>
    </row>
    <row r="146" ht="15.5" customHeight="1">
      <c r="B146" s="249" t="n">
        <v>45302</v>
      </c>
      <c r="C146" s="15" t="n">
        <v>139</v>
      </c>
      <c r="D146" s="170" t="inlineStr">
        <is>
          <t>ALFA Service JRK-254 Pertamina Zona#4</t>
        </is>
      </c>
      <c r="E146" s="227" t="n"/>
      <c r="F146" s="250" t="n">
        <v>354210000</v>
      </c>
      <c r="G146" s="15" t="inlineStr">
        <is>
          <t>IDR</t>
        </is>
      </c>
      <c r="H146" s="251" t="n">
        <v>1</v>
      </c>
      <c r="I146" s="15" t="inlineStr">
        <is>
          <t>INV018</t>
        </is>
      </c>
      <c r="J146" s="18" t="inlineStr">
        <is>
          <t>SI Jak</t>
        </is>
      </c>
      <c r="K146" s="249" t="n">
        <v>45453</v>
      </c>
      <c r="L146" s="252" t="n">
        <v>347125800</v>
      </c>
      <c r="M146" s="253" t="n">
        <v>38963100</v>
      </c>
      <c r="N146" s="253" t="n">
        <v>7084200</v>
      </c>
      <c r="O146" s="252" t="n">
        <v>0</v>
      </c>
      <c r="P146" s="18" t="inlineStr">
        <is>
          <t>Pemungut</t>
        </is>
      </c>
    </row>
    <row r="147" ht="15.5" customHeight="1">
      <c r="B147" s="249" t="n">
        <v>45302</v>
      </c>
      <c r="C147" s="15" t="n">
        <v>140</v>
      </c>
      <c r="D147" s="170" t="inlineStr">
        <is>
          <t>ALFA Service JRK-254 Pertamina Zona#4</t>
        </is>
      </c>
      <c r="E147" s="227" t="n"/>
      <c r="F147" s="250" t="n">
        <v>354210000</v>
      </c>
      <c r="G147" s="15" t="inlineStr">
        <is>
          <t>IDR</t>
        </is>
      </c>
      <c r="H147" s="251" t="n">
        <v>1</v>
      </c>
      <c r="I147" s="15" t="inlineStr">
        <is>
          <t>INV018</t>
        </is>
      </c>
      <c r="J147" s="18" t="inlineStr">
        <is>
          <t>SI Jak</t>
        </is>
      </c>
      <c r="K147" s="249" t="n">
        <v>45453</v>
      </c>
      <c r="L147" s="252" t="n">
        <v>347125800</v>
      </c>
      <c r="M147" s="253" t="n">
        <v>38963100</v>
      </c>
      <c r="N147" s="253" t="n">
        <v>7084200</v>
      </c>
      <c r="O147" s="252" t="n">
        <v>0</v>
      </c>
      <c r="P147" s="18" t="inlineStr">
        <is>
          <t>Pemungut</t>
        </is>
      </c>
    </row>
    <row r="148" ht="15.5" customHeight="1">
      <c r="B148" s="249" t="n">
        <v>45302</v>
      </c>
      <c r="C148" s="15" t="n">
        <v>141</v>
      </c>
      <c r="D148" s="170" t="inlineStr">
        <is>
          <t>ALFA Service JRK-254 Pertamina Zona#4</t>
        </is>
      </c>
      <c r="E148" s="227" t="n"/>
      <c r="F148" s="250" t="n">
        <v>354210000</v>
      </c>
      <c r="G148" s="15" t="inlineStr">
        <is>
          <t>IDR</t>
        </is>
      </c>
      <c r="H148" s="251" t="n">
        <v>1</v>
      </c>
      <c r="I148" s="15" t="inlineStr">
        <is>
          <t>INV018</t>
        </is>
      </c>
      <c r="J148" s="18" t="inlineStr">
        <is>
          <t>SI Jak</t>
        </is>
      </c>
      <c r="K148" s="249" t="n">
        <v>45453</v>
      </c>
      <c r="L148" s="252" t="n">
        <v>347125800</v>
      </c>
      <c r="M148" s="253" t="n">
        <v>38963100</v>
      </c>
      <c r="N148" s="253" t="n">
        <v>7084200</v>
      </c>
      <c r="O148" s="252" t="n">
        <v>0</v>
      </c>
      <c r="P148" s="18" t="inlineStr">
        <is>
          <t>Pemungut</t>
        </is>
      </c>
    </row>
    <row r="149" ht="15.5" customHeight="1">
      <c r="B149" s="249" t="n">
        <v>45302</v>
      </c>
      <c r="C149" s="15" t="n">
        <v>142</v>
      </c>
      <c r="D149" s="170" t="inlineStr">
        <is>
          <t>ALFA Service JRK-254 Pertamina Zona#4</t>
        </is>
      </c>
      <c r="E149" s="227" t="n"/>
      <c r="F149" s="250" t="n">
        <v>354210000</v>
      </c>
      <c r="G149" s="15" t="inlineStr">
        <is>
          <t>IDR</t>
        </is>
      </c>
      <c r="H149" s="251" t="n">
        <v>1</v>
      </c>
      <c r="I149" s="15" t="inlineStr">
        <is>
          <t>INV018</t>
        </is>
      </c>
      <c r="J149" s="18" t="inlineStr">
        <is>
          <t>SI Jak</t>
        </is>
      </c>
      <c r="K149" s="249" t="n">
        <v>45453</v>
      </c>
      <c r="L149" s="252" t="n">
        <v>347125800</v>
      </c>
      <c r="M149" s="253" t="n">
        <v>38963100</v>
      </c>
      <c r="N149" s="253" t="n">
        <v>7084200</v>
      </c>
      <c r="O149" s="252" t="n">
        <v>0</v>
      </c>
      <c r="P149" s="18" t="inlineStr">
        <is>
          <t>Pemungut</t>
        </is>
      </c>
    </row>
    <row r="150" ht="15.5" customHeight="1">
      <c r="B150" s="249" t="n">
        <v>45302</v>
      </c>
      <c r="C150" s="15" t="n">
        <v>143</v>
      </c>
      <c r="D150" s="170" t="inlineStr">
        <is>
          <t>ALFA Service JRK-254 Pertamina Zona#4</t>
        </is>
      </c>
      <c r="E150" s="227" t="n"/>
      <c r="F150" s="250" t="n">
        <v>354210000</v>
      </c>
      <c r="G150" s="15" t="inlineStr">
        <is>
          <t>IDR</t>
        </is>
      </c>
      <c r="H150" s="251" t="n">
        <v>1</v>
      </c>
      <c r="I150" s="15" t="inlineStr">
        <is>
          <t>INV018</t>
        </is>
      </c>
      <c r="J150" s="18" t="inlineStr">
        <is>
          <t>SI Jak</t>
        </is>
      </c>
      <c r="K150" s="249" t="n">
        <v>45453</v>
      </c>
      <c r="L150" s="252" t="n">
        <v>347125800</v>
      </c>
      <c r="M150" s="253" t="n">
        <v>38963100</v>
      </c>
      <c r="N150" s="253" t="n">
        <v>7084200</v>
      </c>
      <c r="O150" s="252" t="n">
        <v>0</v>
      </c>
      <c r="P150" s="18" t="inlineStr">
        <is>
          <t>Pemungut</t>
        </is>
      </c>
    </row>
    <row r="151" ht="15.5" customHeight="1">
      <c r="B151" s="249" t="n">
        <v>45302</v>
      </c>
      <c r="C151" s="15" t="n">
        <v>144</v>
      </c>
      <c r="D151" s="170" t="inlineStr">
        <is>
          <t>ALFA Service JRK-254 Pertamina Zona#4</t>
        </is>
      </c>
      <c r="E151" s="227" t="n"/>
      <c r="F151" s="250" t="n">
        <v>354210000</v>
      </c>
      <c r="G151" s="15" t="inlineStr">
        <is>
          <t>IDR</t>
        </is>
      </c>
      <c r="H151" s="251" t="n">
        <v>1</v>
      </c>
      <c r="I151" s="15" t="inlineStr">
        <is>
          <t>INV018</t>
        </is>
      </c>
      <c r="J151" s="18" t="inlineStr">
        <is>
          <t>SI Jak</t>
        </is>
      </c>
      <c r="K151" s="249" t="n">
        <v>45453</v>
      </c>
      <c r="L151" s="252" t="n">
        <v>347125800</v>
      </c>
      <c r="M151" s="253" t="n">
        <v>38963100</v>
      </c>
      <c r="N151" s="253" t="n">
        <v>7084200</v>
      </c>
      <c r="O151" s="252" t="n">
        <v>0</v>
      </c>
      <c r="P151" s="18" t="inlineStr">
        <is>
          <t>Pemungut</t>
        </is>
      </c>
    </row>
    <row r="152" ht="15.5" customHeight="1">
      <c r="B152" s="249" t="n">
        <v>45302</v>
      </c>
      <c r="C152" s="15" t="n">
        <v>145</v>
      </c>
      <c r="D152" s="170" t="inlineStr">
        <is>
          <t>ALFA Service JRK-254 Pertamina Zona#4</t>
        </is>
      </c>
      <c r="E152" s="227" t="n"/>
      <c r="F152" s="250" t="n">
        <v>354210000</v>
      </c>
      <c r="G152" s="15" t="inlineStr">
        <is>
          <t>IDR</t>
        </is>
      </c>
      <c r="H152" s="251" t="n">
        <v>1</v>
      </c>
      <c r="I152" s="15" t="inlineStr">
        <is>
          <t>INV018</t>
        </is>
      </c>
      <c r="J152" s="18" t="inlineStr">
        <is>
          <t>SI Jak</t>
        </is>
      </c>
      <c r="K152" s="249" t="n">
        <v>45453</v>
      </c>
      <c r="L152" s="252" t="n">
        <v>347125800</v>
      </c>
      <c r="M152" s="253" t="n">
        <v>38963100</v>
      </c>
      <c r="N152" s="253" t="n">
        <v>7084200</v>
      </c>
      <c r="O152" s="252" t="n">
        <v>0</v>
      </c>
      <c r="P152" s="18" t="inlineStr">
        <is>
          <t>Pemungut</t>
        </is>
      </c>
    </row>
    <row r="153" ht="15.5" customHeight="1">
      <c r="B153" s="249" t="n">
        <v>45302</v>
      </c>
      <c r="C153" s="15" t="n">
        <v>146</v>
      </c>
      <c r="D153" s="170" t="inlineStr">
        <is>
          <t>ALFA Service JRK-254 Pertamina Zona#4</t>
        </is>
      </c>
      <c r="E153" s="227" t="n"/>
      <c r="F153" s="250" t="n">
        <v>354210000</v>
      </c>
      <c r="G153" s="15" t="inlineStr">
        <is>
          <t>IDR</t>
        </is>
      </c>
      <c r="H153" s="251" t="n">
        <v>1</v>
      </c>
      <c r="I153" s="15" t="inlineStr">
        <is>
          <t>INV018</t>
        </is>
      </c>
      <c r="J153" s="18" t="inlineStr">
        <is>
          <t>SI Jak</t>
        </is>
      </c>
      <c r="K153" s="249" t="n">
        <v>45453</v>
      </c>
      <c r="L153" s="252" t="n">
        <v>347125800</v>
      </c>
      <c r="M153" s="253" t="n">
        <v>38963100</v>
      </c>
      <c r="N153" s="253" t="n">
        <v>7084200</v>
      </c>
      <c r="O153" s="252" t="n">
        <v>0</v>
      </c>
      <c r="P153" s="18" t="inlineStr">
        <is>
          <t>Pemungut</t>
        </is>
      </c>
    </row>
    <row r="154" ht="15.5" customHeight="1">
      <c r="B154" s="249" t="n">
        <v>45302</v>
      </c>
      <c r="C154" s="15" t="n">
        <v>147</v>
      </c>
      <c r="D154" s="170" t="inlineStr">
        <is>
          <t>ALFA Service JRK-254 Pertamina Zona#4</t>
        </is>
      </c>
      <c r="E154" s="227" t="n"/>
      <c r="F154" s="250" t="n">
        <v>354210000</v>
      </c>
      <c r="G154" s="15" t="inlineStr">
        <is>
          <t>IDR</t>
        </is>
      </c>
      <c r="H154" s="251" t="n">
        <v>1</v>
      </c>
      <c r="I154" s="15" t="inlineStr">
        <is>
          <t>INV018</t>
        </is>
      </c>
      <c r="J154" s="18" t="inlineStr">
        <is>
          <t>SI Jak</t>
        </is>
      </c>
      <c r="K154" s="249" t="n">
        <v>45453</v>
      </c>
      <c r="L154" s="252" t="n">
        <v>347125800</v>
      </c>
      <c r="M154" s="253" t="n">
        <v>38963100</v>
      </c>
      <c r="N154" s="253" t="n">
        <v>7084200</v>
      </c>
      <c r="O154" s="252" t="n">
        <v>0</v>
      </c>
      <c r="P154" s="18" t="inlineStr">
        <is>
          <t>Pemungut</t>
        </is>
      </c>
    </row>
    <row r="155" ht="15.5" customHeight="1">
      <c r="B155" s="249" t="n">
        <v>45302</v>
      </c>
      <c r="C155" s="15" t="n">
        <v>148</v>
      </c>
      <c r="D155" s="170" t="inlineStr">
        <is>
          <t>ALFA Service JRK-254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INV018</t>
        </is>
      </c>
      <c r="J155" s="18" t="inlineStr">
        <is>
          <t>SI Jak</t>
        </is>
      </c>
      <c r="K155" s="249" t="n">
        <v>45453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45302</v>
      </c>
      <c r="C156" s="15" t="n">
        <v>149</v>
      </c>
      <c r="D156" s="170" t="inlineStr">
        <is>
          <t>ALFA Service JRK-254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INV018</t>
        </is>
      </c>
      <c r="J156" s="18" t="inlineStr">
        <is>
          <t>SI Jak</t>
        </is>
      </c>
      <c r="K156" s="249" t="n">
        <v>45453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45302</v>
      </c>
      <c r="C157" s="15" t="n">
        <v>150</v>
      </c>
      <c r="D157" s="170" t="inlineStr">
        <is>
          <t>ALFA Service JRK-254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INV018</t>
        </is>
      </c>
      <c r="J157" s="18" t="inlineStr">
        <is>
          <t>SI Jak</t>
        </is>
      </c>
      <c r="K157" s="249" t="n">
        <v>45453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45302</v>
      </c>
      <c r="C158" s="15" t="n">
        <v>151</v>
      </c>
      <c r="D158" s="170" t="inlineStr">
        <is>
          <t>ALFA Service JRK-254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INV018</t>
        </is>
      </c>
      <c r="J158" s="18" t="inlineStr">
        <is>
          <t>SI Jak</t>
        </is>
      </c>
      <c r="K158" s="249" t="n">
        <v>45453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45302</v>
      </c>
      <c r="C159" s="15" t="n">
        <v>152</v>
      </c>
      <c r="D159" s="170" t="inlineStr">
        <is>
          <t>ALFA Service JRK-254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INV018</t>
        </is>
      </c>
      <c r="J159" s="18" t="inlineStr">
        <is>
          <t>SI Jak</t>
        </is>
      </c>
      <c r="K159" s="249" t="n">
        <v>45453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45302</v>
      </c>
      <c r="C160" s="15" t="n">
        <v>153</v>
      </c>
      <c r="D160" s="170" t="inlineStr">
        <is>
          <t>ALFA Service JRK-254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INV018</t>
        </is>
      </c>
      <c r="J160" s="18" t="inlineStr">
        <is>
          <t>SI Jak</t>
        </is>
      </c>
      <c r="K160" s="249" t="n">
        <v>45453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45302</v>
      </c>
      <c r="C161" s="15" t="n">
        <v>154</v>
      </c>
      <c r="D161" s="170" t="inlineStr">
        <is>
          <t>ALFA Service JRK-254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INV018</t>
        </is>
      </c>
      <c r="J161" s="18" t="inlineStr">
        <is>
          <t>SI Jak</t>
        </is>
      </c>
      <c r="K161" s="249" t="n">
        <v>45453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45302</v>
      </c>
      <c r="C162" s="15" t="n">
        <v>155</v>
      </c>
      <c r="D162" s="170" t="inlineStr">
        <is>
          <t>ALFA Service JRK-254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INV018</t>
        </is>
      </c>
      <c r="J162" s="18" t="inlineStr">
        <is>
          <t>SI Jak</t>
        </is>
      </c>
      <c r="K162" s="249" t="n">
        <v>45453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45302</v>
      </c>
      <c r="C163" s="15" t="n">
        <v>156</v>
      </c>
      <c r="D163" s="170" t="inlineStr">
        <is>
          <t>ALFA Service JRK-254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INV018</t>
        </is>
      </c>
      <c r="J163" s="18" t="inlineStr">
        <is>
          <t>SI Jak</t>
        </is>
      </c>
      <c r="K163" s="249" t="n">
        <v>45453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45302</v>
      </c>
      <c r="C164" s="15" t="n">
        <v>157</v>
      </c>
      <c r="D164" s="170" t="inlineStr">
        <is>
          <t>ALFA Service JRK-254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INV018</t>
        </is>
      </c>
      <c r="J164" s="18" t="inlineStr">
        <is>
          <t>SI Jak</t>
        </is>
      </c>
      <c r="K164" s="249" t="n">
        <v>45453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45302</v>
      </c>
      <c r="C165" s="15" t="n">
        <v>158</v>
      </c>
      <c r="D165" s="170" t="inlineStr">
        <is>
          <t>ALFA Service JRK-254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INV018</t>
        </is>
      </c>
      <c r="J165" s="18" t="inlineStr">
        <is>
          <t>SI Jak</t>
        </is>
      </c>
      <c r="K165" s="249" t="n">
        <v>45453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45302</v>
      </c>
      <c r="C166" s="15" t="n">
        <v>159</v>
      </c>
      <c r="D166" s="170" t="inlineStr">
        <is>
          <t>ALFA Service JRK-254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INV018</t>
        </is>
      </c>
      <c r="J166" s="18" t="inlineStr">
        <is>
          <t>SI Jak</t>
        </is>
      </c>
      <c r="K166" s="249" t="n">
        <v>45453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45302</v>
      </c>
      <c r="C167" s="15" t="n">
        <v>160</v>
      </c>
      <c r="D167" s="170" t="inlineStr">
        <is>
          <t>ALFA Service JRK-254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INV018</t>
        </is>
      </c>
      <c r="J167" s="18" t="inlineStr">
        <is>
          <t>SI Jak</t>
        </is>
      </c>
      <c r="K167" s="249" t="n">
        <v>45453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45302</v>
      </c>
      <c r="C168" s="15" t="n">
        <v>161</v>
      </c>
      <c r="D168" s="170" t="inlineStr">
        <is>
          <t>ALFA Service JRK-254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INV018</t>
        </is>
      </c>
      <c r="J168" s="18" t="inlineStr">
        <is>
          <t>SI Jak</t>
        </is>
      </c>
      <c r="K168" s="249" t="n">
        <v>45453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45302</v>
      </c>
      <c r="C169" s="15" t="n">
        <v>162</v>
      </c>
      <c r="D169" s="170" t="inlineStr">
        <is>
          <t>ALFA Service JRK-254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INV018</t>
        </is>
      </c>
      <c r="J169" s="18" t="inlineStr">
        <is>
          <t>SI Jak</t>
        </is>
      </c>
      <c r="K169" s="249" t="n">
        <v>45453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45302</v>
      </c>
      <c r="C170" s="15" t="n">
        <v>163</v>
      </c>
      <c r="D170" s="170" t="inlineStr">
        <is>
          <t>ALFA Service JRK-254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INV018</t>
        </is>
      </c>
      <c r="J170" s="18" t="inlineStr">
        <is>
          <t>SI Jak</t>
        </is>
      </c>
      <c r="K170" s="249" t="n">
        <v>45453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45302</v>
      </c>
      <c r="C171" s="15" t="n">
        <v>164</v>
      </c>
      <c r="D171" s="170" t="inlineStr">
        <is>
          <t>ALFA Service JRK-254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INV018</t>
        </is>
      </c>
      <c r="J171" s="18" t="inlineStr">
        <is>
          <t>SI Jak</t>
        </is>
      </c>
      <c r="K171" s="249" t="n">
        <v>45453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45446</v>
      </c>
      <c r="C172" s="15" t="n">
        <v>165</v>
      </c>
      <c r="D172" s="170" t="inlineStr">
        <is>
          <t>ALFA Service TLJ-58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INV020</t>
        </is>
      </c>
      <c r="J172" s="18" t="inlineStr">
        <is>
          <t>SI Jak</t>
        </is>
      </c>
      <c r="K172" s="249" t="n">
        <v>45497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45446</v>
      </c>
      <c r="C173" s="15" t="n">
        <v>166</v>
      </c>
      <c r="D173" s="170" t="inlineStr">
        <is>
          <t>ALFA Service TLJ-58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INV020</t>
        </is>
      </c>
      <c r="J173" s="18" t="inlineStr">
        <is>
          <t>SI Jak</t>
        </is>
      </c>
      <c r="K173" s="249" t="n">
        <v>45497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45446</v>
      </c>
      <c r="C174" s="15" t="n">
        <v>167</v>
      </c>
      <c r="D174" s="170" t="inlineStr">
        <is>
          <t>ALFA Service TLJ-58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INV020</t>
        </is>
      </c>
      <c r="J174" s="18" t="inlineStr">
        <is>
          <t>SI Jak</t>
        </is>
      </c>
      <c r="K174" s="249" t="n">
        <v>45497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45446</v>
      </c>
      <c r="C175" s="15" t="n">
        <v>168</v>
      </c>
      <c r="D175" s="170" t="inlineStr">
        <is>
          <t>ALFA Service TLJ-58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INV020</t>
        </is>
      </c>
      <c r="J175" s="18" t="inlineStr">
        <is>
          <t>SI Jak</t>
        </is>
      </c>
      <c r="K175" s="249" t="n">
        <v>45497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45446</v>
      </c>
      <c r="C176" s="15" t="n">
        <v>169</v>
      </c>
      <c r="D176" s="170" t="inlineStr">
        <is>
          <t>ALFA Service TLJ-58 Pertamina Zona#4</t>
        </is>
      </c>
      <c r="E176" s="227" t="n"/>
      <c r="F176" s="250" t="n">
        <v>354210000</v>
      </c>
      <c r="G176" s="15" t="inlineStr">
        <is>
          <t>IDR</t>
        </is>
      </c>
      <c r="H176" s="251" t="n">
        <v>1</v>
      </c>
      <c r="I176" s="15" t="inlineStr">
        <is>
          <t>INV020</t>
        </is>
      </c>
      <c r="J176" s="18" t="inlineStr">
        <is>
          <t>SI Jak</t>
        </is>
      </c>
      <c r="K176" s="249" t="n">
        <v>45497</v>
      </c>
      <c r="L176" s="252" t="n">
        <v>347125800</v>
      </c>
      <c r="M176" s="253" t="n">
        <v>38963100</v>
      </c>
      <c r="N176" s="253" t="n">
        <v>7084200</v>
      </c>
      <c r="O176" s="252" t="n">
        <v>0</v>
      </c>
      <c r="P176" s="18" t="inlineStr">
        <is>
          <t>Pemungut</t>
        </is>
      </c>
    </row>
    <row r="177" ht="15.5" customHeight="1">
      <c r="B177" s="249" t="n">
        <v>45446</v>
      </c>
      <c r="C177" s="15" t="n">
        <v>170</v>
      </c>
      <c r="D177" s="170" t="inlineStr">
        <is>
          <t>ALFA Service TLJ-58 Pertamina Zona#4</t>
        </is>
      </c>
      <c r="E177" s="227" t="n"/>
      <c r="F177" s="250" t="n">
        <v>354210000</v>
      </c>
      <c r="G177" s="15" t="inlineStr">
        <is>
          <t>IDR</t>
        </is>
      </c>
      <c r="H177" s="251" t="n">
        <v>1</v>
      </c>
      <c r="I177" s="15" t="inlineStr">
        <is>
          <t>INV020</t>
        </is>
      </c>
      <c r="J177" s="18" t="inlineStr">
        <is>
          <t>SI Jak</t>
        </is>
      </c>
      <c r="K177" s="249" t="n">
        <v>45497</v>
      </c>
      <c r="L177" s="252" t="n">
        <v>347125800</v>
      </c>
      <c r="M177" s="253" t="n">
        <v>38963100</v>
      </c>
      <c r="N177" s="253" t="n">
        <v>7084200</v>
      </c>
      <c r="O177" s="252" t="n">
        <v>0</v>
      </c>
      <c r="P177" s="18" t="inlineStr">
        <is>
          <t>Pemungut</t>
        </is>
      </c>
    </row>
    <row r="178" ht="15.5" customHeight="1">
      <c r="B178" s="249" t="n">
        <v>45446</v>
      </c>
      <c r="C178" s="15" t="n">
        <v>171</v>
      </c>
      <c r="D178" s="170" t="inlineStr">
        <is>
          <t>ALFA Service TLJ-58 Pertamina Zona#4</t>
        </is>
      </c>
      <c r="E178" s="227" t="n"/>
      <c r="F178" s="250" t="n">
        <v>354210000</v>
      </c>
      <c r="G178" s="15" t="inlineStr">
        <is>
          <t>IDR</t>
        </is>
      </c>
      <c r="H178" s="251" t="n">
        <v>1</v>
      </c>
      <c r="I178" s="15" t="inlineStr">
        <is>
          <t>INV020</t>
        </is>
      </c>
      <c r="J178" s="18" t="inlineStr">
        <is>
          <t>SI Jak</t>
        </is>
      </c>
      <c r="K178" s="249" t="n">
        <v>45497</v>
      </c>
      <c r="L178" s="252" t="n">
        <v>347125800</v>
      </c>
      <c r="M178" s="253" t="n">
        <v>38963100</v>
      </c>
      <c r="N178" s="253" t="n">
        <v>7084200</v>
      </c>
      <c r="O178" s="252" t="n">
        <v>0</v>
      </c>
      <c r="P178" s="18" t="inlineStr">
        <is>
          <t>Pemungut</t>
        </is>
      </c>
    </row>
    <row r="179" ht="15.5" customHeight="1">
      <c r="B179" s="249" t="n">
        <v>45446</v>
      </c>
      <c r="C179" s="15" t="n">
        <v>172</v>
      </c>
      <c r="D179" s="170" t="inlineStr">
        <is>
          <t>ALFA Service TLJ-58 Pertamina Zona#4</t>
        </is>
      </c>
      <c r="E179" s="227" t="n"/>
      <c r="F179" s="250" t="n">
        <v>354210000</v>
      </c>
      <c r="G179" s="15" t="inlineStr">
        <is>
          <t>IDR</t>
        </is>
      </c>
      <c r="H179" s="251" t="n">
        <v>1</v>
      </c>
      <c r="I179" s="15" t="inlineStr">
        <is>
          <t>INV020</t>
        </is>
      </c>
      <c r="J179" s="18" t="inlineStr">
        <is>
          <t>SI Jak</t>
        </is>
      </c>
      <c r="K179" s="249" t="n">
        <v>45497</v>
      </c>
      <c r="L179" s="252" t="n">
        <v>347125800</v>
      </c>
      <c r="M179" s="253" t="n">
        <v>38963100</v>
      </c>
      <c r="N179" s="253" t="n">
        <v>7084200</v>
      </c>
      <c r="O179" s="252" t="n">
        <v>0</v>
      </c>
      <c r="P179" s="18" t="inlineStr">
        <is>
          <t>Pemungut</t>
        </is>
      </c>
    </row>
    <row r="180" ht="15.5" customHeight="1">
      <c r="B180" s="249" t="n">
        <v>45446</v>
      </c>
      <c r="C180" s="15" t="n">
        <v>173</v>
      </c>
      <c r="D180" s="170" t="inlineStr">
        <is>
          <t>ALFA Service TLJ-58 Pertamina Zona#4</t>
        </is>
      </c>
      <c r="E180" s="227" t="n"/>
      <c r="F180" s="250" t="n">
        <v>354210000</v>
      </c>
      <c r="G180" s="15" t="inlineStr">
        <is>
          <t>IDR</t>
        </is>
      </c>
      <c r="H180" s="251" t="n">
        <v>1</v>
      </c>
      <c r="I180" s="15" t="inlineStr">
        <is>
          <t>INV020</t>
        </is>
      </c>
      <c r="J180" s="18" t="inlineStr">
        <is>
          <t>SI Jak</t>
        </is>
      </c>
      <c r="K180" s="249" t="n">
        <v>45497</v>
      </c>
      <c r="L180" s="252" t="n">
        <v>347125800</v>
      </c>
      <c r="M180" s="253" t="n">
        <v>38963100</v>
      </c>
      <c r="N180" s="253" t="n">
        <v>7084200</v>
      </c>
      <c r="O180" s="252" t="n">
        <v>0</v>
      </c>
      <c r="P180" s="18" t="inlineStr">
        <is>
          <t>Pemungut</t>
        </is>
      </c>
    </row>
    <row r="181" ht="15.5" customHeight="1">
      <c r="B181" s="249" t="n">
        <v>45446</v>
      </c>
      <c r="C181" s="15" t="n">
        <v>174</v>
      </c>
      <c r="D181" s="170" t="inlineStr">
        <is>
          <t>ALFA Service TLJ-58 Pertamina Zona#4</t>
        </is>
      </c>
      <c r="E181" s="227" t="n"/>
      <c r="F181" s="250" t="n">
        <v>354210000</v>
      </c>
      <c r="G181" s="15" t="inlineStr">
        <is>
          <t>IDR</t>
        </is>
      </c>
      <c r="H181" s="251" t="n">
        <v>1</v>
      </c>
      <c r="I181" s="15" t="inlineStr">
        <is>
          <t>INV020</t>
        </is>
      </c>
      <c r="J181" s="18" t="inlineStr">
        <is>
          <t>SI Jak</t>
        </is>
      </c>
      <c r="K181" s="249" t="n">
        <v>45497</v>
      </c>
      <c r="L181" s="252" t="n">
        <v>347125800</v>
      </c>
      <c r="M181" s="253" t="n">
        <v>38963100</v>
      </c>
      <c r="N181" s="253" t="n">
        <v>7084200</v>
      </c>
      <c r="O181" s="252" t="n">
        <v>0</v>
      </c>
      <c r="P181" s="18" t="inlineStr">
        <is>
          <t>Pemungut</t>
        </is>
      </c>
    </row>
    <row r="182" ht="15.5" customHeight="1">
      <c r="B182" s="249" t="n">
        <v>45446</v>
      </c>
      <c r="C182" s="15" t="n">
        <v>175</v>
      </c>
      <c r="D182" s="170" t="inlineStr">
        <is>
          <t>ALFA Service TLJ-58 Pertamina Zona#4</t>
        </is>
      </c>
      <c r="E182" s="227" t="n"/>
      <c r="F182" s="250" t="n">
        <v>354210000</v>
      </c>
      <c r="G182" s="15" t="inlineStr">
        <is>
          <t>IDR</t>
        </is>
      </c>
      <c r="H182" s="251" t="n">
        <v>1</v>
      </c>
      <c r="I182" s="15" t="inlineStr">
        <is>
          <t>INV020</t>
        </is>
      </c>
      <c r="J182" s="18" t="inlineStr">
        <is>
          <t>SI Jak</t>
        </is>
      </c>
      <c r="K182" s="249" t="n">
        <v>45497</v>
      </c>
      <c r="L182" s="252" t="n">
        <v>347125800</v>
      </c>
      <c r="M182" s="253" t="n">
        <v>38963100</v>
      </c>
      <c r="N182" s="253" t="n">
        <v>7084200</v>
      </c>
      <c r="O182" s="252" t="n">
        <v>0</v>
      </c>
      <c r="P182" s="18" t="inlineStr">
        <is>
          <t>Pemungut</t>
        </is>
      </c>
    </row>
    <row r="183" ht="15.5" customHeight="1">
      <c r="B183" s="249" t="n">
        <v>45446</v>
      </c>
      <c r="C183" s="15" t="n">
        <v>176</v>
      </c>
      <c r="D183" s="170" t="inlineStr">
        <is>
          <t>ALFA Service TLJ-58 Pertamina Zona#4</t>
        </is>
      </c>
      <c r="E183" s="227" t="n"/>
      <c r="F183" s="250" t="n">
        <v>354210000</v>
      </c>
      <c r="G183" s="15" t="inlineStr">
        <is>
          <t>IDR</t>
        </is>
      </c>
      <c r="H183" s="251" t="n">
        <v>1</v>
      </c>
      <c r="I183" s="15" t="inlineStr">
        <is>
          <t>INV020</t>
        </is>
      </c>
      <c r="J183" s="18" t="inlineStr">
        <is>
          <t>SI Jak</t>
        </is>
      </c>
      <c r="K183" s="249" t="n">
        <v>45497</v>
      </c>
      <c r="L183" s="252" t="n">
        <v>347125800</v>
      </c>
      <c r="M183" s="253" t="n">
        <v>38963100</v>
      </c>
      <c r="N183" s="253" t="n">
        <v>7084200</v>
      </c>
      <c r="O183" s="252" t="n">
        <v>0</v>
      </c>
      <c r="P183" s="18" t="inlineStr">
        <is>
          <t>Pemungut</t>
        </is>
      </c>
    </row>
    <row r="184" ht="15.5" customHeight="1">
      <c r="B184" s="249" t="n">
        <v>45446</v>
      </c>
      <c r="C184" s="15" t="n">
        <v>177</v>
      </c>
      <c r="D184" s="170" t="inlineStr">
        <is>
          <t>ALFA Service TLJ-58 Pertamina Zona#4</t>
        </is>
      </c>
      <c r="E184" s="227" t="n"/>
      <c r="F184" s="250" t="n">
        <v>354210000</v>
      </c>
      <c r="G184" s="15" t="inlineStr">
        <is>
          <t>IDR</t>
        </is>
      </c>
      <c r="H184" s="251" t="n">
        <v>1</v>
      </c>
      <c r="I184" s="15" t="inlineStr">
        <is>
          <t>INV020</t>
        </is>
      </c>
      <c r="J184" s="18" t="inlineStr">
        <is>
          <t>SI Jak</t>
        </is>
      </c>
      <c r="K184" s="249" t="n">
        <v>45497</v>
      </c>
      <c r="L184" s="252" t="n">
        <v>347125800</v>
      </c>
      <c r="M184" s="253" t="n">
        <v>38963100</v>
      </c>
      <c r="N184" s="253" t="n">
        <v>7084200</v>
      </c>
      <c r="O184" s="252" t="n">
        <v>0</v>
      </c>
      <c r="P184" s="18" t="inlineStr">
        <is>
          <t>Pemungut</t>
        </is>
      </c>
    </row>
    <row r="185" ht="15.5" customHeight="1">
      <c r="B185" s="249" t="n">
        <v>45446</v>
      </c>
      <c r="C185" s="15" t="n">
        <v>178</v>
      </c>
      <c r="D185" s="170" t="inlineStr">
        <is>
          <t>ALFA Service TLJ-58 Pertamina Zona#4</t>
        </is>
      </c>
      <c r="E185" s="227" t="n"/>
      <c r="F185" s="250" t="n">
        <v>354210000</v>
      </c>
      <c r="G185" s="15" t="inlineStr">
        <is>
          <t>IDR</t>
        </is>
      </c>
      <c r="H185" s="251" t="n">
        <v>1</v>
      </c>
      <c r="I185" s="15" t="inlineStr">
        <is>
          <t>INV020</t>
        </is>
      </c>
      <c r="J185" s="18" t="inlineStr">
        <is>
          <t>SI Jak</t>
        </is>
      </c>
      <c r="K185" s="249" t="n">
        <v>45497</v>
      </c>
      <c r="L185" s="252" t="n">
        <v>347125800</v>
      </c>
      <c r="M185" s="253" t="n">
        <v>38963100</v>
      </c>
      <c r="N185" s="253" t="n">
        <v>7084200</v>
      </c>
      <c r="O185" s="252" t="n">
        <v>0</v>
      </c>
      <c r="P185" s="18" t="inlineStr">
        <is>
          <t>Pemungut</t>
        </is>
      </c>
    </row>
    <row r="186" ht="15.5" customHeight="1">
      <c r="B186" s="249" t="n">
        <v>45446</v>
      </c>
      <c r="C186" s="15" t="n">
        <v>179</v>
      </c>
      <c r="D186" s="170" t="inlineStr">
        <is>
          <t>ALFA Service TLJ-58 Pertamina Zona#4</t>
        </is>
      </c>
      <c r="E186" s="227" t="n"/>
      <c r="F186" s="250" t="n">
        <v>354210000</v>
      </c>
      <c r="G186" s="15" t="inlineStr">
        <is>
          <t>IDR</t>
        </is>
      </c>
      <c r="H186" s="251" t="n">
        <v>1</v>
      </c>
      <c r="I186" s="15" t="inlineStr">
        <is>
          <t>INV020</t>
        </is>
      </c>
      <c r="J186" s="18" t="inlineStr">
        <is>
          <t>SI Jak</t>
        </is>
      </c>
      <c r="K186" s="249" t="n">
        <v>45497</v>
      </c>
      <c r="L186" s="252" t="n">
        <v>347125800</v>
      </c>
      <c r="M186" s="253" t="n">
        <v>38963100</v>
      </c>
      <c r="N186" s="253" t="n">
        <v>7084200</v>
      </c>
      <c r="O186" s="252" t="n">
        <v>0</v>
      </c>
      <c r="P186" s="18" t="inlineStr">
        <is>
          <t>Pemungut</t>
        </is>
      </c>
    </row>
    <row r="187" ht="15.5" customHeight="1">
      <c r="B187" s="249" t="n">
        <v>45446</v>
      </c>
      <c r="C187" s="15" t="n">
        <v>180</v>
      </c>
      <c r="D187" s="170" t="inlineStr">
        <is>
          <t>ALFA Service TLJ-58 Pertamina Zona#4</t>
        </is>
      </c>
      <c r="E187" s="227" t="n"/>
      <c r="F187" s="250" t="n">
        <v>354210000</v>
      </c>
      <c r="G187" s="15" t="inlineStr">
        <is>
          <t>IDR</t>
        </is>
      </c>
      <c r="H187" s="251" t="n">
        <v>1</v>
      </c>
      <c r="I187" s="15" t="inlineStr">
        <is>
          <t>INV020</t>
        </is>
      </c>
      <c r="J187" s="18" t="inlineStr">
        <is>
          <t>SI Jak</t>
        </is>
      </c>
      <c r="K187" s="249" t="n">
        <v>45497</v>
      </c>
      <c r="L187" s="252" t="n">
        <v>347125800</v>
      </c>
      <c r="M187" s="253" t="n">
        <v>38963100</v>
      </c>
      <c r="N187" s="253" t="n">
        <v>7084200</v>
      </c>
      <c r="O187" s="252" t="n">
        <v>0</v>
      </c>
      <c r="P187" s="18" t="inlineStr">
        <is>
          <t>Pemungut</t>
        </is>
      </c>
    </row>
    <row r="188" ht="15.5" customHeight="1">
      <c r="B188" s="249" t="n">
        <v>45446</v>
      </c>
      <c r="C188" s="15" t="n">
        <v>181</v>
      </c>
      <c r="D188" s="170" t="inlineStr">
        <is>
          <t>ALFA Service TLJ-58 Pertamina Zona#4</t>
        </is>
      </c>
      <c r="E188" s="227" t="n"/>
      <c r="F188" s="250" t="n">
        <v>354210000</v>
      </c>
      <c r="G188" s="15" t="inlineStr">
        <is>
          <t>IDR</t>
        </is>
      </c>
      <c r="H188" s="251" t="n">
        <v>1</v>
      </c>
      <c r="I188" s="15" t="inlineStr">
        <is>
          <t>INV020</t>
        </is>
      </c>
      <c r="J188" s="18" t="inlineStr">
        <is>
          <t>SI Jak</t>
        </is>
      </c>
      <c r="K188" s="249" t="n">
        <v>45497</v>
      </c>
      <c r="L188" s="252" t="n">
        <v>347125800</v>
      </c>
      <c r="M188" s="253" t="n">
        <v>38963100</v>
      </c>
      <c r="N188" s="253" t="n">
        <v>7084200</v>
      </c>
      <c r="O188" s="252" t="n">
        <v>0</v>
      </c>
      <c r="P188" s="18" t="inlineStr">
        <is>
          <t>Pemungut</t>
        </is>
      </c>
    </row>
    <row r="189" ht="15.5" customHeight="1">
      <c r="B189" s="249" t="n">
        <v>45446</v>
      </c>
      <c r="C189" s="15" t="n">
        <v>182</v>
      </c>
      <c r="D189" s="170" t="inlineStr">
        <is>
          <t>ALFA Service TLJ-58 Pertamina Zona#4</t>
        </is>
      </c>
      <c r="E189" s="227" t="n"/>
      <c r="F189" s="250" t="n">
        <v>354210000</v>
      </c>
      <c r="G189" s="15" t="inlineStr">
        <is>
          <t>IDR</t>
        </is>
      </c>
      <c r="H189" s="251" t="n">
        <v>1</v>
      </c>
      <c r="I189" s="15" t="inlineStr">
        <is>
          <t>INV020</t>
        </is>
      </c>
      <c r="J189" s="18" t="inlineStr">
        <is>
          <t>SI Jak</t>
        </is>
      </c>
      <c r="K189" s="249" t="n">
        <v>45497</v>
      </c>
      <c r="L189" s="252" t="n">
        <v>347125800</v>
      </c>
      <c r="M189" s="253" t="n">
        <v>38963100</v>
      </c>
      <c r="N189" s="253" t="n">
        <v>7084200</v>
      </c>
      <c r="O189" s="252" t="n">
        <v>0</v>
      </c>
      <c r="P189" s="18" t="inlineStr">
        <is>
          <t>Pemungut</t>
        </is>
      </c>
    </row>
    <row r="190" ht="15.5" customHeight="1">
      <c r="B190" s="249" t="n">
        <v>45446</v>
      </c>
      <c r="C190" s="15" t="n">
        <v>183</v>
      </c>
      <c r="D190" s="170" t="inlineStr">
        <is>
          <t>ALFA Service TLJ-58 Pertamina Zona#4</t>
        </is>
      </c>
      <c r="E190" s="227" t="n"/>
      <c r="F190" s="250" t="n">
        <v>354210000</v>
      </c>
      <c r="G190" s="15" t="inlineStr">
        <is>
          <t>IDR</t>
        </is>
      </c>
      <c r="H190" s="251" t="n">
        <v>1</v>
      </c>
      <c r="I190" s="15" t="inlineStr">
        <is>
          <t>INV020</t>
        </is>
      </c>
      <c r="J190" s="18" t="inlineStr">
        <is>
          <t>SI Jak</t>
        </is>
      </c>
      <c r="K190" s="249" t="n">
        <v>45497</v>
      </c>
      <c r="L190" s="252" t="n">
        <v>347125800</v>
      </c>
      <c r="M190" s="253" t="n">
        <v>38963100</v>
      </c>
      <c r="N190" s="253" t="n">
        <v>7084200</v>
      </c>
      <c r="O190" s="252" t="n">
        <v>0</v>
      </c>
      <c r="P190" s="18" t="inlineStr">
        <is>
          <t>Pemungut</t>
        </is>
      </c>
    </row>
    <row r="191" ht="15.5" customHeight="1">
      <c r="B191" s="249" t="n">
        <v>45446</v>
      </c>
      <c r="C191" s="15" t="n">
        <v>184</v>
      </c>
      <c r="D191" s="170" t="inlineStr">
        <is>
          <t>ALFA Service TLJ-58 Pertamina Zona#4</t>
        </is>
      </c>
      <c r="E191" s="227" t="n"/>
      <c r="F191" s="250" t="n">
        <v>354210000</v>
      </c>
      <c r="G191" s="15" t="inlineStr">
        <is>
          <t>IDR</t>
        </is>
      </c>
      <c r="H191" s="251" t="n">
        <v>1</v>
      </c>
      <c r="I191" s="15" t="inlineStr">
        <is>
          <t>INV020</t>
        </is>
      </c>
      <c r="J191" s="18" t="inlineStr">
        <is>
          <t>SI Jak</t>
        </is>
      </c>
      <c r="K191" s="249" t="n">
        <v>45497</v>
      </c>
      <c r="L191" s="252" t="n">
        <v>347125800</v>
      </c>
      <c r="M191" s="253" t="n">
        <v>38963100</v>
      </c>
      <c r="N191" s="253" t="n">
        <v>7084200</v>
      </c>
      <c r="O191" s="252" t="n">
        <v>0</v>
      </c>
      <c r="P191" s="18" t="inlineStr">
        <is>
          <t>Pemungut</t>
        </is>
      </c>
    </row>
    <row r="192" ht="15.5" customHeight="1">
      <c r="B192" s="249" t="n">
        <v>45446</v>
      </c>
      <c r="C192" s="15" t="n">
        <v>185</v>
      </c>
      <c r="D192" s="170" t="inlineStr">
        <is>
          <t>ALFA Service TLJ-58 Pertamina Zona#4</t>
        </is>
      </c>
      <c r="E192" s="227" t="n"/>
      <c r="F192" s="250" t="n">
        <v>354210000</v>
      </c>
      <c r="G192" s="15" t="inlineStr">
        <is>
          <t>IDR</t>
        </is>
      </c>
      <c r="H192" s="251" t="n">
        <v>1</v>
      </c>
      <c r="I192" s="15" t="inlineStr">
        <is>
          <t>INV020</t>
        </is>
      </c>
      <c r="J192" s="18" t="inlineStr">
        <is>
          <t>SI Jak</t>
        </is>
      </c>
      <c r="K192" s="249" t="n">
        <v>45497</v>
      </c>
      <c r="L192" s="252" t="n">
        <v>347125800</v>
      </c>
      <c r="M192" s="253" t="n">
        <v>38963100</v>
      </c>
      <c r="N192" s="253" t="n">
        <v>7084200</v>
      </c>
      <c r="O192" s="252" t="n">
        <v>0</v>
      </c>
      <c r="P192" s="18" t="inlineStr">
        <is>
          <t>Pemungut</t>
        </is>
      </c>
    </row>
    <row r="193" ht="15.5" customHeight="1">
      <c r="B193" s="249" t="n">
        <v>45446</v>
      </c>
      <c r="C193" s="15" t="n">
        <v>186</v>
      </c>
      <c r="D193" s="170" t="inlineStr">
        <is>
          <t>ALFA Service TLJ-58 Pertamina Zona#4</t>
        </is>
      </c>
      <c r="E193" s="227" t="n"/>
      <c r="F193" s="250" t="n">
        <v>354210000</v>
      </c>
      <c r="G193" s="15" t="inlineStr">
        <is>
          <t>IDR</t>
        </is>
      </c>
      <c r="H193" s="251" t="n">
        <v>1</v>
      </c>
      <c r="I193" s="15" t="inlineStr">
        <is>
          <t>INV020</t>
        </is>
      </c>
      <c r="J193" s="18" t="inlineStr">
        <is>
          <t>SI Jak</t>
        </is>
      </c>
      <c r="K193" s="249" t="n">
        <v>45497</v>
      </c>
      <c r="L193" s="252" t="n">
        <v>347125800</v>
      </c>
      <c r="M193" s="253" t="n">
        <v>38963100</v>
      </c>
      <c r="N193" s="253" t="n">
        <v>7084200</v>
      </c>
      <c r="O193" s="252" t="n">
        <v>0</v>
      </c>
      <c r="P193" s="18" t="inlineStr">
        <is>
          <t>Pemungut</t>
        </is>
      </c>
    </row>
    <row r="194" ht="15.5" customHeight="1">
      <c r="B194" s="249" t="n">
        <v>45446</v>
      </c>
      <c r="C194" s="15" t="n">
        <v>187</v>
      </c>
      <c r="D194" s="170" t="inlineStr">
        <is>
          <t>ALFA Service TLJ-58 Pertamina Zona#4</t>
        </is>
      </c>
      <c r="E194" s="227" t="n"/>
      <c r="F194" s="250" t="n">
        <v>354210000</v>
      </c>
      <c r="G194" s="15" t="inlineStr">
        <is>
          <t>IDR</t>
        </is>
      </c>
      <c r="H194" s="251" t="n">
        <v>1</v>
      </c>
      <c r="I194" s="15" t="inlineStr">
        <is>
          <t>INV020</t>
        </is>
      </c>
      <c r="J194" s="18" t="inlineStr">
        <is>
          <t>SI Jak</t>
        </is>
      </c>
      <c r="K194" s="249" t="n">
        <v>45497</v>
      </c>
      <c r="L194" s="252" t="n">
        <v>347125800</v>
      </c>
      <c r="M194" s="253" t="n">
        <v>38963100</v>
      </c>
      <c r="N194" s="253" t="n">
        <v>7084200</v>
      </c>
      <c r="O194" s="252" t="n">
        <v>0</v>
      </c>
      <c r="P194" s="18" t="inlineStr">
        <is>
          <t>Pemungut</t>
        </is>
      </c>
    </row>
    <row r="195" ht="15.5" customHeight="1">
      <c r="B195" s="249" t="n">
        <v>45446</v>
      </c>
      <c r="C195" s="15" t="n">
        <v>188</v>
      </c>
      <c r="D195" s="170" t="inlineStr">
        <is>
          <t>ALFA Service TLJ-58 Pertamina Zona#4</t>
        </is>
      </c>
      <c r="E195" s="227" t="n"/>
      <c r="F195" s="250" t="n">
        <v>354210000</v>
      </c>
      <c r="G195" s="15" t="inlineStr">
        <is>
          <t>IDR</t>
        </is>
      </c>
      <c r="H195" s="251" t="n">
        <v>1</v>
      </c>
      <c r="I195" s="15" t="inlineStr">
        <is>
          <t>INV020</t>
        </is>
      </c>
      <c r="J195" s="18" t="inlineStr">
        <is>
          <t>SI Jak</t>
        </is>
      </c>
      <c r="K195" s="249" t="n">
        <v>45497</v>
      </c>
      <c r="L195" s="252" t="n">
        <v>347125800</v>
      </c>
      <c r="M195" s="253" t="n">
        <v>38963100</v>
      </c>
      <c r="N195" s="253" t="n">
        <v>7084200</v>
      </c>
      <c r="O195" s="252" t="n">
        <v>0</v>
      </c>
      <c r="P195" s="18" t="inlineStr">
        <is>
          <t>Pemungut</t>
        </is>
      </c>
    </row>
    <row r="196" ht="15.5" customHeight="1">
      <c r="B196" s="249" t="n">
        <v>45446</v>
      </c>
      <c r="C196" s="15" t="n">
        <v>189</v>
      </c>
      <c r="D196" s="170" t="inlineStr">
        <is>
          <t>ALFA Service TLJ-58 Pertamina Zona#4</t>
        </is>
      </c>
      <c r="E196" s="227" t="n"/>
      <c r="F196" s="250" t="n">
        <v>354210000</v>
      </c>
      <c r="G196" s="15" t="inlineStr">
        <is>
          <t>IDR</t>
        </is>
      </c>
      <c r="H196" s="251" t="n">
        <v>1</v>
      </c>
      <c r="I196" s="15" t="inlineStr">
        <is>
          <t>INV020</t>
        </is>
      </c>
      <c r="J196" s="18" t="inlineStr">
        <is>
          <t>SI Jak</t>
        </is>
      </c>
      <c r="K196" s="249" t="n">
        <v>45497</v>
      </c>
      <c r="L196" s="252" t="n">
        <v>347125800</v>
      </c>
      <c r="M196" s="253" t="n">
        <v>38963100</v>
      </c>
      <c r="N196" s="253" t="n">
        <v>7084200</v>
      </c>
      <c r="O196" s="252" t="n">
        <v>0</v>
      </c>
      <c r="P196" s="18" t="inlineStr">
        <is>
          <t>Pemungut</t>
        </is>
      </c>
    </row>
    <row r="197" ht="15.5" customHeight="1">
      <c r="B197" s="249" t="n">
        <v>45446</v>
      </c>
      <c r="C197" s="15" t="n">
        <v>190</v>
      </c>
      <c r="D197" s="170" t="inlineStr">
        <is>
          <t>ALFA Service TLJ-58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INV020</t>
        </is>
      </c>
      <c r="J197" s="18" t="inlineStr">
        <is>
          <t>SI Jak</t>
        </is>
      </c>
      <c r="K197" s="249" t="n">
        <v>45497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45446</v>
      </c>
      <c r="C198" s="15" t="n">
        <v>191</v>
      </c>
      <c r="D198" s="170" t="inlineStr">
        <is>
          <t>ALFA Service TLJ-58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INV020</t>
        </is>
      </c>
      <c r="J198" s="18" t="inlineStr">
        <is>
          <t>SI Jak</t>
        </is>
      </c>
      <c r="K198" s="249" t="n">
        <v>45497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45446</v>
      </c>
      <c r="C199" s="15" t="n">
        <v>192</v>
      </c>
      <c r="D199" s="170" t="inlineStr">
        <is>
          <t>ALFA Service TLJ-58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INV020</t>
        </is>
      </c>
      <c r="J199" s="18" t="inlineStr">
        <is>
          <t>SI Jak</t>
        </is>
      </c>
      <c r="K199" s="249" t="n">
        <v>45497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45446</v>
      </c>
      <c r="C200" s="15" t="n">
        <v>193</v>
      </c>
      <c r="D200" s="170" t="inlineStr">
        <is>
          <t>ALFA Service TLJ-58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INV020</t>
        </is>
      </c>
      <c r="J200" s="18" t="inlineStr">
        <is>
          <t>SI Jak</t>
        </is>
      </c>
      <c r="K200" s="249" t="n">
        <v>45497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45446</v>
      </c>
      <c r="C201" s="15" t="n">
        <v>194</v>
      </c>
      <c r="D201" s="170" t="inlineStr">
        <is>
          <t>ALFA Service TLJ-58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INV020</t>
        </is>
      </c>
      <c r="J201" s="18" t="inlineStr">
        <is>
          <t>SI Jak</t>
        </is>
      </c>
      <c r="K201" s="249" t="n">
        <v>45497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45446</v>
      </c>
      <c r="C202" s="15" t="n">
        <v>195</v>
      </c>
      <c r="D202" s="170" t="inlineStr">
        <is>
          <t>ALFA Service TLJ-58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INV020</t>
        </is>
      </c>
      <c r="J202" s="18" t="inlineStr">
        <is>
          <t>SI Jak</t>
        </is>
      </c>
      <c r="K202" s="249" t="n">
        <v>45497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45446</v>
      </c>
      <c r="C203" s="15" t="n">
        <v>196</v>
      </c>
      <c r="D203" s="170" t="inlineStr">
        <is>
          <t>ALFA Service TLJ-58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INV020</t>
        </is>
      </c>
      <c r="J203" s="18" t="inlineStr">
        <is>
          <t>SI Jak</t>
        </is>
      </c>
      <c r="K203" s="249" t="n">
        <v>45497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45446</v>
      </c>
      <c r="C204" s="15" t="n">
        <v>197</v>
      </c>
      <c r="D204" s="170" t="inlineStr">
        <is>
          <t>ALFA Service TLJ-58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INV020</t>
        </is>
      </c>
      <c r="J204" s="18" t="inlineStr">
        <is>
          <t>SI Jak</t>
        </is>
      </c>
      <c r="K204" s="249" t="n">
        <v>45497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45446</v>
      </c>
      <c r="C205" s="15" t="n">
        <v>198</v>
      </c>
      <c r="D205" s="170" t="inlineStr">
        <is>
          <t>ALFA Service TLJ-58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INV020</t>
        </is>
      </c>
      <c r="J205" s="18" t="inlineStr">
        <is>
          <t>SI Jak</t>
        </is>
      </c>
      <c r="K205" s="249" t="n">
        <v>45497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45446</v>
      </c>
      <c r="C206" s="15" t="n">
        <v>199</v>
      </c>
      <c r="D206" s="170" t="inlineStr">
        <is>
          <t>ALFA Service TLJ-58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INV020</t>
        </is>
      </c>
      <c r="J206" s="18" t="inlineStr">
        <is>
          <t>SI Jak</t>
        </is>
      </c>
      <c r="K206" s="249" t="n">
        <v>45497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45446</v>
      </c>
      <c r="C207" s="15" t="n">
        <v>200</v>
      </c>
      <c r="D207" s="170" t="inlineStr">
        <is>
          <t>ALFA Service TLJ-58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INV020</t>
        </is>
      </c>
      <c r="J207" s="18" t="inlineStr">
        <is>
          <t>SI Jak</t>
        </is>
      </c>
      <c r="K207" s="249" t="n">
        <v>45497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45446</v>
      </c>
      <c r="C208" s="15" t="n">
        <v>201</v>
      </c>
      <c r="D208" s="170" t="inlineStr">
        <is>
          <t>ALFA Service TLJ-58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INV020</t>
        </is>
      </c>
      <c r="J208" s="18" t="inlineStr">
        <is>
          <t>SI Jak</t>
        </is>
      </c>
      <c r="K208" s="249" t="n">
        <v>45497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45446</v>
      </c>
      <c r="C209" s="15" t="n">
        <v>202</v>
      </c>
      <c r="D209" s="170" t="inlineStr">
        <is>
          <t>ALFA Service TLJ-58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INV020</t>
        </is>
      </c>
      <c r="J209" s="18" t="inlineStr">
        <is>
          <t>SI Jak</t>
        </is>
      </c>
      <c r="K209" s="249" t="n">
        <v>45497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45446</v>
      </c>
      <c r="C210" s="15" t="n">
        <v>203</v>
      </c>
      <c r="D210" s="170" t="inlineStr">
        <is>
          <t>ALFA Service TLJ-58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INV020</t>
        </is>
      </c>
      <c r="J210" s="18" t="inlineStr">
        <is>
          <t>SI Jak</t>
        </is>
      </c>
      <c r="K210" s="249" t="n">
        <v>45497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45446</v>
      </c>
      <c r="C211" s="15" t="n">
        <v>204</v>
      </c>
      <c r="D211" s="170" t="inlineStr">
        <is>
          <t>ALFA Service TLJ-58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INV020</t>
        </is>
      </c>
      <c r="J211" s="18" t="inlineStr">
        <is>
          <t>SI Jak</t>
        </is>
      </c>
      <c r="K211" s="249" t="n">
        <v>45497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45446</v>
      </c>
      <c r="C212" s="15" t="n">
        <v>205</v>
      </c>
      <c r="D212" s="170" t="inlineStr">
        <is>
          <t>ALFA Service TLJ-58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INV020</t>
        </is>
      </c>
      <c r="J212" s="18" t="inlineStr">
        <is>
          <t>SI Jak</t>
        </is>
      </c>
      <c r="K212" s="249" t="n">
        <v>45497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45447</v>
      </c>
      <c r="C213" s="15" t="n">
        <v>206</v>
      </c>
      <c r="D213" s="170" t="inlineStr">
        <is>
          <t>ALFA Service JRK-193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INV021</t>
        </is>
      </c>
      <c r="J213" s="18" t="inlineStr">
        <is>
          <t>SI Jak</t>
        </is>
      </c>
      <c r="K213" s="249" t="n">
        <v>45516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45447</v>
      </c>
      <c r="C214" s="15" t="n">
        <v>207</v>
      </c>
      <c r="D214" s="170" t="inlineStr">
        <is>
          <t>ALFA Service JRK-193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INV021</t>
        </is>
      </c>
      <c r="J214" s="18" t="inlineStr">
        <is>
          <t>SI Jak</t>
        </is>
      </c>
      <c r="K214" s="249" t="n">
        <v>45516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45447</v>
      </c>
      <c r="C215" s="15" t="n">
        <v>208</v>
      </c>
      <c r="D215" s="170" t="inlineStr">
        <is>
          <t>ALFA Service JRK-193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INV021</t>
        </is>
      </c>
      <c r="J215" s="18" t="inlineStr">
        <is>
          <t>SI Jak</t>
        </is>
      </c>
      <c r="K215" s="249" t="n">
        <v>45516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45447</v>
      </c>
      <c r="C216" s="15" t="n">
        <v>209</v>
      </c>
      <c r="D216" s="170" t="inlineStr">
        <is>
          <t>ALFA Service JRK-193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INV021</t>
        </is>
      </c>
      <c r="J216" s="18" t="inlineStr">
        <is>
          <t>SI Jak</t>
        </is>
      </c>
      <c r="K216" s="249" t="n">
        <v>45516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45447</v>
      </c>
      <c r="C217" s="15" t="n">
        <v>210</v>
      </c>
      <c r="D217" s="170" t="inlineStr">
        <is>
          <t>ALFA Service JRK-193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INV021</t>
        </is>
      </c>
      <c r="J217" s="18" t="inlineStr">
        <is>
          <t>SI Jak</t>
        </is>
      </c>
      <c r="K217" s="249" t="n">
        <v>45516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45447</v>
      </c>
      <c r="C218" s="15" t="n">
        <v>211</v>
      </c>
      <c r="D218" s="170" t="inlineStr">
        <is>
          <t>ALFA Service JRK-193 Pertamina Zona#4</t>
        </is>
      </c>
      <c r="E218" s="227" t="n"/>
      <c r="F218" s="250" t="n">
        <v>354210000</v>
      </c>
      <c r="G218" s="15" t="inlineStr">
        <is>
          <t>IDR</t>
        </is>
      </c>
      <c r="H218" s="251" t="n">
        <v>1</v>
      </c>
      <c r="I218" s="15" t="inlineStr">
        <is>
          <t>INV021</t>
        </is>
      </c>
      <c r="J218" s="18" t="inlineStr">
        <is>
          <t>SI Jak</t>
        </is>
      </c>
      <c r="K218" s="249" t="n">
        <v>45516</v>
      </c>
      <c r="L218" s="252" t="n">
        <v>347125800</v>
      </c>
      <c r="M218" s="253" t="n">
        <v>38963100</v>
      </c>
      <c r="N218" s="253" t="n">
        <v>7084200</v>
      </c>
      <c r="O218" s="252" t="n">
        <v>0</v>
      </c>
      <c r="P218" s="18" t="inlineStr">
        <is>
          <t>Pemungut</t>
        </is>
      </c>
    </row>
    <row r="219" ht="15.5" customHeight="1">
      <c r="B219" s="249" t="n">
        <v>45447</v>
      </c>
      <c r="C219" s="15" t="n">
        <v>212</v>
      </c>
      <c r="D219" s="170" t="inlineStr">
        <is>
          <t>ALFA Service JRK-193 Pertamina Zona#4</t>
        </is>
      </c>
      <c r="E219" s="227" t="n"/>
      <c r="F219" s="250" t="n">
        <v>354210000</v>
      </c>
      <c r="G219" s="15" t="inlineStr">
        <is>
          <t>IDR</t>
        </is>
      </c>
      <c r="H219" s="251" t="n">
        <v>1</v>
      </c>
      <c r="I219" s="15" t="inlineStr">
        <is>
          <t>INV021</t>
        </is>
      </c>
      <c r="J219" s="18" t="inlineStr">
        <is>
          <t>SI Jak</t>
        </is>
      </c>
      <c r="K219" s="249" t="n">
        <v>45516</v>
      </c>
      <c r="L219" s="252" t="n">
        <v>347125800</v>
      </c>
      <c r="M219" s="253" t="n">
        <v>38963100</v>
      </c>
      <c r="N219" s="253" t="n">
        <v>7084200</v>
      </c>
      <c r="O219" s="252" t="n">
        <v>0</v>
      </c>
      <c r="P219" s="18" t="inlineStr">
        <is>
          <t>Pemungut</t>
        </is>
      </c>
    </row>
    <row r="220" ht="15.5" customHeight="1">
      <c r="B220" s="249" t="n">
        <v>45447</v>
      </c>
      <c r="C220" s="15" t="n">
        <v>213</v>
      </c>
      <c r="D220" s="170" t="inlineStr">
        <is>
          <t>ALFA Service JRK-193 Pertamina Zona#4</t>
        </is>
      </c>
      <c r="E220" s="227" t="n"/>
      <c r="F220" s="250" t="n">
        <v>354210000</v>
      </c>
      <c r="G220" s="15" t="inlineStr">
        <is>
          <t>IDR</t>
        </is>
      </c>
      <c r="H220" s="251" t="n">
        <v>1</v>
      </c>
      <c r="I220" s="15" t="inlineStr">
        <is>
          <t>INV021</t>
        </is>
      </c>
      <c r="J220" s="18" t="inlineStr">
        <is>
          <t>SI Jak</t>
        </is>
      </c>
      <c r="K220" s="249" t="n">
        <v>45516</v>
      </c>
      <c r="L220" s="252" t="n">
        <v>347125800</v>
      </c>
      <c r="M220" s="253" t="n">
        <v>38963100</v>
      </c>
      <c r="N220" s="253" t="n">
        <v>7084200</v>
      </c>
      <c r="O220" s="252" t="n">
        <v>0</v>
      </c>
      <c r="P220" s="18" t="inlineStr">
        <is>
          <t>Pemungut</t>
        </is>
      </c>
    </row>
    <row r="221" ht="15.5" customHeight="1">
      <c r="B221" s="249" t="n">
        <v>45447</v>
      </c>
      <c r="C221" s="15" t="n">
        <v>214</v>
      </c>
      <c r="D221" s="170" t="inlineStr">
        <is>
          <t>ALFA Service JRK-193 Pertamina Zona#4</t>
        </is>
      </c>
      <c r="E221" s="227" t="n"/>
      <c r="F221" s="250" t="n">
        <v>354210000</v>
      </c>
      <c r="G221" s="15" t="inlineStr">
        <is>
          <t>IDR</t>
        </is>
      </c>
      <c r="H221" s="251" t="n">
        <v>1</v>
      </c>
      <c r="I221" s="15" t="inlineStr">
        <is>
          <t>INV021</t>
        </is>
      </c>
      <c r="J221" s="18" t="inlineStr">
        <is>
          <t>SI Jak</t>
        </is>
      </c>
      <c r="K221" s="249" t="n">
        <v>45516</v>
      </c>
      <c r="L221" s="252" t="n">
        <v>347125800</v>
      </c>
      <c r="M221" s="253" t="n">
        <v>38963100</v>
      </c>
      <c r="N221" s="253" t="n">
        <v>7084200</v>
      </c>
      <c r="O221" s="252" t="n">
        <v>0</v>
      </c>
      <c r="P221" s="18" t="inlineStr">
        <is>
          <t>Pemungut</t>
        </is>
      </c>
    </row>
    <row r="222" ht="15.5" customHeight="1">
      <c r="B222" s="249" t="n">
        <v>45447</v>
      </c>
      <c r="C222" s="15" t="n">
        <v>215</v>
      </c>
      <c r="D222" s="170" t="inlineStr">
        <is>
          <t>ALFA Service JRK-193 Pertamina Zona#4</t>
        </is>
      </c>
      <c r="E222" s="227" t="n"/>
      <c r="F222" s="250" t="n">
        <v>354210000</v>
      </c>
      <c r="G222" s="15" t="inlineStr">
        <is>
          <t>IDR</t>
        </is>
      </c>
      <c r="H222" s="251" t="n">
        <v>1</v>
      </c>
      <c r="I222" s="15" t="inlineStr">
        <is>
          <t>INV021</t>
        </is>
      </c>
      <c r="J222" s="18" t="inlineStr">
        <is>
          <t>SI Jak</t>
        </is>
      </c>
      <c r="K222" s="249" t="n">
        <v>45516</v>
      </c>
      <c r="L222" s="252" t="n">
        <v>347125800</v>
      </c>
      <c r="M222" s="253" t="n">
        <v>38963100</v>
      </c>
      <c r="N222" s="253" t="n">
        <v>7084200</v>
      </c>
      <c r="O222" s="252" t="n">
        <v>0</v>
      </c>
      <c r="P222" s="18" t="inlineStr">
        <is>
          <t>Pemungut</t>
        </is>
      </c>
    </row>
    <row r="223" ht="15.5" customHeight="1">
      <c r="B223" s="249" t="n">
        <v>45447</v>
      </c>
      <c r="C223" s="15" t="n">
        <v>216</v>
      </c>
      <c r="D223" s="170" t="inlineStr">
        <is>
          <t>ALFA Service JRK-193 Pertamina Zona#4</t>
        </is>
      </c>
      <c r="E223" s="227" t="n"/>
      <c r="F223" s="250" t="n">
        <v>354210000</v>
      </c>
      <c r="G223" s="15" t="inlineStr">
        <is>
          <t>IDR</t>
        </is>
      </c>
      <c r="H223" s="251" t="n">
        <v>1</v>
      </c>
      <c r="I223" s="15" t="inlineStr">
        <is>
          <t>INV021</t>
        </is>
      </c>
      <c r="J223" s="18" t="inlineStr">
        <is>
          <t>SI Jak</t>
        </is>
      </c>
      <c r="K223" s="249" t="n">
        <v>45516</v>
      </c>
      <c r="L223" s="252" t="n">
        <v>347125800</v>
      </c>
      <c r="M223" s="253" t="n">
        <v>38963100</v>
      </c>
      <c r="N223" s="253" t="n">
        <v>7084200</v>
      </c>
      <c r="O223" s="252" t="n">
        <v>0</v>
      </c>
      <c r="P223" s="18" t="inlineStr">
        <is>
          <t>Pemungut</t>
        </is>
      </c>
    </row>
    <row r="224" ht="15.5" customHeight="1">
      <c r="B224" s="249" t="n">
        <v>45447</v>
      </c>
      <c r="C224" s="15" t="n">
        <v>217</v>
      </c>
      <c r="D224" s="170" t="inlineStr">
        <is>
          <t>ALFA Service JRK-193 Pertamina Zona#4</t>
        </is>
      </c>
      <c r="E224" s="227" t="n"/>
      <c r="F224" s="250" t="n">
        <v>354210000</v>
      </c>
      <c r="G224" s="15" t="inlineStr">
        <is>
          <t>IDR</t>
        </is>
      </c>
      <c r="H224" s="251" t="n">
        <v>1</v>
      </c>
      <c r="I224" s="15" t="inlineStr">
        <is>
          <t>INV021</t>
        </is>
      </c>
      <c r="J224" s="18" t="inlineStr">
        <is>
          <t>SI Jak</t>
        </is>
      </c>
      <c r="K224" s="249" t="n">
        <v>45516</v>
      </c>
      <c r="L224" s="252" t="n">
        <v>347125800</v>
      </c>
      <c r="M224" s="253" t="n">
        <v>38963100</v>
      </c>
      <c r="N224" s="253" t="n">
        <v>7084200</v>
      </c>
      <c r="O224" s="252" t="n">
        <v>0</v>
      </c>
      <c r="P224" s="18" t="inlineStr">
        <is>
          <t>Pemungut</t>
        </is>
      </c>
    </row>
    <row r="225" ht="15.5" customHeight="1">
      <c r="B225" s="249" t="n">
        <v>45447</v>
      </c>
      <c r="C225" s="15" t="n">
        <v>218</v>
      </c>
      <c r="D225" s="170" t="inlineStr">
        <is>
          <t>ALFA Service JRK-193 Pertamina Zona#4</t>
        </is>
      </c>
      <c r="E225" s="227" t="n"/>
      <c r="F225" s="250" t="n">
        <v>354210000</v>
      </c>
      <c r="G225" s="15" t="inlineStr">
        <is>
          <t>IDR</t>
        </is>
      </c>
      <c r="H225" s="251" t="n">
        <v>1</v>
      </c>
      <c r="I225" s="15" t="inlineStr">
        <is>
          <t>INV021</t>
        </is>
      </c>
      <c r="J225" s="18" t="inlineStr">
        <is>
          <t>SI Jak</t>
        </is>
      </c>
      <c r="K225" s="249" t="n">
        <v>45516</v>
      </c>
      <c r="L225" s="252" t="n">
        <v>347125800</v>
      </c>
      <c r="M225" s="253" t="n">
        <v>38963100</v>
      </c>
      <c r="N225" s="253" t="n">
        <v>7084200</v>
      </c>
      <c r="O225" s="252" t="n">
        <v>0</v>
      </c>
      <c r="P225" s="18" t="inlineStr">
        <is>
          <t>Pemungut</t>
        </is>
      </c>
    </row>
    <row r="226" ht="15.5" customHeight="1">
      <c r="B226" s="249" t="n">
        <v>45447</v>
      </c>
      <c r="C226" s="15" t="n">
        <v>219</v>
      </c>
      <c r="D226" s="170" t="inlineStr">
        <is>
          <t>ALFA Service JRK-193 Pertamina Zona#4</t>
        </is>
      </c>
      <c r="E226" s="227" t="n"/>
      <c r="F226" s="250" t="n">
        <v>354210000</v>
      </c>
      <c r="G226" s="15" t="inlineStr">
        <is>
          <t>IDR</t>
        </is>
      </c>
      <c r="H226" s="251" t="n">
        <v>1</v>
      </c>
      <c r="I226" s="15" t="inlineStr">
        <is>
          <t>INV021</t>
        </is>
      </c>
      <c r="J226" s="18" t="inlineStr">
        <is>
          <t>SI Jak</t>
        </is>
      </c>
      <c r="K226" s="249" t="n">
        <v>45516</v>
      </c>
      <c r="L226" s="252" t="n">
        <v>347125800</v>
      </c>
      <c r="M226" s="253" t="n">
        <v>38963100</v>
      </c>
      <c r="N226" s="253" t="n">
        <v>7084200</v>
      </c>
      <c r="O226" s="252" t="n">
        <v>0</v>
      </c>
      <c r="P226" s="18" t="inlineStr">
        <is>
          <t>Pemungut</t>
        </is>
      </c>
    </row>
    <row r="227" ht="15.5" customHeight="1">
      <c r="B227" s="249" t="n">
        <v>45447</v>
      </c>
      <c r="C227" s="15" t="n">
        <v>220</v>
      </c>
      <c r="D227" s="170" t="inlineStr">
        <is>
          <t>ALFA Service JRK-193 Pertamina Zona#4</t>
        </is>
      </c>
      <c r="E227" s="227" t="n"/>
      <c r="F227" s="250" t="n">
        <v>354210000</v>
      </c>
      <c r="G227" s="15" t="inlineStr">
        <is>
          <t>IDR</t>
        </is>
      </c>
      <c r="H227" s="251" t="n">
        <v>1</v>
      </c>
      <c r="I227" s="15" t="inlineStr">
        <is>
          <t>INV021</t>
        </is>
      </c>
      <c r="J227" s="18" t="inlineStr">
        <is>
          <t>SI Jak</t>
        </is>
      </c>
      <c r="K227" s="249" t="n">
        <v>45516</v>
      </c>
      <c r="L227" s="252" t="n">
        <v>347125800</v>
      </c>
      <c r="M227" s="253" t="n">
        <v>38963100</v>
      </c>
      <c r="N227" s="253" t="n">
        <v>7084200</v>
      </c>
      <c r="O227" s="252" t="n">
        <v>0</v>
      </c>
      <c r="P227" s="18" t="inlineStr">
        <is>
          <t>Pemungut</t>
        </is>
      </c>
    </row>
    <row r="228" ht="15.5" customHeight="1">
      <c r="B228" s="249" t="n">
        <v>45447</v>
      </c>
      <c r="C228" s="15" t="n">
        <v>221</v>
      </c>
      <c r="D228" s="170" t="inlineStr">
        <is>
          <t>ALFA Service JRK-193 Pertamina Zona#4</t>
        </is>
      </c>
      <c r="E228" s="227" t="n"/>
      <c r="F228" s="250" t="n">
        <v>354210000</v>
      </c>
      <c r="G228" s="15" t="inlineStr">
        <is>
          <t>IDR</t>
        </is>
      </c>
      <c r="H228" s="251" t="n">
        <v>1</v>
      </c>
      <c r="I228" s="15" t="inlineStr">
        <is>
          <t>INV021</t>
        </is>
      </c>
      <c r="J228" s="18" t="inlineStr">
        <is>
          <t>SI Jak</t>
        </is>
      </c>
      <c r="K228" s="249" t="n">
        <v>45516</v>
      </c>
      <c r="L228" s="252" t="n">
        <v>347125800</v>
      </c>
      <c r="M228" s="253" t="n">
        <v>38963100</v>
      </c>
      <c r="N228" s="253" t="n">
        <v>7084200</v>
      </c>
      <c r="O228" s="252" t="n">
        <v>0</v>
      </c>
      <c r="P228" s="18" t="inlineStr">
        <is>
          <t>Pemungut</t>
        </is>
      </c>
    </row>
    <row r="229" ht="15.5" customHeight="1">
      <c r="B229" s="249" t="n">
        <v>45447</v>
      </c>
      <c r="C229" s="15" t="n">
        <v>222</v>
      </c>
      <c r="D229" s="170" t="inlineStr">
        <is>
          <t>ALFA Service JRK-193 Pertamina Zona#4</t>
        </is>
      </c>
      <c r="E229" s="227" t="n"/>
      <c r="F229" s="250" t="n">
        <v>354210000</v>
      </c>
      <c r="G229" s="15" t="inlineStr">
        <is>
          <t>IDR</t>
        </is>
      </c>
      <c r="H229" s="251" t="n">
        <v>1</v>
      </c>
      <c r="I229" s="15" t="inlineStr">
        <is>
          <t>INV021</t>
        </is>
      </c>
      <c r="J229" s="18" t="inlineStr">
        <is>
          <t>SI Jak</t>
        </is>
      </c>
      <c r="K229" s="249" t="n">
        <v>45516</v>
      </c>
      <c r="L229" s="252" t="n">
        <v>347125800</v>
      </c>
      <c r="M229" s="253" t="n">
        <v>38963100</v>
      </c>
      <c r="N229" s="253" t="n">
        <v>7084200</v>
      </c>
      <c r="O229" s="252" t="n">
        <v>0</v>
      </c>
      <c r="P229" s="18" t="inlineStr">
        <is>
          <t>Pemungut</t>
        </is>
      </c>
    </row>
    <row r="230" ht="15.5" customHeight="1">
      <c r="B230" s="249" t="n">
        <v>45447</v>
      </c>
      <c r="C230" s="15" t="n">
        <v>223</v>
      </c>
      <c r="D230" s="170" t="inlineStr">
        <is>
          <t>ALFA Service JRK-193 Pertamina Zona#4</t>
        </is>
      </c>
      <c r="E230" s="227" t="n"/>
      <c r="F230" s="250" t="n">
        <v>354210000</v>
      </c>
      <c r="G230" s="15" t="inlineStr">
        <is>
          <t>IDR</t>
        </is>
      </c>
      <c r="H230" s="251" t="n">
        <v>1</v>
      </c>
      <c r="I230" s="15" t="inlineStr">
        <is>
          <t>INV021</t>
        </is>
      </c>
      <c r="J230" s="18" t="inlineStr">
        <is>
          <t>SI Jak</t>
        </is>
      </c>
      <c r="K230" s="249" t="n">
        <v>45516</v>
      </c>
      <c r="L230" s="252" t="n">
        <v>347125800</v>
      </c>
      <c r="M230" s="253" t="n">
        <v>38963100</v>
      </c>
      <c r="N230" s="253" t="n">
        <v>7084200</v>
      </c>
      <c r="O230" s="252" t="n">
        <v>0</v>
      </c>
      <c r="P230" s="18" t="inlineStr">
        <is>
          <t>Pemungut</t>
        </is>
      </c>
    </row>
    <row r="231" ht="15.5" customHeight="1">
      <c r="B231" s="249" t="n">
        <v>45447</v>
      </c>
      <c r="C231" s="15" t="n">
        <v>224</v>
      </c>
      <c r="D231" s="170" t="inlineStr">
        <is>
          <t>ALFA Service JRK-193 Pertamina Zona#4</t>
        </is>
      </c>
      <c r="E231" s="227" t="n"/>
      <c r="F231" s="250" t="n">
        <v>354210000</v>
      </c>
      <c r="G231" s="15" t="inlineStr">
        <is>
          <t>IDR</t>
        </is>
      </c>
      <c r="H231" s="251" t="n">
        <v>1</v>
      </c>
      <c r="I231" s="15" t="inlineStr">
        <is>
          <t>INV021</t>
        </is>
      </c>
      <c r="J231" s="18" t="inlineStr">
        <is>
          <t>SI Jak</t>
        </is>
      </c>
      <c r="K231" s="249" t="n">
        <v>45516</v>
      </c>
      <c r="L231" s="252" t="n">
        <v>347125800</v>
      </c>
      <c r="M231" s="253" t="n">
        <v>38963100</v>
      </c>
      <c r="N231" s="253" t="n">
        <v>7084200</v>
      </c>
      <c r="O231" s="252" t="n">
        <v>0</v>
      </c>
      <c r="P231" s="18" t="inlineStr">
        <is>
          <t>Pemungut</t>
        </is>
      </c>
    </row>
    <row r="232" ht="15.5" customHeight="1">
      <c r="B232" s="249" t="n">
        <v>45447</v>
      </c>
      <c r="C232" s="15" t="n">
        <v>225</v>
      </c>
      <c r="D232" s="170" t="inlineStr">
        <is>
          <t>ALFA Service JRK-193 Pertamina Zona#4</t>
        </is>
      </c>
      <c r="E232" s="227" t="n"/>
      <c r="F232" s="250" t="n">
        <v>354210000</v>
      </c>
      <c r="G232" s="15" t="inlineStr">
        <is>
          <t>IDR</t>
        </is>
      </c>
      <c r="H232" s="251" t="n">
        <v>1</v>
      </c>
      <c r="I232" s="15" t="inlineStr">
        <is>
          <t>INV021</t>
        </is>
      </c>
      <c r="J232" s="18" t="inlineStr">
        <is>
          <t>SI Jak</t>
        </is>
      </c>
      <c r="K232" s="249" t="n">
        <v>45516</v>
      </c>
      <c r="L232" s="252" t="n">
        <v>347125800</v>
      </c>
      <c r="M232" s="253" t="n">
        <v>38963100</v>
      </c>
      <c r="N232" s="253" t="n">
        <v>7084200</v>
      </c>
      <c r="O232" s="252" t="n">
        <v>0</v>
      </c>
      <c r="P232" s="18" t="inlineStr">
        <is>
          <t>Pemungut</t>
        </is>
      </c>
    </row>
    <row r="233" ht="15.5" customHeight="1">
      <c r="B233" s="249" t="n">
        <v>45447</v>
      </c>
      <c r="C233" s="15" t="n">
        <v>226</v>
      </c>
      <c r="D233" s="170" t="inlineStr">
        <is>
          <t>ALFA Service JRK-193 Pertamina Zona#4</t>
        </is>
      </c>
      <c r="E233" s="227" t="n"/>
      <c r="F233" s="250" t="n">
        <v>354210000</v>
      </c>
      <c r="G233" s="15" t="inlineStr">
        <is>
          <t>IDR</t>
        </is>
      </c>
      <c r="H233" s="251" t="n">
        <v>1</v>
      </c>
      <c r="I233" s="15" t="inlineStr">
        <is>
          <t>INV021</t>
        </is>
      </c>
      <c r="J233" s="18" t="inlineStr">
        <is>
          <t>SI Jak</t>
        </is>
      </c>
      <c r="K233" s="249" t="n">
        <v>45516</v>
      </c>
      <c r="L233" s="252" t="n">
        <v>347125800</v>
      </c>
      <c r="M233" s="253" t="n">
        <v>38963100</v>
      </c>
      <c r="N233" s="253" t="n">
        <v>7084200</v>
      </c>
      <c r="O233" s="252" t="n">
        <v>0</v>
      </c>
      <c r="P233" s="18" t="inlineStr">
        <is>
          <t>Pemungut</t>
        </is>
      </c>
    </row>
    <row r="234" ht="15.5" customHeight="1">
      <c r="B234" s="249" t="n">
        <v>45447</v>
      </c>
      <c r="C234" s="15" t="n">
        <v>227</v>
      </c>
      <c r="D234" s="170" t="inlineStr">
        <is>
          <t>ALFA Service JRK-193 Pertamina Zona#4</t>
        </is>
      </c>
      <c r="E234" s="227" t="n"/>
      <c r="F234" s="250" t="n">
        <v>354210000</v>
      </c>
      <c r="G234" s="15" t="inlineStr">
        <is>
          <t>IDR</t>
        </is>
      </c>
      <c r="H234" s="251" t="n">
        <v>1</v>
      </c>
      <c r="I234" s="15" t="inlineStr">
        <is>
          <t>INV021</t>
        </is>
      </c>
      <c r="J234" s="18" t="inlineStr">
        <is>
          <t>SI Jak</t>
        </is>
      </c>
      <c r="K234" s="249" t="n">
        <v>45516</v>
      </c>
      <c r="L234" s="252" t="n">
        <v>347125800</v>
      </c>
      <c r="M234" s="253" t="n">
        <v>38963100</v>
      </c>
      <c r="N234" s="253" t="n">
        <v>7084200</v>
      </c>
      <c r="O234" s="252" t="n">
        <v>0</v>
      </c>
      <c r="P234" s="18" t="inlineStr">
        <is>
          <t>Pemungut</t>
        </is>
      </c>
    </row>
    <row r="235" ht="15.5" customHeight="1">
      <c r="B235" s="249" t="n">
        <v>45447</v>
      </c>
      <c r="C235" s="15" t="n">
        <v>228</v>
      </c>
      <c r="D235" s="170" t="inlineStr">
        <is>
          <t>ALFA Service JRK-193 Pertamina Zona#4</t>
        </is>
      </c>
      <c r="E235" s="227" t="n"/>
      <c r="F235" s="250" t="n">
        <v>354210000</v>
      </c>
      <c r="G235" s="15" t="inlineStr">
        <is>
          <t>IDR</t>
        </is>
      </c>
      <c r="H235" s="251" t="n">
        <v>1</v>
      </c>
      <c r="I235" s="15" t="inlineStr">
        <is>
          <t>INV021</t>
        </is>
      </c>
      <c r="J235" s="18" t="inlineStr">
        <is>
          <t>SI Jak</t>
        </is>
      </c>
      <c r="K235" s="249" t="n">
        <v>45516</v>
      </c>
      <c r="L235" s="252" t="n">
        <v>347125800</v>
      </c>
      <c r="M235" s="253" t="n">
        <v>38963100</v>
      </c>
      <c r="N235" s="253" t="n">
        <v>7084200</v>
      </c>
      <c r="O235" s="252" t="n">
        <v>0</v>
      </c>
      <c r="P235" s="18" t="inlineStr">
        <is>
          <t>Pemungut</t>
        </is>
      </c>
    </row>
    <row r="236" ht="15.5" customHeight="1">
      <c r="B236" s="249" t="n">
        <v>45447</v>
      </c>
      <c r="C236" s="15" t="n">
        <v>229</v>
      </c>
      <c r="D236" s="170" t="inlineStr">
        <is>
          <t>ALFA Service JRK-193 Pertamina Zona#4</t>
        </is>
      </c>
      <c r="E236" s="227" t="n"/>
      <c r="F236" s="250" t="n">
        <v>354210000</v>
      </c>
      <c r="G236" s="15" t="inlineStr">
        <is>
          <t>IDR</t>
        </is>
      </c>
      <c r="H236" s="251" t="n">
        <v>1</v>
      </c>
      <c r="I236" s="15" t="inlineStr">
        <is>
          <t>INV021</t>
        </is>
      </c>
      <c r="J236" s="18" t="inlineStr">
        <is>
          <t>SI Jak</t>
        </is>
      </c>
      <c r="K236" s="249" t="n">
        <v>45516</v>
      </c>
      <c r="L236" s="252" t="n">
        <v>347125800</v>
      </c>
      <c r="M236" s="253" t="n">
        <v>38963100</v>
      </c>
      <c r="N236" s="253" t="n">
        <v>7084200</v>
      </c>
      <c r="O236" s="252" t="n">
        <v>0</v>
      </c>
      <c r="P236" s="18" t="inlineStr">
        <is>
          <t>Pemungut</t>
        </is>
      </c>
    </row>
    <row r="237" ht="15.5" customHeight="1">
      <c r="B237" s="249" t="n">
        <v>45447</v>
      </c>
      <c r="C237" s="15" t="n">
        <v>230</v>
      </c>
      <c r="D237" s="170" t="inlineStr">
        <is>
          <t>ALFA Service JRK-193 Pertamina Zona#4</t>
        </is>
      </c>
      <c r="E237" s="227" t="n"/>
      <c r="F237" s="250" t="n">
        <v>354210000</v>
      </c>
      <c r="G237" s="15" t="inlineStr">
        <is>
          <t>IDR</t>
        </is>
      </c>
      <c r="H237" s="251" t="n">
        <v>1</v>
      </c>
      <c r="I237" s="15" t="inlineStr">
        <is>
          <t>INV021</t>
        </is>
      </c>
      <c r="J237" s="18" t="inlineStr">
        <is>
          <t>SI Jak</t>
        </is>
      </c>
      <c r="K237" s="249" t="n">
        <v>45516</v>
      </c>
      <c r="L237" s="252" t="n">
        <v>347125800</v>
      </c>
      <c r="M237" s="253" t="n">
        <v>38963100</v>
      </c>
      <c r="N237" s="253" t="n">
        <v>7084200</v>
      </c>
      <c r="O237" s="252" t="n">
        <v>0</v>
      </c>
      <c r="P237" s="18" t="inlineStr">
        <is>
          <t>Pemungut</t>
        </is>
      </c>
    </row>
    <row r="238" ht="15.5" customHeight="1">
      <c r="B238" s="249" t="n">
        <v>45447</v>
      </c>
      <c r="C238" s="15" t="n">
        <v>231</v>
      </c>
      <c r="D238" s="170" t="inlineStr">
        <is>
          <t>ALFA Service JRK-193 Pertamina Zona#4</t>
        </is>
      </c>
      <c r="E238" s="227" t="n"/>
      <c r="F238" s="250" t="n">
        <v>354210000</v>
      </c>
      <c r="G238" s="15" t="inlineStr">
        <is>
          <t>IDR</t>
        </is>
      </c>
      <c r="H238" s="251" t="n">
        <v>1</v>
      </c>
      <c r="I238" s="15" t="inlineStr">
        <is>
          <t>INV021</t>
        </is>
      </c>
      <c r="J238" s="18" t="inlineStr">
        <is>
          <t>SI Jak</t>
        </is>
      </c>
      <c r="K238" s="249" t="n">
        <v>45516</v>
      </c>
      <c r="L238" s="252" t="n">
        <v>347125800</v>
      </c>
      <c r="M238" s="253" t="n">
        <v>38963100</v>
      </c>
      <c r="N238" s="253" t="n">
        <v>7084200</v>
      </c>
      <c r="O238" s="252" t="n">
        <v>0</v>
      </c>
      <c r="P238" s="18" t="inlineStr">
        <is>
          <t>Pemungut</t>
        </is>
      </c>
    </row>
    <row r="239" ht="15.5" customHeight="1">
      <c r="B239" s="249" t="n">
        <v>45447</v>
      </c>
      <c r="C239" s="15" t="n">
        <v>232</v>
      </c>
      <c r="D239" s="170" t="inlineStr">
        <is>
          <t>ALFA Service JRK-193 Pertamina Zona#4</t>
        </is>
      </c>
      <c r="E239" s="227" t="n"/>
      <c r="F239" s="250" t="n">
        <v>354210000</v>
      </c>
      <c r="G239" s="15" t="inlineStr">
        <is>
          <t>IDR</t>
        </is>
      </c>
      <c r="H239" s="251" t="n">
        <v>1</v>
      </c>
      <c r="I239" s="15" t="inlineStr">
        <is>
          <t>INV021</t>
        </is>
      </c>
      <c r="J239" s="18" t="inlineStr">
        <is>
          <t>SI Jak</t>
        </is>
      </c>
      <c r="K239" s="249" t="n">
        <v>45516</v>
      </c>
      <c r="L239" s="252" t="n">
        <v>347125800</v>
      </c>
      <c r="M239" s="253" t="n">
        <v>38963100</v>
      </c>
      <c r="N239" s="253" t="n">
        <v>7084200</v>
      </c>
      <c r="O239" s="252" t="n">
        <v>0</v>
      </c>
      <c r="P239" s="18" t="inlineStr">
        <is>
          <t>Pemungut</t>
        </is>
      </c>
    </row>
    <row r="240" ht="15.5" customHeight="1">
      <c r="B240" s="249" t="n">
        <v>45447</v>
      </c>
      <c r="C240" s="15" t="n">
        <v>233</v>
      </c>
      <c r="D240" s="170" t="inlineStr">
        <is>
          <t>ALFA Service JRK-193 Pertamina Zona#4</t>
        </is>
      </c>
      <c r="E240" s="227" t="n"/>
      <c r="F240" s="250" t="n">
        <v>354210000</v>
      </c>
      <c r="G240" s="15" t="inlineStr">
        <is>
          <t>IDR</t>
        </is>
      </c>
      <c r="H240" s="251" t="n">
        <v>1</v>
      </c>
      <c r="I240" s="15" t="inlineStr">
        <is>
          <t>INV021</t>
        </is>
      </c>
      <c r="J240" s="18" t="inlineStr">
        <is>
          <t>SI Jak</t>
        </is>
      </c>
      <c r="K240" s="249" t="n">
        <v>45516</v>
      </c>
      <c r="L240" s="252" t="n">
        <v>347125800</v>
      </c>
      <c r="M240" s="253" t="n">
        <v>38963100</v>
      </c>
      <c r="N240" s="253" t="n">
        <v>7084200</v>
      </c>
      <c r="O240" s="252" t="n">
        <v>0</v>
      </c>
      <c r="P240" s="18" t="inlineStr">
        <is>
          <t>Pemungut</t>
        </is>
      </c>
    </row>
    <row r="241" ht="15.5" customHeight="1">
      <c r="B241" s="249" t="n">
        <v>45447</v>
      </c>
      <c r="C241" s="15" t="n">
        <v>234</v>
      </c>
      <c r="D241" s="170" t="inlineStr">
        <is>
          <t>ALFA Service JRK-193 Pertamina Zona#4</t>
        </is>
      </c>
      <c r="E241" s="227" t="n"/>
      <c r="F241" s="250" t="n">
        <v>354210000</v>
      </c>
      <c r="G241" s="15" t="inlineStr">
        <is>
          <t>IDR</t>
        </is>
      </c>
      <c r="H241" s="251" t="n">
        <v>1</v>
      </c>
      <c r="I241" s="15" t="inlineStr">
        <is>
          <t>INV021</t>
        </is>
      </c>
      <c r="J241" s="18" t="inlineStr">
        <is>
          <t>SI Jak</t>
        </is>
      </c>
      <c r="K241" s="249" t="n">
        <v>45516</v>
      </c>
      <c r="L241" s="252" t="n">
        <v>347125800</v>
      </c>
      <c r="M241" s="253" t="n">
        <v>38963100</v>
      </c>
      <c r="N241" s="253" t="n">
        <v>7084200</v>
      </c>
      <c r="O241" s="252" t="n">
        <v>0</v>
      </c>
      <c r="P241" s="18" t="inlineStr">
        <is>
          <t>Pemungut</t>
        </is>
      </c>
    </row>
    <row r="242" ht="15.5" customHeight="1">
      <c r="B242" s="249" t="n">
        <v>45447</v>
      </c>
      <c r="C242" s="15" t="n">
        <v>235</v>
      </c>
      <c r="D242" s="170" t="inlineStr">
        <is>
          <t>ALFA Service JRK-193 Pertamina Zona#4</t>
        </is>
      </c>
      <c r="E242" s="227" t="n"/>
      <c r="F242" s="250" t="n">
        <v>354210000</v>
      </c>
      <c r="G242" s="15" t="inlineStr">
        <is>
          <t>IDR</t>
        </is>
      </c>
      <c r="H242" s="251" t="n">
        <v>1</v>
      </c>
      <c r="I242" s="15" t="inlineStr">
        <is>
          <t>INV021</t>
        </is>
      </c>
      <c r="J242" s="18" t="inlineStr">
        <is>
          <t>SI Jak</t>
        </is>
      </c>
      <c r="K242" s="249" t="n">
        <v>45516</v>
      </c>
      <c r="L242" s="252" t="n">
        <v>347125800</v>
      </c>
      <c r="M242" s="253" t="n">
        <v>38963100</v>
      </c>
      <c r="N242" s="253" t="n">
        <v>7084200</v>
      </c>
      <c r="O242" s="252" t="n">
        <v>0</v>
      </c>
      <c r="P242" s="18" t="inlineStr">
        <is>
          <t>Pemungut</t>
        </is>
      </c>
    </row>
    <row r="243" ht="15.5" customHeight="1">
      <c r="B243" s="249" t="n">
        <v>45447</v>
      </c>
      <c r="C243" s="15" t="n">
        <v>236</v>
      </c>
      <c r="D243" s="170" t="inlineStr">
        <is>
          <t>ALFA Service JRK-193 Pertamina Zona#4</t>
        </is>
      </c>
      <c r="E243" s="227" t="n"/>
      <c r="F243" s="250" t="n">
        <v>354210000</v>
      </c>
      <c r="G243" s="15" t="inlineStr">
        <is>
          <t>IDR</t>
        </is>
      </c>
      <c r="H243" s="251" t="n">
        <v>1</v>
      </c>
      <c r="I243" s="15" t="inlineStr">
        <is>
          <t>INV021</t>
        </is>
      </c>
      <c r="J243" s="18" t="inlineStr">
        <is>
          <t>SI Jak</t>
        </is>
      </c>
      <c r="K243" s="249" t="n">
        <v>45516</v>
      </c>
      <c r="L243" s="252" t="n">
        <v>347125800</v>
      </c>
      <c r="M243" s="253" t="n">
        <v>38963100</v>
      </c>
      <c r="N243" s="253" t="n">
        <v>7084200</v>
      </c>
      <c r="O243" s="252" t="n">
        <v>0</v>
      </c>
      <c r="P243" s="18" t="inlineStr">
        <is>
          <t>Pemungut</t>
        </is>
      </c>
    </row>
    <row r="244" ht="15.5" customHeight="1">
      <c r="B244" s="249" t="n">
        <v>45447</v>
      </c>
      <c r="C244" s="15" t="n">
        <v>237</v>
      </c>
      <c r="D244" s="170" t="inlineStr">
        <is>
          <t>ALFA Service JRK-193 Pertamina Zona#4</t>
        </is>
      </c>
      <c r="E244" s="227" t="n"/>
      <c r="F244" s="250" t="n">
        <v>354210000</v>
      </c>
      <c r="G244" s="15" t="inlineStr">
        <is>
          <t>IDR</t>
        </is>
      </c>
      <c r="H244" s="251" t="n">
        <v>1</v>
      </c>
      <c r="I244" s="15" t="inlineStr">
        <is>
          <t>INV021</t>
        </is>
      </c>
      <c r="J244" s="18" t="inlineStr">
        <is>
          <t>SI Jak</t>
        </is>
      </c>
      <c r="K244" s="249" t="n">
        <v>45516</v>
      </c>
      <c r="L244" s="252" t="n">
        <v>347125800</v>
      </c>
      <c r="M244" s="253" t="n">
        <v>38963100</v>
      </c>
      <c r="N244" s="253" t="n">
        <v>7084200</v>
      </c>
      <c r="O244" s="252" t="n">
        <v>0</v>
      </c>
      <c r="P244" s="18" t="inlineStr">
        <is>
          <t>Pemungut</t>
        </is>
      </c>
    </row>
    <row r="245" ht="15.5" customHeight="1">
      <c r="B245" s="249" t="n">
        <v>45447</v>
      </c>
      <c r="C245" s="15" t="n">
        <v>238</v>
      </c>
      <c r="D245" s="170" t="inlineStr">
        <is>
          <t>ALFA Service JRK-193 Pertamina Zona#4</t>
        </is>
      </c>
      <c r="E245" s="227" t="n"/>
      <c r="F245" s="250" t="n">
        <v>354210000</v>
      </c>
      <c r="G245" s="15" t="inlineStr">
        <is>
          <t>IDR</t>
        </is>
      </c>
      <c r="H245" s="251" t="n">
        <v>1</v>
      </c>
      <c r="I245" s="15" t="inlineStr">
        <is>
          <t>INV021</t>
        </is>
      </c>
      <c r="J245" s="18" t="inlineStr">
        <is>
          <t>SI Jak</t>
        </is>
      </c>
      <c r="K245" s="249" t="n">
        <v>45516</v>
      </c>
      <c r="L245" s="252" t="n">
        <v>347125800</v>
      </c>
      <c r="M245" s="253" t="n">
        <v>38963100</v>
      </c>
      <c r="N245" s="253" t="n">
        <v>7084200</v>
      </c>
      <c r="O245" s="252" t="n">
        <v>0</v>
      </c>
      <c r="P245" s="18" t="inlineStr">
        <is>
          <t>Pemungut</t>
        </is>
      </c>
    </row>
    <row r="246" ht="15.5" customHeight="1">
      <c r="B246" s="249" t="n">
        <v>45447</v>
      </c>
      <c r="C246" s="15" t="n">
        <v>239</v>
      </c>
      <c r="D246" s="170" t="inlineStr">
        <is>
          <t>ALFA Service JRK-193 Pertamina Zona#4</t>
        </is>
      </c>
      <c r="E246" s="227" t="n"/>
      <c r="F246" s="250" t="n">
        <v>354210000</v>
      </c>
      <c r="G246" s="15" t="inlineStr">
        <is>
          <t>IDR</t>
        </is>
      </c>
      <c r="H246" s="251" t="n">
        <v>1</v>
      </c>
      <c r="I246" s="15" t="inlineStr">
        <is>
          <t>INV021</t>
        </is>
      </c>
      <c r="J246" s="18" t="inlineStr">
        <is>
          <t>SI Jak</t>
        </is>
      </c>
      <c r="K246" s="249" t="n">
        <v>45516</v>
      </c>
      <c r="L246" s="252" t="n">
        <v>347125800</v>
      </c>
      <c r="M246" s="253" t="n">
        <v>38963100</v>
      </c>
      <c r="N246" s="253" t="n">
        <v>7084200</v>
      </c>
      <c r="O246" s="252" t="n">
        <v>0</v>
      </c>
      <c r="P246" s="18" t="inlineStr">
        <is>
          <t>Pemungut</t>
        </is>
      </c>
    </row>
    <row r="247" ht="15.5" customHeight="1">
      <c r="B247" s="249" t="n">
        <v>45447</v>
      </c>
      <c r="C247" s="15" t="n">
        <v>240</v>
      </c>
      <c r="D247" s="170" t="inlineStr">
        <is>
          <t>ALFA Service JRK-193 Pertamina Zona#4</t>
        </is>
      </c>
      <c r="E247" s="227" t="n"/>
      <c r="F247" s="250" t="n">
        <v>354210000</v>
      </c>
      <c r="G247" s="15" t="inlineStr">
        <is>
          <t>IDR</t>
        </is>
      </c>
      <c r="H247" s="251" t="n">
        <v>1</v>
      </c>
      <c r="I247" s="15" t="inlineStr">
        <is>
          <t>INV021</t>
        </is>
      </c>
      <c r="J247" s="18" t="inlineStr">
        <is>
          <t>SI Jak</t>
        </is>
      </c>
      <c r="K247" s="249" t="n">
        <v>45516</v>
      </c>
      <c r="L247" s="252" t="n">
        <v>347125800</v>
      </c>
      <c r="M247" s="253" t="n">
        <v>38963100</v>
      </c>
      <c r="N247" s="253" t="n">
        <v>7084200</v>
      </c>
      <c r="O247" s="252" t="n">
        <v>0</v>
      </c>
      <c r="P247" s="18" t="inlineStr">
        <is>
          <t>Pemungut</t>
        </is>
      </c>
    </row>
    <row r="248" ht="15.5" customHeight="1">
      <c r="B248" s="249" t="n">
        <v>45447</v>
      </c>
      <c r="C248" s="15" t="n">
        <v>241</v>
      </c>
      <c r="D248" s="170" t="inlineStr">
        <is>
          <t>ALFA Service JRK-193 Pertamina Zona#4</t>
        </is>
      </c>
      <c r="E248" s="227" t="n"/>
      <c r="F248" s="250" t="n">
        <v>354210000</v>
      </c>
      <c r="G248" s="15" t="inlineStr">
        <is>
          <t>IDR</t>
        </is>
      </c>
      <c r="H248" s="251" t="n">
        <v>1</v>
      </c>
      <c r="I248" s="15" t="inlineStr">
        <is>
          <t>INV021</t>
        </is>
      </c>
      <c r="J248" s="18" t="inlineStr">
        <is>
          <t>SI Jak</t>
        </is>
      </c>
      <c r="K248" s="249" t="n">
        <v>45516</v>
      </c>
      <c r="L248" s="252" t="n">
        <v>347125800</v>
      </c>
      <c r="M248" s="253" t="n">
        <v>38963100</v>
      </c>
      <c r="N248" s="253" t="n">
        <v>7084200</v>
      </c>
      <c r="O248" s="252" t="n">
        <v>0</v>
      </c>
      <c r="P248" s="18" t="inlineStr">
        <is>
          <t>Pemungut</t>
        </is>
      </c>
    </row>
    <row r="249" ht="15.5" customHeight="1">
      <c r="B249" s="249" t="n">
        <v>45447</v>
      </c>
      <c r="C249" s="15" t="n">
        <v>242</v>
      </c>
      <c r="D249" s="170" t="inlineStr">
        <is>
          <t>ALFA Service JRK-193 Pertamina Zona#4</t>
        </is>
      </c>
      <c r="E249" s="227" t="n"/>
      <c r="F249" s="250" t="n">
        <v>354210000</v>
      </c>
      <c r="G249" s="15" t="inlineStr">
        <is>
          <t>IDR</t>
        </is>
      </c>
      <c r="H249" s="251" t="n">
        <v>1</v>
      </c>
      <c r="I249" s="15" t="inlineStr">
        <is>
          <t>INV021</t>
        </is>
      </c>
      <c r="J249" s="18" t="inlineStr">
        <is>
          <t>SI Jak</t>
        </is>
      </c>
      <c r="K249" s="249" t="n">
        <v>45516</v>
      </c>
      <c r="L249" s="252" t="n">
        <v>347125800</v>
      </c>
      <c r="M249" s="253" t="n">
        <v>38963100</v>
      </c>
      <c r="N249" s="253" t="n">
        <v>7084200</v>
      </c>
      <c r="O249" s="252" t="n">
        <v>0</v>
      </c>
      <c r="P249" s="18" t="inlineStr">
        <is>
          <t>Pemungut</t>
        </is>
      </c>
    </row>
    <row r="250" ht="15.5" customHeight="1">
      <c r="B250" s="249" t="n">
        <v>45447</v>
      </c>
      <c r="C250" s="15" t="n">
        <v>243</v>
      </c>
      <c r="D250" s="170" t="inlineStr">
        <is>
          <t>ALFA Service JRK-193 Pertamina Zona#4</t>
        </is>
      </c>
      <c r="E250" s="227" t="n"/>
      <c r="F250" s="250" t="n">
        <v>354210000</v>
      </c>
      <c r="G250" s="15" t="inlineStr">
        <is>
          <t>IDR</t>
        </is>
      </c>
      <c r="H250" s="251" t="n">
        <v>1</v>
      </c>
      <c r="I250" s="15" t="inlineStr">
        <is>
          <t>INV021</t>
        </is>
      </c>
      <c r="J250" s="18" t="inlineStr">
        <is>
          <t>SI Jak</t>
        </is>
      </c>
      <c r="K250" s="249" t="n">
        <v>45516</v>
      </c>
      <c r="L250" s="252" t="n">
        <v>347125800</v>
      </c>
      <c r="M250" s="253" t="n">
        <v>38963100</v>
      </c>
      <c r="N250" s="253" t="n">
        <v>7084200</v>
      </c>
      <c r="O250" s="252" t="n">
        <v>0</v>
      </c>
      <c r="P250" s="18" t="inlineStr">
        <is>
          <t>Pemungut</t>
        </is>
      </c>
    </row>
    <row r="251" ht="15.5" customHeight="1">
      <c r="B251" s="249" t="n">
        <v>45447</v>
      </c>
      <c r="C251" s="15" t="n">
        <v>244</v>
      </c>
      <c r="D251" s="170" t="inlineStr">
        <is>
          <t>ALFA Service JRK-193 Pertamina Zona#4</t>
        </is>
      </c>
      <c r="E251" s="227" t="n"/>
      <c r="F251" s="250" t="n">
        <v>354210000</v>
      </c>
      <c r="G251" s="15" t="inlineStr">
        <is>
          <t>IDR</t>
        </is>
      </c>
      <c r="H251" s="251" t="n">
        <v>1</v>
      </c>
      <c r="I251" s="15" t="inlineStr">
        <is>
          <t>INV021</t>
        </is>
      </c>
      <c r="J251" s="18" t="inlineStr">
        <is>
          <t>SI Jak</t>
        </is>
      </c>
      <c r="K251" s="249" t="n">
        <v>45516</v>
      </c>
      <c r="L251" s="252" t="n">
        <v>347125800</v>
      </c>
      <c r="M251" s="253" t="n">
        <v>38963100</v>
      </c>
      <c r="N251" s="253" t="n">
        <v>7084200</v>
      </c>
      <c r="O251" s="252" t="n">
        <v>0</v>
      </c>
      <c r="P251" s="18" t="inlineStr">
        <is>
          <t>Pemungut</t>
        </is>
      </c>
    </row>
    <row r="252" ht="15.5" customHeight="1">
      <c r="B252" s="249" t="n">
        <v>45447</v>
      </c>
      <c r="C252" s="15" t="n">
        <v>245</v>
      </c>
      <c r="D252" s="170" t="inlineStr">
        <is>
          <t>ALFA Service JRK-193 Pertamina Zona#4</t>
        </is>
      </c>
      <c r="E252" s="227" t="n"/>
      <c r="F252" s="250" t="n">
        <v>354210000</v>
      </c>
      <c r="G252" s="15" t="inlineStr">
        <is>
          <t>IDR</t>
        </is>
      </c>
      <c r="H252" s="251" t="n">
        <v>1</v>
      </c>
      <c r="I252" s="15" t="inlineStr">
        <is>
          <t>INV021</t>
        </is>
      </c>
      <c r="J252" s="18" t="inlineStr">
        <is>
          <t>SI Jak</t>
        </is>
      </c>
      <c r="K252" s="249" t="n">
        <v>45516</v>
      </c>
      <c r="L252" s="252" t="n">
        <v>347125800</v>
      </c>
      <c r="M252" s="253" t="n">
        <v>38963100</v>
      </c>
      <c r="N252" s="253" t="n">
        <v>7084200</v>
      </c>
      <c r="O252" s="252" t="n">
        <v>0</v>
      </c>
      <c r="P252" s="18" t="inlineStr">
        <is>
          <t>Pemungut</t>
        </is>
      </c>
    </row>
    <row r="253" ht="15.5" customHeight="1">
      <c r="B253" s="249" t="n">
        <v>45447</v>
      </c>
      <c r="C253" s="15" t="n">
        <v>246</v>
      </c>
      <c r="D253" s="170" t="inlineStr">
        <is>
          <t>ALFA Service JRK-193 Pertamina Zona#4</t>
        </is>
      </c>
      <c r="E253" s="227" t="n"/>
      <c r="F253" s="250" t="n">
        <v>354210000</v>
      </c>
      <c r="G253" s="15" t="inlineStr">
        <is>
          <t>IDR</t>
        </is>
      </c>
      <c r="H253" s="251" t="n">
        <v>1</v>
      </c>
      <c r="I253" s="15" t="inlineStr">
        <is>
          <t>INV021</t>
        </is>
      </c>
      <c r="J253" s="18" t="inlineStr">
        <is>
          <t>SI Jak</t>
        </is>
      </c>
      <c r="K253" s="249" t="n">
        <v>45516</v>
      </c>
      <c r="L253" s="252" t="n">
        <v>347125800</v>
      </c>
      <c r="M253" s="253" t="n">
        <v>38963100</v>
      </c>
      <c r="N253" s="253" t="n">
        <v>7084200</v>
      </c>
      <c r="O253" s="252" t="n">
        <v>0</v>
      </c>
      <c r="P253" s="18" t="inlineStr">
        <is>
          <t>Pemungut</t>
        </is>
      </c>
    </row>
    <row r="254" ht="15.5" customHeight="1">
      <c r="B254" s="249" t="n">
        <v>45539</v>
      </c>
      <c r="C254" s="15" t="n">
        <v>247</v>
      </c>
      <c r="D254" s="170" t="inlineStr">
        <is>
          <t>Revenue Repair Electric Assisted Stimulation Machine (no 23)</t>
        </is>
      </c>
      <c r="E254" s="227" t="n"/>
      <c r="F254" s="250" t="n">
        <v>89000000</v>
      </c>
      <c r="G254" s="15" t="inlineStr">
        <is>
          <t>IDR</t>
        </is>
      </c>
      <c r="H254" s="251" t="n">
        <v>1</v>
      </c>
      <c r="I254" s="15" t="inlineStr">
        <is>
          <t>INV023</t>
        </is>
      </c>
      <c r="J254" s="18" t="inlineStr">
        <is>
          <t>LBU</t>
        </is>
      </c>
      <c r="K254" s="249" t="n">
        <v>45553</v>
      </c>
      <c r="L254" s="252" t="n">
        <v>96920000</v>
      </c>
      <c r="M254" s="253" t="n">
        <v>9790000</v>
      </c>
      <c r="N254" s="253" t="n">
        <v>1780000</v>
      </c>
      <c r="O254" s="252" t="n">
        <v>0</v>
      </c>
      <c r="P254" s="18" t="inlineStr"/>
    </row>
    <row r="255" ht="15.5" customHeight="1">
      <c r="B255" s="249" t="n">
        <v>45539</v>
      </c>
      <c r="C255" s="15" t="n">
        <v>248</v>
      </c>
      <c r="D255" s="170" t="inlineStr">
        <is>
          <t>Revenue Repair Electric Assisted Stimulation Machine (no 23)</t>
        </is>
      </c>
      <c r="E255" s="227" t="n"/>
      <c r="F255" s="250" t="n">
        <v>89000000</v>
      </c>
      <c r="G255" s="15" t="inlineStr">
        <is>
          <t>IDR</t>
        </is>
      </c>
      <c r="H255" s="251" t="n">
        <v>1</v>
      </c>
      <c r="I255" s="15" t="inlineStr">
        <is>
          <t>INV023</t>
        </is>
      </c>
      <c r="J255" s="18" t="inlineStr">
        <is>
          <t>LBU</t>
        </is>
      </c>
      <c r="K255" s="249" t="n">
        <v>45553</v>
      </c>
      <c r="L255" s="252" t="n">
        <v>96920000</v>
      </c>
      <c r="M255" s="253" t="n">
        <v>9790000</v>
      </c>
      <c r="N255" s="253" t="n">
        <v>1780000</v>
      </c>
      <c r="O255" s="252" t="n">
        <v>0</v>
      </c>
      <c r="P255" s="18" t="inlineStr"/>
    </row>
    <row r="256" ht="15.5" customHeight="1">
      <c r="B256" s="249" t="n">
        <v>45539</v>
      </c>
      <c r="C256" s="15" t="n">
        <v>249</v>
      </c>
      <c r="D256" s="170" t="inlineStr">
        <is>
          <t>Revenue Repair Electric Assisted Stimulation Machine (no 23)</t>
        </is>
      </c>
      <c r="E256" s="227" t="n"/>
      <c r="F256" s="250" t="n">
        <v>89000000</v>
      </c>
      <c r="G256" s="15" t="inlineStr">
        <is>
          <t>IDR</t>
        </is>
      </c>
      <c r="H256" s="251" t="n">
        <v>1</v>
      </c>
      <c r="I256" s="15" t="inlineStr">
        <is>
          <t>INV023</t>
        </is>
      </c>
      <c r="J256" s="18" t="inlineStr">
        <is>
          <t>LBU</t>
        </is>
      </c>
      <c r="K256" s="249" t="n">
        <v>45553</v>
      </c>
      <c r="L256" s="252" t="n">
        <v>96920000</v>
      </c>
      <c r="M256" s="253" t="n">
        <v>9790000</v>
      </c>
      <c r="N256" s="253" t="n">
        <v>1780000</v>
      </c>
      <c r="O256" s="252" t="n">
        <v>0</v>
      </c>
      <c r="P256" s="18" t="inlineStr"/>
    </row>
    <row r="257" ht="15.5" customHeight="1">
      <c r="B257" s="249" t="n">
        <v>45539</v>
      </c>
      <c r="C257" s="15" t="n">
        <v>250</v>
      </c>
      <c r="D257" s="170" t="inlineStr">
        <is>
          <t>Revenue Repair Electric Assisted Stimulation Machine (no 23)</t>
        </is>
      </c>
      <c r="E257" s="227" t="n"/>
      <c r="F257" s="250" t="n">
        <v>89000000</v>
      </c>
      <c r="G257" s="15" t="inlineStr">
        <is>
          <t>IDR</t>
        </is>
      </c>
      <c r="H257" s="251" t="n">
        <v>1</v>
      </c>
      <c r="I257" s="15" t="inlineStr">
        <is>
          <t>INV023</t>
        </is>
      </c>
      <c r="J257" s="18" t="inlineStr">
        <is>
          <t>LBU</t>
        </is>
      </c>
      <c r="K257" s="249" t="n">
        <v>45553</v>
      </c>
      <c r="L257" s="252" t="n">
        <v>96920000</v>
      </c>
      <c r="M257" s="253" t="n">
        <v>9790000</v>
      </c>
      <c r="N257" s="253" t="n">
        <v>1780000</v>
      </c>
      <c r="O257" s="252" t="n">
        <v>0</v>
      </c>
      <c r="P257" s="18" t="inlineStr"/>
    </row>
    <row r="258" ht="15.5" customHeight="1">
      <c r="B258" s="249" t="n">
        <v>45539</v>
      </c>
      <c r="C258" s="15" t="n">
        <v>251</v>
      </c>
      <c r="D258" s="170" t="inlineStr">
        <is>
          <t>Revenue Repair Electric Assisted Stimulation Machine (no 23)</t>
        </is>
      </c>
      <c r="E258" s="227" t="n"/>
      <c r="F258" s="250" t="n">
        <v>89000000</v>
      </c>
      <c r="G258" s="15" t="inlineStr">
        <is>
          <t>IDR</t>
        </is>
      </c>
      <c r="H258" s="251" t="n">
        <v>1</v>
      </c>
      <c r="I258" s="15" t="inlineStr">
        <is>
          <t>INV023</t>
        </is>
      </c>
      <c r="J258" s="18" t="inlineStr">
        <is>
          <t>LBU</t>
        </is>
      </c>
      <c r="K258" s="249" t="n">
        <v>45553</v>
      </c>
      <c r="L258" s="252" t="n">
        <v>96920000</v>
      </c>
      <c r="M258" s="253" t="n">
        <v>9790000</v>
      </c>
      <c r="N258" s="253" t="n">
        <v>1780000</v>
      </c>
      <c r="O258" s="252" t="n">
        <v>0</v>
      </c>
      <c r="P258" s="18" t="inlineStr"/>
    </row>
    <row r="259" ht="15.5" customHeight="1">
      <c r="B259" s="249" t="n">
        <v>45539</v>
      </c>
      <c r="C259" s="15" t="n">
        <v>252</v>
      </c>
      <c r="D259" s="170" t="inlineStr">
        <is>
          <t>Revenue Repair Electric Assisted Stimulation Machine (no 23)</t>
        </is>
      </c>
      <c r="E259" s="227" t="n"/>
      <c r="F259" s="250" t="n">
        <v>89000000</v>
      </c>
      <c r="G259" s="15" t="inlineStr">
        <is>
          <t>IDR</t>
        </is>
      </c>
      <c r="H259" s="251" t="n">
        <v>1</v>
      </c>
      <c r="I259" s="15" t="inlineStr">
        <is>
          <t>INV023</t>
        </is>
      </c>
      <c r="J259" s="18" t="inlineStr">
        <is>
          <t>LBU</t>
        </is>
      </c>
      <c r="K259" s="249" t="n">
        <v>45553</v>
      </c>
      <c r="L259" s="252" t="n">
        <v>96920000</v>
      </c>
      <c r="M259" s="253" t="n">
        <v>9790000</v>
      </c>
      <c r="N259" s="253" t="n">
        <v>1780000</v>
      </c>
      <c r="O259" s="252" t="n">
        <v>0</v>
      </c>
      <c r="P259" s="18" t="inlineStr"/>
    </row>
    <row r="260" ht="15.5" customHeight="1">
      <c r="B260" s="249" t="n">
        <v>45539</v>
      </c>
      <c r="C260" s="15" t="n">
        <v>253</v>
      </c>
      <c r="D260" s="170" t="inlineStr">
        <is>
          <t>Revenue Repair Electric Assisted Stimulation Machine (no 23)</t>
        </is>
      </c>
      <c r="E260" s="227" t="n"/>
      <c r="F260" s="250" t="n">
        <v>89000000</v>
      </c>
      <c r="G260" s="15" t="inlineStr">
        <is>
          <t>IDR</t>
        </is>
      </c>
      <c r="H260" s="251" t="n">
        <v>1</v>
      </c>
      <c r="I260" s="15" t="inlineStr">
        <is>
          <t>INV023</t>
        </is>
      </c>
      <c r="J260" s="18" t="inlineStr">
        <is>
          <t>LBU</t>
        </is>
      </c>
      <c r="K260" s="249" t="n">
        <v>45553</v>
      </c>
      <c r="L260" s="252" t="n">
        <v>96920000</v>
      </c>
      <c r="M260" s="253" t="n">
        <v>9790000</v>
      </c>
      <c r="N260" s="253" t="n">
        <v>1780000</v>
      </c>
      <c r="O260" s="252" t="n">
        <v>0</v>
      </c>
      <c r="P260" s="18" t="inlineStr"/>
    </row>
    <row r="261" ht="15.5" customHeight="1">
      <c r="B261" s="249" t="n">
        <v>45539</v>
      </c>
      <c r="C261" s="15" t="n">
        <v>254</v>
      </c>
      <c r="D261" s="170" t="inlineStr">
        <is>
          <t>Revenue Repair Electric Assisted Stimulation Machine (no 23)</t>
        </is>
      </c>
      <c r="E261" s="227" t="n"/>
      <c r="F261" s="250" t="n">
        <v>89000000</v>
      </c>
      <c r="G261" s="15" t="inlineStr">
        <is>
          <t>IDR</t>
        </is>
      </c>
      <c r="H261" s="251" t="n">
        <v>1</v>
      </c>
      <c r="I261" s="15" t="inlineStr">
        <is>
          <t>INV023</t>
        </is>
      </c>
      <c r="J261" s="18" t="inlineStr">
        <is>
          <t>LBU</t>
        </is>
      </c>
      <c r="K261" s="249" t="n">
        <v>45553</v>
      </c>
      <c r="L261" s="252" t="n">
        <v>96920000</v>
      </c>
      <c r="M261" s="253" t="n">
        <v>9790000</v>
      </c>
      <c r="N261" s="253" t="n">
        <v>1780000</v>
      </c>
      <c r="O261" s="252" t="n">
        <v>0</v>
      </c>
      <c r="P261" s="18" t="inlineStr"/>
    </row>
    <row r="262" ht="15.5" customHeight="1">
      <c r="B262" s="249" t="n">
        <v>45539</v>
      </c>
      <c r="C262" s="15" t="n">
        <v>255</v>
      </c>
      <c r="D262" s="170" t="inlineStr">
        <is>
          <t>Revenue Repair Electric Assisted Stimulation Machine (no 23)</t>
        </is>
      </c>
      <c r="E262" s="227" t="n"/>
      <c r="F262" s="250" t="n">
        <v>89000000</v>
      </c>
      <c r="G262" s="15" t="inlineStr">
        <is>
          <t>IDR</t>
        </is>
      </c>
      <c r="H262" s="251" t="n">
        <v>1</v>
      </c>
      <c r="I262" s="15" t="inlineStr">
        <is>
          <t>INV023</t>
        </is>
      </c>
      <c r="J262" s="18" t="inlineStr">
        <is>
          <t>LBU</t>
        </is>
      </c>
      <c r="K262" s="249" t="n">
        <v>45553</v>
      </c>
      <c r="L262" s="252" t="n">
        <v>96920000</v>
      </c>
      <c r="M262" s="253" t="n">
        <v>9790000</v>
      </c>
      <c r="N262" s="253" t="n">
        <v>1780000</v>
      </c>
      <c r="O262" s="252" t="n">
        <v>0</v>
      </c>
      <c r="P262" s="18" t="inlineStr"/>
    </row>
    <row r="263" ht="15.5" customHeight="1">
      <c r="B263" s="249" t="n">
        <v>45539</v>
      </c>
      <c r="C263" s="15" t="n">
        <v>256</v>
      </c>
      <c r="D263" s="170" t="inlineStr">
        <is>
          <t>Revenue Repair Electric Assisted Stimulation Machine (no 23)</t>
        </is>
      </c>
      <c r="E263" s="227" t="n"/>
      <c r="F263" s="250" t="n">
        <v>89000000</v>
      </c>
      <c r="G263" s="15" t="inlineStr">
        <is>
          <t>IDR</t>
        </is>
      </c>
      <c r="H263" s="251" t="n">
        <v>1</v>
      </c>
      <c r="I263" s="15" t="inlineStr">
        <is>
          <t>INV023</t>
        </is>
      </c>
      <c r="J263" s="18" t="inlineStr">
        <is>
          <t>LBU</t>
        </is>
      </c>
      <c r="K263" s="249" t="n">
        <v>45553</v>
      </c>
      <c r="L263" s="252" t="n">
        <v>96920000</v>
      </c>
      <c r="M263" s="253" t="n">
        <v>9790000</v>
      </c>
      <c r="N263" s="253" t="n">
        <v>1780000</v>
      </c>
      <c r="O263" s="252" t="n">
        <v>0</v>
      </c>
      <c r="P263" s="18" t="inlineStr"/>
    </row>
    <row r="264" ht="15.5" customHeight="1">
      <c r="B264" s="249" t="n">
        <v>45539</v>
      </c>
      <c r="C264" s="15" t="n">
        <v>257</v>
      </c>
      <c r="D264" s="170" t="inlineStr">
        <is>
          <t>Revenue Repair Electric Assisted Stimulation Machine (no 23)</t>
        </is>
      </c>
      <c r="E264" s="227" t="n"/>
      <c r="F264" s="250" t="n">
        <v>89000000</v>
      </c>
      <c r="G264" s="15" t="inlineStr">
        <is>
          <t>IDR</t>
        </is>
      </c>
      <c r="H264" s="251" t="n">
        <v>1</v>
      </c>
      <c r="I264" s="15" t="inlineStr">
        <is>
          <t>INV023</t>
        </is>
      </c>
      <c r="J264" s="18" t="inlineStr">
        <is>
          <t>LBU</t>
        </is>
      </c>
      <c r="K264" s="249" t="n">
        <v>45553</v>
      </c>
      <c r="L264" s="252" t="n">
        <v>96920000</v>
      </c>
      <c r="M264" s="253" t="n">
        <v>9790000</v>
      </c>
      <c r="N264" s="253" t="n">
        <v>1780000</v>
      </c>
      <c r="O264" s="252" t="n">
        <v>0</v>
      </c>
      <c r="P264" s="18" t="inlineStr"/>
    </row>
    <row r="265" ht="15.5" customHeight="1">
      <c r="B265" s="249" t="n">
        <v>45539</v>
      </c>
      <c r="C265" s="15" t="n">
        <v>258</v>
      </c>
      <c r="D265" s="170" t="inlineStr">
        <is>
          <t>Revenue Repair Electric Assisted Stimulation Machine (no 23)</t>
        </is>
      </c>
      <c r="E265" s="227" t="n"/>
      <c r="F265" s="250" t="n">
        <v>89000000</v>
      </c>
      <c r="G265" s="15" t="inlineStr">
        <is>
          <t>IDR</t>
        </is>
      </c>
      <c r="H265" s="251" t="n">
        <v>1</v>
      </c>
      <c r="I265" s="15" t="inlineStr">
        <is>
          <t>INV023</t>
        </is>
      </c>
      <c r="J265" s="18" t="inlineStr">
        <is>
          <t>LBU</t>
        </is>
      </c>
      <c r="K265" s="249" t="n">
        <v>45553</v>
      </c>
      <c r="L265" s="252" t="n">
        <v>96920000</v>
      </c>
      <c r="M265" s="253" t="n">
        <v>9790000</v>
      </c>
      <c r="N265" s="253" t="n">
        <v>1780000</v>
      </c>
      <c r="O265" s="252" t="n">
        <v>0</v>
      </c>
      <c r="P265" s="18" t="inlineStr"/>
    </row>
    <row r="266" ht="15.5" customHeight="1">
      <c r="B266" s="249" t="n">
        <v>45539</v>
      </c>
      <c r="C266" s="15" t="n">
        <v>259</v>
      </c>
      <c r="D266" s="170" t="inlineStr">
        <is>
          <t>Revenue Repair Electric Assisted Stimulation Machine (no 23)</t>
        </is>
      </c>
      <c r="E266" s="227" t="n"/>
      <c r="F266" s="250" t="n">
        <v>89000000</v>
      </c>
      <c r="G266" s="15" t="inlineStr">
        <is>
          <t>IDR</t>
        </is>
      </c>
      <c r="H266" s="251" t="n">
        <v>1</v>
      </c>
      <c r="I266" s="15" t="inlineStr">
        <is>
          <t>INV023</t>
        </is>
      </c>
      <c r="J266" s="18" t="inlineStr">
        <is>
          <t>LBU</t>
        </is>
      </c>
      <c r="K266" s="249" t="n">
        <v>45553</v>
      </c>
      <c r="L266" s="252" t="n">
        <v>96920000</v>
      </c>
      <c r="M266" s="253" t="n">
        <v>9790000</v>
      </c>
      <c r="N266" s="253" t="n">
        <v>1780000</v>
      </c>
      <c r="O266" s="252" t="n">
        <v>0</v>
      </c>
      <c r="P266" s="18" t="inlineStr"/>
    </row>
    <row r="267" ht="15.5" customHeight="1">
      <c r="B267" s="249" t="n">
        <v>45539</v>
      </c>
      <c r="C267" s="15" t="n">
        <v>260</v>
      </c>
      <c r="D267" s="170" t="inlineStr">
        <is>
          <t>Revenue Repair Electric Assisted Stimulation Machine (no 23)</t>
        </is>
      </c>
      <c r="E267" s="227" t="n"/>
      <c r="F267" s="250" t="n">
        <v>89000000</v>
      </c>
      <c r="G267" s="15" t="inlineStr">
        <is>
          <t>IDR</t>
        </is>
      </c>
      <c r="H267" s="251" t="n">
        <v>1</v>
      </c>
      <c r="I267" s="15" t="inlineStr">
        <is>
          <t>INV023</t>
        </is>
      </c>
      <c r="J267" s="18" t="inlineStr">
        <is>
          <t>LBU</t>
        </is>
      </c>
      <c r="K267" s="249" t="n">
        <v>45553</v>
      </c>
      <c r="L267" s="252" t="n">
        <v>96920000</v>
      </c>
      <c r="M267" s="253" t="n">
        <v>9790000</v>
      </c>
      <c r="N267" s="253" t="n">
        <v>1780000</v>
      </c>
      <c r="O267" s="252" t="n">
        <v>0</v>
      </c>
      <c r="P267" s="18" t="inlineStr"/>
    </row>
    <row r="268" ht="15.5" customHeight="1">
      <c r="B268" s="249" t="n">
        <v>45539</v>
      </c>
      <c r="C268" s="15" t="n">
        <v>261</v>
      </c>
      <c r="D268" s="170" t="inlineStr">
        <is>
          <t>Revenue Repair Electric Assisted Stimulation Machine (no 23)</t>
        </is>
      </c>
      <c r="E268" s="227" t="n"/>
      <c r="F268" s="250" t="n">
        <v>89000000</v>
      </c>
      <c r="G268" s="15" t="inlineStr">
        <is>
          <t>IDR</t>
        </is>
      </c>
      <c r="H268" s="251" t="n">
        <v>1</v>
      </c>
      <c r="I268" s="15" t="inlineStr">
        <is>
          <t>INV023</t>
        </is>
      </c>
      <c r="J268" s="18" t="inlineStr">
        <is>
          <t>LBU</t>
        </is>
      </c>
      <c r="K268" s="249" t="n">
        <v>45553</v>
      </c>
      <c r="L268" s="252" t="n">
        <v>96920000</v>
      </c>
      <c r="M268" s="253" t="n">
        <v>9790000</v>
      </c>
      <c r="N268" s="253" t="n">
        <v>1780000</v>
      </c>
      <c r="O268" s="252" t="n">
        <v>0</v>
      </c>
      <c r="P268" s="18" t="inlineStr"/>
    </row>
    <row r="269" ht="15.5" customHeight="1">
      <c r="B269" s="249" t="n">
        <v>45539</v>
      </c>
      <c r="C269" s="15" t="n">
        <v>262</v>
      </c>
      <c r="D269" s="170" t="inlineStr">
        <is>
          <t>Revenue Repair Electric Assisted Stimulation Machine (no 23)</t>
        </is>
      </c>
      <c r="E269" s="227" t="n"/>
      <c r="F269" s="250" t="n">
        <v>89000000</v>
      </c>
      <c r="G269" s="15" t="inlineStr">
        <is>
          <t>IDR</t>
        </is>
      </c>
      <c r="H269" s="251" t="n">
        <v>1</v>
      </c>
      <c r="I269" s="15" t="inlineStr">
        <is>
          <t>INV023</t>
        </is>
      </c>
      <c r="J269" s="18" t="inlineStr">
        <is>
          <t>LBU</t>
        </is>
      </c>
      <c r="K269" s="249" t="n">
        <v>45553</v>
      </c>
      <c r="L269" s="252" t="n">
        <v>96920000</v>
      </c>
      <c r="M269" s="253" t="n">
        <v>9790000</v>
      </c>
      <c r="N269" s="253" t="n">
        <v>1780000</v>
      </c>
      <c r="O269" s="252" t="n">
        <v>0</v>
      </c>
      <c r="P269" s="18" t="inlineStr"/>
    </row>
    <row r="270" ht="15.5" customHeight="1">
      <c r="B270" s="249" t="n">
        <v>45539</v>
      </c>
      <c r="C270" s="15" t="n">
        <v>263</v>
      </c>
      <c r="D270" s="170" t="inlineStr">
        <is>
          <t>Revenue Repair Electric Assisted Stimulation Machine (no 23)</t>
        </is>
      </c>
      <c r="E270" s="227" t="n"/>
      <c r="F270" s="250" t="n">
        <v>89000000</v>
      </c>
      <c r="G270" s="15" t="inlineStr">
        <is>
          <t>IDR</t>
        </is>
      </c>
      <c r="H270" s="251" t="n">
        <v>1</v>
      </c>
      <c r="I270" s="15" t="inlineStr">
        <is>
          <t>INV023</t>
        </is>
      </c>
      <c r="J270" s="18" t="inlineStr">
        <is>
          <t>LBU</t>
        </is>
      </c>
      <c r="K270" s="249" t="n">
        <v>45553</v>
      </c>
      <c r="L270" s="252" t="n">
        <v>96920000</v>
      </c>
      <c r="M270" s="253" t="n">
        <v>9790000</v>
      </c>
      <c r="N270" s="253" t="n">
        <v>1780000</v>
      </c>
      <c r="O270" s="252" t="n">
        <v>0</v>
      </c>
      <c r="P270" s="18" t="inlineStr"/>
    </row>
    <row r="271" ht="15.5" customHeight="1">
      <c r="B271" s="249" t="n">
        <v>45539</v>
      </c>
      <c r="C271" s="15" t="n">
        <v>264</v>
      </c>
      <c r="D271" s="170" t="inlineStr">
        <is>
          <t>Revenue Repair Electric Assisted Stimulation Machine (no 23)</t>
        </is>
      </c>
      <c r="E271" s="227" t="n"/>
      <c r="F271" s="250" t="n">
        <v>89000000</v>
      </c>
      <c r="G271" s="15" t="inlineStr">
        <is>
          <t>IDR</t>
        </is>
      </c>
      <c r="H271" s="251" t="n">
        <v>1</v>
      </c>
      <c r="I271" s="15" t="inlineStr">
        <is>
          <t>INV023</t>
        </is>
      </c>
      <c r="J271" s="18" t="inlineStr">
        <is>
          <t>LBU</t>
        </is>
      </c>
      <c r="K271" s="249" t="n">
        <v>45553</v>
      </c>
      <c r="L271" s="252" t="n">
        <v>96920000</v>
      </c>
      <c r="M271" s="253" t="n">
        <v>9790000</v>
      </c>
      <c r="N271" s="253" t="n">
        <v>1780000</v>
      </c>
      <c r="O271" s="252" t="n">
        <v>0</v>
      </c>
      <c r="P271" s="18" t="inlineStr"/>
    </row>
    <row r="272" ht="15.5" customHeight="1">
      <c r="B272" s="249" t="n">
        <v>45539</v>
      </c>
      <c r="C272" s="15" t="n">
        <v>265</v>
      </c>
      <c r="D272" s="170" t="inlineStr">
        <is>
          <t>Revenue Repair Electric Assisted Stimulation Machine (no 23)</t>
        </is>
      </c>
      <c r="E272" s="227" t="n"/>
      <c r="F272" s="250" t="n">
        <v>89000000</v>
      </c>
      <c r="G272" s="15" t="inlineStr">
        <is>
          <t>IDR</t>
        </is>
      </c>
      <c r="H272" s="251" t="n">
        <v>1</v>
      </c>
      <c r="I272" s="15" t="inlineStr">
        <is>
          <t>INV023</t>
        </is>
      </c>
      <c r="J272" s="18" t="inlineStr">
        <is>
          <t>LBU</t>
        </is>
      </c>
      <c r="K272" s="249" t="n">
        <v>45553</v>
      </c>
      <c r="L272" s="252" t="n">
        <v>96920000</v>
      </c>
      <c r="M272" s="253" t="n">
        <v>9790000</v>
      </c>
      <c r="N272" s="253" t="n">
        <v>1780000</v>
      </c>
      <c r="O272" s="252" t="n">
        <v>0</v>
      </c>
      <c r="P272" s="18" t="inlineStr"/>
    </row>
    <row r="273" ht="15.5" customHeight="1">
      <c r="B273" s="249" t="n">
        <v>45539</v>
      </c>
      <c r="C273" s="15" t="n">
        <v>266</v>
      </c>
      <c r="D273" s="170" t="inlineStr">
        <is>
          <t>Revenue Repair Electric Assisted Stimulation Machine (no 23)</t>
        </is>
      </c>
      <c r="E273" s="227" t="n"/>
      <c r="F273" s="250" t="n">
        <v>89000000</v>
      </c>
      <c r="G273" s="15" t="inlineStr">
        <is>
          <t>IDR</t>
        </is>
      </c>
      <c r="H273" s="251" t="n">
        <v>1</v>
      </c>
      <c r="I273" s="15" t="inlineStr">
        <is>
          <t>INV023</t>
        </is>
      </c>
      <c r="J273" s="18" t="inlineStr">
        <is>
          <t>LBU</t>
        </is>
      </c>
      <c r="K273" s="249" t="n">
        <v>45553</v>
      </c>
      <c r="L273" s="252" t="n">
        <v>96920000</v>
      </c>
      <c r="M273" s="253" t="n">
        <v>9790000</v>
      </c>
      <c r="N273" s="253" t="n">
        <v>1780000</v>
      </c>
      <c r="O273" s="252" t="n">
        <v>0</v>
      </c>
      <c r="P273" s="18" t="inlineStr"/>
    </row>
    <row r="274" ht="15.5" customHeight="1">
      <c r="B274" s="249" t="n">
        <v>45539</v>
      </c>
      <c r="C274" s="15" t="n">
        <v>267</v>
      </c>
      <c r="D274" s="170" t="inlineStr">
        <is>
          <t>Revenue Repair Electric Assisted Stimulation Machine (no 23)</t>
        </is>
      </c>
      <c r="E274" s="227" t="n"/>
      <c r="F274" s="250" t="n">
        <v>89000000</v>
      </c>
      <c r="G274" s="15" t="inlineStr">
        <is>
          <t>IDR</t>
        </is>
      </c>
      <c r="H274" s="251" t="n">
        <v>1</v>
      </c>
      <c r="I274" s="15" t="inlineStr">
        <is>
          <t>INV023</t>
        </is>
      </c>
      <c r="J274" s="18" t="inlineStr">
        <is>
          <t>LBU</t>
        </is>
      </c>
      <c r="K274" s="249" t="n">
        <v>45553</v>
      </c>
      <c r="L274" s="252" t="n">
        <v>96920000</v>
      </c>
      <c r="M274" s="253" t="n">
        <v>9790000</v>
      </c>
      <c r="N274" s="253" t="n">
        <v>1780000</v>
      </c>
      <c r="O274" s="252" t="n">
        <v>0</v>
      </c>
      <c r="P274" s="18" t="inlineStr"/>
    </row>
    <row r="275" ht="15.5" customHeight="1">
      <c r="B275" s="249" t="n">
        <v>45539</v>
      </c>
      <c r="C275" s="15" t="n">
        <v>268</v>
      </c>
      <c r="D275" s="170" t="inlineStr">
        <is>
          <t>Revenue Repair Electric Assisted Stimulation Machine (no 23)</t>
        </is>
      </c>
      <c r="E275" s="227" t="n"/>
      <c r="F275" s="250" t="n">
        <v>89000000</v>
      </c>
      <c r="G275" s="15" t="inlineStr">
        <is>
          <t>IDR</t>
        </is>
      </c>
      <c r="H275" s="251" t="n">
        <v>1</v>
      </c>
      <c r="I275" s="15" t="inlineStr">
        <is>
          <t>INV023</t>
        </is>
      </c>
      <c r="J275" s="18" t="inlineStr">
        <is>
          <t>LBU</t>
        </is>
      </c>
      <c r="K275" s="249" t="n">
        <v>45553</v>
      </c>
      <c r="L275" s="252" t="n">
        <v>96920000</v>
      </c>
      <c r="M275" s="253" t="n">
        <v>9790000</v>
      </c>
      <c r="N275" s="253" t="n">
        <v>1780000</v>
      </c>
      <c r="O275" s="252" t="n">
        <v>0</v>
      </c>
      <c r="P275" s="18" t="inlineStr"/>
    </row>
    <row r="276" ht="15.5" customHeight="1">
      <c r="B276" s="249" t="n">
        <v>45539</v>
      </c>
      <c r="C276" s="15" t="n">
        <v>269</v>
      </c>
      <c r="D276" s="170" t="inlineStr">
        <is>
          <t>Revenue Repair Electric Assisted Stimulation Machine (no 23)</t>
        </is>
      </c>
      <c r="E276" s="227" t="n"/>
      <c r="F276" s="250" t="n">
        <v>89000000</v>
      </c>
      <c r="G276" s="15" t="inlineStr">
        <is>
          <t>IDR</t>
        </is>
      </c>
      <c r="H276" s="251" t="n">
        <v>1</v>
      </c>
      <c r="I276" s="15" t="inlineStr">
        <is>
          <t>INV023</t>
        </is>
      </c>
      <c r="J276" s="18" t="inlineStr">
        <is>
          <t>LBU</t>
        </is>
      </c>
      <c r="K276" s="249" t="n">
        <v>45553</v>
      </c>
      <c r="L276" s="252" t="n">
        <v>96920000</v>
      </c>
      <c r="M276" s="253" t="n">
        <v>9790000</v>
      </c>
      <c r="N276" s="253" t="n">
        <v>1780000</v>
      </c>
      <c r="O276" s="252" t="n">
        <v>0</v>
      </c>
      <c r="P276" s="18" t="inlineStr"/>
    </row>
    <row r="277" ht="15.5" customHeight="1">
      <c r="B277" s="249" t="n">
        <v>45539</v>
      </c>
      <c r="C277" s="15" t="n">
        <v>270</v>
      </c>
      <c r="D277" s="170" t="inlineStr">
        <is>
          <t>Revenue Repair Electric Assisted Stimulation Machine (no 23)</t>
        </is>
      </c>
      <c r="E277" s="227" t="n"/>
      <c r="F277" s="250" t="n">
        <v>89000000</v>
      </c>
      <c r="G277" s="15" t="inlineStr">
        <is>
          <t>IDR</t>
        </is>
      </c>
      <c r="H277" s="251" t="n">
        <v>1</v>
      </c>
      <c r="I277" s="15" t="inlineStr">
        <is>
          <t>INV023</t>
        </is>
      </c>
      <c r="J277" s="18" t="inlineStr">
        <is>
          <t>LBU</t>
        </is>
      </c>
      <c r="K277" s="249" t="n">
        <v>45553</v>
      </c>
      <c r="L277" s="252" t="n">
        <v>96920000</v>
      </c>
      <c r="M277" s="253" t="n">
        <v>9790000</v>
      </c>
      <c r="N277" s="253" t="n">
        <v>1780000</v>
      </c>
      <c r="O277" s="252" t="n">
        <v>0</v>
      </c>
      <c r="P277" s="18" t="inlineStr"/>
    </row>
    <row r="278" ht="15.5" customHeight="1">
      <c r="B278" s="249" t="n">
        <v>45539</v>
      </c>
      <c r="C278" s="15" t="n">
        <v>271</v>
      </c>
      <c r="D278" s="170" t="inlineStr">
        <is>
          <t>Revenue Repair Electric Assisted Stimulation Machine (no 23)</t>
        </is>
      </c>
      <c r="E278" s="227" t="n"/>
      <c r="F278" s="250" t="n">
        <v>89000000</v>
      </c>
      <c r="G278" s="15" t="inlineStr">
        <is>
          <t>IDR</t>
        </is>
      </c>
      <c r="H278" s="251" t="n">
        <v>1</v>
      </c>
      <c r="I278" s="15" t="inlineStr">
        <is>
          <t>INV023</t>
        </is>
      </c>
      <c r="J278" s="18" t="inlineStr">
        <is>
          <t>LBU</t>
        </is>
      </c>
      <c r="K278" s="249" t="n">
        <v>45553</v>
      </c>
      <c r="L278" s="252" t="n">
        <v>96920000</v>
      </c>
      <c r="M278" s="253" t="n">
        <v>9790000</v>
      </c>
      <c r="N278" s="253" t="n">
        <v>1780000</v>
      </c>
      <c r="O278" s="252" t="n">
        <v>0</v>
      </c>
      <c r="P278" s="18" t="inlineStr"/>
    </row>
    <row r="279" ht="15.5" customHeight="1">
      <c r="B279" s="249" t="n">
        <v>45539</v>
      </c>
      <c r="C279" s="15" t="n">
        <v>272</v>
      </c>
      <c r="D279" s="170" t="inlineStr">
        <is>
          <t>Revenue Repair Electric Assisted Stimulation Machine (no 23)</t>
        </is>
      </c>
      <c r="E279" s="227" t="n"/>
      <c r="F279" s="250" t="n">
        <v>89000000</v>
      </c>
      <c r="G279" s="15" t="inlineStr">
        <is>
          <t>IDR</t>
        </is>
      </c>
      <c r="H279" s="251" t="n">
        <v>1</v>
      </c>
      <c r="I279" s="15" t="inlineStr">
        <is>
          <t>INV023</t>
        </is>
      </c>
      <c r="J279" s="18" t="inlineStr">
        <is>
          <t>LBU</t>
        </is>
      </c>
      <c r="K279" s="249" t="n">
        <v>45553</v>
      </c>
      <c r="L279" s="252" t="n">
        <v>96920000</v>
      </c>
      <c r="M279" s="253" t="n">
        <v>9790000</v>
      </c>
      <c r="N279" s="253" t="n">
        <v>1780000</v>
      </c>
      <c r="O279" s="252" t="n">
        <v>0</v>
      </c>
      <c r="P279" s="18" t="inlineStr"/>
    </row>
    <row r="280" ht="15.5" customHeight="1">
      <c r="B280" s="249" t="n">
        <v>45539</v>
      </c>
      <c r="C280" s="15" t="n">
        <v>273</v>
      </c>
      <c r="D280" s="170" t="inlineStr">
        <is>
          <t>Revenue Repair Electric Assisted Stimulation Machine (no 23)</t>
        </is>
      </c>
      <c r="E280" s="227" t="n"/>
      <c r="F280" s="250" t="n">
        <v>89000000</v>
      </c>
      <c r="G280" s="15" t="inlineStr">
        <is>
          <t>IDR</t>
        </is>
      </c>
      <c r="H280" s="251" t="n">
        <v>1</v>
      </c>
      <c r="I280" s="15" t="inlineStr">
        <is>
          <t>INV023</t>
        </is>
      </c>
      <c r="J280" s="18" t="inlineStr">
        <is>
          <t>LBU</t>
        </is>
      </c>
      <c r="K280" s="249" t="n">
        <v>45553</v>
      </c>
      <c r="L280" s="252" t="n">
        <v>96920000</v>
      </c>
      <c r="M280" s="253" t="n">
        <v>9790000</v>
      </c>
      <c r="N280" s="253" t="n">
        <v>1780000</v>
      </c>
      <c r="O280" s="252" t="n">
        <v>0</v>
      </c>
      <c r="P280" s="18" t="inlineStr"/>
    </row>
    <row r="281" ht="15.5" customHeight="1">
      <c r="B281" s="249" t="n">
        <v>45539</v>
      </c>
      <c r="C281" s="15" t="n">
        <v>274</v>
      </c>
      <c r="D281" s="170" t="inlineStr">
        <is>
          <t>Revenue Repair Electric Assisted Stimulation Machine (no 23)</t>
        </is>
      </c>
      <c r="E281" s="227" t="n"/>
      <c r="F281" s="250" t="n">
        <v>89000000</v>
      </c>
      <c r="G281" s="15" t="inlineStr">
        <is>
          <t>IDR</t>
        </is>
      </c>
      <c r="H281" s="251" t="n">
        <v>1</v>
      </c>
      <c r="I281" s="15" t="inlineStr">
        <is>
          <t>INV023</t>
        </is>
      </c>
      <c r="J281" s="18" t="inlineStr">
        <is>
          <t>LBU</t>
        </is>
      </c>
      <c r="K281" s="249" t="n">
        <v>45553</v>
      </c>
      <c r="L281" s="252" t="n">
        <v>96920000</v>
      </c>
      <c r="M281" s="253" t="n">
        <v>9790000</v>
      </c>
      <c r="N281" s="253" t="n">
        <v>1780000</v>
      </c>
      <c r="O281" s="252" t="n">
        <v>0</v>
      </c>
      <c r="P281" s="18" t="inlineStr"/>
    </row>
    <row r="282" ht="15.5" customHeight="1">
      <c r="B282" s="249" t="n">
        <v>45539</v>
      </c>
      <c r="C282" s="15" t="n">
        <v>275</v>
      </c>
      <c r="D282" s="170" t="inlineStr">
        <is>
          <t>Revenue Repair Electric Assisted Stimulation Machine (no 23)</t>
        </is>
      </c>
      <c r="E282" s="227" t="n"/>
      <c r="F282" s="250" t="n">
        <v>89000000</v>
      </c>
      <c r="G282" s="15" t="inlineStr">
        <is>
          <t>IDR</t>
        </is>
      </c>
      <c r="H282" s="251" t="n">
        <v>1</v>
      </c>
      <c r="I282" s="15" t="inlineStr">
        <is>
          <t>INV023</t>
        </is>
      </c>
      <c r="J282" s="18" t="inlineStr">
        <is>
          <t>LBU</t>
        </is>
      </c>
      <c r="K282" s="249" t="n">
        <v>45553</v>
      </c>
      <c r="L282" s="252" t="n">
        <v>96920000</v>
      </c>
      <c r="M282" s="253" t="n">
        <v>9790000</v>
      </c>
      <c r="N282" s="253" t="n">
        <v>1780000</v>
      </c>
      <c r="O282" s="252" t="n">
        <v>0</v>
      </c>
      <c r="P282" s="18" t="inlineStr"/>
    </row>
    <row r="283" ht="15.5" customHeight="1">
      <c r="B283" s="249" t="n">
        <v>45539</v>
      </c>
      <c r="C283" s="15" t="n">
        <v>276</v>
      </c>
      <c r="D283" s="170" t="inlineStr">
        <is>
          <t>Revenue Repair Electric Assisted Stimulation Machine (no 23)</t>
        </is>
      </c>
      <c r="E283" s="227" t="n"/>
      <c r="F283" s="250" t="n">
        <v>89000000</v>
      </c>
      <c r="G283" s="15" t="inlineStr">
        <is>
          <t>IDR</t>
        </is>
      </c>
      <c r="H283" s="251" t="n">
        <v>1</v>
      </c>
      <c r="I283" s="15" t="inlineStr">
        <is>
          <t>INV023</t>
        </is>
      </c>
      <c r="J283" s="18" t="inlineStr">
        <is>
          <t>LBU</t>
        </is>
      </c>
      <c r="K283" s="249" t="n">
        <v>45553</v>
      </c>
      <c r="L283" s="252" t="n">
        <v>96920000</v>
      </c>
      <c r="M283" s="253" t="n">
        <v>9790000</v>
      </c>
      <c r="N283" s="253" t="n">
        <v>1780000</v>
      </c>
      <c r="O283" s="252" t="n">
        <v>0</v>
      </c>
      <c r="P283" s="18" t="inlineStr"/>
    </row>
    <row r="284" ht="15.5" customHeight="1">
      <c r="B284" s="249" t="n">
        <v>45539</v>
      </c>
      <c r="C284" s="15" t="n">
        <v>277</v>
      </c>
      <c r="D284" s="170" t="inlineStr">
        <is>
          <t>Revenue Repair Electric Assisted Stimulation Machine (no 23)</t>
        </is>
      </c>
      <c r="E284" s="227" t="n"/>
      <c r="F284" s="250" t="n">
        <v>89000000</v>
      </c>
      <c r="G284" s="15" t="inlineStr">
        <is>
          <t>IDR</t>
        </is>
      </c>
      <c r="H284" s="251" t="n">
        <v>1</v>
      </c>
      <c r="I284" s="15" t="inlineStr">
        <is>
          <t>INV023</t>
        </is>
      </c>
      <c r="J284" s="18" t="inlineStr">
        <is>
          <t>LBU</t>
        </is>
      </c>
      <c r="K284" s="249" t="n">
        <v>45553</v>
      </c>
      <c r="L284" s="252" t="n">
        <v>96920000</v>
      </c>
      <c r="M284" s="253" t="n">
        <v>9790000</v>
      </c>
      <c r="N284" s="253" t="n">
        <v>1780000</v>
      </c>
      <c r="O284" s="252" t="n">
        <v>0</v>
      </c>
      <c r="P284" s="18" t="inlineStr"/>
    </row>
    <row r="285" ht="15.5" customHeight="1">
      <c r="B285" s="249" t="n">
        <v>45539</v>
      </c>
      <c r="C285" s="15" t="n">
        <v>278</v>
      </c>
      <c r="D285" s="170" t="inlineStr">
        <is>
          <t>Revenue Repair Electric Assisted Stimulation Machine (no 23)</t>
        </is>
      </c>
      <c r="E285" s="227" t="n"/>
      <c r="F285" s="250" t="n">
        <v>89000000</v>
      </c>
      <c r="G285" s="15" t="inlineStr">
        <is>
          <t>IDR</t>
        </is>
      </c>
      <c r="H285" s="251" t="n">
        <v>1</v>
      </c>
      <c r="I285" s="15" t="inlineStr">
        <is>
          <t>INV023</t>
        </is>
      </c>
      <c r="J285" s="18" t="inlineStr">
        <is>
          <t>LBU</t>
        </is>
      </c>
      <c r="K285" s="249" t="n">
        <v>45553</v>
      </c>
      <c r="L285" s="252" t="n">
        <v>96920000</v>
      </c>
      <c r="M285" s="253" t="n">
        <v>9790000</v>
      </c>
      <c r="N285" s="253" t="n">
        <v>1780000</v>
      </c>
      <c r="O285" s="252" t="n">
        <v>0</v>
      </c>
      <c r="P285" s="18" t="inlineStr"/>
    </row>
    <row r="286" ht="15.5" customHeight="1">
      <c r="B286" s="249" t="n">
        <v>45539</v>
      </c>
      <c r="C286" s="15" t="n">
        <v>279</v>
      </c>
      <c r="D286" s="170" t="inlineStr">
        <is>
          <t>Revenue Repair Electric Assisted Stimulation Machine (no 23)</t>
        </is>
      </c>
      <c r="E286" s="227" t="n"/>
      <c r="F286" s="250" t="n">
        <v>89000000</v>
      </c>
      <c r="G286" s="15" t="inlineStr">
        <is>
          <t>IDR</t>
        </is>
      </c>
      <c r="H286" s="251" t="n">
        <v>1</v>
      </c>
      <c r="I286" s="15" t="inlineStr">
        <is>
          <t>INV023</t>
        </is>
      </c>
      <c r="J286" s="18" t="inlineStr">
        <is>
          <t>LBU</t>
        </is>
      </c>
      <c r="K286" s="249" t="n">
        <v>45553</v>
      </c>
      <c r="L286" s="252" t="n">
        <v>96920000</v>
      </c>
      <c r="M286" s="253" t="n">
        <v>9790000</v>
      </c>
      <c r="N286" s="253" t="n">
        <v>1780000</v>
      </c>
      <c r="O286" s="252" t="n">
        <v>0</v>
      </c>
      <c r="P286" s="18" t="inlineStr"/>
    </row>
    <row r="287" ht="15.5" customHeight="1">
      <c r="B287" s="249" t="n">
        <v>45539</v>
      </c>
      <c r="C287" s="15" t="n">
        <v>280</v>
      </c>
      <c r="D287" s="170" t="inlineStr">
        <is>
          <t>Revenue Repair Electric Assisted Stimulation Machine (no 23)</t>
        </is>
      </c>
      <c r="E287" s="227" t="n"/>
      <c r="F287" s="250" t="n">
        <v>89000000</v>
      </c>
      <c r="G287" s="15" t="inlineStr">
        <is>
          <t>IDR</t>
        </is>
      </c>
      <c r="H287" s="251" t="n">
        <v>1</v>
      </c>
      <c r="I287" s="15" t="inlineStr">
        <is>
          <t>INV023</t>
        </is>
      </c>
      <c r="J287" s="18" t="inlineStr">
        <is>
          <t>LBU</t>
        </is>
      </c>
      <c r="K287" s="249" t="n">
        <v>45553</v>
      </c>
      <c r="L287" s="252" t="n">
        <v>96920000</v>
      </c>
      <c r="M287" s="253" t="n">
        <v>9790000</v>
      </c>
      <c r="N287" s="253" t="n">
        <v>1780000</v>
      </c>
      <c r="O287" s="252" t="n">
        <v>0</v>
      </c>
      <c r="P287" s="18" t="inlineStr"/>
    </row>
    <row r="288" ht="15.5" customHeight="1">
      <c r="B288" s="249" t="n">
        <v>45539</v>
      </c>
      <c r="C288" s="15" t="n">
        <v>281</v>
      </c>
      <c r="D288" s="170" t="inlineStr">
        <is>
          <t>Revenue Repair Electric Assisted Stimulation Machine (no 23)</t>
        </is>
      </c>
      <c r="E288" s="227" t="n"/>
      <c r="F288" s="250" t="n">
        <v>89000000</v>
      </c>
      <c r="G288" s="15" t="inlineStr">
        <is>
          <t>IDR</t>
        </is>
      </c>
      <c r="H288" s="251" t="n">
        <v>1</v>
      </c>
      <c r="I288" s="15" t="inlineStr">
        <is>
          <t>INV023</t>
        </is>
      </c>
      <c r="J288" s="18" t="inlineStr">
        <is>
          <t>LBU</t>
        </is>
      </c>
      <c r="K288" s="249" t="n">
        <v>45553</v>
      </c>
      <c r="L288" s="252" t="n">
        <v>96920000</v>
      </c>
      <c r="M288" s="253" t="n">
        <v>9790000</v>
      </c>
      <c r="N288" s="253" t="n">
        <v>1780000</v>
      </c>
      <c r="O288" s="252" t="n">
        <v>0</v>
      </c>
      <c r="P288" s="18" t="inlineStr"/>
    </row>
    <row r="289" ht="15.5" customHeight="1">
      <c r="B289" s="249" t="n">
        <v>45539</v>
      </c>
      <c r="C289" s="15" t="n">
        <v>282</v>
      </c>
      <c r="D289" s="170" t="inlineStr">
        <is>
          <t>Revenue Repair Electric Assisted Stimulation Machine (no 23)</t>
        </is>
      </c>
      <c r="E289" s="227" t="n"/>
      <c r="F289" s="250" t="n">
        <v>89000000</v>
      </c>
      <c r="G289" s="15" t="inlineStr">
        <is>
          <t>IDR</t>
        </is>
      </c>
      <c r="H289" s="251" t="n">
        <v>1</v>
      </c>
      <c r="I289" s="15" t="inlineStr">
        <is>
          <t>INV023</t>
        </is>
      </c>
      <c r="J289" s="18" t="inlineStr">
        <is>
          <t>LBU</t>
        </is>
      </c>
      <c r="K289" s="249" t="n">
        <v>45553</v>
      </c>
      <c r="L289" s="252" t="n">
        <v>96920000</v>
      </c>
      <c r="M289" s="253" t="n">
        <v>9790000</v>
      </c>
      <c r="N289" s="253" t="n">
        <v>1780000</v>
      </c>
      <c r="O289" s="252" t="n">
        <v>0</v>
      </c>
      <c r="P289" s="18" t="inlineStr"/>
    </row>
    <row r="290" ht="15.5" customHeight="1">
      <c r="B290" s="249" t="n">
        <v>45539</v>
      </c>
      <c r="C290" s="15" t="n">
        <v>283</v>
      </c>
      <c r="D290" s="170" t="inlineStr">
        <is>
          <t>Revenue Repair Electric Assisted Stimulation Machine (no 23)</t>
        </is>
      </c>
      <c r="E290" s="227" t="n"/>
      <c r="F290" s="250" t="n">
        <v>89000000</v>
      </c>
      <c r="G290" s="15" t="inlineStr">
        <is>
          <t>IDR</t>
        </is>
      </c>
      <c r="H290" s="251" t="n">
        <v>1</v>
      </c>
      <c r="I290" s="15" t="inlineStr">
        <is>
          <t>INV023</t>
        </is>
      </c>
      <c r="J290" s="18" t="inlineStr">
        <is>
          <t>LBU</t>
        </is>
      </c>
      <c r="K290" s="249" t="n">
        <v>45553</v>
      </c>
      <c r="L290" s="252" t="n">
        <v>96920000</v>
      </c>
      <c r="M290" s="253" t="n">
        <v>9790000</v>
      </c>
      <c r="N290" s="253" t="n">
        <v>1780000</v>
      </c>
      <c r="O290" s="252" t="n">
        <v>0</v>
      </c>
      <c r="P290" s="18" t="inlineStr"/>
    </row>
    <row r="291" ht="15.5" customHeight="1">
      <c r="B291" s="249" t="n">
        <v>45539</v>
      </c>
      <c r="C291" s="15" t="n">
        <v>284</v>
      </c>
      <c r="D291" s="170" t="inlineStr">
        <is>
          <t>Revenue Repair Electric Assisted Stimulation Machine (no 23)</t>
        </is>
      </c>
      <c r="E291" s="227" t="n"/>
      <c r="F291" s="250" t="n">
        <v>89000000</v>
      </c>
      <c r="G291" s="15" t="inlineStr">
        <is>
          <t>IDR</t>
        </is>
      </c>
      <c r="H291" s="251" t="n">
        <v>1</v>
      </c>
      <c r="I291" s="15" t="inlineStr">
        <is>
          <t>INV023</t>
        </is>
      </c>
      <c r="J291" s="18" t="inlineStr">
        <is>
          <t>LBU</t>
        </is>
      </c>
      <c r="K291" s="249" t="n">
        <v>45553</v>
      </c>
      <c r="L291" s="252" t="n">
        <v>96920000</v>
      </c>
      <c r="M291" s="253" t="n">
        <v>9790000</v>
      </c>
      <c r="N291" s="253" t="n">
        <v>1780000</v>
      </c>
      <c r="O291" s="252" t="n">
        <v>0</v>
      </c>
      <c r="P291" s="18" t="inlineStr"/>
    </row>
    <row r="292" ht="15.5" customHeight="1">
      <c r="B292" s="249" t="n">
        <v>45539</v>
      </c>
      <c r="C292" s="15" t="n">
        <v>285</v>
      </c>
      <c r="D292" s="170" t="inlineStr">
        <is>
          <t>Revenue Repair Electric Assisted Stimulation Machine (no 23)</t>
        </is>
      </c>
      <c r="E292" s="227" t="n"/>
      <c r="F292" s="250" t="n">
        <v>89000000</v>
      </c>
      <c r="G292" s="15" t="inlineStr">
        <is>
          <t>IDR</t>
        </is>
      </c>
      <c r="H292" s="251" t="n">
        <v>1</v>
      </c>
      <c r="I292" s="15" t="inlineStr">
        <is>
          <t>INV023</t>
        </is>
      </c>
      <c r="J292" s="18" t="inlineStr">
        <is>
          <t>LBU</t>
        </is>
      </c>
      <c r="K292" s="249" t="n">
        <v>45553</v>
      </c>
      <c r="L292" s="252" t="n">
        <v>96920000</v>
      </c>
      <c r="M292" s="253" t="n">
        <v>9790000</v>
      </c>
      <c r="N292" s="253" t="n">
        <v>1780000</v>
      </c>
      <c r="O292" s="252" t="n">
        <v>0</v>
      </c>
      <c r="P292" s="18" t="inlineStr"/>
    </row>
    <row r="293" ht="15.5" customHeight="1">
      <c r="B293" s="249" t="n">
        <v>45539</v>
      </c>
      <c r="C293" s="15" t="n">
        <v>286</v>
      </c>
      <c r="D293" s="170" t="inlineStr">
        <is>
          <t>Revenue Repair Electric Assisted Stimulation Machine (no 23)</t>
        </is>
      </c>
      <c r="E293" s="227" t="n"/>
      <c r="F293" s="250" t="n">
        <v>89000000</v>
      </c>
      <c r="G293" s="15" t="inlineStr">
        <is>
          <t>IDR</t>
        </is>
      </c>
      <c r="H293" s="251" t="n">
        <v>1</v>
      </c>
      <c r="I293" s="15" t="inlineStr">
        <is>
          <t>INV023</t>
        </is>
      </c>
      <c r="J293" s="18" t="inlineStr">
        <is>
          <t>LBU</t>
        </is>
      </c>
      <c r="K293" s="249" t="n">
        <v>45553</v>
      </c>
      <c r="L293" s="252" t="n">
        <v>96920000</v>
      </c>
      <c r="M293" s="253" t="n">
        <v>9790000</v>
      </c>
      <c r="N293" s="253" t="n">
        <v>1780000</v>
      </c>
      <c r="O293" s="252" t="n">
        <v>0</v>
      </c>
      <c r="P293" s="18" t="inlineStr"/>
    </row>
    <row r="294" ht="15.5" customHeight="1">
      <c r="B294" s="249" t="n">
        <v>45539</v>
      </c>
      <c r="C294" s="15" t="n">
        <v>287</v>
      </c>
      <c r="D294" s="170" t="inlineStr">
        <is>
          <t>Revenue Repair Electric Assisted Stimulation Machine (no 23)</t>
        </is>
      </c>
      <c r="E294" s="227" t="n"/>
      <c r="F294" s="250" t="n">
        <v>89000000</v>
      </c>
      <c r="G294" s="15" t="inlineStr">
        <is>
          <t>IDR</t>
        </is>
      </c>
      <c r="H294" s="251" t="n">
        <v>1</v>
      </c>
      <c r="I294" s="15" t="inlineStr">
        <is>
          <t>INV023</t>
        </is>
      </c>
      <c r="J294" s="18" t="inlineStr">
        <is>
          <t>LBU</t>
        </is>
      </c>
      <c r="K294" s="249" t="n">
        <v>45553</v>
      </c>
      <c r="L294" s="252" t="n">
        <v>96920000</v>
      </c>
      <c r="M294" s="253" t="n">
        <v>9790000</v>
      </c>
      <c r="N294" s="253" t="n">
        <v>1780000</v>
      </c>
      <c r="O294" s="252" t="n">
        <v>0</v>
      </c>
      <c r="P294" s="18" t="inlineStr"/>
    </row>
    <row r="295" ht="15.5" customHeight="1">
      <c r="B295" s="249" t="n">
        <v>45537</v>
      </c>
      <c r="C295" s="15" t="n">
        <v>288</v>
      </c>
      <c r="D295" s="170" t="inlineStr">
        <is>
          <t>ALFA Service JRK-163 Pertamina Zona#4</t>
        </is>
      </c>
      <c r="E295" s="227" t="n"/>
      <c r="F295" s="250" t="n">
        <v>354210000</v>
      </c>
      <c r="G295" s="15" t="inlineStr">
        <is>
          <t>IDR</t>
        </is>
      </c>
      <c r="H295" s="251" t="n">
        <v>1</v>
      </c>
      <c r="I295" s="15" t="inlineStr">
        <is>
          <t>INV022</t>
        </is>
      </c>
      <c r="J295" s="18" t="inlineStr">
        <is>
          <t>SI Jak</t>
        </is>
      </c>
      <c r="K295" s="249" t="n">
        <v>45575</v>
      </c>
      <c r="L295" s="252" t="n">
        <v>347125800</v>
      </c>
      <c r="M295" s="253" t="n">
        <v>38963100</v>
      </c>
      <c r="N295" s="253" t="n">
        <v>7084200</v>
      </c>
      <c r="O295" s="252" t="n">
        <v>0</v>
      </c>
      <c r="P295" s="18" t="inlineStr">
        <is>
          <t>Pemungut</t>
        </is>
      </c>
    </row>
    <row r="296" ht="15.5" customHeight="1">
      <c r="B296" s="249" t="n">
        <v>45537</v>
      </c>
      <c r="C296" s="15" t="n">
        <v>289</v>
      </c>
      <c r="D296" s="170" t="inlineStr">
        <is>
          <t>ALFA Service JRK-163 Pertamina Zona#4</t>
        </is>
      </c>
      <c r="E296" s="227" t="n"/>
      <c r="F296" s="250" t="n">
        <v>354210000</v>
      </c>
      <c r="G296" s="15" t="inlineStr">
        <is>
          <t>IDR</t>
        </is>
      </c>
      <c r="H296" s="251" t="n">
        <v>1</v>
      </c>
      <c r="I296" s="15" t="inlineStr">
        <is>
          <t>INV022</t>
        </is>
      </c>
      <c r="J296" s="18" t="inlineStr">
        <is>
          <t>SI Jak</t>
        </is>
      </c>
      <c r="K296" s="249" t="n">
        <v>45575</v>
      </c>
      <c r="L296" s="252" t="n">
        <v>347125800</v>
      </c>
      <c r="M296" s="253" t="n">
        <v>38963100</v>
      </c>
      <c r="N296" s="253" t="n">
        <v>7084200</v>
      </c>
      <c r="O296" s="252" t="n">
        <v>0</v>
      </c>
      <c r="P296" s="18" t="inlineStr">
        <is>
          <t>Pemungut</t>
        </is>
      </c>
    </row>
    <row r="297" ht="15.5" customHeight="1">
      <c r="B297" s="249" t="n">
        <v>45537</v>
      </c>
      <c r="C297" s="15" t="n">
        <v>290</v>
      </c>
      <c r="D297" s="170" t="inlineStr">
        <is>
          <t>ALFA Service JRK-163 Pertamina Zona#4</t>
        </is>
      </c>
      <c r="E297" s="227" t="n"/>
      <c r="F297" s="250" t="n">
        <v>354210000</v>
      </c>
      <c r="G297" s="15" t="inlineStr">
        <is>
          <t>IDR</t>
        </is>
      </c>
      <c r="H297" s="251" t="n">
        <v>1</v>
      </c>
      <c r="I297" s="15" t="inlineStr">
        <is>
          <t>INV022</t>
        </is>
      </c>
      <c r="J297" s="18" t="inlineStr">
        <is>
          <t>SI Jak</t>
        </is>
      </c>
      <c r="K297" s="249" t="n">
        <v>45575</v>
      </c>
      <c r="L297" s="252" t="n">
        <v>347125800</v>
      </c>
      <c r="M297" s="253" t="n">
        <v>38963100</v>
      </c>
      <c r="N297" s="253" t="n">
        <v>7084200</v>
      </c>
      <c r="O297" s="252" t="n">
        <v>0</v>
      </c>
      <c r="P297" s="18" t="inlineStr">
        <is>
          <t>Pemungut</t>
        </is>
      </c>
    </row>
    <row r="298" ht="15.5" customHeight="1">
      <c r="B298" s="249" t="n">
        <v>45537</v>
      </c>
      <c r="C298" s="15" t="n">
        <v>291</v>
      </c>
      <c r="D298" s="170" t="inlineStr">
        <is>
          <t>ALFA Service JRK-163 Pertamina Zona#4</t>
        </is>
      </c>
      <c r="E298" s="227" t="n"/>
      <c r="F298" s="250" t="n">
        <v>354210000</v>
      </c>
      <c r="G298" s="15" t="inlineStr">
        <is>
          <t>IDR</t>
        </is>
      </c>
      <c r="H298" s="251" t="n">
        <v>1</v>
      </c>
      <c r="I298" s="15" t="inlineStr">
        <is>
          <t>INV022</t>
        </is>
      </c>
      <c r="J298" s="18" t="inlineStr">
        <is>
          <t>SI Jak</t>
        </is>
      </c>
      <c r="K298" s="249" t="n">
        <v>45575</v>
      </c>
      <c r="L298" s="252" t="n">
        <v>347125800</v>
      </c>
      <c r="M298" s="253" t="n">
        <v>38963100</v>
      </c>
      <c r="N298" s="253" t="n">
        <v>7084200</v>
      </c>
      <c r="O298" s="252" t="n">
        <v>0</v>
      </c>
      <c r="P298" s="18" t="inlineStr">
        <is>
          <t>Pemungut</t>
        </is>
      </c>
    </row>
    <row r="299" ht="15.5" customHeight="1">
      <c r="B299" s="249" t="n">
        <v>45537</v>
      </c>
      <c r="C299" s="15" t="n">
        <v>292</v>
      </c>
      <c r="D299" s="170" t="inlineStr">
        <is>
          <t>ALFA Service JRK-163 Pertamina Zona#4</t>
        </is>
      </c>
      <c r="E299" s="227" t="n"/>
      <c r="F299" s="250" t="n">
        <v>354210000</v>
      </c>
      <c r="G299" s="15" t="inlineStr">
        <is>
          <t>IDR</t>
        </is>
      </c>
      <c r="H299" s="251" t="n">
        <v>1</v>
      </c>
      <c r="I299" s="15" t="inlineStr">
        <is>
          <t>INV022</t>
        </is>
      </c>
      <c r="J299" s="18" t="inlineStr">
        <is>
          <t>SI Jak</t>
        </is>
      </c>
      <c r="K299" s="249" t="n">
        <v>45575</v>
      </c>
      <c r="L299" s="252" t="n">
        <v>347125800</v>
      </c>
      <c r="M299" s="253" t="n">
        <v>38963100</v>
      </c>
      <c r="N299" s="253" t="n">
        <v>7084200</v>
      </c>
      <c r="O299" s="252" t="n">
        <v>0</v>
      </c>
      <c r="P299" s="18" t="inlineStr">
        <is>
          <t>Pemungut</t>
        </is>
      </c>
    </row>
    <row r="300" ht="15.5" customHeight="1">
      <c r="B300" s="249" t="n">
        <v>45537</v>
      </c>
      <c r="C300" s="15" t="n">
        <v>293</v>
      </c>
      <c r="D300" s="170" t="inlineStr">
        <is>
          <t>ALFA Service JRK-163 Pertamina Zona#4</t>
        </is>
      </c>
      <c r="E300" s="227" t="n"/>
      <c r="F300" s="250" t="n">
        <v>354210000</v>
      </c>
      <c r="G300" s="15" t="inlineStr">
        <is>
          <t>IDR</t>
        </is>
      </c>
      <c r="H300" s="251" t="n">
        <v>1</v>
      </c>
      <c r="I300" s="15" t="inlineStr">
        <is>
          <t>INV022</t>
        </is>
      </c>
      <c r="J300" s="18" t="inlineStr">
        <is>
          <t>SI Jak</t>
        </is>
      </c>
      <c r="K300" s="249" t="n">
        <v>45575</v>
      </c>
      <c r="L300" s="252" t="n">
        <v>347125800</v>
      </c>
      <c r="M300" s="253" t="n">
        <v>38963100</v>
      </c>
      <c r="N300" s="253" t="n">
        <v>7084200</v>
      </c>
      <c r="O300" s="252" t="n">
        <v>0</v>
      </c>
      <c r="P300" s="18" t="inlineStr">
        <is>
          <t>Pemungut</t>
        </is>
      </c>
    </row>
    <row r="301" ht="15.5" customHeight="1">
      <c r="B301" s="249" t="n">
        <v>45537</v>
      </c>
      <c r="C301" s="15" t="n">
        <v>294</v>
      </c>
      <c r="D301" s="170" t="inlineStr">
        <is>
          <t>ALFA Service JRK-163 Pertamina Zona#4</t>
        </is>
      </c>
      <c r="E301" s="227" t="n"/>
      <c r="F301" s="250" t="n">
        <v>354210000</v>
      </c>
      <c r="G301" s="15" t="inlineStr">
        <is>
          <t>IDR</t>
        </is>
      </c>
      <c r="H301" s="251" t="n">
        <v>1</v>
      </c>
      <c r="I301" s="15" t="inlineStr">
        <is>
          <t>INV022</t>
        </is>
      </c>
      <c r="J301" s="18" t="inlineStr">
        <is>
          <t>SI Jak</t>
        </is>
      </c>
      <c r="K301" s="249" t="n">
        <v>45575</v>
      </c>
      <c r="L301" s="252" t="n">
        <v>347125800</v>
      </c>
      <c r="M301" s="253" t="n">
        <v>38963100</v>
      </c>
      <c r="N301" s="253" t="n">
        <v>7084200</v>
      </c>
      <c r="O301" s="252" t="n">
        <v>0</v>
      </c>
      <c r="P301" s="18" t="inlineStr">
        <is>
          <t>Pemungut</t>
        </is>
      </c>
    </row>
    <row r="302" ht="15.5" customHeight="1">
      <c r="B302" s="249" t="n">
        <v>45537</v>
      </c>
      <c r="C302" s="15" t="n">
        <v>295</v>
      </c>
      <c r="D302" s="170" t="inlineStr">
        <is>
          <t>ALFA Service JRK-163 Pertamina Zona#4</t>
        </is>
      </c>
      <c r="E302" s="227" t="n"/>
      <c r="F302" s="250" t="n">
        <v>354210000</v>
      </c>
      <c r="G302" s="15" t="inlineStr">
        <is>
          <t>IDR</t>
        </is>
      </c>
      <c r="H302" s="251" t="n">
        <v>1</v>
      </c>
      <c r="I302" s="15" t="inlineStr">
        <is>
          <t>INV022</t>
        </is>
      </c>
      <c r="J302" s="18" t="inlineStr">
        <is>
          <t>SI Jak</t>
        </is>
      </c>
      <c r="K302" s="249" t="n">
        <v>45575</v>
      </c>
      <c r="L302" s="252" t="n">
        <v>347125800</v>
      </c>
      <c r="M302" s="253" t="n">
        <v>38963100</v>
      </c>
      <c r="N302" s="253" t="n">
        <v>7084200</v>
      </c>
      <c r="O302" s="252" t="n">
        <v>0</v>
      </c>
      <c r="P302" s="18" t="inlineStr">
        <is>
          <t>Pemungut</t>
        </is>
      </c>
    </row>
    <row r="303" ht="15.5" customHeight="1">
      <c r="B303" s="249" t="n">
        <v>45537</v>
      </c>
      <c r="C303" s="15" t="n">
        <v>296</v>
      </c>
      <c r="D303" s="170" t="inlineStr">
        <is>
          <t>ALFA Service JRK-163 Pertamina Zona#4</t>
        </is>
      </c>
      <c r="E303" s="227" t="n"/>
      <c r="F303" s="250" t="n">
        <v>354210000</v>
      </c>
      <c r="G303" s="15" t="inlineStr">
        <is>
          <t>IDR</t>
        </is>
      </c>
      <c r="H303" s="251" t="n">
        <v>1</v>
      </c>
      <c r="I303" s="15" t="inlineStr">
        <is>
          <t>INV022</t>
        </is>
      </c>
      <c r="J303" s="18" t="inlineStr">
        <is>
          <t>SI Jak</t>
        </is>
      </c>
      <c r="K303" s="249" t="n">
        <v>45575</v>
      </c>
      <c r="L303" s="252" t="n">
        <v>347125800</v>
      </c>
      <c r="M303" s="253" t="n">
        <v>38963100</v>
      </c>
      <c r="N303" s="253" t="n">
        <v>7084200</v>
      </c>
      <c r="O303" s="252" t="n">
        <v>0</v>
      </c>
      <c r="P303" s="18" t="inlineStr">
        <is>
          <t>Pemungut</t>
        </is>
      </c>
    </row>
    <row r="304" ht="15.5" customHeight="1">
      <c r="B304" s="249" t="n">
        <v>45537</v>
      </c>
      <c r="C304" s="15" t="n">
        <v>297</v>
      </c>
      <c r="D304" s="170" t="inlineStr">
        <is>
          <t>ALFA Service JRK-163 Pertamina Zona#4</t>
        </is>
      </c>
      <c r="E304" s="227" t="n"/>
      <c r="F304" s="250" t="n">
        <v>354210000</v>
      </c>
      <c r="G304" s="15" t="inlineStr">
        <is>
          <t>IDR</t>
        </is>
      </c>
      <c r="H304" s="251" t="n">
        <v>1</v>
      </c>
      <c r="I304" s="15" t="inlineStr">
        <is>
          <t>INV022</t>
        </is>
      </c>
      <c r="J304" s="18" t="inlineStr">
        <is>
          <t>SI Jak</t>
        </is>
      </c>
      <c r="K304" s="249" t="n">
        <v>45575</v>
      </c>
      <c r="L304" s="252" t="n">
        <v>347125800</v>
      </c>
      <c r="M304" s="253" t="n">
        <v>38963100</v>
      </c>
      <c r="N304" s="253" t="n">
        <v>7084200</v>
      </c>
      <c r="O304" s="252" t="n">
        <v>0</v>
      </c>
      <c r="P304" s="18" t="inlineStr">
        <is>
          <t>Pemungut</t>
        </is>
      </c>
    </row>
    <row r="305" ht="15.5" customHeight="1">
      <c r="B305" s="249" t="n">
        <v>45537</v>
      </c>
      <c r="C305" s="15" t="n">
        <v>298</v>
      </c>
      <c r="D305" s="170" t="inlineStr">
        <is>
          <t>ALFA Service JRK-163 Pertamina Zona#4</t>
        </is>
      </c>
      <c r="E305" s="227" t="n"/>
      <c r="F305" s="250" t="n">
        <v>354210000</v>
      </c>
      <c r="G305" s="15" t="inlineStr">
        <is>
          <t>IDR</t>
        </is>
      </c>
      <c r="H305" s="251" t="n">
        <v>1</v>
      </c>
      <c r="I305" s="15" t="inlineStr">
        <is>
          <t>INV022</t>
        </is>
      </c>
      <c r="J305" s="18" t="inlineStr">
        <is>
          <t>SI Jak</t>
        </is>
      </c>
      <c r="K305" s="249" t="n">
        <v>45575</v>
      </c>
      <c r="L305" s="252" t="n">
        <v>347125800</v>
      </c>
      <c r="M305" s="253" t="n">
        <v>38963100</v>
      </c>
      <c r="N305" s="253" t="n">
        <v>7084200</v>
      </c>
      <c r="O305" s="252" t="n">
        <v>0</v>
      </c>
      <c r="P305" s="18" t="inlineStr">
        <is>
          <t>Pemungut</t>
        </is>
      </c>
    </row>
    <row r="306" ht="15.5" customHeight="1">
      <c r="B306" s="249" t="n">
        <v>45537</v>
      </c>
      <c r="C306" s="15" t="n">
        <v>299</v>
      </c>
      <c r="D306" s="170" t="inlineStr">
        <is>
          <t>ALFA Service JRK-163 Pertamina Zona#4</t>
        </is>
      </c>
      <c r="E306" s="227" t="n"/>
      <c r="F306" s="250" t="n">
        <v>354210000</v>
      </c>
      <c r="G306" s="15" t="inlineStr">
        <is>
          <t>IDR</t>
        </is>
      </c>
      <c r="H306" s="251" t="n">
        <v>1</v>
      </c>
      <c r="I306" s="15" t="inlineStr">
        <is>
          <t>INV022</t>
        </is>
      </c>
      <c r="J306" s="18" t="inlineStr">
        <is>
          <t>SI Jak</t>
        </is>
      </c>
      <c r="K306" s="249" t="n">
        <v>45575</v>
      </c>
      <c r="L306" s="252" t="n">
        <v>347125800</v>
      </c>
      <c r="M306" s="253" t="n">
        <v>38963100</v>
      </c>
      <c r="N306" s="253" t="n">
        <v>7084200</v>
      </c>
      <c r="O306" s="252" t="n">
        <v>0</v>
      </c>
      <c r="P306" s="18" t="inlineStr">
        <is>
          <t>Pemungut</t>
        </is>
      </c>
    </row>
    <row r="307" ht="15.5" customHeight="1">
      <c r="B307" s="249" t="n">
        <v>45537</v>
      </c>
      <c r="C307" s="15" t="n">
        <v>300</v>
      </c>
      <c r="D307" s="170" t="inlineStr">
        <is>
          <t>ALFA Service JRK-163 Pertamina Zona#4</t>
        </is>
      </c>
      <c r="E307" s="227" t="n"/>
      <c r="F307" s="250" t="n">
        <v>354210000</v>
      </c>
      <c r="G307" s="15" t="inlineStr">
        <is>
          <t>IDR</t>
        </is>
      </c>
      <c r="H307" s="251" t="n">
        <v>1</v>
      </c>
      <c r="I307" s="15" t="inlineStr">
        <is>
          <t>INV022</t>
        </is>
      </c>
      <c r="J307" s="18" t="inlineStr">
        <is>
          <t>SI Jak</t>
        </is>
      </c>
      <c r="K307" s="249" t="n">
        <v>45575</v>
      </c>
      <c r="L307" s="252" t="n">
        <v>347125800</v>
      </c>
      <c r="M307" s="253" t="n">
        <v>38963100</v>
      </c>
      <c r="N307" s="253" t="n">
        <v>7084200</v>
      </c>
      <c r="O307" s="252" t="n">
        <v>0</v>
      </c>
      <c r="P307" s="18" t="inlineStr">
        <is>
          <t>Pemungut</t>
        </is>
      </c>
    </row>
    <row r="308" ht="15.5" customHeight="1">
      <c r="B308" s="249" t="n">
        <v>45537</v>
      </c>
      <c r="C308" s="15" t="n">
        <v>301</v>
      </c>
      <c r="D308" s="170" t="inlineStr">
        <is>
          <t>ALFA Service JRK-163 Pertamina Zona#4</t>
        </is>
      </c>
      <c r="E308" s="227" t="n"/>
      <c r="F308" s="250" t="n">
        <v>354210000</v>
      </c>
      <c r="G308" s="15" t="inlineStr">
        <is>
          <t>IDR</t>
        </is>
      </c>
      <c r="H308" s="251" t="n">
        <v>1</v>
      </c>
      <c r="I308" s="15" t="inlineStr">
        <is>
          <t>INV022</t>
        </is>
      </c>
      <c r="J308" s="18" t="inlineStr">
        <is>
          <t>SI Jak</t>
        </is>
      </c>
      <c r="K308" s="249" t="n">
        <v>45575</v>
      </c>
      <c r="L308" s="252" t="n">
        <v>347125800</v>
      </c>
      <c r="M308" s="253" t="n">
        <v>38963100</v>
      </c>
      <c r="N308" s="253" t="n">
        <v>7084200</v>
      </c>
      <c r="O308" s="252" t="n">
        <v>0</v>
      </c>
      <c r="P308" s="18" t="inlineStr">
        <is>
          <t>Pemungut</t>
        </is>
      </c>
    </row>
    <row r="309" ht="15.5" customHeight="1">
      <c r="B309" s="249" t="n">
        <v>45537</v>
      </c>
      <c r="C309" s="15" t="n">
        <v>302</v>
      </c>
      <c r="D309" s="170" t="inlineStr">
        <is>
          <t>ALFA Service JRK-163 Pertamina Zona#4</t>
        </is>
      </c>
      <c r="E309" s="227" t="n"/>
      <c r="F309" s="250" t="n">
        <v>354210000</v>
      </c>
      <c r="G309" s="15" t="inlineStr">
        <is>
          <t>IDR</t>
        </is>
      </c>
      <c r="H309" s="251" t="n">
        <v>1</v>
      </c>
      <c r="I309" s="15" t="inlineStr">
        <is>
          <t>INV022</t>
        </is>
      </c>
      <c r="J309" s="18" t="inlineStr">
        <is>
          <t>SI Jak</t>
        </is>
      </c>
      <c r="K309" s="249" t="n">
        <v>45575</v>
      </c>
      <c r="L309" s="252" t="n">
        <v>347125800</v>
      </c>
      <c r="M309" s="253" t="n">
        <v>38963100</v>
      </c>
      <c r="N309" s="253" t="n">
        <v>7084200</v>
      </c>
      <c r="O309" s="252" t="n">
        <v>0</v>
      </c>
      <c r="P309" s="18" t="inlineStr">
        <is>
          <t>Pemungut</t>
        </is>
      </c>
    </row>
    <row r="310" ht="15.5" customHeight="1">
      <c r="B310" s="249" t="n">
        <v>45537</v>
      </c>
      <c r="C310" s="15" t="n">
        <v>303</v>
      </c>
      <c r="D310" s="170" t="inlineStr">
        <is>
          <t>ALFA Service JRK-163 Pertamina Zona#4</t>
        </is>
      </c>
      <c r="E310" s="227" t="n"/>
      <c r="F310" s="250" t="n">
        <v>354210000</v>
      </c>
      <c r="G310" s="15" t="inlineStr">
        <is>
          <t>IDR</t>
        </is>
      </c>
      <c r="H310" s="251" t="n">
        <v>1</v>
      </c>
      <c r="I310" s="15" t="inlineStr">
        <is>
          <t>INV022</t>
        </is>
      </c>
      <c r="J310" s="18" t="inlineStr">
        <is>
          <t>SI Jak</t>
        </is>
      </c>
      <c r="K310" s="249" t="n">
        <v>45575</v>
      </c>
      <c r="L310" s="252" t="n">
        <v>347125800</v>
      </c>
      <c r="M310" s="253" t="n">
        <v>38963100</v>
      </c>
      <c r="N310" s="253" t="n">
        <v>7084200</v>
      </c>
      <c r="O310" s="252" t="n">
        <v>0</v>
      </c>
      <c r="P310" s="18" t="inlineStr">
        <is>
          <t>Pemungut</t>
        </is>
      </c>
    </row>
    <row r="311" ht="15.5" customHeight="1">
      <c r="B311" s="249" t="n">
        <v>45537</v>
      </c>
      <c r="C311" s="15" t="n">
        <v>304</v>
      </c>
      <c r="D311" s="170" t="inlineStr">
        <is>
          <t>ALFA Service JRK-163 Pertamina Zona#4</t>
        </is>
      </c>
      <c r="E311" s="227" t="n"/>
      <c r="F311" s="250" t="n">
        <v>354210000</v>
      </c>
      <c r="G311" s="15" t="inlineStr">
        <is>
          <t>IDR</t>
        </is>
      </c>
      <c r="H311" s="251" t="n">
        <v>1</v>
      </c>
      <c r="I311" s="15" t="inlineStr">
        <is>
          <t>INV022</t>
        </is>
      </c>
      <c r="J311" s="18" t="inlineStr">
        <is>
          <t>SI Jak</t>
        </is>
      </c>
      <c r="K311" s="249" t="n">
        <v>45575</v>
      </c>
      <c r="L311" s="252" t="n">
        <v>347125800</v>
      </c>
      <c r="M311" s="253" t="n">
        <v>38963100</v>
      </c>
      <c r="N311" s="253" t="n">
        <v>7084200</v>
      </c>
      <c r="O311" s="252" t="n">
        <v>0</v>
      </c>
      <c r="P311" s="18" t="inlineStr">
        <is>
          <t>Pemungut</t>
        </is>
      </c>
    </row>
    <row r="312" ht="15.5" customHeight="1">
      <c r="B312" s="249" t="n">
        <v>45537</v>
      </c>
      <c r="C312" s="15" t="n">
        <v>305</v>
      </c>
      <c r="D312" s="170" t="inlineStr">
        <is>
          <t>ALFA Service JRK-163 Pertamina Zona#4</t>
        </is>
      </c>
      <c r="E312" s="227" t="n"/>
      <c r="F312" s="250" t="n">
        <v>354210000</v>
      </c>
      <c r="G312" s="15" t="inlineStr">
        <is>
          <t>IDR</t>
        </is>
      </c>
      <c r="H312" s="251" t="n">
        <v>1</v>
      </c>
      <c r="I312" s="15" t="inlineStr">
        <is>
          <t>INV022</t>
        </is>
      </c>
      <c r="J312" s="18" t="inlineStr">
        <is>
          <t>SI Jak</t>
        </is>
      </c>
      <c r="K312" s="249" t="n">
        <v>45575</v>
      </c>
      <c r="L312" s="252" t="n">
        <v>347125800</v>
      </c>
      <c r="M312" s="253" t="n">
        <v>38963100</v>
      </c>
      <c r="N312" s="253" t="n">
        <v>7084200</v>
      </c>
      <c r="O312" s="252" t="n">
        <v>0</v>
      </c>
      <c r="P312" s="18" t="inlineStr">
        <is>
          <t>Pemungut</t>
        </is>
      </c>
    </row>
    <row r="313" ht="15.5" customHeight="1">
      <c r="B313" s="249" t="n">
        <v>45537</v>
      </c>
      <c r="C313" s="15" t="n">
        <v>306</v>
      </c>
      <c r="D313" s="170" t="inlineStr">
        <is>
          <t>ALFA Service JRK-163 Pertamina Zona#4</t>
        </is>
      </c>
      <c r="E313" s="227" t="n"/>
      <c r="F313" s="250" t="n">
        <v>354210000</v>
      </c>
      <c r="G313" s="15" t="inlineStr">
        <is>
          <t>IDR</t>
        </is>
      </c>
      <c r="H313" s="251" t="n">
        <v>1</v>
      </c>
      <c r="I313" s="15" t="inlineStr">
        <is>
          <t>INV022</t>
        </is>
      </c>
      <c r="J313" s="18" t="inlineStr">
        <is>
          <t>SI Jak</t>
        </is>
      </c>
      <c r="K313" s="249" t="n">
        <v>45575</v>
      </c>
      <c r="L313" s="252" t="n">
        <v>347125800</v>
      </c>
      <c r="M313" s="253" t="n">
        <v>38963100</v>
      </c>
      <c r="N313" s="253" t="n">
        <v>7084200</v>
      </c>
      <c r="O313" s="252" t="n">
        <v>0</v>
      </c>
      <c r="P313" s="18" t="inlineStr">
        <is>
          <t>Pemungut</t>
        </is>
      </c>
    </row>
    <row r="314" ht="15.5" customHeight="1">
      <c r="B314" s="249" t="n">
        <v>45537</v>
      </c>
      <c r="C314" s="15" t="n">
        <v>307</v>
      </c>
      <c r="D314" s="170" t="inlineStr">
        <is>
          <t>ALFA Service JRK-163 Pertamina Zona#4</t>
        </is>
      </c>
      <c r="E314" s="227" t="n"/>
      <c r="F314" s="250" t="n">
        <v>354210000</v>
      </c>
      <c r="G314" s="15" t="inlineStr">
        <is>
          <t>IDR</t>
        </is>
      </c>
      <c r="H314" s="251" t="n">
        <v>1</v>
      </c>
      <c r="I314" s="15" t="inlineStr">
        <is>
          <t>INV022</t>
        </is>
      </c>
      <c r="J314" s="18" t="inlineStr">
        <is>
          <t>SI Jak</t>
        </is>
      </c>
      <c r="K314" s="249" t="n">
        <v>45575</v>
      </c>
      <c r="L314" s="252" t="n">
        <v>347125800</v>
      </c>
      <c r="M314" s="253" t="n">
        <v>38963100</v>
      </c>
      <c r="N314" s="253" t="n">
        <v>7084200</v>
      </c>
      <c r="O314" s="252" t="n">
        <v>0</v>
      </c>
      <c r="P314" s="18" t="inlineStr">
        <is>
          <t>Pemungut</t>
        </is>
      </c>
    </row>
    <row r="315" ht="15.5" customHeight="1">
      <c r="B315" s="249" t="n">
        <v>45537</v>
      </c>
      <c r="C315" s="15" t="n">
        <v>308</v>
      </c>
      <c r="D315" s="170" t="inlineStr">
        <is>
          <t>ALFA Service JRK-163 Pertamina Zona#4</t>
        </is>
      </c>
      <c r="E315" s="227" t="n"/>
      <c r="F315" s="250" t="n">
        <v>354210000</v>
      </c>
      <c r="G315" s="15" t="inlineStr">
        <is>
          <t>IDR</t>
        </is>
      </c>
      <c r="H315" s="251" t="n">
        <v>1</v>
      </c>
      <c r="I315" s="15" t="inlineStr">
        <is>
          <t>INV022</t>
        </is>
      </c>
      <c r="J315" s="18" t="inlineStr">
        <is>
          <t>SI Jak</t>
        </is>
      </c>
      <c r="K315" s="249" t="n">
        <v>45575</v>
      </c>
      <c r="L315" s="252" t="n">
        <v>347125800</v>
      </c>
      <c r="M315" s="253" t="n">
        <v>38963100</v>
      </c>
      <c r="N315" s="253" t="n">
        <v>7084200</v>
      </c>
      <c r="O315" s="252" t="n">
        <v>0</v>
      </c>
      <c r="P315" s="18" t="inlineStr">
        <is>
          <t>Pemungut</t>
        </is>
      </c>
    </row>
    <row r="316" ht="15.5" customHeight="1">
      <c r="B316" s="249" t="n">
        <v>45537</v>
      </c>
      <c r="C316" s="15" t="n">
        <v>309</v>
      </c>
      <c r="D316" s="170" t="inlineStr">
        <is>
          <t>ALFA Service JRK-163 Pertamina Zona#4</t>
        </is>
      </c>
      <c r="E316" s="227" t="n"/>
      <c r="F316" s="250" t="n">
        <v>354210000</v>
      </c>
      <c r="G316" s="15" t="inlineStr">
        <is>
          <t>IDR</t>
        </is>
      </c>
      <c r="H316" s="251" t="n">
        <v>1</v>
      </c>
      <c r="I316" s="15" t="inlineStr">
        <is>
          <t>INV022</t>
        </is>
      </c>
      <c r="J316" s="18" t="inlineStr">
        <is>
          <t>SI Jak</t>
        </is>
      </c>
      <c r="K316" s="249" t="n">
        <v>45575</v>
      </c>
      <c r="L316" s="252" t="n">
        <v>347125800</v>
      </c>
      <c r="M316" s="253" t="n">
        <v>38963100</v>
      </c>
      <c r="N316" s="253" t="n">
        <v>7084200</v>
      </c>
      <c r="O316" s="252" t="n">
        <v>0</v>
      </c>
      <c r="P316" s="18" t="inlineStr">
        <is>
          <t>Pemungut</t>
        </is>
      </c>
    </row>
    <row r="317" ht="15.5" customHeight="1">
      <c r="B317" s="249" t="n">
        <v>45537</v>
      </c>
      <c r="C317" s="15" t="n">
        <v>310</v>
      </c>
      <c r="D317" s="170" t="inlineStr">
        <is>
          <t>ALFA Service JRK-163 Pertamina Zona#4</t>
        </is>
      </c>
      <c r="E317" s="227" t="n"/>
      <c r="F317" s="250" t="n">
        <v>354210000</v>
      </c>
      <c r="G317" s="15" t="inlineStr">
        <is>
          <t>IDR</t>
        </is>
      </c>
      <c r="H317" s="251" t="n">
        <v>1</v>
      </c>
      <c r="I317" s="15" t="inlineStr">
        <is>
          <t>INV022</t>
        </is>
      </c>
      <c r="J317" s="18" t="inlineStr">
        <is>
          <t>SI Jak</t>
        </is>
      </c>
      <c r="K317" s="249" t="n">
        <v>45575</v>
      </c>
      <c r="L317" s="252" t="n">
        <v>347125800</v>
      </c>
      <c r="M317" s="253" t="n">
        <v>38963100</v>
      </c>
      <c r="N317" s="253" t="n">
        <v>7084200</v>
      </c>
      <c r="O317" s="252" t="n">
        <v>0</v>
      </c>
      <c r="P317" s="18" t="inlineStr">
        <is>
          <t>Pemungut</t>
        </is>
      </c>
    </row>
    <row r="318" ht="15.5" customHeight="1">
      <c r="B318" s="249" t="n">
        <v>45537</v>
      </c>
      <c r="C318" s="15" t="n">
        <v>311</v>
      </c>
      <c r="D318" s="170" t="inlineStr">
        <is>
          <t>ALFA Service JRK-163 Pertamina Zona#4</t>
        </is>
      </c>
      <c r="E318" s="227" t="n"/>
      <c r="F318" s="250" t="n">
        <v>354210000</v>
      </c>
      <c r="G318" s="15" t="inlineStr">
        <is>
          <t>IDR</t>
        </is>
      </c>
      <c r="H318" s="251" t="n">
        <v>1</v>
      </c>
      <c r="I318" s="15" t="inlineStr">
        <is>
          <t>INV022</t>
        </is>
      </c>
      <c r="J318" s="18" t="inlineStr">
        <is>
          <t>SI Jak</t>
        </is>
      </c>
      <c r="K318" s="249" t="n">
        <v>45575</v>
      </c>
      <c r="L318" s="252" t="n">
        <v>347125800</v>
      </c>
      <c r="M318" s="253" t="n">
        <v>38963100</v>
      </c>
      <c r="N318" s="253" t="n">
        <v>7084200</v>
      </c>
      <c r="O318" s="252" t="n">
        <v>0</v>
      </c>
      <c r="P318" s="18" t="inlineStr">
        <is>
          <t>Pemungut</t>
        </is>
      </c>
    </row>
    <row r="319" ht="15.5" customHeight="1">
      <c r="B319" s="249" t="n">
        <v>45537</v>
      </c>
      <c r="C319" s="15" t="n">
        <v>312</v>
      </c>
      <c r="D319" s="170" t="inlineStr">
        <is>
          <t>ALFA Service JRK-163 Pertamina Zona#4</t>
        </is>
      </c>
      <c r="E319" s="227" t="n"/>
      <c r="F319" s="250" t="n">
        <v>354210000</v>
      </c>
      <c r="G319" s="15" t="inlineStr">
        <is>
          <t>IDR</t>
        </is>
      </c>
      <c r="H319" s="251" t="n">
        <v>1</v>
      </c>
      <c r="I319" s="15" t="inlineStr">
        <is>
          <t>INV022</t>
        </is>
      </c>
      <c r="J319" s="18" t="inlineStr">
        <is>
          <t>SI Jak</t>
        </is>
      </c>
      <c r="K319" s="249" t="n">
        <v>45575</v>
      </c>
      <c r="L319" s="252" t="n">
        <v>347125800</v>
      </c>
      <c r="M319" s="253" t="n">
        <v>38963100</v>
      </c>
      <c r="N319" s="253" t="n">
        <v>7084200</v>
      </c>
      <c r="O319" s="252" t="n">
        <v>0</v>
      </c>
      <c r="P319" s="18" t="inlineStr">
        <is>
          <t>Pemungut</t>
        </is>
      </c>
    </row>
    <row r="320" ht="15.5" customHeight="1">
      <c r="B320" s="249" t="n">
        <v>45537</v>
      </c>
      <c r="C320" s="15" t="n">
        <v>313</v>
      </c>
      <c r="D320" s="170" t="inlineStr">
        <is>
          <t>ALFA Service JRK-163 Pertamina Zona#4</t>
        </is>
      </c>
      <c r="E320" s="227" t="n"/>
      <c r="F320" s="250" t="n">
        <v>354210000</v>
      </c>
      <c r="G320" s="15" t="inlineStr">
        <is>
          <t>IDR</t>
        </is>
      </c>
      <c r="H320" s="251" t="n">
        <v>1</v>
      </c>
      <c r="I320" s="15" t="inlineStr">
        <is>
          <t>INV022</t>
        </is>
      </c>
      <c r="J320" s="18" t="inlineStr">
        <is>
          <t>SI Jak</t>
        </is>
      </c>
      <c r="K320" s="249" t="n">
        <v>45575</v>
      </c>
      <c r="L320" s="252" t="n">
        <v>347125800</v>
      </c>
      <c r="M320" s="253" t="n">
        <v>38963100</v>
      </c>
      <c r="N320" s="253" t="n">
        <v>7084200</v>
      </c>
      <c r="O320" s="252" t="n">
        <v>0</v>
      </c>
      <c r="P320" s="18" t="inlineStr">
        <is>
          <t>Pemungut</t>
        </is>
      </c>
    </row>
    <row r="321" ht="15.5" customHeight="1">
      <c r="B321" s="249" t="n">
        <v>45537</v>
      </c>
      <c r="C321" s="15" t="n">
        <v>314</v>
      </c>
      <c r="D321" s="170" t="inlineStr">
        <is>
          <t>ALFA Service JRK-163 Pertamina Zona#4</t>
        </is>
      </c>
      <c r="E321" s="227" t="n"/>
      <c r="F321" s="250" t="n">
        <v>354210000</v>
      </c>
      <c r="G321" s="15" t="inlineStr">
        <is>
          <t>IDR</t>
        </is>
      </c>
      <c r="H321" s="251" t="n">
        <v>1</v>
      </c>
      <c r="I321" s="15" t="inlineStr">
        <is>
          <t>INV022</t>
        </is>
      </c>
      <c r="J321" s="18" t="inlineStr">
        <is>
          <t>SI Jak</t>
        </is>
      </c>
      <c r="K321" s="249" t="n">
        <v>45575</v>
      </c>
      <c r="L321" s="252" t="n">
        <v>347125800</v>
      </c>
      <c r="M321" s="253" t="n">
        <v>38963100</v>
      </c>
      <c r="N321" s="253" t="n">
        <v>7084200</v>
      </c>
      <c r="O321" s="252" t="n">
        <v>0</v>
      </c>
      <c r="P321" s="18" t="inlineStr">
        <is>
          <t>Pemungut</t>
        </is>
      </c>
    </row>
    <row r="322" ht="15.5" customHeight="1">
      <c r="B322" s="249" t="n">
        <v>45537</v>
      </c>
      <c r="C322" s="15" t="n">
        <v>315</v>
      </c>
      <c r="D322" s="170" t="inlineStr">
        <is>
          <t>ALFA Service JRK-163 Pertamina Zona#4</t>
        </is>
      </c>
      <c r="E322" s="227" t="n"/>
      <c r="F322" s="250" t="n">
        <v>354210000</v>
      </c>
      <c r="G322" s="15" t="inlineStr">
        <is>
          <t>IDR</t>
        </is>
      </c>
      <c r="H322" s="251" t="n">
        <v>1</v>
      </c>
      <c r="I322" s="15" t="inlineStr">
        <is>
          <t>INV022</t>
        </is>
      </c>
      <c r="J322" s="18" t="inlineStr">
        <is>
          <t>SI Jak</t>
        </is>
      </c>
      <c r="K322" s="249" t="n">
        <v>45575</v>
      </c>
      <c r="L322" s="252" t="n">
        <v>347125800</v>
      </c>
      <c r="M322" s="253" t="n">
        <v>38963100</v>
      </c>
      <c r="N322" s="253" t="n">
        <v>7084200</v>
      </c>
      <c r="O322" s="252" t="n">
        <v>0</v>
      </c>
      <c r="P322" s="18" t="inlineStr">
        <is>
          <t>Pemungut</t>
        </is>
      </c>
    </row>
    <row r="323" ht="15.5" customHeight="1">
      <c r="B323" s="249" t="n">
        <v>45537</v>
      </c>
      <c r="C323" s="15" t="n">
        <v>316</v>
      </c>
      <c r="D323" s="170" t="inlineStr">
        <is>
          <t>ALFA Service JRK-163 Pertamina Zona#4</t>
        </is>
      </c>
      <c r="E323" s="227" t="n"/>
      <c r="F323" s="250" t="n">
        <v>354210000</v>
      </c>
      <c r="G323" s="15" t="inlineStr">
        <is>
          <t>IDR</t>
        </is>
      </c>
      <c r="H323" s="251" t="n">
        <v>1</v>
      </c>
      <c r="I323" s="15" t="inlineStr">
        <is>
          <t>INV022</t>
        </is>
      </c>
      <c r="J323" s="18" t="inlineStr">
        <is>
          <t>SI Jak</t>
        </is>
      </c>
      <c r="K323" s="249" t="n">
        <v>45575</v>
      </c>
      <c r="L323" s="252" t="n">
        <v>347125800</v>
      </c>
      <c r="M323" s="253" t="n">
        <v>38963100</v>
      </c>
      <c r="N323" s="253" t="n">
        <v>7084200</v>
      </c>
      <c r="O323" s="252" t="n">
        <v>0</v>
      </c>
      <c r="P323" s="18" t="inlineStr">
        <is>
          <t>Pemungut</t>
        </is>
      </c>
    </row>
    <row r="324" ht="15.5" customHeight="1">
      <c r="B324" s="249" t="n">
        <v>45537</v>
      </c>
      <c r="C324" s="15" t="n">
        <v>317</v>
      </c>
      <c r="D324" s="170" t="inlineStr">
        <is>
          <t>ALFA Service JRK-163 Pertamina Zona#4</t>
        </is>
      </c>
      <c r="E324" s="227" t="n"/>
      <c r="F324" s="250" t="n">
        <v>354210000</v>
      </c>
      <c r="G324" s="15" t="inlineStr">
        <is>
          <t>IDR</t>
        </is>
      </c>
      <c r="H324" s="251" t="n">
        <v>1</v>
      </c>
      <c r="I324" s="15" t="inlineStr">
        <is>
          <t>INV022</t>
        </is>
      </c>
      <c r="J324" s="18" t="inlineStr">
        <is>
          <t>SI Jak</t>
        </is>
      </c>
      <c r="K324" s="249" t="n">
        <v>45575</v>
      </c>
      <c r="L324" s="252" t="n">
        <v>347125800</v>
      </c>
      <c r="M324" s="253" t="n">
        <v>38963100</v>
      </c>
      <c r="N324" s="253" t="n">
        <v>7084200</v>
      </c>
      <c r="O324" s="252" t="n">
        <v>0</v>
      </c>
      <c r="P324" s="18" t="inlineStr">
        <is>
          <t>Pemungut</t>
        </is>
      </c>
    </row>
    <row r="325" ht="15.5" customHeight="1">
      <c r="B325" s="249" t="n">
        <v>45537</v>
      </c>
      <c r="C325" s="15" t="n">
        <v>318</v>
      </c>
      <c r="D325" s="170" t="inlineStr">
        <is>
          <t>ALFA Service JRK-163 Pertamina Zona#4</t>
        </is>
      </c>
      <c r="E325" s="227" t="n"/>
      <c r="F325" s="250" t="n">
        <v>354210000</v>
      </c>
      <c r="G325" s="15" t="inlineStr">
        <is>
          <t>IDR</t>
        </is>
      </c>
      <c r="H325" s="251" t="n">
        <v>1</v>
      </c>
      <c r="I325" s="15" t="inlineStr">
        <is>
          <t>INV022</t>
        </is>
      </c>
      <c r="J325" s="18" t="inlineStr">
        <is>
          <t>SI Jak</t>
        </is>
      </c>
      <c r="K325" s="249" t="n">
        <v>45575</v>
      </c>
      <c r="L325" s="252" t="n">
        <v>347125800</v>
      </c>
      <c r="M325" s="253" t="n">
        <v>38963100</v>
      </c>
      <c r="N325" s="253" t="n">
        <v>7084200</v>
      </c>
      <c r="O325" s="252" t="n">
        <v>0</v>
      </c>
      <c r="P325" s="18" t="inlineStr">
        <is>
          <t>Pemungut</t>
        </is>
      </c>
    </row>
    <row r="326" ht="15.5" customHeight="1">
      <c r="B326" s="249" t="n">
        <v>45537</v>
      </c>
      <c r="C326" s="15" t="n">
        <v>319</v>
      </c>
      <c r="D326" s="170" t="inlineStr">
        <is>
          <t>ALFA Service JRK-163 Pertamina Zona#4</t>
        </is>
      </c>
      <c r="E326" s="227" t="n"/>
      <c r="F326" s="250" t="n">
        <v>354210000</v>
      </c>
      <c r="G326" s="15" t="inlineStr">
        <is>
          <t>IDR</t>
        </is>
      </c>
      <c r="H326" s="251" t="n">
        <v>1</v>
      </c>
      <c r="I326" s="15" t="inlineStr">
        <is>
          <t>INV022</t>
        </is>
      </c>
      <c r="J326" s="18" t="inlineStr">
        <is>
          <t>SI Jak</t>
        </is>
      </c>
      <c r="K326" s="249" t="n">
        <v>45575</v>
      </c>
      <c r="L326" s="252" t="n">
        <v>347125800</v>
      </c>
      <c r="M326" s="253" t="n">
        <v>38963100</v>
      </c>
      <c r="N326" s="253" t="n">
        <v>7084200</v>
      </c>
      <c r="O326" s="252" t="n">
        <v>0</v>
      </c>
      <c r="P326" s="18" t="inlineStr">
        <is>
          <t>Pemungut</t>
        </is>
      </c>
    </row>
    <row r="327" ht="15.5" customHeight="1">
      <c r="B327" s="249" t="n">
        <v>45537</v>
      </c>
      <c r="C327" s="15" t="n">
        <v>320</v>
      </c>
      <c r="D327" s="170" t="inlineStr">
        <is>
          <t>ALFA Service JRK-163 Pertamina Zona#4</t>
        </is>
      </c>
      <c r="E327" s="227" t="n"/>
      <c r="F327" s="250" t="n">
        <v>354210000</v>
      </c>
      <c r="G327" s="15" t="inlineStr">
        <is>
          <t>IDR</t>
        </is>
      </c>
      <c r="H327" s="251" t="n">
        <v>1</v>
      </c>
      <c r="I327" s="15" t="inlineStr">
        <is>
          <t>INV022</t>
        </is>
      </c>
      <c r="J327" s="18" t="inlineStr">
        <is>
          <t>SI Jak</t>
        </is>
      </c>
      <c r="K327" s="249" t="n">
        <v>45575</v>
      </c>
      <c r="L327" s="252" t="n">
        <v>347125800</v>
      </c>
      <c r="M327" s="253" t="n">
        <v>38963100</v>
      </c>
      <c r="N327" s="253" t="n">
        <v>7084200</v>
      </c>
      <c r="O327" s="252" t="n">
        <v>0</v>
      </c>
      <c r="P327" s="18" t="inlineStr">
        <is>
          <t>Pemungut</t>
        </is>
      </c>
    </row>
    <row r="328" ht="15.5" customHeight="1">
      <c r="B328" s="249" t="n">
        <v>45537</v>
      </c>
      <c r="C328" s="15" t="n">
        <v>321</v>
      </c>
      <c r="D328" s="170" t="inlineStr">
        <is>
          <t>ALFA Service JRK-163 Pertamina Zona#4</t>
        </is>
      </c>
      <c r="E328" s="227" t="n"/>
      <c r="F328" s="250" t="n">
        <v>354210000</v>
      </c>
      <c r="G328" s="15" t="inlineStr">
        <is>
          <t>IDR</t>
        </is>
      </c>
      <c r="H328" s="251" t="n">
        <v>1</v>
      </c>
      <c r="I328" s="15" t="inlineStr">
        <is>
          <t>INV022</t>
        </is>
      </c>
      <c r="J328" s="18" t="inlineStr">
        <is>
          <t>SI Jak</t>
        </is>
      </c>
      <c r="K328" s="249" t="n">
        <v>45575</v>
      </c>
      <c r="L328" s="252" t="n">
        <v>347125800</v>
      </c>
      <c r="M328" s="253" t="n">
        <v>38963100</v>
      </c>
      <c r="N328" s="253" t="n">
        <v>7084200</v>
      </c>
      <c r="O328" s="252" t="n">
        <v>0</v>
      </c>
      <c r="P328" s="18" t="inlineStr">
        <is>
          <t>Pemungut</t>
        </is>
      </c>
    </row>
    <row r="329" ht="15.5" customHeight="1">
      <c r="B329" s="249" t="n">
        <v>45537</v>
      </c>
      <c r="C329" s="15" t="n">
        <v>322</v>
      </c>
      <c r="D329" s="170" t="inlineStr">
        <is>
          <t>ALFA Service JRK-163 Pertamina Zona#4</t>
        </is>
      </c>
      <c r="E329" s="227" t="n"/>
      <c r="F329" s="250" t="n">
        <v>354210000</v>
      </c>
      <c r="G329" s="15" t="inlineStr">
        <is>
          <t>IDR</t>
        </is>
      </c>
      <c r="H329" s="251" t="n">
        <v>1</v>
      </c>
      <c r="I329" s="15" t="inlineStr">
        <is>
          <t>INV022</t>
        </is>
      </c>
      <c r="J329" s="18" t="inlineStr">
        <is>
          <t>SI Jak</t>
        </is>
      </c>
      <c r="K329" s="249" t="n">
        <v>45575</v>
      </c>
      <c r="L329" s="252" t="n">
        <v>347125800</v>
      </c>
      <c r="M329" s="253" t="n">
        <v>38963100</v>
      </c>
      <c r="N329" s="253" t="n">
        <v>7084200</v>
      </c>
      <c r="O329" s="252" t="n">
        <v>0</v>
      </c>
      <c r="P329" s="18" t="inlineStr">
        <is>
          <t>Pemungut</t>
        </is>
      </c>
    </row>
    <row r="330" ht="15.5" customHeight="1">
      <c r="B330" s="249" t="n">
        <v>45537</v>
      </c>
      <c r="C330" s="15" t="n">
        <v>323</v>
      </c>
      <c r="D330" s="170" t="inlineStr">
        <is>
          <t>ALFA Service JRK-163 Pertamina Zona#4</t>
        </is>
      </c>
      <c r="E330" s="227" t="n"/>
      <c r="F330" s="250" t="n">
        <v>354210000</v>
      </c>
      <c r="G330" s="15" t="inlineStr">
        <is>
          <t>IDR</t>
        </is>
      </c>
      <c r="H330" s="251" t="n">
        <v>1</v>
      </c>
      <c r="I330" s="15" t="inlineStr">
        <is>
          <t>INV022</t>
        </is>
      </c>
      <c r="J330" s="18" t="inlineStr">
        <is>
          <t>SI Jak</t>
        </is>
      </c>
      <c r="K330" s="249" t="n">
        <v>45575</v>
      </c>
      <c r="L330" s="252" t="n">
        <v>347125800</v>
      </c>
      <c r="M330" s="253" t="n">
        <v>38963100</v>
      </c>
      <c r="N330" s="253" t="n">
        <v>7084200</v>
      </c>
      <c r="O330" s="252" t="n">
        <v>0</v>
      </c>
      <c r="P330" s="18" t="inlineStr">
        <is>
          <t>Pemungut</t>
        </is>
      </c>
    </row>
    <row r="331" ht="15.5" customHeight="1">
      <c r="B331" s="249" t="n">
        <v>45537</v>
      </c>
      <c r="C331" s="15" t="n">
        <v>324</v>
      </c>
      <c r="D331" s="170" t="inlineStr">
        <is>
          <t>ALFA Service JRK-163 Pertamina Zona#4</t>
        </is>
      </c>
      <c r="E331" s="227" t="n"/>
      <c r="F331" s="250" t="n">
        <v>354210000</v>
      </c>
      <c r="G331" s="15" t="inlineStr">
        <is>
          <t>IDR</t>
        </is>
      </c>
      <c r="H331" s="251" t="n">
        <v>1</v>
      </c>
      <c r="I331" s="15" t="inlineStr">
        <is>
          <t>INV022</t>
        </is>
      </c>
      <c r="J331" s="18" t="inlineStr">
        <is>
          <t>SI Jak</t>
        </is>
      </c>
      <c r="K331" s="249" t="n">
        <v>45575</v>
      </c>
      <c r="L331" s="252" t="n">
        <v>347125800</v>
      </c>
      <c r="M331" s="253" t="n">
        <v>38963100</v>
      </c>
      <c r="N331" s="253" t="n">
        <v>7084200</v>
      </c>
      <c r="O331" s="252" t="n">
        <v>0</v>
      </c>
      <c r="P331" s="18" t="inlineStr">
        <is>
          <t>Pemungut</t>
        </is>
      </c>
    </row>
    <row r="332" ht="15.5" customHeight="1">
      <c r="B332" s="249" t="n">
        <v>45537</v>
      </c>
      <c r="C332" s="15" t="n">
        <v>325</v>
      </c>
      <c r="D332" s="170" t="inlineStr">
        <is>
          <t>ALFA Service JRK-163 Pertamina Zona#4</t>
        </is>
      </c>
      <c r="E332" s="227" t="n"/>
      <c r="F332" s="250" t="n">
        <v>354210000</v>
      </c>
      <c r="G332" s="15" t="inlineStr">
        <is>
          <t>IDR</t>
        </is>
      </c>
      <c r="H332" s="251" t="n">
        <v>1</v>
      </c>
      <c r="I332" s="15" t="inlineStr">
        <is>
          <t>INV022</t>
        </is>
      </c>
      <c r="J332" s="18" t="inlineStr">
        <is>
          <t>SI Jak</t>
        </is>
      </c>
      <c r="K332" s="249" t="n">
        <v>45575</v>
      </c>
      <c r="L332" s="252" t="n">
        <v>347125800</v>
      </c>
      <c r="M332" s="253" t="n">
        <v>38963100</v>
      </c>
      <c r="N332" s="253" t="n">
        <v>7084200</v>
      </c>
      <c r="O332" s="252" t="n">
        <v>0</v>
      </c>
      <c r="P332" s="18" t="inlineStr">
        <is>
          <t>Pemungut</t>
        </is>
      </c>
    </row>
    <row r="333" ht="15.5" customHeight="1">
      <c r="B333" s="249" t="n">
        <v>45537</v>
      </c>
      <c r="C333" s="15" t="n">
        <v>326</v>
      </c>
      <c r="D333" s="170" t="inlineStr">
        <is>
          <t>ALFA Service JRK-163 Pertamina Zona#4</t>
        </is>
      </c>
      <c r="E333" s="227" t="n"/>
      <c r="F333" s="250" t="n">
        <v>354210000</v>
      </c>
      <c r="G333" s="15" t="inlineStr">
        <is>
          <t>IDR</t>
        </is>
      </c>
      <c r="H333" s="251" t="n">
        <v>1</v>
      </c>
      <c r="I333" s="15" t="inlineStr">
        <is>
          <t>INV022</t>
        </is>
      </c>
      <c r="J333" s="18" t="inlineStr">
        <is>
          <t>SI Jak</t>
        </is>
      </c>
      <c r="K333" s="249" t="n">
        <v>45575</v>
      </c>
      <c r="L333" s="252" t="n">
        <v>347125800</v>
      </c>
      <c r="M333" s="253" t="n">
        <v>38963100</v>
      </c>
      <c r="N333" s="253" t="n">
        <v>7084200</v>
      </c>
      <c r="O333" s="252" t="n">
        <v>0</v>
      </c>
      <c r="P333" s="18" t="inlineStr">
        <is>
          <t>Pemungut</t>
        </is>
      </c>
    </row>
    <row r="334" ht="15.5" customHeight="1">
      <c r="B334" s="249" t="n">
        <v>45537</v>
      </c>
      <c r="C334" s="15" t="n">
        <v>327</v>
      </c>
      <c r="D334" s="170" t="inlineStr">
        <is>
          <t>ALFA Service JRK-163 Pertamina Zona#4</t>
        </is>
      </c>
      <c r="E334" s="227" t="n"/>
      <c r="F334" s="250" t="n">
        <v>354210000</v>
      </c>
      <c r="G334" s="15" t="inlineStr">
        <is>
          <t>IDR</t>
        </is>
      </c>
      <c r="H334" s="251" t="n">
        <v>1</v>
      </c>
      <c r="I334" s="15" t="inlineStr">
        <is>
          <t>INV022</t>
        </is>
      </c>
      <c r="J334" s="18" t="inlineStr">
        <is>
          <t>SI Jak</t>
        </is>
      </c>
      <c r="K334" s="249" t="n">
        <v>45575</v>
      </c>
      <c r="L334" s="252" t="n">
        <v>347125800</v>
      </c>
      <c r="M334" s="253" t="n">
        <v>38963100</v>
      </c>
      <c r="N334" s="253" t="n">
        <v>7084200</v>
      </c>
      <c r="O334" s="252" t="n">
        <v>0</v>
      </c>
      <c r="P334" s="18" t="inlineStr">
        <is>
          <t>Pemungut</t>
        </is>
      </c>
    </row>
    <row r="335" ht="15.5" customHeight="1">
      <c r="B335" s="249" t="n">
        <v>45537</v>
      </c>
      <c r="C335" s="15" t="n">
        <v>328</v>
      </c>
      <c r="D335" s="170" t="inlineStr">
        <is>
          <t>ALFA Service JRK-163 Pertamina Zona#4</t>
        </is>
      </c>
      <c r="E335" s="227" t="n"/>
      <c r="F335" s="250" t="n">
        <v>354210000</v>
      </c>
      <c r="G335" s="15" t="inlineStr">
        <is>
          <t>IDR</t>
        </is>
      </c>
      <c r="H335" s="251" t="n">
        <v>1</v>
      </c>
      <c r="I335" s="15" t="inlineStr">
        <is>
          <t>INV022</t>
        </is>
      </c>
      <c r="J335" s="18" t="inlineStr">
        <is>
          <t>SI Jak</t>
        </is>
      </c>
      <c r="K335" s="249" t="n">
        <v>45575</v>
      </c>
      <c r="L335" s="252" t="n">
        <v>347125800</v>
      </c>
      <c r="M335" s="253" t="n">
        <v>38963100</v>
      </c>
      <c r="N335" s="253" t="n">
        <v>7084200</v>
      </c>
      <c r="O335" s="252" t="n">
        <v>0</v>
      </c>
      <c r="P335" s="18" t="inlineStr">
        <is>
          <t>Pemungut</t>
        </is>
      </c>
    </row>
    <row r="336" ht="15.5" customHeight="1">
      <c r="B336" s="249" t="n">
        <v>45576</v>
      </c>
      <c r="C336" s="15" t="n">
        <v>329</v>
      </c>
      <c r="D336" s="170" t="inlineStr">
        <is>
          <t>Revenue Project TIS (no 28 )</t>
        </is>
      </c>
      <c r="E336" s="227" t="n"/>
      <c r="F336" s="250" t="n">
        <v>819200000</v>
      </c>
      <c r="G336" s="15" t="inlineStr">
        <is>
          <t>IDR</t>
        </is>
      </c>
      <c r="H336" s="251" t="n">
        <v>1</v>
      </c>
      <c r="I336" s="15" t="inlineStr">
        <is>
          <t>INV028</t>
        </is>
      </c>
      <c r="J336" s="18" t="inlineStr">
        <is>
          <t>Barikin Sakti</t>
        </is>
      </c>
      <c r="K336" s="249" t="n">
        <v>45579</v>
      </c>
      <c r="L336" s="252" t="n">
        <v>892928000</v>
      </c>
      <c r="M336" s="253" t="n">
        <v>90112000</v>
      </c>
      <c r="N336" s="253" t="n">
        <v>16384000</v>
      </c>
      <c r="O336" s="252" t="n">
        <v>0</v>
      </c>
      <c r="P336" s="18" t="inlineStr"/>
    </row>
    <row r="337" ht="15.5" customHeight="1">
      <c r="B337" s="249" t="n">
        <v>45576</v>
      </c>
      <c r="C337" s="15" t="n">
        <v>330</v>
      </c>
      <c r="D337" s="170" t="inlineStr">
        <is>
          <t>Revenue Project TIS (no 28 )</t>
        </is>
      </c>
      <c r="E337" s="227" t="n"/>
      <c r="F337" s="250" t="n">
        <v>819200000</v>
      </c>
      <c r="G337" s="15" t="inlineStr">
        <is>
          <t>IDR</t>
        </is>
      </c>
      <c r="H337" s="251" t="n">
        <v>1</v>
      </c>
      <c r="I337" s="15" t="inlineStr">
        <is>
          <t>INV028</t>
        </is>
      </c>
      <c r="J337" s="18" t="inlineStr">
        <is>
          <t>Barikin Sakti</t>
        </is>
      </c>
      <c r="K337" s="249" t="n">
        <v>45579</v>
      </c>
      <c r="L337" s="252" t="n">
        <v>892928000</v>
      </c>
      <c r="M337" s="253" t="n">
        <v>90112000</v>
      </c>
      <c r="N337" s="253" t="n">
        <v>16384000</v>
      </c>
      <c r="O337" s="252" t="n">
        <v>0</v>
      </c>
      <c r="P337" s="18" t="inlineStr"/>
    </row>
    <row r="338" ht="15.5" customHeight="1">
      <c r="B338" s="249" t="n">
        <v>45576</v>
      </c>
      <c r="C338" s="15" t="n">
        <v>331</v>
      </c>
      <c r="D338" s="170" t="inlineStr">
        <is>
          <t>Revenue Project TIS (no 28 )</t>
        </is>
      </c>
      <c r="E338" s="227" t="n"/>
      <c r="F338" s="250" t="n">
        <v>819200000</v>
      </c>
      <c r="G338" s="15" t="inlineStr">
        <is>
          <t>IDR</t>
        </is>
      </c>
      <c r="H338" s="251" t="n">
        <v>1</v>
      </c>
      <c r="I338" s="15" t="inlineStr">
        <is>
          <t>INV028</t>
        </is>
      </c>
      <c r="J338" s="18" t="inlineStr">
        <is>
          <t>Barikin Sakti</t>
        </is>
      </c>
      <c r="K338" s="249" t="n">
        <v>45579</v>
      </c>
      <c r="L338" s="252" t="n">
        <v>892928000</v>
      </c>
      <c r="M338" s="253" t="n">
        <v>90112000</v>
      </c>
      <c r="N338" s="253" t="n">
        <v>16384000</v>
      </c>
      <c r="O338" s="252" t="n">
        <v>0</v>
      </c>
      <c r="P338" s="18" t="inlineStr"/>
    </row>
    <row r="339" ht="15.5" customHeight="1">
      <c r="B339" s="249" t="n">
        <v>45576</v>
      </c>
      <c r="C339" s="15" t="n">
        <v>332</v>
      </c>
      <c r="D339" s="170" t="inlineStr">
        <is>
          <t>Revenue Project TIS (no 28 )</t>
        </is>
      </c>
      <c r="E339" s="227" t="n"/>
      <c r="F339" s="250" t="n">
        <v>819200000</v>
      </c>
      <c r="G339" s="15" t="inlineStr">
        <is>
          <t>IDR</t>
        </is>
      </c>
      <c r="H339" s="251" t="n">
        <v>1</v>
      </c>
      <c r="I339" s="15" t="inlineStr">
        <is>
          <t>INV028</t>
        </is>
      </c>
      <c r="J339" s="18" t="inlineStr">
        <is>
          <t>Barikin Sakti</t>
        </is>
      </c>
      <c r="K339" s="249" t="n">
        <v>45579</v>
      </c>
      <c r="L339" s="252" t="n">
        <v>892928000</v>
      </c>
      <c r="M339" s="253" t="n">
        <v>90112000</v>
      </c>
      <c r="N339" s="253" t="n">
        <v>16384000</v>
      </c>
      <c r="O339" s="252" t="n">
        <v>0</v>
      </c>
      <c r="P339" s="18" t="inlineStr"/>
    </row>
    <row r="340" ht="15.5" customHeight="1">
      <c r="B340" s="249" t="n">
        <v>45576</v>
      </c>
      <c r="C340" s="15" t="n">
        <v>333</v>
      </c>
      <c r="D340" s="170" t="inlineStr">
        <is>
          <t>Revenue Project TIS (no 28 )</t>
        </is>
      </c>
      <c r="E340" s="227" t="n"/>
      <c r="F340" s="250" t="n">
        <v>819200000</v>
      </c>
      <c r="G340" s="15" t="inlineStr">
        <is>
          <t>IDR</t>
        </is>
      </c>
      <c r="H340" s="251" t="n">
        <v>1</v>
      </c>
      <c r="I340" s="15" t="inlineStr">
        <is>
          <t>INV028</t>
        </is>
      </c>
      <c r="J340" s="18" t="inlineStr">
        <is>
          <t>Barikin Sakti</t>
        </is>
      </c>
      <c r="K340" s="249" t="n">
        <v>45579</v>
      </c>
      <c r="L340" s="252" t="n">
        <v>892928000</v>
      </c>
      <c r="M340" s="253" t="n">
        <v>90112000</v>
      </c>
      <c r="N340" s="253" t="n">
        <v>16384000</v>
      </c>
      <c r="O340" s="252" t="n">
        <v>0</v>
      </c>
      <c r="P340" s="18" t="inlineStr"/>
    </row>
    <row r="341" ht="15.5" customHeight="1">
      <c r="B341" s="249" t="n">
        <v>45576</v>
      </c>
      <c r="C341" s="15" t="n">
        <v>334</v>
      </c>
      <c r="D341" s="170" t="inlineStr">
        <is>
          <t>Revenue Project TIS (no 28 )</t>
        </is>
      </c>
      <c r="E341" s="227" t="n"/>
      <c r="F341" s="250" t="n">
        <v>819200000</v>
      </c>
      <c r="G341" s="15" t="inlineStr">
        <is>
          <t>IDR</t>
        </is>
      </c>
      <c r="H341" s="251" t="n">
        <v>1</v>
      </c>
      <c r="I341" s="15" t="inlineStr">
        <is>
          <t>INV028</t>
        </is>
      </c>
      <c r="J341" s="18" t="inlineStr">
        <is>
          <t>Barikin Sakti</t>
        </is>
      </c>
      <c r="K341" s="249" t="n">
        <v>45579</v>
      </c>
      <c r="L341" s="252" t="n">
        <v>892928000</v>
      </c>
      <c r="M341" s="253" t="n">
        <v>90112000</v>
      </c>
      <c r="N341" s="253" t="n">
        <v>16384000</v>
      </c>
      <c r="O341" s="252" t="n">
        <v>0</v>
      </c>
      <c r="P341" s="18" t="inlineStr"/>
    </row>
    <row r="342" ht="15.5" customHeight="1">
      <c r="B342" s="249" t="n">
        <v>45576</v>
      </c>
      <c r="C342" s="15" t="n">
        <v>335</v>
      </c>
      <c r="D342" s="170" t="inlineStr">
        <is>
          <t>Revenue Project TIS (no 28 )</t>
        </is>
      </c>
      <c r="E342" s="227" t="n"/>
      <c r="F342" s="250" t="n">
        <v>819200000</v>
      </c>
      <c r="G342" s="15" t="inlineStr">
        <is>
          <t>IDR</t>
        </is>
      </c>
      <c r="H342" s="251" t="n">
        <v>1</v>
      </c>
      <c r="I342" s="15" t="inlineStr">
        <is>
          <t>INV028</t>
        </is>
      </c>
      <c r="J342" s="18" t="inlineStr">
        <is>
          <t>Barikin Sakti</t>
        </is>
      </c>
      <c r="K342" s="249" t="n">
        <v>45579</v>
      </c>
      <c r="L342" s="252" t="n">
        <v>892928000</v>
      </c>
      <c r="M342" s="253" t="n">
        <v>90112000</v>
      </c>
      <c r="N342" s="253" t="n">
        <v>16384000</v>
      </c>
      <c r="O342" s="252" t="n">
        <v>0</v>
      </c>
      <c r="P342" s="18" t="inlineStr"/>
    </row>
    <row r="343" ht="15.5" customHeight="1">
      <c r="B343" s="249" t="n">
        <v>45576</v>
      </c>
      <c r="C343" s="15" t="n">
        <v>336</v>
      </c>
      <c r="D343" s="170" t="inlineStr">
        <is>
          <t>Revenue Project TIS (no 28 )</t>
        </is>
      </c>
      <c r="E343" s="227" t="n"/>
      <c r="F343" s="250" t="n">
        <v>819200000</v>
      </c>
      <c r="G343" s="15" t="inlineStr">
        <is>
          <t>IDR</t>
        </is>
      </c>
      <c r="H343" s="251" t="n">
        <v>1</v>
      </c>
      <c r="I343" s="15" t="inlineStr">
        <is>
          <t>INV028</t>
        </is>
      </c>
      <c r="J343" s="18" t="inlineStr">
        <is>
          <t>Barikin Sakti</t>
        </is>
      </c>
      <c r="K343" s="249" t="n">
        <v>45579</v>
      </c>
      <c r="L343" s="252" t="n">
        <v>892928000</v>
      </c>
      <c r="M343" s="253" t="n">
        <v>90112000</v>
      </c>
      <c r="N343" s="253" t="n">
        <v>16384000</v>
      </c>
      <c r="O343" s="252" t="n">
        <v>0</v>
      </c>
      <c r="P343" s="18" t="inlineStr"/>
    </row>
    <row r="344" ht="15.5" customHeight="1">
      <c r="B344" s="249" t="n">
        <v>45576</v>
      </c>
      <c r="C344" s="15" t="n">
        <v>337</v>
      </c>
      <c r="D344" s="170" t="inlineStr">
        <is>
          <t>Revenue Project TIS (no 28 )</t>
        </is>
      </c>
      <c r="E344" s="227" t="n"/>
      <c r="F344" s="250" t="n">
        <v>819200000</v>
      </c>
      <c r="G344" s="15" t="inlineStr">
        <is>
          <t>IDR</t>
        </is>
      </c>
      <c r="H344" s="251" t="n">
        <v>1</v>
      </c>
      <c r="I344" s="15" t="inlineStr">
        <is>
          <t>INV028</t>
        </is>
      </c>
      <c r="J344" s="18" t="inlineStr">
        <is>
          <t>Barikin Sakti</t>
        </is>
      </c>
      <c r="K344" s="249" t="n">
        <v>45579</v>
      </c>
      <c r="L344" s="252" t="n">
        <v>892928000</v>
      </c>
      <c r="M344" s="253" t="n">
        <v>90112000</v>
      </c>
      <c r="N344" s="253" t="n">
        <v>16384000</v>
      </c>
      <c r="O344" s="252" t="n">
        <v>0</v>
      </c>
      <c r="P344" s="18" t="inlineStr"/>
    </row>
    <row r="345" ht="15.5" customHeight="1">
      <c r="B345" s="249" t="n">
        <v>45576</v>
      </c>
      <c r="C345" s="15" t="n">
        <v>338</v>
      </c>
      <c r="D345" s="170" t="inlineStr">
        <is>
          <t>Revenue Project TIS (no 28 )</t>
        </is>
      </c>
      <c r="E345" s="227" t="n"/>
      <c r="F345" s="250" t="n">
        <v>819200000</v>
      </c>
      <c r="G345" s="15" t="inlineStr">
        <is>
          <t>IDR</t>
        </is>
      </c>
      <c r="H345" s="251" t="n">
        <v>1</v>
      </c>
      <c r="I345" s="15" t="inlineStr">
        <is>
          <t>INV028</t>
        </is>
      </c>
      <c r="J345" s="18" t="inlineStr">
        <is>
          <t>Barikin Sakti</t>
        </is>
      </c>
      <c r="K345" s="249" t="n">
        <v>45579</v>
      </c>
      <c r="L345" s="252" t="n">
        <v>892928000</v>
      </c>
      <c r="M345" s="253" t="n">
        <v>90112000</v>
      </c>
      <c r="N345" s="253" t="n">
        <v>16384000</v>
      </c>
      <c r="O345" s="252" t="n">
        <v>0</v>
      </c>
      <c r="P345" s="18" t="inlineStr"/>
    </row>
    <row r="346" ht="15.5" customHeight="1">
      <c r="B346" s="249" t="n">
        <v>45576</v>
      </c>
      <c r="C346" s="15" t="n">
        <v>339</v>
      </c>
      <c r="D346" s="170" t="inlineStr">
        <is>
          <t>Revenue Project TIS (no 28 )</t>
        </is>
      </c>
      <c r="E346" s="227" t="n"/>
      <c r="F346" s="250" t="n">
        <v>819200000</v>
      </c>
      <c r="G346" s="15" t="inlineStr">
        <is>
          <t>IDR</t>
        </is>
      </c>
      <c r="H346" s="251" t="n">
        <v>1</v>
      </c>
      <c r="I346" s="15" t="inlineStr">
        <is>
          <t>INV028</t>
        </is>
      </c>
      <c r="J346" s="18" t="inlineStr">
        <is>
          <t>Barikin Sakti</t>
        </is>
      </c>
      <c r="K346" s="249" t="n">
        <v>45579</v>
      </c>
      <c r="L346" s="252" t="n">
        <v>892928000</v>
      </c>
      <c r="M346" s="253" t="n">
        <v>90112000</v>
      </c>
      <c r="N346" s="253" t="n">
        <v>16384000</v>
      </c>
      <c r="O346" s="252" t="n">
        <v>0</v>
      </c>
      <c r="P346" s="18" t="inlineStr"/>
    </row>
    <row r="347" ht="15.5" customHeight="1">
      <c r="B347" s="249" t="n">
        <v>45576</v>
      </c>
      <c r="C347" s="15" t="n">
        <v>340</v>
      </c>
      <c r="D347" s="170" t="inlineStr">
        <is>
          <t>Revenue Project TIS (no 28 )</t>
        </is>
      </c>
      <c r="E347" s="227" t="n"/>
      <c r="F347" s="250" t="n">
        <v>819200000</v>
      </c>
      <c r="G347" s="15" t="inlineStr">
        <is>
          <t>IDR</t>
        </is>
      </c>
      <c r="H347" s="251" t="n">
        <v>1</v>
      </c>
      <c r="I347" s="15" t="inlineStr">
        <is>
          <t>INV028</t>
        </is>
      </c>
      <c r="J347" s="18" t="inlineStr">
        <is>
          <t>Barikin Sakti</t>
        </is>
      </c>
      <c r="K347" s="249" t="n">
        <v>45579</v>
      </c>
      <c r="L347" s="252" t="n">
        <v>892928000</v>
      </c>
      <c r="M347" s="253" t="n">
        <v>90112000</v>
      </c>
      <c r="N347" s="253" t="n">
        <v>16384000</v>
      </c>
      <c r="O347" s="252" t="n">
        <v>0</v>
      </c>
      <c r="P347" s="18" t="inlineStr"/>
    </row>
    <row r="348" ht="15.5" customHeight="1">
      <c r="B348" s="249" t="n">
        <v>45576</v>
      </c>
      <c r="C348" s="15" t="n">
        <v>341</v>
      </c>
      <c r="D348" s="170" t="inlineStr">
        <is>
          <t>Revenue Project TIS (no 28 )</t>
        </is>
      </c>
      <c r="E348" s="227" t="n"/>
      <c r="F348" s="250" t="n">
        <v>819200000</v>
      </c>
      <c r="G348" s="15" t="inlineStr">
        <is>
          <t>IDR</t>
        </is>
      </c>
      <c r="H348" s="251" t="n">
        <v>1</v>
      </c>
      <c r="I348" s="15" t="inlineStr">
        <is>
          <t>INV028</t>
        </is>
      </c>
      <c r="J348" s="18" t="inlineStr">
        <is>
          <t>Barikin Sakti</t>
        </is>
      </c>
      <c r="K348" s="249" t="n">
        <v>45579</v>
      </c>
      <c r="L348" s="252" t="n">
        <v>892928000</v>
      </c>
      <c r="M348" s="253" t="n">
        <v>90112000</v>
      </c>
      <c r="N348" s="253" t="n">
        <v>16384000</v>
      </c>
      <c r="O348" s="252" t="n">
        <v>0</v>
      </c>
      <c r="P348" s="18" t="inlineStr"/>
    </row>
    <row r="349" ht="15.5" customHeight="1">
      <c r="B349" s="249" t="n">
        <v>45576</v>
      </c>
      <c r="C349" s="15" t="n">
        <v>342</v>
      </c>
      <c r="D349" s="170" t="inlineStr">
        <is>
          <t>Revenue Project TIS (no 28 )</t>
        </is>
      </c>
      <c r="E349" s="227" t="n"/>
      <c r="F349" s="250" t="n">
        <v>819200000</v>
      </c>
      <c r="G349" s="15" t="inlineStr">
        <is>
          <t>IDR</t>
        </is>
      </c>
      <c r="H349" s="251" t="n">
        <v>1</v>
      </c>
      <c r="I349" s="15" t="inlineStr">
        <is>
          <t>INV028</t>
        </is>
      </c>
      <c r="J349" s="18" t="inlineStr">
        <is>
          <t>Barikin Sakti</t>
        </is>
      </c>
      <c r="K349" s="249" t="n">
        <v>45579</v>
      </c>
      <c r="L349" s="252" t="n">
        <v>892928000</v>
      </c>
      <c r="M349" s="253" t="n">
        <v>90112000</v>
      </c>
      <c r="N349" s="253" t="n">
        <v>16384000</v>
      </c>
      <c r="O349" s="252" t="n">
        <v>0</v>
      </c>
      <c r="P349" s="18" t="inlineStr"/>
    </row>
    <row r="350" ht="15.5" customHeight="1">
      <c r="B350" s="249" t="n">
        <v>45576</v>
      </c>
      <c r="C350" s="15" t="n">
        <v>343</v>
      </c>
      <c r="D350" s="170" t="inlineStr">
        <is>
          <t>Revenue Project TIS (no 28 )</t>
        </is>
      </c>
      <c r="E350" s="227" t="n"/>
      <c r="F350" s="250" t="n">
        <v>819200000</v>
      </c>
      <c r="G350" s="15" t="inlineStr">
        <is>
          <t>IDR</t>
        </is>
      </c>
      <c r="H350" s="251" t="n">
        <v>1</v>
      </c>
      <c r="I350" s="15" t="inlineStr">
        <is>
          <t>INV028</t>
        </is>
      </c>
      <c r="J350" s="18" t="inlineStr">
        <is>
          <t>Barikin Sakti</t>
        </is>
      </c>
      <c r="K350" s="249" t="n">
        <v>45579</v>
      </c>
      <c r="L350" s="252" t="n">
        <v>892928000</v>
      </c>
      <c r="M350" s="253" t="n">
        <v>90112000</v>
      </c>
      <c r="N350" s="253" t="n">
        <v>16384000</v>
      </c>
      <c r="O350" s="252" t="n">
        <v>0</v>
      </c>
      <c r="P350" s="18" t="inlineStr"/>
    </row>
    <row r="351" ht="15.5" customHeight="1">
      <c r="B351" s="249" t="n">
        <v>45576</v>
      </c>
      <c r="C351" s="15" t="n">
        <v>344</v>
      </c>
      <c r="D351" s="170" t="inlineStr">
        <is>
          <t>Revenue Project TIS (no 28 )</t>
        </is>
      </c>
      <c r="E351" s="227" t="n"/>
      <c r="F351" s="250" t="n">
        <v>819200000</v>
      </c>
      <c r="G351" s="15" t="inlineStr">
        <is>
          <t>IDR</t>
        </is>
      </c>
      <c r="H351" s="251" t="n">
        <v>1</v>
      </c>
      <c r="I351" s="15" t="inlineStr">
        <is>
          <t>INV028</t>
        </is>
      </c>
      <c r="J351" s="18" t="inlineStr">
        <is>
          <t>Barikin Sakti</t>
        </is>
      </c>
      <c r="K351" s="249" t="n">
        <v>45579</v>
      </c>
      <c r="L351" s="252" t="n">
        <v>892928000</v>
      </c>
      <c r="M351" s="253" t="n">
        <v>90112000</v>
      </c>
      <c r="N351" s="253" t="n">
        <v>16384000</v>
      </c>
      <c r="O351" s="252" t="n">
        <v>0</v>
      </c>
      <c r="P351" s="18" t="inlineStr"/>
    </row>
    <row r="352" ht="15.5" customHeight="1">
      <c r="B352" s="249" t="n">
        <v>45576</v>
      </c>
      <c r="C352" s="15" t="n">
        <v>345</v>
      </c>
      <c r="D352" s="170" t="inlineStr">
        <is>
          <t>Revenue Project TIS (no 28 )</t>
        </is>
      </c>
      <c r="E352" s="227" t="n"/>
      <c r="F352" s="250" t="n">
        <v>819200000</v>
      </c>
      <c r="G352" s="15" t="inlineStr">
        <is>
          <t>IDR</t>
        </is>
      </c>
      <c r="H352" s="251" t="n">
        <v>1</v>
      </c>
      <c r="I352" s="15" t="inlineStr">
        <is>
          <t>INV028</t>
        </is>
      </c>
      <c r="J352" s="18" t="inlineStr">
        <is>
          <t>Barikin Sakti</t>
        </is>
      </c>
      <c r="K352" s="249" t="n">
        <v>45579</v>
      </c>
      <c r="L352" s="252" t="n">
        <v>892928000</v>
      </c>
      <c r="M352" s="253" t="n">
        <v>90112000</v>
      </c>
      <c r="N352" s="253" t="n">
        <v>16384000</v>
      </c>
      <c r="O352" s="252" t="n">
        <v>0</v>
      </c>
      <c r="P352" s="18" t="inlineStr"/>
    </row>
    <row r="353" ht="15.5" customHeight="1">
      <c r="B353" s="249" t="n">
        <v>45576</v>
      </c>
      <c r="C353" s="15" t="n">
        <v>346</v>
      </c>
      <c r="D353" s="170" t="inlineStr">
        <is>
          <t>Revenue Project TIS (no 28 )</t>
        </is>
      </c>
      <c r="E353" s="227" t="n"/>
      <c r="F353" s="250" t="n">
        <v>819200000</v>
      </c>
      <c r="G353" s="15" t="inlineStr">
        <is>
          <t>IDR</t>
        </is>
      </c>
      <c r="H353" s="251" t="n">
        <v>1</v>
      </c>
      <c r="I353" s="15" t="inlineStr">
        <is>
          <t>INV028</t>
        </is>
      </c>
      <c r="J353" s="18" t="inlineStr">
        <is>
          <t>Barikin Sakti</t>
        </is>
      </c>
      <c r="K353" s="249" t="n">
        <v>45579</v>
      </c>
      <c r="L353" s="252" t="n">
        <v>892928000</v>
      </c>
      <c r="M353" s="253" t="n">
        <v>90112000</v>
      </c>
      <c r="N353" s="253" t="n">
        <v>16384000</v>
      </c>
      <c r="O353" s="252" t="n">
        <v>0</v>
      </c>
      <c r="P353" s="18" t="inlineStr"/>
    </row>
    <row r="354" ht="15.5" customHeight="1">
      <c r="B354" s="249" t="n">
        <v>45576</v>
      </c>
      <c r="C354" s="15" t="n">
        <v>347</v>
      </c>
      <c r="D354" s="170" t="inlineStr">
        <is>
          <t>Revenue Project TIS (no 28 )</t>
        </is>
      </c>
      <c r="E354" s="227" t="n"/>
      <c r="F354" s="250" t="n">
        <v>819200000</v>
      </c>
      <c r="G354" s="15" t="inlineStr">
        <is>
          <t>IDR</t>
        </is>
      </c>
      <c r="H354" s="251" t="n">
        <v>1</v>
      </c>
      <c r="I354" s="15" t="inlineStr">
        <is>
          <t>INV028</t>
        </is>
      </c>
      <c r="J354" s="18" t="inlineStr">
        <is>
          <t>Barikin Sakti</t>
        </is>
      </c>
      <c r="K354" s="249" t="n">
        <v>45579</v>
      </c>
      <c r="L354" s="252" t="n">
        <v>892928000</v>
      </c>
      <c r="M354" s="253" t="n">
        <v>90112000</v>
      </c>
      <c r="N354" s="253" t="n">
        <v>16384000</v>
      </c>
      <c r="O354" s="252" t="n">
        <v>0</v>
      </c>
      <c r="P354" s="18" t="inlineStr"/>
    </row>
    <row r="355" ht="15.5" customHeight="1">
      <c r="B355" s="249" t="n">
        <v>45576</v>
      </c>
      <c r="C355" s="15" t="n">
        <v>348</v>
      </c>
      <c r="D355" s="170" t="inlineStr">
        <is>
          <t>Revenue Project TIS (no 28 )</t>
        </is>
      </c>
      <c r="E355" s="227" t="n"/>
      <c r="F355" s="250" t="n">
        <v>819200000</v>
      </c>
      <c r="G355" s="15" t="inlineStr">
        <is>
          <t>IDR</t>
        </is>
      </c>
      <c r="H355" s="251" t="n">
        <v>1</v>
      </c>
      <c r="I355" s="15" t="inlineStr">
        <is>
          <t>INV028</t>
        </is>
      </c>
      <c r="J355" s="18" t="inlineStr">
        <is>
          <t>Barikin Sakti</t>
        </is>
      </c>
      <c r="K355" s="249" t="n">
        <v>45579</v>
      </c>
      <c r="L355" s="252" t="n">
        <v>892928000</v>
      </c>
      <c r="M355" s="253" t="n">
        <v>90112000</v>
      </c>
      <c r="N355" s="253" t="n">
        <v>16384000</v>
      </c>
      <c r="O355" s="252" t="n">
        <v>0</v>
      </c>
      <c r="P355" s="18" t="inlineStr"/>
    </row>
    <row r="356" ht="15.5" customHeight="1">
      <c r="B356" s="249" t="n">
        <v>45576</v>
      </c>
      <c r="C356" s="15" t="n">
        <v>349</v>
      </c>
      <c r="D356" s="170" t="inlineStr">
        <is>
          <t>Revenue Project TIS (no 28 )</t>
        </is>
      </c>
      <c r="E356" s="227" t="n"/>
      <c r="F356" s="250" t="n">
        <v>819200000</v>
      </c>
      <c r="G356" s="15" t="inlineStr">
        <is>
          <t>IDR</t>
        </is>
      </c>
      <c r="H356" s="251" t="n">
        <v>1</v>
      </c>
      <c r="I356" s="15" t="inlineStr">
        <is>
          <t>INV028</t>
        </is>
      </c>
      <c r="J356" s="18" t="inlineStr">
        <is>
          <t>Barikin Sakti</t>
        </is>
      </c>
      <c r="K356" s="249" t="n">
        <v>45579</v>
      </c>
      <c r="L356" s="252" t="n">
        <v>892928000</v>
      </c>
      <c r="M356" s="253" t="n">
        <v>90112000</v>
      </c>
      <c r="N356" s="253" t="n">
        <v>16384000</v>
      </c>
      <c r="O356" s="252" t="n">
        <v>0</v>
      </c>
      <c r="P356" s="18" t="inlineStr"/>
    </row>
    <row r="357" ht="15.5" customHeight="1">
      <c r="B357" s="249" t="n">
        <v>45576</v>
      </c>
      <c r="C357" s="15" t="n">
        <v>350</v>
      </c>
      <c r="D357" s="170" t="inlineStr">
        <is>
          <t>Revenue Project TIS (no 28 )</t>
        </is>
      </c>
      <c r="E357" s="227" t="n"/>
      <c r="F357" s="250" t="n">
        <v>819200000</v>
      </c>
      <c r="G357" s="15" t="inlineStr">
        <is>
          <t>IDR</t>
        </is>
      </c>
      <c r="H357" s="251" t="n">
        <v>1</v>
      </c>
      <c r="I357" s="15" t="inlineStr">
        <is>
          <t>INV028</t>
        </is>
      </c>
      <c r="J357" s="18" t="inlineStr">
        <is>
          <t>Barikin Sakti</t>
        </is>
      </c>
      <c r="K357" s="249" t="n">
        <v>45579</v>
      </c>
      <c r="L357" s="252" t="n">
        <v>892928000</v>
      </c>
      <c r="M357" s="253" t="n">
        <v>90112000</v>
      </c>
      <c r="N357" s="253" t="n">
        <v>16384000</v>
      </c>
      <c r="O357" s="252" t="n">
        <v>0</v>
      </c>
      <c r="P357" s="18" t="inlineStr"/>
    </row>
    <row r="358" ht="15.5" customHeight="1">
      <c r="B358" s="249" t="n">
        <v>45576</v>
      </c>
      <c r="C358" s="15" t="n">
        <v>351</v>
      </c>
      <c r="D358" s="170" t="inlineStr">
        <is>
          <t>Revenue Project TIS (no 28 )</t>
        </is>
      </c>
      <c r="E358" s="227" t="n"/>
      <c r="F358" s="250" t="n">
        <v>819200000</v>
      </c>
      <c r="G358" s="15" t="inlineStr">
        <is>
          <t>IDR</t>
        </is>
      </c>
      <c r="H358" s="251" t="n">
        <v>1</v>
      </c>
      <c r="I358" s="15" t="inlineStr">
        <is>
          <t>INV028</t>
        </is>
      </c>
      <c r="J358" s="18" t="inlineStr">
        <is>
          <t>Barikin Sakti</t>
        </is>
      </c>
      <c r="K358" s="249" t="n">
        <v>45579</v>
      </c>
      <c r="L358" s="252" t="n">
        <v>892928000</v>
      </c>
      <c r="M358" s="253" t="n">
        <v>90112000</v>
      </c>
      <c r="N358" s="253" t="n">
        <v>16384000</v>
      </c>
      <c r="O358" s="252" t="n">
        <v>0</v>
      </c>
      <c r="P358" s="18" t="inlineStr"/>
    </row>
    <row r="359" ht="15.5" customHeight="1">
      <c r="B359" s="249" t="n">
        <v>45576</v>
      </c>
      <c r="C359" s="15" t="n">
        <v>352</v>
      </c>
      <c r="D359" s="170" t="inlineStr">
        <is>
          <t>Revenue Project TIS (no 28 )</t>
        </is>
      </c>
      <c r="E359" s="227" t="n"/>
      <c r="F359" s="250" t="n">
        <v>819200000</v>
      </c>
      <c r="G359" s="15" t="inlineStr">
        <is>
          <t>IDR</t>
        </is>
      </c>
      <c r="H359" s="251" t="n">
        <v>1</v>
      </c>
      <c r="I359" s="15" t="inlineStr">
        <is>
          <t>INV028</t>
        </is>
      </c>
      <c r="J359" s="18" t="inlineStr">
        <is>
          <t>Barikin Sakti</t>
        </is>
      </c>
      <c r="K359" s="249" t="n">
        <v>45579</v>
      </c>
      <c r="L359" s="252" t="n">
        <v>892928000</v>
      </c>
      <c r="M359" s="253" t="n">
        <v>90112000</v>
      </c>
      <c r="N359" s="253" t="n">
        <v>16384000</v>
      </c>
      <c r="O359" s="252" t="n">
        <v>0</v>
      </c>
      <c r="P359" s="18" t="inlineStr"/>
    </row>
    <row r="360" ht="15.5" customHeight="1">
      <c r="B360" s="249" t="n">
        <v>45576</v>
      </c>
      <c r="C360" s="15" t="n">
        <v>353</v>
      </c>
      <c r="D360" s="170" t="inlineStr">
        <is>
          <t>Revenue Project TIS (no 28 )</t>
        </is>
      </c>
      <c r="E360" s="227" t="n"/>
      <c r="F360" s="250" t="n">
        <v>819200000</v>
      </c>
      <c r="G360" s="15" t="inlineStr">
        <is>
          <t>IDR</t>
        </is>
      </c>
      <c r="H360" s="251" t="n">
        <v>1</v>
      </c>
      <c r="I360" s="15" t="inlineStr">
        <is>
          <t>INV028</t>
        </is>
      </c>
      <c r="J360" s="18" t="inlineStr">
        <is>
          <t>Barikin Sakti</t>
        </is>
      </c>
      <c r="K360" s="249" t="n">
        <v>45579</v>
      </c>
      <c r="L360" s="252" t="n">
        <v>892928000</v>
      </c>
      <c r="M360" s="253" t="n">
        <v>90112000</v>
      </c>
      <c r="N360" s="253" t="n">
        <v>16384000</v>
      </c>
      <c r="O360" s="252" t="n">
        <v>0</v>
      </c>
      <c r="P360" s="18" t="inlineStr"/>
    </row>
    <row r="361" ht="15.5" customHeight="1">
      <c r="B361" s="249" t="n">
        <v>45576</v>
      </c>
      <c r="C361" s="15" t="n">
        <v>354</v>
      </c>
      <c r="D361" s="170" t="inlineStr">
        <is>
          <t>Revenue Project TIS (no 28 )</t>
        </is>
      </c>
      <c r="E361" s="227" t="n"/>
      <c r="F361" s="250" t="n">
        <v>819200000</v>
      </c>
      <c r="G361" s="15" t="inlineStr">
        <is>
          <t>IDR</t>
        </is>
      </c>
      <c r="H361" s="251" t="n">
        <v>1</v>
      </c>
      <c r="I361" s="15" t="inlineStr">
        <is>
          <t>INV028</t>
        </is>
      </c>
      <c r="J361" s="18" t="inlineStr">
        <is>
          <t>Barikin Sakti</t>
        </is>
      </c>
      <c r="K361" s="249" t="n">
        <v>45579</v>
      </c>
      <c r="L361" s="252" t="n">
        <v>892928000</v>
      </c>
      <c r="M361" s="253" t="n">
        <v>90112000</v>
      </c>
      <c r="N361" s="253" t="n">
        <v>16384000</v>
      </c>
      <c r="O361" s="252" t="n">
        <v>0</v>
      </c>
      <c r="P361" s="18" t="inlineStr"/>
    </row>
    <row r="362" ht="15.5" customHeight="1">
      <c r="B362" s="249" t="n">
        <v>45576</v>
      </c>
      <c r="C362" s="15" t="n">
        <v>355</v>
      </c>
      <c r="D362" s="170" t="inlineStr">
        <is>
          <t>Revenue Project TIS (no 28 )</t>
        </is>
      </c>
      <c r="E362" s="227" t="n"/>
      <c r="F362" s="250" t="n">
        <v>819200000</v>
      </c>
      <c r="G362" s="15" t="inlineStr">
        <is>
          <t>IDR</t>
        </is>
      </c>
      <c r="H362" s="251" t="n">
        <v>1</v>
      </c>
      <c r="I362" s="15" t="inlineStr">
        <is>
          <t>INV028</t>
        </is>
      </c>
      <c r="J362" s="18" t="inlineStr">
        <is>
          <t>Barikin Sakti</t>
        </is>
      </c>
      <c r="K362" s="249" t="n">
        <v>45579</v>
      </c>
      <c r="L362" s="252" t="n">
        <v>892928000</v>
      </c>
      <c r="M362" s="253" t="n">
        <v>90112000</v>
      </c>
      <c r="N362" s="253" t="n">
        <v>16384000</v>
      </c>
      <c r="O362" s="252" t="n">
        <v>0</v>
      </c>
      <c r="P362" s="18" t="inlineStr"/>
    </row>
    <row r="363" ht="15.5" customHeight="1">
      <c r="B363" s="249" t="n">
        <v>45576</v>
      </c>
      <c r="C363" s="15" t="n">
        <v>356</v>
      </c>
      <c r="D363" s="170" t="inlineStr">
        <is>
          <t>Revenue Project TIS (no 28 )</t>
        </is>
      </c>
      <c r="E363" s="227" t="n"/>
      <c r="F363" s="250" t="n">
        <v>819200000</v>
      </c>
      <c r="G363" s="15" t="inlineStr">
        <is>
          <t>IDR</t>
        </is>
      </c>
      <c r="H363" s="251" t="n">
        <v>1</v>
      </c>
      <c r="I363" s="15" t="inlineStr">
        <is>
          <t>INV028</t>
        </is>
      </c>
      <c r="J363" s="18" t="inlineStr">
        <is>
          <t>Barikin Sakti</t>
        </is>
      </c>
      <c r="K363" s="249" t="n">
        <v>45579</v>
      </c>
      <c r="L363" s="252" t="n">
        <v>892928000</v>
      </c>
      <c r="M363" s="253" t="n">
        <v>90112000</v>
      </c>
      <c r="N363" s="253" t="n">
        <v>16384000</v>
      </c>
      <c r="O363" s="252" t="n">
        <v>0</v>
      </c>
      <c r="P363" s="18" t="inlineStr"/>
    </row>
    <row r="364" ht="15.5" customHeight="1">
      <c r="B364" s="249" t="n">
        <v>45576</v>
      </c>
      <c r="C364" s="15" t="n">
        <v>357</v>
      </c>
      <c r="D364" s="170" t="inlineStr">
        <is>
          <t>Revenue Project TIS (no 28 )</t>
        </is>
      </c>
      <c r="E364" s="227" t="n"/>
      <c r="F364" s="250" t="n">
        <v>819200000</v>
      </c>
      <c r="G364" s="15" t="inlineStr">
        <is>
          <t>IDR</t>
        </is>
      </c>
      <c r="H364" s="251" t="n">
        <v>1</v>
      </c>
      <c r="I364" s="15" t="inlineStr">
        <is>
          <t>INV028</t>
        </is>
      </c>
      <c r="J364" s="18" t="inlineStr">
        <is>
          <t>Barikin Sakti</t>
        </is>
      </c>
      <c r="K364" s="249" t="n">
        <v>45579</v>
      </c>
      <c r="L364" s="252" t="n">
        <v>892928000</v>
      </c>
      <c r="M364" s="253" t="n">
        <v>90112000</v>
      </c>
      <c r="N364" s="253" t="n">
        <v>16384000</v>
      </c>
      <c r="O364" s="252" t="n">
        <v>0</v>
      </c>
      <c r="P364" s="18" t="inlineStr"/>
    </row>
    <row r="365" ht="15.5" customHeight="1">
      <c r="B365" s="249" t="n">
        <v>45576</v>
      </c>
      <c r="C365" s="15" t="n">
        <v>358</v>
      </c>
      <c r="D365" s="170" t="inlineStr">
        <is>
          <t>Revenue Project TIS (no 28 )</t>
        </is>
      </c>
      <c r="E365" s="227" t="n"/>
      <c r="F365" s="250" t="n">
        <v>819200000</v>
      </c>
      <c r="G365" s="15" t="inlineStr">
        <is>
          <t>IDR</t>
        </is>
      </c>
      <c r="H365" s="251" t="n">
        <v>1</v>
      </c>
      <c r="I365" s="15" t="inlineStr">
        <is>
          <t>INV028</t>
        </is>
      </c>
      <c r="J365" s="18" t="inlineStr">
        <is>
          <t>Barikin Sakti</t>
        </is>
      </c>
      <c r="K365" s="249" t="n">
        <v>45579</v>
      </c>
      <c r="L365" s="252" t="n">
        <v>892928000</v>
      </c>
      <c r="M365" s="253" t="n">
        <v>90112000</v>
      </c>
      <c r="N365" s="253" t="n">
        <v>16384000</v>
      </c>
      <c r="O365" s="252" t="n">
        <v>0</v>
      </c>
      <c r="P365" s="18" t="inlineStr"/>
    </row>
    <row r="366" ht="15.5" customHeight="1">
      <c r="B366" s="249" t="n">
        <v>45576</v>
      </c>
      <c r="C366" s="15" t="n">
        <v>359</v>
      </c>
      <c r="D366" s="170" t="inlineStr">
        <is>
          <t>Revenue Project TIS (no 28 )</t>
        </is>
      </c>
      <c r="E366" s="227" t="n"/>
      <c r="F366" s="250" t="n">
        <v>819200000</v>
      </c>
      <c r="G366" s="15" t="inlineStr">
        <is>
          <t>IDR</t>
        </is>
      </c>
      <c r="H366" s="251" t="n">
        <v>1</v>
      </c>
      <c r="I366" s="15" t="inlineStr">
        <is>
          <t>INV028</t>
        </is>
      </c>
      <c r="J366" s="18" t="inlineStr">
        <is>
          <t>Barikin Sakti</t>
        </is>
      </c>
      <c r="K366" s="249" t="n">
        <v>45579</v>
      </c>
      <c r="L366" s="252" t="n">
        <v>892928000</v>
      </c>
      <c r="M366" s="253" t="n">
        <v>90112000</v>
      </c>
      <c r="N366" s="253" t="n">
        <v>16384000</v>
      </c>
      <c r="O366" s="252" t="n">
        <v>0</v>
      </c>
      <c r="P366" s="18" t="inlineStr"/>
    </row>
    <row r="367" ht="15.5" customHeight="1">
      <c r="B367" s="249" t="n">
        <v>45576</v>
      </c>
      <c r="C367" s="15" t="n">
        <v>360</v>
      </c>
      <c r="D367" s="170" t="inlineStr">
        <is>
          <t>Revenue Project TIS (no 28 )</t>
        </is>
      </c>
      <c r="E367" s="227" t="n"/>
      <c r="F367" s="250" t="n">
        <v>819200000</v>
      </c>
      <c r="G367" s="15" t="inlineStr">
        <is>
          <t>IDR</t>
        </is>
      </c>
      <c r="H367" s="251" t="n">
        <v>1</v>
      </c>
      <c r="I367" s="15" t="inlineStr">
        <is>
          <t>INV028</t>
        </is>
      </c>
      <c r="J367" s="18" t="inlineStr">
        <is>
          <t>Barikin Sakti</t>
        </is>
      </c>
      <c r="K367" s="249" t="n">
        <v>45579</v>
      </c>
      <c r="L367" s="252" t="n">
        <v>892928000</v>
      </c>
      <c r="M367" s="253" t="n">
        <v>90112000</v>
      </c>
      <c r="N367" s="253" t="n">
        <v>16384000</v>
      </c>
      <c r="O367" s="252" t="n">
        <v>0</v>
      </c>
      <c r="P367" s="18" t="inlineStr"/>
    </row>
    <row r="368" ht="15.5" customHeight="1">
      <c r="B368" s="249" t="n">
        <v>45576</v>
      </c>
      <c r="C368" s="15" t="n">
        <v>361</v>
      </c>
      <c r="D368" s="170" t="inlineStr">
        <is>
          <t>Revenue Project TIS (no 28 )</t>
        </is>
      </c>
      <c r="E368" s="227" t="n"/>
      <c r="F368" s="250" t="n">
        <v>819200000</v>
      </c>
      <c r="G368" s="15" t="inlineStr">
        <is>
          <t>IDR</t>
        </is>
      </c>
      <c r="H368" s="251" t="n">
        <v>1</v>
      </c>
      <c r="I368" s="15" t="inlineStr">
        <is>
          <t>INV028</t>
        </is>
      </c>
      <c r="J368" s="18" t="inlineStr">
        <is>
          <t>Barikin Sakti</t>
        </is>
      </c>
      <c r="K368" s="249" t="n">
        <v>45579</v>
      </c>
      <c r="L368" s="252" t="n">
        <v>892928000</v>
      </c>
      <c r="M368" s="253" t="n">
        <v>90112000</v>
      </c>
      <c r="N368" s="253" t="n">
        <v>16384000</v>
      </c>
      <c r="O368" s="252" t="n">
        <v>0</v>
      </c>
      <c r="P368" s="18" t="inlineStr"/>
    </row>
    <row r="369" ht="15.5" customHeight="1">
      <c r="B369" s="249" t="n">
        <v>45576</v>
      </c>
      <c r="C369" s="15" t="n">
        <v>362</v>
      </c>
      <c r="D369" s="170" t="inlineStr">
        <is>
          <t>Revenue Project TIS (no 28 )</t>
        </is>
      </c>
      <c r="E369" s="227" t="n"/>
      <c r="F369" s="250" t="n">
        <v>819200000</v>
      </c>
      <c r="G369" s="15" t="inlineStr">
        <is>
          <t>IDR</t>
        </is>
      </c>
      <c r="H369" s="251" t="n">
        <v>1</v>
      </c>
      <c r="I369" s="15" t="inlineStr">
        <is>
          <t>INV028</t>
        </is>
      </c>
      <c r="J369" s="18" t="inlineStr">
        <is>
          <t>Barikin Sakti</t>
        </is>
      </c>
      <c r="K369" s="249" t="n">
        <v>45579</v>
      </c>
      <c r="L369" s="252" t="n">
        <v>892928000</v>
      </c>
      <c r="M369" s="253" t="n">
        <v>90112000</v>
      </c>
      <c r="N369" s="253" t="n">
        <v>16384000</v>
      </c>
      <c r="O369" s="252" t="n">
        <v>0</v>
      </c>
      <c r="P369" s="18" t="inlineStr"/>
    </row>
    <row r="370" ht="15.5" customHeight="1">
      <c r="B370" s="249" t="n">
        <v>45576</v>
      </c>
      <c r="C370" s="15" t="n">
        <v>363</v>
      </c>
      <c r="D370" s="170" t="inlineStr">
        <is>
          <t>Revenue Project TIS (no 28 )</t>
        </is>
      </c>
      <c r="E370" s="227" t="n"/>
      <c r="F370" s="250" t="n">
        <v>819200000</v>
      </c>
      <c r="G370" s="15" t="inlineStr">
        <is>
          <t>IDR</t>
        </is>
      </c>
      <c r="H370" s="251" t="n">
        <v>1</v>
      </c>
      <c r="I370" s="15" t="inlineStr">
        <is>
          <t>INV028</t>
        </is>
      </c>
      <c r="J370" s="18" t="inlineStr">
        <is>
          <t>Barikin Sakti</t>
        </is>
      </c>
      <c r="K370" s="249" t="n">
        <v>45579</v>
      </c>
      <c r="L370" s="252" t="n">
        <v>892928000</v>
      </c>
      <c r="M370" s="253" t="n">
        <v>90112000</v>
      </c>
      <c r="N370" s="253" t="n">
        <v>16384000</v>
      </c>
      <c r="O370" s="252" t="n">
        <v>0</v>
      </c>
      <c r="P370" s="18" t="inlineStr"/>
    </row>
    <row r="371" ht="15.5" customHeight="1">
      <c r="B371" s="249" t="n">
        <v>45576</v>
      </c>
      <c r="C371" s="15" t="n">
        <v>364</v>
      </c>
      <c r="D371" s="170" t="inlineStr">
        <is>
          <t>Revenue Project TIS (no 28 )</t>
        </is>
      </c>
      <c r="E371" s="227" t="n"/>
      <c r="F371" s="250" t="n">
        <v>819200000</v>
      </c>
      <c r="G371" s="15" t="inlineStr">
        <is>
          <t>IDR</t>
        </is>
      </c>
      <c r="H371" s="251" t="n">
        <v>1</v>
      </c>
      <c r="I371" s="15" t="inlineStr">
        <is>
          <t>INV028</t>
        </is>
      </c>
      <c r="J371" s="18" t="inlineStr">
        <is>
          <t>Barikin Sakti</t>
        </is>
      </c>
      <c r="K371" s="249" t="n">
        <v>45579</v>
      </c>
      <c r="L371" s="252" t="n">
        <v>892928000</v>
      </c>
      <c r="M371" s="253" t="n">
        <v>90112000</v>
      </c>
      <c r="N371" s="253" t="n">
        <v>16384000</v>
      </c>
      <c r="O371" s="252" t="n">
        <v>0</v>
      </c>
      <c r="P371" s="18" t="inlineStr"/>
    </row>
    <row r="372" ht="15.5" customHeight="1">
      <c r="B372" s="249" t="n">
        <v>45576</v>
      </c>
      <c r="C372" s="15" t="n">
        <v>365</v>
      </c>
      <c r="D372" s="170" t="inlineStr">
        <is>
          <t>Revenue Project TIS (no 28 )</t>
        </is>
      </c>
      <c r="E372" s="227" t="n"/>
      <c r="F372" s="250" t="n">
        <v>819200000</v>
      </c>
      <c r="G372" s="15" t="inlineStr">
        <is>
          <t>IDR</t>
        </is>
      </c>
      <c r="H372" s="251" t="n">
        <v>1</v>
      </c>
      <c r="I372" s="15" t="inlineStr">
        <is>
          <t>INV028</t>
        </is>
      </c>
      <c r="J372" s="18" t="inlineStr">
        <is>
          <t>Barikin Sakti</t>
        </is>
      </c>
      <c r="K372" s="249" t="n">
        <v>45579</v>
      </c>
      <c r="L372" s="252" t="n">
        <v>892928000</v>
      </c>
      <c r="M372" s="253" t="n">
        <v>90112000</v>
      </c>
      <c r="N372" s="253" t="n">
        <v>16384000</v>
      </c>
      <c r="O372" s="252" t="n">
        <v>0</v>
      </c>
      <c r="P372" s="18" t="inlineStr"/>
    </row>
    <row r="373" ht="15.5" customHeight="1">
      <c r="B373" s="249" t="n">
        <v>45576</v>
      </c>
      <c r="C373" s="15" t="n">
        <v>366</v>
      </c>
      <c r="D373" s="170" t="inlineStr">
        <is>
          <t>Revenue Project TIS (no 28 )</t>
        </is>
      </c>
      <c r="E373" s="227" t="n"/>
      <c r="F373" s="250" t="n">
        <v>819200000</v>
      </c>
      <c r="G373" s="15" t="inlineStr">
        <is>
          <t>IDR</t>
        </is>
      </c>
      <c r="H373" s="251" t="n">
        <v>1</v>
      </c>
      <c r="I373" s="15" t="inlineStr">
        <is>
          <t>INV028</t>
        </is>
      </c>
      <c r="J373" s="18" t="inlineStr">
        <is>
          <t>Barikin Sakti</t>
        </is>
      </c>
      <c r="K373" s="249" t="n">
        <v>45579</v>
      </c>
      <c r="L373" s="252" t="n">
        <v>892928000</v>
      </c>
      <c r="M373" s="253" t="n">
        <v>90112000</v>
      </c>
      <c r="N373" s="253" t="n">
        <v>16384000</v>
      </c>
      <c r="O373" s="252" t="n">
        <v>0</v>
      </c>
      <c r="P373" s="18" t="inlineStr"/>
    </row>
    <row r="374" ht="15.5" customHeight="1">
      <c r="B374" s="249" t="n">
        <v>45576</v>
      </c>
      <c r="C374" s="15" t="n">
        <v>367</v>
      </c>
      <c r="D374" s="170" t="inlineStr">
        <is>
          <t>Revenue Project TIS (no 28 )</t>
        </is>
      </c>
      <c r="E374" s="227" t="n"/>
      <c r="F374" s="250" t="n">
        <v>819200000</v>
      </c>
      <c r="G374" s="15" t="inlineStr">
        <is>
          <t>IDR</t>
        </is>
      </c>
      <c r="H374" s="251" t="n">
        <v>1</v>
      </c>
      <c r="I374" s="15" t="inlineStr">
        <is>
          <t>INV028</t>
        </is>
      </c>
      <c r="J374" s="18" t="inlineStr">
        <is>
          <t>Barikin Sakti</t>
        </is>
      </c>
      <c r="K374" s="249" t="n">
        <v>45579</v>
      </c>
      <c r="L374" s="252" t="n">
        <v>892928000</v>
      </c>
      <c r="M374" s="253" t="n">
        <v>90112000</v>
      </c>
      <c r="N374" s="253" t="n">
        <v>16384000</v>
      </c>
      <c r="O374" s="252" t="n">
        <v>0</v>
      </c>
      <c r="P374" s="18" t="inlineStr"/>
    </row>
    <row r="375" ht="15.5" customHeight="1">
      <c r="B375" s="249" t="n">
        <v>45576</v>
      </c>
      <c r="C375" s="15" t="n">
        <v>368</v>
      </c>
      <c r="D375" s="170" t="inlineStr">
        <is>
          <t>Revenue Project TIS (no 28 )</t>
        </is>
      </c>
      <c r="E375" s="227" t="n"/>
      <c r="F375" s="250" t="n">
        <v>819200000</v>
      </c>
      <c r="G375" s="15" t="inlineStr">
        <is>
          <t>IDR</t>
        </is>
      </c>
      <c r="H375" s="251" t="n">
        <v>1</v>
      </c>
      <c r="I375" s="15" t="inlineStr">
        <is>
          <t>INV028</t>
        </is>
      </c>
      <c r="J375" s="18" t="inlineStr">
        <is>
          <t>Barikin Sakti</t>
        </is>
      </c>
      <c r="K375" s="249" t="n">
        <v>45579</v>
      </c>
      <c r="L375" s="252" t="n">
        <v>892928000</v>
      </c>
      <c r="M375" s="253" t="n">
        <v>90112000</v>
      </c>
      <c r="N375" s="253" t="n">
        <v>16384000</v>
      </c>
      <c r="O375" s="252" t="n">
        <v>0</v>
      </c>
      <c r="P375" s="18" t="inlineStr"/>
    </row>
    <row r="376" ht="15.5" customHeight="1">
      <c r="B376" s="249" t="n">
        <v>45576</v>
      </c>
      <c r="C376" s="15" t="n">
        <v>369</v>
      </c>
      <c r="D376" s="170" t="inlineStr">
        <is>
          <t>Revenue Project TIS (no 28 )</t>
        </is>
      </c>
      <c r="E376" s="227" t="n"/>
      <c r="F376" s="250" t="n">
        <v>819200000</v>
      </c>
      <c r="G376" s="15" t="inlineStr">
        <is>
          <t>IDR</t>
        </is>
      </c>
      <c r="H376" s="251" t="n">
        <v>1</v>
      </c>
      <c r="I376" s="15" t="inlineStr">
        <is>
          <t>INV028</t>
        </is>
      </c>
      <c r="J376" s="18" t="inlineStr">
        <is>
          <t>Barikin Sakti</t>
        </is>
      </c>
      <c r="K376" s="249" t="n">
        <v>45579</v>
      </c>
      <c r="L376" s="252" t="n">
        <v>892928000</v>
      </c>
      <c r="M376" s="253" t="n">
        <v>90112000</v>
      </c>
      <c r="N376" s="253" t="n">
        <v>16384000</v>
      </c>
      <c r="O376" s="252" t="n">
        <v>0</v>
      </c>
      <c r="P376" s="18" t="inlineStr"/>
    </row>
    <row r="377" ht="15.5" customHeight="1">
      <c r="B377" s="249" t="n">
        <v>45572</v>
      </c>
      <c r="C377" s="15" t="n">
        <v>370</v>
      </c>
      <c r="D377" s="170" t="inlineStr">
        <is>
          <t>ALFA Service JRK-095 Pertamina Zona#4</t>
        </is>
      </c>
      <c r="E377" s="227" t="n"/>
      <c r="F377" s="250" t="n">
        <v>354210000</v>
      </c>
      <c r="G377" s="15" t="inlineStr">
        <is>
          <t>IDR</t>
        </is>
      </c>
      <c r="H377" s="251" t="n">
        <v>1</v>
      </c>
      <c r="I377" s="15" t="inlineStr">
        <is>
          <t>INV027</t>
        </is>
      </c>
      <c r="J377" s="18" t="inlineStr">
        <is>
          <t>SI Jak</t>
        </is>
      </c>
      <c r="K377" s="249" t="n">
        <v>45607</v>
      </c>
      <c r="L377" s="252" t="n">
        <v>347125800</v>
      </c>
      <c r="M377" s="253" t="n">
        <v>38963100</v>
      </c>
      <c r="N377" s="253" t="n">
        <v>7084200</v>
      </c>
      <c r="O377" s="252" t="n">
        <v>0</v>
      </c>
      <c r="P377" s="18" t="inlineStr">
        <is>
          <t>Pemungut</t>
        </is>
      </c>
    </row>
    <row r="378" ht="15.5" customHeight="1">
      <c r="B378" s="249" t="n">
        <v>45572</v>
      </c>
      <c r="C378" s="15" t="n">
        <v>371</v>
      </c>
      <c r="D378" s="170" t="inlineStr">
        <is>
          <t>ALFA Service JRK-095 Pertamina Zona#4</t>
        </is>
      </c>
      <c r="E378" s="227" t="n"/>
      <c r="F378" s="250" t="n">
        <v>354210000</v>
      </c>
      <c r="G378" s="15" t="inlineStr">
        <is>
          <t>IDR</t>
        </is>
      </c>
      <c r="H378" s="251" t="n">
        <v>1</v>
      </c>
      <c r="I378" s="15" t="inlineStr">
        <is>
          <t>INV027</t>
        </is>
      </c>
      <c r="J378" s="18" t="inlineStr">
        <is>
          <t>SI Jak</t>
        </is>
      </c>
      <c r="K378" s="249" t="n">
        <v>45607</v>
      </c>
      <c r="L378" s="252" t="n">
        <v>347125800</v>
      </c>
      <c r="M378" s="253" t="n">
        <v>38963100</v>
      </c>
      <c r="N378" s="253" t="n">
        <v>7084200</v>
      </c>
      <c r="O378" s="252" t="n">
        <v>0</v>
      </c>
      <c r="P378" s="18" t="inlineStr">
        <is>
          <t>Pemungut</t>
        </is>
      </c>
    </row>
    <row r="379" ht="15.5" customHeight="1">
      <c r="B379" s="249" t="n">
        <v>45572</v>
      </c>
      <c r="C379" s="15" t="n">
        <v>372</v>
      </c>
      <c r="D379" s="170" t="inlineStr">
        <is>
          <t>ALFA Service JRK-095 Pertamina Zona#4</t>
        </is>
      </c>
      <c r="E379" s="227" t="n"/>
      <c r="F379" s="250" t="n">
        <v>354210000</v>
      </c>
      <c r="G379" s="15" t="inlineStr">
        <is>
          <t>IDR</t>
        </is>
      </c>
      <c r="H379" s="251" t="n">
        <v>1</v>
      </c>
      <c r="I379" s="15" t="inlineStr">
        <is>
          <t>INV027</t>
        </is>
      </c>
      <c r="J379" s="18" t="inlineStr">
        <is>
          <t>SI Jak</t>
        </is>
      </c>
      <c r="K379" s="249" t="n">
        <v>45607</v>
      </c>
      <c r="L379" s="252" t="n">
        <v>347125800</v>
      </c>
      <c r="M379" s="253" t="n">
        <v>38963100</v>
      </c>
      <c r="N379" s="253" t="n">
        <v>7084200</v>
      </c>
      <c r="O379" s="252" t="n">
        <v>0</v>
      </c>
      <c r="P379" s="18" t="inlineStr">
        <is>
          <t>Pemungut</t>
        </is>
      </c>
    </row>
    <row r="380" ht="15.5" customHeight="1">
      <c r="B380" s="249" t="n">
        <v>45572</v>
      </c>
      <c r="C380" s="15" t="n">
        <v>373</v>
      </c>
      <c r="D380" s="170" t="inlineStr">
        <is>
          <t>ALFA Service JRK-095 Pertamina Zona#4</t>
        </is>
      </c>
      <c r="E380" s="227" t="n"/>
      <c r="F380" s="250" t="n">
        <v>354210000</v>
      </c>
      <c r="G380" s="15" t="inlineStr">
        <is>
          <t>IDR</t>
        </is>
      </c>
      <c r="H380" s="251" t="n">
        <v>1</v>
      </c>
      <c r="I380" s="15" t="inlineStr">
        <is>
          <t>INV027</t>
        </is>
      </c>
      <c r="J380" s="18" t="inlineStr">
        <is>
          <t>SI Jak</t>
        </is>
      </c>
      <c r="K380" s="249" t="n">
        <v>45607</v>
      </c>
      <c r="L380" s="252" t="n">
        <v>347125800</v>
      </c>
      <c r="M380" s="253" t="n">
        <v>38963100</v>
      </c>
      <c r="N380" s="253" t="n">
        <v>7084200</v>
      </c>
      <c r="O380" s="252" t="n">
        <v>0</v>
      </c>
      <c r="P380" s="18" t="inlineStr">
        <is>
          <t>Pemungut</t>
        </is>
      </c>
    </row>
    <row r="381" ht="15.5" customFormat="1" customHeight="1" s="122">
      <c r="B381" s="249" t="n">
        <v>45572</v>
      </c>
      <c r="C381" s="15" t="n">
        <v>374</v>
      </c>
      <c r="D381" s="170" t="inlineStr">
        <is>
          <t>ALFA Service JRK-095 Pertamina Zona#4</t>
        </is>
      </c>
      <c r="E381" s="227" t="n"/>
      <c r="F381" s="250" t="n">
        <v>354210000</v>
      </c>
      <c r="G381" s="15" t="inlineStr">
        <is>
          <t>IDR</t>
        </is>
      </c>
      <c r="H381" s="251" t="n">
        <v>1</v>
      </c>
      <c r="I381" s="15" t="inlineStr">
        <is>
          <t>INV027</t>
        </is>
      </c>
      <c r="J381" s="18" t="inlineStr">
        <is>
          <t>SI Jak</t>
        </is>
      </c>
      <c r="K381" s="249" t="n">
        <v>45607</v>
      </c>
      <c r="L381" s="252" t="n">
        <v>347125800</v>
      </c>
      <c r="M381" s="253" t="n">
        <v>38963100</v>
      </c>
      <c r="N381" s="253" t="n">
        <v>7084200</v>
      </c>
      <c r="O381" s="252" t="n">
        <v>0</v>
      </c>
      <c r="P381" s="18" t="inlineStr">
        <is>
          <t>Pemungut</t>
        </is>
      </c>
    </row>
    <row r="382" ht="15.5" customHeight="1">
      <c r="B382" s="249" t="n">
        <v>45572</v>
      </c>
      <c r="C382" s="15" t="n">
        <v>375</v>
      </c>
      <c r="D382" s="170" t="inlineStr">
        <is>
          <t>ALFA Service JRK-095 Pertamina Zona#4</t>
        </is>
      </c>
      <c r="E382" s="227" t="n"/>
      <c r="F382" s="250" t="n">
        <v>354210000</v>
      </c>
      <c r="G382" s="15" t="inlineStr">
        <is>
          <t>IDR</t>
        </is>
      </c>
      <c r="H382" s="251" t="n">
        <v>1</v>
      </c>
      <c r="I382" s="15" t="inlineStr">
        <is>
          <t>INV027</t>
        </is>
      </c>
      <c r="J382" s="18" t="inlineStr">
        <is>
          <t>SI Jak</t>
        </is>
      </c>
      <c r="K382" s="249" t="n">
        <v>45607</v>
      </c>
      <c r="L382" s="252" t="n">
        <v>347125800</v>
      </c>
      <c r="M382" s="253" t="n">
        <v>38963100</v>
      </c>
      <c r="N382" s="253" t="n">
        <v>7084200</v>
      </c>
      <c r="O382" s="252" t="n">
        <v>0</v>
      </c>
      <c r="P382" s="18" t="inlineStr">
        <is>
          <t>Pemungut</t>
        </is>
      </c>
    </row>
    <row r="383" ht="15.5" customHeight="1">
      <c r="B383" s="249" t="n">
        <v>45572</v>
      </c>
      <c r="C383" s="15" t="n">
        <v>376</v>
      </c>
      <c r="D383" s="170" t="inlineStr">
        <is>
          <t>ALFA Service JRK-095 Pertamina Zona#4</t>
        </is>
      </c>
      <c r="E383" s="227" t="n"/>
      <c r="F383" s="250" t="n">
        <v>354210000</v>
      </c>
      <c r="G383" s="15" t="inlineStr">
        <is>
          <t>IDR</t>
        </is>
      </c>
      <c r="H383" s="251" t="n">
        <v>1</v>
      </c>
      <c r="I383" s="15" t="inlineStr">
        <is>
          <t>INV027</t>
        </is>
      </c>
      <c r="J383" s="18" t="inlineStr">
        <is>
          <t>SI Jak</t>
        </is>
      </c>
      <c r="K383" s="249" t="n">
        <v>45607</v>
      </c>
      <c r="L383" s="252" t="n">
        <v>347125800</v>
      </c>
      <c r="M383" s="253" t="n">
        <v>38963100</v>
      </c>
      <c r="N383" s="253" t="n">
        <v>7084200</v>
      </c>
      <c r="O383" s="252" t="n">
        <v>0</v>
      </c>
      <c r="P383" s="18" t="inlineStr">
        <is>
          <t>Pemungut</t>
        </is>
      </c>
    </row>
    <row r="384" ht="15.5" customHeight="1">
      <c r="B384" s="249" t="n">
        <v>45572</v>
      </c>
      <c r="C384" s="15" t="n">
        <v>377</v>
      </c>
      <c r="D384" s="170" t="inlineStr">
        <is>
          <t>ALFA Service JRK-095 Pertamina Zona#4</t>
        </is>
      </c>
      <c r="E384" s="227" t="n"/>
      <c r="F384" s="250" t="n">
        <v>354210000</v>
      </c>
      <c r="G384" s="15" t="inlineStr">
        <is>
          <t>IDR</t>
        </is>
      </c>
      <c r="H384" s="251" t="n">
        <v>1</v>
      </c>
      <c r="I384" s="15" t="inlineStr">
        <is>
          <t>INV027</t>
        </is>
      </c>
      <c r="J384" s="18" t="inlineStr">
        <is>
          <t>SI Jak</t>
        </is>
      </c>
      <c r="K384" s="249" t="n">
        <v>45607</v>
      </c>
      <c r="L384" s="252" t="n">
        <v>347125800</v>
      </c>
      <c r="M384" s="253" t="n">
        <v>38963100</v>
      </c>
      <c r="N384" s="253" t="n">
        <v>7084200</v>
      </c>
      <c r="O384" s="252" t="n">
        <v>0</v>
      </c>
      <c r="P384" s="18" t="inlineStr">
        <is>
          <t>Pemungut</t>
        </is>
      </c>
    </row>
    <row r="385" ht="15.5" customHeight="1">
      <c r="B385" s="249" t="n">
        <v>45572</v>
      </c>
      <c r="C385" s="15" t="n">
        <v>378</v>
      </c>
      <c r="D385" s="170" t="inlineStr">
        <is>
          <t>ALFA Service JRK-095 Pertamina Zona#4</t>
        </is>
      </c>
      <c r="E385" s="227" t="n"/>
      <c r="F385" s="250" t="n">
        <v>354210000</v>
      </c>
      <c r="G385" s="15" t="inlineStr">
        <is>
          <t>IDR</t>
        </is>
      </c>
      <c r="H385" s="251" t="n">
        <v>1</v>
      </c>
      <c r="I385" s="15" t="inlineStr">
        <is>
          <t>INV027</t>
        </is>
      </c>
      <c r="J385" s="18" t="inlineStr">
        <is>
          <t>SI Jak</t>
        </is>
      </c>
      <c r="K385" s="249" t="n">
        <v>45607</v>
      </c>
      <c r="L385" s="252" t="n">
        <v>347125800</v>
      </c>
      <c r="M385" s="253" t="n">
        <v>38963100</v>
      </c>
      <c r="N385" s="253" t="n">
        <v>7084200</v>
      </c>
      <c r="O385" s="252" t="n">
        <v>0</v>
      </c>
      <c r="P385" s="18" t="inlineStr">
        <is>
          <t>Pemungut</t>
        </is>
      </c>
    </row>
    <row r="386" ht="15.5" customHeight="1">
      <c r="B386" s="249" t="n">
        <v>45572</v>
      </c>
      <c r="C386" s="15" t="n">
        <v>379</v>
      </c>
      <c r="D386" s="170" t="inlineStr">
        <is>
          <t>ALFA Service JRK-095 Pertamina Zona#4</t>
        </is>
      </c>
      <c r="E386" s="227" t="n"/>
      <c r="F386" s="250" t="n">
        <v>354210000</v>
      </c>
      <c r="G386" s="15" t="inlineStr">
        <is>
          <t>IDR</t>
        </is>
      </c>
      <c r="H386" s="251" t="n">
        <v>1</v>
      </c>
      <c r="I386" s="15" t="inlineStr">
        <is>
          <t>INV027</t>
        </is>
      </c>
      <c r="J386" s="18" t="inlineStr">
        <is>
          <t>SI Jak</t>
        </is>
      </c>
      <c r="K386" s="249" t="n">
        <v>45607</v>
      </c>
      <c r="L386" s="252" t="n">
        <v>347125800</v>
      </c>
      <c r="M386" s="253" t="n">
        <v>38963100</v>
      </c>
      <c r="N386" s="253" t="n">
        <v>7084200</v>
      </c>
      <c r="O386" s="252" t="n">
        <v>0</v>
      </c>
      <c r="P386" s="18" t="inlineStr">
        <is>
          <t>Pemungut</t>
        </is>
      </c>
    </row>
    <row r="387" ht="15.5" customHeight="1">
      <c r="B387" s="249" t="n">
        <v>45572</v>
      </c>
      <c r="C387" s="15" t="n">
        <v>380</v>
      </c>
      <c r="D387" s="170" t="inlineStr">
        <is>
          <t>ALFA Service JRK-095 Pertamina Zona#4</t>
        </is>
      </c>
      <c r="E387" s="227" t="n"/>
      <c r="F387" s="250" t="n">
        <v>354210000</v>
      </c>
      <c r="G387" s="15" t="inlineStr">
        <is>
          <t>IDR</t>
        </is>
      </c>
      <c r="H387" s="251" t="n">
        <v>1</v>
      </c>
      <c r="I387" s="15" t="inlineStr">
        <is>
          <t>INV027</t>
        </is>
      </c>
      <c r="J387" s="18" t="inlineStr">
        <is>
          <t>SI Jak</t>
        </is>
      </c>
      <c r="K387" s="249" t="n">
        <v>45607</v>
      </c>
      <c r="L387" s="252" t="n">
        <v>347125800</v>
      </c>
      <c r="M387" s="253" t="n">
        <v>38963100</v>
      </c>
      <c r="N387" s="253" t="n">
        <v>7084200</v>
      </c>
      <c r="O387" s="252" t="n">
        <v>0</v>
      </c>
      <c r="P387" s="18" t="inlineStr">
        <is>
          <t>Pemungut</t>
        </is>
      </c>
    </row>
    <row r="388" ht="15.5" customHeight="1">
      <c r="B388" s="249" t="n">
        <v>45572</v>
      </c>
      <c r="C388" s="15" t="n">
        <v>381</v>
      </c>
      <c r="D388" s="170" t="inlineStr">
        <is>
          <t>ALFA Service JRK-095 Pertamina Zona#4</t>
        </is>
      </c>
      <c r="E388" s="227" t="n"/>
      <c r="F388" s="250" t="n">
        <v>354210000</v>
      </c>
      <c r="G388" s="15" t="inlineStr">
        <is>
          <t>IDR</t>
        </is>
      </c>
      <c r="H388" s="251" t="n">
        <v>1</v>
      </c>
      <c r="I388" s="15" t="inlineStr">
        <is>
          <t>INV027</t>
        </is>
      </c>
      <c r="J388" s="18" t="inlineStr">
        <is>
          <t>SI Jak</t>
        </is>
      </c>
      <c r="K388" s="249" t="n">
        <v>45607</v>
      </c>
      <c r="L388" s="252" t="n">
        <v>347125800</v>
      </c>
      <c r="M388" s="253" t="n">
        <v>38963100</v>
      </c>
      <c r="N388" s="253" t="n">
        <v>7084200</v>
      </c>
      <c r="O388" s="252" t="n">
        <v>0</v>
      </c>
      <c r="P388" s="18" t="inlineStr">
        <is>
          <t>Pemungut</t>
        </is>
      </c>
    </row>
    <row r="389" ht="15.5" customHeight="1">
      <c r="B389" s="249" t="n">
        <v>45572</v>
      </c>
      <c r="C389" s="15" t="n">
        <v>382</v>
      </c>
      <c r="D389" s="170" t="inlineStr">
        <is>
          <t>ALFA Service JRK-095 Pertamina Zona#4</t>
        </is>
      </c>
      <c r="E389" s="227" t="n"/>
      <c r="F389" s="250" t="n">
        <v>354210000</v>
      </c>
      <c r="G389" s="15" t="inlineStr">
        <is>
          <t>IDR</t>
        </is>
      </c>
      <c r="H389" s="251" t="n">
        <v>1</v>
      </c>
      <c r="I389" s="15" t="inlineStr">
        <is>
          <t>INV027</t>
        </is>
      </c>
      <c r="J389" s="18" t="inlineStr">
        <is>
          <t>SI Jak</t>
        </is>
      </c>
      <c r="K389" s="249" t="n">
        <v>45607</v>
      </c>
      <c r="L389" s="252" t="n">
        <v>347125800</v>
      </c>
      <c r="M389" s="253" t="n">
        <v>38963100</v>
      </c>
      <c r="N389" s="253" t="n">
        <v>7084200</v>
      </c>
      <c r="O389" s="252" t="n">
        <v>0</v>
      </c>
      <c r="P389" s="18" t="inlineStr">
        <is>
          <t>Pemungut</t>
        </is>
      </c>
    </row>
    <row r="390" ht="15.5" customHeight="1">
      <c r="B390" s="249" t="n">
        <v>45572</v>
      </c>
      <c r="C390" s="15" t="n">
        <v>383</v>
      </c>
      <c r="D390" s="170" t="inlineStr">
        <is>
          <t>ALFA Service JRK-095 Pertamina Zona#4</t>
        </is>
      </c>
      <c r="E390" s="227" t="n"/>
      <c r="F390" s="250" t="n">
        <v>354210000</v>
      </c>
      <c r="G390" s="15" t="inlineStr">
        <is>
          <t>IDR</t>
        </is>
      </c>
      <c r="H390" s="251" t="n">
        <v>1</v>
      </c>
      <c r="I390" s="15" t="inlineStr">
        <is>
          <t>INV027</t>
        </is>
      </c>
      <c r="J390" s="18" t="inlineStr">
        <is>
          <t>SI Jak</t>
        </is>
      </c>
      <c r="K390" s="249" t="n">
        <v>45607</v>
      </c>
      <c r="L390" s="252" t="n">
        <v>347125800</v>
      </c>
      <c r="M390" s="253" t="n">
        <v>38963100</v>
      </c>
      <c r="N390" s="253" t="n">
        <v>7084200</v>
      </c>
      <c r="O390" s="252" t="n">
        <v>0</v>
      </c>
      <c r="P390" s="18" t="inlineStr">
        <is>
          <t>Pemungut</t>
        </is>
      </c>
    </row>
    <row r="391" ht="15.5" customHeight="1">
      <c r="B391" s="249" t="n">
        <v>45572</v>
      </c>
      <c r="C391" s="15" t="n">
        <v>384</v>
      </c>
      <c r="D391" s="170" t="inlineStr">
        <is>
          <t>ALFA Service JRK-095 Pertamina Zona#4</t>
        </is>
      </c>
      <c r="E391" s="227" t="n"/>
      <c r="F391" s="250" t="n">
        <v>354210000</v>
      </c>
      <c r="G391" s="15" t="inlineStr">
        <is>
          <t>IDR</t>
        </is>
      </c>
      <c r="H391" s="251" t="n">
        <v>1</v>
      </c>
      <c r="I391" s="15" t="inlineStr">
        <is>
          <t>INV027</t>
        </is>
      </c>
      <c r="J391" s="18" t="inlineStr">
        <is>
          <t>SI Jak</t>
        </is>
      </c>
      <c r="K391" s="249" t="n">
        <v>45607</v>
      </c>
      <c r="L391" s="252" t="n">
        <v>347125800</v>
      </c>
      <c r="M391" s="253" t="n">
        <v>38963100</v>
      </c>
      <c r="N391" s="253" t="n">
        <v>7084200</v>
      </c>
      <c r="O391" s="252" t="n">
        <v>0</v>
      </c>
      <c r="P391" s="18" t="inlineStr">
        <is>
          <t>Pemungut</t>
        </is>
      </c>
    </row>
    <row r="392" ht="15.5" customHeight="1">
      <c r="B392" s="249" t="n">
        <v>45572</v>
      </c>
      <c r="C392" s="15" t="n">
        <v>385</v>
      </c>
      <c r="D392" s="170" t="inlineStr">
        <is>
          <t>ALFA Service JRK-095 Pertamina Zona#4</t>
        </is>
      </c>
      <c r="E392" s="227" t="n"/>
      <c r="F392" s="250" t="n">
        <v>354210000</v>
      </c>
      <c r="G392" s="15" t="inlineStr">
        <is>
          <t>IDR</t>
        </is>
      </c>
      <c r="H392" s="251" t="n">
        <v>1</v>
      </c>
      <c r="I392" s="15" t="inlineStr">
        <is>
          <t>INV027</t>
        </is>
      </c>
      <c r="J392" s="18" t="inlineStr">
        <is>
          <t>SI Jak</t>
        </is>
      </c>
      <c r="K392" s="249" t="n">
        <v>45607</v>
      </c>
      <c r="L392" s="252" t="n">
        <v>347125800</v>
      </c>
      <c r="M392" s="253" t="n">
        <v>38963100</v>
      </c>
      <c r="N392" s="253" t="n">
        <v>7084200</v>
      </c>
      <c r="O392" s="252" t="n">
        <v>0</v>
      </c>
      <c r="P392" s="18" t="inlineStr">
        <is>
          <t>Pemungut</t>
        </is>
      </c>
    </row>
    <row r="393" ht="15.5" customHeight="1">
      <c r="B393" s="249" t="n">
        <v>45572</v>
      </c>
      <c r="C393" s="15" t="n">
        <v>386</v>
      </c>
      <c r="D393" s="170" t="inlineStr">
        <is>
          <t>ALFA Service JRK-095 Pertamina Zona#4</t>
        </is>
      </c>
      <c r="E393" s="227" t="n"/>
      <c r="F393" s="250" t="n">
        <v>354210000</v>
      </c>
      <c r="G393" s="15" t="inlineStr">
        <is>
          <t>IDR</t>
        </is>
      </c>
      <c r="H393" s="251" t="n">
        <v>1</v>
      </c>
      <c r="I393" s="15" t="inlineStr">
        <is>
          <t>INV027</t>
        </is>
      </c>
      <c r="J393" s="18" t="inlineStr">
        <is>
          <t>SI Jak</t>
        </is>
      </c>
      <c r="K393" s="249" t="n">
        <v>45607</v>
      </c>
      <c r="L393" s="252" t="n">
        <v>347125800</v>
      </c>
      <c r="M393" s="253" t="n">
        <v>38963100</v>
      </c>
      <c r="N393" s="253" t="n">
        <v>7084200</v>
      </c>
      <c r="O393" s="252" t="n">
        <v>0</v>
      </c>
      <c r="P393" s="18" t="inlineStr">
        <is>
          <t>Pemungut</t>
        </is>
      </c>
    </row>
    <row r="394" ht="15.5" customHeight="1">
      <c r="B394" s="249" t="n">
        <v>45572</v>
      </c>
      <c r="C394" s="15" t="n">
        <v>387</v>
      </c>
      <c r="D394" s="170" t="inlineStr">
        <is>
          <t>ALFA Service JRK-095 Pertamina Zona#4</t>
        </is>
      </c>
      <c r="E394" s="227" t="n"/>
      <c r="F394" s="250" t="n">
        <v>354210000</v>
      </c>
      <c r="G394" s="15" t="inlineStr">
        <is>
          <t>IDR</t>
        </is>
      </c>
      <c r="H394" s="251" t="n">
        <v>1</v>
      </c>
      <c r="I394" s="15" t="inlineStr">
        <is>
          <t>INV027</t>
        </is>
      </c>
      <c r="J394" s="18" t="inlineStr">
        <is>
          <t>SI Jak</t>
        </is>
      </c>
      <c r="K394" s="249" t="n">
        <v>45607</v>
      </c>
      <c r="L394" s="252" t="n">
        <v>347125800</v>
      </c>
      <c r="M394" s="253" t="n">
        <v>38963100</v>
      </c>
      <c r="N394" s="253" t="n">
        <v>7084200</v>
      </c>
      <c r="O394" s="252" t="n">
        <v>0</v>
      </c>
      <c r="P394" s="18" t="inlineStr">
        <is>
          <t>Pemungut</t>
        </is>
      </c>
    </row>
    <row r="395" ht="15.5" customHeight="1">
      <c r="B395" s="249" t="n">
        <v>45572</v>
      </c>
      <c r="C395" s="15" t="n">
        <v>388</v>
      </c>
      <c r="D395" s="170" t="inlineStr">
        <is>
          <t>ALFA Service JRK-095 Pertamina Zona#4</t>
        </is>
      </c>
      <c r="E395" s="227" t="n"/>
      <c r="F395" s="250" t="n">
        <v>354210000</v>
      </c>
      <c r="G395" s="15" t="inlineStr">
        <is>
          <t>IDR</t>
        </is>
      </c>
      <c r="H395" s="251" t="n">
        <v>1</v>
      </c>
      <c r="I395" s="15" t="inlineStr">
        <is>
          <t>INV027</t>
        </is>
      </c>
      <c r="J395" s="18" t="inlineStr">
        <is>
          <t>SI Jak</t>
        </is>
      </c>
      <c r="K395" s="249" t="n">
        <v>45607</v>
      </c>
      <c r="L395" s="252" t="n">
        <v>347125800</v>
      </c>
      <c r="M395" s="253" t="n">
        <v>38963100</v>
      </c>
      <c r="N395" s="253" t="n">
        <v>7084200</v>
      </c>
      <c r="O395" s="252" t="n">
        <v>0</v>
      </c>
      <c r="P395" s="18" t="inlineStr">
        <is>
          <t>Pemungut</t>
        </is>
      </c>
    </row>
    <row r="396" ht="15.5" customHeight="1">
      <c r="B396" s="249" t="n">
        <v>45572</v>
      </c>
      <c r="C396" s="15" t="n">
        <v>389</v>
      </c>
      <c r="D396" s="170" t="inlineStr">
        <is>
          <t>ALFA Service JRK-095 Pertamina Zona#4</t>
        </is>
      </c>
      <c r="E396" s="227" t="n"/>
      <c r="F396" s="250" t="n">
        <v>354210000</v>
      </c>
      <c r="G396" s="15" t="inlineStr">
        <is>
          <t>IDR</t>
        </is>
      </c>
      <c r="H396" s="251" t="n">
        <v>1</v>
      </c>
      <c r="I396" s="15" t="inlineStr">
        <is>
          <t>INV027</t>
        </is>
      </c>
      <c r="J396" s="18" t="inlineStr">
        <is>
          <t>SI Jak</t>
        </is>
      </c>
      <c r="K396" s="249" t="n">
        <v>45607</v>
      </c>
      <c r="L396" s="252" t="n">
        <v>347125800</v>
      </c>
      <c r="M396" s="253" t="n">
        <v>38963100</v>
      </c>
      <c r="N396" s="253" t="n">
        <v>7084200</v>
      </c>
      <c r="O396" s="252" t="n">
        <v>0</v>
      </c>
      <c r="P396" s="18" t="inlineStr">
        <is>
          <t>Pemungut</t>
        </is>
      </c>
    </row>
    <row r="397" ht="15.5" customHeight="1">
      <c r="B397" s="249" t="n">
        <v>45572</v>
      </c>
      <c r="C397" s="15" t="n">
        <v>390</v>
      </c>
      <c r="D397" s="170" t="inlineStr">
        <is>
          <t>ALFA Service JRK-095 Pertamina Zona#4</t>
        </is>
      </c>
      <c r="E397" s="227" t="n"/>
      <c r="F397" s="250" t="n">
        <v>354210000</v>
      </c>
      <c r="G397" s="15" t="inlineStr">
        <is>
          <t>IDR</t>
        </is>
      </c>
      <c r="H397" s="251" t="n">
        <v>1</v>
      </c>
      <c r="I397" s="15" t="inlineStr">
        <is>
          <t>INV027</t>
        </is>
      </c>
      <c r="J397" s="18" t="inlineStr">
        <is>
          <t>SI Jak</t>
        </is>
      </c>
      <c r="K397" s="249" t="n">
        <v>45607</v>
      </c>
      <c r="L397" s="252" t="n">
        <v>347125800</v>
      </c>
      <c r="M397" s="253" t="n">
        <v>38963100</v>
      </c>
      <c r="N397" s="253" t="n">
        <v>7084200</v>
      </c>
      <c r="O397" s="252" t="n">
        <v>0</v>
      </c>
      <c r="P397" s="18" t="inlineStr">
        <is>
          <t>Pemungut</t>
        </is>
      </c>
    </row>
    <row r="398" ht="15.5" customHeight="1">
      <c r="B398" s="249" t="n">
        <v>45572</v>
      </c>
      <c r="C398" s="15" t="n">
        <v>391</v>
      </c>
      <c r="D398" s="170" t="inlineStr">
        <is>
          <t>ALFA Service JRK-095 Pertamina Zona#4</t>
        </is>
      </c>
      <c r="E398" s="227" t="n"/>
      <c r="F398" s="250" t="n">
        <v>354210000</v>
      </c>
      <c r="G398" s="15" t="inlineStr">
        <is>
          <t>IDR</t>
        </is>
      </c>
      <c r="H398" s="251" t="n">
        <v>1</v>
      </c>
      <c r="I398" s="15" t="inlineStr">
        <is>
          <t>INV027</t>
        </is>
      </c>
      <c r="J398" s="18" t="inlineStr">
        <is>
          <t>SI Jak</t>
        </is>
      </c>
      <c r="K398" s="249" t="n">
        <v>45607</v>
      </c>
      <c r="L398" s="252" t="n">
        <v>347125800</v>
      </c>
      <c r="M398" s="253" t="n">
        <v>38963100</v>
      </c>
      <c r="N398" s="253" t="n">
        <v>7084200</v>
      </c>
      <c r="O398" s="252" t="n">
        <v>0</v>
      </c>
      <c r="P398" s="18" t="inlineStr">
        <is>
          <t>Pemungut</t>
        </is>
      </c>
    </row>
    <row r="399" ht="15.5" customHeight="1">
      <c r="B399" s="249" t="n">
        <v>45572</v>
      </c>
      <c r="C399" s="15" t="n">
        <v>392</v>
      </c>
      <c r="D399" s="170" t="inlineStr">
        <is>
          <t>ALFA Service JRK-095 Pertamina Zona#4</t>
        </is>
      </c>
      <c r="E399" s="227" t="n"/>
      <c r="F399" s="250" t="n">
        <v>354210000</v>
      </c>
      <c r="G399" s="15" t="inlineStr">
        <is>
          <t>IDR</t>
        </is>
      </c>
      <c r="H399" s="251" t="n">
        <v>1</v>
      </c>
      <c r="I399" s="15" t="inlineStr">
        <is>
          <t>INV027</t>
        </is>
      </c>
      <c r="J399" s="18" t="inlineStr">
        <is>
          <t>SI Jak</t>
        </is>
      </c>
      <c r="K399" s="249" t="n">
        <v>45607</v>
      </c>
      <c r="L399" s="252" t="n">
        <v>347125800</v>
      </c>
      <c r="M399" s="253" t="n">
        <v>38963100</v>
      </c>
      <c r="N399" s="253" t="n">
        <v>7084200</v>
      </c>
      <c r="O399" s="252" t="n">
        <v>0</v>
      </c>
      <c r="P399" s="18" t="inlineStr">
        <is>
          <t>Pemungut</t>
        </is>
      </c>
    </row>
    <row r="400" ht="15.5" customHeight="1">
      <c r="B400" s="249" t="n">
        <v>45572</v>
      </c>
      <c r="C400" s="15" t="n">
        <v>393</v>
      </c>
      <c r="D400" s="170" t="inlineStr">
        <is>
          <t>ALFA Service JRK-095 Pertamina Zona#4</t>
        </is>
      </c>
      <c r="E400" s="227" t="n"/>
      <c r="F400" s="250" t="n">
        <v>354210000</v>
      </c>
      <c r="G400" s="15" t="inlineStr">
        <is>
          <t>IDR</t>
        </is>
      </c>
      <c r="H400" s="251" t="n">
        <v>1</v>
      </c>
      <c r="I400" s="15" t="inlineStr">
        <is>
          <t>INV027</t>
        </is>
      </c>
      <c r="J400" s="18" t="inlineStr">
        <is>
          <t>SI Jak</t>
        </is>
      </c>
      <c r="K400" s="249" t="n">
        <v>45607</v>
      </c>
      <c r="L400" s="252" t="n">
        <v>347125800</v>
      </c>
      <c r="M400" s="253" t="n">
        <v>38963100</v>
      </c>
      <c r="N400" s="253" t="n">
        <v>7084200</v>
      </c>
      <c r="O400" s="252" t="n">
        <v>0</v>
      </c>
      <c r="P400" s="18" t="inlineStr">
        <is>
          <t>Pemungut</t>
        </is>
      </c>
    </row>
    <row r="401" ht="15.5" customHeight="1">
      <c r="B401" s="249" t="n">
        <v>45572</v>
      </c>
      <c r="C401" s="15" t="n">
        <v>394</v>
      </c>
      <c r="D401" s="170" t="inlineStr">
        <is>
          <t>ALFA Service JRK-095 Pertamina Zona#4</t>
        </is>
      </c>
      <c r="E401" s="227" t="n"/>
      <c r="F401" s="250" t="n">
        <v>354210000</v>
      </c>
      <c r="G401" s="15" t="inlineStr">
        <is>
          <t>IDR</t>
        </is>
      </c>
      <c r="H401" s="251" t="n">
        <v>1</v>
      </c>
      <c r="I401" s="15" t="inlineStr">
        <is>
          <t>INV027</t>
        </is>
      </c>
      <c r="J401" s="18" t="inlineStr">
        <is>
          <t>SI Jak</t>
        </is>
      </c>
      <c r="K401" s="249" t="n">
        <v>45607</v>
      </c>
      <c r="L401" s="252" t="n">
        <v>347125800</v>
      </c>
      <c r="M401" s="253" t="n">
        <v>38963100</v>
      </c>
      <c r="N401" s="253" t="n">
        <v>7084200</v>
      </c>
      <c r="O401" s="252" t="n">
        <v>0</v>
      </c>
      <c r="P401" s="18" t="inlineStr">
        <is>
          <t>Pemungut</t>
        </is>
      </c>
    </row>
    <row r="402" ht="15.5" customHeight="1">
      <c r="B402" s="249" t="n">
        <v>45572</v>
      </c>
      <c r="C402" s="15" t="n">
        <v>395</v>
      </c>
      <c r="D402" s="170" t="inlineStr">
        <is>
          <t>ALFA Service JRK-095 Pertamina Zona#4</t>
        </is>
      </c>
      <c r="E402" s="227" t="n"/>
      <c r="F402" s="250" t="n">
        <v>354210000</v>
      </c>
      <c r="G402" s="15" t="inlineStr">
        <is>
          <t>IDR</t>
        </is>
      </c>
      <c r="H402" s="251" t="n">
        <v>1</v>
      </c>
      <c r="I402" s="15" t="inlineStr">
        <is>
          <t>INV027</t>
        </is>
      </c>
      <c r="J402" s="18" t="inlineStr">
        <is>
          <t>SI Jak</t>
        </is>
      </c>
      <c r="K402" s="249" t="n">
        <v>45607</v>
      </c>
      <c r="L402" s="252" t="n">
        <v>347125800</v>
      </c>
      <c r="M402" s="253" t="n">
        <v>38963100</v>
      </c>
      <c r="N402" s="253" t="n">
        <v>7084200</v>
      </c>
      <c r="O402" s="252" t="n">
        <v>0</v>
      </c>
      <c r="P402" s="18" t="inlineStr">
        <is>
          <t>Pemungut</t>
        </is>
      </c>
    </row>
    <row r="403" ht="15.5" customHeight="1">
      <c r="B403" s="249" t="n">
        <v>45572</v>
      </c>
      <c r="C403" s="15" t="n">
        <v>396</v>
      </c>
      <c r="D403" s="170" t="inlineStr">
        <is>
          <t>ALFA Service JRK-095 Pertamina Zona#4</t>
        </is>
      </c>
      <c r="E403" s="227" t="n"/>
      <c r="F403" s="250" t="n">
        <v>354210000</v>
      </c>
      <c r="G403" s="15" t="inlineStr">
        <is>
          <t>IDR</t>
        </is>
      </c>
      <c r="H403" s="251" t="n">
        <v>1</v>
      </c>
      <c r="I403" s="15" t="inlineStr">
        <is>
          <t>INV027</t>
        </is>
      </c>
      <c r="J403" s="18" t="inlineStr">
        <is>
          <t>SI Jak</t>
        </is>
      </c>
      <c r="K403" s="249" t="n">
        <v>45607</v>
      </c>
      <c r="L403" s="252" t="n">
        <v>347125800</v>
      </c>
      <c r="M403" s="253" t="n">
        <v>38963100</v>
      </c>
      <c r="N403" s="253" t="n">
        <v>7084200</v>
      </c>
      <c r="O403" s="252" t="n">
        <v>0</v>
      </c>
      <c r="P403" s="18" t="inlineStr">
        <is>
          <t>Pemungut</t>
        </is>
      </c>
    </row>
    <row r="404" ht="15.5" customHeight="1">
      <c r="B404" s="249" t="n">
        <v>45572</v>
      </c>
      <c r="C404" s="15" t="n">
        <v>397</v>
      </c>
      <c r="D404" s="170" t="inlineStr">
        <is>
          <t>ALFA Service JRK-095 Pertamina Zona#4</t>
        </is>
      </c>
      <c r="E404" s="227" t="n"/>
      <c r="F404" s="250" t="n">
        <v>354210000</v>
      </c>
      <c r="G404" s="15" t="inlineStr">
        <is>
          <t>IDR</t>
        </is>
      </c>
      <c r="H404" s="251" t="n">
        <v>1</v>
      </c>
      <c r="I404" s="15" t="inlineStr">
        <is>
          <t>INV027</t>
        </is>
      </c>
      <c r="J404" s="18" t="inlineStr">
        <is>
          <t>SI Jak</t>
        </is>
      </c>
      <c r="K404" s="249" t="n">
        <v>45607</v>
      </c>
      <c r="L404" s="252" t="n">
        <v>347125800</v>
      </c>
      <c r="M404" s="253" t="n">
        <v>38963100</v>
      </c>
      <c r="N404" s="253" t="n">
        <v>7084200</v>
      </c>
      <c r="O404" s="252" t="n">
        <v>0</v>
      </c>
      <c r="P404" s="18" t="inlineStr">
        <is>
          <t>Pemungut</t>
        </is>
      </c>
    </row>
    <row r="405" ht="15.5" customHeight="1">
      <c r="B405" s="249" t="n">
        <v>45572</v>
      </c>
      <c r="C405" s="15" t="n">
        <v>398</v>
      </c>
      <c r="D405" s="170" t="inlineStr">
        <is>
          <t>ALFA Service JRK-095 Pertamina Zona#4</t>
        </is>
      </c>
      <c r="E405" s="227" t="n"/>
      <c r="F405" s="250" t="n">
        <v>354210000</v>
      </c>
      <c r="G405" s="15" t="inlineStr">
        <is>
          <t>IDR</t>
        </is>
      </c>
      <c r="H405" s="251" t="n">
        <v>1</v>
      </c>
      <c r="I405" s="15" t="inlineStr">
        <is>
          <t>INV027</t>
        </is>
      </c>
      <c r="J405" s="18" t="inlineStr">
        <is>
          <t>SI Jak</t>
        </is>
      </c>
      <c r="K405" s="249" t="n">
        <v>45607</v>
      </c>
      <c r="L405" s="252" t="n">
        <v>347125800</v>
      </c>
      <c r="M405" s="253" t="n">
        <v>38963100</v>
      </c>
      <c r="N405" s="253" t="n">
        <v>7084200</v>
      </c>
      <c r="O405" s="252" t="n">
        <v>0</v>
      </c>
      <c r="P405" s="18" t="inlineStr">
        <is>
          <t>Pemungut</t>
        </is>
      </c>
    </row>
    <row r="406" ht="15.5" customHeight="1">
      <c r="B406" s="249" t="n">
        <v>45572</v>
      </c>
      <c r="C406" s="15" t="n">
        <v>399</v>
      </c>
      <c r="D406" s="170" t="inlineStr">
        <is>
          <t>ALFA Service JRK-095 Pertamina Zona#4</t>
        </is>
      </c>
      <c r="E406" s="227" t="n"/>
      <c r="F406" s="250" t="n">
        <v>354210000</v>
      </c>
      <c r="G406" s="15" t="inlineStr">
        <is>
          <t>IDR</t>
        </is>
      </c>
      <c r="H406" s="251" t="n">
        <v>1</v>
      </c>
      <c r="I406" s="15" t="inlineStr">
        <is>
          <t>INV027</t>
        </is>
      </c>
      <c r="J406" s="18" t="inlineStr">
        <is>
          <t>SI Jak</t>
        </is>
      </c>
      <c r="K406" s="249" t="n">
        <v>45607</v>
      </c>
      <c r="L406" s="252" t="n">
        <v>347125800</v>
      </c>
      <c r="M406" s="253" t="n">
        <v>38963100</v>
      </c>
      <c r="N406" s="253" t="n">
        <v>7084200</v>
      </c>
      <c r="O406" s="252" t="n">
        <v>0</v>
      </c>
      <c r="P406" s="18" t="inlineStr">
        <is>
          <t>Pemungut</t>
        </is>
      </c>
    </row>
    <row r="407" ht="15.5" customHeight="1">
      <c r="B407" s="249" t="n">
        <v>45572</v>
      </c>
      <c r="C407" s="15" t="n">
        <v>400</v>
      </c>
      <c r="D407" s="170" t="inlineStr">
        <is>
          <t>ALFA Service JRK-095 Pertamina Zona#4</t>
        </is>
      </c>
      <c r="E407" s="227" t="n"/>
      <c r="F407" s="250" t="n">
        <v>354210000</v>
      </c>
      <c r="G407" s="15" t="inlineStr">
        <is>
          <t>IDR</t>
        </is>
      </c>
      <c r="H407" s="251" t="n">
        <v>1</v>
      </c>
      <c r="I407" s="15" t="inlineStr">
        <is>
          <t>INV027</t>
        </is>
      </c>
      <c r="J407" s="18" t="inlineStr">
        <is>
          <t>SI Jak</t>
        </is>
      </c>
      <c r="K407" s="249" t="n">
        <v>45607</v>
      </c>
      <c r="L407" s="252" t="n">
        <v>347125800</v>
      </c>
      <c r="M407" s="253" t="n">
        <v>38963100</v>
      </c>
      <c r="N407" s="253" t="n">
        <v>7084200</v>
      </c>
      <c r="O407" s="252" t="n">
        <v>0</v>
      </c>
      <c r="P407" s="18" t="inlineStr">
        <is>
          <t>Pemungut</t>
        </is>
      </c>
    </row>
    <row r="408" ht="15.5" customHeight="1">
      <c r="B408" s="249" t="n">
        <v>45572</v>
      </c>
      <c r="C408" s="15" t="n">
        <v>401</v>
      </c>
      <c r="D408" s="170" t="inlineStr">
        <is>
          <t>ALFA Service JRK-095 Pertamina Zona#4</t>
        </is>
      </c>
      <c r="E408" s="227" t="n"/>
      <c r="F408" s="250" t="n">
        <v>354210000</v>
      </c>
      <c r="G408" s="15" t="inlineStr">
        <is>
          <t>IDR</t>
        </is>
      </c>
      <c r="H408" s="251" t="n">
        <v>1</v>
      </c>
      <c r="I408" s="15" t="inlineStr">
        <is>
          <t>INV027</t>
        </is>
      </c>
      <c r="J408" s="18" t="inlineStr">
        <is>
          <t>SI Jak</t>
        </is>
      </c>
      <c r="K408" s="249" t="n">
        <v>45607</v>
      </c>
      <c r="L408" s="252" t="n">
        <v>347125800</v>
      </c>
      <c r="M408" s="253" t="n">
        <v>38963100</v>
      </c>
      <c r="N408" s="253" t="n">
        <v>7084200</v>
      </c>
      <c r="O408" s="252" t="n">
        <v>0</v>
      </c>
      <c r="P408" s="18" t="inlineStr">
        <is>
          <t>Pemungut</t>
        </is>
      </c>
    </row>
    <row r="409" ht="15.5" customHeight="1">
      <c r="B409" s="249" t="n">
        <v>45572</v>
      </c>
      <c r="C409" s="15" t="n">
        <v>402</v>
      </c>
      <c r="D409" s="170" t="inlineStr">
        <is>
          <t>ALFA Service JRK-095 Pertamina Zona#4</t>
        </is>
      </c>
      <c r="E409" s="227" t="n"/>
      <c r="F409" s="250" t="n">
        <v>354210000</v>
      </c>
      <c r="G409" s="15" t="inlineStr">
        <is>
          <t>IDR</t>
        </is>
      </c>
      <c r="H409" s="251" t="n">
        <v>1</v>
      </c>
      <c r="I409" s="15" t="inlineStr">
        <is>
          <t>INV027</t>
        </is>
      </c>
      <c r="J409" s="18" t="inlineStr">
        <is>
          <t>SI Jak</t>
        </is>
      </c>
      <c r="K409" s="249" t="n">
        <v>45607</v>
      </c>
      <c r="L409" s="252" t="n">
        <v>347125800</v>
      </c>
      <c r="M409" s="253" t="n">
        <v>38963100</v>
      </c>
      <c r="N409" s="253" t="n">
        <v>7084200</v>
      </c>
      <c r="O409" s="252" t="n">
        <v>0</v>
      </c>
      <c r="P409" s="18" t="inlineStr">
        <is>
          <t>Pemungut</t>
        </is>
      </c>
    </row>
    <row r="410" ht="15.5" customHeight="1">
      <c r="B410" s="249" t="n">
        <v>45572</v>
      </c>
      <c r="C410" s="15" t="n">
        <v>403</v>
      </c>
      <c r="D410" s="170" t="inlineStr">
        <is>
          <t>ALFA Service JRK-095 Pertamina Zona#4</t>
        </is>
      </c>
      <c r="E410" s="227" t="n"/>
      <c r="F410" s="250" t="n">
        <v>354210000</v>
      </c>
      <c r="G410" s="15" t="inlineStr">
        <is>
          <t>IDR</t>
        </is>
      </c>
      <c r="H410" s="251" t="n">
        <v>1</v>
      </c>
      <c r="I410" s="15" t="inlineStr">
        <is>
          <t>INV027</t>
        </is>
      </c>
      <c r="J410" s="18" t="inlineStr">
        <is>
          <t>SI Jak</t>
        </is>
      </c>
      <c r="K410" s="249" t="n">
        <v>45607</v>
      </c>
      <c r="L410" s="252" t="n">
        <v>347125800</v>
      </c>
      <c r="M410" s="253" t="n">
        <v>38963100</v>
      </c>
      <c r="N410" s="253" t="n">
        <v>7084200</v>
      </c>
      <c r="O410" s="252" t="n">
        <v>0</v>
      </c>
      <c r="P410" s="18" t="inlineStr">
        <is>
          <t>Pemungut</t>
        </is>
      </c>
    </row>
    <row r="411" ht="15.5" customHeight="1">
      <c r="B411" s="249" t="n">
        <v>45572</v>
      </c>
      <c r="C411" s="15" t="n">
        <v>404</v>
      </c>
      <c r="D411" s="170" t="inlineStr">
        <is>
          <t>ALFA Service JRK-095 Pertamina Zona#4</t>
        </is>
      </c>
      <c r="E411" s="227" t="n"/>
      <c r="F411" s="250" t="n">
        <v>354210000</v>
      </c>
      <c r="G411" s="15" t="inlineStr">
        <is>
          <t>IDR</t>
        </is>
      </c>
      <c r="H411" s="251" t="n">
        <v>1</v>
      </c>
      <c r="I411" s="15" t="inlineStr">
        <is>
          <t>INV027</t>
        </is>
      </c>
      <c r="J411" s="18" t="inlineStr">
        <is>
          <t>SI Jak</t>
        </is>
      </c>
      <c r="K411" s="249" t="n">
        <v>45607</v>
      </c>
      <c r="L411" s="252" t="n">
        <v>347125800</v>
      </c>
      <c r="M411" s="253" t="n">
        <v>38963100</v>
      </c>
      <c r="N411" s="253" t="n">
        <v>7084200</v>
      </c>
      <c r="O411" s="252" t="n">
        <v>0</v>
      </c>
      <c r="P411" s="18" t="inlineStr">
        <is>
          <t>Pemungut</t>
        </is>
      </c>
    </row>
    <row r="412" ht="15.5" customHeight="1">
      <c r="B412" s="249" t="n">
        <v>45572</v>
      </c>
      <c r="C412" s="15" t="n">
        <v>405</v>
      </c>
      <c r="D412" s="170" t="inlineStr">
        <is>
          <t>ALFA Service JRK-095 Pertamina Zona#4</t>
        </is>
      </c>
      <c r="E412" s="227" t="n"/>
      <c r="F412" s="250" t="n">
        <v>354210000</v>
      </c>
      <c r="G412" s="15" t="inlineStr">
        <is>
          <t>IDR</t>
        </is>
      </c>
      <c r="H412" s="251" t="n">
        <v>1</v>
      </c>
      <c r="I412" s="15" t="inlineStr">
        <is>
          <t>INV027</t>
        </is>
      </c>
      <c r="J412" s="18" t="inlineStr">
        <is>
          <t>SI Jak</t>
        </is>
      </c>
      <c r="K412" s="249" t="n">
        <v>45607</v>
      </c>
      <c r="L412" s="252" t="n">
        <v>347125800</v>
      </c>
      <c r="M412" s="253" t="n">
        <v>38963100</v>
      </c>
      <c r="N412" s="253" t="n">
        <v>7084200</v>
      </c>
      <c r="O412" s="252" t="n">
        <v>0</v>
      </c>
      <c r="P412" s="18" t="inlineStr">
        <is>
          <t>Pemungut</t>
        </is>
      </c>
    </row>
    <row r="413" ht="15.5" customHeight="1">
      <c r="B413" s="249" t="n">
        <v>45572</v>
      </c>
      <c r="C413" s="15" t="n">
        <v>406</v>
      </c>
      <c r="D413" s="170" t="inlineStr">
        <is>
          <t>ALFA Service JRK-095 Pertamina Zona#4</t>
        </is>
      </c>
      <c r="E413" s="227" t="n"/>
      <c r="F413" s="250" t="n">
        <v>354210000</v>
      </c>
      <c r="G413" s="15" t="inlineStr">
        <is>
          <t>IDR</t>
        </is>
      </c>
      <c r="H413" s="251" t="n">
        <v>1</v>
      </c>
      <c r="I413" s="15" t="inlineStr">
        <is>
          <t>INV027</t>
        </is>
      </c>
      <c r="J413" s="18" t="inlineStr">
        <is>
          <t>SI Jak</t>
        </is>
      </c>
      <c r="K413" s="249" t="n">
        <v>45607</v>
      </c>
      <c r="L413" s="252" t="n">
        <v>347125800</v>
      </c>
      <c r="M413" s="253" t="n">
        <v>38963100</v>
      </c>
      <c r="N413" s="253" t="n">
        <v>7084200</v>
      </c>
      <c r="O413" s="252" t="n">
        <v>0</v>
      </c>
      <c r="P413" s="18" t="inlineStr">
        <is>
          <t>Pemungut</t>
        </is>
      </c>
    </row>
    <row r="414" ht="15.5" customHeight="1">
      <c r="B414" s="249" t="n">
        <v>45572</v>
      </c>
      <c r="C414" s="15" t="n">
        <v>407</v>
      </c>
      <c r="D414" s="170" t="inlineStr">
        <is>
          <t>ALFA Service JRK-095 Pertamina Zona#4</t>
        </is>
      </c>
      <c r="E414" s="227" t="n"/>
      <c r="F414" s="250" t="n">
        <v>354210000</v>
      </c>
      <c r="G414" s="15" t="inlineStr">
        <is>
          <t>IDR</t>
        </is>
      </c>
      <c r="H414" s="251" t="n">
        <v>1</v>
      </c>
      <c r="I414" s="15" t="inlineStr">
        <is>
          <t>INV027</t>
        </is>
      </c>
      <c r="J414" s="18" t="inlineStr">
        <is>
          <t>SI Jak</t>
        </is>
      </c>
      <c r="K414" s="249" t="n">
        <v>45607</v>
      </c>
      <c r="L414" s="252" t="n">
        <v>347125800</v>
      </c>
      <c r="M414" s="253" t="n">
        <v>38963100</v>
      </c>
      <c r="N414" s="253" t="n">
        <v>7084200</v>
      </c>
      <c r="O414" s="252" t="n">
        <v>0</v>
      </c>
      <c r="P414" s="18" t="inlineStr">
        <is>
          <t>Pemungut</t>
        </is>
      </c>
    </row>
    <row r="415" ht="15.5" customHeight="1">
      <c r="B415" s="249" t="n">
        <v>45572</v>
      </c>
      <c r="C415" s="15" t="n">
        <v>408</v>
      </c>
      <c r="D415" s="170" t="inlineStr">
        <is>
          <t>ALFA Service JRK-095 Pertamina Zona#4</t>
        </is>
      </c>
      <c r="E415" s="227" t="n"/>
      <c r="F415" s="250" t="n">
        <v>354210000</v>
      </c>
      <c r="G415" s="15" t="inlineStr">
        <is>
          <t>IDR</t>
        </is>
      </c>
      <c r="H415" s="251" t="n">
        <v>1</v>
      </c>
      <c r="I415" s="15" t="inlineStr">
        <is>
          <t>INV027</t>
        </is>
      </c>
      <c r="J415" s="18" t="inlineStr">
        <is>
          <t>SI Jak</t>
        </is>
      </c>
      <c r="K415" s="249" t="n">
        <v>45607</v>
      </c>
      <c r="L415" s="252" t="n">
        <v>347125800</v>
      </c>
      <c r="M415" s="253" t="n">
        <v>38963100</v>
      </c>
      <c r="N415" s="253" t="n">
        <v>7084200</v>
      </c>
      <c r="O415" s="252" t="n">
        <v>0</v>
      </c>
      <c r="P415" s="18" t="inlineStr">
        <is>
          <t>Pemungut</t>
        </is>
      </c>
    </row>
    <row r="416" ht="15.5" customHeight="1">
      <c r="B416" s="249" t="n">
        <v>45572</v>
      </c>
      <c r="C416" s="15" t="n">
        <v>409</v>
      </c>
      <c r="D416" s="170" t="inlineStr">
        <is>
          <t>ALFA Service JRK-095 Pertamina Zona#4</t>
        </is>
      </c>
      <c r="E416" s="227" t="n"/>
      <c r="F416" s="250" t="n">
        <v>354210000</v>
      </c>
      <c r="G416" s="15" t="inlineStr">
        <is>
          <t>IDR</t>
        </is>
      </c>
      <c r="H416" s="251" t="n">
        <v>1</v>
      </c>
      <c r="I416" s="15" t="inlineStr">
        <is>
          <t>INV027</t>
        </is>
      </c>
      <c r="J416" s="18" t="inlineStr">
        <is>
          <t>SI Jak</t>
        </is>
      </c>
      <c r="K416" s="249" t="n">
        <v>45607</v>
      </c>
      <c r="L416" s="252" t="n">
        <v>347125800</v>
      </c>
      <c r="M416" s="253" t="n">
        <v>38963100</v>
      </c>
      <c r="N416" s="253" t="n">
        <v>7084200</v>
      </c>
      <c r="O416" s="252" t="n">
        <v>0</v>
      </c>
      <c r="P416" s="18" t="inlineStr">
        <is>
          <t>Pemungut</t>
        </is>
      </c>
    </row>
    <row r="417" ht="15.5" customHeight="1">
      <c r="B417" s="249" t="n">
        <v>45572</v>
      </c>
      <c r="C417" s="15" t="n">
        <v>410</v>
      </c>
      <c r="D417" s="170" t="inlineStr">
        <is>
          <t>ALFA Service JRK-095 Pertamina Zona#4</t>
        </is>
      </c>
      <c r="E417" s="227" t="n"/>
      <c r="F417" s="250" t="n">
        <v>354210000</v>
      </c>
      <c r="G417" s="15" t="inlineStr">
        <is>
          <t>IDR</t>
        </is>
      </c>
      <c r="H417" s="251" t="n">
        <v>1</v>
      </c>
      <c r="I417" s="15" t="inlineStr">
        <is>
          <t>INV027</t>
        </is>
      </c>
      <c r="J417" s="18" t="inlineStr">
        <is>
          <t>SI Jak</t>
        </is>
      </c>
      <c r="K417" s="249" t="n">
        <v>45607</v>
      </c>
      <c r="L417" s="252" t="n">
        <v>347125800</v>
      </c>
      <c r="M417" s="253" t="n">
        <v>38963100</v>
      </c>
      <c r="N417" s="253" t="n">
        <v>7084200</v>
      </c>
      <c r="O417" s="252" t="n">
        <v>0</v>
      </c>
      <c r="P417" s="18" t="inlineStr">
        <is>
          <t>Pemungut</t>
        </is>
      </c>
    </row>
    <row r="418" ht="15.5" customHeight="1">
      <c r="B418" s="249" t="n">
        <v>45569</v>
      </c>
      <c r="C418" s="15" t="n">
        <v>411</v>
      </c>
      <c r="D418" s="170" t="inlineStr">
        <is>
          <t>ALFA Service TGB-033 Pertamina Cirebon</t>
        </is>
      </c>
      <c r="E418" s="227" t="n"/>
      <c r="F418" s="250" t="n">
        <v>290000000</v>
      </c>
      <c r="G418" s="15" t="inlineStr">
        <is>
          <t>IDR</t>
        </is>
      </c>
      <c r="H418" s="251" t="n">
        <v>1</v>
      </c>
      <c r="I418" s="15" t="inlineStr">
        <is>
          <t>INV024</t>
        </is>
      </c>
      <c r="J418" s="18" t="inlineStr">
        <is>
          <t>Elnusa</t>
        </is>
      </c>
      <c r="K418" s="249" t="n">
        <v>45646</v>
      </c>
      <c r="L418" s="252" t="n">
        <v>284197100</v>
      </c>
      <c r="M418" s="253" t="n">
        <v>31900000</v>
      </c>
      <c r="N418" s="253" t="n">
        <v>5800000</v>
      </c>
      <c r="O418" s="252" t="n">
        <v>2900</v>
      </c>
      <c r="P418" s="18" t="inlineStr">
        <is>
          <t>Pemungut</t>
        </is>
      </c>
    </row>
    <row r="419" ht="15.5" customHeight="1">
      <c r="B419" s="249" t="n">
        <v>45569</v>
      </c>
      <c r="C419" s="15" t="n">
        <v>412</v>
      </c>
      <c r="D419" s="170" t="inlineStr">
        <is>
          <t>ALFA Service TGB-033 Pertamina Cirebon</t>
        </is>
      </c>
      <c r="E419" s="227" t="n"/>
      <c r="F419" s="250" t="n">
        <v>290000000</v>
      </c>
      <c r="G419" s="15" t="inlineStr">
        <is>
          <t>IDR</t>
        </is>
      </c>
      <c r="H419" s="251" t="n">
        <v>1</v>
      </c>
      <c r="I419" s="15" t="inlineStr">
        <is>
          <t>INV024</t>
        </is>
      </c>
      <c r="J419" s="18" t="inlineStr">
        <is>
          <t>Elnusa</t>
        </is>
      </c>
      <c r="K419" s="249" t="n">
        <v>45646</v>
      </c>
      <c r="L419" s="252" t="n">
        <v>284197100</v>
      </c>
      <c r="M419" s="253" t="n">
        <v>31900000</v>
      </c>
      <c r="N419" s="253" t="n">
        <v>5800000</v>
      </c>
      <c r="O419" s="252" t="n">
        <v>2900</v>
      </c>
      <c r="P419" s="18" t="inlineStr">
        <is>
          <t>Pemungut</t>
        </is>
      </c>
    </row>
    <row r="420" ht="15.5" customHeight="1">
      <c r="B420" s="249" t="n">
        <v>45569</v>
      </c>
      <c r="C420" s="15" t="n">
        <v>413</v>
      </c>
      <c r="D420" s="170" t="inlineStr">
        <is>
          <t>ALFA Service TGB-033 Pertamina Cirebon</t>
        </is>
      </c>
      <c r="E420" s="227" t="n"/>
      <c r="F420" s="250" t="n">
        <v>290000000</v>
      </c>
      <c r="G420" s="15" t="inlineStr">
        <is>
          <t>IDR</t>
        </is>
      </c>
      <c r="H420" s="251" t="n">
        <v>1</v>
      </c>
      <c r="I420" s="15" t="inlineStr">
        <is>
          <t>INV024</t>
        </is>
      </c>
      <c r="J420" s="18" t="inlineStr">
        <is>
          <t>Elnusa</t>
        </is>
      </c>
      <c r="K420" s="249" t="n">
        <v>45646</v>
      </c>
      <c r="L420" s="252" t="n">
        <v>284197100</v>
      </c>
      <c r="M420" s="253" t="n">
        <v>31900000</v>
      </c>
      <c r="N420" s="253" t="n">
        <v>5800000</v>
      </c>
      <c r="O420" s="252" t="n">
        <v>2900</v>
      </c>
      <c r="P420" s="18" t="inlineStr">
        <is>
          <t>Pemungut</t>
        </is>
      </c>
    </row>
    <row r="421" ht="15.5" customHeight="1">
      <c r="B421" s="249" t="n">
        <v>45569</v>
      </c>
      <c r="C421" s="15" t="n">
        <v>414</v>
      </c>
      <c r="D421" s="170" t="inlineStr">
        <is>
          <t>ALFA Service TGB-033 Pertamina Cirebon</t>
        </is>
      </c>
      <c r="E421" s="227" t="n"/>
      <c r="F421" s="250" t="n">
        <v>290000000</v>
      </c>
      <c r="G421" s="15" t="inlineStr">
        <is>
          <t>IDR</t>
        </is>
      </c>
      <c r="H421" s="251" t="n">
        <v>1</v>
      </c>
      <c r="I421" s="15" t="inlineStr">
        <is>
          <t>INV024</t>
        </is>
      </c>
      <c r="J421" s="18" t="inlineStr">
        <is>
          <t>Elnusa</t>
        </is>
      </c>
      <c r="K421" s="249" t="n">
        <v>45646</v>
      </c>
      <c r="L421" s="252" t="n">
        <v>284197100</v>
      </c>
      <c r="M421" s="253" t="n">
        <v>31900000</v>
      </c>
      <c r="N421" s="253" t="n">
        <v>5800000</v>
      </c>
      <c r="O421" s="252" t="n">
        <v>2900</v>
      </c>
      <c r="P421" s="18" t="inlineStr">
        <is>
          <t>Pemungut</t>
        </is>
      </c>
    </row>
    <row r="422" ht="15.5" customHeight="1">
      <c r="B422" s="249" t="n">
        <v>45569</v>
      </c>
      <c r="C422" s="15" t="n">
        <v>415</v>
      </c>
      <c r="D422" s="170" t="inlineStr">
        <is>
          <t>ALFA Service TGB-033 Pertamina Cirebon</t>
        </is>
      </c>
      <c r="E422" s="227" t="n"/>
      <c r="F422" s="250" t="n">
        <v>290000000</v>
      </c>
      <c r="G422" s="15" t="inlineStr">
        <is>
          <t>IDR</t>
        </is>
      </c>
      <c r="H422" s="251" t="n">
        <v>1</v>
      </c>
      <c r="I422" s="15" t="inlineStr">
        <is>
          <t>INV024</t>
        </is>
      </c>
      <c r="J422" s="18" t="inlineStr">
        <is>
          <t>Elnusa</t>
        </is>
      </c>
      <c r="K422" s="249" t="n">
        <v>45646</v>
      </c>
      <c r="L422" s="252" t="n">
        <v>284197100</v>
      </c>
      <c r="M422" s="253" t="n">
        <v>31900000</v>
      </c>
      <c r="N422" s="253" t="n">
        <v>5800000</v>
      </c>
      <c r="O422" s="252" t="n">
        <v>2900</v>
      </c>
      <c r="P422" s="18" t="inlineStr">
        <is>
          <t>Pemungut</t>
        </is>
      </c>
    </row>
    <row r="423" ht="15.5" customHeight="1">
      <c r="B423" s="249" t="n">
        <v>45569</v>
      </c>
      <c r="C423" s="15" t="n">
        <v>416</v>
      </c>
      <c r="D423" s="170" t="inlineStr">
        <is>
          <t>ALFA Service TGB-033 Pertamina Cirebon</t>
        </is>
      </c>
      <c r="E423" s="227" t="n"/>
      <c r="F423" s="250" t="n">
        <v>290000000</v>
      </c>
      <c r="G423" s="15" t="inlineStr">
        <is>
          <t>IDR</t>
        </is>
      </c>
      <c r="H423" s="251" t="n">
        <v>1</v>
      </c>
      <c r="I423" s="15" t="inlineStr">
        <is>
          <t>INV024</t>
        </is>
      </c>
      <c r="J423" s="18" t="inlineStr">
        <is>
          <t>Elnusa</t>
        </is>
      </c>
      <c r="K423" s="249" t="n">
        <v>45646</v>
      </c>
      <c r="L423" s="252" t="n">
        <v>284197100</v>
      </c>
      <c r="M423" s="253" t="n">
        <v>31900000</v>
      </c>
      <c r="N423" s="253" t="n">
        <v>5800000</v>
      </c>
      <c r="O423" s="252" t="n">
        <v>2900</v>
      </c>
      <c r="P423" s="18" t="inlineStr">
        <is>
          <t>Pemungut</t>
        </is>
      </c>
    </row>
    <row r="424" ht="15.5" customHeight="1">
      <c r="B424" s="249" t="n">
        <v>45569</v>
      </c>
      <c r="C424" s="15" t="n">
        <v>417</v>
      </c>
      <c r="D424" s="170" t="inlineStr">
        <is>
          <t>ALFA Service TGB-033 Pertamina Cirebon</t>
        </is>
      </c>
      <c r="E424" s="227" t="n"/>
      <c r="F424" s="250" t="n">
        <v>290000000</v>
      </c>
      <c r="G424" s="15" t="inlineStr">
        <is>
          <t>IDR</t>
        </is>
      </c>
      <c r="H424" s="251" t="n">
        <v>1</v>
      </c>
      <c r="I424" s="15" t="inlineStr">
        <is>
          <t>INV024</t>
        </is>
      </c>
      <c r="J424" s="18" t="inlineStr">
        <is>
          <t>Elnusa</t>
        </is>
      </c>
      <c r="K424" s="249" t="n">
        <v>45646</v>
      </c>
      <c r="L424" s="252" t="n">
        <v>284197100</v>
      </c>
      <c r="M424" s="253" t="n">
        <v>31900000</v>
      </c>
      <c r="N424" s="253" t="n">
        <v>5800000</v>
      </c>
      <c r="O424" s="252" t="n">
        <v>2900</v>
      </c>
      <c r="P424" s="18" t="inlineStr">
        <is>
          <t>Pemungut</t>
        </is>
      </c>
    </row>
    <row r="425" ht="15.5" customHeight="1">
      <c r="B425" s="249" t="n">
        <v>45569</v>
      </c>
      <c r="C425" s="15" t="n">
        <v>418</v>
      </c>
      <c r="D425" s="170" t="inlineStr">
        <is>
          <t>ALFA Service TGB-033 Pertamina Cirebon</t>
        </is>
      </c>
      <c r="E425" s="227" t="n"/>
      <c r="F425" s="250" t="n">
        <v>290000000</v>
      </c>
      <c r="G425" s="15" t="inlineStr">
        <is>
          <t>IDR</t>
        </is>
      </c>
      <c r="H425" s="251" t="n">
        <v>1</v>
      </c>
      <c r="I425" s="15" t="inlineStr">
        <is>
          <t>INV024</t>
        </is>
      </c>
      <c r="J425" s="18" t="inlineStr">
        <is>
          <t>Elnusa</t>
        </is>
      </c>
      <c r="K425" s="249" t="n">
        <v>45646</v>
      </c>
      <c r="L425" s="252" t="n">
        <v>284197100</v>
      </c>
      <c r="M425" s="253" t="n">
        <v>31900000</v>
      </c>
      <c r="N425" s="253" t="n">
        <v>5800000</v>
      </c>
      <c r="O425" s="252" t="n">
        <v>2900</v>
      </c>
      <c r="P425" s="18" t="inlineStr">
        <is>
          <t>Pemungut</t>
        </is>
      </c>
    </row>
    <row r="426" ht="15.5" customHeight="1">
      <c r="B426" s="249" t="n">
        <v>45569</v>
      </c>
      <c r="C426" s="15" t="n">
        <v>419</v>
      </c>
      <c r="D426" s="170" t="inlineStr">
        <is>
          <t>ALFA Service TGB-033 Pertamina Cirebon</t>
        </is>
      </c>
      <c r="E426" s="227" t="n"/>
      <c r="F426" s="250" t="n">
        <v>290000000</v>
      </c>
      <c r="G426" s="15" t="inlineStr">
        <is>
          <t>IDR</t>
        </is>
      </c>
      <c r="H426" s="251" t="n">
        <v>1</v>
      </c>
      <c r="I426" s="15" t="inlineStr">
        <is>
          <t>INV024</t>
        </is>
      </c>
      <c r="J426" s="18" t="inlineStr">
        <is>
          <t>Elnusa</t>
        </is>
      </c>
      <c r="K426" s="249" t="n">
        <v>45646</v>
      </c>
      <c r="L426" s="252" t="n">
        <v>284197100</v>
      </c>
      <c r="M426" s="253" t="n">
        <v>31900000</v>
      </c>
      <c r="N426" s="253" t="n">
        <v>5800000</v>
      </c>
      <c r="O426" s="252" t="n">
        <v>2900</v>
      </c>
      <c r="P426" s="18" t="inlineStr">
        <is>
          <t>Pemungut</t>
        </is>
      </c>
    </row>
    <row r="427" ht="15.5" customHeight="1">
      <c r="B427" s="249" t="n">
        <v>45569</v>
      </c>
      <c r="C427" s="15" t="n">
        <v>420</v>
      </c>
      <c r="D427" s="170" t="inlineStr">
        <is>
          <t>ALFA Service TGB-033 Pertamina Cirebon</t>
        </is>
      </c>
      <c r="E427" s="227" t="n"/>
      <c r="F427" s="250" t="n">
        <v>290000000</v>
      </c>
      <c r="G427" s="15" t="inlineStr">
        <is>
          <t>IDR</t>
        </is>
      </c>
      <c r="H427" s="251" t="n">
        <v>1</v>
      </c>
      <c r="I427" s="15" t="inlineStr">
        <is>
          <t>INV024</t>
        </is>
      </c>
      <c r="J427" s="18" t="inlineStr">
        <is>
          <t>Elnusa</t>
        </is>
      </c>
      <c r="K427" s="249" t="n">
        <v>45646</v>
      </c>
      <c r="L427" s="252" t="n">
        <v>284197100</v>
      </c>
      <c r="M427" s="253" t="n">
        <v>31900000</v>
      </c>
      <c r="N427" s="253" t="n">
        <v>5800000</v>
      </c>
      <c r="O427" s="252" t="n">
        <v>2900</v>
      </c>
      <c r="P427" s="18" t="inlineStr">
        <is>
          <t>Pemungut</t>
        </is>
      </c>
    </row>
    <row r="428" ht="15.5" customHeight="1">
      <c r="B428" s="249" t="n">
        <v>45569</v>
      </c>
      <c r="C428" s="15" t="n">
        <v>421</v>
      </c>
      <c r="D428" s="170" t="inlineStr">
        <is>
          <t>ALFA Service TGB-033 Pertamina Cirebon</t>
        </is>
      </c>
      <c r="E428" s="227" t="n"/>
      <c r="F428" s="250" t="n">
        <v>290000000</v>
      </c>
      <c r="G428" s="15" t="inlineStr">
        <is>
          <t>IDR</t>
        </is>
      </c>
      <c r="H428" s="251" t="n">
        <v>1</v>
      </c>
      <c r="I428" s="15" t="inlineStr">
        <is>
          <t>INV024</t>
        </is>
      </c>
      <c r="J428" s="18" t="inlineStr">
        <is>
          <t>Elnusa</t>
        </is>
      </c>
      <c r="K428" s="249" t="n">
        <v>45646</v>
      </c>
      <c r="L428" s="252" t="n">
        <v>284197100</v>
      </c>
      <c r="M428" s="253" t="n">
        <v>31900000</v>
      </c>
      <c r="N428" s="253" t="n">
        <v>5800000</v>
      </c>
      <c r="O428" s="252" t="n">
        <v>2900</v>
      </c>
      <c r="P428" s="18" t="inlineStr">
        <is>
          <t>Pemungut</t>
        </is>
      </c>
    </row>
    <row r="429" ht="15.5" customHeight="1">
      <c r="B429" s="249" t="n">
        <v>45569</v>
      </c>
      <c r="C429" s="15" t="n">
        <v>422</v>
      </c>
      <c r="D429" s="170" t="inlineStr">
        <is>
          <t>ALFA Service TGB-033 Pertamina Cirebon</t>
        </is>
      </c>
      <c r="E429" s="227" t="n"/>
      <c r="F429" s="250" t="n">
        <v>290000000</v>
      </c>
      <c r="G429" s="15" t="inlineStr">
        <is>
          <t>IDR</t>
        </is>
      </c>
      <c r="H429" s="251" t="n">
        <v>1</v>
      </c>
      <c r="I429" s="15" t="inlineStr">
        <is>
          <t>INV024</t>
        </is>
      </c>
      <c r="J429" s="18" t="inlineStr">
        <is>
          <t>Elnusa</t>
        </is>
      </c>
      <c r="K429" s="249" t="n">
        <v>45646</v>
      </c>
      <c r="L429" s="252" t="n">
        <v>284197100</v>
      </c>
      <c r="M429" s="253" t="n">
        <v>31900000</v>
      </c>
      <c r="N429" s="253" t="n">
        <v>5800000</v>
      </c>
      <c r="O429" s="252" t="n">
        <v>2900</v>
      </c>
      <c r="P429" s="18" t="inlineStr">
        <is>
          <t>Pemungut</t>
        </is>
      </c>
    </row>
    <row r="430" ht="15.5" customHeight="1">
      <c r="B430" s="249" t="n">
        <v>45569</v>
      </c>
      <c r="C430" s="15" t="n">
        <v>423</v>
      </c>
      <c r="D430" s="170" t="inlineStr">
        <is>
          <t>ALFA Service TGB-033 Pertamina Cirebon</t>
        </is>
      </c>
      <c r="E430" s="227" t="n"/>
      <c r="F430" s="250" t="n">
        <v>290000000</v>
      </c>
      <c r="G430" s="15" t="inlineStr">
        <is>
          <t>IDR</t>
        </is>
      </c>
      <c r="H430" s="251" t="n">
        <v>1</v>
      </c>
      <c r="I430" s="15" t="inlineStr">
        <is>
          <t>INV024</t>
        </is>
      </c>
      <c r="J430" s="18" t="inlineStr">
        <is>
          <t>Elnusa</t>
        </is>
      </c>
      <c r="K430" s="249" t="n">
        <v>45646</v>
      </c>
      <c r="L430" s="252" t="n">
        <v>284197100</v>
      </c>
      <c r="M430" s="253" t="n">
        <v>31900000</v>
      </c>
      <c r="N430" s="253" t="n">
        <v>5800000</v>
      </c>
      <c r="O430" s="252" t="n">
        <v>2900</v>
      </c>
      <c r="P430" s="18" t="inlineStr">
        <is>
          <t>Pemungut</t>
        </is>
      </c>
    </row>
    <row r="431" ht="15.5" customHeight="1">
      <c r="B431" s="249" t="n">
        <v>45569</v>
      </c>
      <c r="C431" s="15" t="n">
        <v>424</v>
      </c>
      <c r="D431" s="170" t="inlineStr">
        <is>
          <t>ALFA Service TGB-033 Pertamina Cirebon</t>
        </is>
      </c>
      <c r="E431" s="227" t="n"/>
      <c r="F431" s="250" t="n">
        <v>290000000</v>
      </c>
      <c r="G431" s="15" t="inlineStr">
        <is>
          <t>IDR</t>
        </is>
      </c>
      <c r="H431" s="251" t="n">
        <v>1</v>
      </c>
      <c r="I431" s="15" t="inlineStr">
        <is>
          <t>INV024</t>
        </is>
      </c>
      <c r="J431" s="18" t="inlineStr">
        <is>
          <t>Elnusa</t>
        </is>
      </c>
      <c r="K431" s="249" t="n">
        <v>45646</v>
      </c>
      <c r="L431" s="252" t="n">
        <v>284197100</v>
      </c>
      <c r="M431" s="253" t="n">
        <v>31900000</v>
      </c>
      <c r="N431" s="253" t="n">
        <v>5800000</v>
      </c>
      <c r="O431" s="252" t="n">
        <v>2900</v>
      </c>
      <c r="P431" s="18" t="inlineStr">
        <is>
          <t>Pemungut</t>
        </is>
      </c>
    </row>
    <row r="432" ht="15.5" customHeight="1">
      <c r="B432" s="249" t="n">
        <v>45569</v>
      </c>
      <c r="C432" s="15" t="n">
        <v>425</v>
      </c>
      <c r="D432" s="170" t="inlineStr">
        <is>
          <t>ALFA Service TGB-033 Pertamina Cirebon</t>
        </is>
      </c>
      <c r="E432" s="227" t="n"/>
      <c r="F432" s="250" t="n">
        <v>290000000</v>
      </c>
      <c r="G432" s="15" t="inlineStr">
        <is>
          <t>IDR</t>
        </is>
      </c>
      <c r="H432" s="251" t="n">
        <v>1</v>
      </c>
      <c r="I432" s="15" t="inlineStr">
        <is>
          <t>INV024</t>
        </is>
      </c>
      <c r="J432" s="18" t="inlineStr">
        <is>
          <t>Elnusa</t>
        </is>
      </c>
      <c r="K432" s="249" t="n">
        <v>45646</v>
      </c>
      <c r="L432" s="252" t="n">
        <v>284197100</v>
      </c>
      <c r="M432" s="253" t="n">
        <v>31900000</v>
      </c>
      <c r="N432" s="253" t="n">
        <v>5800000</v>
      </c>
      <c r="O432" s="252" t="n">
        <v>2900</v>
      </c>
      <c r="P432" s="18" t="inlineStr">
        <is>
          <t>Pemungut</t>
        </is>
      </c>
    </row>
    <row r="433" ht="15.5" customHeight="1">
      <c r="B433" s="249" t="n">
        <v>45569</v>
      </c>
      <c r="C433" s="15" t="n">
        <v>426</v>
      </c>
      <c r="D433" s="170" t="inlineStr">
        <is>
          <t>ALFA Service TGB-033 Pertamina Cirebon</t>
        </is>
      </c>
      <c r="E433" s="227" t="n"/>
      <c r="F433" s="250" t="n">
        <v>290000000</v>
      </c>
      <c r="G433" s="15" t="inlineStr">
        <is>
          <t>IDR</t>
        </is>
      </c>
      <c r="H433" s="251" t="n">
        <v>1</v>
      </c>
      <c r="I433" s="15" t="inlineStr">
        <is>
          <t>INV024</t>
        </is>
      </c>
      <c r="J433" s="18" t="inlineStr">
        <is>
          <t>Elnusa</t>
        </is>
      </c>
      <c r="K433" s="249" t="n">
        <v>45646</v>
      </c>
      <c r="L433" s="252" t="n">
        <v>284197100</v>
      </c>
      <c r="M433" s="253" t="n">
        <v>31900000</v>
      </c>
      <c r="N433" s="253" t="n">
        <v>5800000</v>
      </c>
      <c r="O433" s="252" t="n">
        <v>2900</v>
      </c>
      <c r="P433" s="18" t="inlineStr">
        <is>
          <t>Pemungut</t>
        </is>
      </c>
    </row>
    <row r="434" ht="15.5" customHeight="1">
      <c r="B434" s="249" t="n">
        <v>45569</v>
      </c>
      <c r="C434" s="15" t="n">
        <v>427</v>
      </c>
      <c r="D434" s="170" t="inlineStr">
        <is>
          <t>ALFA Service TGB-033 Pertamina Cirebon</t>
        </is>
      </c>
      <c r="E434" s="227" t="n"/>
      <c r="F434" s="250" t="n">
        <v>290000000</v>
      </c>
      <c r="G434" s="15" t="inlineStr">
        <is>
          <t>IDR</t>
        </is>
      </c>
      <c r="H434" s="251" t="n">
        <v>1</v>
      </c>
      <c r="I434" s="15" t="inlineStr">
        <is>
          <t>INV024</t>
        </is>
      </c>
      <c r="J434" s="18" t="inlineStr">
        <is>
          <t>Elnusa</t>
        </is>
      </c>
      <c r="K434" s="249" t="n">
        <v>45646</v>
      </c>
      <c r="L434" s="252" t="n">
        <v>284197100</v>
      </c>
      <c r="M434" s="253" t="n">
        <v>31900000</v>
      </c>
      <c r="N434" s="253" t="n">
        <v>5800000</v>
      </c>
      <c r="O434" s="252" t="n">
        <v>2900</v>
      </c>
      <c r="P434" s="18" t="inlineStr">
        <is>
          <t>Pemungut</t>
        </is>
      </c>
    </row>
    <row r="435" ht="15.5" customHeight="1">
      <c r="B435" s="249" t="n">
        <v>45569</v>
      </c>
      <c r="C435" s="15" t="n">
        <v>428</v>
      </c>
      <c r="D435" s="170" t="inlineStr">
        <is>
          <t>ALFA Service TGB-033 Pertamina Cirebon</t>
        </is>
      </c>
      <c r="E435" s="227" t="n"/>
      <c r="F435" s="250" t="n">
        <v>290000000</v>
      </c>
      <c r="G435" s="15" t="inlineStr">
        <is>
          <t>IDR</t>
        </is>
      </c>
      <c r="H435" s="251" t="n">
        <v>1</v>
      </c>
      <c r="I435" s="15" t="inlineStr">
        <is>
          <t>INV024</t>
        </is>
      </c>
      <c r="J435" s="18" t="inlineStr">
        <is>
          <t>Elnusa</t>
        </is>
      </c>
      <c r="K435" s="249" t="n">
        <v>45646</v>
      </c>
      <c r="L435" s="252" t="n">
        <v>284197100</v>
      </c>
      <c r="M435" s="253" t="n">
        <v>31900000</v>
      </c>
      <c r="N435" s="253" t="n">
        <v>5800000</v>
      </c>
      <c r="O435" s="252" t="n">
        <v>2900</v>
      </c>
      <c r="P435" s="18" t="inlineStr">
        <is>
          <t>Pemungut</t>
        </is>
      </c>
    </row>
    <row r="436" ht="15.5" customHeight="1">
      <c r="B436" s="249" t="n">
        <v>45569</v>
      </c>
      <c r="C436" s="15" t="n">
        <v>429</v>
      </c>
      <c r="D436" s="170" t="inlineStr">
        <is>
          <t>ALFA Service TGB-033 Pertamina Cirebon</t>
        </is>
      </c>
      <c r="E436" s="227" t="n"/>
      <c r="F436" s="250" t="n">
        <v>290000000</v>
      </c>
      <c r="G436" s="15" t="inlineStr">
        <is>
          <t>IDR</t>
        </is>
      </c>
      <c r="H436" s="251" t="n">
        <v>1</v>
      </c>
      <c r="I436" s="15" t="inlineStr">
        <is>
          <t>INV024</t>
        </is>
      </c>
      <c r="J436" s="18" t="inlineStr">
        <is>
          <t>Elnusa</t>
        </is>
      </c>
      <c r="K436" s="249" t="n">
        <v>45646</v>
      </c>
      <c r="L436" s="252" t="n">
        <v>284197100</v>
      </c>
      <c r="M436" s="253" t="n">
        <v>31900000</v>
      </c>
      <c r="N436" s="253" t="n">
        <v>5800000</v>
      </c>
      <c r="O436" s="252" t="n">
        <v>2900</v>
      </c>
      <c r="P436" s="18" t="inlineStr">
        <is>
          <t>Pemungut</t>
        </is>
      </c>
    </row>
    <row r="437" ht="15.5" customHeight="1">
      <c r="B437" s="249" t="n">
        <v>45569</v>
      </c>
      <c r="C437" s="15" t="n">
        <v>430</v>
      </c>
      <c r="D437" s="170" t="inlineStr">
        <is>
          <t>ALFA Service TGB-033 Pertamina Cirebon</t>
        </is>
      </c>
      <c r="E437" s="227" t="n"/>
      <c r="F437" s="250" t="n">
        <v>290000000</v>
      </c>
      <c r="G437" s="15" t="inlineStr">
        <is>
          <t>IDR</t>
        </is>
      </c>
      <c r="H437" s="251" t="n">
        <v>1</v>
      </c>
      <c r="I437" s="15" t="inlineStr">
        <is>
          <t>INV024</t>
        </is>
      </c>
      <c r="J437" s="18" t="inlineStr">
        <is>
          <t>Elnusa</t>
        </is>
      </c>
      <c r="K437" s="249" t="n">
        <v>45646</v>
      </c>
      <c r="L437" s="252" t="n">
        <v>284197100</v>
      </c>
      <c r="M437" s="253" t="n">
        <v>31900000</v>
      </c>
      <c r="N437" s="253" t="n">
        <v>5800000</v>
      </c>
      <c r="O437" s="252" t="n">
        <v>2900</v>
      </c>
      <c r="P437" s="18" t="inlineStr">
        <is>
          <t>Pemungut</t>
        </is>
      </c>
    </row>
    <row r="438" ht="15.5" customHeight="1">
      <c r="B438" s="249" t="n">
        <v>45569</v>
      </c>
      <c r="C438" s="15" t="n">
        <v>431</v>
      </c>
      <c r="D438" s="170" t="inlineStr">
        <is>
          <t>ALFA Service TGB-033 Pertamina Cirebon</t>
        </is>
      </c>
      <c r="E438" s="227" t="n"/>
      <c r="F438" s="250" t="n">
        <v>290000000</v>
      </c>
      <c r="G438" s="15" t="inlineStr">
        <is>
          <t>IDR</t>
        </is>
      </c>
      <c r="H438" s="251" t="n">
        <v>1</v>
      </c>
      <c r="I438" s="15" t="inlineStr">
        <is>
          <t>INV024</t>
        </is>
      </c>
      <c r="J438" s="18" t="inlineStr">
        <is>
          <t>Elnusa</t>
        </is>
      </c>
      <c r="K438" s="249" t="n">
        <v>45646</v>
      </c>
      <c r="L438" s="252" t="n">
        <v>284197100</v>
      </c>
      <c r="M438" s="253" t="n">
        <v>31900000</v>
      </c>
      <c r="N438" s="253" t="n">
        <v>5800000</v>
      </c>
      <c r="O438" s="252" t="n">
        <v>2900</v>
      </c>
      <c r="P438" s="18" t="inlineStr">
        <is>
          <t>Pemungut</t>
        </is>
      </c>
    </row>
    <row r="439" ht="15.5" customHeight="1">
      <c r="B439" s="249" t="n">
        <v>45569</v>
      </c>
      <c r="C439" s="15" t="n">
        <v>432</v>
      </c>
      <c r="D439" s="170" t="inlineStr">
        <is>
          <t>ALFA Service TGB-033 Pertamina Cirebon</t>
        </is>
      </c>
      <c r="E439" s="227" t="n"/>
      <c r="F439" s="250" t="n">
        <v>290000000</v>
      </c>
      <c r="G439" s="15" t="inlineStr">
        <is>
          <t>IDR</t>
        </is>
      </c>
      <c r="H439" s="251" t="n">
        <v>1</v>
      </c>
      <c r="I439" s="15" t="inlineStr">
        <is>
          <t>INV024</t>
        </is>
      </c>
      <c r="J439" s="18" t="inlineStr">
        <is>
          <t>Elnusa</t>
        </is>
      </c>
      <c r="K439" s="249" t="n">
        <v>45646</v>
      </c>
      <c r="L439" s="252" t="n">
        <v>284197100</v>
      </c>
      <c r="M439" s="253" t="n">
        <v>31900000</v>
      </c>
      <c r="N439" s="253" t="n">
        <v>5800000</v>
      </c>
      <c r="O439" s="252" t="n">
        <v>2900</v>
      </c>
      <c r="P439" s="18" t="inlineStr">
        <is>
          <t>Pemungut</t>
        </is>
      </c>
    </row>
    <row r="440" ht="15.5" customHeight="1">
      <c r="B440" s="249" t="n">
        <v>45569</v>
      </c>
      <c r="C440" s="15" t="n">
        <v>433</v>
      </c>
      <c r="D440" s="170" t="inlineStr">
        <is>
          <t>ALFA Service TGB-033 Pertamina Cirebon</t>
        </is>
      </c>
      <c r="E440" s="227" t="n"/>
      <c r="F440" s="250" t="n">
        <v>290000000</v>
      </c>
      <c r="G440" s="15" t="inlineStr">
        <is>
          <t>IDR</t>
        </is>
      </c>
      <c r="H440" s="251" t="n">
        <v>1</v>
      </c>
      <c r="I440" s="15" t="inlineStr">
        <is>
          <t>INV024</t>
        </is>
      </c>
      <c r="J440" s="18" t="inlineStr">
        <is>
          <t>Elnusa</t>
        </is>
      </c>
      <c r="K440" s="249" t="n">
        <v>45646</v>
      </c>
      <c r="L440" s="252" t="n">
        <v>284197100</v>
      </c>
      <c r="M440" s="253" t="n">
        <v>31900000</v>
      </c>
      <c r="N440" s="253" t="n">
        <v>5800000</v>
      </c>
      <c r="O440" s="252" t="n">
        <v>2900</v>
      </c>
      <c r="P440" s="18" t="inlineStr">
        <is>
          <t>Pemungut</t>
        </is>
      </c>
    </row>
    <row r="441" ht="15.5" customHeight="1">
      <c r="B441" s="249" t="n">
        <v>45569</v>
      </c>
      <c r="C441" s="15" t="n">
        <v>434</v>
      </c>
      <c r="D441" s="170" t="inlineStr">
        <is>
          <t>ALFA Service TGB-033 Pertamina Cirebon</t>
        </is>
      </c>
      <c r="E441" s="227" t="n"/>
      <c r="F441" s="250" t="n">
        <v>290000000</v>
      </c>
      <c r="G441" s="15" t="inlineStr">
        <is>
          <t>IDR</t>
        </is>
      </c>
      <c r="H441" s="251" t="n">
        <v>1</v>
      </c>
      <c r="I441" s="15" t="inlineStr">
        <is>
          <t>INV024</t>
        </is>
      </c>
      <c r="J441" s="18" t="inlineStr">
        <is>
          <t>Elnusa</t>
        </is>
      </c>
      <c r="K441" s="249" t="n">
        <v>45646</v>
      </c>
      <c r="L441" s="252" t="n">
        <v>284197100</v>
      </c>
      <c r="M441" s="253" t="n">
        <v>31900000</v>
      </c>
      <c r="N441" s="253" t="n">
        <v>5800000</v>
      </c>
      <c r="O441" s="252" t="n">
        <v>2900</v>
      </c>
      <c r="P441" s="18" t="inlineStr">
        <is>
          <t>Pemungut</t>
        </is>
      </c>
    </row>
    <row r="442" ht="15.5" customHeight="1">
      <c r="B442" s="249" t="n">
        <v>45569</v>
      </c>
      <c r="C442" s="15" t="n">
        <v>435</v>
      </c>
      <c r="D442" s="170" t="inlineStr">
        <is>
          <t>ALFA Service TGB-033 Pertamina Cirebon</t>
        </is>
      </c>
      <c r="E442" s="227" t="n"/>
      <c r="F442" s="250" t="n">
        <v>290000000</v>
      </c>
      <c r="G442" s="15" t="inlineStr">
        <is>
          <t>IDR</t>
        </is>
      </c>
      <c r="H442" s="251" t="n">
        <v>1</v>
      </c>
      <c r="I442" s="15" t="inlineStr">
        <is>
          <t>INV024</t>
        </is>
      </c>
      <c r="J442" s="18" t="inlineStr">
        <is>
          <t>Elnusa</t>
        </is>
      </c>
      <c r="K442" s="249" t="n">
        <v>45646</v>
      </c>
      <c r="L442" s="252" t="n">
        <v>284197100</v>
      </c>
      <c r="M442" s="253" t="n">
        <v>31900000</v>
      </c>
      <c r="N442" s="253" t="n">
        <v>5800000</v>
      </c>
      <c r="O442" s="252" t="n">
        <v>2900</v>
      </c>
      <c r="P442" s="18" t="inlineStr">
        <is>
          <t>Pemungut</t>
        </is>
      </c>
    </row>
    <row r="443" ht="15.5" customHeight="1">
      <c r="B443" s="249" t="n">
        <v>45569</v>
      </c>
      <c r="C443" s="15" t="n">
        <v>436</v>
      </c>
      <c r="D443" s="170" t="inlineStr">
        <is>
          <t>ALFA Service TGB-033 Pertamina Cirebon</t>
        </is>
      </c>
      <c r="E443" s="227" t="n"/>
      <c r="F443" s="250" t="n">
        <v>290000000</v>
      </c>
      <c r="G443" s="15" t="inlineStr">
        <is>
          <t>IDR</t>
        </is>
      </c>
      <c r="H443" s="251" t="n">
        <v>1</v>
      </c>
      <c r="I443" s="15" t="inlineStr">
        <is>
          <t>INV024</t>
        </is>
      </c>
      <c r="J443" s="18" t="inlineStr">
        <is>
          <t>Elnusa</t>
        </is>
      </c>
      <c r="K443" s="249" t="n">
        <v>45646</v>
      </c>
      <c r="L443" s="252" t="n">
        <v>284197100</v>
      </c>
      <c r="M443" s="253" t="n">
        <v>31900000</v>
      </c>
      <c r="N443" s="253" t="n">
        <v>5800000</v>
      </c>
      <c r="O443" s="252" t="n">
        <v>2900</v>
      </c>
      <c r="P443" s="18" t="inlineStr">
        <is>
          <t>Pemungut</t>
        </is>
      </c>
    </row>
    <row r="444" ht="15.5" customHeight="1">
      <c r="B444" s="249" t="n">
        <v>45569</v>
      </c>
      <c r="C444" s="15" t="n">
        <v>437</v>
      </c>
      <c r="D444" s="170" t="inlineStr">
        <is>
          <t>ALFA Service TGB-033 Pertamina Cirebon</t>
        </is>
      </c>
      <c r="E444" s="227" t="n"/>
      <c r="F444" s="250" t="n">
        <v>290000000</v>
      </c>
      <c r="G444" s="15" t="inlineStr">
        <is>
          <t>IDR</t>
        </is>
      </c>
      <c r="H444" s="251" t="n">
        <v>1</v>
      </c>
      <c r="I444" s="15" t="inlineStr">
        <is>
          <t>INV024</t>
        </is>
      </c>
      <c r="J444" s="18" t="inlineStr">
        <is>
          <t>Elnusa</t>
        </is>
      </c>
      <c r="K444" s="249" t="n">
        <v>45646</v>
      </c>
      <c r="L444" s="252" t="n">
        <v>284197100</v>
      </c>
      <c r="M444" s="253" t="n">
        <v>31900000</v>
      </c>
      <c r="N444" s="253" t="n">
        <v>5800000</v>
      </c>
      <c r="O444" s="252" t="n">
        <v>2900</v>
      </c>
      <c r="P444" s="18" t="inlineStr">
        <is>
          <t>Pemungut</t>
        </is>
      </c>
    </row>
    <row r="445" ht="15.5" customHeight="1">
      <c r="B445" s="249" t="n">
        <v>45569</v>
      </c>
      <c r="C445" s="15" t="n">
        <v>438</v>
      </c>
      <c r="D445" s="170" t="inlineStr">
        <is>
          <t>ALFA Service TGB-033 Pertamina Cirebon</t>
        </is>
      </c>
      <c r="E445" s="227" t="n"/>
      <c r="F445" s="250" t="n">
        <v>290000000</v>
      </c>
      <c r="G445" s="15" t="inlineStr">
        <is>
          <t>IDR</t>
        </is>
      </c>
      <c r="H445" s="251" t="n">
        <v>1</v>
      </c>
      <c r="I445" s="15" t="inlineStr">
        <is>
          <t>INV024</t>
        </is>
      </c>
      <c r="J445" s="18" t="inlineStr">
        <is>
          <t>Elnusa</t>
        </is>
      </c>
      <c r="K445" s="249" t="n">
        <v>45646</v>
      </c>
      <c r="L445" s="252" t="n">
        <v>284197100</v>
      </c>
      <c r="M445" s="253" t="n">
        <v>31900000</v>
      </c>
      <c r="N445" s="253" t="n">
        <v>5800000</v>
      </c>
      <c r="O445" s="252" t="n">
        <v>2900</v>
      </c>
      <c r="P445" s="18" t="inlineStr">
        <is>
          <t>Pemungut</t>
        </is>
      </c>
    </row>
    <row r="446" ht="15.5" customHeight="1">
      <c r="B446" s="249" t="n">
        <v>45569</v>
      </c>
      <c r="C446" s="15" t="n">
        <v>439</v>
      </c>
      <c r="D446" s="170" t="inlineStr">
        <is>
          <t>ALFA Service TGB-033 Pertamina Cirebon</t>
        </is>
      </c>
      <c r="E446" s="227" t="n"/>
      <c r="F446" s="250" t="n">
        <v>290000000</v>
      </c>
      <c r="G446" s="15" t="inlineStr">
        <is>
          <t>IDR</t>
        </is>
      </c>
      <c r="H446" s="251" t="n">
        <v>1</v>
      </c>
      <c r="I446" s="15" t="inlineStr">
        <is>
          <t>INV024</t>
        </is>
      </c>
      <c r="J446" s="18" t="inlineStr">
        <is>
          <t>Elnusa</t>
        </is>
      </c>
      <c r="K446" s="249" t="n">
        <v>45646</v>
      </c>
      <c r="L446" s="252" t="n">
        <v>284197100</v>
      </c>
      <c r="M446" s="253" t="n">
        <v>31900000</v>
      </c>
      <c r="N446" s="253" t="n">
        <v>5800000</v>
      </c>
      <c r="O446" s="252" t="n">
        <v>2900</v>
      </c>
      <c r="P446" s="18" t="inlineStr">
        <is>
          <t>Pemungut</t>
        </is>
      </c>
    </row>
    <row r="447" ht="15.5" customHeight="1">
      <c r="B447" s="249" t="n">
        <v>45569</v>
      </c>
      <c r="C447" s="15" t="n">
        <v>440</v>
      </c>
      <c r="D447" s="170" t="inlineStr">
        <is>
          <t>ALFA Service TGB-033 Pertamina Cirebon</t>
        </is>
      </c>
      <c r="E447" s="227" t="n"/>
      <c r="F447" s="250" t="n">
        <v>290000000</v>
      </c>
      <c r="G447" s="15" t="inlineStr">
        <is>
          <t>IDR</t>
        </is>
      </c>
      <c r="H447" s="251" t="n">
        <v>1</v>
      </c>
      <c r="I447" s="15" t="inlineStr">
        <is>
          <t>INV024</t>
        </is>
      </c>
      <c r="J447" s="18" t="inlineStr">
        <is>
          <t>Elnusa</t>
        </is>
      </c>
      <c r="K447" s="249" t="n">
        <v>45646</v>
      </c>
      <c r="L447" s="252" t="n">
        <v>284197100</v>
      </c>
      <c r="M447" s="253" t="n">
        <v>31900000</v>
      </c>
      <c r="N447" s="253" t="n">
        <v>5800000</v>
      </c>
      <c r="O447" s="252" t="n">
        <v>2900</v>
      </c>
      <c r="P447" s="18" t="inlineStr">
        <is>
          <t>Pemungut</t>
        </is>
      </c>
    </row>
    <row r="448" ht="15.5" customHeight="1">
      <c r="B448" s="249" t="n">
        <v>45569</v>
      </c>
      <c r="C448" s="15" t="n">
        <v>441</v>
      </c>
      <c r="D448" s="170" t="inlineStr">
        <is>
          <t>ALFA Service TGB-033 Pertamina Cirebon</t>
        </is>
      </c>
      <c r="E448" s="227" t="n"/>
      <c r="F448" s="250" t="n">
        <v>290000000</v>
      </c>
      <c r="G448" s="15" t="inlineStr">
        <is>
          <t>IDR</t>
        </is>
      </c>
      <c r="H448" s="251" t="n">
        <v>1</v>
      </c>
      <c r="I448" s="15" t="inlineStr">
        <is>
          <t>INV024</t>
        </is>
      </c>
      <c r="J448" s="18" t="inlineStr">
        <is>
          <t>Elnusa</t>
        </is>
      </c>
      <c r="K448" s="249" t="n">
        <v>45646</v>
      </c>
      <c r="L448" s="252" t="n">
        <v>284197100</v>
      </c>
      <c r="M448" s="253" t="n">
        <v>31900000</v>
      </c>
      <c r="N448" s="253" t="n">
        <v>5800000</v>
      </c>
      <c r="O448" s="252" t="n">
        <v>2900</v>
      </c>
      <c r="P448" s="18" t="inlineStr">
        <is>
          <t>Pemungut</t>
        </is>
      </c>
    </row>
    <row r="449" ht="15.5" customHeight="1">
      <c r="B449" s="249" t="n">
        <v>45569</v>
      </c>
      <c r="C449" s="15" t="n">
        <v>442</v>
      </c>
      <c r="D449" s="170" t="inlineStr">
        <is>
          <t>ALFA Service TGB-033 Pertamina Cirebon</t>
        </is>
      </c>
      <c r="E449" s="227" t="n"/>
      <c r="F449" s="250" t="n">
        <v>290000000</v>
      </c>
      <c r="G449" s="15" t="inlineStr">
        <is>
          <t>IDR</t>
        </is>
      </c>
      <c r="H449" s="251" t="n">
        <v>1</v>
      </c>
      <c r="I449" s="15" t="inlineStr">
        <is>
          <t>INV024</t>
        </is>
      </c>
      <c r="J449" s="18" t="inlineStr">
        <is>
          <t>Elnusa</t>
        </is>
      </c>
      <c r="K449" s="249" t="n">
        <v>45646</v>
      </c>
      <c r="L449" s="252" t="n">
        <v>284197100</v>
      </c>
      <c r="M449" s="253" t="n">
        <v>31900000</v>
      </c>
      <c r="N449" s="253" t="n">
        <v>5800000</v>
      </c>
      <c r="O449" s="252" t="n">
        <v>2900</v>
      </c>
      <c r="P449" s="18" t="inlineStr">
        <is>
          <t>Pemungut</t>
        </is>
      </c>
    </row>
    <row r="450" ht="15.5" customHeight="1">
      <c r="B450" s="249" t="n">
        <v>45569</v>
      </c>
      <c r="C450" s="15" t="n">
        <v>443</v>
      </c>
      <c r="D450" s="170" t="inlineStr">
        <is>
          <t>ALFA Service TGB-033 Pertamina Cirebon</t>
        </is>
      </c>
      <c r="E450" s="227" t="n"/>
      <c r="F450" s="250" t="n">
        <v>290000000</v>
      </c>
      <c r="G450" s="15" t="inlineStr">
        <is>
          <t>IDR</t>
        </is>
      </c>
      <c r="H450" s="251" t="n">
        <v>1</v>
      </c>
      <c r="I450" s="15" t="inlineStr">
        <is>
          <t>INV024</t>
        </is>
      </c>
      <c r="J450" s="18" t="inlineStr">
        <is>
          <t>Elnusa</t>
        </is>
      </c>
      <c r="K450" s="249" t="n">
        <v>45646</v>
      </c>
      <c r="L450" s="252" t="n">
        <v>284197100</v>
      </c>
      <c r="M450" s="253" t="n">
        <v>31900000</v>
      </c>
      <c r="N450" s="253" t="n">
        <v>5800000</v>
      </c>
      <c r="O450" s="252" t="n">
        <v>2900</v>
      </c>
      <c r="P450" s="18" t="inlineStr">
        <is>
          <t>Pemungut</t>
        </is>
      </c>
    </row>
    <row r="451" ht="15.5" customHeight="1">
      <c r="B451" s="249" t="n">
        <v>45569</v>
      </c>
      <c r="C451" s="15" t="n">
        <v>444</v>
      </c>
      <c r="D451" s="170" t="inlineStr">
        <is>
          <t>ALFA Service TGB-033 Pertamina Cirebon</t>
        </is>
      </c>
      <c r="E451" s="227" t="n"/>
      <c r="F451" s="250" t="n">
        <v>290000000</v>
      </c>
      <c r="G451" s="15" t="inlineStr">
        <is>
          <t>IDR</t>
        </is>
      </c>
      <c r="H451" s="251" t="n">
        <v>1</v>
      </c>
      <c r="I451" s="15" t="inlineStr">
        <is>
          <t>INV024</t>
        </is>
      </c>
      <c r="J451" s="18" t="inlineStr">
        <is>
          <t>Elnusa</t>
        </is>
      </c>
      <c r="K451" s="249" t="n">
        <v>45646</v>
      </c>
      <c r="L451" s="252" t="n">
        <v>284197100</v>
      </c>
      <c r="M451" s="253" t="n">
        <v>31900000</v>
      </c>
      <c r="N451" s="253" t="n">
        <v>5800000</v>
      </c>
      <c r="O451" s="252" t="n">
        <v>2900</v>
      </c>
      <c r="P451" s="18" t="inlineStr">
        <is>
          <t>Pemungut</t>
        </is>
      </c>
    </row>
    <row r="452" ht="15.5" customHeight="1">
      <c r="B452" s="249" t="n">
        <v>45569</v>
      </c>
      <c r="C452" s="15" t="n">
        <v>445</v>
      </c>
      <c r="D452" s="170" t="inlineStr">
        <is>
          <t>ALFA Service TGB-033 Pertamina Cirebon</t>
        </is>
      </c>
      <c r="E452" s="227" t="n"/>
      <c r="F452" s="250" t="n">
        <v>290000000</v>
      </c>
      <c r="G452" s="15" t="inlineStr">
        <is>
          <t>IDR</t>
        </is>
      </c>
      <c r="H452" s="251" t="n">
        <v>1</v>
      </c>
      <c r="I452" s="15" t="inlineStr">
        <is>
          <t>INV024</t>
        </is>
      </c>
      <c r="J452" s="18" t="inlineStr">
        <is>
          <t>Elnusa</t>
        </is>
      </c>
      <c r="K452" s="249" t="n">
        <v>45646</v>
      </c>
      <c r="L452" s="252" t="n">
        <v>284197100</v>
      </c>
      <c r="M452" s="253" t="n">
        <v>31900000</v>
      </c>
      <c r="N452" s="253" t="n">
        <v>5800000</v>
      </c>
      <c r="O452" s="252" t="n">
        <v>2900</v>
      </c>
      <c r="P452" s="18" t="inlineStr">
        <is>
          <t>Pemungut</t>
        </is>
      </c>
    </row>
    <row r="453" ht="15.5" customHeight="1">
      <c r="B453" s="249" t="n">
        <v>45569</v>
      </c>
      <c r="C453" s="15" t="n">
        <v>446</v>
      </c>
      <c r="D453" s="170" t="inlineStr">
        <is>
          <t>ALFA Service TGB-033 Pertamina Cirebon</t>
        </is>
      </c>
      <c r="E453" s="227" t="n"/>
      <c r="F453" s="250" t="n">
        <v>290000000</v>
      </c>
      <c r="G453" s="15" t="inlineStr">
        <is>
          <t>IDR</t>
        </is>
      </c>
      <c r="H453" s="251" t="n">
        <v>1</v>
      </c>
      <c r="I453" s="15" t="inlineStr">
        <is>
          <t>INV024</t>
        </is>
      </c>
      <c r="J453" s="18" t="inlineStr">
        <is>
          <t>Elnusa</t>
        </is>
      </c>
      <c r="K453" s="249" t="n">
        <v>45646</v>
      </c>
      <c r="L453" s="252" t="n">
        <v>284197100</v>
      </c>
      <c r="M453" s="253" t="n">
        <v>31900000</v>
      </c>
      <c r="N453" s="253" t="n">
        <v>5800000</v>
      </c>
      <c r="O453" s="252" t="n">
        <v>2900</v>
      </c>
      <c r="P453" s="18" t="inlineStr">
        <is>
          <t>Pemungut</t>
        </is>
      </c>
    </row>
    <row r="454" ht="15.5" customHeight="1">
      <c r="B454" s="249" t="n">
        <v>45569</v>
      </c>
      <c r="C454" s="15" t="n">
        <v>447</v>
      </c>
      <c r="D454" s="170" t="inlineStr">
        <is>
          <t>ALFA Service TGB-033 Pertamina Cirebon</t>
        </is>
      </c>
      <c r="E454" s="227" t="n"/>
      <c r="F454" s="250" t="n">
        <v>290000000</v>
      </c>
      <c r="G454" s="15" t="inlineStr">
        <is>
          <t>IDR</t>
        </is>
      </c>
      <c r="H454" s="251" t="n">
        <v>1</v>
      </c>
      <c r="I454" s="15" t="inlineStr">
        <is>
          <t>INV024</t>
        </is>
      </c>
      <c r="J454" s="18" t="inlineStr">
        <is>
          <t>Elnusa</t>
        </is>
      </c>
      <c r="K454" s="249" t="n">
        <v>45646</v>
      </c>
      <c r="L454" s="252" t="n">
        <v>284197100</v>
      </c>
      <c r="M454" s="253" t="n">
        <v>31900000</v>
      </c>
      <c r="N454" s="253" t="n">
        <v>5800000</v>
      </c>
      <c r="O454" s="252" t="n">
        <v>2900</v>
      </c>
      <c r="P454" s="18" t="inlineStr">
        <is>
          <t>Pemungut</t>
        </is>
      </c>
    </row>
    <row r="455" ht="15.5" customHeight="1">
      <c r="B455" s="249" t="n">
        <v>45569</v>
      </c>
      <c r="C455" s="15" t="n">
        <v>448</v>
      </c>
      <c r="D455" s="170" t="inlineStr">
        <is>
          <t>ALFA Service TGB-033 Pertamina Cirebon</t>
        </is>
      </c>
      <c r="E455" s="227" t="n"/>
      <c r="F455" s="250" t="n">
        <v>290000000</v>
      </c>
      <c r="G455" s="15" t="inlineStr">
        <is>
          <t>IDR</t>
        </is>
      </c>
      <c r="H455" s="251" t="n">
        <v>1</v>
      </c>
      <c r="I455" s="15" t="inlineStr">
        <is>
          <t>INV024</t>
        </is>
      </c>
      <c r="J455" s="18" t="inlineStr">
        <is>
          <t>Elnusa</t>
        </is>
      </c>
      <c r="K455" s="249" t="n">
        <v>45646</v>
      </c>
      <c r="L455" s="252" t="n">
        <v>284197100</v>
      </c>
      <c r="M455" s="253" t="n">
        <v>31900000</v>
      </c>
      <c r="N455" s="253" t="n">
        <v>5800000</v>
      </c>
      <c r="O455" s="252" t="n">
        <v>2900</v>
      </c>
      <c r="P455" s="18" t="inlineStr">
        <is>
          <t>Pemungut</t>
        </is>
      </c>
    </row>
    <row r="456" ht="15.5" customHeight="1">
      <c r="B456" s="249" t="n">
        <v>45569</v>
      </c>
      <c r="C456" s="15" t="n">
        <v>449</v>
      </c>
      <c r="D456" s="170" t="inlineStr">
        <is>
          <t>ALFA Service TGB-033 Pertamina Cirebon</t>
        </is>
      </c>
      <c r="E456" s="227" t="n"/>
      <c r="F456" s="250" t="n">
        <v>290000000</v>
      </c>
      <c r="G456" s="15" t="inlineStr">
        <is>
          <t>IDR</t>
        </is>
      </c>
      <c r="H456" s="251" t="n">
        <v>1</v>
      </c>
      <c r="I456" s="15" t="inlineStr">
        <is>
          <t>INV024</t>
        </is>
      </c>
      <c r="J456" s="18" t="inlineStr">
        <is>
          <t>Elnusa</t>
        </is>
      </c>
      <c r="K456" s="249" t="n">
        <v>45646</v>
      </c>
      <c r="L456" s="252" t="n">
        <v>284197100</v>
      </c>
      <c r="M456" s="253" t="n">
        <v>31900000</v>
      </c>
      <c r="N456" s="253" t="n">
        <v>5800000</v>
      </c>
      <c r="O456" s="252" t="n">
        <v>2900</v>
      </c>
      <c r="P456" s="18" t="inlineStr">
        <is>
          <t>Pemungut</t>
        </is>
      </c>
    </row>
    <row r="457" ht="15.5" customHeight="1">
      <c r="B457" s="249" t="n">
        <v>45569</v>
      </c>
      <c r="C457" s="15" t="n">
        <v>450</v>
      </c>
      <c r="D457" s="170" t="inlineStr">
        <is>
          <t>ALFA Service TGB-033 Pertamina Cirebon</t>
        </is>
      </c>
      <c r="E457" s="227" t="n"/>
      <c r="F457" s="250" t="n">
        <v>290000000</v>
      </c>
      <c r="G457" s="15" t="inlineStr">
        <is>
          <t>IDR</t>
        </is>
      </c>
      <c r="H457" s="251" t="n">
        <v>1</v>
      </c>
      <c r="I457" s="15" t="inlineStr">
        <is>
          <t>INV024</t>
        </is>
      </c>
      <c r="J457" s="18" t="inlineStr">
        <is>
          <t>Elnusa</t>
        </is>
      </c>
      <c r="K457" s="249" t="n">
        <v>45646</v>
      </c>
      <c r="L457" s="252" t="n">
        <v>284197100</v>
      </c>
      <c r="M457" s="253" t="n">
        <v>31900000</v>
      </c>
      <c r="N457" s="253" t="n">
        <v>5800000</v>
      </c>
      <c r="O457" s="252" t="n">
        <v>2900</v>
      </c>
      <c r="P457" s="18" t="inlineStr">
        <is>
          <t>Pemungut</t>
        </is>
      </c>
    </row>
    <row r="458" ht="15.5" customHeight="1">
      <c r="B458" s="249" t="n">
        <v>45569</v>
      </c>
      <c r="C458" s="15" t="n">
        <v>451</v>
      </c>
      <c r="D458" s="170" t="inlineStr">
        <is>
          <t>ALFA Service TGB-033 Pertamina Cirebon</t>
        </is>
      </c>
      <c r="E458" s="227" t="n"/>
      <c r="F458" s="250" t="n">
        <v>290000000</v>
      </c>
      <c r="G458" s="15" t="inlineStr">
        <is>
          <t>IDR</t>
        </is>
      </c>
      <c r="H458" s="251" t="n">
        <v>1</v>
      </c>
      <c r="I458" s="15" t="inlineStr">
        <is>
          <t>INV024</t>
        </is>
      </c>
      <c r="J458" s="18" t="inlineStr">
        <is>
          <t>Elnusa</t>
        </is>
      </c>
      <c r="K458" s="249" t="n">
        <v>45646</v>
      </c>
      <c r="L458" s="252" t="n">
        <v>284197100</v>
      </c>
      <c r="M458" s="253" t="n">
        <v>31900000</v>
      </c>
      <c r="N458" s="253" t="n">
        <v>5800000</v>
      </c>
      <c r="O458" s="252" t="n">
        <v>2900</v>
      </c>
      <c r="P458" s="18" t="inlineStr">
        <is>
          <t>Pemungut</t>
        </is>
      </c>
    </row>
    <row r="459" ht="15.5" customHeight="1">
      <c r="B459" s="249" t="n">
        <v>45569</v>
      </c>
      <c r="C459" s="15" t="n">
        <v>452</v>
      </c>
      <c r="D459" s="170" t="inlineStr">
        <is>
          <t>MFC Service TGB-033 Pertamina Cirebon</t>
        </is>
      </c>
      <c r="E459" s="227" t="n"/>
      <c r="F459" s="250" t="n">
        <v>280000000</v>
      </c>
      <c r="G459" s="15" t="inlineStr">
        <is>
          <t>IDR</t>
        </is>
      </c>
      <c r="H459" s="251" t="n">
        <v>1</v>
      </c>
      <c r="I459" s="15" t="inlineStr">
        <is>
          <t>INV025</t>
        </is>
      </c>
      <c r="J459" s="18" t="inlineStr">
        <is>
          <t>Elnusa</t>
        </is>
      </c>
      <c r="K459" s="249" t="n">
        <v>45653</v>
      </c>
      <c r="L459" s="252" t="n">
        <v>412577100</v>
      </c>
      <c r="M459" s="253" t="n">
        <v>30800000</v>
      </c>
      <c r="N459" s="253" t="n">
        <v>5600000</v>
      </c>
      <c r="O459" s="252" t="n">
        <v>2900</v>
      </c>
      <c r="P459" s="18" t="inlineStr">
        <is>
          <t>Pemungut</t>
        </is>
      </c>
    </row>
    <row r="460" ht="15.5" customHeight="1">
      <c r="B460" s="249" t="n">
        <v>45569</v>
      </c>
      <c r="C460" s="15" t="n">
        <v>453</v>
      </c>
      <c r="D460" s="170" t="inlineStr">
        <is>
          <t>PLT Service TGB-033 Pertamina Cirebon</t>
        </is>
      </c>
      <c r="E460" s="227" t="n"/>
      <c r="F460" s="250" t="n">
        <v>141000000</v>
      </c>
      <c r="G460" s="15" t="inlineStr">
        <is>
          <t>IDR</t>
        </is>
      </c>
      <c r="H460" s="251" t="n">
        <v>1</v>
      </c>
      <c r="I460" s="15" t="inlineStr">
        <is>
          <t>INV026</t>
        </is>
      </c>
      <c r="J460" s="18" t="inlineStr">
        <is>
          <t>Elnusa</t>
        </is>
      </c>
      <c r="K460" s="249" t="n">
        <v>45653</v>
      </c>
      <c r="L460" s="252" t="n">
        <v>0</v>
      </c>
      <c r="M460" s="253" t="n">
        <v>15510000</v>
      </c>
      <c r="N460" s="253" t="n">
        <v>2820000</v>
      </c>
      <c r="O460" s="252" t="n">
        <v>0</v>
      </c>
      <c r="P460" s="18" t="inlineStr"/>
    </row>
    <row r="461" ht="15.5" customHeight="1">
      <c r="B461" s="249" t="n">
        <v>45569</v>
      </c>
      <c r="C461" s="15" t="n">
        <v>454</v>
      </c>
      <c r="D461" s="170" t="inlineStr">
        <is>
          <t>MFC Service TGB-033 Pertamina Cirebon</t>
        </is>
      </c>
      <c r="E461" s="227" t="n"/>
      <c r="F461" s="250" t="n">
        <v>280000000</v>
      </c>
      <c r="G461" s="15" t="inlineStr">
        <is>
          <t>IDR</t>
        </is>
      </c>
      <c r="H461" s="251" t="n">
        <v>1</v>
      </c>
      <c r="I461" s="15" t="inlineStr">
        <is>
          <t>INV025</t>
        </is>
      </c>
      <c r="J461" s="18" t="inlineStr">
        <is>
          <t>Elnusa</t>
        </is>
      </c>
      <c r="K461" s="249" t="n">
        <v>45653</v>
      </c>
      <c r="L461" s="252" t="n">
        <v>412577100</v>
      </c>
      <c r="M461" s="253" t="n">
        <v>30800000</v>
      </c>
      <c r="N461" s="253" t="n">
        <v>5600000</v>
      </c>
      <c r="O461" s="252" t="n">
        <v>2900</v>
      </c>
      <c r="P461" s="18" t="inlineStr">
        <is>
          <t>Pemungut</t>
        </is>
      </c>
    </row>
    <row r="462" ht="15.5" customHeight="1">
      <c r="B462" s="249" t="n">
        <v>45569</v>
      </c>
      <c r="C462" s="15" t="n">
        <v>455</v>
      </c>
      <c r="D462" s="170" t="inlineStr">
        <is>
          <t>PLT Service TGB-033 Pertamina Cirebon</t>
        </is>
      </c>
      <c r="E462" s="227" t="n"/>
      <c r="F462" s="250" t="n">
        <v>141000000</v>
      </c>
      <c r="G462" s="15" t="inlineStr">
        <is>
          <t>IDR</t>
        </is>
      </c>
      <c r="H462" s="251" t="n">
        <v>1</v>
      </c>
      <c r="I462" s="15" t="inlineStr">
        <is>
          <t>INV026</t>
        </is>
      </c>
      <c r="J462" s="18" t="inlineStr">
        <is>
          <t>Elnusa</t>
        </is>
      </c>
      <c r="K462" s="249" t="n">
        <v>45653</v>
      </c>
      <c r="L462" s="252" t="n">
        <v>0</v>
      </c>
      <c r="M462" s="253" t="n">
        <v>15510000</v>
      </c>
      <c r="N462" s="253" t="n">
        <v>2820000</v>
      </c>
      <c r="O462" s="252" t="n">
        <v>0</v>
      </c>
      <c r="P462" s="18" t="inlineStr"/>
    </row>
    <row r="463" ht="15.5" customHeight="1">
      <c r="B463" s="249" t="n">
        <v>45569</v>
      </c>
      <c r="C463" s="15" t="n">
        <v>456</v>
      </c>
      <c r="D463" s="170" t="inlineStr">
        <is>
          <t>MFC Service TGB-033 Pertamina Cirebon</t>
        </is>
      </c>
      <c r="E463" s="227" t="n"/>
      <c r="F463" s="250" t="n">
        <v>280000000</v>
      </c>
      <c r="G463" s="15" t="inlineStr">
        <is>
          <t>IDR</t>
        </is>
      </c>
      <c r="H463" s="251" t="n">
        <v>1</v>
      </c>
      <c r="I463" s="15" t="inlineStr">
        <is>
          <t>INV025</t>
        </is>
      </c>
      <c r="J463" s="18" t="inlineStr">
        <is>
          <t>Elnusa</t>
        </is>
      </c>
      <c r="K463" s="249" t="n">
        <v>45653</v>
      </c>
      <c r="L463" s="252" t="n">
        <v>412577100</v>
      </c>
      <c r="M463" s="253" t="n">
        <v>30800000</v>
      </c>
      <c r="N463" s="253" t="n">
        <v>5600000</v>
      </c>
      <c r="O463" s="252" t="n">
        <v>2900</v>
      </c>
      <c r="P463" s="18" t="inlineStr">
        <is>
          <t>Pemungut</t>
        </is>
      </c>
    </row>
    <row r="464" ht="15.5" customHeight="1">
      <c r="B464" s="249" t="n">
        <v>45569</v>
      </c>
      <c r="C464" s="15" t="n">
        <v>457</v>
      </c>
      <c r="D464" s="170" t="inlineStr">
        <is>
          <t>PLT Service TGB-033 Pertamina Cirebon</t>
        </is>
      </c>
      <c r="E464" s="227" t="n"/>
      <c r="F464" s="250" t="n">
        <v>141000000</v>
      </c>
      <c r="G464" s="15" t="inlineStr">
        <is>
          <t>IDR</t>
        </is>
      </c>
      <c r="H464" s="251" t="n">
        <v>1</v>
      </c>
      <c r="I464" s="15" t="inlineStr">
        <is>
          <t>INV026</t>
        </is>
      </c>
      <c r="J464" s="18" t="inlineStr">
        <is>
          <t>Elnusa</t>
        </is>
      </c>
      <c r="K464" s="249" t="n">
        <v>45653</v>
      </c>
      <c r="L464" s="252" t="n">
        <v>0</v>
      </c>
      <c r="M464" s="253" t="n">
        <v>15510000</v>
      </c>
      <c r="N464" s="253" t="n">
        <v>2820000</v>
      </c>
      <c r="O464" s="252" t="n">
        <v>0</v>
      </c>
      <c r="P464" s="18" t="inlineStr"/>
    </row>
    <row r="465" ht="15.5" customHeight="1">
      <c r="B465" s="249" t="n">
        <v>45569</v>
      </c>
      <c r="C465" s="15" t="n">
        <v>458</v>
      </c>
      <c r="D465" s="170" t="inlineStr">
        <is>
          <t>MFC Service TGB-033 Pertamina Cirebon</t>
        </is>
      </c>
      <c r="E465" s="227" t="n"/>
      <c r="F465" s="250" t="n">
        <v>280000000</v>
      </c>
      <c r="G465" s="15" t="inlineStr">
        <is>
          <t>IDR</t>
        </is>
      </c>
      <c r="H465" s="251" t="n">
        <v>1</v>
      </c>
      <c r="I465" s="15" t="inlineStr">
        <is>
          <t>INV025</t>
        </is>
      </c>
      <c r="J465" s="18" t="inlineStr">
        <is>
          <t>Elnusa</t>
        </is>
      </c>
      <c r="K465" s="249" t="n">
        <v>45653</v>
      </c>
      <c r="L465" s="252" t="n">
        <v>412577100</v>
      </c>
      <c r="M465" s="253" t="n">
        <v>30800000</v>
      </c>
      <c r="N465" s="253" t="n">
        <v>5600000</v>
      </c>
      <c r="O465" s="252" t="n">
        <v>2900</v>
      </c>
      <c r="P465" s="18" t="inlineStr">
        <is>
          <t>Pemungut</t>
        </is>
      </c>
    </row>
    <row r="466" ht="15.5" customHeight="1">
      <c r="B466" s="249" t="n">
        <v>45569</v>
      </c>
      <c r="C466" s="15" t="n">
        <v>459</v>
      </c>
      <c r="D466" s="170" t="inlineStr">
        <is>
          <t>PLT Service TGB-033 Pertamina Cirebon</t>
        </is>
      </c>
      <c r="E466" s="227" t="n"/>
      <c r="F466" s="250" t="n">
        <v>141000000</v>
      </c>
      <c r="G466" s="15" t="inlineStr">
        <is>
          <t>IDR</t>
        </is>
      </c>
      <c r="H466" s="251" t="n">
        <v>1</v>
      </c>
      <c r="I466" s="15" t="inlineStr">
        <is>
          <t>INV026</t>
        </is>
      </c>
      <c r="J466" s="18" t="inlineStr">
        <is>
          <t>Elnusa</t>
        </is>
      </c>
      <c r="K466" s="249" t="n">
        <v>45653</v>
      </c>
      <c r="L466" s="252" t="n">
        <v>0</v>
      </c>
      <c r="M466" s="253" t="n">
        <v>15510000</v>
      </c>
      <c r="N466" s="253" t="n">
        <v>2820000</v>
      </c>
      <c r="O466" s="252" t="n">
        <v>0</v>
      </c>
      <c r="P466" s="18" t="inlineStr"/>
    </row>
    <row r="467" ht="15.5" customHeight="1">
      <c r="B467" s="249" t="n">
        <v>45569</v>
      </c>
      <c r="C467" s="15" t="n">
        <v>460</v>
      </c>
      <c r="D467" s="170" t="inlineStr">
        <is>
          <t>MFC Service TGB-033 Pertamina Cirebon</t>
        </is>
      </c>
      <c r="E467" s="227" t="n"/>
      <c r="F467" s="250" t="n">
        <v>280000000</v>
      </c>
      <c r="G467" s="15" t="inlineStr">
        <is>
          <t>IDR</t>
        </is>
      </c>
      <c r="H467" s="251" t="n">
        <v>1</v>
      </c>
      <c r="I467" s="15" t="inlineStr">
        <is>
          <t>INV025</t>
        </is>
      </c>
      <c r="J467" s="18" t="inlineStr">
        <is>
          <t>Elnusa</t>
        </is>
      </c>
      <c r="K467" s="249" t="n">
        <v>45653</v>
      </c>
      <c r="L467" s="252" t="n">
        <v>412577100</v>
      </c>
      <c r="M467" s="253" t="n">
        <v>30800000</v>
      </c>
      <c r="N467" s="253" t="n">
        <v>5600000</v>
      </c>
      <c r="O467" s="252" t="n">
        <v>2900</v>
      </c>
      <c r="P467" s="18" t="inlineStr">
        <is>
          <t>Pemungut</t>
        </is>
      </c>
    </row>
    <row r="468" ht="15.5" customHeight="1">
      <c r="B468" s="249" t="n">
        <v>45569</v>
      </c>
      <c r="C468" s="15" t="n">
        <v>461</v>
      </c>
      <c r="D468" s="170" t="inlineStr">
        <is>
          <t>PLT Service TGB-033 Pertamina Cirebon</t>
        </is>
      </c>
      <c r="E468" s="227" t="n"/>
      <c r="F468" s="250" t="n">
        <v>141000000</v>
      </c>
      <c r="G468" s="15" t="inlineStr">
        <is>
          <t>IDR</t>
        </is>
      </c>
      <c r="H468" s="251" t="n">
        <v>1</v>
      </c>
      <c r="I468" s="15" t="inlineStr">
        <is>
          <t>INV026</t>
        </is>
      </c>
      <c r="J468" s="18" t="inlineStr">
        <is>
          <t>Elnusa</t>
        </is>
      </c>
      <c r="K468" s="249" t="n">
        <v>45653</v>
      </c>
      <c r="L468" s="252" t="n">
        <v>0</v>
      </c>
      <c r="M468" s="253" t="n">
        <v>15510000</v>
      </c>
      <c r="N468" s="253" t="n">
        <v>2820000</v>
      </c>
      <c r="O468" s="252" t="n">
        <v>0</v>
      </c>
      <c r="P468" s="18" t="inlineStr"/>
    </row>
    <row r="469" ht="15.5" customHeight="1">
      <c r="B469" s="249" t="n">
        <v>45569</v>
      </c>
      <c r="C469" s="15" t="n">
        <v>462</v>
      </c>
      <c r="D469" s="170" t="inlineStr">
        <is>
          <t>MFC Service TGB-033 Pertamina Cirebon</t>
        </is>
      </c>
      <c r="E469" s="227" t="n"/>
      <c r="F469" s="250" t="n">
        <v>280000000</v>
      </c>
      <c r="G469" s="15" t="inlineStr">
        <is>
          <t>IDR</t>
        </is>
      </c>
      <c r="H469" s="251" t="n">
        <v>1</v>
      </c>
      <c r="I469" s="15" t="inlineStr">
        <is>
          <t>INV025</t>
        </is>
      </c>
      <c r="J469" s="18" t="inlineStr">
        <is>
          <t>Elnusa</t>
        </is>
      </c>
      <c r="K469" s="249" t="n">
        <v>45653</v>
      </c>
      <c r="L469" s="252" t="n">
        <v>412577100</v>
      </c>
      <c r="M469" s="253" t="n">
        <v>30800000</v>
      </c>
      <c r="N469" s="253" t="n">
        <v>5600000</v>
      </c>
      <c r="O469" s="252" t="n">
        <v>2900</v>
      </c>
      <c r="P469" s="18" t="inlineStr">
        <is>
          <t>Pemungut</t>
        </is>
      </c>
    </row>
    <row r="470" ht="15.5" customHeight="1">
      <c r="B470" s="249" t="n">
        <v>45569</v>
      </c>
      <c r="C470" s="15" t="n">
        <v>463</v>
      </c>
      <c r="D470" s="170" t="inlineStr">
        <is>
          <t>PLT Service TGB-033 Pertamina Cirebon</t>
        </is>
      </c>
      <c r="E470" s="227" t="n"/>
      <c r="F470" s="250" t="n">
        <v>141000000</v>
      </c>
      <c r="G470" s="15" t="inlineStr">
        <is>
          <t>IDR</t>
        </is>
      </c>
      <c r="H470" s="251" t="n">
        <v>1</v>
      </c>
      <c r="I470" s="15" t="inlineStr">
        <is>
          <t>INV026</t>
        </is>
      </c>
      <c r="J470" s="18" t="inlineStr">
        <is>
          <t>Elnusa</t>
        </is>
      </c>
      <c r="K470" s="249" t="n">
        <v>45653</v>
      </c>
      <c r="L470" s="252" t="n">
        <v>0</v>
      </c>
      <c r="M470" s="253" t="n">
        <v>15510000</v>
      </c>
      <c r="N470" s="253" t="n">
        <v>2820000</v>
      </c>
      <c r="O470" s="252" t="n">
        <v>0</v>
      </c>
      <c r="P470" s="18" t="inlineStr"/>
    </row>
    <row r="471" ht="15.5" customHeight="1">
      <c r="B471" s="249" t="n">
        <v>45569</v>
      </c>
      <c r="C471" s="15" t="n">
        <v>464</v>
      </c>
      <c r="D471" s="170" t="inlineStr">
        <is>
          <t>MFC Service TGB-033 Pertamina Cirebon</t>
        </is>
      </c>
      <c r="E471" s="227" t="n"/>
      <c r="F471" s="250" t="n">
        <v>280000000</v>
      </c>
      <c r="G471" s="15" t="inlineStr">
        <is>
          <t>IDR</t>
        </is>
      </c>
      <c r="H471" s="251" t="n">
        <v>1</v>
      </c>
      <c r="I471" s="15" t="inlineStr">
        <is>
          <t>INV025</t>
        </is>
      </c>
      <c r="J471" s="18" t="inlineStr">
        <is>
          <t>Elnusa</t>
        </is>
      </c>
      <c r="K471" s="249" t="n">
        <v>45653</v>
      </c>
      <c r="L471" s="252" t="n">
        <v>412577100</v>
      </c>
      <c r="M471" s="253" t="n">
        <v>30800000</v>
      </c>
      <c r="N471" s="253" t="n">
        <v>5600000</v>
      </c>
      <c r="O471" s="252" t="n">
        <v>2900</v>
      </c>
      <c r="P471" s="18" t="inlineStr">
        <is>
          <t>Pemungut</t>
        </is>
      </c>
    </row>
    <row r="472" ht="15.5" customHeight="1">
      <c r="B472" s="249" t="n">
        <v>45569</v>
      </c>
      <c r="C472" s="15" t="n">
        <v>465</v>
      </c>
      <c r="D472" s="170" t="inlineStr">
        <is>
          <t>PLT Service TGB-033 Pertamina Cirebon</t>
        </is>
      </c>
      <c r="E472" s="227" t="n"/>
      <c r="F472" s="250" t="n">
        <v>141000000</v>
      </c>
      <c r="G472" s="15" t="inlineStr">
        <is>
          <t>IDR</t>
        </is>
      </c>
      <c r="H472" s="251" t="n">
        <v>1</v>
      </c>
      <c r="I472" s="15" t="inlineStr">
        <is>
          <t>INV026</t>
        </is>
      </c>
      <c r="J472" s="18" t="inlineStr">
        <is>
          <t>Elnusa</t>
        </is>
      </c>
      <c r="K472" s="249" t="n">
        <v>45653</v>
      </c>
      <c r="L472" s="252" t="n">
        <v>0</v>
      </c>
      <c r="M472" s="253" t="n">
        <v>15510000</v>
      </c>
      <c r="N472" s="253" t="n">
        <v>2820000</v>
      </c>
      <c r="O472" s="252" t="n">
        <v>0</v>
      </c>
      <c r="P472" s="18" t="inlineStr"/>
    </row>
    <row r="473" ht="15.5" customHeight="1">
      <c r="B473" s="249" t="n">
        <v>45569</v>
      </c>
      <c r="C473" s="15" t="n">
        <v>466</v>
      </c>
      <c r="D473" s="170" t="inlineStr">
        <is>
          <t>MFC Service TGB-033 Pertamina Cirebon</t>
        </is>
      </c>
      <c r="E473" s="227" t="n"/>
      <c r="F473" s="250" t="n">
        <v>280000000</v>
      </c>
      <c r="G473" s="15" t="inlineStr">
        <is>
          <t>IDR</t>
        </is>
      </c>
      <c r="H473" s="251" t="n">
        <v>1</v>
      </c>
      <c r="I473" s="15" t="inlineStr">
        <is>
          <t>INV025</t>
        </is>
      </c>
      <c r="J473" s="18" t="inlineStr">
        <is>
          <t>Elnusa</t>
        </is>
      </c>
      <c r="K473" s="249" t="n">
        <v>45653</v>
      </c>
      <c r="L473" s="252" t="n">
        <v>412577100</v>
      </c>
      <c r="M473" s="253" t="n">
        <v>30800000</v>
      </c>
      <c r="N473" s="253" t="n">
        <v>5600000</v>
      </c>
      <c r="O473" s="252" t="n">
        <v>2900</v>
      </c>
      <c r="P473" s="18" t="inlineStr">
        <is>
          <t>Pemungut</t>
        </is>
      </c>
    </row>
    <row r="474" ht="15.5" customHeight="1">
      <c r="B474" s="249" t="n">
        <v>45569</v>
      </c>
      <c r="C474" s="15" t="n">
        <v>467</v>
      </c>
      <c r="D474" s="170" t="inlineStr">
        <is>
          <t>PLT Service TGB-033 Pertamina Cirebon</t>
        </is>
      </c>
      <c r="E474" s="227" t="n"/>
      <c r="F474" s="250" t="n">
        <v>141000000</v>
      </c>
      <c r="G474" s="15" t="inlineStr">
        <is>
          <t>IDR</t>
        </is>
      </c>
      <c r="H474" s="251" t="n">
        <v>1</v>
      </c>
      <c r="I474" s="15" t="inlineStr">
        <is>
          <t>INV026</t>
        </is>
      </c>
      <c r="J474" s="18" t="inlineStr">
        <is>
          <t>Elnusa</t>
        </is>
      </c>
      <c r="K474" s="249" t="n">
        <v>45653</v>
      </c>
      <c r="L474" s="252" t="n">
        <v>0</v>
      </c>
      <c r="M474" s="253" t="n">
        <v>15510000</v>
      </c>
      <c r="N474" s="253" t="n">
        <v>2820000</v>
      </c>
      <c r="O474" s="252" t="n">
        <v>0</v>
      </c>
      <c r="P474" s="18" t="inlineStr"/>
    </row>
    <row r="475" ht="15.5" customHeight="1">
      <c r="B475" s="249" t="n">
        <v>45569</v>
      </c>
      <c r="C475" s="15" t="n">
        <v>468</v>
      </c>
      <c r="D475" s="170" t="inlineStr">
        <is>
          <t>MFC Service TGB-033 Pertamina Cirebon</t>
        </is>
      </c>
      <c r="E475" s="227" t="n"/>
      <c r="F475" s="250" t="n">
        <v>280000000</v>
      </c>
      <c r="G475" s="15" t="inlineStr">
        <is>
          <t>IDR</t>
        </is>
      </c>
      <c r="H475" s="251" t="n">
        <v>1</v>
      </c>
      <c r="I475" s="15" t="inlineStr">
        <is>
          <t>INV025</t>
        </is>
      </c>
      <c r="J475" s="18" t="inlineStr">
        <is>
          <t>Elnusa</t>
        </is>
      </c>
      <c r="K475" s="249" t="n">
        <v>45653</v>
      </c>
      <c r="L475" s="252" t="n">
        <v>412577100</v>
      </c>
      <c r="M475" s="253" t="n">
        <v>30800000</v>
      </c>
      <c r="N475" s="253" t="n">
        <v>5600000</v>
      </c>
      <c r="O475" s="252" t="n">
        <v>2900</v>
      </c>
      <c r="P475" s="18" t="inlineStr">
        <is>
          <t>Pemungut</t>
        </is>
      </c>
    </row>
    <row r="476" ht="15.5" customHeight="1">
      <c r="B476" s="249" t="n">
        <v>45569</v>
      </c>
      <c r="C476" s="15" t="n">
        <v>469</v>
      </c>
      <c r="D476" s="170" t="inlineStr">
        <is>
          <t>PLT Service TGB-033 Pertamina Cirebon</t>
        </is>
      </c>
      <c r="E476" s="227" t="n"/>
      <c r="F476" s="250" t="n">
        <v>141000000</v>
      </c>
      <c r="G476" s="15" t="inlineStr">
        <is>
          <t>IDR</t>
        </is>
      </c>
      <c r="H476" s="251" t="n">
        <v>1</v>
      </c>
      <c r="I476" s="15" t="inlineStr">
        <is>
          <t>INV026</t>
        </is>
      </c>
      <c r="J476" s="18" t="inlineStr">
        <is>
          <t>Elnusa</t>
        </is>
      </c>
      <c r="K476" s="249" t="n">
        <v>45653</v>
      </c>
      <c r="L476" s="252" t="n">
        <v>0</v>
      </c>
      <c r="M476" s="253" t="n">
        <v>15510000</v>
      </c>
      <c r="N476" s="253" t="n">
        <v>2820000</v>
      </c>
      <c r="O476" s="252" t="n">
        <v>0</v>
      </c>
      <c r="P476" s="18" t="inlineStr"/>
    </row>
    <row r="477" ht="15.5" customHeight="1">
      <c r="B477" s="249" t="n">
        <v>45569</v>
      </c>
      <c r="C477" s="15" t="n">
        <v>470</v>
      </c>
      <c r="D477" s="170" t="inlineStr">
        <is>
          <t>MFC Service TGB-033 Pertamina Cirebon</t>
        </is>
      </c>
      <c r="E477" s="227" t="n"/>
      <c r="F477" s="250" t="n">
        <v>280000000</v>
      </c>
      <c r="G477" s="15" t="inlineStr">
        <is>
          <t>IDR</t>
        </is>
      </c>
      <c r="H477" s="251" t="n">
        <v>1</v>
      </c>
      <c r="I477" s="15" t="inlineStr">
        <is>
          <t>INV025</t>
        </is>
      </c>
      <c r="J477" s="18" t="inlineStr">
        <is>
          <t>Elnusa</t>
        </is>
      </c>
      <c r="K477" s="249" t="n">
        <v>45653</v>
      </c>
      <c r="L477" s="252" t="n">
        <v>412577100</v>
      </c>
      <c r="M477" s="253" t="n">
        <v>30800000</v>
      </c>
      <c r="N477" s="253" t="n">
        <v>5600000</v>
      </c>
      <c r="O477" s="252" t="n">
        <v>2900</v>
      </c>
      <c r="P477" s="18" t="inlineStr">
        <is>
          <t>Pemungut</t>
        </is>
      </c>
    </row>
    <row r="478" ht="15.5" customHeight="1">
      <c r="B478" s="249" t="n">
        <v>45569</v>
      </c>
      <c r="C478" s="15" t="n">
        <v>471</v>
      </c>
      <c r="D478" s="170" t="inlineStr">
        <is>
          <t>PLT Service TGB-033 Pertamina Cirebon</t>
        </is>
      </c>
      <c r="E478" s="227" t="n"/>
      <c r="F478" s="250" t="n">
        <v>141000000</v>
      </c>
      <c r="G478" s="15" t="inlineStr">
        <is>
          <t>IDR</t>
        </is>
      </c>
      <c r="H478" s="251" t="n">
        <v>1</v>
      </c>
      <c r="I478" s="15" t="inlineStr">
        <is>
          <t>INV026</t>
        </is>
      </c>
      <c r="J478" s="18" t="inlineStr">
        <is>
          <t>Elnusa</t>
        </is>
      </c>
      <c r="K478" s="249" t="n">
        <v>45653</v>
      </c>
      <c r="L478" s="252" t="n">
        <v>0</v>
      </c>
      <c r="M478" s="253" t="n">
        <v>15510000</v>
      </c>
      <c r="N478" s="253" t="n">
        <v>2820000</v>
      </c>
      <c r="O478" s="252" t="n">
        <v>0</v>
      </c>
      <c r="P478" s="18" t="inlineStr"/>
    </row>
    <row r="479" ht="15.5" customHeight="1">
      <c r="B479" s="249" t="n">
        <v>45569</v>
      </c>
      <c r="C479" s="15" t="n">
        <v>472</v>
      </c>
      <c r="D479" s="170" t="inlineStr">
        <is>
          <t>MFC Service TGB-033 Pertamina Cirebon</t>
        </is>
      </c>
      <c r="E479" s="227" t="n"/>
      <c r="F479" s="250" t="n">
        <v>280000000</v>
      </c>
      <c r="G479" s="15" t="inlineStr">
        <is>
          <t>IDR</t>
        </is>
      </c>
      <c r="H479" s="251" t="n">
        <v>1</v>
      </c>
      <c r="I479" s="15" t="inlineStr">
        <is>
          <t>INV025</t>
        </is>
      </c>
      <c r="J479" s="18" t="inlineStr">
        <is>
          <t>Elnusa</t>
        </is>
      </c>
      <c r="K479" s="249" t="n">
        <v>45653</v>
      </c>
      <c r="L479" s="252" t="n">
        <v>412577100</v>
      </c>
      <c r="M479" s="253" t="n">
        <v>30800000</v>
      </c>
      <c r="N479" s="253" t="n">
        <v>5600000</v>
      </c>
      <c r="O479" s="252" t="n">
        <v>2900</v>
      </c>
      <c r="P479" s="18" t="inlineStr">
        <is>
          <t>Pemungut</t>
        </is>
      </c>
    </row>
    <row r="480" ht="15.5" customHeight="1">
      <c r="B480" s="249" t="n">
        <v>45569</v>
      </c>
      <c r="C480" s="15" t="n">
        <v>473</v>
      </c>
      <c r="D480" s="170" t="inlineStr">
        <is>
          <t>PLT Service TGB-033 Pertamina Cirebon</t>
        </is>
      </c>
      <c r="E480" s="227" t="n"/>
      <c r="F480" s="250" t="n">
        <v>141000000</v>
      </c>
      <c r="G480" s="15" t="inlineStr">
        <is>
          <t>IDR</t>
        </is>
      </c>
      <c r="H480" s="251" t="n">
        <v>1</v>
      </c>
      <c r="I480" s="15" t="inlineStr">
        <is>
          <t>INV026</t>
        </is>
      </c>
      <c r="J480" s="18" t="inlineStr">
        <is>
          <t>Elnusa</t>
        </is>
      </c>
      <c r="K480" s="249" t="n">
        <v>45653</v>
      </c>
      <c r="L480" s="252" t="n">
        <v>0</v>
      </c>
      <c r="M480" s="253" t="n">
        <v>15510000</v>
      </c>
      <c r="N480" s="253" t="n">
        <v>2820000</v>
      </c>
      <c r="O480" s="252" t="n">
        <v>0</v>
      </c>
      <c r="P480" s="18" t="inlineStr"/>
    </row>
    <row r="481" ht="15.5" customHeight="1">
      <c r="B481" s="249" t="n">
        <v>45569</v>
      </c>
      <c r="C481" s="15" t="n">
        <v>474</v>
      </c>
      <c r="D481" s="170" t="inlineStr">
        <is>
          <t>MFC Service TGB-033 Pertamina Cirebon</t>
        </is>
      </c>
      <c r="E481" s="227" t="n"/>
      <c r="F481" s="250" t="n">
        <v>280000000</v>
      </c>
      <c r="G481" s="15" t="inlineStr">
        <is>
          <t>IDR</t>
        </is>
      </c>
      <c r="H481" s="251" t="n">
        <v>1</v>
      </c>
      <c r="I481" s="15" t="inlineStr">
        <is>
          <t>INV025</t>
        </is>
      </c>
      <c r="J481" s="18" t="inlineStr">
        <is>
          <t>Elnusa</t>
        </is>
      </c>
      <c r="K481" s="249" t="n">
        <v>45653</v>
      </c>
      <c r="L481" s="252" t="n">
        <v>412577100</v>
      </c>
      <c r="M481" s="253" t="n">
        <v>30800000</v>
      </c>
      <c r="N481" s="253" t="n">
        <v>5600000</v>
      </c>
      <c r="O481" s="252" t="n">
        <v>2900</v>
      </c>
      <c r="P481" s="18" t="inlineStr">
        <is>
          <t>Pemungut</t>
        </is>
      </c>
    </row>
    <row r="482" ht="15.5" customHeight="1">
      <c r="B482" s="249" t="n">
        <v>45569</v>
      </c>
      <c r="C482" s="15" t="n">
        <v>475</v>
      </c>
      <c r="D482" s="170" t="inlineStr">
        <is>
          <t>PLT Service TGB-033 Pertamina Cirebon</t>
        </is>
      </c>
      <c r="E482" s="227" t="n"/>
      <c r="F482" s="250" t="n">
        <v>141000000</v>
      </c>
      <c r="G482" s="15" t="inlineStr">
        <is>
          <t>IDR</t>
        </is>
      </c>
      <c r="H482" s="251" t="n">
        <v>1</v>
      </c>
      <c r="I482" s="15" t="inlineStr">
        <is>
          <t>INV026</t>
        </is>
      </c>
      <c r="J482" s="18" t="inlineStr">
        <is>
          <t>Elnusa</t>
        </is>
      </c>
      <c r="K482" s="249" t="n">
        <v>45653</v>
      </c>
      <c r="L482" s="252" t="n">
        <v>0</v>
      </c>
      <c r="M482" s="253" t="n">
        <v>15510000</v>
      </c>
      <c r="N482" s="253" t="n">
        <v>2820000</v>
      </c>
      <c r="O482" s="252" t="n">
        <v>0</v>
      </c>
      <c r="P482" s="18" t="inlineStr"/>
    </row>
    <row r="483" ht="15.5" customHeight="1">
      <c r="B483" s="249" t="n">
        <v>45569</v>
      </c>
      <c r="C483" s="15" t="n">
        <v>476</v>
      </c>
      <c r="D483" s="170" t="inlineStr">
        <is>
          <t>MFC Service TGB-033 Pertamina Cirebon</t>
        </is>
      </c>
      <c r="E483" s="227" t="n"/>
      <c r="F483" s="250" t="n">
        <v>280000000</v>
      </c>
      <c r="G483" s="15" t="inlineStr">
        <is>
          <t>IDR</t>
        </is>
      </c>
      <c r="H483" s="251" t="n">
        <v>1</v>
      </c>
      <c r="I483" s="15" t="inlineStr">
        <is>
          <t>INV025</t>
        </is>
      </c>
      <c r="J483" s="18" t="inlineStr">
        <is>
          <t>Elnusa</t>
        </is>
      </c>
      <c r="K483" s="249" t="n">
        <v>45653</v>
      </c>
      <c r="L483" s="252" t="n">
        <v>412577100</v>
      </c>
      <c r="M483" s="253" t="n">
        <v>30800000</v>
      </c>
      <c r="N483" s="253" t="n">
        <v>5600000</v>
      </c>
      <c r="O483" s="252" t="n">
        <v>2900</v>
      </c>
      <c r="P483" s="18" t="inlineStr">
        <is>
          <t>Pemungut</t>
        </is>
      </c>
    </row>
    <row r="484" ht="15.5" customHeight="1">
      <c r="B484" s="249" t="n">
        <v>45569</v>
      </c>
      <c r="C484" s="15" t="n">
        <v>477</v>
      </c>
      <c r="D484" s="170" t="inlineStr">
        <is>
          <t>PLT Service TGB-033 Pertamina Cirebon</t>
        </is>
      </c>
      <c r="E484" s="227" t="n"/>
      <c r="F484" s="250" t="n">
        <v>141000000</v>
      </c>
      <c r="G484" s="15" t="inlineStr">
        <is>
          <t>IDR</t>
        </is>
      </c>
      <c r="H484" s="251" t="n">
        <v>1</v>
      </c>
      <c r="I484" s="15" t="inlineStr">
        <is>
          <t>INV026</t>
        </is>
      </c>
      <c r="J484" s="18" t="inlineStr">
        <is>
          <t>Elnusa</t>
        </is>
      </c>
      <c r="K484" s="249" t="n">
        <v>45653</v>
      </c>
      <c r="L484" s="252" t="n">
        <v>0</v>
      </c>
      <c r="M484" s="253" t="n">
        <v>15510000</v>
      </c>
      <c r="N484" s="253" t="n">
        <v>2820000</v>
      </c>
      <c r="O484" s="252" t="n">
        <v>0</v>
      </c>
      <c r="P484" s="18" t="inlineStr"/>
    </row>
    <row r="485" ht="15.5" customHeight="1">
      <c r="B485" s="249" t="n">
        <v>45569</v>
      </c>
      <c r="C485" s="15" t="n">
        <v>478</v>
      </c>
      <c r="D485" s="170" t="inlineStr">
        <is>
          <t>MFC Service TGB-033 Pertamina Cirebon</t>
        </is>
      </c>
      <c r="E485" s="227" t="n"/>
      <c r="F485" s="250" t="n">
        <v>280000000</v>
      </c>
      <c r="G485" s="15" t="inlineStr">
        <is>
          <t>IDR</t>
        </is>
      </c>
      <c r="H485" s="251" t="n">
        <v>1</v>
      </c>
      <c r="I485" s="15" t="inlineStr">
        <is>
          <t>INV025</t>
        </is>
      </c>
      <c r="J485" s="18" t="inlineStr">
        <is>
          <t>Elnusa</t>
        </is>
      </c>
      <c r="K485" s="249" t="n">
        <v>45653</v>
      </c>
      <c r="L485" s="252" t="n">
        <v>412577100</v>
      </c>
      <c r="M485" s="253" t="n">
        <v>30800000</v>
      </c>
      <c r="N485" s="253" t="n">
        <v>5600000</v>
      </c>
      <c r="O485" s="252" t="n">
        <v>2900</v>
      </c>
      <c r="P485" s="18" t="inlineStr">
        <is>
          <t>Pemungut</t>
        </is>
      </c>
    </row>
    <row r="486" ht="15.5" customFormat="1" customHeight="1" s="126">
      <c r="B486" s="249" t="n">
        <v>45569</v>
      </c>
      <c r="C486" s="15" t="n">
        <v>479</v>
      </c>
      <c r="D486" s="170" t="inlineStr">
        <is>
          <t>PLT Service TGB-033 Pertamina Cirebon</t>
        </is>
      </c>
      <c r="E486" s="227" t="n"/>
      <c r="F486" s="250" t="n">
        <v>141000000</v>
      </c>
      <c r="G486" s="15" t="inlineStr">
        <is>
          <t>IDR</t>
        </is>
      </c>
      <c r="H486" s="251" t="n">
        <v>1</v>
      </c>
      <c r="I486" s="15" t="inlineStr">
        <is>
          <t>INV026</t>
        </is>
      </c>
      <c r="J486" s="18" t="inlineStr">
        <is>
          <t>Elnusa</t>
        </is>
      </c>
      <c r="K486" s="249" t="n">
        <v>45653</v>
      </c>
      <c r="L486" s="252" t="n">
        <v>0</v>
      </c>
      <c r="M486" s="253" t="n">
        <v>15510000</v>
      </c>
      <c r="N486" s="253" t="n">
        <v>2820000</v>
      </c>
      <c r="O486" s="252" t="n">
        <v>0</v>
      </c>
      <c r="P486" s="18" t="inlineStr"/>
    </row>
    <row r="487" ht="15.5" customHeight="1">
      <c r="B487" s="249" t="n">
        <v>45569</v>
      </c>
      <c r="C487" s="15" t="n">
        <v>480</v>
      </c>
      <c r="D487" s="170" t="inlineStr">
        <is>
          <t>MFC Service TGB-033 Pertamina Cirebon</t>
        </is>
      </c>
      <c r="E487" s="227" t="n"/>
      <c r="F487" s="250" t="n">
        <v>280000000</v>
      </c>
      <c r="G487" s="15" t="inlineStr">
        <is>
          <t>IDR</t>
        </is>
      </c>
      <c r="H487" s="251" t="n">
        <v>1</v>
      </c>
      <c r="I487" s="15" t="inlineStr">
        <is>
          <t>INV025</t>
        </is>
      </c>
      <c r="J487" s="18" t="inlineStr">
        <is>
          <t>Elnusa</t>
        </is>
      </c>
      <c r="K487" s="249" t="n">
        <v>45653</v>
      </c>
      <c r="L487" s="252" t="n">
        <v>412577100</v>
      </c>
      <c r="M487" s="253" t="n">
        <v>30800000</v>
      </c>
      <c r="N487" s="253" t="n">
        <v>5600000</v>
      </c>
      <c r="O487" s="252" t="n">
        <v>2900</v>
      </c>
      <c r="P487" s="18" t="inlineStr">
        <is>
          <t>Pemungut</t>
        </is>
      </c>
    </row>
    <row r="488" ht="15.5" customHeight="1">
      <c r="B488" s="249" t="n">
        <v>45569</v>
      </c>
      <c r="C488" s="15" t="n">
        <v>481</v>
      </c>
      <c r="D488" s="170" t="inlineStr">
        <is>
          <t>PLT Service TGB-033 Pertamina Cirebon</t>
        </is>
      </c>
      <c r="E488" s="227" t="n"/>
      <c r="F488" s="250" t="n">
        <v>141000000</v>
      </c>
      <c r="G488" s="15" t="inlineStr">
        <is>
          <t>IDR</t>
        </is>
      </c>
      <c r="H488" s="251" t="n">
        <v>1</v>
      </c>
      <c r="I488" s="15" t="inlineStr">
        <is>
          <t>INV026</t>
        </is>
      </c>
      <c r="J488" s="18" t="inlineStr">
        <is>
          <t>Elnusa</t>
        </is>
      </c>
      <c r="K488" s="249" t="n">
        <v>45653</v>
      </c>
      <c r="L488" s="252" t="n">
        <v>0</v>
      </c>
      <c r="M488" s="253" t="n">
        <v>15510000</v>
      </c>
      <c r="N488" s="253" t="n">
        <v>2820000</v>
      </c>
      <c r="O488" s="252" t="n">
        <v>0</v>
      </c>
      <c r="P488" s="18" t="inlineStr"/>
    </row>
    <row r="489" ht="15.5" customHeight="1">
      <c r="B489" s="249" t="n">
        <v>45569</v>
      </c>
      <c r="C489" s="15" t="n">
        <v>482</v>
      </c>
      <c r="D489" s="170" t="inlineStr">
        <is>
          <t>MFC Service TGB-033 Pertamina Cirebon</t>
        </is>
      </c>
      <c r="E489" s="227" t="n"/>
      <c r="F489" s="250" t="n">
        <v>280000000</v>
      </c>
      <c r="G489" s="15" t="inlineStr">
        <is>
          <t>IDR</t>
        </is>
      </c>
      <c r="H489" s="251" t="n">
        <v>1</v>
      </c>
      <c r="I489" s="15" t="inlineStr">
        <is>
          <t>INV025</t>
        </is>
      </c>
      <c r="J489" s="18" t="inlineStr">
        <is>
          <t>Elnusa</t>
        </is>
      </c>
      <c r="K489" s="249" t="n">
        <v>45653</v>
      </c>
      <c r="L489" s="252" t="n">
        <v>412577100</v>
      </c>
      <c r="M489" s="253" t="n">
        <v>30800000</v>
      </c>
      <c r="N489" s="253" t="n">
        <v>5600000</v>
      </c>
      <c r="O489" s="252" t="n">
        <v>2900</v>
      </c>
      <c r="P489" s="18" t="inlineStr">
        <is>
          <t>Pemungut</t>
        </is>
      </c>
    </row>
    <row r="490" ht="15.5" customHeight="1">
      <c r="B490" s="249" t="n">
        <v>45569</v>
      </c>
      <c r="C490" s="15" t="n">
        <v>483</v>
      </c>
      <c r="D490" s="170" t="inlineStr">
        <is>
          <t>PLT Service TGB-033 Pertamina Cirebon</t>
        </is>
      </c>
      <c r="E490" s="227" t="n"/>
      <c r="F490" s="250" t="n">
        <v>141000000</v>
      </c>
      <c r="G490" s="15" t="inlineStr">
        <is>
          <t>IDR</t>
        </is>
      </c>
      <c r="H490" s="251" t="n">
        <v>1</v>
      </c>
      <c r="I490" s="15" t="inlineStr">
        <is>
          <t>INV026</t>
        </is>
      </c>
      <c r="J490" s="18" t="inlineStr">
        <is>
          <t>Elnusa</t>
        </is>
      </c>
      <c r="K490" s="249" t="n">
        <v>45653</v>
      </c>
      <c r="L490" s="252" t="n">
        <v>0</v>
      </c>
      <c r="M490" s="253" t="n">
        <v>15510000</v>
      </c>
      <c r="N490" s="253" t="n">
        <v>2820000</v>
      </c>
      <c r="O490" s="252" t="n">
        <v>0</v>
      </c>
      <c r="P490" s="18" t="inlineStr"/>
    </row>
    <row r="491" ht="15.5" customHeight="1">
      <c r="B491" s="249" t="n">
        <v>45569</v>
      </c>
      <c r="C491" s="15" t="n">
        <v>484</v>
      </c>
      <c r="D491" s="170" t="inlineStr">
        <is>
          <t>MFC Service TGB-033 Pertamina Cirebon</t>
        </is>
      </c>
      <c r="E491" s="227" t="n"/>
      <c r="F491" s="250" t="n">
        <v>280000000</v>
      </c>
      <c r="G491" s="15" t="inlineStr">
        <is>
          <t>IDR</t>
        </is>
      </c>
      <c r="H491" s="251" t="n">
        <v>1</v>
      </c>
      <c r="I491" s="15" t="inlineStr">
        <is>
          <t>INV025</t>
        </is>
      </c>
      <c r="J491" s="18" t="inlineStr">
        <is>
          <t>Elnusa</t>
        </is>
      </c>
      <c r="K491" s="249" t="n">
        <v>45653</v>
      </c>
      <c r="L491" s="252" t="n">
        <v>412577100</v>
      </c>
      <c r="M491" s="253" t="n">
        <v>30800000</v>
      </c>
      <c r="N491" s="253" t="n">
        <v>5600000</v>
      </c>
      <c r="O491" s="252" t="n">
        <v>2900</v>
      </c>
      <c r="P491" s="18" t="inlineStr">
        <is>
          <t>Pemungut</t>
        </is>
      </c>
    </row>
    <row r="492" ht="15.5" customHeight="1">
      <c r="B492" s="249" t="n">
        <v>45569</v>
      </c>
      <c r="C492" s="15" t="n">
        <v>485</v>
      </c>
      <c r="D492" s="170" t="inlineStr">
        <is>
          <t>PLT Service TGB-033 Pertamina Cirebon</t>
        </is>
      </c>
      <c r="E492" s="227" t="n"/>
      <c r="F492" s="250" t="n">
        <v>141000000</v>
      </c>
      <c r="G492" s="15" t="inlineStr">
        <is>
          <t>IDR</t>
        </is>
      </c>
      <c r="H492" s="251" t="n">
        <v>1</v>
      </c>
      <c r="I492" s="15" t="inlineStr">
        <is>
          <t>INV026</t>
        </is>
      </c>
      <c r="J492" s="18" t="inlineStr">
        <is>
          <t>Elnusa</t>
        </is>
      </c>
      <c r="K492" s="249" t="n">
        <v>45653</v>
      </c>
      <c r="L492" s="252" t="n">
        <v>0</v>
      </c>
      <c r="M492" s="253" t="n">
        <v>15510000</v>
      </c>
      <c r="N492" s="253" t="n">
        <v>2820000</v>
      </c>
      <c r="O492" s="252" t="n">
        <v>0</v>
      </c>
      <c r="P492" s="18" t="inlineStr"/>
    </row>
    <row r="493" ht="15.5" customHeight="1">
      <c r="B493" s="249" t="n">
        <v>45569</v>
      </c>
      <c r="C493" s="15" t="n">
        <v>486</v>
      </c>
      <c r="D493" s="170" t="inlineStr">
        <is>
          <t>MFC Service TGB-033 Pertamina Cirebon</t>
        </is>
      </c>
      <c r="E493" s="227" t="n"/>
      <c r="F493" s="250" t="n">
        <v>280000000</v>
      </c>
      <c r="G493" s="15" t="inlineStr">
        <is>
          <t>IDR</t>
        </is>
      </c>
      <c r="H493" s="251" t="n">
        <v>1</v>
      </c>
      <c r="I493" s="15" t="inlineStr">
        <is>
          <t>INV025</t>
        </is>
      </c>
      <c r="J493" s="18" t="inlineStr">
        <is>
          <t>Elnusa</t>
        </is>
      </c>
      <c r="K493" s="249" t="n">
        <v>45653</v>
      </c>
      <c r="L493" s="252" t="n">
        <v>412577100</v>
      </c>
      <c r="M493" s="253" t="n">
        <v>30800000</v>
      </c>
      <c r="N493" s="253" t="n">
        <v>5600000</v>
      </c>
      <c r="O493" s="252" t="n">
        <v>2900</v>
      </c>
      <c r="P493" s="18" t="inlineStr">
        <is>
          <t>Pemungut</t>
        </is>
      </c>
    </row>
    <row r="494" ht="15.5" customHeight="1">
      <c r="B494" s="249" t="n">
        <v>45569</v>
      </c>
      <c r="C494" s="15" t="n">
        <v>487</v>
      </c>
      <c r="D494" s="170" t="inlineStr">
        <is>
          <t>PLT Service TGB-033 Pertamina Cirebon</t>
        </is>
      </c>
      <c r="E494" s="227" t="n"/>
      <c r="F494" s="250" t="n">
        <v>141000000</v>
      </c>
      <c r="G494" s="15" t="inlineStr">
        <is>
          <t>IDR</t>
        </is>
      </c>
      <c r="H494" s="251" t="n">
        <v>1</v>
      </c>
      <c r="I494" s="15" t="inlineStr">
        <is>
          <t>INV026</t>
        </is>
      </c>
      <c r="J494" s="18" t="inlineStr">
        <is>
          <t>Elnusa</t>
        </is>
      </c>
      <c r="K494" s="249" t="n">
        <v>45653</v>
      </c>
      <c r="L494" s="252" t="n">
        <v>0</v>
      </c>
      <c r="M494" s="253" t="n">
        <v>15510000</v>
      </c>
      <c r="N494" s="253" t="n">
        <v>2820000</v>
      </c>
      <c r="O494" s="252" t="n">
        <v>0</v>
      </c>
      <c r="P494" s="18" t="inlineStr"/>
    </row>
    <row r="495" ht="15.5" customHeight="1">
      <c r="B495" s="249" t="n">
        <v>45569</v>
      </c>
      <c r="C495" s="15" t="n">
        <v>488</v>
      </c>
      <c r="D495" s="170" t="inlineStr">
        <is>
          <t>MFC Service TGB-033 Pertamina Cirebon</t>
        </is>
      </c>
      <c r="E495" s="227" t="n"/>
      <c r="F495" s="250" t="n">
        <v>280000000</v>
      </c>
      <c r="G495" s="15" t="inlineStr">
        <is>
          <t>IDR</t>
        </is>
      </c>
      <c r="H495" s="251" t="n">
        <v>1</v>
      </c>
      <c r="I495" s="15" t="inlineStr">
        <is>
          <t>INV025</t>
        </is>
      </c>
      <c r="J495" s="18" t="inlineStr">
        <is>
          <t>Elnusa</t>
        </is>
      </c>
      <c r="K495" s="249" t="n">
        <v>45653</v>
      </c>
      <c r="L495" s="252" t="n">
        <v>412577100</v>
      </c>
      <c r="M495" s="253" t="n">
        <v>30800000</v>
      </c>
      <c r="N495" s="253" t="n">
        <v>5600000</v>
      </c>
      <c r="O495" s="252" t="n">
        <v>2900</v>
      </c>
      <c r="P495" s="18" t="inlineStr">
        <is>
          <t>Pemungut</t>
        </is>
      </c>
    </row>
    <row r="496" ht="15.5" customHeight="1">
      <c r="B496" s="249" t="n">
        <v>45569</v>
      </c>
      <c r="C496" s="15" t="n">
        <v>489</v>
      </c>
      <c r="D496" s="170" t="inlineStr">
        <is>
          <t>PLT Service TGB-033 Pertamina Cirebon</t>
        </is>
      </c>
      <c r="E496" s="227" t="n"/>
      <c r="F496" s="250" t="n">
        <v>141000000</v>
      </c>
      <c r="G496" s="15" t="inlineStr">
        <is>
          <t>IDR</t>
        </is>
      </c>
      <c r="H496" s="251" t="n">
        <v>1</v>
      </c>
      <c r="I496" s="15" t="inlineStr">
        <is>
          <t>INV026</t>
        </is>
      </c>
      <c r="J496" s="18" t="inlineStr">
        <is>
          <t>Elnusa</t>
        </is>
      </c>
      <c r="K496" s="249" t="n">
        <v>45653</v>
      </c>
      <c r="L496" s="252" t="n">
        <v>0</v>
      </c>
      <c r="M496" s="253" t="n">
        <v>15510000</v>
      </c>
      <c r="N496" s="253" t="n">
        <v>2820000</v>
      </c>
      <c r="O496" s="252" t="n">
        <v>0</v>
      </c>
      <c r="P496" s="18" t="inlineStr"/>
    </row>
    <row r="497" ht="15.5" customHeight="1">
      <c r="B497" s="249" t="n">
        <v>45569</v>
      </c>
      <c r="C497" s="15" t="n">
        <v>490</v>
      </c>
      <c r="D497" s="170" t="inlineStr">
        <is>
          <t>MFC Service TGB-033 Pertamina Cirebon</t>
        </is>
      </c>
      <c r="E497" s="227" t="n"/>
      <c r="F497" s="250" t="n">
        <v>280000000</v>
      </c>
      <c r="G497" s="15" t="inlineStr">
        <is>
          <t>IDR</t>
        </is>
      </c>
      <c r="H497" s="251" t="n">
        <v>1</v>
      </c>
      <c r="I497" s="15" t="inlineStr">
        <is>
          <t>INV025</t>
        </is>
      </c>
      <c r="J497" s="18" t="inlineStr">
        <is>
          <t>Elnusa</t>
        </is>
      </c>
      <c r="K497" s="249" t="n">
        <v>45653</v>
      </c>
      <c r="L497" s="252" t="n">
        <v>412577100</v>
      </c>
      <c r="M497" s="253" t="n">
        <v>30800000</v>
      </c>
      <c r="N497" s="253" t="n">
        <v>5600000</v>
      </c>
      <c r="O497" s="252" t="n">
        <v>2900</v>
      </c>
      <c r="P497" s="18" t="inlineStr">
        <is>
          <t>Pemungut</t>
        </is>
      </c>
    </row>
    <row r="498" ht="15.5" customHeight="1">
      <c r="B498" s="249" t="n">
        <v>45569</v>
      </c>
      <c r="C498" s="15" t="n">
        <v>491</v>
      </c>
      <c r="D498" s="170" t="inlineStr">
        <is>
          <t>PLT Service TGB-033 Pertamina Cirebon</t>
        </is>
      </c>
      <c r="E498" s="227" t="n"/>
      <c r="F498" s="250" t="n">
        <v>141000000</v>
      </c>
      <c r="G498" s="15" t="inlineStr">
        <is>
          <t>IDR</t>
        </is>
      </c>
      <c r="H498" s="251" t="n">
        <v>1</v>
      </c>
      <c r="I498" s="15" t="inlineStr">
        <is>
          <t>INV026</t>
        </is>
      </c>
      <c r="J498" s="18" t="inlineStr">
        <is>
          <t>Elnusa</t>
        </is>
      </c>
      <c r="K498" s="249" t="n">
        <v>45653</v>
      </c>
      <c r="L498" s="252" t="n">
        <v>0</v>
      </c>
      <c r="M498" s="253" t="n">
        <v>15510000</v>
      </c>
      <c r="N498" s="253" t="n">
        <v>2820000</v>
      </c>
      <c r="O498" s="252" t="n">
        <v>0</v>
      </c>
      <c r="P498" s="18" t="inlineStr"/>
    </row>
    <row r="499" ht="15.5" customHeight="1">
      <c r="B499" s="249" t="n">
        <v>45569</v>
      </c>
      <c r="C499" s="15" t="n">
        <v>492</v>
      </c>
      <c r="D499" s="170" t="inlineStr">
        <is>
          <t>MFC Service TGB-033 Pertamina Cirebon</t>
        </is>
      </c>
      <c r="E499" s="227" t="n"/>
      <c r="F499" s="250" t="n">
        <v>280000000</v>
      </c>
      <c r="G499" s="15" t="inlineStr">
        <is>
          <t>IDR</t>
        </is>
      </c>
      <c r="H499" s="251" t="n">
        <v>1</v>
      </c>
      <c r="I499" s="15" t="inlineStr">
        <is>
          <t>INV025</t>
        </is>
      </c>
      <c r="J499" s="18" t="inlineStr">
        <is>
          <t>Elnusa</t>
        </is>
      </c>
      <c r="K499" s="249" t="n">
        <v>45653</v>
      </c>
      <c r="L499" s="252" t="n">
        <v>412577100</v>
      </c>
      <c r="M499" s="253" t="n">
        <v>30800000</v>
      </c>
      <c r="N499" s="253" t="n">
        <v>5600000</v>
      </c>
      <c r="O499" s="252" t="n">
        <v>2900</v>
      </c>
      <c r="P499" s="18" t="inlineStr">
        <is>
          <t>Pemungut</t>
        </is>
      </c>
    </row>
    <row r="500" ht="15.5" customHeight="1">
      <c r="B500" s="249" t="n">
        <v>45569</v>
      </c>
      <c r="C500" s="15" t="n">
        <v>493</v>
      </c>
      <c r="D500" s="170" t="inlineStr">
        <is>
          <t>PLT Service TGB-033 Pertamina Cirebon</t>
        </is>
      </c>
      <c r="E500" s="227" t="n"/>
      <c r="F500" s="250" t="n">
        <v>141000000</v>
      </c>
      <c r="G500" s="15" t="inlineStr">
        <is>
          <t>IDR</t>
        </is>
      </c>
      <c r="H500" s="251" t="n">
        <v>1</v>
      </c>
      <c r="I500" s="15" t="inlineStr">
        <is>
          <t>INV026</t>
        </is>
      </c>
      <c r="J500" s="18" t="inlineStr">
        <is>
          <t>Elnusa</t>
        </is>
      </c>
      <c r="K500" s="249" t="n">
        <v>45653</v>
      </c>
      <c r="L500" s="252" t="n">
        <v>0</v>
      </c>
      <c r="M500" s="253" t="n">
        <v>15510000</v>
      </c>
      <c r="N500" s="253" t="n">
        <v>2820000</v>
      </c>
      <c r="O500" s="252" t="n">
        <v>0</v>
      </c>
      <c r="P500" s="18" t="inlineStr"/>
    </row>
    <row r="501" ht="15.5" customHeight="1">
      <c r="B501" s="249" t="n">
        <v>45569</v>
      </c>
      <c r="C501" s="15" t="n">
        <v>494</v>
      </c>
      <c r="D501" s="170" t="inlineStr">
        <is>
          <t>MFC Service TGB-033 Pertamina Cirebon</t>
        </is>
      </c>
      <c r="E501" s="227" t="n"/>
      <c r="F501" s="250" t="n">
        <v>280000000</v>
      </c>
      <c r="G501" s="15" t="inlineStr">
        <is>
          <t>IDR</t>
        </is>
      </c>
      <c r="H501" s="251" t="n">
        <v>1</v>
      </c>
      <c r="I501" s="15" t="inlineStr">
        <is>
          <t>INV025</t>
        </is>
      </c>
      <c r="J501" s="18" t="inlineStr">
        <is>
          <t>Elnusa</t>
        </is>
      </c>
      <c r="K501" s="249" t="n">
        <v>45653</v>
      </c>
      <c r="L501" s="252" t="n">
        <v>412577100</v>
      </c>
      <c r="M501" s="253" t="n">
        <v>30800000</v>
      </c>
      <c r="N501" s="253" t="n">
        <v>5600000</v>
      </c>
      <c r="O501" s="252" t="n">
        <v>2900</v>
      </c>
      <c r="P501" s="18" t="inlineStr">
        <is>
          <t>Pemungut</t>
        </is>
      </c>
    </row>
    <row r="502" ht="15.5" customHeight="1">
      <c r="B502" s="249" t="n">
        <v>45569</v>
      </c>
      <c r="C502" s="15" t="n">
        <v>495</v>
      </c>
      <c r="D502" s="170" t="inlineStr">
        <is>
          <t>PLT Service TGB-033 Pertamina Cirebon</t>
        </is>
      </c>
      <c r="E502" s="227" t="n"/>
      <c r="F502" s="250" t="n">
        <v>141000000</v>
      </c>
      <c r="G502" s="15" t="inlineStr">
        <is>
          <t>IDR</t>
        </is>
      </c>
      <c r="H502" s="251" t="n">
        <v>1</v>
      </c>
      <c r="I502" s="15" t="inlineStr">
        <is>
          <t>INV026</t>
        </is>
      </c>
      <c r="J502" s="18" t="inlineStr">
        <is>
          <t>Elnusa</t>
        </is>
      </c>
      <c r="K502" s="249" t="n">
        <v>45653</v>
      </c>
      <c r="L502" s="252" t="n">
        <v>0</v>
      </c>
      <c r="M502" s="253" t="n">
        <v>15510000</v>
      </c>
      <c r="N502" s="253" t="n">
        <v>2820000</v>
      </c>
      <c r="O502" s="252" t="n">
        <v>0</v>
      </c>
      <c r="P502" s="18" t="inlineStr"/>
    </row>
    <row r="503" ht="15.5" customHeight="1">
      <c r="B503" s="249" t="n">
        <v>45569</v>
      </c>
      <c r="C503" s="15" t="n">
        <v>496</v>
      </c>
      <c r="D503" s="170" t="inlineStr">
        <is>
          <t>MFC Service TGB-033 Pertamina Cirebon</t>
        </is>
      </c>
      <c r="E503" s="227" t="n"/>
      <c r="F503" s="250" t="n">
        <v>280000000</v>
      </c>
      <c r="G503" s="15" t="inlineStr">
        <is>
          <t>IDR</t>
        </is>
      </c>
      <c r="H503" s="251" t="n">
        <v>1</v>
      </c>
      <c r="I503" s="15" t="inlineStr">
        <is>
          <t>INV025</t>
        </is>
      </c>
      <c r="J503" s="18" t="inlineStr">
        <is>
          <t>Elnusa</t>
        </is>
      </c>
      <c r="K503" s="249" t="n">
        <v>45653</v>
      </c>
      <c r="L503" s="252" t="n">
        <v>412577100</v>
      </c>
      <c r="M503" s="253" t="n">
        <v>30800000</v>
      </c>
      <c r="N503" s="253" t="n">
        <v>5600000</v>
      </c>
      <c r="O503" s="252" t="n">
        <v>2900</v>
      </c>
      <c r="P503" s="18" t="inlineStr">
        <is>
          <t>Pemungut</t>
        </is>
      </c>
    </row>
    <row r="504" ht="15.5" customHeight="1">
      <c r="B504" s="249" t="n">
        <v>45569</v>
      </c>
      <c r="C504" s="15" t="n">
        <v>497</v>
      </c>
      <c r="D504" s="170" t="inlineStr">
        <is>
          <t>PLT Service TGB-033 Pertamina Cirebon</t>
        </is>
      </c>
      <c r="E504" s="227" t="n"/>
      <c r="F504" s="250" t="n">
        <v>141000000</v>
      </c>
      <c r="G504" s="15" t="inlineStr">
        <is>
          <t>IDR</t>
        </is>
      </c>
      <c r="H504" s="251" t="n">
        <v>1</v>
      </c>
      <c r="I504" s="15" t="inlineStr">
        <is>
          <t>INV026</t>
        </is>
      </c>
      <c r="J504" s="18" t="inlineStr">
        <is>
          <t>Elnusa</t>
        </is>
      </c>
      <c r="K504" s="249" t="n">
        <v>45653</v>
      </c>
      <c r="L504" s="252" t="n">
        <v>0</v>
      </c>
      <c r="M504" s="253" t="n">
        <v>15510000</v>
      </c>
      <c r="N504" s="253" t="n">
        <v>2820000</v>
      </c>
      <c r="O504" s="252" t="n">
        <v>0</v>
      </c>
      <c r="P504" s="18" t="inlineStr"/>
    </row>
    <row r="505" ht="15.5" customHeight="1">
      <c r="B505" s="249" t="n">
        <v>45569</v>
      </c>
      <c r="C505" s="15" t="n">
        <v>498</v>
      </c>
      <c r="D505" s="170" t="inlineStr">
        <is>
          <t>MFC Service TGB-033 Pertamina Cirebon</t>
        </is>
      </c>
      <c r="E505" s="227" t="n"/>
      <c r="F505" s="250" t="n">
        <v>280000000</v>
      </c>
      <c r="G505" s="15" t="inlineStr">
        <is>
          <t>IDR</t>
        </is>
      </c>
      <c r="H505" s="251" t="n">
        <v>1</v>
      </c>
      <c r="I505" s="15" t="inlineStr">
        <is>
          <t>INV025</t>
        </is>
      </c>
      <c r="J505" s="18" t="inlineStr">
        <is>
          <t>Elnusa</t>
        </is>
      </c>
      <c r="K505" s="249" t="n">
        <v>45653</v>
      </c>
      <c r="L505" s="252" t="n">
        <v>412577100</v>
      </c>
      <c r="M505" s="253" t="n">
        <v>30800000</v>
      </c>
      <c r="N505" s="253" t="n">
        <v>5600000</v>
      </c>
      <c r="O505" s="252" t="n">
        <v>2900</v>
      </c>
      <c r="P505" s="18" t="inlineStr">
        <is>
          <t>Pemungut</t>
        </is>
      </c>
    </row>
    <row r="506" ht="15.5" customHeight="1">
      <c r="B506" s="249" t="n">
        <v>45569</v>
      </c>
      <c r="C506" s="15" t="n">
        <v>499</v>
      </c>
      <c r="D506" s="170" t="inlineStr">
        <is>
          <t>PLT Service TGB-033 Pertamina Cirebon</t>
        </is>
      </c>
      <c r="E506" s="227" t="n"/>
      <c r="F506" s="250" t="n">
        <v>141000000</v>
      </c>
      <c r="G506" s="15" t="inlineStr">
        <is>
          <t>IDR</t>
        </is>
      </c>
      <c r="H506" s="251" t="n">
        <v>1</v>
      </c>
      <c r="I506" s="15" t="inlineStr">
        <is>
          <t>INV026</t>
        </is>
      </c>
      <c r="J506" s="18" t="inlineStr">
        <is>
          <t>Elnusa</t>
        </is>
      </c>
      <c r="K506" s="249" t="n">
        <v>45653</v>
      </c>
      <c r="L506" s="252" t="n">
        <v>0</v>
      </c>
      <c r="M506" s="253" t="n">
        <v>15510000</v>
      </c>
      <c r="N506" s="253" t="n">
        <v>2820000</v>
      </c>
      <c r="O506" s="252" t="n">
        <v>0</v>
      </c>
      <c r="P506" s="18" t="inlineStr"/>
    </row>
    <row r="507" ht="15.5" customHeight="1">
      <c r="B507" s="249" t="n">
        <v>45569</v>
      </c>
      <c r="C507" s="15" t="n">
        <v>500</v>
      </c>
      <c r="D507" s="170" t="inlineStr">
        <is>
          <t>MFC Service TGB-033 Pertamina Cirebon</t>
        </is>
      </c>
      <c r="E507" s="227" t="n"/>
      <c r="F507" s="250" t="n">
        <v>280000000</v>
      </c>
      <c r="G507" s="15" t="inlineStr">
        <is>
          <t>IDR</t>
        </is>
      </c>
      <c r="H507" s="251" t="n">
        <v>1</v>
      </c>
      <c r="I507" s="15" t="inlineStr">
        <is>
          <t>INV025</t>
        </is>
      </c>
      <c r="J507" s="18" t="inlineStr">
        <is>
          <t>Elnusa</t>
        </is>
      </c>
      <c r="K507" s="249" t="n">
        <v>45653</v>
      </c>
      <c r="L507" s="252" t="n">
        <v>412577100</v>
      </c>
      <c r="M507" s="253" t="n">
        <v>30800000</v>
      </c>
      <c r="N507" s="253" t="n">
        <v>5600000</v>
      </c>
      <c r="O507" s="252" t="n">
        <v>2900</v>
      </c>
      <c r="P507" s="18" t="inlineStr">
        <is>
          <t>Pemungut</t>
        </is>
      </c>
    </row>
    <row r="508" ht="15.5" customHeight="1">
      <c r="B508" s="249" t="n">
        <v>45569</v>
      </c>
      <c r="C508" s="15" t="n">
        <v>501</v>
      </c>
      <c r="D508" s="170" t="inlineStr">
        <is>
          <t>PLT Service TGB-033 Pertamina Cirebon</t>
        </is>
      </c>
      <c r="E508" s="227" t="n"/>
      <c r="F508" s="250" t="n">
        <v>141000000</v>
      </c>
      <c r="G508" s="15" t="inlineStr">
        <is>
          <t>IDR</t>
        </is>
      </c>
      <c r="H508" s="251" t="n">
        <v>1</v>
      </c>
      <c r="I508" s="15" t="inlineStr">
        <is>
          <t>INV026</t>
        </is>
      </c>
      <c r="J508" s="18" t="inlineStr">
        <is>
          <t>Elnusa</t>
        </is>
      </c>
      <c r="K508" s="249" t="n">
        <v>45653</v>
      </c>
      <c r="L508" s="252" t="n">
        <v>0</v>
      </c>
      <c r="M508" s="253" t="n">
        <v>15510000</v>
      </c>
      <c r="N508" s="253" t="n">
        <v>2820000</v>
      </c>
      <c r="O508" s="252" t="n">
        <v>0</v>
      </c>
      <c r="P508" s="18" t="inlineStr"/>
    </row>
    <row r="509" ht="15.5" customHeight="1">
      <c r="B509" s="249" t="n">
        <v>45569</v>
      </c>
      <c r="C509" s="15" t="n">
        <v>502</v>
      </c>
      <c r="D509" s="170" t="inlineStr">
        <is>
          <t>MFC Service TGB-033 Pertamina Cirebon</t>
        </is>
      </c>
      <c r="E509" s="227" t="n"/>
      <c r="F509" s="250" t="n">
        <v>280000000</v>
      </c>
      <c r="G509" s="15" t="inlineStr">
        <is>
          <t>IDR</t>
        </is>
      </c>
      <c r="H509" s="251" t="n">
        <v>1</v>
      </c>
      <c r="I509" s="15" t="inlineStr">
        <is>
          <t>INV025</t>
        </is>
      </c>
      <c r="J509" s="18" t="inlineStr">
        <is>
          <t>Elnusa</t>
        </is>
      </c>
      <c r="K509" s="249" t="n">
        <v>45653</v>
      </c>
      <c r="L509" s="252" t="n">
        <v>412577100</v>
      </c>
      <c r="M509" s="253" t="n">
        <v>30800000</v>
      </c>
      <c r="N509" s="253" t="n">
        <v>5600000</v>
      </c>
      <c r="O509" s="252" t="n">
        <v>2900</v>
      </c>
      <c r="P509" s="18" t="inlineStr">
        <is>
          <t>Pemungut</t>
        </is>
      </c>
    </row>
    <row r="510" ht="15.5" customHeight="1">
      <c r="B510" s="249" t="n">
        <v>45569</v>
      </c>
      <c r="C510" s="15" t="n">
        <v>503</v>
      </c>
      <c r="D510" s="170" t="inlineStr">
        <is>
          <t>PLT Service TGB-033 Pertamina Cirebon</t>
        </is>
      </c>
      <c r="E510" s="227" t="n"/>
      <c r="F510" s="250" t="n">
        <v>141000000</v>
      </c>
      <c r="G510" s="15" t="inlineStr">
        <is>
          <t>IDR</t>
        </is>
      </c>
      <c r="H510" s="251" t="n">
        <v>1</v>
      </c>
      <c r="I510" s="15" t="inlineStr">
        <is>
          <t>INV026</t>
        </is>
      </c>
      <c r="J510" s="18" t="inlineStr">
        <is>
          <t>Elnusa</t>
        </is>
      </c>
      <c r="K510" s="249" t="n">
        <v>45653</v>
      </c>
      <c r="L510" s="252" t="n">
        <v>0</v>
      </c>
      <c r="M510" s="253" t="n">
        <v>15510000</v>
      </c>
      <c r="N510" s="253" t="n">
        <v>2820000</v>
      </c>
      <c r="O510" s="252" t="n">
        <v>0</v>
      </c>
      <c r="P510" s="18" t="inlineStr"/>
    </row>
    <row r="511" ht="15.5" customHeight="1">
      <c r="B511" s="249" t="n">
        <v>45569</v>
      </c>
      <c r="C511" s="15" t="n">
        <v>504</v>
      </c>
      <c r="D511" s="170" t="inlineStr">
        <is>
          <t>MFC Service TGB-033 Pertamina Cirebon</t>
        </is>
      </c>
      <c r="E511" s="227" t="n"/>
      <c r="F511" s="250" t="n">
        <v>280000000</v>
      </c>
      <c r="G511" s="15" t="inlineStr">
        <is>
          <t>IDR</t>
        </is>
      </c>
      <c r="H511" s="251" t="n">
        <v>1</v>
      </c>
      <c r="I511" s="15" t="inlineStr">
        <is>
          <t>INV025</t>
        </is>
      </c>
      <c r="J511" s="18" t="inlineStr">
        <is>
          <t>Elnusa</t>
        </is>
      </c>
      <c r="K511" s="249" t="n">
        <v>45653</v>
      </c>
      <c r="L511" s="252" t="n">
        <v>412577100</v>
      </c>
      <c r="M511" s="253" t="n">
        <v>30800000</v>
      </c>
      <c r="N511" s="253" t="n">
        <v>5600000</v>
      </c>
      <c r="O511" s="252" t="n">
        <v>2900</v>
      </c>
      <c r="P511" s="18" t="inlineStr">
        <is>
          <t>Pemungut</t>
        </is>
      </c>
    </row>
    <row r="512" ht="15.5" customHeight="1">
      <c r="B512" s="249" t="n">
        <v>45569</v>
      </c>
      <c r="C512" s="15" t="n">
        <v>505</v>
      </c>
      <c r="D512" s="170" t="inlineStr">
        <is>
          <t>PLT Service TGB-033 Pertamina Cirebon</t>
        </is>
      </c>
      <c r="E512" s="227" t="n"/>
      <c r="F512" s="250" t="n">
        <v>141000000</v>
      </c>
      <c r="G512" s="15" t="inlineStr">
        <is>
          <t>IDR</t>
        </is>
      </c>
      <c r="H512" s="251" t="n">
        <v>1</v>
      </c>
      <c r="I512" s="15" t="inlineStr">
        <is>
          <t>INV026</t>
        </is>
      </c>
      <c r="J512" s="18" t="inlineStr">
        <is>
          <t>Elnusa</t>
        </is>
      </c>
      <c r="K512" s="249" t="n">
        <v>45653</v>
      </c>
      <c r="L512" s="252" t="n">
        <v>0</v>
      </c>
      <c r="M512" s="253" t="n">
        <v>15510000</v>
      </c>
      <c r="N512" s="253" t="n">
        <v>2820000</v>
      </c>
      <c r="O512" s="252" t="n">
        <v>0</v>
      </c>
      <c r="P512" s="18" t="inlineStr"/>
    </row>
    <row r="513" ht="15.5" customHeight="1">
      <c r="B513" s="249" t="n">
        <v>45569</v>
      </c>
      <c r="C513" s="15" t="n">
        <v>506</v>
      </c>
      <c r="D513" s="170" t="inlineStr">
        <is>
          <t>MFC Service TGB-033 Pertamina Cirebon</t>
        </is>
      </c>
      <c r="E513" s="227" t="n"/>
      <c r="F513" s="250" t="n">
        <v>280000000</v>
      </c>
      <c r="G513" s="15" t="inlineStr">
        <is>
          <t>IDR</t>
        </is>
      </c>
      <c r="H513" s="251" t="n">
        <v>1</v>
      </c>
      <c r="I513" s="15" t="inlineStr">
        <is>
          <t>INV025</t>
        </is>
      </c>
      <c r="J513" s="18" t="inlineStr">
        <is>
          <t>Elnusa</t>
        </is>
      </c>
      <c r="K513" s="249" t="n">
        <v>45653</v>
      </c>
      <c r="L513" s="252" t="n">
        <v>412577100</v>
      </c>
      <c r="M513" s="253" t="n">
        <v>30800000</v>
      </c>
      <c r="N513" s="253" t="n">
        <v>5600000</v>
      </c>
      <c r="O513" s="252" t="n">
        <v>2900</v>
      </c>
      <c r="P513" s="18" t="inlineStr">
        <is>
          <t>Pemungut</t>
        </is>
      </c>
    </row>
    <row r="514" ht="15.5" customHeight="1">
      <c r="B514" s="249" t="n">
        <v>45569</v>
      </c>
      <c r="C514" s="15" t="n">
        <v>507</v>
      </c>
      <c r="D514" s="170" t="inlineStr">
        <is>
          <t>PLT Service TGB-033 Pertamina Cirebon</t>
        </is>
      </c>
      <c r="E514" s="227" t="n"/>
      <c r="F514" s="250" t="n">
        <v>141000000</v>
      </c>
      <c r="G514" s="15" t="inlineStr">
        <is>
          <t>IDR</t>
        </is>
      </c>
      <c r="H514" s="251" t="n">
        <v>1</v>
      </c>
      <c r="I514" s="15" t="inlineStr">
        <is>
          <t>INV026</t>
        </is>
      </c>
      <c r="J514" s="18" t="inlineStr">
        <is>
          <t>Elnusa</t>
        </is>
      </c>
      <c r="K514" s="249" t="n">
        <v>45653</v>
      </c>
      <c r="L514" s="252" t="n">
        <v>0</v>
      </c>
      <c r="M514" s="253" t="n">
        <v>15510000</v>
      </c>
      <c r="N514" s="253" t="n">
        <v>2820000</v>
      </c>
      <c r="O514" s="252" t="n">
        <v>0</v>
      </c>
      <c r="P514" s="18" t="inlineStr"/>
    </row>
    <row r="515" ht="15.5" customHeight="1">
      <c r="B515" s="249" t="n">
        <v>45569</v>
      </c>
      <c r="C515" s="15" t="n">
        <v>508</v>
      </c>
      <c r="D515" s="170" t="inlineStr">
        <is>
          <t>MFC Service TGB-033 Pertamina Cirebon</t>
        </is>
      </c>
      <c r="E515" s="227" t="n"/>
      <c r="F515" s="250" t="n">
        <v>280000000</v>
      </c>
      <c r="G515" s="15" t="inlineStr">
        <is>
          <t>IDR</t>
        </is>
      </c>
      <c r="H515" s="251" t="n">
        <v>1</v>
      </c>
      <c r="I515" s="15" t="inlineStr">
        <is>
          <t>INV025</t>
        </is>
      </c>
      <c r="J515" s="18" t="inlineStr">
        <is>
          <t>Elnusa</t>
        </is>
      </c>
      <c r="K515" s="249" t="n">
        <v>45653</v>
      </c>
      <c r="L515" s="252" t="n">
        <v>412577100</v>
      </c>
      <c r="M515" s="253" t="n">
        <v>30800000</v>
      </c>
      <c r="N515" s="253" t="n">
        <v>5600000</v>
      </c>
      <c r="O515" s="252" t="n">
        <v>2900</v>
      </c>
      <c r="P515" s="18" t="inlineStr">
        <is>
          <t>Pemungut</t>
        </is>
      </c>
    </row>
    <row r="516" ht="15.5" customHeight="1">
      <c r="B516" s="249" t="n">
        <v>45569</v>
      </c>
      <c r="C516" s="15" t="n">
        <v>509</v>
      </c>
      <c r="D516" s="170" t="inlineStr">
        <is>
          <t>PLT Service TGB-033 Pertamina Cirebon</t>
        </is>
      </c>
      <c r="E516" s="227" t="n"/>
      <c r="F516" s="250" t="n">
        <v>141000000</v>
      </c>
      <c r="G516" s="15" t="inlineStr">
        <is>
          <t>IDR</t>
        </is>
      </c>
      <c r="H516" s="251" t="n">
        <v>1</v>
      </c>
      <c r="I516" s="15" t="inlineStr">
        <is>
          <t>INV026</t>
        </is>
      </c>
      <c r="J516" s="18" t="inlineStr">
        <is>
          <t>Elnusa</t>
        </is>
      </c>
      <c r="K516" s="249" t="n">
        <v>45653</v>
      </c>
      <c r="L516" s="252" t="n">
        <v>0</v>
      </c>
      <c r="M516" s="253" t="n">
        <v>15510000</v>
      </c>
      <c r="N516" s="253" t="n">
        <v>2820000</v>
      </c>
      <c r="O516" s="252" t="n">
        <v>0</v>
      </c>
      <c r="P516" s="18" t="inlineStr"/>
    </row>
    <row r="517" ht="15.5" customHeight="1">
      <c r="B517" s="249" t="n">
        <v>45569</v>
      </c>
      <c r="C517" s="15" t="n">
        <v>510</v>
      </c>
      <c r="D517" s="170" t="inlineStr">
        <is>
          <t>MFC Service TGB-033 Pertamina Cirebon</t>
        </is>
      </c>
      <c r="E517" s="227" t="n"/>
      <c r="F517" s="250" t="n">
        <v>280000000</v>
      </c>
      <c r="G517" s="15" t="inlineStr">
        <is>
          <t>IDR</t>
        </is>
      </c>
      <c r="H517" s="251" t="n">
        <v>1</v>
      </c>
      <c r="I517" s="15" t="inlineStr">
        <is>
          <t>INV025</t>
        </is>
      </c>
      <c r="J517" s="18" t="inlineStr">
        <is>
          <t>Elnusa</t>
        </is>
      </c>
      <c r="K517" s="249" t="n">
        <v>45653</v>
      </c>
      <c r="L517" s="252" t="n">
        <v>412577100</v>
      </c>
      <c r="M517" s="253" t="n">
        <v>30800000</v>
      </c>
      <c r="N517" s="253" t="n">
        <v>5600000</v>
      </c>
      <c r="O517" s="252" t="n">
        <v>2900</v>
      </c>
      <c r="P517" s="18" t="inlineStr">
        <is>
          <t>Pemungut</t>
        </is>
      </c>
    </row>
    <row r="518" ht="15.5" customHeight="1">
      <c r="B518" s="249" t="n">
        <v>45569</v>
      </c>
      <c r="C518" s="15" t="n">
        <v>511</v>
      </c>
      <c r="D518" s="170" t="inlineStr">
        <is>
          <t>PLT Service TGB-033 Pertamina Cirebon</t>
        </is>
      </c>
      <c r="E518" s="227" t="n"/>
      <c r="F518" s="250" t="n">
        <v>141000000</v>
      </c>
      <c r="G518" s="15" t="inlineStr">
        <is>
          <t>IDR</t>
        </is>
      </c>
      <c r="H518" s="251" t="n">
        <v>1</v>
      </c>
      <c r="I518" s="15" t="inlineStr">
        <is>
          <t>INV026</t>
        </is>
      </c>
      <c r="J518" s="18" t="inlineStr">
        <is>
          <t>Elnusa</t>
        </is>
      </c>
      <c r="K518" s="249" t="n">
        <v>45653</v>
      </c>
      <c r="L518" s="252" t="n">
        <v>0</v>
      </c>
      <c r="M518" s="253" t="n">
        <v>15510000</v>
      </c>
      <c r="N518" s="253" t="n">
        <v>2820000</v>
      </c>
      <c r="O518" s="252" t="n">
        <v>0</v>
      </c>
      <c r="P518" s="18" t="inlineStr"/>
    </row>
    <row r="519" ht="15.5" customHeight="1">
      <c r="B519" s="249" t="n">
        <v>45569</v>
      </c>
      <c r="C519" s="15" t="n">
        <v>512</v>
      </c>
      <c r="D519" s="170" t="inlineStr">
        <is>
          <t>MFC Service TGB-033 Pertamina Cirebon</t>
        </is>
      </c>
      <c r="E519" s="227" t="n"/>
      <c r="F519" s="250" t="n">
        <v>280000000</v>
      </c>
      <c r="G519" s="15" t="inlineStr">
        <is>
          <t>IDR</t>
        </is>
      </c>
      <c r="H519" s="251" t="n">
        <v>1</v>
      </c>
      <c r="I519" s="15" t="inlineStr">
        <is>
          <t>INV025</t>
        </is>
      </c>
      <c r="J519" s="18" t="inlineStr">
        <is>
          <t>Elnusa</t>
        </is>
      </c>
      <c r="K519" s="249" t="n">
        <v>45653</v>
      </c>
      <c r="L519" s="252" t="n">
        <v>412577100</v>
      </c>
      <c r="M519" s="253" t="n">
        <v>30800000</v>
      </c>
      <c r="N519" s="253" t="n">
        <v>5600000</v>
      </c>
      <c r="O519" s="252" t="n">
        <v>2900</v>
      </c>
      <c r="P519" s="18" t="inlineStr">
        <is>
          <t>Pemungut</t>
        </is>
      </c>
    </row>
    <row r="520" ht="15.5" customHeight="1">
      <c r="B520" s="249" t="n">
        <v>45569</v>
      </c>
      <c r="C520" s="15" t="n">
        <v>513</v>
      </c>
      <c r="D520" s="170" t="inlineStr">
        <is>
          <t>PLT Service TGB-033 Pertamina Cirebon</t>
        </is>
      </c>
      <c r="E520" s="227" t="n"/>
      <c r="F520" s="250" t="n">
        <v>141000000</v>
      </c>
      <c r="G520" s="15" t="inlineStr">
        <is>
          <t>IDR</t>
        </is>
      </c>
      <c r="H520" s="251" t="n">
        <v>1</v>
      </c>
      <c r="I520" s="15" t="inlineStr">
        <is>
          <t>INV026</t>
        </is>
      </c>
      <c r="J520" s="18" t="inlineStr">
        <is>
          <t>Elnusa</t>
        </is>
      </c>
      <c r="K520" s="249" t="n">
        <v>45653</v>
      </c>
      <c r="L520" s="252" t="n">
        <v>0</v>
      </c>
      <c r="M520" s="253" t="n">
        <v>15510000</v>
      </c>
      <c r="N520" s="253" t="n">
        <v>2820000</v>
      </c>
      <c r="O520" s="252" t="n">
        <v>0</v>
      </c>
      <c r="P520" s="18" t="inlineStr"/>
    </row>
    <row r="521" ht="15.5" customHeight="1">
      <c r="B521" s="249" t="n">
        <v>45569</v>
      </c>
      <c r="C521" s="15" t="n">
        <v>514</v>
      </c>
      <c r="D521" s="170" t="inlineStr">
        <is>
          <t>MFC Service TGB-033 Pertamina Cirebon</t>
        </is>
      </c>
      <c r="E521" s="227" t="n"/>
      <c r="F521" s="250" t="n">
        <v>280000000</v>
      </c>
      <c r="G521" s="15" t="inlineStr">
        <is>
          <t>IDR</t>
        </is>
      </c>
      <c r="H521" s="251" t="n">
        <v>1</v>
      </c>
      <c r="I521" s="15" t="inlineStr">
        <is>
          <t>INV025</t>
        </is>
      </c>
      <c r="J521" s="18" t="inlineStr">
        <is>
          <t>Elnusa</t>
        </is>
      </c>
      <c r="K521" s="249" t="n">
        <v>45653</v>
      </c>
      <c r="L521" s="252" t="n">
        <v>412577100</v>
      </c>
      <c r="M521" s="253" t="n">
        <v>30800000</v>
      </c>
      <c r="N521" s="253" t="n">
        <v>5600000</v>
      </c>
      <c r="O521" s="252" t="n">
        <v>2900</v>
      </c>
      <c r="P521" s="18" t="inlineStr">
        <is>
          <t>Pemungut</t>
        </is>
      </c>
    </row>
    <row r="522" ht="15.5" customHeight="1">
      <c r="B522" s="249" t="n">
        <v>45569</v>
      </c>
      <c r="C522" s="15" t="n">
        <v>515</v>
      </c>
      <c r="D522" s="170" t="inlineStr">
        <is>
          <t>PLT Service TGB-033 Pertamina Cirebon</t>
        </is>
      </c>
      <c r="E522" s="227" t="n"/>
      <c r="F522" s="250" t="n">
        <v>141000000</v>
      </c>
      <c r="G522" s="15" t="inlineStr">
        <is>
          <t>IDR</t>
        </is>
      </c>
      <c r="H522" s="251" t="n">
        <v>1</v>
      </c>
      <c r="I522" s="15" t="inlineStr">
        <is>
          <t>INV026</t>
        </is>
      </c>
      <c r="J522" s="18" t="inlineStr">
        <is>
          <t>Elnusa</t>
        </is>
      </c>
      <c r="K522" s="249" t="n">
        <v>45653</v>
      </c>
      <c r="L522" s="252" t="n">
        <v>0</v>
      </c>
      <c r="M522" s="253" t="n">
        <v>15510000</v>
      </c>
      <c r="N522" s="253" t="n">
        <v>2820000</v>
      </c>
      <c r="O522" s="252" t="n">
        <v>0</v>
      </c>
      <c r="P522" s="18" t="inlineStr"/>
    </row>
    <row r="523" ht="15.5" customHeight="1">
      <c r="B523" s="249" t="n">
        <v>45569</v>
      </c>
      <c r="C523" s="15" t="n">
        <v>516</v>
      </c>
      <c r="D523" s="170" t="inlineStr">
        <is>
          <t>MFC Service TGB-033 Pertamina Cirebon</t>
        </is>
      </c>
      <c r="E523" s="227" t="n"/>
      <c r="F523" s="250" t="n">
        <v>280000000</v>
      </c>
      <c r="G523" s="15" t="inlineStr">
        <is>
          <t>IDR</t>
        </is>
      </c>
      <c r="H523" s="251" t="n">
        <v>1</v>
      </c>
      <c r="I523" s="15" t="inlineStr">
        <is>
          <t>INV025</t>
        </is>
      </c>
      <c r="J523" s="18" t="inlineStr">
        <is>
          <t>Elnusa</t>
        </is>
      </c>
      <c r="K523" s="249" t="n">
        <v>45653</v>
      </c>
      <c r="L523" s="252" t="n">
        <v>412577100</v>
      </c>
      <c r="M523" s="253" t="n">
        <v>30800000</v>
      </c>
      <c r="N523" s="253" t="n">
        <v>5600000</v>
      </c>
      <c r="O523" s="252" t="n">
        <v>2900</v>
      </c>
      <c r="P523" s="18" t="inlineStr">
        <is>
          <t>Pemungut</t>
        </is>
      </c>
    </row>
    <row r="524" ht="15.5" customHeight="1">
      <c r="B524" s="249" t="n">
        <v>45569</v>
      </c>
      <c r="C524" s="15" t="n">
        <v>517</v>
      </c>
      <c r="D524" s="170" t="inlineStr">
        <is>
          <t>PLT Service TGB-033 Pertamina Cirebon</t>
        </is>
      </c>
      <c r="E524" s="227" t="n"/>
      <c r="F524" s="250" t="n">
        <v>141000000</v>
      </c>
      <c r="G524" s="15" t="inlineStr">
        <is>
          <t>IDR</t>
        </is>
      </c>
      <c r="H524" s="251" t="n">
        <v>1</v>
      </c>
      <c r="I524" s="15" t="inlineStr">
        <is>
          <t>INV026</t>
        </is>
      </c>
      <c r="J524" s="18" t="inlineStr">
        <is>
          <t>Elnusa</t>
        </is>
      </c>
      <c r="K524" s="249" t="n">
        <v>45653</v>
      </c>
      <c r="L524" s="252" t="n">
        <v>0</v>
      </c>
      <c r="M524" s="253" t="n">
        <v>15510000</v>
      </c>
      <c r="N524" s="253" t="n">
        <v>2820000</v>
      </c>
      <c r="O524" s="252" t="n">
        <v>0</v>
      </c>
      <c r="P524" s="18" t="inlineStr"/>
    </row>
    <row r="525" ht="15.5" customHeight="1">
      <c r="B525" s="249" t="n">
        <v>45569</v>
      </c>
      <c r="C525" s="15" t="n">
        <v>518</v>
      </c>
      <c r="D525" s="170" t="inlineStr">
        <is>
          <t>MFC Service TGB-033 Pertamina Cirebon</t>
        </is>
      </c>
      <c r="E525" s="227" t="n"/>
      <c r="F525" s="250" t="n">
        <v>280000000</v>
      </c>
      <c r="G525" s="15" t="inlineStr">
        <is>
          <t>IDR</t>
        </is>
      </c>
      <c r="H525" s="251" t="n">
        <v>1</v>
      </c>
      <c r="I525" s="15" t="inlineStr">
        <is>
          <t>INV025</t>
        </is>
      </c>
      <c r="J525" s="18" t="inlineStr">
        <is>
          <t>Elnusa</t>
        </is>
      </c>
      <c r="K525" s="249" t="n">
        <v>45653</v>
      </c>
      <c r="L525" s="252" t="n">
        <v>412577100</v>
      </c>
      <c r="M525" s="253" t="n">
        <v>30800000</v>
      </c>
      <c r="N525" s="253" t="n">
        <v>5600000</v>
      </c>
      <c r="O525" s="252" t="n">
        <v>2900</v>
      </c>
      <c r="P525" s="18" t="inlineStr">
        <is>
          <t>Pemungut</t>
        </is>
      </c>
    </row>
    <row r="526" ht="15.5" customHeight="1">
      <c r="B526" s="249" t="n">
        <v>45569</v>
      </c>
      <c r="C526" s="15" t="n">
        <v>519</v>
      </c>
      <c r="D526" s="170" t="inlineStr">
        <is>
          <t>PLT Service TGB-033 Pertamina Cirebon</t>
        </is>
      </c>
      <c r="E526" s="227" t="n"/>
      <c r="F526" s="250" t="n">
        <v>141000000</v>
      </c>
      <c r="G526" s="15" t="inlineStr">
        <is>
          <t>IDR</t>
        </is>
      </c>
      <c r="H526" s="251" t="n">
        <v>1</v>
      </c>
      <c r="I526" s="15" t="inlineStr">
        <is>
          <t>INV026</t>
        </is>
      </c>
      <c r="J526" s="18" t="inlineStr">
        <is>
          <t>Elnusa</t>
        </is>
      </c>
      <c r="K526" s="249" t="n">
        <v>45653</v>
      </c>
      <c r="L526" s="252" t="n">
        <v>0</v>
      </c>
      <c r="M526" s="253" t="n">
        <v>15510000</v>
      </c>
      <c r="N526" s="253" t="n">
        <v>2820000</v>
      </c>
      <c r="O526" s="252" t="n">
        <v>0</v>
      </c>
      <c r="P526" s="18" t="inlineStr"/>
    </row>
    <row r="527" ht="15.5" customHeight="1">
      <c r="B527" s="249" t="n">
        <v>45569</v>
      </c>
      <c r="C527" s="15" t="n">
        <v>520</v>
      </c>
      <c r="D527" s="170" t="inlineStr">
        <is>
          <t>MFC Service TGB-033 Pertamina Cirebon</t>
        </is>
      </c>
      <c r="E527" s="227" t="n"/>
      <c r="F527" s="250" t="n">
        <v>280000000</v>
      </c>
      <c r="G527" s="15" t="inlineStr">
        <is>
          <t>IDR</t>
        </is>
      </c>
      <c r="H527" s="251" t="n">
        <v>1</v>
      </c>
      <c r="I527" s="15" t="inlineStr">
        <is>
          <t>INV025</t>
        </is>
      </c>
      <c r="J527" s="18" t="inlineStr">
        <is>
          <t>Elnusa</t>
        </is>
      </c>
      <c r="K527" s="249" t="n">
        <v>45653</v>
      </c>
      <c r="L527" s="252" t="n">
        <v>412577100</v>
      </c>
      <c r="M527" s="253" t="n">
        <v>30800000</v>
      </c>
      <c r="N527" s="253" t="n">
        <v>5600000</v>
      </c>
      <c r="O527" s="252" t="n">
        <v>2900</v>
      </c>
      <c r="P527" s="18" t="inlineStr">
        <is>
          <t>Pemungut</t>
        </is>
      </c>
    </row>
    <row r="528" ht="15.5" customHeight="1">
      <c r="B528" s="249" t="n">
        <v>45569</v>
      </c>
      <c r="C528" s="15" t="n">
        <v>521</v>
      </c>
      <c r="D528" s="170" t="inlineStr">
        <is>
          <t>PLT Service TGB-033 Pertamina Cirebon</t>
        </is>
      </c>
      <c r="E528" s="227" t="n"/>
      <c r="F528" s="250" t="n">
        <v>141000000</v>
      </c>
      <c r="G528" s="15" t="inlineStr">
        <is>
          <t>IDR</t>
        </is>
      </c>
      <c r="H528" s="251" t="n">
        <v>1</v>
      </c>
      <c r="I528" s="15" t="inlineStr">
        <is>
          <t>INV026</t>
        </is>
      </c>
      <c r="J528" s="18" t="inlineStr">
        <is>
          <t>Elnusa</t>
        </is>
      </c>
      <c r="K528" s="249" t="n">
        <v>45653</v>
      </c>
      <c r="L528" s="252" t="n">
        <v>0</v>
      </c>
      <c r="M528" s="253" t="n">
        <v>15510000</v>
      </c>
      <c r="N528" s="253" t="n">
        <v>2820000</v>
      </c>
      <c r="O528" s="252" t="n">
        <v>0</v>
      </c>
      <c r="P528" s="18" t="inlineStr"/>
    </row>
    <row r="529" ht="15.5" customHeight="1">
      <c r="B529" s="249" t="n">
        <v>45569</v>
      </c>
      <c r="C529" s="15" t="n">
        <v>522</v>
      </c>
      <c r="D529" s="170" t="inlineStr">
        <is>
          <t>MFC Service TGB-033 Pertamina Cirebon</t>
        </is>
      </c>
      <c r="E529" s="227" t="n"/>
      <c r="F529" s="250" t="n">
        <v>280000000</v>
      </c>
      <c r="G529" s="15" t="inlineStr">
        <is>
          <t>IDR</t>
        </is>
      </c>
      <c r="H529" s="251" t="n">
        <v>1</v>
      </c>
      <c r="I529" s="15" t="inlineStr">
        <is>
          <t>INV025</t>
        </is>
      </c>
      <c r="J529" s="18" t="inlineStr">
        <is>
          <t>Elnusa</t>
        </is>
      </c>
      <c r="K529" s="249" t="n">
        <v>45653</v>
      </c>
      <c r="L529" s="252" t="n">
        <v>412577100</v>
      </c>
      <c r="M529" s="253" t="n">
        <v>30800000</v>
      </c>
      <c r="N529" s="253" t="n">
        <v>5600000</v>
      </c>
      <c r="O529" s="252" t="n">
        <v>2900</v>
      </c>
      <c r="P529" s="18" t="inlineStr">
        <is>
          <t>Pemungut</t>
        </is>
      </c>
    </row>
    <row r="530" ht="15.5" customHeight="1">
      <c r="B530" s="249" t="n">
        <v>45569</v>
      </c>
      <c r="C530" s="15" t="n">
        <v>523</v>
      </c>
      <c r="D530" s="170" t="inlineStr">
        <is>
          <t>PLT Service TGB-033 Pertamina Cirebon</t>
        </is>
      </c>
      <c r="E530" s="227" t="n"/>
      <c r="F530" s="250" t="n">
        <v>141000000</v>
      </c>
      <c r="G530" s="15" t="inlineStr">
        <is>
          <t>IDR</t>
        </is>
      </c>
      <c r="H530" s="251" t="n">
        <v>1</v>
      </c>
      <c r="I530" s="15" t="inlineStr">
        <is>
          <t>INV026</t>
        </is>
      </c>
      <c r="J530" s="18" t="inlineStr">
        <is>
          <t>Elnusa</t>
        </is>
      </c>
      <c r="K530" s="249" t="n">
        <v>45653</v>
      </c>
      <c r="L530" s="252" t="n">
        <v>0</v>
      </c>
      <c r="M530" s="253" t="n">
        <v>15510000</v>
      </c>
      <c r="N530" s="253" t="n">
        <v>2820000</v>
      </c>
      <c r="O530" s="252" t="n">
        <v>0</v>
      </c>
      <c r="P530" s="18" t="inlineStr"/>
    </row>
    <row r="531" ht="15.5" customHeight="1">
      <c r="B531" s="249" t="n">
        <v>45569</v>
      </c>
      <c r="C531" s="15" t="n">
        <v>524</v>
      </c>
      <c r="D531" s="170" t="inlineStr">
        <is>
          <t>MFC Service TGB-033 Pertamina Cirebon</t>
        </is>
      </c>
      <c r="E531" s="227" t="n"/>
      <c r="F531" s="250" t="n">
        <v>280000000</v>
      </c>
      <c r="G531" s="15" t="inlineStr">
        <is>
          <t>IDR</t>
        </is>
      </c>
      <c r="H531" s="251" t="n">
        <v>1</v>
      </c>
      <c r="I531" s="15" t="inlineStr">
        <is>
          <t>INV025</t>
        </is>
      </c>
      <c r="J531" s="18" t="inlineStr">
        <is>
          <t>Elnusa</t>
        </is>
      </c>
      <c r="K531" s="249" t="n">
        <v>45653</v>
      </c>
      <c r="L531" s="252" t="n">
        <v>412577100</v>
      </c>
      <c r="M531" s="253" t="n">
        <v>30800000</v>
      </c>
      <c r="N531" s="253" t="n">
        <v>5600000</v>
      </c>
      <c r="O531" s="252" t="n">
        <v>2900</v>
      </c>
      <c r="P531" s="18" t="inlineStr">
        <is>
          <t>Pemungut</t>
        </is>
      </c>
    </row>
    <row r="532" ht="15.5" customHeight="1">
      <c r="B532" s="249" t="n">
        <v>45569</v>
      </c>
      <c r="C532" s="15" t="n">
        <v>525</v>
      </c>
      <c r="D532" s="170" t="inlineStr">
        <is>
          <t>PLT Service TGB-033 Pertamina Cirebon</t>
        </is>
      </c>
      <c r="E532" s="227" t="n"/>
      <c r="F532" s="250" t="n">
        <v>141000000</v>
      </c>
      <c r="G532" s="15" t="inlineStr">
        <is>
          <t>IDR</t>
        </is>
      </c>
      <c r="H532" s="251" t="n">
        <v>1</v>
      </c>
      <c r="I532" s="15" t="inlineStr">
        <is>
          <t>INV026</t>
        </is>
      </c>
      <c r="J532" s="18" t="inlineStr">
        <is>
          <t>Elnusa</t>
        </is>
      </c>
      <c r="K532" s="249" t="n">
        <v>45653</v>
      </c>
      <c r="L532" s="252" t="n">
        <v>0</v>
      </c>
      <c r="M532" s="253" t="n">
        <v>15510000</v>
      </c>
      <c r="N532" s="253" t="n">
        <v>2820000</v>
      </c>
      <c r="O532" s="252" t="n">
        <v>0</v>
      </c>
      <c r="P532" s="18" t="inlineStr"/>
    </row>
    <row r="533" ht="15.5" customHeight="1">
      <c r="B533" s="249" t="n">
        <v>45569</v>
      </c>
      <c r="C533" s="15" t="n">
        <v>526</v>
      </c>
      <c r="D533" s="170" t="inlineStr">
        <is>
          <t>MFC Service TGB-033 Pertamina Cirebon</t>
        </is>
      </c>
      <c r="E533" s="227" t="n"/>
      <c r="F533" s="250" t="n">
        <v>280000000</v>
      </c>
      <c r="G533" s="15" t="inlineStr">
        <is>
          <t>IDR</t>
        </is>
      </c>
      <c r="H533" s="251" t="n">
        <v>1</v>
      </c>
      <c r="I533" s="15" t="inlineStr">
        <is>
          <t>INV025</t>
        </is>
      </c>
      <c r="J533" s="18" t="inlineStr">
        <is>
          <t>Elnusa</t>
        </is>
      </c>
      <c r="K533" s="249" t="n">
        <v>45653</v>
      </c>
      <c r="L533" s="252" t="n">
        <v>412577100</v>
      </c>
      <c r="M533" s="253" t="n">
        <v>30800000</v>
      </c>
      <c r="N533" s="253" t="n">
        <v>5600000</v>
      </c>
      <c r="O533" s="252" t="n">
        <v>2900</v>
      </c>
      <c r="P533" s="18" t="inlineStr">
        <is>
          <t>Pemungut</t>
        </is>
      </c>
    </row>
    <row r="534" ht="15.5" customHeight="1">
      <c r="B534" s="249" t="n">
        <v>45569</v>
      </c>
      <c r="C534" s="15" t="n">
        <v>527</v>
      </c>
      <c r="D534" s="170" t="inlineStr">
        <is>
          <t>PLT Service TGB-033 Pertamina Cirebon</t>
        </is>
      </c>
      <c r="E534" s="227" t="n"/>
      <c r="F534" s="250" t="n">
        <v>141000000</v>
      </c>
      <c r="G534" s="15" t="inlineStr">
        <is>
          <t>IDR</t>
        </is>
      </c>
      <c r="H534" s="251" t="n">
        <v>1</v>
      </c>
      <c r="I534" s="15" t="inlineStr">
        <is>
          <t>INV026</t>
        </is>
      </c>
      <c r="J534" s="18" t="inlineStr">
        <is>
          <t>Elnusa</t>
        </is>
      </c>
      <c r="K534" s="249" t="n">
        <v>45653</v>
      </c>
      <c r="L534" s="252" t="n">
        <v>0</v>
      </c>
      <c r="M534" s="253" t="n">
        <v>15510000</v>
      </c>
      <c r="N534" s="253" t="n">
        <v>2820000</v>
      </c>
      <c r="O534" s="252" t="n">
        <v>0</v>
      </c>
      <c r="P534" s="18" t="inlineStr"/>
    </row>
    <row r="535" ht="15.5" customHeight="1">
      <c r="B535" s="249" t="n">
        <v>45569</v>
      </c>
      <c r="C535" s="15" t="n">
        <v>528</v>
      </c>
      <c r="D535" s="170" t="inlineStr">
        <is>
          <t>MFC Service TGB-033 Pertamina Cirebon</t>
        </is>
      </c>
      <c r="E535" s="227" t="n"/>
      <c r="F535" s="250" t="n">
        <v>280000000</v>
      </c>
      <c r="G535" s="15" t="inlineStr">
        <is>
          <t>IDR</t>
        </is>
      </c>
      <c r="H535" s="251" t="n">
        <v>1</v>
      </c>
      <c r="I535" s="15" t="inlineStr">
        <is>
          <t>INV025</t>
        </is>
      </c>
      <c r="J535" s="18" t="inlineStr">
        <is>
          <t>Elnusa</t>
        </is>
      </c>
      <c r="K535" s="249" t="n">
        <v>45653</v>
      </c>
      <c r="L535" s="252" t="n">
        <v>412577100</v>
      </c>
      <c r="M535" s="253" t="n">
        <v>30800000</v>
      </c>
      <c r="N535" s="253" t="n">
        <v>5600000</v>
      </c>
      <c r="O535" s="252" t="n">
        <v>2900</v>
      </c>
      <c r="P535" s="18" t="inlineStr">
        <is>
          <t>Pemungut</t>
        </is>
      </c>
    </row>
    <row r="536" ht="15.5" customHeight="1">
      <c r="B536" s="249" t="n">
        <v>45569</v>
      </c>
      <c r="C536" s="15" t="n">
        <v>529</v>
      </c>
      <c r="D536" s="170" t="inlineStr">
        <is>
          <t>PLT Service TGB-033 Pertamina Cirebon</t>
        </is>
      </c>
      <c r="E536" s="227" t="n"/>
      <c r="F536" s="250" t="n">
        <v>141000000</v>
      </c>
      <c r="G536" s="15" t="inlineStr">
        <is>
          <t>IDR</t>
        </is>
      </c>
      <c r="H536" s="251" t="n">
        <v>1</v>
      </c>
      <c r="I536" s="15" t="inlineStr">
        <is>
          <t>INV026</t>
        </is>
      </c>
      <c r="J536" s="18" t="inlineStr">
        <is>
          <t>Elnusa</t>
        </is>
      </c>
      <c r="K536" s="249" t="n">
        <v>45653</v>
      </c>
      <c r="L536" s="252" t="n">
        <v>0</v>
      </c>
      <c r="M536" s="253" t="n">
        <v>15510000</v>
      </c>
      <c r="N536" s="253" t="n">
        <v>2820000</v>
      </c>
      <c r="O536" s="252" t="n">
        <v>0</v>
      </c>
      <c r="P536" s="18" t="inlineStr"/>
    </row>
    <row r="537" ht="15.5" customHeight="1">
      <c r="B537" s="249" t="n">
        <v>45569</v>
      </c>
      <c r="C537" s="15" t="n">
        <v>530</v>
      </c>
      <c r="D537" s="170" t="inlineStr">
        <is>
          <t>MFC Service TGB-033 Pertamina Cirebon</t>
        </is>
      </c>
      <c r="E537" s="227" t="n"/>
      <c r="F537" s="250" t="n">
        <v>280000000</v>
      </c>
      <c r="G537" s="15" t="inlineStr">
        <is>
          <t>IDR</t>
        </is>
      </c>
      <c r="H537" s="251" t="n">
        <v>1</v>
      </c>
      <c r="I537" s="15" t="inlineStr">
        <is>
          <t>INV025</t>
        </is>
      </c>
      <c r="J537" s="18" t="inlineStr">
        <is>
          <t>Elnusa</t>
        </is>
      </c>
      <c r="K537" s="249" t="n">
        <v>45653</v>
      </c>
      <c r="L537" s="252" t="n">
        <v>412577100</v>
      </c>
      <c r="M537" s="253" t="n">
        <v>30800000</v>
      </c>
      <c r="N537" s="253" t="n">
        <v>5600000</v>
      </c>
      <c r="O537" s="252" t="n">
        <v>2900</v>
      </c>
      <c r="P537" s="18" t="inlineStr">
        <is>
          <t>Pemungut</t>
        </is>
      </c>
    </row>
    <row r="538" ht="15.5" customHeight="1">
      <c r="B538" s="249" t="n">
        <v>45569</v>
      </c>
      <c r="C538" s="15" t="n">
        <v>531</v>
      </c>
      <c r="D538" s="170" t="inlineStr">
        <is>
          <t>PLT Service TGB-033 Pertamina Cirebon</t>
        </is>
      </c>
      <c r="E538" s="227" t="n"/>
      <c r="F538" s="250" t="n">
        <v>141000000</v>
      </c>
      <c r="G538" s="15" t="inlineStr">
        <is>
          <t>IDR</t>
        </is>
      </c>
      <c r="H538" s="251" t="n">
        <v>1</v>
      </c>
      <c r="I538" s="15" t="inlineStr">
        <is>
          <t>INV026</t>
        </is>
      </c>
      <c r="J538" s="18" t="inlineStr">
        <is>
          <t>Elnusa</t>
        </is>
      </c>
      <c r="K538" s="249" t="n">
        <v>45653</v>
      </c>
      <c r="L538" s="252" t="n">
        <v>0</v>
      </c>
      <c r="M538" s="253" t="n">
        <v>15510000</v>
      </c>
      <c r="N538" s="253" t="n">
        <v>2820000</v>
      </c>
      <c r="O538" s="252" t="n">
        <v>0</v>
      </c>
      <c r="P538" s="18" t="inlineStr"/>
    </row>
    <row r="539" ht="15.5" customHeight="1">
      <c r="B539" s="249" t="n">
        <v>45569</v>
      </c>
      <c r="C539" s="15" t="n">
        <v>532</v>
      </c>
      <c r="D539" s="170" t="inlineStr">
        <is>
          <t>MFC Service TGB-033 Pertamina Cirebon</t>
        </is>
      </c>
      <c r="E539" s="227" t="n"/>
      <c r="F539" s="250" t="n">
        <v>280000000</v>
      </c>
      <c r="G539" s="15" t="inlineStr">
        <is>
          <t>IDR</t>
        </is>
      </c>
      <c r="H539" s="251" t="n">
        <v>1</v>
      </c>
      <c r="I539" s="15" t="inlineStr">
        <is>
          <t>INV025</t>
        </is>
      </c>
      <c r="J539" s="18" t="inlineStr">
        <is>
          <t>Elnusa</t>
        </is>
      </c>
      <c r="K539" s="249" t="n">
        <v>45653</v>
      </c>
      <c r="L539" s="252" t="n">
        <v>412577100</v>
      </c>
      <c r="M539" s="253" t="n">
        <v>30800000</v>
      </c>
      <c r="N539" s="253" t="n">
        <v>5600000</v>
      </c>
      <c r="O539" s="252" t="n">
        <v>2900</v>
      </c>
      <c r="P539" s="18" t="inlineStr">
        <is>
          <t>Pemungut</t>
        </is>
      </c>
    </row>
    <row r="540" ht="15.5" customHeight="1">
      <c r="B540" s="249" t="n">
        <v>45569</v>
      </c>
      <c r="C540" s="15" t="n">
        <v>533</v>
      </c>
      <c r="D540" s="170" t="inlineStr">
        <is>
          <t>PLT Service TGB-033 Pertamina Cirebon</t>
        </is>
      </c>
      <c r="E540" s="227" t="n"/>
      <c r="F540" s="250" t="n">
        <v>141000000</v>
      </c>
      <c r="G540" s="15" t="inlineStr">
        <is>
          <t>IDR</t>
        </is>
      </c>
      <c r="H540" s="251" t="n">
        <v>1</v>
      </c>
      <c r="I540" s="15" t="inlineStr">
        <is>
          <t>INV026</t>
        </is>
      </c>
      <c r="J540" s="18" t="inlineStr">
        <is>
          <t>Elnusa</t>
        </is>
      </c>
      <c r="K540" s="249" t="n">
        <v>45653</v>
      </c>
      <c r="L540" s="252" t="n">
        <v>0</v>
      </c>
      <c r="M540" s="253" t="n">
        <v>15510000</v>
      </c>
      <c r="N540" s="253" t="n">
        <v>2820000</v>
      </c>
      <c r="O540" s="252" t="n">
        <v>0</v>
      </c>
      <c r="P540" s="18" t="inlineStr"/>
    </row>
    <row r="541" ht="15.5" customHeight="1">
      <c r="B541" s="249" t="n">
        <v>45657</v>
      </c>
      <c r="C541" s="15" t="n">
        <v>534</v>
      </c>
      <c r="D541" s="170" t="inlineStr">
        <is>
          <t>Bunga Bank 2024</t>
        </is>
      </c>
      <c r="E541" s="227" t="n"/>
      <c r="F541" s="250" t="n">
        <v>6925425</v>
      </c>
      <c r="G541" s="15" t="inlineStr">
        <is>
          <t>IDR</t>
        </is>
      </c>
      <c r="H541" s="251" t="n">
        <v>1</v>
      </c>
      <c r="I541" s="15" t="inlineStr"/>
      <c r="J541" s="18" t="inlineStr"/>
      <c r="K541" s="249" t="n"/>
      <c r="L541" s="252" t="n">
        <v>6925425</v>
      </c>
      <c r="M541" s="253" t="n">
        <v>0</v>
      </c>
      <c r="N541" s="253" t="n">
        <v>0</v>
      </c>
      <c r="O541" s="252" t="n">
        <v>0</v>
      </c>
      <c r="P541" s="18" t="inlineStr"/>
    </row>
    <row r="542" ht="15.5" customHeight="1">
      <c r="B542" s="249" t="n">
        <v>45657</v>
      </c>
      <c r="C542" s="15" t="n">
        <v>535</v>
      </c>
      <c r="D542" s="170" t="inlineStr">
        <is>
          <t>Bunga Bank 2024</t>
        </is>
      </c>
      <c r="E542" s="227" t="n"/>
      <c r="F542" s="250" t="n">
        <v>6925425</v>
      </c>
      <c r="G542" s="15" t="inlineStr">
        <is>
          <t>IDR</t>
        </is>
      </c>
      <c r="H542" s="251" t="n">
        <v>1</v>
      </c>
      <c r="I542" s="15" t="inlineStr"/>
      <c r="J542" s="18" t="inlineStr"/>
      <c r="K542" s="249" t="n"/>
      <c r="L542" s="252" t="n">
        <v>6925425</v>
      </c>
      <c r="M542" s="253" t="n">
        <v>0</v>
      </c>
      <c r="N542" s="253" t="n">
        <v>0</v>
      </c>
      <c r="O542" s="252" t="n">
        <v>0</v>
      </c>
      <c r="P542" s="18" t="inlineStr"/>
    </row>
    <row r="543" ht="15.5" customHeight="1">
      <c r="B543" s="249" t="n">
        <v>45657</v>
      </c>
      <c r="C543" s="15" t="n">
        <v>536</v>
      </c>
      <c r="D543" s="170" t="inlineStr">
        <is>
          <t>Bunga Bank 2024</t>
        </is>
      </c>
      <c r="E543" s="227" t="n"/>
      <c r="F543" s="250" t="n">
        <v>6925425</v>
      </c>
      <c r="G543" s="15" t="inlineStr">
        <is>
          <t>IDR</t>
        </is>
      </c>
      <c r="H543" s="251" t="n">
        <v>1</v>
      </c>
      <c r="I543" s="15" t="inlineStr"/>
      <c r="J543" s="18" t="inlineStr"/>
      <c r="K543" s="249" t="n"/>
      <c r="L543" s="252" t="n">
        <v>6925425</v>
      </c>
      <c r="M543" s="253" t="n">
        <v>0</v>
      </c>
      <c r="N543" s="253" t="n">
        <v>0</v>
      </c>
      <c r="O543" s="252" t="n">
        <v>0</v>
      </c>
      <c r="P543" s="18" t="inlineStr"/>
    </row>
    <row r="544" ht="15.5" customHeight="1">
      <c r="B544" s="249" t="n">
        <v>45657</v>
      </c>
      <c r="C544" s="15" t="n">
        <v>537</v>
      </c>
      <c r="D544" s="170" t="inlineStr">
        <is>
          <t>Bunga Bank 2024</t>
        </is>
      </c>
      <c r="E544" s="227" t="n"/>
      <c r="F544" s="250" t="n">
        <v>6925425</v>
      </c>
      <c r="G544" s="15" t="inlineStr">
        <is>
          <t>IDR</t>
        </is>
      </c>
      <c r="H544" s="251" t="n">
        <v>1</v>
      </c>
      <c r="I544" s="15" t="inlineStr"/>
      <c r="J544" s="18" t="inlineStr"/>
      <c r="K544" s="249" t="n"/>
      <c r="L544" s="252" t="n">
        <v>6925425</v>
      </c>
      <c r="M544" s="253" t="n">
        <v>0</v>
      </c>
      <c r="N544" s="253" t="n">
        <v>0</v>
      </c>
      <c r="O544" s="252" t="n">
        <v>0</v>
      </c>
      <c r="P544" s="18" t="inlineStr"/>
    </row>
    <row r="545" ht="15.5" customHeight="1">
      <c r="B545" s="249" t="n">
        <v>45657</v>
      </c>
      <c r="C545" s="15" t="n">
        <v>538</v>
      </c>
      <c r="D545" s="170" t="inlineStr">
        <is>
          <t>Bunga Bank 2024</t>
        </is>
      </c>
      <c r="E545" s="227" t="n"/>
      <c r="F545" s="250" t="n">
        <v>6925425</v>
      </c>
      <c r="G545" s="15" t="inlineStr">
        <is>
          <t>IDR</t>
        </is>
      </c>
      <c r="H545" s="251" t="n">
        <v>1</v>
      </c>
      <c r="I545" s="15" t="inlineStr"/>
      <c r="J545" s="18" t="inlineStr"/>
      <c r="K545" s="249" t="n"/>
      <c r="L545" s="252" t="n">
        <v>6925425</v>
      </c>
      <c r="M545" s="253" t="n">
        <v>0</v>
      </c>
      <c r="N545" s="253" t="n">
        <v>0</v>
      </c>
      <c r="O545" s="252" t="n">
        <v>0</v>
      </c>
      <c r="P545" s="18" t="inlineStr"/>
    </row>
    <row r="546" ht="15.5" customHeight="1">
      <c r="B546" s="249" t="n">
        <v>45657</v>
      </c>
      <c r="C546" s="15" t="n">
        <v>539</v>
      </c>
      <c r="D546" s="170" t="inlineStr">
        <is>
          <t>Bunga Bank 2024</t>
        </is>
      </c>
      <c r="E546" s="227" t="n"/>
      <c r="F546" s="250" t="n">
        <v>6925425</v>
      </c>
      <c r="G546" s="15" t="inlineStr">
        <is>
          <t>IDR</t>
        </is>
      </c>
      <c r="H546" s="251" t="n">
        <v>1</v>
      </c>
      <c r="I546" s="15" t="inlineStr"/>
      <c r="J546" s="18" t="inlineStr"/>
      <c r="K546" s="249" t="n"/>
      <c r="L546" s="252" t="n">
        <v>6925425</v>
      </c>
      <c r="M546" s="253" t="n">
        <v>0</v>
      </c>
      <c r="N546" s="253" t="n">
        <v>0</v>
      </c>
      <c r="O546" s="252" t="n">
        <v>0</v>
      </c>
      <c r="P546" s="18" t="inlineStr"/>
    </row>
    <row r="547" ht="15.5" customHeight="1">
      <c r="B547" s="249" t="n">
        <v>45657</v>
      </c>
      <c r="C547" s="15" t="n">
        <v>540</v>
      </c>
      <c r="D547" s="170" t="inlineStr">
        <is>
          <t>Bunga Bank 2024</t>
        </is>
      </c>
      <c r="E547" s="227" t="n"/>
      <c r="F547" s="250" t="n">
        <v>6925425</v>
      </c>
      <c r="G547" s="15" t="inlineStr">
        <is>
          <t>IDR</t>
        </is>
      </c>
      <c r="H547" s="251" t="n">
        <v>1</v>
      </c>
      <c r="I547" s="15" t="inlineStr"/>
      <c r="J547" s="18" t="inlineStr"/>
      <c r="K547" s="249" t="n"/>
      <c r="L547" s="252" t="n">
        <v>6925425</v>
      </c>
      <c r="M547" s="253" t="n">
        <v>0</v>
      </c>
      <c r="N547" s="253" t="n">
        <v>0</v>
      </c>
      <c r="O547" s="252" t="n">
        <v>0</v>
      </c>
      <c r="P547" s="18" t="inlineStr"/>
    </row>
    <row r="548" ht="15.5" customHeight="1">
      <c r="B548" s="249" t="n">
        <v>45657</v>
      </c>
      <c r="C548" s="15" t="n">
        <v>541</v>
      </c>
      <c r="D548" s="170" t="inlineStr">
        <is>
          <t>Bunga Bank 2024</t>
        </is>
      </c>
      <c r="E548" s="227" t="n"/>
      <c r="F548" s="250" t="n">
        <v>6925425</v>
      </c>
      <c r="G548" s="15" t="inlineStr">
        <is>
          <t>IDR</t>
        </is>
      </c>
      <c r="H548" s="251" t="n">
        <v>1</v>
      </c>
      <c r="I548" s="15" t="inlineStr"/>
      <c r="J548" s="18" t="inlineStr"/>
      <c r="K548" s="249" t="n"/>
      <c r="L548" s="252" t="n">
        <v>6925425</v>
      </c>
      <c r="M548" s="253" t="n">
        <v>0</v>
      </c>
      <c r="N548" s="253" t="n">
        <v>0</v>
      </c>
      <c r="O548" s="252" t="n">
        <v>0</v>
      </c>
      <c r="P548" s="18" t="inlineStr"/>
    </row>
    <row r="549" ht="15.5" customHeight="1">
      <c r="B549" s="249" t="n">
        <v>45657</v>
      </c>
      <c r="C549" s="15" t="n">
        <v>542</v>
      </c>
      <c r="D549" s="170" t="inlineStr">
        <is>
          <t>Bunga Bank 2024</t>
        </is>
      </c>
      <c r="E549" s="227" t="n"/>
      <c r="F549" s="250" t="n">
        <v>6925425</v>
      </c>
      <c r="G549" s="15" t="inlineStr">
        <is>
          <t>IDR</t>
        </is>
      </c>
      <c r="H549" s="251" t="n">
        <v>1</v>
      </c>
      <c r="I549" s="15" t="inlineStr"/>
      <c r="J549" s="18" t="inlineStr"/>
      <c r="K549" s="249" t="n"/>
      <c r="L549" s="252" t="n">
        <v>6925425</v>
      </c>
      <c r="M549" s="253" t="n">
        <v>0</v>
      </c>
      <c r="N549" s="253" t="n">
        <v>0</v>
      </c>
      <c r="O549" s="252" t="n">
        <v>0</v>
      </c>
      <c r="P549" s="18" t="inlineStr"/>
    </row>
    <row r="550" ht="15.5" customHeight="1">
      <c r="B550" s="249" t="n">
        <v>45657</v>
      </c>
      <c r="C550" s="15" t="n">
        <v>543</v>
      </c>
      <c r="D550" s="170" t="inlineStr">
        <is>
          <t>Bunga Bank 2024</t>
        </is>
      </c>
      <c r="E550" s="227" t="n"/>
      <c r="F550" s="250" t="n">
        <v>6925425</v>
      </c>
      <c r="G550" s="15" t="inlineStr">
        <is>
          <t>IDR</t>
        </is>
      </c>
      <c r="H550" s="251" t="n">
        <v>1</v>
      </c>
      <c r="I550" s="15" t="inlineStr"/>
      <c r="J550" s="18" t="inlineStr"/>
      <c r="K550" s="249" t="n"/>
      <c r="L550" s="252" t="n">
        <v>6925425</v>
      </c>
      <c r="M550" s="253" t="n">
        <v>0</v>
      </c>
      <c r="N550" s="253" t="n">
        <v>0</v>
      </c>
      <c r="O550" s="252" t="n">
        <v>0</v>
      </c>
      <c r="P550" s="18" t="inlineStr"/>
    </row>
    <row r="551" ht="15.5" customHeight="1">
      <c r="B551" s="249" t="n">
        <v>45657</v>
      </c>
      <c r="C551" s="15" t="n">
        <v>544</v>
      </c>
      <c r="D551" s="170" t="inlineStr">
        <is>
          <t>Bunga Bank 2024</t>
        </is>
      </c>
      <c r="E551" s="227" t="n"/>
      <c r="F551" s="250" t="n">
        <v>6925425</v>
      </c>
      <c r="G551" s="15" t="inlineStr">
        <is>
          <t>IDR</t>
        </is>
      </c>
      <c r="H551" s="251" t="n">
        <v>1</v>
      </c>
      <c r="I551" s="15" t="inlineStr"/>
      <c r="J551" s="18" t="inlineStr"/>
      <c r="K551" s="249" t="n"/>
      <c r="L551" s="252" t="n">
        <v>6925425</v>
      </c>
      <c r="M551" s="253" t="n">
        <v>0</v>
      </c>
      <c r="N551" s="253" t="n">
        <v>0</v>
      </c>
      <c r="O551" s="252" t="n">
        <v>0</v>
      </c>
      <c r="P551" s="18" t="inlineStr"/>
    </row>
    <row r="552" ht="15.5" customHeight="1">
      <c r="B552" s="249" t="n">
        <v>45657</v>
      </c>
      <c r="C552" s="15" t="n">
        <v>545</v>
      </c>
      <c r="D552" s="170" t="inlineStr">
        <is>
          <t>Bunga Bank 2024</t>
        </is>
      </c>
      <c r="E552" s="227" t="n"/>
      <c r="F552" s="250" t="n">
        <v>6925425</v>
      </c>
      <c r="G552" s="15" t="inlineStr">
        <is>
          <t>IDR</t>
        </is>
      </c>
      <c r="H552" s="251" t="n">
        <v>1</v>
      </c>
      <c r="I552" s="15" t="inlineStr"/>
      <c r="J552" s="18" t="inlineStr"/>
      <c r="K552" s="249" t="n"/>
      <c r="L552" s="252" t="n">
        <v>6925425</v>
      </c>
      <c r="M552" s="253" t="n">
        <v>0</v>
      </c>
      <c r="N552" s="253" t="n">
        <v>0</v>
      </c>
      <c r="O552" s="252" t="n">
        <v>0</v>
      </c>
      <c r="P552" s="18" t="inlineStr"/>
    </row>
    <row r="553" ht="15.5" customHeight="1">
      <c r="B553" s="249" t="n">
        <v>45657</v>
      </c>
      <c r="C553" s="15" t="n">
        <v>546</v>
      </c>
      <c r="D553" s="170" t="inlineStr">
        <is>
          <t>Bunga Bank 2024</t>
        </is>
      </c>
      <c r="E553" s="227" t="n"/>
      <c r="F553" s="250" t="n">
        <v>6925425</v>
      </c>
      <c r="G553" s="15" t="inlineStr">
        <is>
          <t>IDR</t>
        </is>
      </c>
      <c r="H553" s="251" t="n">
        <v>1</v>
      </c>
      <c r="I553" s="15" t="inlineStr"/>
      <c r="J553" s="18" t="inlineStr"/>
      <c r="K553" s="249" t="n"/>
      <c r="L553" s="252" t="n">
        <v>6925425</v>
      </c>
      <c r="M553" s="253" t="n">
        <v>0</v>
      </c>
      <c r="N553" s="253" t="n">
        <v>0</v>
      </c>
      <c r="O553" s="252" t="n">
        <v>0</v>
      </c>
      <c r="P553" s="18" t="inlineStr"/>
    </row>
    <row r="554" ht="15.5" customHeight="1">
      <c r="B554" s="249" t="n">
        <v>45657</v>
      </c>
      <c r="C554" s="15" t="n">
        <v>547</v>
      </c>
      <c r="D554" s="170" t="inlineStr">
        <is>
          <t>Bunga Bank 2024</t>
        </is>
      </c>
      <c r="E554" s="227" t="n"/>
      <c r="F554" s="250" t="n">
        <v>6925425</v>
      </c>
      <c r="G554" s="15" t="inlineStr">
        <is>
          <t>IDR</t>
        </is>
      </c>
      <c r="H554" s="251" t="n">
        <v>1</v>
      </c>
      <c r="I554" s="15" t="inlineStr"/>
      <c r="J554" s="18" t="inlineStr"/>
      <c r="K554" s="249" t="n"/>
      <c r="L554" s="252" t="n">
        <v>6925425</v>
      </c>
      <c r="M554" s="253" t="n">
        <v>0</v>
      </c>
      <c r="N554" s="253" t="n">
        <v>0</v>
      </c>
      <c r="O554" s="252" t="n">
        <v>0</v>
      </c>
      <c r="P554" s="18" t="inlineStr"/>
    </row>
    <row r="555" ht="15.5" customHeight="1">
      <c r="B555" s="249" t="n">
        <v>45657</v>
      </c>
      <c r="C555" s="15" t="n">
        <v>548</v>
      </c>
      <c r="D555" s="170" t="inlineStr">
        <is>
          <t>Bunga Bank 2024</t>
        </is>
      </c>
      <c r="E555" s="227" t="n"/>
      <c r="F555" s="250" t="n">
        <v>6925425</v>
      </c>
      <c r="G555" s="15" t="inlineStr">
        <is>
          <t>IDR</t>
        </is>
      </c>
      <c r="H555" s="251" t="n">
        <v>1</v>
      </c>
      <c r="I555" s="15" t="inlineStr"/>
      <c r="J555" s="18" t="inlineStr"/>
      <c r="K555" s="249" t="n"/>
      <c r="L555" s="252" t="n">
        <v>6925425</v>
      </c>
      <c r="M555" s="253" t="n">
        <v>0</v>
      </c>
      <c r="N555" s="253" t="n">
        <v>0</v>
      </c>
      <c r="O555" s="252" t="n">
        <v>0</v>
      </c>
      <c r="P555" s="18" t="inlineStr"/>
    </row>
    <row r="556" ht="15.5" customHeight="1">
      <c r="B556" s="249" t="n">
        <v>45657</v>
      </c>
      <c r="C556" s="15" t="n">
        <v>549</v>
      </c>
      <c r="D556" s="170" t="inlineStr">
        <is>
          <t>Bunga Bank 2024</t>
        </is>
      </c>
      <c r="E556" s="227" t="n"/>
      <c r="F556" s="250" t="n">
        <v>6925425</v>
      </c>
      <c r="G556" s="15" t="inlineStr">
        <is>
          <t>IDR</t>
        </is>
      </c>
      <c r="H556" s="251" t="n">
        <v>1</v>
      </c>
      <c r="I556" s="15" t="inlineStr"/>
      <c r="J556" s="18" t="inlineStr"/>
      <c r="K556" s="249" t="n"/>
      <c r="L556" s="252" t="n">
        <v>6925425</v>
      </c>
      <c r="M556" s="253" t="n">
        <v>0</v>
      </c>
      <c r="N556" s="253" t="n">
        <v>0</v>
      </c>
      <c r="O556" s="252" t="n">
        <v>0</v>
      </c>
      <c r="P556" s="18" t="inlineStr"/>
    </row>
    <row r="557" ht="15.5" customHeight="1">
      <c r="B557" s="249" t="n">
        <v>45657</v>
      </c>
      <c r="C557" s="15" t="n">
        <v>550</v>
      </c>
      <c r="D557" s="170" t="inlineStr">
        <is>
          <t>Bunga Bank 2024</t>
        </is>
      </c>
      <c r="E557" s="227" t="n"/>
      <c r="F557" s="250" t="n">
        <v>6925425</v>
      </c>
      <c r="G557" s="15" t="inlineStr">
        <is>
          <t>IDR</t>
        </is>
      </c>
      <c r="H557" s="251" t="n">
        <v>1</v>
      </c>
      <c r="I557" s="15" t="inlineStr"/>
      <c r="J557" s="18" t="inlineStr"/>
      <c r="K557" s="249" t="n"/>
      <c r="L557" s="252" t="n">
        <v>6925425</v>
      </c>
      <c r="M557" s="253" t="n">
        <v>0</v>
      </c>
      <c r="N557" s="253" t="n">
        <v>0</v>
      </c>
      <c r="O557" s="252" t="n">
        <v>0</v>
      </c>
      <c r="P557" s="18" t="inlineStr"/>
    </row>
    <row r="558" ht="15.5" customHeight="1">
      <c r="B558" s="249" t="n">
        <v>45657</v>
      </c>
      <c r="C558" s="15" t="n">
        <v>551</v>
      </c>
      <c r="D558" s="170" t="inlineStr">
        <is>
          <t>Bunga Bank 2024</t>
        </is>
      </c>
      <c r="E558" s="227" t="n"/>
      <c r="F558" s="250" t="n">
        <v>6925425</v>
      </c>
      <c r="G558" s="15" t="inlineStr">
        <is>
          <t>IDR</t>
        </is>
      </c>
      <c r="H558" s="251" t="n">
        <v>1</v>
      </c>
      <c r="I558" s="15" t="inlineStr"/>
      <c r="J558" s="18" t="inlineStr"/>
      <c r="K558" s="249" t="n"/>
      <c r="L558" s="252" t="n">
        <v>6925425</v>
      </c>
      <c r="M558" s="253" t="n">
        <v>0</v>
      </c>
      <c r="N558" s="253" t="n">
        <v>0</v>
      </c>
      <c r="O558" s="252" t="n">
        <v>0</v>
      </c>
      <c r="P558" s="18" t="inlineStr"/>
    </row>
    <row r="559" ht="15.5" customHeight="1">
      <c r="B559" s="249" t="n">
        <v>45657</v>
      </c>
      <c r="C559" s="15" t="n">
        <v>552</v>
      </c>
      <c r="D559" s="170" t="inlineStr">
        <is>
          <t>Bunga Bank 2024</t>
        </is>
      </c>
      <c r="E559" s="227" t="n"/>
      <c r="F559" s="250" t="n">
        <v>6925425</v>
      </c>
      <c r="G559" s="15" t="inlineStr">
        <is>
          <t>IDR</t>
        </is>
      </c>
      <c r="H559" s="251" t="n">
        <v>1</v>
      </c>
      <c r="I559" s="15" t="inlineStr"/>
      <c r="J559" s="18" t="inlineStr"/>
      <c r="K559" s="249" t="n"/>
      <c r="L559" s="252" t="n">
        <v>6925425</v>
      </c>
      <c r="M559" s="253" t="n">
        <v>0</v>
      </c>
      <c r="N559" s="253" t="n">
        <v>0</v>
      </c>
      <c r="O559" s="252" t="n">
        <v>0</v>
      </c>
      <c r="P559" s="18" t="inlineStr"/>
    </row>
    <row r="560" ht="15.5" customHeight="1">
      <c r="B560" s="249" t="n">
        <v>45657</v>
      </c>
      <c r="C560" s="15" t="n">
        <v>553</v>
      </c>
      <c r="D560" s="170" t="inlineStr">
        <is>
          <t>Bunga Bank 2024</t>
        </is>
      </c>
      <c r="E560" s="227" t="n"/>
      <c r="F560" s="250" t="n">
        <v>6925425</v>
      </c>
      <c r="G560" s="15" t="inlineStr">
        <is>
          <t>IDR</t>
        </is>
      </c>
      <c r="H560" s="251" t="n">
        <v>1</v>
      </c>
      <c r="I560" s="15" t="inlineStr"/>
      <c r="J560" s="18" t="inlineStr"/>
      <c r="K560" s="249" t="n"/>
      <c r="L560" s="252" t="n">
        <v>6925425</v>
      </c>
      <c r="M560" s="253" t="n">
        <v>0</v>
      </c>
      <c r="N560" s="253" t="n">
        <v>0</v>
      </c>
      <c r="O560" s="252" t="n">
        <v>0</v>
      </c>
      <c r="P560" s="18" t="inlineStr"/>
    </row>
    <row r="561" ht="15.5" customHeight="1">
      <c r="B561" s="249" t="n">
        <v>45657</v>
      </c>
      <c r="C561" s="15" t="n">
        <v>554</v>
      </c>
      <c r="D561" s="170" t="inlineStr">
        <is>
          <t>Bunga Bank 2024</t>
        </is>
      </c>
      <c r="E561" s="227" t="n"/>
      <c r="F561" s="250" t="n">
        <v>6925425</v>
      </c>
      <c r="G561" s="15" t="inlineStr">
        <is>
          <t>IDR</t>
        </is>
      </c>
      <c r="H561" s="251" t="n">
        <v>1</v>
      </c>
      <c r="I561" s="15" t="inlineStr"/>
      <c r="J561" s="18" t="inlineStr"/>
      <c r="K561" s="249" t="n"/>
      <c r="L561" s="252" t="n">
        <v>6925425</v>
      </c>
      <c r="M561" s="253" t="n">
        <v>0</v>
      </c>
      <c r="N561" s="253" t="n">
        <v>0</v>
      </c>
      <c r="O561" s="252" t="n">
        <v>0</v>
      </c>
      <c r="P561" s="18" t="inlineStr"/>
    </row>
    <row r="562" ht="15.5" customHeight="1">
      <c r="B562" s="249" t="n">
        <v>45657</v>
      </c>
      <c r="C562" s="15" t="n">
        <v>555</v>
      </c>
      <c r="D562" s="170" t="inlineStr">
        <is>
          <t>Bunga Bank 2024</t>
        </is>
      </c>
      <c r="E562" s="227" t="n"/>
      <c r="F562" s="250" t="n">
        <v>6925425</v>
      </c>
      <c r="G562" s="15" t="inlineStr">
        <is>
          <t>IDR</t>
        </is>
      </c>
      <c r="H562" s="251" t="n">
        <v>1</v>
      </c>
      <c r="I562" s="15" t="inlineStr"/>
      <c r="J562" s="18" t="inlineStr"/>
      <c r="K562" s="249" t="n"/>
      <c r="L562" s="252" t="n">
        <v>6925425</v>
      </c>
      <c r="M562" s="253" t="n">
        <v>0</v>
      </c>
      <c r="N562" s="253" t="n">
        <v>0</v>
      </c>
      <c r="O562" s="252" t="n">
        <v>0</v>
      </c>
      <c r="P562" s="18" t="inlineStr"/>
    </row>
    <row r="563" ht="15.5" customHeight="1">
      <c r="B563" s="249" t="n">
        <v>45657</v>
      </c>
      <c r="C563" s="15" t="n">
        <v>556</v>
      </c>
      <c r="D563" s="170" t="inlineStr">
        <is>
          <t>Bunga Bank 2024</t>
        </is>
      </c>
      <c r="E563" s="227" t="n"/>
      <c r="F563" s="250" t="n">
        <v>6925425</v>
      </c>
      <c r="G563" s="15" t="inlineStr">
        <is>
          <t>IDR</t>
        </is>
      </c>
      <c r="H563" s="251" t="n">
        <v>1</v>
      </c>
      <c r="I563" s="15" t="inlineStr"/>
      <c r="J563" s="18" t="inlineStr"/>
      <c r="K563" s="249" t="n"/>
      <c r="L563" s="252" t="n">
        <v>6925425</v>
      </c>
      <c r="M563" s="253" t="n">
        <v>0</v>
      </c>
      <c r="N563" s="253" t="n">
        <v>0</v>
      </c>
      <c r="O563" s="252" t="n">
        <v>0</v>
      </c>
      <c r="P563" s="18" t="inlineStr"/>
    </row>
    <row r="564" ht="15.5" customHeight="1">
      <c r="B564" s="249" t="n">
        <v>45657</v>
      </c>
      <c r="C564" s="15" t="n">
        <v>557</v>
      </c>
      <c r="D564" s="170" t="inlineStr">
        <is>
          <t>Bunga Bank 2024</t>
        </is>
      </c>
      <c r="E564" s="227" t="n"/>
      <c r="F564" s="250" t="n">
        <v>6925425</v>
      </c>
      <c r="G564" s="15" t="inlineStr">
        <is>
          <t>IDR</t>
        </is>
      </c>
      <c r="H564" s="251" t="n">
        <v>1</v>
      </c>
      <c r="I564" s="15" t="inlineStr"/>
      <c r="J564" s="18" t="inlineStr"/>
      <c r="K564" s="249" t="n"/>
      <c r="L564" s="252" t="n">
        <v>6925425</v>
      </c>
      <c r="M564" s="253" t="n">
        <v>0</v>
      </c>
      <c r="N564" s="253" t="n">
        <v>0</v>
      </c>
      <c r="O564" s="252" t="n">
        <v>0</v>
      </c>
      <c r="P564" s="18" t="inlineStr"/>
    </row>
    <row r="565" ht="15.5" customHeight="1">
      <c r="B565" s="249" t="n">
        <v>45657</v>
      </c>
      <c r="C565" s="15" t="n">
        <v>558</v>
      </c>
      <c r="D565" s="170" t="inlineStr">
        <is>
          <t>Bunga Bank 2024</t>
        </is>
      </c>
      <c r="E565" s="227" t="n"/>
      <c r="F565" s="250" t="n">
        <v>6925425</v>
      </c>
      <c r="G565" s="15" t="inlineStr">
        <is>
          <t>IDR</t>
        </is>
      </c>
      <c r="H565" s="251" t="n">
        <v>1</v>
      </c>
      <c r="I565" s="15" t="inlineStr"/>
      <c r="J565" s="18" t="inlineStr"/>
      <c r="K565" s="249" t="n"/>
      <c r="L565" s="252" t="n">
        <v>6925425</v>
      </c>
      <c r="M565" s="253" t="n">
        <v>0</v>
      </c>
      <c r="N565" s="253" t="n">
        <v>0</v>
      </c>
      <c r="O565" s="252" t="n">
        <v>0</v>
      </c>
      <c r="P565" s="18" t="inlineStr"/>
    </row>
    <row r="566" ht="15.5" customHeight="1">
      <c r="B566" s="249" t="n">
        <v>45657</v>
      </c>
      <c r="C566" s="15" t="n">
        <v>559</v>
      </c>
      <c r="D566" s="170" t="inlineStr">
        <is>
          <t>Bunga Bank 2024</t>
        </is>
      </c>
      <c r="E566" s="227" t="n"/>
      <c r="F566" s="250" t="n">
        <v>6925425</v>
      </c>
      <c r="G566" s="15" t="inlineStr">
        <is>
          <t>IDR</t>
        </is>
      </c>
      <c r="H566" s="251" t="n">
        <v>1</v>
      </c>
      <c r="I566" s="15" t="inlineStr"/>
      <c r="J566" s="18" t="inlineStr"/>
      <c r="K566" s="249" t="n"/>
      <c r="L566" s="252" t="n">
        <v>6925425</v>
      </c>
      <c r="M566" s="253" t="n">
        <v>0</v>
      </c>
      <c r="N566" s="253" t="n">
        <v>0</v>
      </c>
      <c r="O566" s="252" t="n">
        <v>0</v>
      </c>
      <c r="P566" s="18" t="inlineStr"/>
    </row>
    <row r="567" ht="15.5" customHeight="1">
      <c r="B567" s="249" t="n">
        <v>45657</v>
      </c>
      <c r="C567" s="15" t="n">
        <v>560</v>
      </c>
      <c r="D567" s="170" t="inlineStr">
        <is>
          <t>Bunga Bank 2024</t>
        </is>
      </c>
      <c r="E567" s="227" t="n"/>
      <c r="F567" s="250" t="n">
        <v>6925425</v>
      </c>
      <c r="G567" s="15" t="inlineStr">
        <is>
          <t>IDR</t>
        </is>
      </c>
      <c r="H567" s="251" t="n">
        <v>1</v>
      </c>
      <c r="I567" s="15" t="inlineStr"/>
      <c r="J567" s="18" t="inlineStr"/>
      <c r="K567" s="249" t="n"/>
      <c r="L567" s="252" t="n">
        <v>6925425</v>
      </c>
      <c r="M567" s="253" t="n">
        <v>0</v>
      </c>
      <c r="N567" s="253" t="n">
        <v>0</v>
      </c>
      <c r="O567" s="252" t="n">
        <v>0</v>
      </c>
      <c r="P567" s="18" t="inlineStr"/>
    </row>
    <row r="568" ht="15.5" customHeight="1">
      <c r="B568" s="249" t="n">
        <v>45657</v>
      </c>
      <c r="C568" s="15" t="n">
        <v>561</v>
      </c>
      <c r="D568" s="170" t="inlineStr">
        <is>
          <t>Bunga Bank 2024</t>
        </is>
      </c>
      <c r="E568" s="227" t="n"/>
      <c r="F568" s="250" t="n">
        <v>6925425</v>
      </c>
      <c r="G568" s="15" t="inlineStr">
        <is>
          <t>IDR</t>
        </is>
      </c>
      <c r="H568" s="251" t="n">
        <v>1</v>
      </c>
      <c r="I568" s="15" t="inlineStr"/>
      <c r="J568" s="18" t="inlineStr"/>
      <c r="K568" s="249" t="n"/>
      <c r="L568" s="252" t="n">
        <v>6925425</v>
      </c>
      <c r="M568" s="253" t="n">
        <v>0</v>
      </c>
      <c r="N568" s="253" t="n">
        <v>0</v>
      </c>
      <c r="O568" s="252" t="n">
        <v>0</v>
      </c>
      <c r="P568" s="18" t="inlineStr"/>
    </row>
    <row r="569" ht="15.5" customHeight="1">
      <c r="B569" s="249" t="n">
        <v>45657</v>
      </c>
      <c r="C569" s="15" t="n">
        <v>562</v>
      </c>
      <c r="D569" s="170" t="inlineStr">
        <is>
          <t>Bunga Bank 2024</t>
        </is>
      </c>
      <c r="E569" s="227" t="n"/>
      <c r="F569" s="250" t="n">
        <v>6925425</v>
      </c>
      <c r="G569" s="15" t="inlineStr">
        <is>
          <t>IDR</t>
        </is>
      </c>
      <c r="H569" s="251" t="n">
        <v>1</v>
      </c>
      <c r="I569" s="15" t="inlineStr"/>
      <c r="J569" s="18" t="inlineStr"/>
      <c r="K569" s="249" t="n"/>
      <c r="L569" s="252" t="n">
        <v>6925425</v>
      </c>
      <c r="M569" s="253" t="n">
        <v>0</v>
      </c>
      <c r="N569" s="253" t="n">
        <v>0</v>
      </c>
      <c r="O569" s="252" t="n">
        <v>0</v>
      </c>
      <c r="P569" s="18" t="inlineStr"/>
    </row>
    <row r="570" ht="15.5" customHeight="1">
      <c r="B570" s="249" t="n">
        <v>45657</v>
      </c>
      <c r="C570" s="15" t="n">
        <v>563</v>
      </c>
      <c r="D570" s="170" t="inlineStr">
        <is>
          <t>Bunga Bank 2024</t>
        </is>
      </c>
      <c r="E570" s="227" t="n"/>
      <c r="F570" s="250" t="n">
        <v>6925425</v>
      </c>
      <c r="G570" s="15" t="inlineStr">
        <is>
          <t>IDR</t>
        </is>
      </c>
      <c r="H570" s="251" t="n">
        <v>1</v>
      </c>
      <c r="I570" s="15" t="inlineStr"/>
      <c r="J570" s="18" t="inlineStr"/>
      <c r="K570" s="249" t="n"/>
      <c r="L570" s="252" t="n">
        <v>6925425</v>
      </c>
      <c r="M570" s="253" t="n">
        <v>0</v>
      </c>
      <c r="N570" s="253" t="n">
        <v>0</v>
      </c>
      <c r="O570" s="252" t="n">
        <v>0</v>
      </c>
      <c r="P570" s="18" t="inlineStr"/>
    </row>
    <row r="571" ht="15.5" customHeight="1">
      <c r="B571" s="249" t="n">
        <v>45657</v>
      </c>
      <c r="C571" s="15" t="n">
        <v>564</v>
      </c>
      <c r="D571" s="170" t="inlineStr">
        <is>
          <t>Bunga Bank 2024</t>
        </is>
      </c>
      <c r="E571" s="227" t="n"/>
      <c r="F571" s="250" t="n">
        <v>6925425</v>
      </c>
      <c r="G571" s="15" t="inlineStr">
        <is>
          <t>IDR</t>
        </is>
      </c>
      <c r="H571" s="251" t="n">
        <v>1</v>
      </c>
      <c r="I571" s="15" t="inlineStr"/>
      <c r="J571" s="18" t="inlineStr"/>
      <c r="K571" s="249" t="n"/>
      <c r="L571" s="252" t="n">
        <v>6925425</v>
      </c>
      <c r="M571" s="253" t="n">
        <v>0</v>
      </c>
      <c r="N571" s="253" t="n">
        <v>0</v>
      </c>
      <c r="O571" s="252" t="n">
        <v>0</v>
      </c>
      <c r="P571" s="18" t="inlineStr"/>
    </row>
    <row r="572" ht="15.5" customHeight="1">
      <c r="B572" s="249" t="n">
        <v>45657</v>
      </c>
      <c r="C572" s="15" t="n">
        <v>565</v>
      </c>
      <c r="D572" s="170" t="inlineStr">
        <is>
          <t>Bunga Bank 2024</t>
        </is>
      </c>
      <c r="E572" s="227" t="n"/>
      <c r="F572" s="250" t="n">
        <v>6925425</v>
      </c>
      <c r="G572" s="15" t="inlineStr">
        <is>
          <t>IDR</t>
        </is>
      </c>
      <c r="H572" s="251" t="n">
        <v>1</v>
      </c>
      <c r="I572" s="15" t="inlineStr"/>
      <c r="J572" s="18" t="inlineStr"/>
      <c r="K572" s="249" t="n"/>
      <c r="L572" s="252" t="n">
        <v>6925425</v>
      </c>
      <c r="M572" s="253" t="n">
        <v>0</v>
      </c>
      <c r="N572" s="253" t="n">
        <v>0</v>
      </c>
      <c r="O572" s="252" t="n">
        <v>0</v>
      </c>
      <c r="P572" s="18" t="inlineStr"/>
    </row>
    <row r="573" ht="15.5" customHeight="1">
      <c r="B573" s="249" t="n">
        <v>45657</v>
      </c>
      <c r="C573" s="15" t="n">
        <v>566</v>
      </c>
      <c r="D573" s="170" t="inlineStr">
        <is>
          <t>Bunga Bank 2024</t>
        </is>
      </c>
      <c r="E573" s="227" t="n"/>
      <c r="F573" s="250" t="n">
        <v>6925425</v>
      </c>
      <c r="G573" s="15" t="inlineStr">
        <is>
          <t>IDR</t>
        </is>
      </c>
      <c r="H573" s="251" t="n">
        <v>1</v>
      </c>
      <c r="I573" s="15" t="inlineStr"/>
      <c r="J573" s="18" t="inlineStr"/>
      <c r="K573" s="249" t="n"/>
      <c r="L573" s="252" t="n">
        <v>6925425</v>
      </c>
      <c r="M573" s="253" t="n">
        <v>0</v>
      </c>
      <c r="N573" s="253" t="n">
        <v>0</v>
      </c>
      <c r="O573" s="252" t="n">
        <v>0</v>
      </c>
      <c r="P573" s="18" t="inlineStr"/>
    </row>
    <row r="574" ht="15.5" customHeight="1">
      <c r="B574" s="249" t="n">
        <v>45657</v>
      </c>
      <c r="C574" s="15" t="n">
        <v>567</v>
      </c>
      <c r="D574" s="170" t="inlineStr">
        <is>
          <t>Bunga Bank 2024</t>
        </is>
      </c>
      <c r="E574" s="227" t="n"/>
      <c r="F574" s="250" t="n">
        <v>6925425</v>
      </c>
      <c r="G574" s="15" t="inlineStr">
        <is>
          <t>IDR</t>
        </is>
      </c>
      <c r="H574" s="251" t="n">
        <v>1</v>
      </c>
      <c r="I574" s="15" t="inlineStr"/>
      <c r="J574" s="18" t="inlineStr"/>
      <c r="K574" s="249" t="n"/>
      <c r="L574" s="252" t="n">
        <v>6925425</v>
      </c>
      <c r="M574" s="253" t="n">
        <v>0</v>
      </c>
      <c r="N574" s="253" t="n">
        <v>0</v>
      </c>
      <c r="O574" s="252" t="n">
        <v>0</v>
      </c>
      <c r="P574" s="18" t="inlineStr"/>
    </row>
    <row r="575" ht="15.5" customHeight="1">
      <c r="B575" s="249" t="n">
        <v>45657</v>
      </c>
      <c r="C575" s="15" t="n">
        <v>568</v>
      </c>
      <c r="D575" s="170" t="inlineStr">
        <is>
          <t>Bunga Bank 2024</t>
        </is>
      </c>
      <c r="E575" s="227" t="n"/>
      <c r="F575" s="250" t="n">
        <v>6925425</v>
      </c>
      <c r="G575" s="15" t="inlineStr">
        <is>
          <t>IDR</t>
        </is>
      </c>
      <c r="H575" s="251" t="n">
        <v>1</v>
      </c>
      <c r="I575" s="15" t="inlineStr"/>
      <c r="J575" s="18" t="inlineStr"/>
      <c r="K575" s="249" t="n"/>
      <c r="L575" s="252" t="n">
        <v>6925425</v>
      </c>
      <c r="M575" s="253" t="n">
        <v>0</v>
      </c>
      <c r="N575" s="253" t="n">
        <v>0</v>
      </c>
      <c r="O575" s="252" t="n">
        <v>0</v>
      </c>
      <c r="P575" s="18" t="inlineStr"/>
    </row>
    <row r="576" ht="15.5" customHeight="1">
      <c r="B576" s="249" t="n">
        <v>45657</v>
      </c>
      <c r="C576" s="15" t="n">
        <v>569</v>
      </c>
      <c r="D576" s="170" t="inlineStr">
        <is>
          <t>Bunga Bank 2024</t>
        </is>
      </c>
      <c r="E576" s="227" t="n"/>
      <c r="F576" s="250" t="n">
        <v>6925425</v>
      </c>
      <c r="G576" s="15" t="inlineStr">
        <is>
          <t>IDR</t>
        </is>
      </c>
      <c r="H576" s="251" t="n">
        <v>1</v>
      </c>
      <c r="I576" s="15" t="inlineStr"/>
      <c r="J576" s="18" t="inlineStr"/>
      <c r="K576" s="249" t="n"/>
      <c r="L576" s="252" t="n">
        <v>6925425</v>
      </c>
      <c r="M576" s="253" t="n">
        <v>0</v>
      </c>
      <c r="N576" s="253" t="n">
        <v>0</v>
      </c>
      <c r="O576" s="252" t="n">
        <v>0</v>
      </c>
      <c r="P576" s="18" t="inlineStr"/>
    </row>
    <row r="577" ht="15.5" customHeight="1">
      <c r="B577" s="249" t="n">
        <v>45657</v>
      </c>
      <c r="C577" s="15" t="n">
        <v>570</v>
      </c>
      <c r="D577" s="170" t="inlineStr">
        <is>
          <t>Bunga Bank 2024</t>
        </is>
      </c>
      <c r="E577" s="227" t="n"/>
      <c r="F577" s="250" t="n">
        <v>6925425</v>
      </c>
      <c r="G577" s="15" t="inlineStr">
        <is>
          <t>IDR</t>
        </is>
      </c>
      <c r="H577" s="251" t="n">
        <v>1</v>
      </c>
      <c r="I577" s="15" t="inlineStr"/>
      <c r="J577" s="18" t="inlineStr"/>
      <c r="K577" s="249" t="n"/>
      <c r="L577" s="252" t="n">
        <v>6925425</v>
      </c>
      <c r="M577" s="253" t="n">
        <v>0</v>
      </c>
      <c r="N577" s="253" t="n">
        <v>0</v>
      </c>
      <c r="O577" s="252" t="n">
        <v>0</v>
      </c>
      <c r="P577" s="18" t="inlineStr"/>
    </row>
    <row r="578" ht="15.5" customHeight="1">
      <c r="B578" s="249" t="n">
        <v>45657</v>
      </c>
      <c r="C578" s="15" t="n">
        <v>571</v>
      </c>
      <c r="D578" s="170" t="inlineStr">
        <is>
          <t>Bunga Bank 2024</t>
        </is>
      </c>
      <c r="E578" s="227" t="n"/>
      <c r="F578" s="250" t="n">
        <v>6925425</v>
      </c>
      <c r="G578" s="15" t="inlineStr">
        <is>
          <t>IDR</t>
        </is>
      </c>
      <c r="H578" s="251" t="n">
        <v>1</v>
      </c>
      <c r="I578" s="15" t="inlineStr"/>
      <c r="J578" s="18" t="inlineStr"/>
      <c r="K578" s="249" t="n"/>
      <c r="L578" s="252" t="n">
        <v>6925425</v>
      </c>
      <c r="M578" s="253" t="n">
        <v>0</v>
      </c>
      <c r="N578" s="253" t="n">
        <v>0</v>
      </c>
      <c r="O578" s="252" t="n">
        <v>0</v>
      </c>
      <c r="P578" s="18" t="inlineStr"/>
    </row>
    <row r="579" ht="15.5" customHeight="1">
      <c r="B579" s="249" t="n">
        <v>45657</v>
      </c>
      <c r="C579" s="15" t="n">
        <v>572</v>
      </c>
      <c r="D579" s="170" t="inlineStr">
        <is>
          <t>Bunga Bank 2024</t>
        </is>
      </c>
      <c r="E579" s="227" t="n"/>
      <c r="F579" s="250" t="n">
        <v>6925425</v>
      </c>
      <c r="G579" s="15" t="inlineStr">
        <is>
          <t>IDR</t>
        </is>
      </c>
      <c r="H579" s="251" t="n">
        <v>1</v>
      </c>
      <c r="I579" s="15" t="inlineStr"/>
      <c r="J579" s="18" t="inlineStr"/>
      <c r="K579" s="249" t="n"/>
      <c r="L579" s="252" t="n">
        <v>6925425</v>
      </c>
      <c r="M579" s="253" t="n">
        <v>0</v>
      </c>
      <c r="N579" s="253" t="n">
        <v>0</v>
      </c>
      <c r="O579" s="252" t="n">
        <v>0</v>
      </c>
      <c r="P579" s="18" t="inlineStr"/>
    </row>
    <row r="580" ht="15.5" customHeight="1">
      <c r="B580" s="249" t="n">
        <v>45657</v>
      </c>
      <c r="C580" s="15" t="n">
        <v>573</v>
      </c>
      <c r="D580" s="170" t="inlineStr">
        <is>
          <t>Bunga Bank 2024</t>
        </is>
      </c>
      <c r="E580" s="227" t="n"/>
      <c r="F580" s="250" t="n">
        <v>6925425</v>
      </c>
      <c r="G580" s="15" t="inlineStr">
        <is>
          <t>IDR</t>
        </is>
      </c>
      <c r="H580" s="251" t="n">
        <v>1</v>
      </c>
      <c r="I580" s="15" t="inlineStr"/>
      <c r="J580" s="18" t="inlineStr"/>
      <c r="K580" s="249" t="n"/>
      <c r="L580" s="252" t="n">
        <v>6925425</v>
      </c>
      <c r="M580" s="253" t="n">
        <v>0</v>
      </c>
      <c r="N580" s="253" t="n">
        <v>0</v>
      </c>
      <c r="O580" s="252" t="n">
        <v>0</v>
      </c>
      <c r="P580" s="18" t="inlineStr"/>
    </row>
    <row r="581" ht="15.5" customHeight="1">
      <c r="B581" s="249" t="n">
        <v>45657</v>
      </c>
      <c r="C581" s="15" t="n">
        <v>574</v>
      </c>
      <c r="D581" s="170" t="inlineStr">
        <is>
          <t>Bunga Bank 2024</t>
        </is>
      </c>
      <c r="E581" s="227" t="n"/>
      <c r="F581" s="250" t="n">
        <v>6925425</v>
      </c>
      <c r="G581" s="15" t="inlineStr">
        <is>
          <t>IDR</t>
        </is>
      </c>
      <c r="H581" s="251" t="n">
        <v>1</v>
      </c>
      <c r="I581" s="15" t="inlineStr"/>
      <c r="J581" s="18" t="inlineStr"/>
      <c r="K581" s="249" t="n"/>
      <c r="L581" s="252" t="n">
        <v>6925425</v>
      </c>
      <c r="M581" s="253" t="n">
        <v>0</v>
      </c>
      <c r="N581" s="253" t="n">
        <v>0</v>
      </c>
      <c r="O581" s="252" t="n">
        <v>0</v>
      </c>
      <c r="P581" s="18" t="inlineStr"/>
    </row>
    <row r="582" ht="15.5" customHeight="1">
      <c r="B582" s="254" t="inlineStr">
        <is>
          <t>REVENUE (IDR)</t>
        </is>
      </c>
      <c r="C582" s="230" t="n"/>
      <c r="D582" s="230" t="n"/>
      <c r="E582" s="227" t="n"/>
      <c r="F582" s="255">
        <f>SUM(F8:F581)</f>
        <v/>
      </c>
      <c r="G582" s="18" t="inlineStr">
        <is>
          <t>IDR</t>
        </is>
      </c>
      <c r="H582" s="18" t="n">
        <v>1</v>
      </c>
      <c r="I582" s="256">
        <f>$H582*$F582</f>
        <v/>
      </c>
      <c r="J582" s="257" t="n"/>
      <c r="K582" s="257" t="n"/>
      <c r="L582" s="258">
        <f>SUM(L8:L581)</f>
        <v/>
      </c>
      <c r="M582" s="258">
        <f>SUM(M8:M581)</f>
        <v/>
      </c>
      <c r="N582" s="258">
        <f>SUM(N8:N581)</f>
        <v/>
      </c>
      <c r="O582" s="259">
        <f>SUM(O8:O581)</f>
        <v/>
      </c>
      <c r="P582" s="62" t="n"/>
      <c r="Q582" s="44" t="n"/>
    </row>
    <row r="583" ht="15.5" customHeight="1">
      <c r="B583" s="249" t="n"/>
      <c r="C583" s="15" t="n"/>
      <c r="D583" s="170" t="n"/>
      <c r="E583" s="227" t="n"/>
      <c r="F583" s="250" t="n"/>
      <c r="G583" s="15" t="n"/>
      <c r="H583" s="251" t="n"/>
      <c r="I583" s="15" t="n"/>
      <c r="J583" s="18" t="n"/>
      <c r="K583" s="249" t="n"/>
      <c r="L583" s="252" t="n"/>
      <c r="M583" s="253" t="n"/>
      <c r="N583" s="253" t="n"/>
      <c r="O583" s="252" t="n"/>
      <c r="P583" s="18" t="n"/>
      <c r="Q583" s="260" t="n"/>
    </row>
    <row r="584" ht="15.5" customHeight="1">
      <c r="B584" s="249" t="n">
        <v>45302</v>
      </c>
      <c r="C584" s="15" t="n">
        <v>17</v>
      </c>
      <c r="D584" s="170" t="inlineStr">
        <is>
          <t>ALFA Service PDP-075 Pertamina Zona#4</t>
        </is>
      </c>
      <c r="E584" s="227" t="n"/>
      <c r="F584" s="250" t="n">
        <v>354210000</v>
      </c>
      <c r="G584" s="15" t="inlineStr">
        <is>
          <t>IDR</t>
        </is>
      </c>
      <c r="H584" s="251" t="n">
        <v>1</v>
      </c>
      <c r="I584" s="15" t="inlineStr">
        <is>
          <t>INV017</t>
        </is>
      </c>
      <c r="J584" s="18" t="inlineStr">
        <is>
          <t>SI Jak</t>
        </is>
      </c>
      <c r="K584" s="249" t="n">
        <v>45350</v>
      </c>
      <c r="L584" s="252" t="n">
        <v>347125800</v>
      </c>
      <c r="M584" s="253" t="n">
        <v>38963100</v>
      </c>
      <c r="N584" s="253" t="n">
        <v>7084200</v>
      </c>
      <c r="O584" s="252" t="n">
        <v>0</v>
      </c>
      <c r="P584" s="18" t="inlineStr">
        <is>
          <t>Pemungut</t>
        </is>
      </c>
      <c r="Q584" s="260" t="n"/>
    </row>
    <row r="585" ht="15.5" customHeight="1">
      <c r="B585" s="261" t="n">
        <v>45302</v>
      </c>
      <c r="C585" s="262" t="n">
        <v>18</v>
      </c>
      <c r="D585" s="262" t="inlineStr">
        <is>
          <t>ALFA Service PDP-075 Pertamina Zona#4</t>
        </is>
      </c>
      <c r="E585" s="221" t="n"/>
      <c r="F585" s="250" t="n">
        <v>354210000</v>
      </c>
      <c r="G585" s="15" t="inlineStr">
        <is>
          <t>IDR</t>
        </is>
      </c>
      <c r="H585" s="251" t="n">
        <v>1</v>
      </c>
      <c r="I585" s="15" t="inlineStr">
        <is>
          <t>INV017</t>
        </is>
      </c>
      <c r="J585" s="227" t="n"/>
      <c r="K585" s="249" t="n">
        <v>45350</v>
      </c>
      <c r="L585" s="227" t="n"/>
      <c r="M585" s="253" t="n">
        <v>38963100</v>
      </c>
      <c r="N585" s="227" t="n"/>
      <c r="O585" s="252" t="n">
        <v>0</v>
      </c>
      <c r="P585" s="227" t="n"/>
      <c r="Q585" s="260" t="n"/>
    </row>
    <row r="586" ht="15.5" customHeight="1">
      <c r="B586" s="224" t="n"/>
      <c r="C586" s="224" t="n"/>
      <c r="D586" s="225" t="n"/>
      <c r="E586" s="226" t="n"/>
      <c r="F586" s="250" t="n">
        <v>354210000</v>
      </c>
      <c r="G586" s="15" t="n"/>
      <c r="H586" s="15" t="n"/>
      <c r="I586" s="15" t="inlineStr">
        <is>
          <t>INV017</t>
        </is>
      </c>
      <c r="J586" s="18" t="inlineStr">
        <is>
          <t>SI Jak</t>
        </is>
      </c>
      <c r="K586" s="249" t="n">
        <v>45350</v>
      </c>
      <c r="L586" s="252" t="n">
        <v>347125800</v>
      </c>
      <c r="M586" s="253" t="n">
        <v>38963100</v>
      </c>
      <c r="N586" s="253" t="n">
        <v>7084200</v>
      </c>
      <c r="O586" s="252" t="n">
        <v>0</v>
      </c>
      <c r="P586" s="18" t="inlineStr">
        <is>
          <t>Pemungut</t>
        </is>
      </c>
      <c r="Q586" s="260" t="n"/>
    </row>
    <row r="587" ht="15.5" customHeight="1">
      <c r="B587" s="249" t="n">
        <v>45289</v>
      </c>
      <c r="C587" s="15" t="n">
        <v>1</v>
      </c>
      <c r="D587" s="170" t="inlineStr">
        <is>
          <t>Tax PPN 11% (Project TGE MEPI Rimau Pembayaran Ke-2)</t>
        </is>
      </c>
      <c r="E587" s="227" t="n"/>
      <c r="F587" s="250" t="n">
        <v>33836000</v>
      </c>
      <c r="G587" s="15" t="inlineStr">
        <is>
          <t>IDR</t>
        </is>
      </c>
      <c r="H587" s="251" t="n">
        <v>1</v>
      </c>
      <c r="I587" s="251" t="n">
        <v>33836000</v>
      </c>
      <c r="J587" s="252" t="n">
        <v>33836000</v>
      </c>
      <c r="K587" s="249" t="n"/>
      <c r="L587" s="252" t="n"/>
      <c r="M587" s="253" t="n"/>
      <c r="N587" s="253" t="n"/>
      <c r="O587" s="252" t="n"/>
      <c r="P587" s="18" t="n"/>
      <c r="Q587" s="260" t="n"/>
    </row>
    <row r="588" ht="15.5" customHeight="1">
      <c r="B588" s="249" t="n">
        <v>45289</v>
      </c>
      <c r="C588" s="15" t="n">
        <v>2</v>
      </c>
      <c r="D588" s="170" t="inlineStr">
        <is>
          <t>Tax PPN 11% (Project TGE MEPI Rimau Pembayaran Ke-2)</t>
        </is>
      </c>
      <c r="E588" s="227" t="n"/>
      <c r="F588" s="250" t="n">
        <v>33836000</v>
      </c>
      <c r="G588" s="15" t="inlineStr">
        <is>
          <t>IDR</t>
        </is>
      </c>
      <c r="H588" s="251" t="n">
        <v>1</v>
      </c>
      <c r="I588" s="251" t="n">
        <v>33836000</v>
      </c>
      <c r="J588" s="252" t="n">
        <v>33836000</v>
      </c>
      <c r="K588" s="249" t="n"/>
      <c r="L588" s="252" t="n"/>
      <c r="M588" s="253" t="n"/>
      <c r="N588" s="253" t="n"/>
      <c r="O588" s="252" t="n"/>
      <c r="P588" s="18" t="n"/>
      <c r="Q588" s="260" t="n"/>
    </row>
    <row r="589" ht="15.5" customHeight="1">
      <c r="B589" s="249" t="n">
        <v>45289</v>
      </c>
      <c r="C589" s="15" t="n">
        <v>3</v>
      </c>
      <c r="D589" s="170" t="inlineStr">
        <is>
          <t>Tax PPN 11% (Project TGE MEPI Rimau Pembayaran Ke-2)</t>
        </is>
      </c>
      <c r="E589" s="227" t="n"/>
      <c r="F589" s="250" t="n">
        <v>33836000</v>
      </c>
      <c r="G589" s="15" t="inlineStr">
        <is>
          <t>IDR</t>
        </is>
      </c>
      <c r="H589" s="251" t="n">
        <v>1</v>
      </c>
      <c r="I589" s="251" t="n">
        <v>33836000</v>
      </c>
      <c r="J589" s="252" t="n">
        <v>33836000</v>
      </c>
      <c r="K589" s="249" t="n"/>
      <c r="L589" s="252" t="n"/>
      <c r="M589" s="253" t="n"/>
      <c r="N589" s="253" t="n"/>
      <c r="O589" s="252" t="n"/>
      <c r="P589" s="18" t="n"/>
      <c r="Q589" s="260" t="n"/>
    </row>
    <row r="590" ht="15.5" customHeight="1">
      <c r="B590" s="249" t="n">
        <v>45289</v>
      </c>
      <c r="C590" s="15" t="n">
        <v>4</v>
      </c>
      <c r="D590" s="170" t="inlineStr">
        <is>
          <t>Tax PPN 11% (Project TGE MEPI Rimau Pembayaran Ke-2)</t>
        </is>
      </c>
      <c r="E590" s="227" t="n"/>
      <c r="F590" s="250" t="n">
        <v>33836000</v>
      </c>
      <c r="G590" s="15" t="inlineStr">
        <is>
          <t>IDR</t>
        </is>
      </c>
      <c r="H590" s="251" t="n">
        <v>1</v>
      </c>
      <c r="I590" s="251" t="n">
        <v>33836000</v>
      </c>
      <c r="J590" s="252" t="n">
        <v>33836000</v>
      </c>
      <c r="K590" s="249" t="n"/>
      <c r="L590" s="252" t="n"/>
      <c r="M590" s="253" t="n"/>
      <c r="N590" s="253" t="n"/>
      <c r="O590" s="252" t="n"/>
      <c r="P590" s="18" t="n"/>
      <c r="Q590" s="260" t="n"/>
    </row>
    <row r="591" ht="15.5" customHeight="1">
      <c r="B591" s="249" t="n">
        <v>45289</v>
      </c>
      <c r="C591" s="15" t="n">
        <v>5</v>
      </c>
      <c r="D591" s="170" t="inlineStr">
        <is>
          <t>Tax PPN 11% (Project TGE MEPI Rimau Pembayaran Ke-2)</t>
        </is>
      </c>
      <c r="E591" s="227" t="n"/>
      <c r="F591" s="250" t="n">
        <v>33836000</v>
      </c>
      <c r="G591" s="15" t="inlineStr">
        <is>
          <t>IDR</t>
        </is>
      </c>
      <c r="H591" s="251" t="n">
        <v>1</v>
      </c>
      <c r="I591" s="251" t="n">
        <v>33836000</v>
      </c>
      <c r="J591" s="252" t="n">
        <v>33836000</v>
      </c>
      <c r="K591" s="249" t="n"/>
      <c r="L591" s="252" t="n"/>
      <c r="M591" s="253" t="n"/>
      <c r="N591" s="253" t="n"/>
      <c r="O591" s="252" t="n"/>
      <c r="P591" s="18" t="n"/>
      <c r="Q591" s="260" t="n"/>
    </row>
    <row r="592" ht="15.5" customHeight="1">
      <c r="B592" s="249" t="n">
        <v>45289</v>
      </c>
      <c r="C592" s="15" t="n">
        <v>6</v>
      </c>
      <c r="D592" s="170" t="inlineStr">
        <is>
          <t>Tax PPN 11% (Project TGE MEPI Rimau Pembayaran Ke-2)</t>
        </is>
      </c>
      <c r="E592" s="227" t="n"/>
      <c r="F592" s="250" t="n">
        <v>33836000</v>
      </c>
      <c r="G592" s="15" t="inlineStr">
        <is>
          <t>IDR</t>
        </is>
      </c>
      <c r="H592" s="251" t="n">
        <v>1</v>
      </c>
      <c r="I592" s="251" t="n">
        <v>33836000</v>
      </c>
      <c r="J592" s="252" t="n">
        <v>33836000</v>
      </c>
      <c r="K592" s="249" t="n"/>
      <c r="L592" s="252" t="n"/>
      <c r="M592" s="253" t="n"/>
      <c r="N592" s="253" t="n"/>
      <c r="O592" s="252" t="n"/>
      <c r="P592" s="18" t="n"/>
      <c r="Q592" s="260" t="n"/>
    </row>
    <row r="593" ht="15.5" customHeight="1">
      <c r="B593" s="249" t="n">
        <v>45289</v>
      </c>
      <c r="C593" s="15" t="n">
        <v>7</v>
      </c>
      <c r="D593" s="170" t="inlineStr">
        <is>
          <t>Tax PPN 11% (Project TGE MEPI Rimau Pembayaran Ke-2)</t>
        </is>
      </c>
      <c r="E593" s="227" t="n"/>
      <c r="F593" s="250" t="n">
        <v>33836000</v>
      </c>
      <c r="G593" s="15" t="inlineStr">
        <is>
          <t>IDR</t>
        </is>
      </c>
      <c r="H593" s="251" t="n">
        <v>1</v>
      </c>
      <c r="I593" s="251" t="n">
        <v>33836000</v>
      </c>
      <c r="J593" s="252" t="n">
        <v>33836000</v>
      </c>
      <c r="K593" s="249" t="n"/>
      <c r="L593" s="252" t="n"/>
      <c r="M593" s="253" t="n"/>
      <c r="N593" s="253" t="n"/>
      <c r="O593" s="252" t="n"/>
      <c r="P593" s="18" t="n"/>
      <c r="Q593" s="260" t="n"/>
    </row>
    <row r="594" ht="15.5" customHeight="1">
      <c r="B594" s="249" t="n">
        <v>45289</v>
      </c>
      <c r="C594" s="15" t="n">
        <v>8</v>
      </c>
      <c r="D594" s="170" t="inlineStr">
        <is>
          <t>Tax PPN 11% (Project TGE MEPI Rimau Pembayaran Ke-2)</t>
        </is>
      </c>
      <c r="E594" s="227" t="n"/>
      <c r="F594" s="250" t="n">
        <v>33836000</v>
      </c>
      <c r="G594" s="15" t="inlineStr">
        <is>
          <t>IDR</t>
        </is>
      </c>
      <c r="H594" s="251" t="n">
        <v>1</v>
      </c>
      <c r="I594" s="251" t="n">
        <v>33836000</v>
      </c>
      <c r="J594" s="252" t="n">
        <v>33836000</v>
      </c>
      <c r="K594" s="249" t="n"/>
      <c r="L594" s="252" t="n"/>
      <c r="M594" s="253" t="n"/>
      <c r="N594" s="253" t="n"/>
      <c r="O594" s="252" t="n"/>
      <c r="P594" s="18" t="n"/>
      <c r="Q594" s="260" t="n"/>
    </row>
    <row r="595" ht="15.5" customHeight="1">
      <c r="B595" s="249" t="n">
        <v>45289</v>
      </c>
      <c r="C595" s="15" t="n">
        <v>9</v>
      </c>
      <c r="D595" s="170" t="inlineStr">
        <is>
          <t>Tax PPN 11% (Project TGE MEPI Rimau Pembayaran Ke-2)</t>
        </is>
      </c>
      <c r="E595" s="227" t="n"/>
      <c r="F595" s="250" t="n">
        <v>33836000</v>
      </c>
      <c r="G595" s="15" t="inlineStr">
        <is>
          <t>IDR</t>
        </is>
      </c>
      <c r="H595" s="251" t="n">
        <v>1</v>
      </c>
      <c r="I595" s="251" t="n">
        <v>33836000</v>
      </c>
      <c r="J595" s="252" t="n">
        <v>33836000</v>
      </c>
      <c r="K595" s="249" t="n"/>
      <c r="L595" s="252" t="n"/>
      <c r="M595" s="253" t="n"/>
      <c r="N595" s="253" t="n"/>
      <c r="O595" s="252" t="n"/>
      <c r="P595" s="18" t="n"/>
      <c r="Q595" s="260" t="n"/>
    </row>
    <row r="596" ht="15.5" customHeight="1">
      <c r="B596" s="249" t="n">
        <v>45289</v>
      </c>
      <c r="C596" s="15" t="n">
        <v>10</v>
      </c>
      <c r="D596" s="170" t="inlineStr">
        <is>
          <t>Tax PPN 11% (Project TGE MEPI Rimau Pembayaran Ke-2)</t>
        </is>
      </c>
      <c r="E596" s="227" t="n"/>
      <c r="F596" s="250" t="n">
        <v>33836000</v>
      </c>
      <c r="G596" s="15" t="inlineStr">
        <is>
          <t>IDR</t>
        </is>
      </c>
      <c r="H596" s="251" t="n">
        <v>1</v>
      </c>
      <c r="I596" s="251" t="n">
        <v>33836000</v>
      </c>
      <c r="J596" s="252" t="n">
        <v>33836000</v>
      </c>
      <c r="K596" s="249" t="n"/>
      <c r="L596" s="252" t="n"/>
      <c r="M596" s="253" t="n"/>
      <c r="N596" s="253" t="n"/>
      <c r="O596" s="252" t="n"/>
      <c r="P596" s="18" t="n"/>
      <c r="Q596" s="260" t="n"/>
    </row>
    <row r="597" ht="15.5" customHeight="1">
      <c r="B597" s="249" t="n">
        <v>45289</v>
      </c>
      <c r="C597" s="15" t="n">
        <v>11</v>
      </c>
      <c r="D597" s="170" t="inlineStr">
        <is>
          <t>Tax PPN 11% (Project TGE MEPI Rimau Pembayaran Ke-2)</t>
        </is>
      </c>
      <c r="E597" s="227" t="n"/>
      <c r="F597" s="250" t="n">
        <v>33836000</v>
      </c>
      <c r="G597" s="15" t="inlineStr">
        <is>
          <t>IDR</t>
        </is>
      </c>
      <c r="H597" s="251" t="n">
        <v>1</v>
      </c>
      <c r="I597" s="251" t="n">
        <v>33836000</v>
      </c>
      <c r="J597" s="252" t="n">
        <v>33836000</v>
      </c>
      <c r="K597" s="249" t="n"/>
      <c r="L597" s="252" t="n"/>
      <c r="M597" s="253" t="n"/>
      <c r="N597" s="253" t="n"/>
      <c r="O597" s="252" t="n"/>
      <c r="P597" s="18" t="n"/>
      <c r="Q597" s="260" t="n"/>
    </row>
    <row r="598" ht="15.5" customHeight="1">
      <c r="B598" s="249" t="n">
        <v>45289</v>
      </c>
      <c r="C598" s="15" t="n">
        <v>12</v>
      </c>
      <c r="D598" s="170" t="inlineStr">
        <is>
          <t>Tax PPN 11% (Project TGE MEPI Rimau Pembayaran Ke-2)</t>
        </is>
      </c>
      <c r="E598" s="227" t="n"/>
      <c r="F598" s="250" t="n">
        <v>33836000</v>
      </c>
      <c r="G598" s="15" t="inlineStr">
        <is>
          <t>IDR</t>
        </is>
      </c>
      <c r="H598" s="251" t="n">
        <v>1</v>
      </c>
      <c r="I598" s="251" t="n">
        <v>33836000</v>
      </c>
      <c r="J598" s="252" t="n">
        <v>33836000</v>
      </c>
      <c r="K598" s="249" t="n"/>
      <c r="L598" s="252" t="n"/>
      <c r="M598" s="253" t="n"/>
      <c r="N598" s="253" t="n"/>
      <c r="O598" s="252" t="n"/>
      <c r="P598" s="18" t="n"/>
      <c r="Q598" s="260" t="n"/>
    </row>
    <row r="599" ht="15.5" customHeight="1">
      <c r="B599" s="249" t="n">
        <v>45289</v>
      </c>
      <c r="C599" s="15" t="n">
        <v>13</v>
      </c>
      <c r="D599" s="170" t="inlineStr">
        <is>
          <t>Tax PPN 11% (Project TGE MEPI Rimau Pembayaran Ke-2)</t>
        </is>
      </c>
      <c r="E599" s="227" t="n"/>
      <c r="F599" s="250" t="n">
        <v>33836000</v>
      </c>
      <c r="G599" s="15" t="inlineStr">
        <is>
          <t>IDR</t>
        </is>
      </c>
      <c r="H599" s="251" t="n">
        <v>1</v>
      </c>
      <c r="I599" s="251" t="n">
        <v>33836000</v>
      </c>
      <c r="J599" s="252" t="n">
        <v>33836000</v>
      </c>
      <c r="K599" s="249" t="n"/>
      <c r="L599" s="252" t="n"/>
      <c r="M599" s="253" t="n"/>
      <c r="N599" s="253" t="n"/>
      <c r="O599" s="252" t="n"/>
      <c r="P599" s="18" t="n"/>
      <c r="Q599" s="260" t="n"/>
    </row>
    <row r="600" ht="15.5" customHeight="1">
      <c r="B600" s="249" t="n">
        <v>45289</v>
      </c>
      <c r="C600" s="15" t="n">
        <v>14</v>
      </c>
      <c r="D600" s="170" t="inlineStr">
        <is>
          <t>Tax PPN 11% (Project TGE MEPI Rimau Pembayaran Ke-2)</t>
        </is>
      </c>
      <c r="E600" s="227" t="n"/>
      <c r="F600" s="250" t="n">
        <v>33836000</v>
      </c>
      <c r="G600" s="15" t="inlineStr">
        <is>
          <t>IDR</t>
        </is>
      </c>
      <c r="H600" s="251" t="n">
        <v>1</v>
      </c>
      <c r="I600" s="251" t="n">
        <v>33836000</v>
      </c>
      <c r="J600" s="252" t="n">
        <v>33836000</v>
      </c>
      <c r="K600" s="249" t="n"/>
      <c r="L600" s="252" t="n"/>
      <c r="M600" s="253" t="n"/>
      <c r="N600" s="253" t="n"/>
      <c r="O600" s="252" t="n"/>
      <c r="P600" s="18" t="n"/>
      <c r="Q600" s="260" t="n"/>
    </row>
    <row r="601" ht="15.5" customHeight="1">
      <c r="B601" s="249" t="n">
        <v>45289</v>
      </c>
      <c r="C601" s="15" t="n">
        <v>15</v>
      </c>
      <c r="D601" s="170" t="inlineStr">
        <is>
          <t>Tax PPN 11% (Project TGE MEPI Rimau Pembayaran Ke-2)</t>
        </is>
      </c>
      <c r="E601" s="227" t="n"/>
      <c r="F601" s="250" t="n">
        <v>33836000</v>
      </c>
      <c r="G601" s="15" t="inlineStr">
        <is>
          <t>IDR</t>
        </is>
      </c>
      <c r="H601" s="251" t="n">
        <v>1</v>
      </c>
      <c r="I601" s="251" t="n">
        <v>33836000</v>
      </c>
      <c r="J601" s="252" t="n">
        <v>33836000</v>
      </c>
      <c r="K601" s="249" t="n"/>
      <c r="L601" s="252" t="n"/>
      <c r="M601" s="253" t="n"/>
      <c r="N601" s="253" t="n"/>
      <c r="O601" s="252" t="n"/>
      <c r="P601" s="18" t="n"/>
      <c r="Q601" s="260" t="n"/>
    </row>
    <row r="602" ht="15.5" customHeight="1">
      <c r="B602" s="249" t="n">
        <v>45289</v>
      </c>
      <c r="C602" s="15" t="n">
        <v>16</v>
      </c>
      <c r="D602" s="170" t="inlineStr">
        <is>
          <t>Tax PPN 11% (Project TGE MEPI Rimau Pembayaran Ke-2)</t>
        </is>
      </c>
      <c r="E602" s="227" t="n"/>
      <c r="F602" s="250" t="n">
        <v>33836000</v>
      </c>
      <c r="G602" s="15" t="inlineStr">
        <is>
          <t>IDR</t>
        </is>
      </c>
      <c r="H602" s="251" t="n">
        <v>1</v>
      </c>
      <c r="I602" s="251" t="n">
        <v>33836000</v>
      </c>
      <c r="J602" s="252" t="n">
        <v>33836000</v>
      </c>
      <c r="K602" s="249" t="n"/>
      <c r="L602" s="252" t="n"/>
      <c r="M602" s="253" t="n"/>
      <c r="N602" s="253" t="n"/>
      <c r="O602" s="252" t="n"/>
      <c r="P602" s="18" t="n"/>
      <c r="Q602" s="260" t="n"/>
    </row>
    <row r="603" ht="15.5" customHeight="1">
      <c r="B603" s="249" t="n">
        <v>45289</v>
      </c>
      <c r="C603" s="15" t="n">
        <v>17</v>
      </c>
      <c r="D603" s="170" t="inlineStr">
        <is>
          <t>Tax PPN 11% (Project TGE MEPI Rimau Pembayaran Ke-2)</t>
        </is>
      </c>
      <c r="E603" s="227" t="n"/>
      <c r="F603" s="250" t="n">
        <v>33836000</v>
      </c>
      <c r="G603" s="15" t="inlineStr">
        <is>
          <t>IDR</t>
        </is>
      </c>
      <c r="H603" s="251" t="n">
        <v>1</v>
      </c>
      <c r="I603" s="251" t="n">
        <v>33836000</v>
      </c>
      <c r="J603" s="252" t="n">
        <v>33836000</v>
      </c>
      <c r="K603" s="249" t="n"/>
      <c r="L603" s="252" t="n"/>
      <c r="M603" s="253" t="n"/>
      <c r="N603" s="253" t="n"/>
      <c r="O603" s="252" t="n"/>
      <c r="P603" s="18" t="n"/>
      <c r="Q603" s="260" t="n"/>
    </row>
    <row r="604" ht="15.5" customHeight="1">
      <c r="B604" s="249" t="n">
        <v>45289</v>
      </c>
      <c r="C604" s="15" t="n">
        <v>18</v>
      </c>
      <c r="D604" s="170" t="inlineStr">
        <is>
          <t>Tax PPN 11% (Project TGE MEPI Rimau Pembayaran Ke-2)</t>
        </is>
      </c>
      <c r="E604" s="227" t="n"/>
      <c r="F604" s="250" t="n">
        <v>33836000</v>
      </c>
      <c r="G604" s="15" t="inlineStr">
        <is>
          <t>IDR</t>
        </is>
      </c>
      <c r="H604" s="251" t="n">
        <v>1</v>
      </c>
      <c r="I604" s="251" t="n">
        <v>33836000</v>
      </c>
      <c r="J604" s="252" t="n">
        <v>33836000</v>
      </c>
      <c r="K604" s="249" t="n"/>
      <c r="L604" s="252" t="n"/>
      <c r="M604" s="253" t="n"/>
      <c r="N604" s="253" t="n"/>
      <c r="O604" s="252" t="n"/>
      <c r="P604" s="18" t="n"/>
      <c r="Q604" s="260" t="n"/>
    </row>
    <row r="605" ht="15.5" customHeight="1">
      <c r="B605" s="249" t="n">
        <v>45289</v>
      </c>
      <c r="C605" s="15" t="n">
        <v>19</v>
      </c>
      <c r="D605" s="170" t="inlineStr">
        <is>
          <t>Tax PPN 11% (Project TGE MEPI Rimau Pembayaran Ke-2)</t>
        </is>
      </c>
      <c r="E605" s="227" t="n"/>
      <c r="F605" s="250" t="n">
        <v>33836000</v>
      </c>
      <c r="G605" s="15" t="inlineStr">
        <is>
          <t>IDR</t>
        </is>
      </c>
      <c r="H605" s="251" t="n">
        <v>1</v>
      </c>
      <c r="I605" s="251" t="n">
        <v>33836000</v>
      </c>
      <c r="J605" s="252" t="n">
        <v>33836000</v>
      </c>
      <c r="K605" s="249" t="n"/>
      <c r="L605" s="252" t="n"/>
      <c r="M605" s="253" t="n"/>
      <c r="N605" s="253" t="n"/>
      <c r="O605" s="252" t="n"/>
      <c r="P605" s="18" t="n"/>
      <c r="Q605" s="260" t="n"/>
    </row>
    <row r="606" ht="15.5" customHeight="1">
      <c r="B606" s="249" t="n">
        <v>45289</v>
      </c>
      <c r="C606" s="15" t="n">
        <v>20</v>
      </c>
      <c r="D606" s="170" t="inlineStr">
        <is>
          <t>Tax PPN 11% (Project TGE MEPI Rimau Pembayaran Ke-2)</t>
        </is>
      </c>
      <c r="E606" s="227" t="n"/>
      <c r="F606" s="250" t="n">
        <v>33836000</v>
      </c>
      <c r="G606" s="15" t="inlineStr">
        <is>
          <t>IDR</t>
        </is>
      </c>
      <c r="H606" s="251" t="n">
        <v>1</v>
      </c>
      <c r="I606" s="251" t="n">
        <v>33836000</v>
      </c>
      <c r="J606" s="252" t="n">
        <v>33836000</v>
      </c>
      <c r="K606" s="249" t="n"/>
      <c r="L606" s="252" t="n"/>
      <c r="M606" s="253" t="n"/>
      <c r="N606" s="253" t="n"/>
      <c r="O606" s="252" t="n"/>
      <c r="P606" s="18" t="n"/>
      <c r="Q606" s="260" t="n"/>
    </row>
    <row r="607" ht="15.5" customHeight="1">
      <c r="B607" s="249" t="n">
        <v>45289</v>
      </c>
      <c r="C607" s="15" t="n">
        <v>21</v>
      </c>
      <c r="D607" s="170" t="inlineStr">
        <is>
          <t>Tax PPN 11% (Project TGE MEPI Rimau Pembayaran Ke-2)</t>
        </is>
      </c>
      <c r="E607" s="227" t="n"/>
      <c r="F607" s="250" t="n">
        <v>33836000</v>
      </c>
      <c r="G607" s="15" t="inlineStr">
        <is>
          <t>IDR</t>
        </is>
      </c>
      <c r="H607" s="251" t="n">
        <v>1</v>
      </c>
      <c r="I607" s="251" t="n">
        <v>33836000</v>
      </c>
      <c r="J607" s="252" t="n">
        <v>33836000</v>
      </c>
      <c r="K607" s="249" t="n"/>
      <c r="L607" s="252" t="n"/>
      <c r="M607" s="253" t="n"/>
      <c r="N607" s="253" t="n"/>
      <c r="O607" s="252" t="n"/>
      <c r="P607" s="18" t="n"/>
      <c r="Q607" s="260" t="n"/>
    </row>
    <row r="608" ht="15.5" customHeight="1">
      <c r="B608" s="249" t="n">
        <v>45289</v>
      </c>
      <c r="C608" s="15" t="n">
        <v>22</v>
      </c>
      <c r="D608" s="170" t="inlineStr">
        <is>
          <t>Tax PPN 11% (Project TGE MEPI Rimau Pembayaran Ke-2)</t>
        </is>
      </c>
      <c r="E608" s="227" t="n"/>
      <c r="F608" s="250" t="n">
        <v>33836000</v>
      </c>
      <c r="G608" s="15" t="inlineStr">
        <is>
          <t>IDR</t>
        </is>
      </c>
      <c r="H608" s="251" t="n">
        <v>1</v>
      </c>
      <c r="I608" s="251" t="n">
        <v>33836000</v>
      </c>
      <c r="J608" s="252" t="n">
        <v>33836000</v>
      </c>
      <c r="K608" s="249" t="n"/>
      <c r="L608" s="252" t="n"/>
      <c r="M608" s="253" t="n"/>
      <c r="N608" s="253" t="n"/>
      <c r="O608" s="252" t="n"/>
      <c r="P608" s="18" t="n"/>
      <c r="Q608" s="260" t="n"/>
    </row>
    <row r="609" ht="15.5" customHeight="1">
      <c r="B609" s="249" t="n">
        <v>45289</v>
      </c>
      <c r="C609" s="15" t="n">
        <v>23</v>
      </c>
      <c r="D609" s="170" t="inlineStr">
        <is>
          <t>Tax PPN 11% (Project TGE MEPI Rimau Pembayaran Ke-2)</t>
        </is>
      </c>
      <c r="E609" s="227" t="n"/>
      <c r="F609" s="250" t="n">
        <v>33836000</v>
      </c>
      <c r="G609" s="15" t="inlineStr">
        <is>
          <t>IDR</t>
        </is>
      </c>
      <c r="H609" s="251" t="n">
        <v>1</v>
      </c>
      <c r="I609" s="251" t="n">
        <v>33836000</v>
      </c>
      <c r="J609" s="252" t="n">
        <v>33836000</v>
      </c>
      <c r="K609" s="249" t="n"/>
      <c r="L609" s="252" t="n"/>
      <c r="M609" s="253" t="n"/>
      <c r="N609" s="253" t="n"/>
      <c r="O609" s="252" t="n"/>
      <c r="P609" s="18" t="n"/>
      <c r="Q609" s="260" t="n"/>
    </row>
    <row r="610" ht="15.5" customHeight="1">
      <c r="B610" s="249" t="n">
        <v>45289</v>
      </c>
      <c r="C610" s="15" t="n">
        <v>24</v>
      </c>
      <c r="D610" s="170" t="inlineStr">
        <is>
          <t>Tax PPN 11% (Project TGE MEPI Rimau Pembayaran Ke-2)</t>
        </is>
      </c>
      <c r="E610" s="227" t="n"/>
      <c r="F610" s="250" t="n">
        <v>33836000</v>
      </c>
      <c r="G610" s="15" t="inlineStr">
        <is>
          <t>IDR</t>
        </is>
      </c>
      <c r="H610" s="251" t="n">
        <v>1</v>
      </c>
      <c r="I610" s="251" t="n">
        <v>33836000</v>
      </c>
      <c r="J610" s="252" t="n">
        <v>33836000</v>
      </c>
      <c r="K610" s="249" t="n"/>
      <c r="L610" s="252" t="n"/>
      <c r="M610" s="253" t="n"/>
      <c r="N610" s="253" t="n"/>
      <c r="O610" s="252" t="n"/>
      <c r="P610" s="18" t="n"/>
      <c r="Q610" s="260" t="n"/>
    </row>
    <row r="611" ht="15.5" customHeight="1">
      <c r="B611" s="249" t="n">
        <v>45289</v>
      </c>
      <c r="C611" s="15" t="n">
        <v>25</v>
      </c>
      <c r="D611" s="170" t="inlineStr">
        <is>
          <t>Tax PPN 11% (Project TGE MEPI Rimau Pembayaran Ke-2)</t>
        </is>
      </c>
      <c r="E611" s="227" t="n"/>
      <c r="F611" s="250" t="n">
        <v>33836000</v>
      </c>
      <c r="G611" s="15" t="inlineStr">
        <is>
          <t>IDR</t>
        </is>
      </c>
      <c r="H611" s="251" t="n">
        <v>1</v>
      </c>
      <c r="I611" s="251" t="n">
        <v>33836000</v>
      </c>
      <c r="J611" s="252" t="n">
        <v>33836000</v>
      </c>
      <c r="K611" s="249" t="n"/>
      <c r="L611" s="252" t="n"/>
      <c r="M611" s="253" t="n"/>
      <c r="N611" s="253" t="n"/>
      <c r="O611" s="252" t="n"/>
      <c r="P611" s="18" t="n"/>
      <c r="Q611" s="260" t="n"/>
    </row>
    <row r="612" ht="15.5" customHeight="1">
      <c r="B612" s="249" t="n">
        <v>45289</v>
      </c>
      <c r="C612" s="15" t="n">
        <v>26</v>
      </c>
      <c r="D612" s="170" t="inlineStr">
        <is>
          <t>Tax PPN 11% (Project TGE MEPI Rimau Pembayaran Ke-2)</t>
        </is>
      </c>
      <c r="E612" s="227" t="n"/>
      <c r="F612" s="250" t="n">
        <v>33836000</v>
      </c>
      <c r="G612" s="15" t="inlineStr">
        <is>
          <t>IDR</t>
        </is>
      </c>
      <c r="H612" s="251" t="n">
        <v>1</v>
      </c>
      <c r="I612" s="251" t="n">
        <v>33836000</v>
      </c>
      <c r="J612" s="252" t="n">
        <v>33836000</v>
      </c>
      <c r="K612" s="249" t="n"/>
      <c r="L612" s="252" t="n"/>
      <c r="M612" s="253" t="n"/>
      <c r="N612" s="253" t="n"/>
      <c r="O612" s="252" t="n"/>
      <c r="P612" s="18" t="n"/>
      <c r="Q612" s="260" t="n"/>
    </row>
    <row r="613" ht="15.5" customHeight="1">
      <c r="B613" s="249" t="n">
        <v>45289</v>
      </c>
      <c r="C613" s="15" t="n">
        <v>27</v>
      </c>
      <c r="D613" s="170" t="inlineStr">
        <is>
          <t>Tax PPN 11% (Project TGE MEPI Rimau Pembayaran Ke-2)</t>
        </is>
      </c>
      <c r="E613" s="227" t="n"/>
      <c r="F613" s="250" t="n">
        <v>33836000</v>
      </c>
      <c r="G613" s="15" t="inlineStr">
        <is>
          <t>IDR</t>
        </is>
      </c>
      <c r="H613" s="251" t="n">
        <v>1</v>
      </c>
      <c r="I613" s="251" t="n">
        <v>33836000</v>
      </c>
      <c r="J613" s="252" t="n">
        <v>33836000</v>
      </c>
      <c r="K613" s="249" t="n"/>
      <c r="L613" s="252" t="n"/>
      <c r="M613" s="253" t="n"/>
      <c r="N613" s="253" t="n"/>
      <c r="O613" s="252" t="n"/>
      <c r="P613" s="18" t="n"/>
      <c r="Q613" s="260" t="n"/>
    </row>
    <row r="614" ht="15.5" customHeight="1">
      <c r="B614" s="249" t="n">
        <v>45289</v>
      </c>
      <c r="C614" s="15" t="n">
        <v>28</v>
      </c>
      <c r="D614" s="170" t="inlineStr">
        <is>
          <t>Tax PPN 11% (Project TGE MEPI Rimau Pembayaran Ke-2)</t>
        </is>
      </c>
      <c r="E614" s="227" t="n"/>
      <c r="F614" s="250" t="n">
        <v>33836000</v>
      </c>
      <c r="G614" s="15" t="inlineStr">
        <is>
          <t>IDR</t>
        </is>
      </c>
      <c r="H614" s="251" t="n">
        <v>1</v>
      </c>
      <c r="I614" s="251" t="n">
        <v>33836000</v>
      </c>
      <c r="J614" s="252" t="n">
        <v>33836000</v>
      </c>
      <c r="K614" s="249" t="n"/>
      <c r="L614" s="252" t="n"/>
      <c r="M614" s="253" t="n"/>
      <c r="N614" s="253" t="n"/>
      <c r="O614" s="252" t="n"/>
      <c r="P614" s="18" t="n"/>
      <c r="Q614" s="260" t="n"/>
    </row>
    <row r="615" ht="15.5" customHeight="1">
      <c r="B615" s="249" t="n">
        <v>45289</v>
      </c>
      <c r="C615" s="15" t="n">
        <v>29</v>
      </c>
      <c r="D615" s="170" t="inlineStr">
        <is>
          <t>Tax PPN 11% (Project TGE MEPI Rimau Pembayaran Ke-2)</t>
        </is>
      </c>
      <c r="E615" s="227" t="n"/>
      <c r="F615" s="250" t="n">
        <v>33836000</v>
      </c>
      <c r="G615" s="15" t="inlineStr">
        <is>
          <t>IDR</t>
        </is>
      </c>
      <c r="H615" s="251" t="n">
        <v>1</v>
      </c>
      <c r="I615" s="251" t="n">
        <v>33836000</v>
      </c>
      <c r="J615" s="252" t="n">
        <v>33836000</v>
      </c>
      <c r="K615" s="249" t="n"/>
      <c r="L615" s="252" t="n"/>
      <c r="M615" s="253" t="n"/>
      <c r="N615" s="253" t="n"/>
      <c r="O615" s="252" t="n"/>
      <c r="P615" s="18" t="n"/>
      <c r="Q615" s="260" t="n"/>
    </row>
    <row r="616" ht="15.5" customHeight="1">
      <c r="B616" s="249" t="n">
        <v>45289</v>
      </c>
      <c r="C616" s="15" t="n">
        <v>30</v>
      </c>
      <c r="D616" s="170" t="inlineStr">
        <is>
          <t>Tax PPN 11% (Project TGE MEPI Rimau Pembayaran Ke-2)</t>
        </is>
      </c>
      <c r="E616" s="227" t="n"/>
      <c r="F616" s="250" t="n">
        <v>33836000</v>
      </c>
      <c r="G616" s="15" t="inlineStr">
        <is>
          <t>IDR</t>
        </is>
      </c>
      <c r="H616" s="251" t="n">
        <v>1</v>
      </c>
      <c r="I616" s="251" t="n">
        <v>33836000</v>
      </c>
      <c r="J616" s="252" t="n">
        <v>33836000</v>
      </c>
      <c r="K616" s="249" t="n"/>
      <c r="L616" s="252" t="n"/>
      <c r="M616" s="253" t="n"/>
      <c r="N616" s="253" t="n"/>
      <c r="O616" s="252" t="n"/>
      <c r="P616" s="18" t="n"/>
      <c r="Q616" s="260" t="n"/>
    </row>
    <row r="617" ht="15.5" customHeight="1">
      <c r="B617" s="249" t="n">
        <v>45289</v>
      </c>
      <c r="C617" s="15" t="n">
        <v>31</v>
      </c>
      <c r="D617" s="170" t="inlineStr">
        <is>
          <t>Tax PPN 11% (Project TGE MEPI Rimau Pembayaran Ke-2)</t>
        </is>
      </c>
      <c r="E617" s="227" t="n"/>
      <c r="F617" s="250" t="n">
        <v>33836000</v>
      </c>
      <c r="G617" s="15" t="inlineStr">
        <is>
          <t>IDR</t>
        </is>
      </c>
      <c r="H617" s="251" t="n">
        <v>1</v>
      </c>
      <c r="I617" s="251" t="n">
        <v>33836000</v>
      </c>
      <c r="J617" s="252" t="n">
        <v>33836000</v>
      </c>
      <c r="K617" s="249" t="n"/>
      <c r="L617" s="252" t="n"/>
      <c r="M617" s="253" t="n"/>
      <c r="N617" s="253" t="n"/>
      <c r="O617" s="252" t="n"/>
      <c r="P617" s="18" t="n"/>
      <c r="Q617" s="260" t="n"/>
    </row>
    <row r="618" ht="15.5" customHeight="1">
      <c r="B618" s="249" t="n">
        <v>45289</v>
      </c>
      <c r="C618" s="15" t="n">
        <v>32</v>
      </c>
      <c r="D618" s="170" t="inlineStr">
        <is>
          <t>Tax PPN 11% (Project TGE MEPI Rimau Pembayaran Ke-2)</t>
        </is>
      </c>
      <c r="E618" s="227" t="n"/>
      <c r="F618" s="250" t="n">
        <v>33836000</v>
      </c>
      <c r="G618" s="15" t="inlineStr">
        <is>
          <t>IDR</t>
        </is>
      </c>
      <c r="H618" s="251" t="n">
        <v>1</v>
      </c>
      <c r="I618" s="251" t="n">
        <v>33836000</v>
      </c>
      <c r="J618" s="252" t="n">
        <v>33836000</v>
      </c>
      <c r="K618" s="249" t="n"/>
      <c r="L618" s="252" t="n"/>
      <c r="M618" s="253" t="n"/>
      <c r="N618" s="253" t="n"/>
      <c r="O618" s="252" t="n"/>
      <c r="P618" s="18" t="n"/>
      <c r="Q618" s="260" t="n"/>
    </row>
    <row r="619" ht="15.5" customHeight="1">
      <c r="B619" s="249" t="n">
        <v>45289</v>
      </c>
      <c r="C619" s="15" t="n">
        <v>33</v>
      </c>
      <c r="D619" s="170" t="inlineStr">
        <is>
          <t>Tax PPN 11% (Project TGE MEPI Rimau Pembayaran Ke-2)</t>
        </is>
      </c>
      <c r="E619" s="227" t="n"/>
      <c r="F619" s="250" t="n">
        <v>33836000</v>
      </c>
      <c r="G619" s="15" t="inlineStr">
        <is>
          <t>IDR</t>
        </is>
      </c>
      <c r="H619" s="251" t="n">
        <v>1</v>
      </c>
      <c r="I619" s="251" t="n">
        <v>33836000</v>
      </c>
      <c r="J619" s="252" t="n">
        <v>33836000</v>
      </c>
      <c r="K619" s="249" t="n"/>
      <c r="L619" s="252" t="n"/>
      <c r="M619" s="253" t="n"/>
      <c r="N619" s="253" t="n"/>
      <c r="O619" s="252" t="n"/>
      <c r="P619" s="18" t="n"/>
      <c r="Q619" s="260" t="n"/>
    </row>
    <row r="620" ht="15.5" customHeight="1">
      <c r="B620" s="249" t="n">
        <v>45289</v>
      </c>
      <c r="C620" s="15" t="n">
        <v>34</v>
      </c>
      <c r="D620" s="170" t="inlineStr">
        <is>
          <t>Tax PPN 11% (Project TGE MEPI Rimau Pembayaran Ke-2)</t>
        </is>
      </c>
      <c r="E620" s="227" t="n"/>
      <c r="F620" s="250" t="n">
        <v>33836000</v>
      </c>
      <c r="G620" s="15" t="inlineStr">
        <is>
          <t>IDR</t>
        </is>
      </c>
      <c r="H620" s="251" t="n">
        <v>1</v>
      </c>
      <c r="I620" s="251" t="n">
        <v>33836000</v>
      </c>
      <c r="J620" s="252" t="n">
        <v>33836000</v>
      </c>
      <c r="K620" s="249" t="n"/>
      <c r="L620" s="252" t="n"/>
      <c r="M620" s="253" t="n"/>
      <c r="N620" s="253" t="n"/>
      <c r="O620" s="252" t="n"/>
      <c r="P620" s="18" t="n"/>
      <c r="Q620" s="260" t="n"/>
    </row>
    <row r="621" ht="15.5" customHeight="1">
      <c r="B621" s="249" t="n">
        <v>45289</v>
      </c>
      <c r="C621" s="15" t="n">
        <v>35</v>
      </c>
      <c r="D621" s="170" t="inlineStr">
        <is>
          <t>Tax PPN 11% (Project TGE MEPI Rimau Pembayaran Ke-2)</t>
        </is>
      </c>
      <c r="E621" s="227" t="n"/>
      <c r="F621" s="250" t="n">
        <v>33836000</v>
      </c>
      <c r="G621" s="15" t="inlineStr">
        <is>
          <t>IDR</t>
        </is>
      </c>
      <c r="H621" s="251" t="n">
        <v>1</v>
      </c>
      <c r="I621" s="251" t="n">
        <v>33836000</v>
      </c>
      <c r="J621" s="252" t="n">
        <v>33836000</v>
      </c>
      <c r="K621" s="249" t="n"/>
      <c r="L621" s="252" t="n"/>
      <c r="M621" s="253" t="n"/>
      <c r="N621" s="253" t="n"/>
      <c r="O621" s="252" t="n"/>
      <c r="P621" s="18" t="n"/>
      <c r="Q621" s="260" t="n"/>
    </row>
    <row r="622" ht="15.5" customHeight="1">
      <c r="B622" s="249" t="n">
        <v>45289</v>
      </c>
      <c r="C622" s="15" t="n">
        <v>36</v>
      </c>
      <c r="D622" s="170" t="inlineStr">
        <is>
          <t>Tax PPN 11% (Project TGE MEPI Rimau Pembayaran Ke-2)</t>
        </is>
      </c>
      <c r="E622" s="227" t="n"/>
      <c r="F622" s="250" t="n">
        <v>33836000</v>
      </c>
      <c r="G622" s="15" t="inlineStr">
        <is>
          <t>IDR</t>
        </is>
      </c>
      <c r="H622" s="251" t="n">
        <v>1</v>
      </c>
      <c r="I622" s="251" t="n">
        <v>33836000</v>
      </c>
      <c r="J622" s="252" t="n">
        <v>33836000</v>
      </c>
      <c r="K622" s="249" t="n"/>
      <c r="L622" s="252" t="n"/>
      <c r="M622" s="253" t="n"/>
      <c r="N622" s="253" t="n"/>
      <c r="O622" s="252" t="n"/>
      <c r="P622" s="18" t="n"/>
      <c r="Q622" s="260" t="n"/>
    </row>
    <row r="623" ht="15.5" customHeight="1">
      <c r="B623" s="249" t="n">
        <v>45289</v>
      </c>
      <c r="C623" s="15" t="n">
        <v>37</v>
      </c>
      <c r="D623" s="170" t="inlineStr">
        <is>
          <t>Tax PPN 11% (Project TGE MEPI Rimau Pembayaran Ke-2)</t>
        </is>
      </c>
      <c r="E623" s="227" t="n"/>
      <c r="F623" s="250" t="n">
        <v>33836000</v>
      </c>
      <c r="G623" s="15" t="inlineStr">
        <is>
          <t>IDR</t>
        </is>
      </c>
      <c r="H623" s="251" t="n">
        <v>1</v>
      </c>
      <c r="I623" s="251" t="n">
        <v>33836000</v>
      </c>
      <c r="J623" s="252" t="n">
        <v>33836000</v>
      </c>
      <c r="K623" s="249" t="n"/>
      <c r="L623" s="252" t="n"/>
      <c r="M623" s="253" t="n"/>
      <c r="N623" s="253" t="n"/>
      <c r="O623" s="252" t="n"/>
      <c r="P623" s="18" t="n"/>
      <c r="Q623" s="260" t="n"/>
    </row>
    <row r="624" ht="15.5" customHeight="1">
      <c r="B624" s="249" t="n">
        <v>45289</v>
      </c>
      <c r="C624" s="15" t="n">
        <v>38</v>
      </c>
      <c r="D624" s="170" t="inlineStr">
        <is>
          <t>Tax PPN 11% (Project TGE MEPI Rimau Pembayaran Ke-2)</t>
        </is>
      </c>
      <c r="E624" s="227" t="n"/>
      <c r="F624" s="250" t="n">
        <v>33836000</v>
      </c>
      <c r="G624" s="15" t="inlineStr">
        <is>
          <t>IDR</t>
        </is>
      </c>
      <c r="H624" s="251" t="n">
        <v>1</v>
      </c>
      <c r="I624" s="251" t="n">
        <v>33836000</v>
      </c>
      <c r="J624" s="252" t="n">
        <v>33836000</v>
      </c>
      <c r="K624" s="249" t="n"/>
      <c r="L624" s="252" t="n"/>
      <c r="M624" s="253" t="n"/>
      <c r="N624" s="253" t="n"/>
      <c r="O624" s="252" t="n"/>
      <c r="P624" s="18" t="n"/>
      <c r="Q624" s="260" t="n"/>
    </row>
    <row r="625" ht="15.5" customHeight="1">
      <c r="B625" s="249" t="n">
        <v>45289</v>
      </c>
      <c r="C625" s="15" t="n">
        <v>39</v>
      </c>
      <c r="D625" s="170" t="inlineStr">
        <is>
          <t>Tax PPN 11% (Project TGE MEPI Rimau Pembayaran Ke-2)</t>
        </is>
      </c>
      <c r="E625" s="227" t="n"/>
      <c r="F625" s="250" t="n">
        <v>33836000</v>
      </c>
      <c r="G625" s="15" t="inlineStr">
        <is>
          <t>IDR</t>
        </is>
      </c>
      <c r="H625" s="251" t="n">
        <v>1</v>
      </c>
      <c r="I625" s="251" t="n">
        <v>33836000</v>
      </c>
      <c r="J625" s="252" t="n">
        <v>33836000</v>
      </c>
      <c r="K625" s="249" t="n"/>
      <c r="L625" s="252" t="n"/>
      <c r="M625" s="253" t="n"/>
      <c r="N625" s="253" t="n"/>
      <c r="O625" s="252" t="n"/>
      <c r="P625" s="18" t="n"/>
      <c r="Q625" s="260" t="n"/>
    </row>
    <row r="626" ht="15.5" customHeight="1">
      <c r="B626" s="249" t="n">
        <v>45289</v>
      </c>
      <c r="C626" s="15" t="n">
        <v>40</v>
      </c>
      <c r="D626" s="170" t="inlineStr">
        <is>
          <t>Tax PPN 11% (Project TGE MEPI Rimau Pembayaran Ke-2)</t>
        </is>
      </c>
      <c r="E626" s="227" t="n"/>
      <c r="F626" s="250" t="n">
        <v>33836000</v>
      </c>
      <c r="G626" s="15" t="inlineStr">
        <is>
          <t>IDR</t>
        </is>
      </c>
      <c r="H626" s="251" t="n">
        <v>1</v>
      </c>
      <c r="I626" s="251" t="n">
        <v>33836000</v>
      </c>
      <c r="J626" s="252" t="n">
        <v>33836000</v>
      </c>
      <c r="K626" s="249" t="n"/>
      <c r="L626" s="252" t="n"/>
      <c r="M626" s="253" t="n"/>
      <c r="N626" s="253" t="n"/>
      <c r="O626" s="252" t="n"/>
      <c r="P626" s="18" t="n"/>
      <c r="Q626" s="260" t="n"/>
    </row>
    <row r="627" ht="15.5" customHeight="1">
      <c r="B627" s="249" t="n">
        <v>45289</v>
      </c>
      <c r="C627" s="15" t="n">
        <v>41</v>
      </c>
      <c r="D627" s="170" t="inlineStr">
        <is>
          <t>Tax PPN 11% (Project TGE MEPI Rimau Pembayaran Ke-2)</t>
        </is>
      </c>
      <c r="E627" s="227" t="n"/>
      <c r="F627" s="250" t="n">
        <v>33836000</v>
      </c>
      <c r="G627" s="15" t="inlineStr">
        <is>
          <t>IDR</t>
        </is>
      </c>
      <c r="H627" s="251" t="n">
        <v>1</v>
      </c>
      <c r="I627" s="251" t="n">
        <v>33836000</v>
      </c>
      <c r="J627" s="252" t="n">
        <v>33836000</v>
      </c>
      <c r="K627" s="249" t="n"/>
      <c r="L627" s="252" t="n"/>
      <c r="M627" s="253" t="n"/>
      <c r="N627" s="253" t="n"/>
      <c r="O627" s="252" t="n"/>
      <c r="P627" s="18" t="n"/>
      <c r="Q627" s="260" t="n"/>
    </row>
    <row r="628" ht="15.5" customHeight="1">
      <c r="B628" s="249" t="n">
        <v>45302</v>
      </c>
      <c r="C628" s="15" t="n">
        <v>42</v>
      </c>
      <c r="D628" s="170" t="inlineStr">
        <is>
          <t>Tax PPN 11% (Project TGE MEPI Rimau Pembayaran Ke-2)</t>
        </is>
      </c>
      <c r="E628" s="227" t="n"/>
      <c r="F628" s="250" t="n">
        <v>33836000</v>
      </c>
      <c r="G628" s="15" t="inlineStr">
        <is>
          <t>IDR</t>
        </is>
      </c>
      <c r="H628" s="251" t="n">
        <v>1</v>
      </c>
      <c r="I628" s="251" t="n">
        <v>33836000</v>
      </c>
      <c r="J628" s="252" t="n">
        <v>33836000</v>
      </c>
      <c r="K628" s="249" t="n"/>
      <c r="L628" s="252" t="n"/>
      <c r="M628" s="253" t="n"/>
      <c r="N628" s="253" t="n"/>
      <c r="O628" s="252" t="n"/>
      <c r="P628" s="18" t="n"/>
      <c r="Q628" s="260" t="n"/>
    </row>
    <row r="629" ht="15.5" customHeight="1">
      <c r="B629" s="249" t="n">
        <v>45302</v>
      </c>
      <c r="C629" s="15" t="n">
        <v>43</v>
      </c>
      <c r="D629" s="170" t="inlineStr">
        <is>
          <t>Tax PPN 11% (Project TGE MEPI Rimau Pembayaran Ke-2)</t>
        </is>
      </c>
      <c r="E629" s="227" t="n"/>
      <c r="F629" s="250" t="n">
        <v>33836000</v>
      </c>
      <c r="G629" s="15" t="inlineStr">
        <is>
          <t>IDR</t>
        </is>
      </c>
      <c r="H629" s="251" t="n">
        <v>1</v>
      </c>
      <c r="I629" s="251" t="n">
        <v>33836000</v>
      </c>
      <c r="J629" s="252" t="n">
        <v>33836000</v>
      </c>
      <c r="K629" s="249" t="n"/>
      <c r="L629" s="252" t="n"/>
      <c r="M629" s="253" t="n"/>
      <c r="N629" s="253" t="n"/>
      <c r="O629" s="252" t="n"/>
      <c r="P629" s="18" t="n"/>
      <c r="Q629" s="260" t="n"/>
    </row>
    <row r="630" ht="15.5" customHeight="1">
      <c r="B630" s="249" t="n">
        <v>45302</v>
      </c>
      <c r="C630" s="15" t="n">
        <v>44</v>
      </c>
      <c r="D630" s="170" t="inlineStr">
        <is>
          <t>Tax PPN 11% (Project TGE MEPI Rimau Pembayaran Ke-2)</t>
        </is>
      </c>
      <c r="E630" s="227" t="n"/>
      <c r="F630" s="250" t="n">
        <v>33836000</v>
      </c>
      <c r="G630" s="15" t="inlineStr">
        <is>
          <t>IDR</t>
        </is>
      </c>
      <c r="H630" s="251" t="n">
        <v>1</v>
      </c>
      <c r="I630" s="251" t="n">
        <v>33836000</v>
      </c>
      <c r="J630" s="252" t="n">
        <v>33836000</v>
      </c>
      <c r="K630" s="249" t="n"/>
      <c r="L630" s="252" t="n"/>
      <c r="M630" s="253" t="n"/>
      <c r="N630" s="253" t="n"/>
      <c r="O630" s="252" t="n"/>
      <c r="P630" s="18" t="n"/>
      <c r="Q630" s="260" t="n"/>
    </row>
    <row r="631" ht="15.5" customHeight="1">
      <c r="B631" s="249" t="n">
        <v>45302</v>
      </c>
      <c r="C631" s="15" t="n">
        <v>45</v>
      </c>
      <c r="D631" s="170" t="inlineStr">
        <is>
          <t>Tax PPN 11% (Project TGE MEPI Rimau Pembayaran Ke-2)</t>
        </is>
      </c>
      <c r="E631" s="227" t="n"/>
      <c r="F631" s="250" t="n">
        <v>33836000</v>
      </c>
      <c r="G631" s="15" t="inlineStr">
        <is>
          <t>IDR</t>
        </is>
      </c>
      <c r="H631" s="251" t="n">
        <v>1</v>
      </c>
      <c r="I631" s="251" t="n">
        <v>33836000</v>
      </c>
      <c r="J631" s="252" t="n">
        <v>33836000</v>
      </c>
      <c r="K631" s="249" t="n"/>
      <c r="L631" s="252" t="n"/>
      <c r="M631" s="253" t="n"/>
      <c r="N631" s="253" t="n"/>
      <c r="O631" s="252" t="n"/>
      <c r="P631" s="18" t="n"/>
      <c r="Q631" s="260" t="n"/>
    </row>
    <row r="632" ht="15.5" customHeight="1">
      <c r="B632" s="249" t="n">
        <v>45302</v>
      </c>
      <c r="C632" s="15" t="n">
        <v>46</v>
      </c>
      <c r="D632" s="170" t="inlineStr">
        <is>
          <t>Tax PPN 11% (Project TGE MEPI Rimau Pembayaran Ke-2)</t>
        </is>
      </c>
      <c r="E632" s="227" t="n"/>
      <c r="F632" s="250" t="n">
        <v>33836000</v>
      </c>
      <c r="G632" s="15" t="inlineStr">
        <is>
          <t>IDR</t>
        </is>
      </c>
      <c r="H632" s="251" t="n">
        <v>1</v>
      </c>
      <c r="I632" s="251" t="n">
        <v>33836000</v>
      </c>
      <c r="J632" s="252" t="n">
        <v>33836000</v>
      </c>
      <c r="K632" s="249" t="n"/>
      <c r="L632" s="252" t="n"/>
      <c r="M632" s="253" t="n"/>
      <c r="N632" s="253" t="n"/>
      <c r="O632" s="252" t="n"/>
      <c r="P632" s="18" t="n"/>
      <c r="Q632" s="260" t="n"/>
    </row>
    <row r="633" ht="15.5" customHeight="1">
      <c r="B633" s="249" t="n">
        <v>45302</v>
      </c>
      <c r="C633" s="15" t="n">
        <v>47</v>
      </c>
      <c r="D633" s="170" t="inlineStr">
        <is>
          <t>Tax PPN 11% (Project TGE MEPI Rimau Pembayaran Ke-2)</t>
        </is>
      </c>
      <c r="E633" s="227" t="n"/>
      <c r="F633" s="250" t="n">
        <v>33836000</v>
      </c>
      <c r="G633" s="15" t="inlineStr">
        <is>
          <t>IDR</t>
        </is>
      </c>
      <c r="H633" s="251" t="n">
        <v>1</v>
      </c>
      <c r="I633" s="251" t="n">
        <v>33836000</v>
      </c>
      <c r="J633" s="252" t="n">
        <v>33836000</v>
      </c>
      <c r="K633" s="249" t="n"/>
      <c r="L633" s="252" t="n"/>
      <c r="M633" s="253" t="n"/>
      <c r="N633" s="253" t="n"/>
      <c r="O633" s="252" t="n"/>
      <c r="P633" s="18" t="n"/>
      <c r="Q633" s="260" t="n"/>
    </row>
    <row r="634" ht="15.5" customHeight="1">
      <c r="B634" s="249" t="n">
        <v>45302</v>
      </c>
      <c r="C634" s="15" t="n">
        <v>48</v>
      </c>
      <c r="D634" s="170" t="inlineStr">
        <is>
          <t>Tax PPN 11% (Project TGE MEPI Rimau Pembayaran Ke-2)</t>
        </is>
      </c>
      <c r="E634" s="227" t="n"/>
      <c r="F634" s="250" t="n">
        <v>33836000</v>
      </c>
      <c r="G634" s="15" t="inlineStr">
        <is>
          <t>IDR</t>
        </is>
      </c>
      <c r="H634" s="251" t="n">
        <v>1</v>
      </c>
      <c r="I634" s="251" t="n">
        <v>33836000</v>
      </c>
      <c r="J634" s="252" t="n">
        <v>33836000</v>
      </c>
      <c r="K634" s="249" t="n"/>
      <c r="L634" s="252" t="n"/>
      <c r="M634" s="253" t="n"/>
      <c r="N634" s="253" t="n"/>
      <c r="O634" s="252" t="n"/>
      <c r="P634" s="18" t="n"/>
      <c r="Q634" s="260" t="n"/>
    </row>
    <row r="635" ht="15.5" customHeight="1">
      <c r="B635" s="249" t="n">
        <v>45302</v>
      </c>
      <c r="C635" s="15" t="n">
        <v>49</v>
      </c>
      <c r="D635" s="170" t="inlineStr">
        <is>
          <t>Tax PPN 11% (Project TGE MEPI Rimau Pembayaran Ke-2)</t>
        </is>
      </c>
      <c r="E635" s="227" t="n"/>
      <c r="F635" s="250" t="n">
        <v>33836000</v>
      </c>
      <c r="G635" s="15" t="inlineStr">
        <is>
          <t>IDR</t>
        </is>
      </c>
      <c r="H635" s="251" t="n">
        <v>1</v>
      </c>
      <c r="I635" s="251" t="n">
        <v>33836000</v>
      </c>
      <c r="J635" s="252" t="n">
        <v>33836000</v>
      </c>
      <c r="K635" s="249" t="n"/>
      <c r="L635" s="252" t="n"/>
      <c r="M635" s="253" t="n"/>
      <c r="N635" s="253" t="n"/>
      <c r="O635" s="252" t="n"/>
      <c r="P635" s="18" t="n"/>
      <c r="Q635" s="260" t="n"/>
    </row>
    <row r="636" ht="15.5" customHeight="1">
      <c r="B636" s="249" t="n">
        <v>45302</v>
      </c>
      <c r="C636" s="15" t="n">
        <v>50</v>
      </c>
      <c r="D636" s="170" t="inlineStr">
        <is>
          <t>Tax PPN 11% (Project TGE MEPI Rimau Pembayaran Ke-2)</t>
        </is>
      </c>
      <c r="E636" s="227" t="n"/>
      <c r="F636" s="250" t="n">
        <v>33836000</v>
      </c>
      <c r="G636" s="15" t="inlineStr">
        <is>
          <t>IDR</t>
        </is>
      </c>
      <c r="H636" s="251" t="n">
        <v>1</v>
      </c>
      <c r="I636" s="251" t="n">
        <v>33836000</v>
      </c>
      <c r="J636" s="252" t="n">
        <v>33836000</v>
      </c>
      <c r="K636" s="249" t="n"/>
      <c r="L636" s="252" t="n"/>
      <c r="M636" s="253" t="n"/>
      <c r="N636" s="253" t="n"/>
      <c r="O636" s="252" t="n"/>
      <c r="P636" s="18" t="n"/>
      <c r="Q636" s="260" t="n"/>
    </row>
    <row r="637" ht="15.5" customHeight="1">
      <c r="B637" s="249" t="n">
        <v>45302</v>
      </c>
      <c r="C637" s="15" t="n">
        <v>51</v>
      </c>
      <c r="D637" s="170" t="inlineStr">
        <is>
          <t>Tax PPN 11% (Project TGE MEPI Rimau Pembayaran Ke-2)</t>
        </is>
      </c>
      <c r="E637" s="227" t="n"/>
      <c r="F637" s="250" t="n">
        <v>33836000</v>
      </c>
      <c r="G637" s="15" t="inlineStr">
        <is>
          <t>IDR</t>
        </is>
      </c>
      <c r="H637" s="251" t="n">
        <v>1</v>
      </c>
      <c r="I637" s="251" t="n">
        <v>33836000</v>
      </c>
      <c r="J637" s="252" t="n">
        <v>33836000</v>
      </c>
      <c r="K637" s="249" t="n"/>
      <c r="L637" s="252" t="n"/>
      <c r="M637" s="253" t="n"/>
      <c r="N637" s="253" t="n"/>
      <c r="O637" s="252" t="n"/>
      <c r="P637" s="18" t="n"/>
      <c r="Q637" s="260" t="n"/>
    </row>
    <row r="638" ht="15.5" customHeight="1">
      <c r="B638" s="249" t="n">
        <v>45302</v>
      </c>
      <c r="C638" s="15" t="n">
        <v>52</v>
      </c>
      <c r="D638" s="170" t="inlineStr">
        <is>
          <t>Tax PPN 11% (Project TGE MEPI Rimau Pembayaran Ke-2)</t>
        </is>
      </c>
      <c r="E638" s="227" t="n"/>
      <c r="F638" s="250" t="n">
        <v>33836000</v>
      </c>
      <c r="G638" s="15" t="inlineStr">
        <is>
          <t>IDR</t>
        </is>
      </c>
      <c r="H638" s="251" t="n">
        <v>1</v>
      </c>
      <c r="I638" s="251" t="n">
        <v>33836000</v>
      </c>
      <c r="J638" s="252" t="n">
        <v>33836000</v>
      </c>
      <c r="K638" s="249" t="n"/>
      <c r="L638" s="252" t="n"/>
      <c r="M638" s="253" t="n"/>
      <c r="N638" s="253" t="n"/>
      <c r="O638" s="252" t="n"/>
      <c r="P638" s="18" t="n"/>
      <c r="Q638" s="260" t="n"/>
    </row>
    <row r="639" ht="15.5" customHeight="1">
      <c r="B639" s="249" t="n">
        <v>45302</v>
      </c>
      <c r="C639" s="15" t="n">
        <v>53</v>
      </c>
      <c r="D639" s="170" t="inlineStr">
        <is>
          <t>Tax PPN 11% (Project TGE MEPI Rimau Pembayaran Ke-2)</t>
        </is>
      </c>
      <c r="E639" s="227" t="n"/>
      <c r="F639" s="250" t="n">
        <v>33836000</v>
      </c>
      <c r="G639" s="15" t="inlineStr">
        <is>
          <t>IDR</t>
        </is>
      </c>
      <c r="H639" s="251" t="n">
        <v>1</v>
      </c>
      <c r="I639" s="251" t="n">
        <v>33836000</v>
      </c>
      <c r="J639" s="252" t="n">
        <v>33836000</v>
      </c>
      <c r="K639" s="249" t="n"/>
      <c r="L639" s="252" t="n"/>
      <c r="M639" s="253" t="n"/>
      <c r="N639" s="253" t="n"/>
      <c r="O639" s="252" t="n"/>
      <c r="P639" s="18" t="n"/>
      <c r="Q639" s="260" t="n"/>
    </row>
    <row r="640" ht="15.5" customHeight="1">
      <c r="B640" s="249" t="n">
        <v>45302</v>
      </c>
      <c r="C640" s="15" t="n">
        <v>54</v>
      </c>
      <c r="D640" s="170" t="inlineStr">
        <is>
          <t>Tax PPN 11% (Project TGE MEPI Rimau Pembayaran Ke-2)</t>
        </is>
      </c>
      <c r="E640" s="227" t="n"/>
      <c r="F640" s="250" t="n">
        <v>33836000</v>
      </c>
      <c r="G640" s="15" t="inlineStr">
        <is>
          <t>IDR</t>
        </is>
      </c>
      <c r="H640" s="251" t="n">
        <v>1</v>
      </c>
      <c r="I640" s="251" t="n">
        <v>33836000</v>
      </c>
      <c r="J640" s="252" t="n">
        <v>33836000</v>
      </c>
      <c r="K640" s="249" t="n"/>
      <c r="L640" s="252" t="n"/>
      <c r="M640" s="253" t="n"/>
      <c r="N640" s="253" t="n"/>
      <c r="O640" s="252" t="n"/>
      <c r="P640" s="18" t="n"/>
      <c r="Q640" s="260" t="n"/>
    </row>
    <row r="641" ht="15.5" customHeight="1">
      <c r="B641" s="249" t="n">
        <v>45302</v>
      </c>
      <c r="C641" s="15" t="n">
        <v>55</v>
      </c>
      <c r="D641" s="170" t="inlineStr">
        <is>
          <t>Tax PPN 11% (Project TGE MEPI Rimau Pembayaran Ke-2)</t>
        </is>
      </c>
      <c r="E641" s="227" t="n"/>
      <c r="F641" s="250" t="n">
        <v>33836000</v>
      </c>
      <c r="G641" s="15" t="inlineStr">
        <is>
          <t>IDR</t>
        </is>
      </c>
      <c r="H641" s="251" t="n">
        <v>1</v>
      </c>
      <c r="I641" s="251" t="n">
        <v>33836000</v>
      </c>
      <c r="J641" s="252" t="n">
        <v>33836000</v>
      </c>
      <c r="K641" s="249" t="n"/>
      <c r="L641" s="252" t="n"/>
      <c r="M641" s="253" t="n"/>
      <c r="N641" s="253" t="n"/>
      <c r="O641" s="252" t="n"/>
      <c r="P641" s="18" t="n"/>
      <c r="Q641" s="260" t="n"/>
    </row>
    <row r="642" ht="15.5" customHeight="1">
      <c r="B642" s="249" t="n">
        <v>45302</v>
      </c>
      <c r="C642" s="15" t="n">
        <v>56</v>
      </c>
      <c r="D642" s="170" t="inlineStr">
        <is>
          <t>Tax PPN 11% (Project TGE MEPI Rimau Pembayaran Ke-2)</t>
        </is>
      </c>
      <c r="E642" s="227" t="n"/>
      <c r="F642" s="250" t="n">
        <v>33836000</v>
      </c>
      <c r="G642" s="15" t="inlineStr">
        <is>
          <t>IDR</t>
        </is>
      </c>
      <c r="H642" s="251" t="n">
        <v>1</v>
      </c>
      <c r="I642" s="251" t="n">
        <v>33836000</v>
      </c>
      <c r="J642" s="252" t="n">
        <v>33836000</v>
      </c>
      <c r="K642" s="249" t="n"/>
      <c r="L642" s="252" t="n"/>
      <c r="M642" s="253" t="n"/>
      <c r="N642" s="253" t="n"/>
      <c r="O642" s="252" t="n"/>
      <c r="P642" s="18" t="n"/>
      <c r="Q642" s="260" t="n"/>
    </row>
    <row r="643" ht="15.5" customHeight="1">
      <c r="B643" s="249" t="n">
        <v>45302</v>
      </c>
      <c r="C643" s="15" t="n">
        <v>57</v>
      </c>
      <c r="D643" s="170" t="inlineStr">
        <is>
          <t>Tax PPN 11% (Project TGE MEPI Rimau Pembayaran Ke-2)</t>
        </is>
      </c>
      <c r="E643" s="227" t="n"/>
      <c r="F643" s="250" t="n">
        <v>33836000</v>
      </c>
      <c r="G643" s="15" t="inlineStr">
        <is>
          <t>IDR</t>
        </is>
      </c>
      <c r="H643" s="251" t="n">
        <v>1</v>
      </c>
      <c r="I643" s="251" t="n">
        <v>33836000</v>
      </c>
      <c r="J643" s="252" t="n">
        <v>33836000</v>
      </c>
      <c r="K643" s="249" t="n"/>
      <c r="L643" s="252" t="n"/>
      <c r="M643" s="253" t="n"/>
      <c r="N643" s="253" t="n"/>
      <c r="O643" s="252" t="n"/>
      <c r="P643" s="18" t="n"/>
      <c r="Q643" s="260" t="n"/>
    </row>
    <row r="644" ht="15.5" customHeight="1">
      <c r="B644" s="249" t="n">
        <v>45302</v>
      </c>
      <c r="C644" s="15" t="n">
        <v>58</v>
      </c>
      <c r="D644" s="170" t="inlineStr">
        <is>
          <t>Tax PPN 11% (Project TGE MEPI Rimau Pembayaran Ke-2)</t>
        </is>
      </c>
      <c r="E644" s="227" t="n"/>
      <c r="F644" s="250" t="n">
        <v>33836000</v>
      </c>
      <c r="G644" s="15" t="inlineStr">
        <is>
          <t>IDR</t>
        </is>
      </c>
      <c r="H644" s="251" t="n">
        <v>1</v>
      </c>
      <c r="I644" s="251" t="n">
        <v>33836000</v>
      </c>
      <c r="J644" s="252" t="n">
        <v>33836000</v>
      </c>
      <c r="K644" s="249" t="n"/>
      <c r="L644" s="252" t="n"/>
      <c r="M644" s="253" t="n"/>
      <c r="N644" s="253" t="n"/>
      <c r="O644" s="252" t="n"/>
      <c r="P644" s="18" t="n"/>
      <c r="Q644" s="260" t="n"/>
    </row>
    <row r="645" ht="15.5" customHeight="1">
      <c r="B645" s="249" t="n">
        <v>45302</v>
      </c>
      <c r="C645" s="15" t="n">
        <v>59</v>
      </c>
      <c r="D645" s="170" t="inlineStr">
        <is>
          <t>Tax PPN 11% (Project TGE MEPI Rimau Pembayaran Ke-2)</t>
        </is>
      </c>
      <c r="E645" s="227" t="n"/>
      <c r="F645" s="250" t="n">
        <v>33836000</v>
      </c>
      <c r="G645" s="15" t="inlineStr">
        <is>
          <t>IDR</t>
        </is>
      </c>
      <c r="H645" s="251" t="n">
        <v>1</v>
      </c>
      <c r="I645" s="251" t="n">
        <v>33836000</v>
      </c>
      <c r="J645" s="252" t="n">
        <v>33836000</v>
      </c>
      <c r="K645" s="249" t="n"/>
      <c r="L645" s="252" t="n"/>
      <c r="M645" s="253" t="n"/>
      <c r="N645" s="253" t="n"/>
      <c r="O645" s="252" t="n"/>
      <c r="P645" s="18" t="n"/>
      <c r="Q645" s="260" t="n"/>
    </row>
    <row r="646" ht="15.5" customHeight="1">
      <c r="B646" s="249" t="n">
        <v>45302</v>
      </c>
      <c r="C646" s="15" t="n">
        <v>60</v>
      </c>
      <c r="D646" s="170" t="inlineStr">
        <is>
          <t>Tax PPN 11% (Project TGE MEPI Rimau Pembayaran Ke-2)</t>
        </is>
      </c>
      <c r="E646" s="227" t="n"/>
      <c r="F646" s="250" t="n">
        <v>33836000</v>
      </c>
      <c r="G646" s="15" t="inlineStr">
        <is>
          <t>IDR</t>
        </is>
      </c>
      <c r="H646" s="251" t="n">
        <v>1</v>
      </c>
      <c r="I646" s="251" t="n">
        <v>33836000</v>
      </c>
      <c r="J646" s="252" t="n">
        <v>33836000</v>
      </c>
      <c r="K646" s="249" t="n"/>
      <c r="L646" s="252" t="n"/>
      <c r="M646" s="253" t="n"/>
      <c r="N646" s="253" t="n"/>
      <c r="O646" s="252" t="n"/>
      <c r="P646" s="18" t="n"/>
      <c r="Q646" s="260" t="n"/>
    </row>
    <row r="647" ht="15.5" customHeight="1">
      <c r="B647" s="249" t="n">
        <v>45302</v>
      </c>
      <c r="C647" s="15" t="n">
        <v>61</v>
      </c>
      <c r="D647" s="170" t="inlineStr">
        <is>
          <t>Tax PPN 11% (Project TGE MEPI Rimau Pembayaran Ke-2)</t>
        </is>
      </c>
      <c r="E647" s="227" t="n"/>
      <c r="F647" s="250" t="n">
        <v>33836000</v>
      </c>
      <c r="G647" s="15" t="inlineStr">
        <is>
          <t>IDR</t>
        </is>
      </c>
      <c r="H647" s="251" t="n">
        <v>1</v>
      </c>
      <c r="I647" s="251" t="n">
        <v>33836000</v>
      </c>
      <c r="J647" s="252" t="n">
        <v>33836000</v>
      </c>
      <c r="K647" s="249" t="n"/>
      <c r="L647" s="252" t="n"/>
      <c r="M647" s="253" t="n"/>
      <c r="N647" s="253" t="n"/>
      <c r="O647" s="252" t="n"/>
      <c r="P647" s="18" t="n"/>
      <c r="Q647" s="260" t="n"/>
    </row>
    <row r="648" ht="15.5" customHeight="1">
      <c r="B648" s="249" t="n">
        <v>45302</v>
      </c>
      <c r="C648" s="15" t="n">
        <v>62</v>
      </c>
      <c r="D648" s="170" t="inlineStr">
        <is>
          <t>Tax PPN 11% (Project TGE MEPI Rimau Pembayaran Ke-2)</t>
        </is>
      </c>
      <c r="E648" s="227" t="n"/>
      <c r="F648" s="250" t="n">
        <v>33836000</v>
      </c>
      <c r="G648" s="15" t="inlineStr">
        <is>
          <t>IDR</t>
        </is>
      </c>
      <c r="H648" s="251" t="n">
        <v>1</v>
      </c>
      <c r="I648" s="251" t="n">
        <v>33836000</v>
      </c>
      <c r="J648" s="252" t="n">
        <v>33836000</v>
      </c>
      <c r="K648" s="249" t="n"/>
      <c r="L648" s="252" t="n"/>
      <c r="M648" s="253" t="n"/>
      <c r="N648" s="253" t="n"/>
      <c r="O648" s="252" t="n"/>
      <c r="P648" s="18" t="n"/>
      <c r="Q648" s="260" t="n"/>
    </row>
    <row r="649" ht="15.5" customHeight="1">
      <c r="B649" s="249" t="n">
        <v>45302</v>
      </c>
      <c r="C649" s="15" t="n">
        <v>63</v>
      </c>
      <c r="D649" s="170" t="inlineStr">
        <is>
          <t>Tax PPN 11% (Project TGE MEPI Rimau Pembayaran Ke-2)</t>
        </is>
      </c>
      <c r="E649" s="227" t="n"/>
      <c r="F649" s="250" t="n">
        <v>33836000</v>
      </c>
      <c r="G649" s="15" t="inlineStr">
        <is>
          <t>IDR</t>
        </is>
      </c>
      <c r="H649" s="251" t="n">
        <v>1</v>
      </c>
      <c r="I649" s="251" t="n">
        <v>33836000</v>
      </c>
      <c r="J649" s="252" t="n">
        <v>33836000</v>
      </c>
      <c r="K649" s="249" t="n"/>
      <c r="L649" s="252" t="n"/>
      <c r="M649" s="253" t="n"/>
      <c r="N649" s="253" t="n"/>
      <c r="O649" s="252" t="n"/>
      <c r="P649" s="18" t="n"/>
      <c r="Q649" s="260" t="n"/>
    </row>
    <row r="650" ht="15.5" customHeight="1">
      <c r="B650" s="249" t="n">
        <v>45302</v>
      </c>
      <c r="C650" s="15" t="n">
        <v>64</v>
      </c>
      <c r="D650" s="170" t="inlineStr">
        <is>
          <t>Tax PPN 11% (Project TGE MEPI Rimau Pembayaran Ke-2)</t>
        </is>
      </c>
      <c r="E650" s="227" t="n"/>
      <c r="F650" s="250" t="n">
        <v>33836000</v>
      </c>
      <c r="G650" s="15" t="inlineStr">
        <is>
          <t>IDR</t>
        </is>
      </c>
      <c r="H650" s="251" t="n">
        <v>1</v>
      </c>
      <c r="I650" s="251" t="n">
        <v>33836000</v>
      </c>
      <c r="J650" s="252" t="n">
        <v>33836000</v>
      </c>
      <c r="K650" s="249" t="n"/>
      <c r="L650" s="252" t="n"/>
      <c r="M650" s="253" t="n"/>
      <c r="N650" s="253" t="n"/>
      <c r="O650" s="252" t="n"/>
      <c r="P650" s="18" t="n"/>
      <c r="Q650" s="260" t="n"/>
    </row>
    <row r="651" ht="15.5" customHeight="1">
      <c r="B651" s="249" t="n">
        <v>45302</v>
      </c>
      <c r="C651" s="15" t="n">
        <v>65</v>
      </c>
      <c r="D651" s="170" t="inlineStr">
        <is>
          <t>Tax PPN 11% (Project TGE MEPI Rimau Pembayaran Ke-2)</t>
        </is>
      </c>
      <c r="E651" s="227" t="n"/>
      <c r="F651" s="250" t="n">
        <v>33836000</v>
      </c>
      <c r="G651" s="15" t="inlineStr">
        <is>
          <t>IDR</t>
        </is>
      </c>
      <c r="H651" s="251" t="n">
        <v>1</v>
      </c>
      <c r="I651" s="251" t="n">
        <v>33836000</v>
      </c>
      <c r="J651" s="252" t="n">
        <v>33836000</v>
      </c>
      <c r="K651" s="249" t="n"/>
      <c r="L651" s="252" t="n"/>
      <c r="M651" s="253" t="n"/>
      <c r="N651" s="253" t="n"/>
      <c r="O651" s="252" t="n"/>
      <c r="P651" s="18" t="n"/>
      <c r="Q651" s="260" t="n"/>
    </row>
    <row r="652" ht="15.5" customHeight="1">
      <c r="B652" s="249" t="n">
        <v>45302</v>
      </c>
      <c r="C652" s="15" t="n">
        <v>66</v>
      </c>
      <c r="D652" s="170" t="inlineStr">
        <is>
          <t>Tax PPN 11% (Project TGE MEPI Rimau Pembayaran Ke-2)</t>
        </is>
      </c>
      <c r="E652" s="227" t="n"/>
      <c r="F652" s="250" t="n">
        <v>33836000</v>
      </c>
      <c r="G652" s="15" t="inlineStr">
        <is>
          <t>IDR</t>
        </is>
      </c>
      <c r="H652" s="251" t="n">
        <v>1</v>
      </c>
      <c r="I652" s="251" t="n">
        <v>33836000</v>
      </c>
      <c r="J652" s="252" t="n">
        <v>33836000</v>
      </c>
      <c r="K652" s="249" t="n"/>
      <c r="L652" s="252" t="n"/>
      <c r="M652" s="253" t="n"/>
      <c r="N652" s="253" t="n"/>
      <c r="O652" s="252" t="n"/>
      <c r="P652" s="18" t="n"/>
      <c r="Q652" s="260" t="n"/>
    </row>
    <row r="653" ht="15.5" customHeight="1">
      <c r="B653" s="249" t="n">
        <v>45302</v>
      </c>
      <c r="C653" s="15" t="n">
        <v>67</v>
      </c>
      <c r="D653" s="170" t="inlineStr">
        <is>
          <t>Tax PPN 11% (Project TGE MEPI Rimau Pembayaran Ke-2)</t>
        </is>
      </c>
      <c r="E653" s="227" t="n"/>
      <c r="F653" s="250" t="n">
        <v>33836000</v>
      </c>
      <c r="G653" s="15" t="inlineStr">
        <is>
          <t>IDR</t>
        </is>
      </c>
      <c r="H653" s="251" t="n">
        <v>1</v>
      </c>
      <c r="I653" s="251" t="n">
        <v>33836000</v>
      </c>
      <c r="J653" s="252" t="n">
        <v>33836000</v>
      </c>
      <c r="K653" s="249" t="n"/>
      <c r="L653" s="252" t="n"/>
      <c r="M653" s="253" t="n"/>
      <c r="N653" s="253" t="n"/>
      <c r="O653" s="252" t="n"/>
      <c r="P653" s="18" t="n"/>
      <c r="Q653" s="260" t="n"/>
    </row>
    <row r="654" ht="15.5" customHeight="1">
      <c r="B654" s="249" t="n">
        <v>45302</v>
      </c>
      <c r="C654" s="15" t="n">
        <v>68</v>
      </c>
      <c r="D654" s="170" t="inlineStr">
        <is>
          <t>Tax PPN 11% (Project TGE MEPI Rimau Pembayaran Ke-2)</t>
        </is>
      </c>
      <c r="E654" s="227" t="n"/>
      <c r="F654" s="250" t="n">
        <v>33836000</v>
      </c>
      <c r="G654" s="15" t="inlineStr">
        <is>
          <t>IDR</t>
        </is>
      </c>
      <c r="H654" s="251" t="n">
        <v>1</v>
      </c>
      <c r="I654" s="251" t="n">
        <v>33836000</v>
      </c>
      <c r="J654" s="252" t="n">
        <v>33836000</v>
      </c>
      <c r="K654" s="249" t="n"/>
      <c r="L654" s="252" t="n"/>
      <c r="M654" s="253" t="n"/>
      <c r="N654" s="253" t="n"/>
      <c r="O654" s="252" t="n"/>
      <c r="P654" s="18" t="n"/>
      <c r="Q654" s="260" t="n"/>
    </row>
    <row r="655" ht="15.5" customHeight="1">
      <c r="B655" s="249" t="n">
        <v>45302</v>
      </c>
      <c r="C655" s="15" t="n">
        <v>69</v>
      </c>
      <c r="D655" s="170" t="inlineStr">
        <is>
          <t>Tax PPN 11% (Project TGE MEPI Rimau Pembayaran Ke-2)</t>
        </is>
      </c>
      <c r="E655" s="227" t="n"/>
      <c r="F655" s="250" t="n">
        <v>33836000</v>
      </c>
      <c r="G655" s="15" t="inlineStr">
        <is>
          <t>IDR</t>
        </is>
      </c>
      <c r="H655" s="251" t="n">
        <v>1</v>
      </c>
      <c r="I655" s="251" t="n">
        <v>33836000</v>
      </c>
      <c r="J655" s="252" t="n">
        <v>33836000</v>
      </c>
      <c r="K655" s="249" t="n"/>
      <c r="L655" s="252" t="n"/>
      <c r="M655" s="253" t="n"/>
      <c r="N655" s="253" t="n"/>
      <c r="O655" s="252" t="n"/>
      <c r="P655" s="18" t="n"/>
      <c r="Q655" s="260" t="n"/>
    </row>
    <row r="656" ht="15.5" customHeight="1">
      <c r="B656" s="249" t="n">
        <v>45302</v>
      </c>
      <c r="C656" s="15" t="n">
        <v>70</v>
      </c>
      <c r="D656" s="170" t="inlineStr">
        <is>
          <t>Tax PPN 11% (Project TGE MEPI Rimau Pembayaran Ke-2)</t>
        </is>
      </c>
      <c r="E656" s="227" t="n"/>
      <c r="F656" s="250" t="n">
        <v>33836000</v>
      </c>
      <c r="G656" s="15" t="inlineStr">
        <is>
          <t>IDR</t>
        </is>
      </c>
      <c r="H656" s="251" t="n">
        <v>1</v>
      </c>
      <c r="I656" s="251" t="n">
        <v>33836000</v>
      </c>
      <c r="J656" s="252" t="n">
        <v>33836000</v>
      </c>
      <c r="K656" s="249" t="n"/>
      <c r="L656" s="252" t="n"/>
      <c r="M656" s="253" t="n"/>
      <c r="N656" s="253" t="n"/>
      <c r="O656" s="252" t="n"/>
      <c r="P656" s="18" t="n"/>
      <c r="Q656" s="260" t="n"/>
    </row>
    <row r="657" ht="15.5" customHeight="1">
      <c r="B657" s="249" t="n">
        <v>45302</v>
      </c>
      <c r="C657" s="15" t="n">
        <v>71</v>
      </c>
      <c r="D657" s="170" t="inlineStr">
        <is>
          <t>Tax PPN 11% (Project TGE MEPI Rimau Pembayaran Ke-2)</t>
        </is>
      </c>
      <c r="E657" s="227" t="n"/>
      <c r="F657" s="250" t="n">
        <v>33836000</v>
      </c>
      <c r="G657" s="15" t="inlineStr">
        <is>
          <t>IDR</t>
        </is>
      </c>
      <c r="H657" s="251" t="n">
        <v>1</v>
      </c>
      <c r="I657" s="251" t="n">
        <v>33836000</v>
      </c>
      <c r="J657" s="252" t="n">
        <v>33836000</v>
      </c>
      <c r="K657" s="249" t="n"/>
      <c r="L657" s="252" t="n"/>
      <c r="M657" s="253" t="n"/>
      <c r="N657" s="253" t="n"/>
      <c r="O657" s="252" t="n"/>
      <c r="P657" s="18" t="n"/>
      <c r="Q657" s="260" t="n"/>
    </row>
    <row r="658" ht="15.5" customHeight="1">
      <c r="B658" s="249" t="n">
        <v>45302</v>
      </c>
      <c r="C658" s="15" t="n">
        <v>72</v>
      </c>
      <c r="D658" s="170" t="inlineStr">
        <is>
          <t>Tax PPN 11% (Project TGE MEPI Rimau Pembayaran Ke-2)</t>
        </is>
      </c>
      <c r="E658" s="227" t="n"/>
      <c r="F658" s="250" t="n">
        <v>33836000</v>
      </c>
      <c r="G658" s="15" t="inlineStr">
        <is>
          <t>IDR</t>
        </is>
      </c>
      <c r="H658" s="251" t="n">
        <v>1</v>
      </c>
      <c r="I658" s="251" t="n">
        <v>33836000</v>
      </c>
      <c r="J658" s="252" t="n">
        <v>33836000</v>
      </c>
      <c r="K658" s="249" t="n"/>
      <c r="L658" s="252" t="n"/>
      <c r="M658" s="253" t="n"/>
      <c r="N658" s="253" t="n"/>
      <c r="O658" s="252" t="n"/>
      <c r="P658" s="18" t="n"/>
      <c r="Q658" s="260" t="n"/>
    </row>
    <row r="659" ht="15.5" customHeight="1">
      <c r="B659" s="249" t="n">
        <v>45302</v>
      </c>
      <c r="C659" s="15" t="n">
        <v>73</v>
      </c>
      <c r="D659" s="170" t="inlineStr">
        <is>
          <t>Tax PPN 11% (Project TGE MEPI Rimau Pembayaran Ke-2)</t>
        </is>
      </c>
      <c r="E659" s="227" t="n"/>
      <c r="F659" s="250" t="n">
        <v>33836000</v>
      </c>
      <c r="G659" s="15" t="inlineStr">
        <is>
          <t>IDR</t>
        </is>
      </c>
      <c r="H659" s="251" t="n">
        <v>1</v>
      </c>
      <c r="I659" s="251" t="n">
        <v>33836000</v>
      </c>
      <c r="J659" s="252" t="n">
        <v>33836000</v>
      </c>
      <c r="K659" s="249" t="n"/>
      <c r="L659" s="252" t="n"/>
      <c r="M659" s="253" t="n"/>
      <c r="N659" s="253" t="n"/>
      <c r="O659" s="252" t="n"/>
      <c r="P659" s="18" t="n"/>
      <c r="Q659" s="260" t="n"/>
    </row>
    <row r="660" ht="15.5" customHeight="1">
      <c r="B660" s="249" t="n">
        <v>45302</v>
      </c>
      <c r="C660" s="15" t="n">
        <v>74</v>
      </c>
      <c r="D660" s="170" t="inlineStr">
        <is>
          <t>Tax PPN 11% (Project TGE MEPI Rimau Pembayaran Ke-2)</t>
        </is>
      </c>
      <c r="E660" s="227" t="n"/>
      <c r="F660" s="250" t="n">
        <v>33836000</v>
      </c>
      <c r="G660" s="15" t="inlineStr">
        <is>
          <t>IDR</t>
        </is>
      </c>
      <c r="H660" s="251" t="n">
        <v>1</v>
      </c>
      <c r="I660" s="251" t="n">
        <v>33836000</v>
      </c>
      <c r="J660" s="252" t="n">
        <v>33836000</v>
      </c>
      <c r="K660" s="249" t="n"/>
      <c r="L660" s="252" t="n"/>
      <c r="M660" s="253" t="n"/>
      <c r="N660" s="253" t="n"/>
      <c r="O660" s="252" t="n"/>
      <c r="P660" s="18" t="n"/>
      <c r="Q660" s="260" t="n"/>
    </row>
    <row r="661" ht="15.5" customHeight="1">
      <c r="B661" s="249" t="n">
        <v>45302</v>
      </c>
      <c r="C661" s="15" t="n">
        <v>75</v>
      </c>
      <c r="D661" s="170" t="inlineStr">
        <is>
          <t>Tax PPN 11% (Project TGE MEPI Rimau Pembayaran Ke-2)</t>
        </is>
      </c>
      <c r="E661" s="227" t="n"/>
      <c r="F661" s="250" t="n">
        <v>33836000</v>
      </c>
      <c r="G661" s="15" t="inlineStr">
        <is>
          <t>IDR</t>
        </is>
      </c>
      <c r="H661" s="251" t="n">
        <v>1</v>
      </c>
      <c r="I661" s="251" t="n">
        <v>33836000</v>
      </c>
      <c r="J661" s="252" t="n">
        <v>33836000</v>
      </c>
      <c r="K661" s="249" t="n"/>
      <c r="L661" s="252" t="n"/>
      <c r="M661" s="253" t="n"/>
      <c r="N661" s="253" t="n"/>
      <c r="O661" s="252" t="n"/>
      <c r="P661" s="18" t="n"/>
      <c r="Q661" s="260" t="n"/>
    </row>
    <row r="662" ht="15.5" customHeight="1">
      <c r="B662" s="249" t="n">
        <v>45302</v>
      </c>
      <c r="C662" s="15" t="n">
        <v>76</v>
      </c>
      <c r="D662" s="170" t="inlineStr">
        <is>
          <t>Tax PPN 11% (Project TGE MEPI Rimau Pembayaran Ke-2)</t>
        </is>
      </c>
      <c r="E662" s="227" t="n"/>
      <c r="F662" s="250" t="n">
        <v>33836000</v>
      </c>
      <c r="G662" s="15" t="inlineStr">
        <is>
          <t>IDR</t>
        </is>
      </c>
      <c r="H662" s="251" t="n">
        <v>1</v>
      </c>
      <c r="I662" s="251" t="n">
        <v>33836000</v>
      </c>
      <c r="J662" s="252" t="n">
        <v>33836000</v>
      </c>
      <c r="K662" s="249" t="n"/>
      <c r="L662" s="252" t="n"/>
      <c r="M662" s="253" t="n"/>
      <c r="N662" s="253" t="n"/>
      <c r="O662" s="252" t="n"/>
      <c r="P662" s="18" t="n"/>
      <c r="Q662" s="260" t="n"/>
    </row>
    <row r="663" ht="15.5" customHeight="1">
      <c r="B663" s="249" t="n">
        <v>45302</v>
      </c>
      <c r="C663" s="15" t="n">
        <v>77</v>
      </c>
      <c r="D663" s="170" t="inlineStr">
        <is>
          <t>Tax PPN 11% (Project TGE MEPI Rimau Pembayaran Ke-2)</t>
        </is>
      </c>
      <c r="E663" s="227" t="n"/>
      <c r="F663" s="250" t="n">
        <v>33836000</v>
      </c>
      <c r="G663" s="15" t="inlineStr">
        <is>
          <t>IDR</t>
        </is>
      </c>
      <c r="H663" s="251" t="n">
        <v>1</v>
      </c>
      <c r="I663" s="251" t="n">
        <v>33836000</v>
      </c>
      <c r="J663" s="252" t="n">
        <v>33836000</v>
      </c>
      <c r="K663" s="249" t="n"/>
      <c r="L663" s="252" t="n"/>
      <c r="M663" s="253" t="n"/>
      <c r="N663" s="253" t="n"/>
      <c r="O663" s="252" t="n"/>
      <c r="P663" s="18" t="n"/>
      <c r="Q663" s="260" t="n"/>
    </row>
    <row r="664" ht="15.5" customHeight="1">
      <c r="B664" s="249" t="n">
        <v>45302</v>
      </c>
      <c r="C664" s="15" t="n">
        <v>78</v>
      </c>
      <c r="D664" s="170" t="inlineStr">
        <is>
          <t>Tax PPN 11% (Project TGE MEPI Rimau Pembayaran Ke-2)</t>
        </is>
      </c>
      <c r="E664" s="227" t="n"/>
      <c r="F664" s="250" t="n">
        <v>33836000</v>
      </c>
      <c r="G664" s="15" t="inlineStr">
        <is>
          <t>IDR</t>
        </is>
      </c>
      <c r="H664" s="251" t="n">
        <v>1</v>
      </c>
      <c r="I664" s="251" t="n">
        <v>33836000</v>
      </c>
      <c r="J664" s="252" t="n">
        <v>33836000</v>
      </c>
      <c r="K664" s="249" t="n"/>
      <c r="L664" s="252" t="n"/>
      <c r="M664" s="253" t="n"/>
      <c r="N664" s="253" t="n"/>
      <c r="O664" s="252" t="n"/>
      <c r="P664" s="18" t="n"/>
      <c r="Q664" s="260" t="n"/>
    </row>
    <row r="665" ht="15.5" customHeight="1">
      <c r="B665" s="249" t="n">
        <v>45302</v>
      </c>
      <c r="C665" s="15" t="n">
        <v>79</v>
      </c>
      <c r="D665" s="170" t="inlineStr">
        <is>
          <t>Tax PPN 11% (Project TGE MEPI Rimau Pembayaran Ke-2)</t>
        </is>
      </c>
      <c r="E665" s="227" t="n"/>
      <c r="F665" s="250" t="n">
        <v>33836000</v>
      </c>
      <c r="G665" s="15" t="inlineStr">
        <is>
          <t>IDR</t>
        </is>
      </c>
      <c r="H665" s="251" t="n">
        <v>1</v>
      </c>
      <c r="I665" s="251" t="n">
        <v>33836000</v>
      </c>
      <c r="J665" s="252" t="n">
        <v>33836000</v>
      </c>
      <c r="K665" s="249" t="n"/>
      <c r="L665" s="252" t="n"/>
      <c r="M665" s="253" t="n"/>
      <c r="N665" s="253" t="n"/>
      <c r="O665" s="252" t="n"/>
      <c r="P665" s="18" t="n"/>
      <c r="Q665" s="260" t="n"/>
    </row>
    <row r="666" ht="15.5" customHeight="1">
      <c r="B666" s="249" t="n">
        <v>45302</v>
      </c>
      <c r="C666" s="15" t="n">
        <v>80</v>
      </c>
      <c r="D666" s="170" t="inlineStr">
        <is>
          <t>Tax PPN 11% (Project TGE MEPI Rimau Pembayaran Ke-2)</t>
        </is>
      </c>
      <c r="E666" s="227" t="n"/>
      <c r="F666" s="250" t="n">
        <v>33836000</v>
      </c>
      <c r="G666" s="15" t="inlineStr">
        <is>
          <t>IDR</t>
        </is>
      </c>
      <c r="H666" s="251" t="n">
        <v>1</v>
      </c>
      <c r="I666" s="251" t="n">
        <v>33836000</v>
      </c>
      <c r="J666" s="252" t="n">
        <v>33836000</v>
      </c>
      <c r="K666" s="249" t="n"/>
      <c r="L666" s="252" t="n"/>
      <c r="M666" s="253" t="n"/>
      <c r="N666" s="253" t="n"/>
      <c r="O666" s="252" t="n"/>
      <c r="P666" s="18" t="n"/>
      <c r="Q666" s="260" t="n"/>
    </row>
    <row r="667" ht="15.5" customHeight="1">
      <c r="B667" s="249" t="n">
        <v>45302</v>
      </c>
      <c r="C667" s="15" t="n">
        <v>81</v>
      </c>
      <c r="D667" s="170" t="inlineStr">
        <is>
          <t>Tax PPN 11% (Project TGE MEPI Rimau Pembayaran Ke-2)</t>
        </is>
      </c>
      <c r="E667" s="227" t="n"/>
      <c r="F667" s="250" t="n">
        <v>33836000</v>
      </c>
      <c r="G667" s="15" t="inlineStr">
        <is>
          <t>IDR</t>
        </is>
      </c>
      <c r="H667" s="251" t="n">
        <v>1</v>
      </c>
      <c r="I667" s="251" t="n">
        <v>33836000</v>
      </c>
      <c r="J667" s="252" t="n">
        <v>33836000</v>
      </c>
      <c r="K667" s="249" t="n"/>
      <c r="L667" s="252" t="n"/>
      <c r="M667" s="253" t="n"/>
      <c r="N667" s="253" t="n"/>
      <c r="O667" s="252" t="n"/>
      <c r="P667" s="18" t="n"/>
      <c r="Q667" s="260" t="n"/>
    </row>
    <row r="668" ht="15.5" customHeight="1">
      <c r="B668" s="249" t="n">
        <v>45302</v>
      </c>
      <c r="C668" s="15" t="n">
        <v>82</v>
      </c>
      <c r="D668" s="170" t="inlineStr">
        <is>
          <t>Tax PPN 11% (Project TGE MEPI Rimau Pembayaran Ke-2)</t>
        </is>
      </c>
      <c r="E668" s="227" t="n"/>
      <c r="F668" s="250" t="n">
        <v>33836000</v>
      </c>
      <c r="G668" s="15" t="inlineStr">
        <is>
          <t>IDR</t>
        </is>
      </c>
      <c r="H668" s="251" t="n">
        <v>1</v>
      </c>
      <c r="I668" s="251" t="n">
        <v>33836000</v>
      </c>
      <c r="J668" s="252" t="n">
        <v>33836000</v>
      </c>
      <c r="K668" s="249" t="n"/>
      <c r="L668" s="252" t="n"/>
      <c r="M668" s="253" t="n"/>
      <c r="N668" s="253" t="n"/>
      <c r="O668" s="252" t="n"/>
      <c r="P668" s="18" t="n"/>
      <c r="Q668" s="260" t="n"/>
    </row>
    <row r="669" ht="15.5" customHeight="1">
      <c r="B669" s="249" t="n">
        <v>45351</v>
      </c>
      <c r="C669" s="15" t="n">
        <v>83</v>
      </c>
      <c r="D669" s="170" t="inlineStr">
        <is>
          <t>Tax PPN 11% (Project TGE MEPI Tomori)</t>
        </is>
      </c>
      <c r="E669" s="227" t="n"/>
      <c r="F669" s="250" t="n">
        <v>16500000</v>
      </c>
      <c r="G669" s="15" t="inlineStr">
        <is>
          <t>IDR</t>
        </is>
      </c>
      <c r="H669" s="251" t="n">
        <v>1</v>
      </c>
      <c r="I669" s="251" t="n">
        <v>16500000</v>
      </c>
      <c r="J669" s="252" t="n">
        <v>16500000</v>
      </c>
      <c r="K669" s="249" t="n"/>
      <c r="L669" s="252" t="n"/>
      <c r="M669" s="253" t="n"/>
      <c r="N669" s="253" t="n"/>
      <c r="O669" s="252" t="n"/>
      <c r="P669" s="18" t="n"/>
      <c r="Q669" s="260" t="n"/>
    </row>
    <row r="670" ht="15.5" customHeight="1">
      <c r="B670" s="249" t="n">
        <v>45351</v>
      </c>
      <c r="C670" s="15" t="n">
        <v>84</v>
      </c>
      <c r="D670" s="170" t="inlineStr">
        <is>
          <t>Tax PPN 11% (Project TGE MEPI Tomori)</t>
        </is>
      </c>
      <c r="E670" s="227" t="n"/>
      <c r="F670" s="250" t="n">
        <v>16500000</v>
      </c>
      <c r="G670" s="15" t="inlineStr">
        <is>
          <t>IDR</t>
        </is>
      </c>
      <c r="H670" s="251" t="n">
        <v>1</v>
      </c>
      <c r="I670" s="251" t="n">
        <v>16500000</v>
      </c>
      <c r="J670" s="252" t="n">
        <v>16500000</v>
      </c>
      <c r="K670" s="249" t="n"/>
      <c r="L670" s="252" t="n"/>
      <c r="M670" s="253" t="n"/>
      <c r="N670" s="253" t="n"/>
      <c r="O670" s="252" t="n"/>
      <c r="P670" s="18" t="n"/>
      <c r="Q670" s="260" t="n"/>
    </row>
    <row r="671" ht="15.5" customHeight="1">
      <c r="B671" s="249" t="n">
        <v>45351</v>
      </c>
      <c r="C671" s="15" t="n">
        <v>85</v>
      </c>
      <c r="D671" s="170" t="inlineStr">
        <is>
          <t>Tax PPN 11% (Project TGE MEPI Tomori)</t>
        </is>
      </c>
      <c r="E671" s="227" t="n"/>
      <c r="F671" s="250" t="n">
        <v>16500000</v>
      </c>
      <c r="G671" s="15" t="inlineStr">
        <is>
          <t>IDR</t>
        </is>
      </c>
      <c r="H671" s="251" t="n">
        <v>1</v>
      </c>
      <c r="I671" s="251" t="n">
        <v>16500000</v>
      </c>
      <c r="J671" s="252" t="n">
        <v>16500000</v>
      </c>
      <c r="K671" s="249" t="n"/>
      <c r="L671" s="252" t="n"/>
      <c r="M671" s="253" t="n"/>
      <c r="N671" s="253" t="n"/>
      <c r="O671" s="252" t="n"/>
      <c r="P671" s="18" t="n"/>
      <c r="Q671" s="260" t="n"/>
    </row>
    <row r="672" ht="15.5" customHeight="1">
      <c r="B672" s="249" t="n">
        <v>45351</v>
      </c>
      <c r="C672" s="15" t="n">
        <v>86</v>
      </c>
      <c r="D672" s="170" t="inlineStr">
        <is>
          <t>Tax PPN 11% (Project TGE MEPI Tomori)</t>
        </is>
      </c>
      <c r="E672" s="227" t="n"/>
      <c r="F672" s="250" t="n">
        <v>16500000</v>
      </c>
      <c r="G672" s="15" t="inlineStr">
        <is>
          <t>IDR</t>
        </is>
      </c>
      <c r="H672" s="251" t="n">
        <v>1</v>
      </c>
      <c r="I672" s="251" t="n">
        <v>16500000</v>
      </c>
      <c r="J672" s="252" t="n">
        <v>16500000</v>
      </c>
      <c r="K672" s="249" t="n"/>
      <c r="L672" s="252" t="n"/>
      <c r="M672" s="253" t="n"/>
      <c r="N672" s="253" t="n"/>
      <c r="O672" s="252" t="n"/>
      <c r="P672" s="18" t="n"/>
      <c r="Q672" s="260" t="n"/>
    </row>
    <row r="673" ht="15.5" customHeight="1">
      <c r="B673" s="249" t="n">
        <v>45351</v>
      </c>
      <c r="C673" s="15" t="n">
        <v>87</v>
      </c>
      <c r="D673" s="170" t="inlineStr">
        <is>
          <t>Tax PPN 11% (Project TGE MEPI Tomori)</t>
        </is>
      </c>
      <c r="E673" s="227" t="n"/>
      <c r="F673" s="250" t="n">
        <v>16500000</v>
      </c>
      <c r="G673" s="15" t="inlineStr">
        <is>
          <t>IDR</t>
        </is>
      </c>
      <c r="H673" s="251" t="n">
        <v>1</v>
      </c>
      <c r="I673" s="251" t="n">
        <v>16500000</v>
      </c>
      <c r="J673" s="252" t="n">
        <v>16500000</v>
      </c>
      <c r="K673" s="249" t="n"/>
      <c r="L673" s="252" t="n"/>
      <c r="M673" s="253" t="n"/>
      <c r="N673" s="253" t="n"/>
      <c r="O673" s="252" t="n"/>
      <c r="P673" s="18" t="n"/>
      <c r="Q673" s="260" t="n"/>
    </row>
    <row r="674" ht="15.5" customHeight="1">
      <c r="B674" s="249" t="n">
        <v>45351</v>
      </c>
      <c r="C674" s="15" t="n">
        <v>88</v>
      </c>
      <c r="D674" s="170" t="inlineStr">
        <is>
          <t>Tax PPN 11% (Project TGE MEPI Tomori)</t>
        </is>
      </c>
      <c r="E674" s="227" t="n"/>
      <c r="F674" s="250" t="n">
        <v>16500000</v>
      </c>
      <c r="G674" s="15" t="inlineStr">
        <is>
          <t>IDR</t>
        </is>
      </c>
      <c r="H674" s="251" t="n">
        <v>1</v>
      </c>
      <c r="I674" s="251" t="n">
        <v>16500000</v>
      </c>
      <c r="J674" s="252" t="n">
        <v>16500000</v>
      </c>
      <c r="K674" s="249" t="n"/>
      <c r="L674" s="252" t="n"/>
      <c r="M674" s="253" t="n"/>
      <c r="N674" s="253" t="n"/>
      <c r="O674" s="252" t="n"/>
      <c r="P674" s="18" t="n"/>
      <c r="Q674" s="260" t="n"/>
    </row>
    <row r="675" ht="15.5" customHeight="1">
      <c r="B675" s="249" t="n">
        <v>45351</v>
      </c>
      <c r="C675" s="15" t="n">
        <v>89</v>
      </c>
      <c r="D675" s="170" t="inlineStr">
        <is>
          <t>Tax PPN 11% (Project TGE MEPI Tomori)</t>
        </is>
      </c>
      <c r="E675" s="227" t="n"/>
      <c r="F675" s="250" t="n">
        <v>16500000</v>
      </c>
      <c r="G675" s="15" t="inlineStr">
        <is>
          <t>IDR</t>
        </is>
      </c>
      <c r="H675" s="251" t="n">
        <v>1</v>
      </c>
      <c r="I675" s="251" t="n">
        <v>16500000</v>
      </c>
      <c r="J675" s="252" t="n">
        <v>16500000</v>
      </c>
      <c r="K675" s="249" t="n"/>
      <c r="L675" s="252" t="n"/>
      <c r="M675" s="253" t="n"/>
      <c r="N675" s="253" t="n"/>
      <c r="O675" s="252" t="n"/>
      <c r="P675" s="18" t="n"/>
      <c r="Q675" s="260" t="n"/>
    </row>
    <row r="676" ht="15.5" customHeight="1">
      <c r="B676" s="249" t="n">
        <v>45351</v>
      </c>
      <c r="C676" s="15" t="n">
        <v>90</v>
      </c>
      <c r="D676" s="170" t="inlineStr">
        <is>
          <t>Tax PPN 11% (Project TGE MEPI Tomori)</t>
        </is>
      </c>
      <c r="E676" s="227" t="n"/>
      <c r="F676" s="250" t="n">
        <v>16500000</v>
      </c>
      <c r="G676" s="15" t="inlineStr">
        <is>
          <t>IDR</t>
        </is>
      </c>
      <c r="H676" s="251" t="n">
        <v>1</v>
      </c>
      <c r="I676" s="251" t="n">
        <v>16500000</v>
      </c>
      <c r="J676" s="252" t="n">
        <v>16500000</v>
      </c>
      <c r="K676" s="249" t="n"/>
      <c r="L676" s="252" t="n"/>
      <c r="M676" s="253" t="n"/>
      <c r="N676" s="253" t="n"/>
      <c r="O676" s="252" t="n"/>
      <c r="P676" s="18" t="n"/>
      <c r="Q676" s="260" t="n"/>
    </row>
    <row r="677" ht="15.5" customHeight="1">
      <c r="B677" s="249" t="n">
        <v>45351</v>
      </c>
      <c r="C677" s="15" t="n">
        <v>91</v>
      </c>
      <c r="D677" s="170" t="inlineStr">
        <is>
          <t>Tax PPN 11% (Project TGE MEPI Tomori)</t>
        </is>
      </c>
      <c r="E677" s="227" t="n"/>
      <c r="F677" s="250" t="n">
        <v>16500000</v>
      </c>
      <c r="G677" s="15" t="inlineStr">
        <is>
          <t>IDR</t>
        </is>
      </c>
      <c r="H677" s="251" t="n">
        <v>1</v>
      </c>
      <c r="I677" s="251" t="n">
        <v>16500000</v>
      </c>
      <c r="J677" s="252" t="n">
        <v>16500000</v>
      </c>
      <c r="K677" s="249" t="n"/>
      <c r="L677" s="252" t="n"/>
      <c r="M677" s="253" t="n"/>
      <c r="N677" s="253" t="n"/>
      <c r="O677" s="252" t="n"/>
      <c r="P677" s="18" t="n"/>
      <c r="Q677" s="260" t="n"/>
    </row>
    <row r="678" ht="15.5" customHeight="1">
      <c r="B678" s="249" t="n">
        <v>45351</v>
      </c>
      <c r="C678" s="15" t="n">
        <v>92</v>
      </c>
      <c r="D678" s="170" t="inlineStr">
        <is>
          <t>Tax PPN 11% (Project TGE MEPI Tomori)</t>
        </is>
      </c>
      <c r="E678" s="227" t="n"/>
      <c r="F678" s="250" t="n">
        <v>16500000</v>
      </c>
      <c r="G678" s="15" t="inlineStr">
        <is>
          <t>IDR</t>
        </is>
      </c>
      <c r="H678" s="251" t="n">
        <v>1</v>
      </c>
      <c r="I678" s="251" t="n">
        <v>16500000</v>
      </c>
      <c r="J678" s="252" t="n">
        <v>16500000</v>
      </c>
      <c r="K678" s="249" t="n"/>
      <c r="L678" s="252" t="n"/>
      <c r="M678" s="253" t="n"/>
      <c r="N678" s="253" t="n"/>
      <c r="O678" s="252" t="n"/>
      <c r="P678" s="18" t="n"/>
      <c r="Q678" s="260" t="n"/>
    </row>
    <row r="679" ht="15.5" customHeight="1">
      <c r="B679" s="249" t="n">
        <v>45351</v>
      </c>
      <c r="C679" s="15" t="n">
        <v>93</v>
      </c>
      <c r="D679" s="170" t="inlineStr">
        <is>
          <t>Tax PPN 11% (Project TGE MEPI Tomori)</t>
        </is>
      </c>
      <c r="E679" s="227" t="n"/>
      <c r="F679" s="250" t="n">
        <v>16500000</v>
      </c>
      <c r="G679" s="15" t="inlineStr">
        <is>
          <t>IDR</t>
        </is>
      </c>
      <c r="H679" s="251" t="n">
        <v>1</v>
      </c>
      <c r="I679" s="251" t="n">
        <v>16500000</v>
      </c>
      <c r="J679" s="252" t="n">
        <v>16500000</v>
      </c>
      <c r="K679" s="249" t="n"/>
      <c r="L679" s="252" t="n"/>
      <c r="M679" s="253" t="n"/>
      <c r="N679" s="253" t="n"/>
      <c r="O679" s="252" t="n"/>
      <c r="P679" s="18" t="n"/>
      <c r="Q679" s="260" t="n"/>
    </row>
    <row r="680" ht="15.5" customHeight="1">
      <c r="B680" s="249" t="n">
        <v>45351</v>
      </c>
      <c r="C680" s="15" t="n">
        <v>94</v>
      </c>
      <c r="D680" s="170" t="inlineStr">
        <is>
          <t>Tax PPN 11% (Project TGE MEPI Tomori)</t>
        </is>
      </c>
      <c r="E680" s="227" t="n"/>
      <c r="F680" s="250" t="n">
        <v>16500000</v>
      </c>
      <c r="G680" s="15" t="inlineStr">
        <is>
          <t>IDR</t>
        </is>
      </c>
      <c r="H680" s="251" t="n">
        <v>1</v>
      </c>
      <c r="I680" s="251" t="n">
        <v>16500000</v>
      </c>
      <c r="J680" s="252" t="n">
        <v>16500000</v>
      </c>
      <c r="K680" s="249" t="n"/>
      <c r="L680" s="252" t="n"/>
      <c r="M680" s="253" t="n"/>
      <c r="N680" s="253" t="n"/>
      <c r="O680" s="252" t="n"/>
      <c r="P680" s="18" t="n"/>
      <c r="Q680" s="260" t="n"/>
    </row>
    <row r="681" ht="15.5" customHeight="1">
      <c r="B681" s="249" t="n">
        <v>45351</v>
      </c>
      <c r="C681" s="15" t="n">
        <v>95</v>
      </c>
      <c r="D681" s="170" t="inlineStr">
        <is>
          <t>Tax PPN 11% (Project TGE MEPI Tomori)</t>
        </is>
      </c>
      <c r="E681" s="227" t="n"/>
      <c r="F681" s="250" t="n">
        <v>16500000</v>
      </c>
      <c r="G681" s="15" t="inlineStr">
        <is>
          <t>IDR</t>
        </is>
      </c>
      <c r="H681" s="251" t="n">
        <v>1</v>
      </c>
      <c r="I681" s="251" t="n">
        <v>16500000</v>
      </c>
      <c r="J681" s="252" t="n">
        <v>16500000</v>
      </c>
      <c r="K681" s="249" t="n"/>
      <c r="L681" s="252" t="n"/>
      <c r="M681" s="253" t="n"/>
      <c r="N681" s="253" t="n"/>
      <c r="O681" s="252" t="n"/>
      <c r="P681" s="18" t="n"/>
      <c r="Q681" s="260" t="n"/>
    </row>
    <row r="682" ht="15.5" customHeight="1">
      <c r="B682" s="249" t="n">
        <v>45351</v>
      </c>
      <c r="C682" s="15" t="n">
        <v>96</v>
      </c>
      <c r="D682" s="170" t="inlineStr">
        <is>
          <t>Tax PPN 11% (Project TGE MEPI Tomori)</t>
        </is>
      </c>
      <c r="E682" s="227" t="n"/>
      <c r="F682" s="250" t="n">
        <v>16500000</v>
      </c>
      <c r="G682" s="15" t="inlineStr">
        <is>
          <t>IDR</t>
        </is>
      </c>
      <c r="H682" s="251" t="n">
        <v>1</v>
      </c>
      <c r="I682" s="251" t="n">
        <v>16500000</v>
      </c>
      <c r="J682" s="252" t="n">
        <v>16500000</v>
      </c>
      <c r="K682" s="249" t="n"/>
      <c r="L682" s="252" t="n"/>
      <c r="M682" s="253" t="n"/>
      <c r="N682" s="253" t="n"/>
      <c r="O682" s="252" t="n"/>
      <c r="P682" s="18" t="n"/>
      <c r="Q682" s="260" t="n"/>
    </row>
    <row r="683" ht="15.5" customHeight="1">
      <c r="B683" s="249" t="n">
        <v>45351</v>
      </c>
      <c r="C683" s="15" t="n">
        <v>97</v>
      </c>
      <c r="D683" s="170" t="inlineStr">
        <is>
          <t>Tax PPN 11% (Project TGE MEPI Tomori)</t>
        </is>
      </c>
      <c r="E683" s="227" t="n"/>
      <c r="F683" s="250" t="n">
        <v>16500000</v>
      </c>
      <c r="G683" s="15" t="inlineStr">
        <is>
          <t>IDR</t>
        </is>
      </c>
      <c r="H683" s="251" t="n">
        <v>1</v>
      </c>
      <c r="I683" s="251" t="n">
        <v>16500000</v>
      </c>
      <c r="J683" s="252" t="n">
        <v>16500000</v>
      </c>
      <c r="K683" s="249" t="n"/>
      <c r="L683" s="252" t="n"/>
      <c r="M683" s="253" t="n"/>
      <c r="N683" s="253" t="n"/>
      <c r="O683" s="252" t="n"/>
      <c r="P683" s="18" t="n"/>
      <c r="Q683" s="260" t="n"/>
    </row>
    <row r="684" ht="15.5" customHeight="1">
      <c r="B684" s="249" t="n">
        <v>45351</v>
      </c>
      <c r="C684" s="15" t="n">
        <v>98</v>
      </c>
      <c r="D684" s="170" t="inlineStr">
        <is>
          <t>Tax PPN 11% (Project TGE MEPI Tomori)</t>
        </is>
      </c>
      <c r="E684" s="227" t="n"/>
      <c r="F684" s="250" t="n">
        <v>16500000</v>
      </c>
      <c r="G684" s="15" t="inlineStr">
        <is>
          <t>IDR</t>
        </is>
      </c>
      <c r="H684" s="251" t="n">
        <v>1</v>
      </c>
      <c r="I684" s="251" t="n">
        <v>16500000</v>
      </c>
      <c r="J684" s="252" t="n">
        <v>16500000</v>
      </c>
      <c r="K684" s="249" t="n"/>
      <c r="L684" s="252" t="n"/>
      <c r="M684" s="253" t="n"/>
      <c r="N684" s="253" t="n"/>
      <c r="O684" s="252" t="n"/>
      <c r="P684" s="18" t="n"/>
      <c r="Q684" s="260" t="n"/>
    </row>
    <row r="685" ht="15.5" customHeight="1">
      <c r="B685" s="249" t="n">
        <v>45351</v>
      </c>
      <c r="C685" s="15" t="n">
        <v>99</v>
      </c>
      <c r="D685" s="170" t="inlineStr">
        <is>
          <t>Tax PPN 11% (Project TGE MEPI Tomori)</t>
        </is>
      </c>
      <c r="E685" s="227" t="n"/>
      <c r="F685" s="250" t="n">
        <v>16500000</v>
      </c>
      <c r="G685" s="15" t="inlineStr">
        <is>
          <t>IDR</t>
        </is>
      </c>
      <c r="H685" s="251" t="n">
        <v>1</v>
      </c>
      <c r="I685" s="251" t="n">
        <v>16500000</v>
      </c>
      <c r="J685" s="252" t="n">
        <v>16500000</v>
      </c>
      <c r="K685" s="249" t="n"/>
      <c r="L685" s="252" t="n"/>
      <c r="M685" s="253" t="n"/>
      <c r="N685" s="253" t="n"/>
      <c r="O685" s="252" t="n"/>
      <c r="P685" s="18" t="n"/>
      <c r="Q685" s="260" t="n"/>
    </row>
    <row r="686" ht="15.5" customHeight="1">
      <c r="B686" s="249" t="n">
        <v>45351</v>
      </c>
      <c r="C686" s="15" t="n">
        <v>100</v>
      </c>
      <c r="D686" s="170" t="inlineStr">
        <is>
          <t>Tax PPN 11% (Project TGE MEPI Tomori)</t>
        </is>
      </c>
      <c r="E686" s="227" t="n"/>
      <c r="F686" s="250" t="n">
        <v>16500000</v>
      </c>
      <c r="G686" s="15" t="inlineStr">
        <is>
          <t>IDR</t>
        </is>
      </c>
      <c r="H686" s="251" t="n">
        <v>1</v>
      </c>
      <c r="I686" s="251" t="n">
        <v>16500000</v>
      </c>
      <c r="J686" s="252" t="n">
        <v>16500000</v>
      </c>
      <c r="K686" s="249" t="n"/>
      <c r="L686" s="252" t="n"/>
      <c r="M686" s="253" t="n"/>
      <c r="N686" s="253" t="n"/>
      <c r="O686" s="252" t="n"/>
      <c r="P686" s="18" t="n"/>
      <c r="Q686" s="260" t="n"/>
    </row>
    <row r="687" ht="15.5" customHeight="1">
      <c r="B687" s="249" t="n">
        <v>45351</v>
      </c>
      <c r="C687" s="15" t="n">
        <v>101</v>
      </c>
      <c r="D687" s="170" t="inlineStr">
        <is>
          <t>Tax PPN 11% (Project TGE MEPI Tomori)</t>
        </is>
      </c>
      <c r="E687" s="227" t="n"/>
      <c r="F687" s="250" t="n">
        <v>16500000</v>
      </c>
      <c r="G687" s="15" t="inlineStr">
        <is>
          <t>IDR</t>
        </is>
      </c>
      <c r="H687" s="251" t="n">
        <v>1</v>
      </c>
      <c r="I687" s="251" t="n">
        <v>16500000</v>
      </c>
      <c r="J687" s="252" t="n">
        <v>16500000</v>
      </c>
      <c r="K687" s="249" t="n"/>
      <c r="L687" s="252" t="n"/>
      <c r="M687" s="253" t="n"/>
      <c r="N687" s="253" t="n"/>
      <c r="O687" s="252" t="n"/>
      <c r="P687" s="18" t="n"/>
      <c r="Q687" s="260" t="n"/>
    </row>
    <row r="688" ht="15.5" customHeight="1">
      <c r="B688" s="249" t="n">
        <v>45351</v>
      </c>
      <c r="C688" s="15" t="n">
        <v>102</v>
      </c>
      <c r="D688" s="170" t="inlineStr">
        <is>
          <t>Tax PPN 11% (Project TGE MEPI Tomori)</t>
        </is>
      </c>
      <c r="E688" s="227" t="n"/>
      <c r="F688" s="250" t="n">
        <v>16500000</v>
      </c>
      <c r="G688" s="15" t="inlineStr">
        <is>
          <t>IDR</t>
        </is>
      </c>
      <c r="H688" s="251" t="n">
        <v>1</v>
      </c>
      <c r="I688" s="251" t="n">
        <v>16500000</v>
      </c>
      <c r="J688" s="252" t="n">
        <v>16500000</v>
      </c>
      <c r="K688" s="249" t="n"/>
      <c r="L688" s="252" t="n"/>
      <c r="M688" s="253" t="n"/>
      <c r="N688" s="253" t="n"/>
      <c r="O688" s="252" t="n"/>
      <c r="P688" s="18" t="n"/>
      <c r="Q688" s="260" t="n"/>
    </row>
    <row r="689" ht="15.5" customHeight="1">
      <c r="B689" s="249" t="n">
        <v>45351</v>
      </c>
      <c r="C689" s="15" t="n">
        <v>103</v>
      </c>
      <c r="D689" s="170" t="inlineStr">
        <is>
          <t>Tax PPN 11% (Project TGE MEPI Tomori)</t>
        </is>
      </c>
      <c r="E689" s="227" t="n"/>
      <c r="F689" s="250" t="n">
        <v>16500000</v>
      </c>
      <c r="G689" s="15" t="inlineStr">
        <is>
          <t>IDR</t>
        </is>
      </c>
      <c r="H689" s="251" t="n">
        <v>1</v>
      </c>
      <c r="I689" s="251" t="n">
        <v>16500000</v>
      </c>
      <c r="J689" s="252" t="n">
        <v>16500000</v>
      </c>
      <c r="K689" s="249" t="n"/>
      <c r="L689" s="252" t="n"/>
      <c r="M689" s="253" t="n"/>
      <c r="N689" s="253" t="n"/>
      <c r="O689" s="252" t="n"/>
      <c r="P689" s="18" t="n"/>
      <c r="Q689" s="260" t="n"/>
    </row>
    <row r="690" ht="15.5" customHeight="1">
      <c r="B690" s="249" t="n">
        <v>45351</v>
      </c>
      <c r="C690" s="15" t="n">
        <v>104</v>
      </c>
      <c r="D690" s="170" t="inlineStr">
        <is>
          <t>Tax PPN 11% (Project TGE MEPI Tomori)</t>
        </is>
      </c>
      <c r="E690" s="227" t="n"/>
      <c r="F690" s="250" t="n">
        <v>16500000</v>
      </c>
      <c r="G690" s="15" t="inlineStr">
        <is>
          <t>IDR</t>
        </is>
      </c>
      <c r="H690" s="251" t="n">
        <v>1</v>
      </c>
      <c r="I690" s="251" t="n">
        <v>16500000</v>
      </c>
      <c r="J690" s="252" t="n">
        <v>16500000</v>
      </c>
      <c r="K690" s="249" t="n"/>
      <c r="L690" s="252" t="n"/>
      <c r="M690" s="253" t="n"/>
      <c r="N690" s="253" t="n"/>
      <c r="O690" s="252" t="n"/>
      <c r="P690" s="18" t="n"/>
      <c r="Q690" s="260" t="n"/>
    </row>
    <row r="691" ht="15.5" customHeight="1">
      <c r="B691" s="249" t="n">
        <v>45351</v>
      </c>
      <c r="C691" s="15" t="n">
        <v>105</v>
      </c>
      <c r="D691" s="170" t="inlineStr">
        <is>
          <t>Tax PPN 11% (Project TGE MEPI Tomori)</t>
        </is>
      </c>
      <c r="E691" s="227" t="n"/>
      <c r="F691" s="250" t="n">
        <v>16500000</v>
      </c>
      <c r="G691" s="15" t="inlineStr">
        <is>
          <t>IDR</t>
        </is>
      </c>
      <c r="H691" s="251" t="n">
        <v>1</v>
      </c>
      <c r="I691" s="251" t="n">
        <v>16500000</v>
      </c>
      <c r="J691" s="252" t="n">
        <v>16500000</v>
      </c>
      <c r="K691" s="249" t="n"/>
      <c r="L691" s="252" t="n"/>
      <c r="M691" s="253" t="n"/>
      <c r="N691" s="253" t="n"/>
      <c r="O691" s="252" t="n"/>
      <c r="P691" s="18" t="n"/>
      <c r="Q691" s="260" t="n"/>
    </row>
    <row r="692" ht="15.5" customHeight="1">
      <c r="B692" s="249" t="n">
        <v>45351</v>
      </c>
      <c r="C692" s="15" t="n">
        <v>106</v>
      </c>
      <c r="D692" s="170" t="inlineStr">
        <is>
          <t>Tax PPN 11% (Project TGE MEPI Tomori)</t>
        </is>
      </c>
      <c r="E692" s="227" t="n"/>
      <c r="F692" s="250" t="n">
        <v>16500000</v>
      </c>
      <c r="G692" s="15" t="inlineStr">
        <is>
          <t>IDR</t>
        </is>
      </c>
      <c r="H692" s="251" t="n">
        <v>1</v>
      </c>
      <c r="I692" s="251" t="n">
        <v>16500000</v>
      </c>
      <c r="J692" s="252" t="n">
        <v>16500000</v>
      </c>
      <c r="K692" s="249" t="n"/>
      <c r="L692" s="252" t="n"/>
      <c r="M692" s="253" t="n"/>
      <c r="N692" s="253" t="n"/>
      <c r="O692" s="252" t="n"/>
      <c r="P692" s="18" t="n"/>
      <c r="Q692" s="260" t="n"/>
    </row>
    <row r="693" ht="15.5" customHeight="1">
      <c r="B693" s="249" t="n">
        <v>45351</v>
      </c>
      <c r="C693" s="15" t="n">
        <v>107</v>
      </c>
      <c r="D693" s="170" t="inlineStr">
        <is>
          <t>Tax PPN 11% (Project TGE MEPI Tomori)</t>
        </is>
      </c>
      <c r="E693" s="227" t="n"/>
      <c r="F693" s="250" t="n">
        <v>16500000</v>
      </c>
      <c r="G693" s="15" t="inlineStr">
        <is>
          <t>IDR</t>
        </is>
      </c>
      <c r="H693" s="251" t="n">
        <v>1</v>
      </c>
      <c r="I693" s="251" t="n">
        <v>16500000</v>
      </c>
      <c r="J693" s="252" t="n">
        <v>16500000</v>
      </c>
      <c r="K693" s="249" t="n"/>
      <c r="L693" s="252" t="n"/>
      <c r="M693" s="253" t="n"/>
      <c r="N693" s="253" t="n"/>
      <c r="O693" s="252" t="n"/>
      <c r="P693" s="18" t="n"/>
      <c r="Q693" s="260" t="n"/>
    </row>
    <row r="694" ht="15.5" customHeight="1">
      <c r="B694" s="249" t="n">
        <v>45351</v>
      </c>
      <c r="C694" s="15" t="n">
        <v>108</v>
      </c>
      <c r="D694" s="170" t="inlineStr">
        <is>
          <t>Tax PPN 11% (Project TGE MEPI Tomori)</t>
        </is>
      </c>
      <c r="E694" s="227" t="n"/>
      <c r="F694" s="250" t="n">
        <v>16500000</v>
      </c>
      <c r="G694" s="15" t="inlineStr">
        <is>
          <t>IDR</t>
        </is>
      </c>
      <c r="H694" s="251" t="n">
        <v>1</v>
      </c>
      <c r="I694" s="251" t="n">
        <v>16500000</v>
      </c>
      <c r="J694" s="252" t="n">
        <v>16500000</v>
      </c>
      <c r="K694" s="249" t="n"/>
      <c r="L694" s="252" t="n"/>
      <c r="M694" s="253" t="n"/>
      <c r="N694" s="253" t="n"/>
      <c r="O694" s="252" t="n"/>
      <c r="P694" s="18" t="n"/>
      <c r="Q694" s="260" t="n"/>
    </row>
    <row r="695" ht="15.5" customHeight="1">
      <c r="B695" s="249" t="n">
        <v>45351</v>
      </c>
      <c r="C695" s="15" t="n">
        <v>109</v>
      </c>
      <c r="D695" s="170" t="inlineStr">
        <is>
          <t>Tax PPN 11% (Project TGE MEPI Tomori)</t>
        </is>
      </c>
      <c r="E695" s="227" t="n"/>
      <c r="F695" s="250" t="n">
        <v>16500000</v>
      </c>
      <c r="G695" s="15" t="inlineStr">
        <is>
          <t>IDR</t>
        </is>
      </c>
      <c r="H695" s="251" t="n">
        <v>1</v>
      </c>
      <c r="I695" s="251" t="n">
        <v>16500000</v>
      </c>
      <c r="J695" s="252" t="n">
        <v>16500000</v>
      </c>
      <c r="K695" s="249" t="n"/>
      <c r="L695" s="252" t="n"/>
      <c r="M695" s="253" t="n"/>
      <c r="N695" s="253" t="n"/>
      <c r="O695" s="252" t="n"/>
      <c r="P695" s="18" t="n"/>
      <c r="Q695" s="260" t="n"/>
    </row>
    <row r="696" ht="15.5" customHeight="1">
      <c r="B696" s="249" t="n">
        <v>45351</v>
      </c>
      <c r="C696" s="15" t="n">
        <v>110</v>
      </c>
      <c r="D696" s="170" t="inlineStr">
        <is>
          <t>Tax PPN 11% (Project TGE MEPI Tomori)</t>
        </is>
      </c>
      <c r="E696" s="227" t="n"/>
      <c r="F696" s="250" t="n">
        <v>16500000</v>
      </c>
      <c r="G696" s="15" t="inlineStr">
        <is>
          <t>IDR</t>
        </is>
      </c>
      <c r="H696" s="251" t="n">
        <v>1</v>
      </c>
      <c r="I696" s="251" t="n">
        <v>16500000</v>
      </c>
      <c r="J696" s="252" t="n">
        <v>16500000</v>
      </c>
      <c r="K696" s="249" t="n"/>
      <c r="L696" s="252" t="n"/>
      <c r="M696" s="253" t="n"/>
      <c r="N696" s="253" t="n"/>
      <c r="O696" s="252" t="n"/>
      <c r="P696" s="18" t="n"/>
      <c r="Q696" s="260" t="n"/>
    </row>
    <row r="697" ht="15.5" customHeight="1">
      <c r="B697" s="249" t="n">
        <v>45351</v>
      </c>
      <c r="C697" s="15" t="n">
        <v>111</v>
      </c>
      <c r="D697" s="170" t="inlineStr">
        <is>
          <t>Tax PPN 11% (Project TGE MEPI Tomori)</t>
        </is>
      </c>
      <c r="E697" s="227" t="n"/>
      <c r="F697" s="250" t="n">
        <v>16500000</v>
      </c>
      <c r="G697" s="15" t="inlineStr">
        <is>
          <t>IDR</t>
        </is>
      </c>
      <c r="H697" s="251" t="n">
        <v>1</v>
      </c>
      <c r="I697" s="251" t="n">
        <v>16500000</v>
      </c>
      <c r="J697" s="252" t="n">
        <v>16500000</v>
      </c>
      <c r="K697" s="249" t="n"/>
      <c r="L697" s="252" t="n"/>
      <c r="M697" s="253" t="n"/>
      <c r="N697" s="253" t="n"/>
      <c r="O697" s="252" t="n"/>
      <c r="P697" s="18" t="n"/>
      <c r="Q697" s="260" t="n"/>
    </row>
    <row r="698" ht="15.5" customHeight="1">
      <c r="B698" s="249" t="n">
        <v>45351</v>
      </c>
      <c r="C698" s="15" t="n">
        <v>112</v>
      </c>
      <c r="D698" s="170" t="inlineStr">
        <is>
          <t>Tax PPN 11% (Project TGE MEPI Tomori)</t>
        </is>
      </c>
      <c r="E698" s="227" t="n"/>
      <c r="F698" s="250" t="n">
        <v>16500000</v>
      </c>
      <c r="G698" s="15" t="inlineStr">
        <is>
          <t>IDR</t>
        </is>
      </c>
      <c r="H698" s="251" t="n">
        <v>1</v>
      </c>
      <c r="I698" s="251" t="n">
        <v>16500000</v>
      </c>
      <c r="J698" s="252" t="n">
        <v>16500000</v>
      </c>
      <c r="K698" s="249" t="n"/>
      <c r="L698" s="252" t="n"/>
      <c r="M698" s="253" t="n"/>
      <c r="N698" s="253" t="n"/>
      <c r="O698" s="252" t="n"/>
      <c r="P698" s="18" t="n"/>
      <c r="Q698" s="260" t="n"/>
    </row>
    <row r="699" ht="15.5" customHeight="1">
      <c r="B699" s="249" t="n">
        <v>45351</v>
      </c>
      <c r="C699" s="15" t="n">
        <v>113</v>
      </c>
      <c r="D699" s="170" t="inlineStr">
        <is>
          <t>Tax PPN 11% (Project TGE MEPI Tomori)</t>
        </is>
      </c>
      <c r="E699" s="227" t="n"/>
      <c r="F699" s="250" t="n">
        <v>16500000</v>
      </c>
      <c r="G699" s="15" t="inlineStr">
        <is>
          <t>IDR</t>
        </is>
      </c>
      <c r="H699" s="251" t="n">
        <v>1</v>
      </c>
      <c r="I699" s="251" t="n">
        <v>16500000</v>
      </c>
      <c r="J699" s="252" t="n">
        <v>16500000</v>
      </c>
      <c r="K699" s="249" t="n"/>
      <c r="L699" s="252" t="n"/>
      <c r="M699" s="253" t="n"/>
      <c r="N699" s="253" t="n"/>
      <c r="O699" s="252" t="n"/>
      <c r="P699" s="18" t="n"/>
      <c r="Q699" s="260" t="n"/>
    </row>
    <row r="700" ht="15.5" customHeight="1">
      <c r="B700" s="249" t="n">
        <v>45351</v>
      </c>
      <c r="C700" s="15" t="n">
        <v>114</v>
      </c>
      <c r="D700" s="170" t="inlineStr">
        <is>
          <t>Tax PPN 11% (Project TGE MEPI Tomori)</t>
        </is>
      </c>
      <c r="E700" s="227" t="n"/>
      <c r="F700" s="250" t="n">
        <v>16500000</v>
      </c>
      <c r="G700" s="15" t="inlineStr">
        <is>
          <t>IDR</t>
        </is>
      </c>
      <c r="H700" s="251" t="n">
        <v>1</v>
      </c>
      <c r="I700" s="251" t="n">
        <v>16500000</v>
      </c>
      <c r="J700" s="252" t="n">
        <v>16500000</v>
      </c>
      <c r="K700" s="249" t="n"/>
      <c r="L700" s="252" t="n"/>
      <c r="M700" s="253" t="n"/>
      <c r="N700" s="253" t="n"/>
      <c r="O700" s="252" t="n"/>
      <c r="P700" s="18" t="n"/>
      <c r="Q700" s="260" t="n"/>
    </row>
    <row r="701" ht="15.5" customHeight="1">
      <c r="B701" s="249" t="n">
        <v>45351</v>
      </c>
      <c r="C701" s="15" t="n">
        <v>115</v>
      </c>
      <c r="D701" s="170" t="inlineStr">
        <is>
          <t>Tax PPN 11% (Project TGE MEPI Tomori)</t>
        </is>
      </c>
      <c r="E701" s="227" t="n"/>
      <c r="F701" s="250" t="n">
        <v>16500000</v>
      </c>
      <c r="G701" s="15" t="inlineStr">
        <is>
          <t>IDR</t>
        </is>
      </c>
      <c r="H701" s="251" t="n">
        <v>1</v>
      </c>
      <c r="I701" s="251" t="n">
        <v>16500000</v>
      </c>
      <c r="J701" s="252" t="n">
        <v>16500000</v>
      </c>
      <c r="K701" s="249" t="n"/>
      <c r="L701" s="252" t="n"/>
      <c r="M701" s="253" t="n"/>
      <c r="N701" s="253" t="n"/>
      <c r="O701" s="252" t="n"/>
      <c r="P701" s="18" t="n"/>
      <c r="Q701" s="260" t="n"/>
    </row>
    <row r="702" ht="15.5" customHeight="1">
      <c r="B702" s="249" t="n">
        <v>45351</v>
      </c>
      <c r="C702" s="15" t="n">
        <v>116</v>
      </c>
      <c r="D702" s="170" t="inlineStr">
        <is>
          <t>Tax PPN 11% (Project TGE MEPI Tomori)</t>
        </is>
      </c>
      <c r="E702" s="227" t="n"/>
      <c r="F702" s="250" t="n">
        <v>16500000</v>
      </c>
      <c r="G702" s="15" t="inlineStr">
        <is>
          <t>IDR</t>
        </is>
      </c>
      <c r="H702" s="251" t="n">
        <v>1</v>
      </c>
      <c r="I702" s="251" t="n">
        <v>16500000</v>
      </c>
      <c r="J702" s="252" t="n">
        <v>16500000</v>
      </c>
      <c r="K702" s="249" t="n"/>
      <c r="L702" s="252" t="n"/>
      <c r="M702" s="253" t="n"/>
      <c r="N702" s="253" t="n"/>
      <c r="O702" s="252" t="n"/>
      <c r="P702" s="18" t="n"/>
      <c r="Q702" s="260" t="n"/>
    </row>
    <row r="703" ht="15.5" customHeight="1">
      <c r="B703" s="249" t="n">
        <v>45351</v>
      </c>
      <c r="C703" s="15" t="n">
        <v>117</v>
      </c>
      <c r="D703" s="170" t="inlineStr">
        <is>
          <t>Tax PPN 11% (Project TGE MEPI Tomori)</t>
        </is>
      </c>
      <c r="E703" s="227" t="n"/>
      <c r="F703" s="250" t="n">
        <v>16500000</v>
      </c>
      <c r="G703" s="15" t="inlineStr">
        <is>
          <t>IDR</t>
        </is>
      </c>
      <c r="H703" s="251" t="n">
        <v>1</v>
      </c>
      <c r="I703" s="251" t="n">
        <v>16500000</v>
      </c>
      <c r="J703" s="252" t="n">
        <v>16500000</v>
      </c>
      <c r="K703" s="249" t="n"/>
      <c r="L703" s="252" t="n"/>
      <c r="M703" s="253" t="n"/>
      <c r="N703" s="253" t="n"/>
      <c r="O703" s="252" t="n"/>
      <c r="P703" s="18" t="n"/>
      <c r="Q703" s="260" t="n"/>
    </row>
    <row r="704" ht="15.5" customHeight="1">
      <c r="B704" s="249" t="n">
        <v>45351</v>
      </c>
      <c r="C704" s="15" t="n">
        <v>118</v>
      </c>
      <c r="D704" s="170" t="inlineStr">
        <is>
          <t>Tax PPN 11% (Project TGE MEPI Tomori)</t>
        </is>
      </c>
      <c r="E704" s="227" t="n"/>
      <c r="F704" s="250" t="n">
        <v>16500000</v>
      </c>
      <c r="G704" s="15" t="inlineStr">
        <is>
          <t>IDR</t>
        </is>
      </c>
      <c r="H704" s="251" t="n">
        <v>1</v>
      </c>
      <c r="I704" s="251" t="n">
        <v>16500000</v>
      </c>
      <c r="J704" s="252" t="n">
        <v>16500000</v>
      </c>
      <c r="K704" s="249" t="n"/>
      <c r="L704" s="252" t="n"/>
      <c r="M704" s="253" t="n"/>
      <c r="N704" s="253" t="n"/>
      <c r="O704" s="252" t="n"/>
      <c r="P704" s="18" t="n"/>
      <c r="Q704" s="260" t="n"/>
    </row>
    <row r="705" ht="15.5" customHeight="1">
      <c r="B705" s="249" t="n">
        <v>45351</v>
      </c>
      <c r="C705" s="15" t="n">
        <v>119</v>
      </c>
      <c r="D705" s="170" t="inlineStr">
        <is>
          <t>Tax PPN 11% (Project TGE MEPI Tomori)</t>
        </is>
      </c>
      <c r="E705" s="227" t="n"/>
      <c r="F705" s="250" t="n">
        <v>16500000</v>
      </c>
      <c r="G705" s="15" t="inlineStr">
        <is>
          <t>IDR</t>
        </is>
      </c>
      <c r="H705" s="251" t="n">
        <v>1</v>
      </c>
      <c r="I705" s="251" t="n">
        <v>16500000</v>
      </c>
      <c r="J705" s="252" t="n">
        <v>16500000</v>
      </c>
      <c r="K705" s="249" t="n"/>
      <c r="L705" s="252" t="n"/>
      <c r="M705" s="253" t="n"/>
      <c r="N705" s="253" t="n"/>
      <c r="O705" s="252" t="n"/>
      <c r="P705" s="18" t="n"/>
      <c r="Q705" s="260" t="n"/>
    </row>
    <row r="706" ht="15.5" customHeight="1">
      <c r="B706" s="249" t="n">
        <v>45351</v>
      </c>
      <c r="C706" s="15" t="n">
        <v>120</v>
      </c>
      <c r="D706" s="170" t="inlineStr">
        <is>
          <t>Tax PPN 11% (Project TGE MEPI Tomori)</t>
        </is>
      </c>
      <c r="E706" s="227" t="n"/>
      <c r="F706" s="250" t="n">
        <v>16500000</v>
      </c>
      <c r="G706" s="15" t="inlineStr">
        <is>
          <t>IDR</t>
        </is>
      </c>
      <c r="H706" s="251" t="n">
        <v>1</v>
      </c>
      <c r="I706" s="251" t="n">
        <v>16500000</v>
      </c>
      <c r="J706" s="252" t="n">
        <v>16500000</v>
      </c>
      <c r="K706" s="249" t="n"/>
      <c r="L706" s="252" t="n"/>
      <c r="M706" s="253" t="n"/>
      <c r="N706" s="253" t="n"/>
      <c r="O706" s="252" t="n"/>
      <c r="P706" s="18" t="n"/>
      <c r="Q706" s="260" t="n"/>
    </row>
    <row r="707" ht="15.5" customHeight="1">
      <c r="B707" s="249" t="n">
        <v>45351</v>
      </c>
      <c r="C707" s="15" t="n">
        <v>121</v>
      </c>
      <c r="D707" s="170" t="inlineStr">
        <is>
          <t>Tax PPN 11% (Project TGE MEPI Tomori)</t>
        </is>
      </c>
      <c r="E707" s="227" t="n"/>
      <c r="F707" s="250" t="n">
        <v>16500000</v>
      </c>
      <c r="G707" s="15" t="inlineStr">
        <is>
          <t>IDR</t>
        </is>
      </c>
      <c r="H707" s="251" t="n">
        <v>1</v>
      </c>
      <c r="I707" s="251" t="n">
        <v>16500000</v>
      </c>
      <c r="J707" s="252" t="n">
        <v>16500000</v>
      </c>
      <c r="K707" s="249" t="n"/>
      <c r="L707" s="252" t="n"/>
      <c r="M707" s="253" t="n"/>
      <c r="N707" s="253" t="n"/>
      <c r="O707" s="252" t="n"/>
      <c r="P707" s="18" t="n"/>
      <c r="Q707" s="260" t="n"/>
    </row>
    <row r="708" ht="15.5" customHeight="1">
      <c r="B708" s="249" t="n">
        <v>45351</v>
      </c>
      <c r="C708" s="15" t="n">
        <v>122</v>
      </c>
      <c r="D708" s="170" t="inlineStr">
        <is>
          <t>Tax PPN 11% (Project TGE MEPI Tomori)</t>
        </is>
      </c>
      <c r="E708" s="227" t="n"/>
      <c r="F708" s="250" t="n">
        <v>16500000</v>
      </c>
      <c r="G708" s="15" t="inlineStr">
        <is>
          <t>IDR</t>
        </is>
      </c>
      <c r="H708" s="251" t="n">
        <v>1</v>
      </c>
      <c r="I708" s="251" t="n">
        <v>16500000</v>
      </c>
      <c r="J708" s="252" t="n">
        <v>16500000</v>
      </c>
      <c r="K708" s="249" t="n"/>
      <c r="L708" s="252" t="n"/>
      <c r="M708" s="253" t="n"/>
      <c r="N708" s="253" t="n"/>
      <c r="O708" s="252" t="n"/>
      <c r="P708" s="18" t="n"/>
      <c r="Q708" s="260" t="n"/>
    </row>
    <row r="709" ht="15.5" customHeight="1">
      <c r="B709" s="249" t="n">
        <v>45351</v>
      </c>
      <c r="C709" s="15" t="n">
        <v>123</v>
      </c>
      <c r="D709" s="170" t="inlineStr">
        <is>
          <t>Tax PPN 11% (Project TGE MEPI Tomori)</t>
        </is>
      </c>
      <c r="E709" s="227" t="n"/>
      <c r="F709" s="250" t="n">
        <v>16500000</v>
      </c>
      <c r="G709" s="15" t="inlineStr">
        <is>
          <t>IDR</t>
        </is>
      </c>
      <c r="H709" s="251" t="n">
        <v>1</v>
      </c>
      <c r="I709" s="251" t="n">
        <v>16500000</v>
      </c>
      <c r="J709" s="252" t="n">
        <v>16500000</v>
      </c>
      <c r="K709" s="249" t="n"/>
      <c r="L709" s="252" t="n"/>
      <c r="M709" s="253" t="n"/>
      <c r="N709" s="253" t="n"/>
      <c r="O709" s="252" t="n"/>
      <c r="P709" s="18" t="n"/>
      <c r="Q709" s="260" t="n"/>
    </row>
    <row r="710" ht="15.5" customHeight="1">
      <c r="B710" s="249" t="n">
        <v>45546</v>
      </c>
      <c r="C710" s="15" t="n">
        <v>124</v>
      </c>
      <c r="D710" s="170" t="inlineStr">
        <is>
          <t>Pinalty Telat bayar pajak PP21 Sewa tool ALFA 2023</t>
        </is>
      </c>
      <c r="E710" s="227" t="n"/>
      <c r="F710" s="250" t="n">
        <v>25439666</v>
      </c>
      <c r="G710" s="15" t="inlineStr">
        <is>
          <t>IDR</t>
        </is>
      </c>
      <c r="H710" s="251" t="n">
        <v>1</v>
      </c>
      <c r="I710" s="15" t="n"/>
      <c r="J710" s="18" t="n"/>
      <c r="K710" s="252" t="n">
        <v>25439666</v>
      </c>
      <c r="L710" s="252" t="n">
        <v>25439666</v>
      </c>
      <c r="M710" s="253" t="n"/>
      <c r="N710" s="253" t="n"/>
      <c r="O710" s="252" t="n"/>
      <c r="P710" s="18" t="n"/>
      <c r="Q710" s="260" t="n"/>
    </row>
    <row r="711" ht="15.5" customHeight="1">
      <c r="B711" s="249" t="n">
        <v>45546</v>
      </c>
      <c r="C711" s="15" t="n">
        <v>125</v>
      </c>
      <c r="D711" s="170" t="inlineStr">
        <is>
          <t>Tax PPN 11% pajak Inv-007 tahun 2023 sarulla project - Sibat</t>
        </is>
      </c>
      <c r="E711" s="227" t="n"/>
      <c r="F711" s="250" t="n">
        <v>96126126</v>
      </c>
      <c r="G711" s="15" t="inlineStr">
        <is>
          <t>IDR</t>
        </is>
      </c>
      <c r="H711" s="251" t="n">
        <v>1</v>
      </c>
      <c r="I711" s="251" t="n">
        <v>96126126</v>
      </c>
      <c r="J711" s="252" t="n">
        <v>97126126</v>
      </c>
      <c r="K711" s="249" t="n"/>
      <c r="L711" s="252" t="n"/>
      <c r="M711" s="253" t="n"/>
      <c r="N711" s="253" t="n"/>
      <c r="O711" s="252" t="n"/>
      <c r="P711" s="18" t="n"/>
      <c r="Q711" s="260" t="n"/>
    </row>
    <row r="712" ht="15.5" customHeight="1">
      <c r="B712" s="249" t="n">
        <v>45546</v>
      </c>
      <c r="C712" s="15" t="n">
        <v>126</v>
      </c>
      <c r="D712" s="170" t="inlineStr">
        <is>
          <t>Pinalty Telat bayar pajak PP21 Sewa tool ALFA 2023</t>
        </is>
      </c>
      <c r="E712" s="227" t="n"/>
      <c r="F712" s="250" t="n">
        <v>25439666</v>
      </c>
      <c r="G712" s="15" t="inlineStr">
        <is>
          <t>IDR</t>
        </is>
      </c>
      <c r="H712" s="251" t="n">
        <v>1</v>
      </c>
      <c r="I712" s="15" t="n"/>
      <c r="J712" s="18" t="n"/>
      <c r="K712" s="252" t="n">
        <v>25439666</v>
      </c>
      <c r="L712" s="252" t="n">
        <v>25439666</v>
      </c>
      <c r="M712" s="253" t="n"/>
      <c r="N712" s="253" t="n"/>
      <c r="O712" s="252" t="n"/>
      <c r="P712" s="18" t="n"/>
      <c r="Q712" s="260" t="n"/>
    </row>
    <row r="713" ht="15.5" customHeight="1">
      <c r="B713" s="249" t="n">
        <v>45546</v>
      </c>
      <c r="C713" s="15" t="n">
        <v>127</v>
      </c>
      <c r="D713" s="170" t="inlineStr">
        <is>
          <t>Tax PPN 11% pajak Inv-007 tahun 2023 sarulla project - Sibat</t>
        </is>
      </c>
      <c r="E713" s="227" t="n"/>
      <c r="F713" s="250" t="n">
        <v>96126126</v>
      </c>
      <c r="G713" s="15" t="inlineStr">
        <is>
          <t>IDR</t>
        </is>
      </c>
      <c r="H713" s="251" t="n">
        <v>1</v>
      </c>
      <c r="I713" s="251" t="n">
        <v>96126126</v>
      </c>
      <c r="J713" s="252" t="n">
        <v>97126126</v>
      </c>
      <c r="K713" s="249" t="n"/>
      <c r="L713" s="252" t="n"/>
      <c r="M713" s="253" t="n"/>
      <c r="N713" s="253" t="n"/>
      <c r="O713" s="252" t="n"/>
      <c r="P713" s="18" t="n"/>
      <c r="Q713" s="260" t="n"/>
    </row>
    <row r="714" ht="15.5" customHeight="1">
      <c r="B714" s="249" t="n">
        <v>45546</v>
      </c>
      <c r="C714" s="15" t="n">
        <v>128</v>
      </c>
      <c r="D714" s="170" t="inlineStr">
        <is>
          <t>Pinalty Telat bayar pajak PP21 Sewa tool ALFA 2023</t>
        </is>
      </c>
      <c r="E714" s="227" t="n"/>
      <c r="F714" s="250" t="n">
        <v>25439666</v>
      </c>
      <c r="G714" s="15" t="inlineStr">
        <is>
          <t>IDR</t>
        </is>
      </c>
      <c r="H714" s="251" t="n">
        <v>1</v>
      </c>
      <c r="I714" s="15" t="n"/>
      <c r="J714" s="18" t="n"/>
      <c r="K714" s="252" t="n">
        <v>25439666</v>
      </c>
      <c r="L714" s="252" t="n">
        <v>25439666</v>
      </c>
      <c r="M714" s="253" t="n"/>
      <c r="N714" s="253" t="n"/>
      <c r="O714" s="252" t="n"/>
      <c r="P714" s="18" t="n"/>
      <c r="Q714" s="260" t="n"/>
    </row>
    <row r="715" ht="15.5" customHeight="1">
      <c r="B715" s="249" t="n">
        <v>45546</v>
      </c>
      <c r="C715" s="15" t="n">
        <v>129</v>
      </c>
      <c r="D715" s="170" t="inlineStr">
        <is>
          <t>Tax PPN 11% pajak Inv-007 tahun 2023 sarulla project - Sibat</t>
        </is>
      </c>
      <c r="E715" s="227" t="n"/>
      <c r="F715" s="250" t="n">
        <v>96126126</v>
      </c>
      <c r="G715" s="15" t="inlineStr">
        <is>
          <t>IDR</t>
        </is>
      </c>
      <c r="H715" s="251" t="n">
        <v>1</v>
      </c>
      <c r="I715" s="251" t="n">
        <v>96126126</v>
      </c>
      <c r="J715" s="252" t="n">
        <v>97126126</v>
      </c>
      <c r="K715" s="249" t="n"/>
      <c r="L715" s="252" t="n"/>
      <c r="M715" s="253" t="n"/>
      <c r="N715" s="253" t="n"/>
      <c r="O715" s="252" t="n"/>
      <c r="P715" s="18" t="n"/>
      <c r="Q715" s="260" t="n"/>
    </row>
    <row r="716" ht="15.5" customHeight="1">
      <c r="B716" s="249" t="n">
        <v>45546</v>
      </c>
      <c r="C716" s="15" t="n">
        <v>130</v>
      </c>
      <c r="D716" s="170" t="inlineStr">
        <is>
          <t>Pinalty Telat bayar pajak PP21 Sewa tool ALFA 2023</t>
        </is>
      </c>
      <c r="E716" s="227" t="n"/>
      <c r="F716" s="250" t="n">
        <v>25439666</v>
      </c>
      <c r="G716" s="15" t="inlineStr">
        <is>
          <t>IDR</t>
        </is>
      </c>
      <c r="H716" s="251" t="n">
        <v>1</v>
      </c>
      <c r="I716" s="15" t="n"/>
      <c r="J716" s="18" t="n"/>
      <c r="K716" s="252" t="n">
        <v>25439666</v>
      </c>
      <c r="L716" s="252" t="n">
        <v>25439666</v>
      </c>
      <c r="M716" s="253" t="n"/>
      <c r="N716" s="253" t="n"/>
      <c r="O716" s="252" t="n"/>
      <c r="P716" s="18" t="n"/>
      <c r="Q716" s="260" t="n"/>
    </row>
    <row r="717" ht="15.5" customHeight="1">
      <c r="B717" s="249" t="n">
        <v>45546</v>
      </c>
      <c r="C717" s="15" t="n">
        <v>131</v>
      </c>
      <c r="D717" s="170" t="inlineStr">
        <is>
          <t>Tax PPN 11% pajak Inv-007 tahun 2023 sarulla project - Sibat</t>
        </is>
      </c>
      <c r="E717" s="227" t="n"/>
      <c r="F717" s="250" t="n">
        <v>96126126</v>
      </c>
      <c r="G717" s="15" t="inlineStr">
        <is>
          <t>IDR</t>
        </is>
      </c>
      <c r="H717" s="251" t="n">
        <v>1</v>
      </c>
      <c r="I717" s="251" t="n">
        <v>96126126</v>
      </c>
      <c r="J717" s="252" t="n">
        <v>97126126</v>
      </c>
      <c r="K717" s="249" t="n"/>
      <c r="L717" s="252" t="n"/>
      <c r="M717" s="253" t="n"/>
      <c r="N717" s="253" t="n"/>
      <c r="O717" s="252" t="n"/>
      <c r="P717" s="18" t="n"/>
      <c r="Q717" s="260" t="n"/>
    </row>
    <row r="718" ht="15.5" customHeight="1">
      <c r="B718" s="249" t="n">
        <v>45546</v>
      </c>
      <c r="C718" s="15" t="n">
        <v>132</v>
      </c>
      <c r="D718" s="170" t="inlineStr">
        <is>
          <t>Pinalty Telat bayar pajak PP21 Sewa tool ALFA 2023</t>
        </is>
      </c>
      <c r="E718" s="227" t="n"/>
      <c r="F718" s="250" t="n">
        <v>25439666</v>
      </c>
      <c r="G718" s="15" t="inlineStr">
        <is>
          <t>IDR</t>
        </is>
      </c>
      <c r="H718" s="251" t="n">
        <v>1</v>
      </c>
      <c r="I718" s="15" t="n"/>
      <c r="J718" s="18" t="n"/>
      <c r="K718" s="252" t="n">
        <v>25439666</v>
      </c>
      <c r="L718" s="252" t="n">
        <v>25439666</v>
      </c>
      <c r="M718" s="253" t="n"/>
      <c r="N718" s="253" t="n"/>
      <c r="O718" s="252" t="n"/>
      <c r="P718" s="18" t="n"/>
      <c r="Q718" s="260" t="n"/>
    </row>
    <row r="719" ht="15.5" customHeight="1">
      <c r="B719" s="249" t="n">
        <v>45546</v>
      </c>
      <c r="C719" s="15" t="n">
        <v>133</v>
      </c>
      <c r="D719" s="170" t="inlineStr">
        <is>
          <t>Tax PPN 11% pajak Inv-007 tahun 2023 sarulla project - Sibat</t>
        </is>
      </c>
      <c r="E719" s="227" t="n"/>
      <c r="F719" s="250" t="n">
        <v>96126126</v>
      </c>
      <c r="G719" s="15" t="inlineStr">
        <is>
          <t>IDR</t>
        </is>
      </c>
      <c r="H719" s="251" t="n">
        <v>1</v>
      </c>
      <c r="I719" s="251" t="n">
        <v>96126126</v>
      </c>
      <c r="J719" s="252" t="n">
        <v>97126126</v>
      </c>
      <c r="K719" s="249" t="n"/>
      <c r="L719" s="252" t="n"/>
      <c r="M719" s="253" t="n"/>
      <c r="N719" s="253" t="n"/>
      <c r="O719" s="252" t="n"/>
      <c r="P719" s="18" t="n"/>
      <c r="Q719" s="260" t="n"/>
    </row>
    <row r="720" ht="15.5" customHeight="1">
      <c r="B720" s="249" t="n">
        <v>45546</v>
      </c>
      <c r="C720" s="15" t="n">
        <v>134</v>
      </c>
      <c r="D720" s="170" t="inlineStr">
        <is>
          <t>Pinalty Telat bayar pajak PP21 Sewa tool ALFA 2023</t>
        </is>
      </c>
      <c r="E720" s="227" t="n"/>
      <c r="F720" s="250" t="n">
        <v>25439666</v>
      </c>
      <c r="G720" s="15" t="inlineStr">
        <is>
          <t>IDR</t>
        </is>
      </c>
      <c r="H720" s="251" t="n">
        <v>1</v>
      </c>
      <c r="I720" s="15" t="n"/>
      <c r="J720" s="18" t="n"/>
      <c r="K720" s="252" t="n">
        <v>25439666</v>
      </c>
      <c r="L720" s="252" t="n">
        <v>25439666</v>
      </c>
      <c r="M720" s="253" t="n"/>
      <c r="N720" s="253" t="n"/>
      <c r="O720" s="252" t="n"/>
      <c r="P720" s="18" t="n"/>
      <c r="Q720" s="260" t="n"/>
    </row>
    <row r="721" ht="15.5" customHeight="1">
      <c r="B721" s="249" t="n">
        <v>45546</v>
      </c>
      <c r="C721" s="15" t="n">
        <v>135</v>
      </c>
      <c r="D721" s="170" t="inlineStr">
        <is>
          <t>Tax PPN 11% pajak Inv-007 tahun 2023 sarulla project - Sibat</t>
        </is>
      </c>
      <c r="E721" s="227" t="n"/>
      <c r="F721" s="250" t="n">
        <v>96126126</v>
      </c>
      <c r="G721" s="15" t="inlineStr">
        <is>
          <t>IDR</t>
        </is>
      </c>
      <c r="H721" s="251" t="n">
        <v>1</v>
      </c>
      <c r="I721" s="251" t="n">
        <v>96126126</v>
      </c>
      <c r="J721" s="252" t="n">
        <v>97126126</v>
      </c>
      <c r="K721" s="249" t="n"/>
      <c r="L721" s="252" t="n"/>
      <c r="M721" s="253" t="n"/>
      <c r="N721" s="253" t="n"/>
      <c r="O721" s="252" t="n"/>
      <c r="P721" s="18" t="n"/>
      <c r="Q721" s="260" t="n"/>
    </row>
    <row r="722" ht="15.5" customHeight="1">
      <c r="B722" s="249" t="n">
        <v>45546</v>
      </c>
      <c r="C722" s="15" t="n">
        <v>136</v>
      </c>
      <c r="D722" s="170" t="inlineStr">
        <is>
          <t>Pinalty Telat bayar pajak PP21 Sewa tool ALFA 2023</t>
        </is>
      </c>
      <c r="E722" s="227" t="n"/>
      <c r="F722" s="250" t="n">
        <v>25439666</v>
      </c>
      <c r="G722" s="15" t="inlineStr">
        <is>
          <t>IDR</t>
        </is>
      </c>
      <c r="H722" s="251" t="n">
        <v>1</v>
      </c>
      <c r="I722" s="15" t="n"/>
      <c r="J722" s="18" t="n"/>
      <c r="K722" s="252" t="n">
        <v>25439666</v>
      </c>
      <c r="L722" s="252" t="n">
        <v>25439666</v>
      </c>
      <c r="M722" s="253" t="n"/>
      <c r="N722" s="253" t="n"/>
      <c r="O722" s="252" t="n"/>
      <c r="P722" s="18" t="n"/>
      <c r="Q722" s="260" t="n"/>
    </row>
    <row r="723" ht="15.5" customHeight="1">
      <c r="B723" s="249" t="n">
        <v>45546</v>
      </c>
      <c r="C723" s="15" t="n">
        <v>137</v>
      </c>
      <c r="D723" s="170" t="inlineStr">
        <is>
          <t>Tax PPN 11% pajak Inv-007 tahun 2023 sarulla project - Sibat</t>
        </is>
      </c>
      <c r="E723" s="227" t="n"/>
      <c r="F723" s="250" t="n">
        <v>96126126</v>
      </c>
      <c r="G723" s="15" t="inlineStr">
        <is>
          <t>IDR</t>
        </is>
      </c>
      <c r="H723" s="251" t="n">
        <v>1</v>
      </c>
      <c r="I723" s="251" t="n">
        <v>96126126</v>
      </c>
      <c r="J723" s="252" t="n">
        <v>97126126</v>
      </c>
      <c r="K723" s="249" t="n"/>
      <c r="L723" s="252" t="n"/>
      <c r="M723" s="253" t="n"/>
      <c r="N723" s="253" t="n"/>
      <c r="O723" s="252" t="n"/>
      <c r="P723" s="18" t="n"/>
      <c r="Q723" s="260" t="n"/>
    </row>
    <row r="724" ht="15.5" customHeight="1">
      <c r="B724" s="249" t="n">
        <v>45546</v>
      </c>
      <c r="C724" s="15" t="n">
        <v>138</v>
      </c>
      <c r="D724" s="170" t="inlineStr">
        <is>
          <t>Pinalty Telat bayar pajak PP21 Sewa tool ALFA 2023</t>
        </is>
      </c>
      <c r="E724" s="227" t="n"/>
      <c r="F724" s="250" t="n">
        <v>25439666</v>
      </c>
      <c r="G724" s="15" t="inlineStr">
        <is>
          <t>IDR</t>
        </is>
      </c>
      <c r="H724" s="251" t="n">
        <v>1</v>
      </c>
      <c r="I724" s="15" t="n"/>
      <c r="J724" s="18" t="n"/>
      <c r="K724" s="252" t="n">
        <v>25439666</v>
      </c>
      <c r="L724" s="252" t="n">
        <v>25439666</v>
      </c>
      <c r="M724" s="253" t="n"/>
      <c r="N724" s="253" t="n"/>
      <c r="O724" s="252" t="n"/>
      <c r="P724" s="18" t="n"/>
      <c r="Q724" s="260" t="n"/>
    </row>
    <row r="725" ht="15.5" customHeight="1">
      <c r="B725" s="249" t="n">
        <v>45546</v>
      </c>
      <c r="C725" s="15" t="n">
        <v>139</v>
      </c>
      <c r="D725" s="170" t="inlineStr">
        <is>
          <t>Tax PPN 11% pajak Inv-007 tahun 2023 sarulla project - Sibat</t>
        </is>
      </c>
      <c r="E725" s="227" t="n"/>
      <c r="F725" s="250" t="n">
        <v>96126126</v>
      </c>
      <c r="G725" s="15" t="inlineStr">
        <is>
          <t>IDR</t>
        </is>
      </c>
      <c r="H725" s="251" t="n">
        <v>1</v>
      </c>
      <c r="I725" s="251" t="n">
        <v>96126126</v>
      </c>
      <c r="J725" s="252" t="n">
        <v>97126126</v>
      </c>
      <c r="K725" s="249" t="n"/>
      <c r="L725" s="252" t="n"/>
      <c r="M725" s="253" t="n"/>
      <c r="N725" s="253" t="n"/>
      <c r="O725" s="252" t="n"/>
      <c r="P725" s="18" t="n"/>
      <c r="Q725" s="260" t="n"/>
    </row>
    <row r="726" ht="15.5" customHeight="1">
      <c r="B726" s="249" t="n">
        <v>45546</v>
      </c>
      <c r="C726" s="15" t="n">
        <v>140</v>
      </c>
      <c r="D726" s="170" t="inlineStr">
        <is>
          <t>Pinalty Telat bayar pajak PP21 Sewa tool ALFA 2023</t>
        </is>
      </c>
      <c r="E726" s="227" t="n"/>
      <c r="F726" s="250" t="n">
        <v>25439666</v>
      </c>
      <c r="G726" s="15" t="inlineStr">
        <is>
          <t>IDR</t>
        </is>
      </c>
      <c r="H726" s="251" t="n">
        <v>1</v>
      </c>
      <c r="I726" s="15" t="n"/>
      <c r="J726" s="18" t="n"/>
      <c r="K726" s="252" t="n">
        <v>25439666</v>
      </c>
      <c r="L726" s="252" t="n">
        <v>25439666</v>
      </c>
      <c r="M726" s="253" t="n"/>
      <c r="N726" s="253" t="n"/>
      <c r="O726" s="252" t="n"/>
      <c r="P726" s="18" t="n"/>
      <c r="Q726" s="260" t="n"/>
    </row>
    <row r="727" ht="15.5" customHeight="1">
      <c r="B727" s="249" t="n">
        <v>45546</v>
      </c>
      <c r="C727" s="15" t="n">
        <v>141</v>
      </c>
      <c r="D727" s="170" t="inlineStr">
        <is>
          <t>Tax PPN 11% pajak Inv-007 tahun 2023 sarulla project - Sibat</t>
        </is>
      </c>
      <c r="E727" s="227" t="n"/>
      <c r="F727" s="250" t="n">
        <v>96126126</v>
      </c>
      <c r="G727" s="15" t="inlineStr">
        <is>
          <t>IDR</t>
        </is>
      </c>
      <c r="H727" s="251" t="n">
        <v>1</v>
      </c>
      <c r="I727" s="251" t="n">
        <v>96126126</v>
      </c>
      <c r="J727" s="252" t="n">
        <v>97126126</v>
      </c>
      <c r="K727" s="249" t="n"/>
      <c r="L727" s="252" t="n"/>
      <c r="M727" s="253" t="n"/>
      <c r="N727" s="253" t="n"/>
      <c r="O727" s="252" t="n"/>
      <c r="P727" s="18" t="n"/>
      <c r="Q727" s="260" t="n"/>
    </row>
    <row r="728" ht="15.5" customHeight="1">
      <c r="B728" s="249" t="n">
        <v>45546</v>
      </c>
      <c r="C728" s="15" t="n">
        <v>142</v>
      </c>
      <c r="D728" s="170" t="inlineStr">
        <is>
          <t>Pinalty Telat bayar pajak PP21 Sewa tool ALFA 2023</t>
        </is>
      </c>
      <c r="E728" s="227" t="n"/>
      <c r="F728" s="250" t="n">
        <v>25439666</v>
      </c>
      <c r="G728" s="15" t="inlineStr">
        <is>
          <t>IDR</t>
        </is>
      </c>
      <c r="H728" s="251" t="n">
        <v>1</v>
      </c>
      <c r="I728" s="15" t="n"/>
      <c r="J728" s="18" t="n"/>
      <c r="K728" s="252" t="n">
        <v>25439666</v>
      </c>
      <c r="L728" s="252" t="n">
        <v>25439666</v>
      </c>
      <c r="M728" s="253" t="n"/>
      <c r="N728" s="253" t="n"/>
      <c r="O728" s="252" t="n"/>
      <c r="P728" s="18" t="n"/>
      <c r="Q728" s="260" t="n"/>
    </row>
    <row r="729" ht="15.5" customHeight="1">
      <c r="B729" s="249" t="n">
        <v>45546</v>
      </c>
      <c r="C729" s="15" t="n">
        <v>143</v>
      </c>
      <c r="D729" s="170" t="inlineStr">
        <is>
          <t>Tax PPN 11% pajak Inv-007 tahun 2023 sarulla project - Sibat</t>
        </is>
      </c>
      <c r="E729" s="227" t="n"/>
      <c r="F729" s="250" t="n">
        <v>96126126</v>
      </c>
      <c r="G729" s="15" t="inlineStr">
        <is>
          <t>IDR</t>
        </is>
      </c>
      <c r="H729" s="251" t="n">
        <v>1</v>
      </c>
      <c r="I729" s="251" t="n">
        <v>96126126</v>
      </c>
      <c r="J729" s="252" t="n">
        <v>97126126</v>
      </c>
      <c r="K729" s="249" t="n"/>
      <c r="L729" s="252" t="n"/>
      <c r="M729" s="253" t="n"/>
      <c r="N729" s="253" t="n"/>
      <c r="O729" s="252" t="n"/>
      <c r="P729" s="18" t="n"/>
      <c r="Q729" s="260" t="n"/>
    </row>
    <row r="730" ht="15.5" customHeight="1">
      <c r="B730" s="249" t="n">
        <v>45546</v>
      </c>
      <c r="C730" s="15" t="n">
        <v>144</v>
      </c>
      <c r="D730" s="170" t="inlineStr">
        <is>
          <t>Pinalty Telat bayar pajak PP21 Sewa tool ALFA 2023</t>
        </is>
      </c>
      <c r="E730" s="227" t="n"/>
      <c r="F730" s="250" t="n">
        <v>25439666</v>
      </c>
      <c r="G730" s="15" t="inlineStr">
        <is>
          <t>IDR</t>
        </is>
      </c>
      <c r="H730" s="251" t="n">
        <v>1</v>
      </c>
      <c r="I730" s="15" t="n"/>
      <c r="J730" s="18" t="n"/>
      <c r="K730" s="252" t="n">
        <v>25439666</v>
      </c>
      <c r="L730" s="252" t="n">
        <v>25439666</v>
      </c>
      <c r="M730" s="253" t="n"/>
      <c r="N730" s="253" t="n"/>
      <c r="O730" s="252" t="n"/>
      <c r="P730" s="18" t="n"/>
      <c r="Q730" s="260" t="n"/>
    </row>
    <row r="731" ht="15.5" customHeight="1">
      <c r="B731" s="249" t="n">
        <v>45546</v>
      </c>
      <c r="C731" s="15" t="n">
        <v>145</v>
      </c>
      <c r="D731" s="170" t="inlineStr">
        <is>
          <t>Tax PPN 11% pajak Inv-007 tahun 2023 sarulla project - Sibat</t>
        </is>
      </c>
      <c r="E731" s="227" t="n"/>
      <c r="F731" s="250" t="n">
        <v>96126126</v>
      </c>
      <c r="G731" s="15" t="inlineStr">
        <is>
          <t>IDR</t>
        </is>
      </c>
      <c r="H731" s="251" t="n">
        <v>1</v>
      </c>
      <c r="I731" s="251" t="n">
        <v>96126126</v>
      </c>
      <c r="J731" s="252" t="n">
        <v>97126126</v>
      </c>
      <c r="K731" s="249" t="n"/>
      <c r="L731" s="252" t="n"/>
      <c r="M731" s="253" t="n"/>
      <c r="N731" s="253" t="n"/>
      <c r="O731" s="252" t="n"/>
      <c r="P731" s="18" t="n"/>
      <c r="Q731" s="260" t="n"/>
    </row>
    <row r="732" ht="15.5" customHeight="1">
      <c r="B732" s="249" t="n">
        <v>45546</v>
      </c>
      <c r="C732" s="15" t="n">
        <v>146</v>
      </c>
      <c r="D732" s="170" t="inlineStr">
        <is>
          <t>Pinalty Telat bayar pajak PP21 Sewa tool ALFA 2023</t>
        </is>
      </c>
      <c r="E732" s="227" t="n"/>
      <c r="F732" s="250" t="n">
        <v>25439666</v>
      </c>
      <c r="G732" s="15" t="inlineStr">
        <is>
          <t>IDR</t>
        </is>
      </c>
      <c r="H732" s="251" t="n">
        <v>1</v>
      </c>
      <c r="I732" s="15" t="n"/>
      <c r="J732" s="18" t="n"/>
      <c r="K732" s="252" t="n">
        <v>25439666</v>
      </c>
      <c r="L732" s="252" t="n">
        <v>25439666</v>
      </c>
      <c r="M732" s="253" t="n"/>
      <c r="N732" s="253" t="n"/>
      <c r="O732" s="252" t="n"/>
      <c r="P732" s="18" t="n"/>
      <c r="Q732" s="260" t="n"/>
    </row>
    <row r="733" ht="15.5" customHeight="1">
      <c r="B733" s="249" t="n">
        <v>45546</v>
      </c>
      <c r="C733" s="15" t="n">
        <v>147</v>
      </c>
      <c r="D733" s="170" t="inlineStr">
        <is>
          <t>Tax PPN 11% pajak Inv-007 tahun 2023 sarulla project - Sibat</t>
        </is>
      </c>
      <c r="E733" s="227" t="n"/>
      <c r="F733" s="250" t="n">
        <v>96126126</v>
      </c>
      <c r="G733" s="15" t="inlineStr">
        <is>
          <t>IDR</t>
        </is>
      </c>
      <c r="H733" s="251" t="n">
        <v>1</v>
      </c>
      <c r="I733" s="251" t="n">
        <v>96126126</v>
      </c>
      <c r="J733" s="252" t="n">
        <v>97126126</v>
      </c>
      <c r="K733" s="249" t="n"/>
      <c r="L733" s="252" t="n"/>
      <c r="M733" s="253" t="n"/>
      <c r="N733" s="253" t="n"/>
      <c r="O733" s="252" t="n"/>
      <c r="P733" s="18" t="n"/>
      <c r="Q733" s="260" t="n"/>
    </row>
    <row r="734" ht="15.5" customHeight="1">
      <c r="B734" s="249" t="n">
        <v>45546</v>
      </c>
      <c r="C734" s="15" t="n">
        <v>148</v>
      </c>
      <c r="D734" s="170" t="inlineStr">
        <is>
          <t>Pinalty Telat bayar pajak PP21 Sewa tool ALFA 2023</t>
        </is>
      </c>
      <c r="E734" s="227" t="n"/>
      <c r="F734" s="250" t="n">
        <v>25439666</v>
      </c>
      <c r="G734" s="15" t="inlineStr">
        <is>
          <t>IDR</t>
        </is>
      </c>
      <c r="H734" s="251" t="n">
        <v>1</v>
      </c>
      <c r="I734" s="15" t="n"/>
      <c r="J734" s="18" t="n"/>
      <c r="K734" s="252" t="n">
        <v>25439666</v>
      </c>
      <c r="L734" s="252" t="n">
        <v>25439666</v>
      </c>
      <c r="M734" s="253" t="n"/>
      <c r="N734" s="253" t="n"/>
      <c r="O734" s="252" t="n"/>
      <c r="P734" s="18" t="n"/>
      <c r="Q734" s="260" t="n"/>
    </row>
    <row r="735" ht="15.5" customHeight="1">
      <c r="B735" s="249" t="n">
        <v>45546</v>
      </c>
      <c r="C735" s="15" t="n">
        <v>149</v>
      </c>
      <c r="D735" s="170" t="inlineStr">
        <is>
          <t>Tax PPN 11% pajak Inv-007 tahun 2023 sarulla project - Sibat</t>
        </is>
      </c>
      <c r="E735" s="227" t="n"/>
      <c r="F735" s="250" t="n">
        <v>96126126</v>
      </c>
      <c r="G735" s="15" t="inlineStr">
        <is>
          <t>IDR</t>
        </is>
      </c>
      <c r="H735" s="251" t="n">
        <v>1</v>
      </c>
      <c r="I735" s="251" t="n">
        <v>96126126</v>
      </c>
      <c r="J735" s="252" t="n">
        <v>97126126</v>
      </c>
      <c r="K735" s="249" t="n"/>
      <c r="L735" s="252" t="n"/>
      <c r="M735" s="253" t="n"/>
      <c r="N735" s="253" t="n"/>
      <c r="O735" s="252" t="n"/>
      <c r="P735" s="18" t="n"/>
      <c r="Q735" s="260" t="n"/>
    </row>
    <row r="736" ht="15.5" customHeight="1">
      <c r="B736" s="249" t="n">
        <v>45546</v>
      </c>
      <c r="C736" s="15" t="n">
        <v>150</v>
      </c>
      <c r="D736" s="170" t="inlineStr">
        <is>
          <t>Pinalty Telat bayar pajak PP21 Sewa tool ALFA 2023</t>
        </is>
      </c>
      <c r="E736" s="227" t="n"/>
      <c r="F736" s="250" t="n">
        <v>25439666</v>
      </c>
      <c r="G736" s="15" t="inlineStr">
        <is>
          <t>IDR</t>
        </is>
      </c>
      <c r="H736" s="251" t="n">
        <v>1</v>
      </c>
      <c r="I736" s="15" t="n"/>
      <c r="J736" s="18" t="n"/>
      <c r="K736" s="252" t="n">
        <v>25439666</v>
      </c>
      <c r="L736" s="252" t="n">
        <v>25439666</v>
      </c>
      <c r="M736" s="253" t="n"/>
      <c r="N736" s="253" t="n"/>
      <c r="O736" s="252" t="n"/>
      <c r="P736" s="18" t="n"/>
      <c r="Q736" s="260" t="n"/>
    </row>
    <row r="737" ht="15.5" customHeight="1">
      <c r="B737" s="249" t="n">
        <v>45546</v>
      </c>
      <c r="C737" s="15" t="n">
        <v>151</v>
      </c>
      <c r="D737" s="170" t="inlineStr">
        <is>
          <t>Tax PPN 11% pajak Inv-007 tahun 2023 sarulla project - Sibat</t>
        </is>
      </c>
      <c r="E737" s="227" t="n"/>
      <c r="F737" s="250" t="n">
        <v>96126126</v>
      </c>
      <c r="G737" s="15" t="inlineStr">
        <is>
          <t>IDR</t>
        </is>
      </c>
      <c r="H737" s="251" t="n">
        <v>1</v>
      </c>
      <c r="I737" s="251" t="n">
        <v>96126126</v>
      </c>
      <c r="J737" s="252" t="n">
        <v>97126126</v>
      </c>
      <c r="K737" s="249" t="n"/>
      <c r="L737" s="252" t="n"/>
      <c r="M737" s="253" t="n"/>
      <c r="N737" s="253" t="n"/>
      <c r="O737" s="252" t="n"/>
      <c r="P737" s="18" t="n"/>
      <c r="Q737" s="260" t="n"/>
    </row>
    <row r="738" ht="15.5" customHeight="1">
      <c r="A738" s="162" t="n"/>
      <c r="B738" s="249" t="n">
        <v>45546</v>
      </c>
      <c r="C738" s="15" t="n">
        <v>152</v>
      </c>
      <c r="D738" s="170" t="inlineStr">
        <is>
          <t>Pinalty Telat bayar pajak PP21 Sewa tool ALFA 2023</t>
        </is>
      </c>
      <c r="E738" s="227" t="n"/>
      <c r="F738" s="250" t="n">
        <v>25439666</v>
      </c>
      <c r="G738" s="15" t="inlineStr">
        <is>
          <t>IDR</t>
        </is>
      </c>
      <c r="H738" s="251" t="n">
        <v>1</v>
      </c>
      <c r="I738" s="15" t="n"/>
      <c r="J738" s="18" t="n"/>
      <c r="K738" s="252" t="n">
        <v>25439666</v>
      </c>
      <c r="L738" s="252" t="n">
        <v>25439666</v>
      </c>
      <c r="M738" s="253" t="n"/>
      <c r="N738" s="253" t="n"/>
      <c r="O738" s="252" t="n"/>
      <c r="P738" s="18" t="n"/>
      <c r="Q738" s="260" t="n"/>
    </row>
    <row r="739" ht="15.5" customHeight="1">
      <c r="B739" s="249" t="n">
        <v>45546</v>
      </c>
      <c r="C739" s="15" t="n">
        <v>153</v>
      </c>
      <c r="D739" s="170" t="inlineStr">
        <is>
          <t>Tax PPN 11% pajak Inv-007 tahun 2023 sarulla project - Sibat</t>
        </is>
      </c>
      <c r="E739" s="227" t="n"/>
      <c r="F739" s="250" t="n">
        <v>96126126</v>
      </c>
      <c r="G739" s="15" t="inlineStr">
        <is>
          <t>IDR</t>
        </is>
      </c>
      <c r="H739" s="251" t="n">
        <v>1</v>
      </c>
      <c r="I739" s="251" t="n">
        <v>96126126</v>
      </c>
      <c r="J739" s="252" t="n">
        <v>97126126</v>
      </c>
      <c r="K739" s="249" t="n"/>
      <c r="L739" s="252" t="n"/>
      <c r="M739" s="253" t="n"/>
      <c r="N739" s="253" t="n"/>
      <c r="O739" s="252" t="n"/>
      <c r="P739" s="18" t="n"/>
      <c r="Q739" s="260" t="n"/>
    </row>
    <row r="740" ht="15.5" customHeight="1">
      <c r="B740" s="249" t="n">
        <v>45546</v>
      </c>
      <c r="C740" s="15" t="n">
        <v>154</v>
      </c>
      <c r="D740" s="170" t="inlineStr">
        <is>
          <t>Pinalty Telat bayar pajak PP21 Sewa tool ALFA 2023</t>
        </is>
      </c>
      <c r="E740" s="227" t="n"/>
      <c r="F740" s="250" t="n">
        <v>25439666</v>
      </c>
      <c r="G740" s="15" t="inlineStr">
        <is>
          <t>IDR</t>
        </is>
      </c>
      <c r="H740" s="251" t="n">
        <v>1</v>
      </c>
      <c r="I740" s="15" t="n"/>
      <c r="J740" s="18" t="n"/>
      <c r="K740" s="252" t="n">
        <v>25439666</v>
      </c>
      <c r="L740" s="252" t="n">
        <v>25439666</v>
      </c>
      <c r="M740" s="253" t="n"/>
      <c r="N740" s="253" t="n"/>
      <c r="O740" s="252" t="n"/>
      <c r="P740" s="18" t="n"/>
      <c r="Q740" s="260" t="n"/>
    </row>
    <row r="741" ht="15.5" customHeight="1">
      <c r="B741" s="249" t="n">
        <v>45546</v>
      </c>
      <c r="C741" s="15" t="n">
        <v>155</v>
      </c>
      <c r="D741" s="170" t="inlineStr">
        <is>
          <t>Tax PPN 11% pajak Inv-007 tahun 2023 sarulla project - Sibat</t>
        </is>
      </c>
      <c r="E741" s="227" t="n"/>
      <c r="F741" s="250" t="n">
        <v>96126126</v>
      </c>
      <c r="G741" s="15" t="inlineStr">
        <is>
          <t>IDR</t>
        </is>
      </c>
      <c r="H741" s="251" t="n">
        <v>1</v>
      </c>
      <c r="I741" s="251" t="n">
        <v>96126126</v>
      </c>
      <c r="J741" s="252" t="n">
        <v>97126126</v>
      </c>
      <c r="K741" s="249" t="n"/>
      <c r="L741" s="252" t="n"/>
      <c r="M741" s="253" t="n"/>
      <c r="N741" s="253" t="n"/>
      <c r="O741" s="252" t="n"/>
      <c r="P741" s="18" t="n"/>
      <c r="Q741" s="260" t="n"/>
    </row>
    <row r="742" ht="15.5" customHeight="1">
      <c r="B742" s="249" t="n">
        <v>45546</v>
      </c>
      <c r="C742" s="15" t="n">
        <v>156</v>
      </c>
      <c r="D742" s="170" t="inlineStr">
        <is>
          <t>Pinalty Telat bayar pajak PP21 Sewa tool ALFA 2023</t>
        </is>
      </c>
      <c r="E742" s="227" t="n"/>
      <c r="F742" s="250" t="n">
        <v>25439666</v>
      </c>
      <c r="G742" s="15" t="inlineStr">
        <is>
          <t>IDR</t>
        </is>
      </c>
      <c r="H742" s="251" t="n">
        <v>1</v>
      </c>
      <c r="I742" s="15" t="n"/>
      <c r="J742" s="18" t="n"/>
      <c r="K742" s="252" t="n">
        <v>25439666</v>
      </c>
      <c r="L742" s="252" t="n">
        <v>25439666</v>
      </c>
      <c r="M742" s="253" t="n"/>
      <c r="N742" s="253" t="n"/>
      <c r="O742" s="252" t="n"/>
      <c r="P742" s="18" t="n"/>
      <c r="Q742" s="260" t="n"/>
    </row>
    <row r="743" ht="15.5" customHeight="1">
      <c r="B743" s="249" t="n">
        <v>45546</v>
      </c>
      <c r="C743" s="15" t="n">
        <v>157</v>
      </c>
      <c r="D743" s="170" t="inlineStr">
        <is>
          <t>Tax PPN 11% pajak Inv-007 tahun 2023 sarulla project - Sibat</t>
        </is>
      </c>
      <c r="E743" s="227" t="n"/>
      <c r="F743" s="250" t="n">
        <v>96126126</v>
      </c>
      <c r="G743" s="15" t="inlineStr">
        <is>
          <t>IDR</t>
        </is>
      </c>
      <c r="H743" s="251" t="n">
        <v>1</v>
      </c>
      <c r="I743" s="251" t="n">
        <v>96126126</v>
      </c>
      <c r="J743" s="252" t="n">
        <v>97126126</v>
      </c>
      <c r="K743" s="249" t="n"/>
      <c r="L743" s="252" t="n"/>
      <c r="M743" s="253" t="n"/>
      <c r="N743" s="253" t="n"/>
      <c r="O743" s="252" t="n"/>
      <c r="P743" s="18" t="n"/>
      <c r="Q743" s="260" t="n"/>
    </row>
    <row r="744" ht="15.5" customHeight="1">
      <c r="B744" s="249" t="n">
        <v>45546</v>
      </c>
      <c r="C744" s="15" t="n">
        <v>158</v>
      </c>
      <c r="D744" s="170" t="inlineStr">
        <is>
          <t>Pinalty Telat bayar pajak PP21 Sewa tool ALFA 2023</t>
        </is>
      </c>
      <c r="E744" s="227" t="n"/>
      <c r="F744" s="250" t="n">
        <v>25439666</v>
      </c>
      <c r="G744" s="15" t="inlineStr">
        <is>
          <t>IDR</t>
        </is>
      </c>
      <c r="H744" s="251" t="n">
        <v>1</v>
      </c>
      <c r="I744" s="15" t="n"/>
      <c r="J744" s="18" t="n"/>
      <c r="K744" s="252" t="n">
        <v>25439666</v>
      </c>
      <c r="L744" s="252" t="n">
        <v>25439666</v>
      </c>
      <c r="M744" s="253" t="n"/>
      <c r="N744" s="253" t="n"/>
      <c r="O744" s="252" t="n"/>
      <c r="P744" s="18" t="n"/>
      <c r="Q744" s="260" t="n"/>
    </row>
    <row r="745" ht="15.5" customHeight="1">
      <c r="B745" s="249" t="n">
        <v>45546</v>
      </c>
      <c r="C745" s="15" t="n">
        <v>159</v>
      </c>
      <c r="D745" s="170" t="inlineStr">
        <is>
          <t>Tax PPN 11% pajak Inv-007 tahun 2023 sarulla project - Sibat</t>
        </is>
      </c>
      <c r="E745" s="227" t="n"/>
      <c r="F745" s="250" t="n">
        <v>96126126</v>
      </c>
      <c r="G745" s="15" t="inlineStr">
        <is>
          <t>IDR</t>
        </is>
      </c>
      <c r="H745" s="251" t="n">
        <v>1</v>
      </c>
      <c r="I745" s="251" t="n">
        <v>96126126</v>
      </c>
      <c r="J745" s="252" t="n">
        <v>97126126</v>
      </c>
      <c r="K745" s="249" t="n"/>
      <c r="L745" s="252" t="n"/>
      <c r="M745" s="253" t="n"/>
      <c r="N745" s="253" t="n"/>
      <c r="O745" s="252" t="n"/>
      <c r="P745" s="18" t="n"/>
      <c r="Q745" s="260" t="n"/>
    </row>
    <row r="746" ht="15.5" customHeight="1">
      <c r="B746" s="249" t="n">
        <v>45546</v>
      </c>
      <c r="C746" s="15" t="n">
        <v>160</v>
      </c>
      <c r="D746" s="170" t="inlineStr">
        <is>
          <t>Pinalty Telat bayar pajak PP21 Sewa tool ALFA 2023</t>
        </is>
      </c>
      <c r="E746" s="227" t="n"/>
      <c r="F746" s="250" t="n">
        <v>25439666</v>
      </c>
      <c r="G746" s="15" t="inlineStr">
        <is>
          <t>IDR</t>
        </is>
      </c>
      <c r="H746" s="251" t="n">
        <v>1</v>
      </c>
      <c r="I746" s="15" t="n"/>
      <c r="J746" s="18" t="n"/>
      <c r="K746" s="252" t="n">
        <v>25439666</v>
      </c>
      <c r="L746" s="252" t="n">
        <v>25439666</v>
      </c>
      <c r="M746" s="253" t="n"/>
      <c r="N746" s="253" t="n"/>
      <c r="O746" s="252" t="n"/>
      <c r="P746" s="18" t="n"/>
      <c r="Q746" s="260" t="n"/>
    </row>
    <row r="747" ht="15.5" customHeight="1">
      <c r="B747" s="249" t="n">
        <v>45546</v>
      </c>
      <c r="C747" s="15" t="n">
        <v>161</v>
      </c>
      <c r="D747" s="170" t="inlineStr">
        <is>
          <t>Tax PPN 11% pajak Inv-007 tahun 2023 sarulla project - Sibat</t>
        </is>
      </c>
      <c r="E747" s="227" t="n"/>
      <c r="F747" s="250" t="n">
        <v>96126126</v>
      </c>
      <c r="G747" s="15" t="inlineStr">
        <is>
          <t>IDR</t>
        </is>
      </c>
      <c r="H747" s="251" t="n">
        <v>1</v>
      </c>
      <c r="I747" s="251" t="n">
        <v>96126126</v>
      </c>
      <c r="J747" s="252" t="n">
        <v>97126126</v>
      </c>
      <c r="K747" s="249" t="n"/>
      <c r="L747" s="252" t="n"/>
      <c r="M747" s="253" t="n"/>
      <c r="N747" s="253" t="n"/>
      <c r="O747" s="252" t="n"/>
      <c r="P747" s="18" t="n"/>
      <c r="Q747" s="260" t="n"/>
    </row>
    <row r="748" ht="15.5" customHeight="1">
      <c r="B748" s="249" t="n">
        <v>45546</v>
      </c>
      <c r="C748" s="15" t="n">
        <v>162</v>
      </c>
      <c r="D748" s="170" t="inlineStr">
        <is>
          <t>Pinalty Telat bayar pajak PP21 Sewa tool ALFA 2023</t>
        </is>
      </c>
      <c r="E748" s="227" t="n"/>
      <c r="F748" s="250" t="n">
        <v>25439666</v>
      </c>
      <c r="G748" s="15" t="inlineStr">
        <is>
          <t>IDR</t>
        </is>
      </c>
      <c r="H748" s="251" t="n">
        <v>1</v>
      </c>
      <c r="I748" s="15" t="n"/>
      <c r="J748" s="18" t="n"/>
      <c r="K748" s="252" t="n">
        <v>25439666</v>
      </c>
      <c r="L748" s="252" t="n">
        <v>25439666</v>
      </c>
      <c r="M748" s="253" t="n"/>
      <c r="N748" s="253" t="n"/>
      <c r="O748" s="252" t="n"/>
      <c r="P748" s="18" t="n"/>
      <c r="Q748" s="260" t="n"/>
    </row>
    <row r="749" ht="15.5" customHeight="1">
      <c r="B749" s="249" t="n">
        <v>45546</v>
      </c>
      <c r="C749" s="15" t="n">
        <v>163</v>
      </c>
      <c r="D749" s="170" t="inlineStr">
        <is>
          <t>Tax PPN 11% pajak Inv-007 tahun 2023 sarulla project - Sibat</t>
        </is>
      </c>
      <c r="E749" s="227" t="n"/>
      <c r="F749" s="250" t="n">
        <v>96126126</v>
      </c>
      <c r="G749" s="15" t="inlineStr">
        <is>
          <t>IDR</t>
        </is>
      </c>
      <c r="H749" s="251" t="n">
        <v>1</v>
      </c>
      <c r="I749" s="251" t="n">
        <v>96126126</v>
      </c>
      <c r="J749" s="252" t="n">
        <v>97126126</v>
      </c>
      <c r="K749" s="249" t="n"/>
      <c r="L749" s="252" t="n"/>
      <c r="M749" s="253" t="n"/>
      <c r="N749" s="253" t="n"/>
      <c r="O749" s="252" t="n"/>
      <c r="P749" s="18" t="n"/>
      <c r="Q749" s="260" t="n"/>
    </row>
    <row r="750" ht="15.5" customHeight="1">
      <c r="B750" s="249" t="n">
        <v>45546</v>
      </c>
      <c r="C750" s="15" t="n">
        <v>164</v>
      </c>
      <c r="D750" s="170" t="inlineStr">
        <is>
          <t>Pinalty Telat bayar pajak PP21 Sewa tool ALFA 2023</t>
        </is>
      </c>
      <c r="E750" s="227" t="n"/>
      <c r="F750" s="250" t="n">
        <v>25439666</v>
      </c>
      <c r="G750" s="15" t="inlineStr">
        <is>
          <t>IDR</t>
        </is>
      </c>
      <c r="H750" s="251" t="n">
        <v>1</v>
      </c>
      <c r="I750" s="15" t="n"/>
      <c r="J750" s="18" t="n"/>
      <c r="K750" s="252" t="n">
        <v>25439666</v>
      </c>
      <c r="L750" s="252" t="n">
        <v>25439666</v>
      </c>
      <c r="M750" s="253" t="n"/>
      <c r="N750" s="253" t="n"/>
      <c r="O750" s="252" t="n"/>
      <c r="P750" s="18" t="n"/>
      <c r="Q750" s="260" t="n"/>
    </row>
    <row r="751" ht="15.5" customHeight="1">
      <c r="B751" s="249" t="n">
        <v>45546</v>
      </c>
      <c r="C751" s="15" t="n">
        <v>165</v>
      </c>
      <c r="D751" s="170" t="inlineStr">
        <is>
          <t>Tax PPN 11% pajak Inv-007 tahun 2023 sarulla project - Sibat</t>
        </is>
      </c>
      <c r="E751" s="227" t="n"/>
      <c r="F751" s="250" t="n">
        <v>96126126</v>
      </c>
      <c r="G751" s="15" t="inlineStr">
        <is>
          <t>IDR</t>
        </is>
      </c>
      <c r="H751" s="251" t="n">
        <v>1</v>
      </c>
      <c r="I751" s="251" t="n">
        <v>96126126</v>
      </c>
      <c r="J751" s="252" t="n">
        <v>97126126</v>
      </c>
      <c r="K751" s="249" t="n"/>
      <c r="L751" s="252" t="n"/>
      <c r="M751" s="253" t="n"/>
      <c r="N751" s="253" t="n"/>
      <c r="O751" s="252" t="n"/>
      <c r="P751" s="18" t="n"/>
      <c r="Q751" s="260" t="n"/>
    </row>
    <row r="752" ht="15.5" customHeight="1">
      <c r="B752" s="249" t="n">
        <v>45546</v>
      </c>
      <c r="C752" s="15" t="n">
        <v>166</v>
      </c>
      <c r="D752" s="170" t="inlineStr">
        <is>
          <t>Pinalty Telat bayar pajak PP21 Sewa tool ALFA 2023</t>
        </is>
      </c>
      <c r="E752" s="227" t="n"/>
      <c r="F752" s="250" t="n">
        <v>25439666</v>
      </c>
      <c r="G752" s="15" t="inlineStr">
        <is>
          <t>IDR</t>
        </is>
      </c>
      <c r="H752" s="251" t="n">
        <v>1</v>
      </c>
      <c r="I752" s="15" t="n"/>
      <c r="J752" s="18" t="n"/>
      <c r="K752" s="252" t="n">
        <v>25439666</v>
      </c>
      <c r="L752" s="252" t="n">
        <v>25439666</v>
      </c>
      <c r="M752" s="253" t="n"/>
      <c r="N752" s="253" t="n"/>
      <c r="O752" s="252" t="n"/>
      <c r="P752" s="18" t="n"/>
      <c r="Q752" s="260" t="n"/>
    </row>
    <row r="753" ht="15.5" customHeight="1">
      <c r="B753" s="249" t="n">
        <v>45546</v>
      </c>
      <c r="C753" s="15" t="n">
        <v>167</v>
      </c>
      <c r="D753" s="170" t="inlineStr">
        <is>
          <t>Tax PPN 11% pajak Inv-007 tahun 2023 sarulla project - Sibat</t>
        </is>
      </c>
      <c r="E753" s="227" t="n"/>
      <c r="F753" s="250" t="n">
        <v>96126126</v>
      </c>
      <c r="G753" s="15" t="inlineStr">
        <is>
          <t>IDR</t>
        </is>
      </c>
      <c r="H753" s="251" t="n">
        <v>1</v>
      </c>
      <c r="I753" s="251" t="n">
        <v>96126126</v>
      </c>
      <c r="J753" s="252" t="n">
        <v>97126126</v>
      </c>
      <c r="K753" s="249" t="n"/>
      <c r="L753" s="252" t="n"/>
      <c r="M753" s="253" t="n"/>
      <c r="N753" s="253" t="n"/>
      <c r="O753" s="252" t="n"/>
      <c r="P753" s="18" t="n"/>
      <c r="Q753" s="260" t="n"/>
    </row>
    <row r="754" ht="15.5" customHeight="1">
      <c r="B754" s="249" t="n">
        <v>45546</v>
      </c>
      <c r="C754" s="15" t="n">
        <v>168</v>
      </c>
      <c r="D754" s="170" t="inlineStr">
        <is>
          <t>Pinalty Telat bayar pajak PP21 Sewa tool ALFA 2023</t>
        </is>
      </c>
      <c r="E754" s="227" t="n"/>
      <c r="F754" s="250" t="n">
        <v>25439666</v>
      </c>
      <c r="G754" s="15" t="inlineStr">
        <is>
          <t>IDR</t>
        </is>
      </c>
      <c r="H754" s="251" t="n">
        <v>1</v>
      </c>
      <c r="I754" s="15" t="n"/>
      <c r="J754" s="18" t="n"/>
      <c r="K754" s="252" t="n">
        <v>25439666</v>
      </c>
      <c r="L754" s="252" t="n">
        <v>25439666</v>
      </c>
      <c r="M754" s="253" t="n"/>
      <c r="N754" s="253" t="n"/>
      <c r="O754" s="252" t="n"/>
      <c r="P754" s="18" t="n"/>
      <c r="Q754" s="260" t="n"/>
    </row>
    <row r="755" ht="15.5" customHeight="1">
      <c r="B755" s="249" t="n">
        <v>45546</v>
      </c>
      <c r="C755" s="15" t="n">
        <v>169</v>
      </c>
      <c r="D755" s="170" t="inlineStr">
        <is>
          <t>Tax PPN 11% pajak Inv-007 tahun 2023 sarulla project - Sibat</t>
        </is>
      </c>
      <c r="E755" s="227" t="n"/>
      <c r="F755" s="250" t="n">
        <v>96126126</v>
      </c>
      <c r="G755" s="15" t="inlineStr">
        <is>
          <t>IDR</t>
        </is>
      </c>
      <c r="H755" s="251" t="n">
        <v>1</v>
      </c>
      <c r="I755" s="251" t="n">
        <v>96126126</v>
      </c>
      <c r="J755" s="252" t="n">
        <v>97126126</v>
      </c>
      <c r="K755" s="249" t="n"/>
      <c r="L755" s="252" t="n"/>
      <c r="M755" s="253" t="n"/>
      <c r="N755" s="253" t="n"/>
      <c r="O755" s="252" t="n"/>
      <c r="P755" s="18" t="n"/>
      <c r="Q755" s="260" t="n"/>
    </row>
    <row r="756" ht="15.5" customHeight="1">
      <c r="B756" s="249" t="n">
        <v>45546</v>
      </c>
      <c r="C756" s="15" t="n">
        <v>170</v>
      </c>
      <c r="D756" s="170" t="inlineStr">
        <is>
          <t>Pinalty Telat bayar pajak PP21 Sewa tool ALFA 2023</t>
        </is>
      </c>
      <c r="E756" s="227" t="n"/>
      <c r="F756" s="250" t="n">
        <v>25439666</v>
      </c>
      <c r="G756" s="15" t="inlineStr">
        <is>
          <t>IDR</t>
        </is>
      </c>
      <c r="H756" s="251" t="n">
        <v>1</v>
      </c>
      <c r="I756" s="15" t="n"/>
      <c r="J756" s="18" t="n"/>
      <c r="K756" s="252" t="n">
        <v>25439666</v>
      </c>
      <c r="L756" s="252" t="n">
        <v>25439666</v>
      </c>
      <c r="M756" s="253" t="n"/>
      <c r="N756" s="253" t="n"/>
      <c r="O756" s="252" t="n"/>
      <c r="P756" s="18" t="n"/>
      <c r="Q756" s="260" t="n"/>
    </row>
    <row r="757" ht="15.5" customHeight="1">
      <c r="B757" s="249" t="n">
        <v>45546</v>
      </c>
      <c r="C757" s="15" t="n">
        <v>171</v>
      </c>
      <c r="D757" s="170" t="inlineStr">
        <is>
          <t>Tax PPN 11% pajak Inv-007 tahun 2023 sarulla project - Sibat</t>
        </is>
      </c>
      <c r="E757" s="227" t="n"/>
      <c r="F757" s="250" t="n">
        <v>96126126</v>
      </c>
      <c r="G757" s="15" t="inlineStr">
        <is>
          <t>IDR</t>
        </is>
      </c>
      <c r="H757" s="251" t="n">
        <v>1</v>
      </c>
      <c r="I757" s="251" t="n">
        <v>96126126</v>
      </c>
      <c r="J757" s="252" t="n">
        <v>97126126</v>
      </c>
      <c r="K757" s="249" t="n"/>
      <c r="L757" s="252" t="n"/>
      <c r="M757" s="253" t="n"/>
      <c r="N757" s="253" t="n"/>
      <c r="O757" s="252" t="n"/>
      <c r="P757" s="18" t="n"/>
      <c r="Q757" s="260" t="n"/>
    </row>
    <row r="758" ht="15.5" customHeight="1">
      <c r="B758" s="249" t="n">
        <v>45546</v>
      </c>
      <c r="C758" s="15" t="n">
        <v>172</v>
      </c>
      <c r="D758" s="170" t="inlineStr">
        <is>
          <t>Pinalty Telat bayar pajak PP21 Sewa tool ALFA 2023</t>
        </is>
      </c>
      <c r="E758" s="227" t="n"/>
      <c r="F758" s="250" t="n">
        <v>25439666</v>
      </c>
      <c r="G758" s="15" t="inlineStr">
        <is>
          <t>IDR</t>
        </is>
      </c>
      <c r="H758" s="251" t="n">
        <v>1</v>
      </c>
      <c r="I758" s="15" t="n"/>
      <c r="J758" s="18" t="n"/>
      <c r="K758" s="252" t="n">
        <v>25439666</v>
      </c>
      <c r="L758" s="252" t="n">
        <v>25439666</v>
      </c>
      <c r="M758" s="253" t="n"/>
      <c r="N758" s="253" t="n"/>
      <c r="O758" s="252" t="n"/>
      <c r="P758" s="18" t="n"/>
      <c r="Q758" s="260" t="n"/>
    </row>
    <row r="759" ht="15.5" customHeight="1">
      <c r="B759" s="249" t="n">
        <v>45546</v>
      </c>
      <c r="C759" s="15" t="n">
        <v>173</v>
      </c>
      <c r="D759" s="170" t="inlineStr">
        <is>
          <t>Tax PPN 11% pajak Inv-007 tahun 2023 sarulla project - Sibat</t>
        </is>
      </c>
      <c r="E759" s="227" t="n"/>
      <c r="F759" s="250" t="n">
        <v>96126126</v>
      </c>
      <c r="G759" s="15" t="inlineStr">
        <is>
          <t>IDR</t>
        </is>
      </c>
      <c r="H759" s="251" t="n">
        <v>1</v>
      </c>
      <c r="I759" s="251" t="n">
        <v>96126126</v>
      </c>
      <c r="J759" s="252" t="n">
        <v>97126126</v>
      </c>
      <c r="K759" s="249" t="n"/>
      <c r="L759" s="252" t="n"/>
      <c r="M759" s="253" t="n"/>
      <c r="N759" s="253" t="n"/>
      <c r="O759" s="252" t="n"/>
      <c r="P759" s="18" t="n"/>
      <c r="Q759" s="260" t="n"/>
    </row>
    <row r="760" ht="15.5" customHeight="1">
      <c r="B760" s="249" t="n">
        <v>45546</v>
      </c>
      <c r="C760" s="15" t="n">
        <v>174</v>
      </c>
      <c r="D760" s="170" t="inlineStr">
        <is>
          <t>Pinalty Telat bayar pajak PP21 Sewa tool ALFA 2023</t>
        </is>
      </c>
      <c r="E760" s="227" t="n"/>
      <c r="F760" s="250" t="n">
        <v>25439666</v>
      </c>
      <c r="G760" s="15" t="inlineStr">
        <is>
          <t>IDR</t>
        </is>
      </c>
      <c r="H760" s="251" t="n">
        <v>1</v>
      </c>
      <c r="I760" s="15" t="n"/>
      <c r="J760" s="18" t="n"/>
      <c r="K760" s="252" t="n">
        <v>25439666</v>
      </c>
      <c r="L760" s="252" t="n">
        <v>25439666</v>
      </c>
      <c r="M760" s="253" t="n"/>
      <c r="N760" s="253" t="n"/>
      <c r="O760" s="252" t="n"/>
      <c r="P760" s="18" t="n"/>
      <c r="Q760" s="260" t="n"/>
    </row>
    <row r="761" ht="15.5" customHeight="1">
      <c r="B761" s="249" t="n">
        <v>45546</v>
      </c>
      <c r="C761" s="15" t="n">
        <v>175</v>
      </c>
      <c r="D761" s="170" t="inlineStr">
        <is>
          <t>Tax PPN 11% pajak Inv-007 tahun 2023 sarulla project - Sibat</t>
        </is>
      </c>
      <c r="E761" s="227" t="n"/>
      <c r="F761" s="250" t="n">
        <v>96126126</v>
      </c>
      <c r="G761" s="15" t="inlineStr">
        <is>
          <t>IDR</t>
        </is>
      </c>
      <c r="H761" s="251" t="n">
        <v>1</v>
      </c>
      <c r="I761" s="251" t="n">
        <v>96126126</v>
      </c>
      <c r="J761" s="252" t="n">
        <v>97126126</v>
      </c>
      <c r="K761" s="249" t="n"/>
      <c r="L761" s="252" t="n"/>
      <c r="M761" s="253" t="n"/>
      <c r="N761" s="253" t="n"/>
      <c r="O761" s="252" t="n"/>
      <c r="P761" s="18" t="n"/>
      <c r="Q761" s="260" t="n"/>
    </row>
    <row r="762" ht="15.5" customHeight="1">
      <c r="B762" s="249" t="n">
        <v>45546</v>
      </c>
      <c r="C762" s="15" t="n">
        <v>176</v>
      </c>
      <c r="D762" s="170" t="inlineStr">
        <is>
          <t>Pinalty Telat bayar pajak PP21 Sewa tool ALFA 2023</t>
        </is>
      </c>
      <c r="E762" s="227" t="n"/>
      <c r="F762" s="250" t="n">
        <v>25439666</v>
      </c>
      <c r="G762" s="15" t="inlineStr">
        <is>
          <t>IDR</t>
        </is>
      </c>
      <c r="H762" s="251" t="n">
        <v>1</v>
      </c>
      <c r="I762" s="15" t="n"/>
      <c r="J762" s="18" t="n"/>
      <c r="K762" s="252" t="n">
        <v>25439666</v>
      </c>
      <c r="L762" s="252" t="n">
        <v>25439666</v>
      </c>
      <c r="M762" s="253" t="n"/>
      <c r="N762" s="253" t="n"/>
      <c r="O762" s="252" t="n"/>
      <c r="P762" s="18" t="n"/>
      <c r="Q762" s="260" t="n"/>
    </row>
    <row r="763" ht="15.5" customHeight="1">
      <c r="B763" s="249" t="n">
        <v>45546</v>
      </c>
      <c r="C763" s="15" t="n">
        <v>177</v>
      </c>
      <c r="D763" s="170" t="inlineStr">
        <is>
          <t>Tax PPN 11% pajak Inv-007 tahun 2023 sarulla project - Sibat</t>
        </is>
      </c>
      <c r="E763" s="227" t="n"/>
      <c r="F763" s="250" t="n">
        <v>96126126</v>
      </c>
      <c r="G763" s="15" t="inlineStr">
        <is>
          <t>IDR</t>
        </is>
      </c>
      <c r="H763" s="251" t="n">
        <v>1</v>
      </c>
      <c r="I763" s="251" t="n">
        <v>96126126</v>
      </c>
      <c r="J763" s="252" t="n">
        <v>97126126</v>
      </c>
      <c r="K763" s="249" t="n"/>
      <c r="L763" s="252" t="n"/>
      <c r="M763" s="253" t="n"/>
      <c r="N763" s="253" t="n"/>
      <c r="O763" s="252" t="n"/>
      <c r="P763" s="18" t="n"/>
      <c r="Q763" s="260" t="n"/>
    </row>
    <row r="764" ht="15.5" customHeight="1">
      <c r="B764" s="249" t="n">
        <v>45546</v>
      </c>
      <c r="C764" s="15" t="n">
        <v>178</v>
      </c>
      <c r="D764" s="170" t="inlineStr">
        <is>
          <t>Pinalty Telat bayar pajak PP21 Sewa tool ALFA 2023</t>
        </is>
      </c>
      <c r="E764" s="227" t="n"/>
      <c r="F764" s="250" t="n">
        <v>25439666</v>
      </c>
      <c r="G764" s="15" t="inlineStr">
        <is>
          <t>IDR</t>
        </is>
      </c>
      <c r="H764" s="251" t="n">
        <v>1</v>
      </c>
      <c r="I764" s="15" t="n"/>
      <c r="J764" s="18" t="n"/>
      <c r="K764" s="252" t="n">
        <v>25439666</v>
      </c>
      <c r="L764" s="252" t="n">
        <v>25439666</v>
      </c>
      <c r="M764" s="253" t="n"/>
      <c r="N764" s="253" t="n"/>
      <c r="O764" s="252" t="n"/>
      <c r="P764" s="18" t="n"/>
      <c r="Q764" s="260" t="n"/>
    </row>
    <row r="765" ht="15.5" customHeight="1">
      <c r="B765" s="249" t="n">
        <v>45546</v>
      </c>
      <c r="C765" s="15" t="n">
        <v>179</v>
      </c>
      <c r="D765" s="170" t="inlineStr">
        <is>
          <t>Tax PPN 11% pajak Inv-007 tahun 2023 sarulla project - Sibat</t>
        </is>
      </c>
      <c r="E765" s="227" t="n"/>
      <c r="F765" s="250" t="n">
        <v>96126126</v>
      </c>
      <c r="G765" s="15" t="inlineStr">
        <is>
          <t>IDR</t>
        </is>
      </c>
      <c r="H765" s="251" t="n">
        <v>1</v>
      </c>
      <c r="I765" s="251" t="n">
        <v>96126126</v>
      </c>
      <c r="J765" s="252" t="n">
        <v>97126126</v>
      </c>
      <c r="K765" s="249" t="n"/>
      <c r="L765" s="252" t="n"/>
      <c r="M765" s="253" t="n"/>
      <c r="N765" s="253" t="n"/>
      <c r="O765" s="252" t="n"/>
      <c r="P765" s="18" t="n"/>
      <c r="Q765" s="260" t="n"/>
    </row>
    <row r="766" ht="15.5" customHeight="1">
      <c r="B766" s="249" t="n">
        <v>45546</v>
      </c>
      <c r="C766" s="15" t="n">
        <v>180</v>
      </c>
      <c r="D766" s="170" t="inlineStr">
        <is>
          <t>Pinalty Telat bayar pajak PP21 Sewa tool ALFA 2023</t>
        </is>
      </c>
      <c r="E766" s="227" t="n"/>
      <c r="F766" s="250" t="n">
        <v>25439666</v>
      </c>
      <c r="G766" s="15" t="inlineStr">
        <is>
          <t>IDR</t>
        </is>
      </c>
      <c r="H766" s="251" t="n">
        <v>1</v>
      </c>
      <c r="I766" s="15" t="n"/>
      <c r="J766" s="18" t="n"/>
      <c r="K766" s="252" t="n">
        <v>25439666</v>
      </c>
      <c r="L766" s="252" t="n">
        <v>25439666</v>
      </c>
      <c r="M766" s="253" t="n"/>
      <c r="N766" s="253" t="n"/>
      <c r="O766" s="252" t="n"/>
      <c r="P766" s="18" t="n"/>
      <c r="Q766" s="260" t="n"/>
    </row>
    <row r="767" ht="15.5" customHeight="1">
      <c r="B767" s="249" t="n">
        <v>45546</v>
      </c>
      <c r="C767" s="15" t="n">
        <v>181</v>
      </c>
      <c r="D767" s="170" t="inlineStr">
        <is>
          <t>Tax PPN 11% pajak Inv-007 tahun 2023 sarulla project - Sibat</t>
        </is>
      </c>
      <c r="E767" s="227" t="n"/>
      <c r="F767" s="250" t="n">
        <v>96126126</v>
      </c>
      <c r="G767" s="15" t="inlineStr">
        <is>
          <t>IDR</t>
        </is>
      </c>
      <c r="H767" s="251" t="n">
        <v>1</v>
      </c>
      <c r="I767" s="251" t="n">
        <v>96126126</v>
      </c>
      <c r="J767" s="252" t="n">
        <v>97126126</v>
      </c>
      <c r="K767" s="249" t="n"/>
      <c r="L767" s="252" t="n"/>
      <c r="M767" s="253" t="n"/>
      <c r="N767" s="253" t="n"/>
      <c r="O767" s="252" t="n"/>
      <c r="P767" s="18" t="n"/>
      <c r="Q767" s="260" t="n"/>
    </row>
    <row r="768" ht="15.5" customHeight="1">
      <c r="B768" s="249" t="n">
        <v>45546</v>
      </c>
      <c r="C768" s="15" t="n">
        <v>182</v>
      </c>
      <c r="D768" s="170" t="inlineStr">
        <is>
          <t>Pinalty Telat bayar pajak PP21 Sewa tool ALFA 2023</t>
        </is>
      </c>
      <c r="E768" s="227" t="n"/>
      <c r="F768" s="250" t="n">
        <v>25439666</v>
      </c>
      <c r="G768" s="15" t="inlineStr">
        <is>
          <t>IDR</t>
        </is>
      </c>
      <c r="H768" s="251" t="n">
        <v>1</v>
      </c>
      <c r="I768" s="15" t="n"/>
      <c r="J768" s="18" t="n"/>
      <c r="K768" s="252" t="n">
        <v>25439666</v>
      </c>
      <c r="L768" s="252" t="n">
        <v>25439666</v>
      </c>
      <c r="M768" s="253" t="n"/>
      <c r="N768" s="253" t="n"/>
      <c r="O768" s="252" t="n"/>
      <c r="P768" s="18" t="n"/>
      <c r="Q768" s="260" t="n"/>
    </row>
    <row r="769" ht="15.5" customHeight="1">
      <c r="B769" s="249" t="n">
        <v>45546</v>
      </c>
      <c r="C769" s="15" t="n">
        <v>183</v>
      </c>
      <c r="D769" s="170" t="inlineStr">
        <is>
          <t>Tax PPN 11% pajak Inv-007 tahun 2023 sarulla project - Sibat</t>
        </is>
      </c>
      <c r="E769" s="227" t="n"/>
      <c r="F769" s="250" t="n">
        <v>96126126</v>
      </c>
      <c r="G769" s="15" t="inlineStr">
        <is>
          <t>IDR</t>
        </is>
      </c>
      <c r="H769" s="251" t="n">
        <v>1</v>
      </c>
      <c r="I769" s="251" t="n">
        <v>96126126</v>
      </c>
      <c r="J769" s="252" t="n">
        <v>97126126</v>
      </c>
      <c r="K769" s="249" t="n"/>
      <c r="L769" s="252" t="n"/>
      <c r="M769" s="253" t="n"/>
      <c r="N769" s="253" t="n"/>
      <c r="O769" s="252" t="n"/>
      <c r="P769" s="18" t="n"/>
      <c r="Q769" s="260" t="n"/>
    </row>
    <row r="770" ht="15.5" customHeight="1">
      <c r="B770" s="249" t="n">
        <v>45546</v>
      </c>
      <c r="C770" s="15" t="n">
        <v>184</v>
      </c>
      <c r="D770" s="170" t="inlineStr">
        <is>
          <t>Pinalty Telat bayar pajak PP21 Sewa tool ALFA 2023</t>
        </is>
      </c>
      <c r="E770" s="227" t="n"/>
      <c r="F770" s="250" t="n">
        <v>25439666</v>
      </c>
      <c r="G770" s="15" t="inlineStr">
        <is>
          <t>IDR</t>
        </is>
      </c>
      <c r="H770" s="251" t="n">
        <v>1</v>
      </c>
      <c r="I770" s="15" t="n"/>
      <c r="J770" s="18" t="n"/>
      <c r="K770" s="252" t="n">
        <v>25439666</v>
      </c>
      <c r="L770" s="252" t="n">
        <v>25439666</v>
      </c>
      <c r="M770" s="253" t="n"/>
      <c r="N770" s="253" t="n"/>
      <c r="O770" s="252" t="n"/>
      <c r="P770" s="18" t="n"/>
      <c r="Q770" s="260" t="n"/>
    </row>
    <row r="771" ht="15.5" customHeight="1">
      <c r="B771" s="249" t="n">
        <v>45546</v>
      </c>
      <c r="C771" s="15" t="n">
        <v>185</v>
      </c>
      <c r="D771" s="170" t="inlineStr">
        <is>
          <t>Tax PPN 11% pajak Inv-007 tahun 2023 sarulla project - Sibat</t>
        </is>
      </c>
      <c r="E771" s="227" t="n"/>
      <c r="F771" s="250" t="n">
        <v>96126126</v>
      </c>
      <c r="G771" s="15" t="inlineStr">
        <is>
          <t>IDR</t>
        </is>
      </c>
      <c r="H771" s="251" t="n">
        <v>1</v>
      </c>
      <c r="I771" s="251" t="n">
        <v>96126126</v>
      </c>
      <c r="J771" s="252" t="n">
        <v>97126126</v>
      </c>
      <c r="K771" s="249" t="n"/>
      <c r="L771" s="252" t="n"/>
      <c r="M771" s="253" t="n"/>
      <c r="N771" s="253" t="n"/>
      <c r="O771" s="252" t="n"/>
      <c r="P771" s="18" t="n"/>
      <c r="Q771" s="260" t="n"/>
    </row>
    <row r="772" ht="15.5" customHeight="1">
      <c r="B772" s="249" t="n">
        <v>45546</v>
      </c>
      <c r="C772" s="15" t="n">
        <v>186</v>
      </c>
      <c r="D772" s="170" t="inlineStr">
        <is>
          <t>Pinalty Telat bayar pajak PP21 Sewa tool ALFA 2023</t>
        </is>
      </c>
      <c r="E772" s="227" t="n"/>
      <c r="F772" s="250" t="n">
        <v>25439666</v>
      </c>
      <c r="G772" s="15" t="inlineStr">
        <is>
          <t>IDR</t>
        </is>
      </c>
      <c r="H772" s="251" t="n">
        <v>1</v>
      </c>
      <c r="I772" s="15" t="n"/>
      <c r="J772" s="18" t="n"/>
      <c r="K772" s="252" t="n">
        <v>25439666</v>
      </c>
      <c r="L772" s="252" t="n">
        <v>25439666</v>
      </c>
      <c r="M772" s="253" t="n"/>
      <c r="N772" s="253" t="n"/>
      <c r="O772" s="252" t="n"/>
      <c r="P772" s="18" t="n"/>
      <c r="Q772" s="260" t="n"/>
    </row>
    <row r="773" ht="15.5" customHeight="1">
      <c r="B773" s="249" t="n">
        <v>45546</v>
      </c>
      <c r="C773" s="15" t="n">
        <v>187</v>
      </c>
      <c r="D773" s="170" t="inlineStr">
        <is>
          <t>Tax PPN 11% pajak Inv-007 tahun 2023 sarulla project - Sibat</t>
        </is>
      </c>
      <c r="E773" s="227" t="n"/>
      <c r="F773" s="250" t="n">
        <v>96126126</v>
      </c>
      <c r="G773" s="15" t="inlineStr">
        <is>
          <t>IDR</t>
        </is>
      </c>
      <c r="H773" s="251" t="n">
        <v>1</v>
      </c>
      <c r="I773" s="251" t="n">
        <v>96126126</v>
      </c>
      <c r="J773" s="252" t="n">
        <v>97126126</v>
      </c>
      <c r="K773" s="249" t="n"/>
      <c r="L773" s="252" t="n"/>
      <c r="M773" s="253" t="n"/>
      <c r="N773" s="253" t="n"/>
      <c r="O773" s="252" t="n"/>
      <c r="P773" s="18" t="n"/>
      <c r="Q773" s="260" t="n"/>
    </row>
    <row r="774" ht="15.5" customHeight="1">
      <c r="B774" s="249" t="n">
        <v>45546</v>
      </c>
      <c r="C774" s="15" t="n">
        <v>188</v>
      </c>
      <c r="D774" s="170" t="inlineStr">
        <is>
          <t>Pinalty Telat bayar pajak PP21 Sewa tool ALFA 2023</t>
        </is>
      </c>
      <c r="E774" s="227" t="n"/>
      <c r="F774" s="250" t="n">
        <v>25439666</v>
      </c>
      <c r="G774" s="15" t="inlineStr">
        <is>
          <t>IDR</t>
        </is>
      </c>
      <c r="H774" s="251" t="n">
        <v>1</v>
      </c>
      <c r="I774" s="15" t="n"/>
      <c r="J774" s="18" t="n"/>
      <c r="K774" s="252" t="n">
        <v>25439666</v>
      </c>
      <c r="L774" s="252" t="n">
        <v>25439666</v>
      </c>
      <c r="M774" s="253" t="n"/>
      <c r="N774" s="253" t="n"/>
      <c r="O774" s="252" t="n"/>
      <c r="P774" s="18" t="n"/>
      <c r="Q774" s="260" t="n"/>
    </row>
    <row r="775" ht="15.5" customHeight="1">
      <c r="B775" s="249" t="n">
        <v>45546</v>
      </c>
      <c r="C775" s="15" t="n">
        <v>189</v>
      </c>
      <c r="D775" s="170" t="inlineStr">
        <is>
          <t>Tax PPN 11% pajak Inv-007 tahun 2023 sarulla project - Sibat</t>
        </is>
      </c>
      <c r="E775" s="227" t="n"/>
      <c r="F775" s="250" t="n">
        <v>96126126</v>
      </c>
      <c r="G775" s="15" t="inlineStr">
        <is>
          <t>IDR</t>
        </is>
      </c>
      <c r="H775" s="251" t="n">
        <v>1</v>
      </c>
      <c r="I775" s="251" t="n">
        <v>96126126</v>
      </c>
      <c r="J775" s="252" t="n">
        <v>97126126</v>
      </c>
      <c r="K775" s="249" t="n"/>
      <c r="L775" s="252" t="n"/>
      <c r="M775" s="253" t="n"/>
      <c r="N775" s="253" t="n"/>
      <c r="O775" s="252" t="n"/>
      <c r="P775" s="18" t="n"/>
      <c r="Q775" s="260" t="n"/>
    </row>
    <row r="776" ht="15.5" customHeight="1">
      <c r="B776" s="249" t="n">
        <v>45546</v>
      </c>
      <c r="C776" s="15" t="n">
        <v>190</v>
      </c>
      <c r="D776" s="170" t="inlineStr">
        <is>
          <t>Pinalty Telat bayar pajak PP21 Sewa tool ALFA 2023</t>
        </is>
      </c>
      <c r="E776" s="227" t="n"/>
      <c r="F776" s="250" t="n">
        <v>25439666</v>
      </c>
      <c r="G776" s="15" t="inlineStr">
        <is>
          <t>IDR</t>
        </is>
      </c>
      <c r="H776" s="251" t="n">
        <v>1</v>
      </c>
      <c r="I776" s="15" t="n"/>
      <c r="J776" s="18" t="n"/>
      <c r="K776" s="252" t="n">
        <v>25439666</v>
      </c>
      <c r="L776" s="252" t="n">
        <v>25439666</v>
      </c>
      <c r="M776" s="253" t="n"/>
      <c r="N776" s="253" t="n"/>
      <c r="O776" s="252" t="n"/>
      <c r="P776" s="18" t="n"/>
      <c r="Q776" s="260" t="n"/>
    </row>
    <row r="777" ht="15.5" customHeight="1">
      <c r="B777" s="249" t="n">
        <v>45546</v>
      </c>
      <c r="C777" s="15" t="n">
        <v>191</v>
      </c>
      <c r="D777" s="170" t="inlineStr">
        <is>
          <t>Tax PPN 11% pajak Inv-007 tahun 2023 sarulla project - Sibat</t>
        </is>
      </c>
      <c r="E777" s="227" t="n"/>
      <c r="F777" s="250" t="n">
        <v>96126126</v>
      </c>
      <c r="G777" s="15" t="inlineStr">
        <is>
          <t>IDR</t>
        </is>
      </c>
      <c r="H777" s="251" t="n">
        <v>1</v>
      </c>
      <c r="I777" s="251" t="n">
        <v>96126126</v>
      </c>
      <c r="J777" s="252" t="n">
        <v>97126126</v>
      </c>
      <c r="K777" s="249" t="n"/>
      <c r="L777" s="252" t="n"/>
      <c r="M777" s="253" t="n"/>
      <c r="N777" s="253" t="n"/>
      <c r="O777" s="252" t="n"/>
      <c r="P777" s="18" t="n"/>
      <c r="Q777" s="260" t="n"/>
    </row>
    <row r="778" ht="15.5" customHeight="1">
      <c r="B778" s="249" t="n">
        <v>45546</v>
      </c>
      <c r="C778" s="15" t="n">
        <v>192</v>
      </c>
      <c r="D778" s="170" t="inlineStr">
        <is>
          <t>Pinalty Telat bayar pajak PP21 Sewa tool ALFA 2023</t>
        </is>
      </c>
      <c r="E778" s="227" t="n"/>
      <c r="F778" s="250" t="n">
        <v>25439666</v>
      </c>
      <c r="G778" s="15" t="inlineStr">
        <is>
          <t>IDR</t>
        </is>
      </c>
      <c r="H778" s="251" t="n">
        <v>1</v>
      </c>
      <c r="I778" s="15" t="n"/>
      <c r="J778" s="18" t="n"/>
      <c r="K778" s="252" t="n">
        <v>25439666</v>
      </c>
      <c r="L778" s="252" t="n">
        <v>25439666</v>
      </c>
      <c r="M778" s="253" t="n"/>
      <c r="N778" s="253" t="n"/>
      <c r="O778" s="252" t="n"/>
      <c r="P778" s="18" t="n"/>
      <c r="Q778" s="260" t="n"/>
    </row>
    <row r="779" ht="15.5" customHeight="1">
      <c r="B779" s="249" t="n">
        <v>45546</v>
      </c>
      <c r="C779" s="15" t="n">
        <v>193</v>
      </c>
      <c r="D779" s="170" t="inlineStr">
        <is>
          <t>Tax PPN 11% pajak Inv-007 tahun 2023 sarulla project - Sibat</t>
        </is>
      </c>
      <c r="E779" s="227" t="n"/>
      <c r="F779" s="250" t="n">
        <v>96126126</v>
      </c>
      <c r="G779" s="15" t="inlineStr">
        <is>
          <t>IDR</t>
        </is>
      </c>
      <c r="H779" s="251" t="n">
        <v>1</v>
      </c>
      <c r="I779" s="251" t="n">
        <v>96126126</v>
      </c>
      <c r="J779" s="252" t="n">
        <v>97126126</v>
      </c>
      <c r="K779" s="249" t="n"/>
      <c r="L779" s="252" t="n"/>
      <c r="M779" s="253" t="n"/>
      <c r="N779" s="253" t="n"/>
      <c r="O779" s="252" t="n"/>
      <c r="P779" s="18" t="n"/>
      <c r="Q779" s="260" t="n"/>
    </row>
    <row r="780" ht="15.5" customHeight="1">
      <c r="B780" s="249" t="n">
        <v>45546</v>
      </c>
      <c r="C780" s="15" t="n">
        <v>194</v>
      </c>
      <c r="D780" s="170" t="inlineStr">
        <is>
          <t>Pinalty Telat bayar pajak PP21 Sewa tool ALFA 2023</t>
        </is>
      </c>
      <c r="E780" s="227" t="n"/>
      <c r="F780" s="250" t="n">
        <v>25439666</v>
      </c>
      <c r="G780" s="15" t="inlineStr">
        <is>
          <t>IDR</t>
        </is>
      </c>
      <c r="H780" s="251" t="n">
        <v>1</v>
      </c>
      <c r="I780" s="15" t="n"/>
      <c r="J780" s="18" t="n"/>
      <c r="K780" s="252" t="n">
        <v>25439666</v>
      </c>
      <c r="L780" s="252" t="n">
        <v>25439666</v>
      </c>
      <c r="M780" s="253" t="n"/>
      <c r="N780" s="253" t="n"/>
      <c r="O780" s="252" t="n"/>
      <c r="P780" s="18" t="n"/>
      <c r="Q780" s="260" t="n"/>
    </row>
    <row r="781" ht="15.5" customHeight="1">
      <c r="B781" s="249" t="n">
        <v>45546</v>
      </c>
      <c r="C781" s="15" t="n">
        <v>195</v>
      </c>
      <c r="D781" s="170" t="inlineStr">
        <is>
          <t>Tax PPN 11% pajak Inv-007 tahun 2023 sarulla project - Sibat</t>
        </is>
      </c>
      <c r="E781" s="227" t="n"/>
      <c r="F781" s="250" t="n">
        <v>96126126</v>
      </c>
      <c r="G781" s="15" t="inlineStr">
        <is>
          <t>IDR</t>
        </is>
      </c>
      <c r="H781" s="251" t="n">
        <v>1</v>
      </c>
      <c r="I781" s="251" t="n">
        <v>96126126</v>
      </c>
      <c r="J781" s="252" t="n">
        <v>97126126</v>
      </c>
      <c r="K781" s="249" t="n"/>
      <c r="L781" s="252" t="n"/>
      <c r="M781" s="253" t="n"/>
      <c r="N781" s="253" t="n"/>
      <c r="O781" s="252" t="n"/>
      <c r="P781" s="18" t="n"/>
      <c r="Q781" s="260" t="n"/>
    </row>
    <row r="782" ht="15.5" customHeight="1">
      <c r="B782" s="249" t="n">
        <v>45546</v>
      </c>
      <c r="C782" s="15" t="n">
        <v>196</v>
      </c>
      <c r="D782" s="170" t="inlineStr">
        <is>
          <t>Pinalty Telat bayar pajak PP21 Sewa tool ALFA 2023</t>
        </is>
      </c>
      <c r="E782" s="227" t="n"/>
      <c r="F782" s="250" t="n">
        <v>25439666</v>
      </c>
      <c r="G782" s="15" t="inlineStr">
        <is>
          <t>IDR</t>
        </is>
      </c>
      <c r="H782" s="251" t="n">
        <v>1</v>
      </c>
      <c r="I782" s="15" t="n"/>
      <c r="J782" s="18" t="n"/>
      <c r="K782" s="252" t="n">
        <v>25439666</v>
      </c>
      <c r="L782" s="252" t="n">
        <v>25439666</v>
      </c>
      <c r="M782" s="253" t="n"/>
      <c r="N782" s="253" t="n"/>
      <c r="O782" s="252" t="n"/>
      <c r="P782" s="18" t="n"/>
      <c r="Q782" s="260" t="n"/>
    </row>
    <row r="783" ht="15.5" customHeight="1">
      <c r="B783" s="249" t="n">
        <v>45546</v>
      </c>
      <c r="C783" s="15" t="n">
        <v>197</v>
      </c>
      <c r="D783" s="170" t="inlineStr">
        <is>
          <t>Tax PPN 11% pajak Inv-007 tahun 2023 sarulla project - Sibat</t>
        </is>
      </c>
      <c r="E783" s="227" t="n"/>
      <c r="F783" s="250" t="n">
        <v>96126126</v>
      </c>
      <c r="G783" s="15" t="inlineStr">
        <is>
          <t>IDR</t>
        </is>
      </c>
      <c r="H783" s="251" t="n">
        <v>1</v>
      </c>
      <c r="I783" s="251" t="n">
        <v>96126126</v>
      </c>
      <c r="J783" s="252" t="n">
        <v>97126126</v>
      </c>
      <c r="K783" s="249" t="n"/>
      <c r="L783" s="252" t="n"/>
      <c r="M783" s="253" t="n"/>
      <c r="N783" s="253" t="n"/>
      <c r="O783" s="252" t="n"/>
      <c r="P783" s="18" t="n"/>
      <c r="Q783" s="260" t="n"/>
    </row>
    <row r="784" ht="15.5" customHeight="1">
      <c r="B784" s="249" t="n">
        <v>45546</v>
      </c>
      <c r="C784" s="15" t="n">
        <v>198</v>
      </c>
      <c r="D784" s="170" t="inlineStr">
        <is>
          <t>Pinalty Telat bayar pajak PP21 Sewa tool ALFA 2023</t>
        </is>
      </c>
      <c r="E784" s="227" t="n"/>
      <c r="F784" s="250" t="n">
        <v>25439666</v>
      </c>
      <c r="G784" s="15" t="inlineStr">
        <is>
          <t>IDR</t>
        </is>
      </c>
      <c r="H784" s="251" t="n">
        <v>1</v>
      </c>
      <c r="I784" s="15" t="n"/>
      <c r="J784" s="18" t="n"/>
      <c r="K784" s="252" t="n">
        <v>25439666</v>
      </c>
      <c r="L784" s="252" t="n">
        <v>25439666</v>
      </c>
      <c r="M784" s="253" t="n"/>
      <c r="N784" s="253" t="n"/>
      <c r="O784" s="252" t="n"/>
      <c r="P784" s="18" t="n"/>
      <c r="Q784" s="260" t="n"/>
    </row>
    <row r="785" ht="15.5" customHeight="1">
      <c r="B785" s="249" t="n">
        <v>45546</v>
      </c>
      <c r="C785" s="15" t="n">
        <v>199</v>
      </c>
      <c r="D785" s="170" t="inlineStr">
        <is>
          <t>Tax PPN 11% pajak Inv-007 tahun 2023 sarulla project - Sibat</t>
        </is>
      </c>
      <c r="E785" s="227" t="n"/>
      <c r="F785" s="250" t="n">
        <v>96126126</v>
      </c>
      <c r="G785" s="15" t="inlineStr">
        <is>
          <t>IDR</t>
        </is>
      </c>
      <c r="H785" s="251" t="n">
        <v>1</v>
      </c>
      <c r="I785" s="251" t="n">
        <v>96126126</v>
      </c>
      <c r="J785" s="252" t="n">
        <v>97126126</v>
      </c>
      <c r="K785" s="249" t="n"/>
      <c r="L785" s="252" t="n"/>
      <c r="M785" s="253" t="n"/>
      <c r="N785" s="253" t="n"/>
      <c r="O785" s="252" t="n"/>
      <c r="P785" s="18" t="n"/>
      <c r="Q785" s="260" t="n"/>
    </row>
    <row r="786" ht="15.5" customHeight="1">
      <c r="B786" s="249" t="n">
        <v>45546</v>
      </c>
      <c r="C786" s="15" t="n">
        <v>200</v>
      </c>
      <c r="D786" s="170" t="inlineStr">
        <is>
          <t>Pinalty Telat bayar pajak PP21 Sewa tool ALFA 2023</t>
        </is>
      </c>
      <c r="E786" s="227" t="n"/>
      <c r="F786" s="250" t="n">
        <v>25439666</v>
      </c>
      <c r="G786" s="15" t="inlineStr">
        <is>
          <t>IDR</t>
        </is>
      </c>
      <c r="H786" s="251" t="n">
        <v>1</v>
      </c>
      <c r="I786" s="15" t="n"/>
      <c r="J786" s="18" t="n"/>
      <c r="K786" s="252" t="n">
        <v>25439666</v>
      </c>
      <c r="L786" s="252" t="n">
        <v>25439666</v>
      </c>
      <c r="M786" s="253" t="n"/>
      <c r="N786" s="253" t="n"/>
      <c r="O786" s="252" t="n"/>
      <c r="P786" s="18" t="n"/>
      <c r="Q786" s="260" t="n"/>
    </row>
    <row r="787" ht="15.5" customHeight="1">
      <c r="B787" s="249" t="n">
        <v>45546</v>
      </c>
      <c r="C787" s="15" t="n">
        <v>201</v>
      </c>
      <c r="D787" s="170" t="inlineStr">
        <is>
          <t>Tax PPN 11% pajak Inv-007 tahun 2023 sarulla project - Sibat</t>
        </is>
      </c>
      <c r="E787" s="227" t="n"/>
      <c r="F787" s="250" t="n">
        <v>96126126</v>
      </c>
      <c r="G787" s="15" t="inlineStr">
        <is>
          <t>IDR</t>
        </is>
      </c>
      <c r="H787" s="251" t="n">
        <v>1</v>
      </c>
      <c r="I787" s="251" t="n">
        <v>96126126</v>
      </c>
      <c r="J787" s="252" t="n">
        <v>97126126</v>
      </c>
      <c r="K787" s="249" t="n"/>
      <c r="L787" s="252" t="n"/>
      <c r="M787" s="253" t="n"/>
      <c r="N787" s="253" t="n"/>
      <c r="O787" s="252" t="n"/>
      <c r="P787" s="18" t="n"/>
      <c r="Q787" s="260" t="n"/>
    </row>
    <row r="788" ht="15.5" customHeight="1">
      <c r="B788" s="249" t="n">
        <v>45546</v>
      </c>
      <c r="C788" s="15" t="n">
        <v>202</v>
      </c>
      <c r="D788" s="170" t="inlineStr">
        <is>
          <t>Pinalty Telat bayar pajak PP21 Sewa tool ALFA 2023</t>
        </is>
      </c>
      <c r="E788" s="227" t="n"/>
      <c r="F788" s="250" t="n">
        <v>25439666</v>
      </c>
      <c r="G788" s="15" t="inlineStr">
        <is>
          <t>IDR</t>
        </is>
      </c>
      <c r="H788" s="251" t="n">
        <v>1</v>
      </c>
      <c r="I788" s="15" t="n"/>
      <c r="J788" s="18" t="n"/>
      <c r="K788" s="252" t="n">
        <v>25439666</v>
      </c>
      <c r="L788" s="252" t="n">
        <v>25439666</v>
      </c>
      <c r="M788" s="253" t="n"/>
      <c r="N788" s="253" t="n"/>
      <c r="O788" s="252" t="n"/>
      <c r="P788" s="18" t="n"/>
      <c r="Q788" s="260" t="n"/>
    </row>
    <row r="789" ht="15.5" customHeight="1">
      <c r="B789" s="249" t="n">
        <v>45546</v>
      </c>
      <c r="C789" s="15" t="n">
        <v>203</v>
      </c>
      <c r="D789" s="170" t="inlineStr">
        <is>
          <t>Tax PPN 11% pajak Inv-007 tahun 2023 sarulla project - Sibat</t>
        </is>
      </c>
      <c r="E789" s="227" t="n"/>
      <c r="F789" s="250" t="n">
        <v>96126126</v>
      </c>
      <c r="G789" s="15" t="inlineStr">
        <is>
          <t>IDR</t>
        </is>
      </c>
      <c r="H789" s="251" t="n">
        <v>1</v>
      </c>
      <c r="I789" s="251" t="n">
        <v>96126126</v>
      </c>
      <c r="J789" s="252" t="n">
        <v>97126126</v>
      </c>
      <c r="K789" s="249" t="n"/>
      <c r="L789" s="252" t="n"/>
      <c r="M789" s="253" t="n"/>
      <c r="N789" s="253" t="n"/>
      <c r="O789" s="252" t="n"/>
      <c r="P789" s="18" t="n"/>
      <c r="Q789" s="260" t="n"/>
    </row>
    <row r="790" ht="15.5" customHeight="1">
      <c r="B790" s="249" t="n">
        <v>45546</v>
      </c>
      <c r="C790" s="15" t="n">
        <v>204</v>
      </c>
      <c r="D790" s="170" t="inlineStr">
        <is>
          <t>Pinalty Telat bayar pajak PP21 Sewa tool ALFA 2023</t>
        </is>
      </c>
      <c r="E790" s="227" t="n"/>
      <c r="F790" s="250" t="n">
        <v>25439666</v>
      </c>
      <c r="G790" s="15" t="inlineStr">
        <is>
          <t>IDR</t>
        </is>
      </c>
      <c r="H790" s="251" t="n">
        <v>1</v>
      </c>
      <c r="I790" s="15" t="n"/>
      <c r="J790" s="18" t="n"/>
      <c r="K790" s="252" t="n">
        <v>25439666</v>
      </c>
      <c r="L790" s="252" t="n">
        <v>25439666</v>
      </c>
      <c r="M790" s="253" t="n"/>
      <c r="N790" s="253" t="n"/>
      <c r="O790" s="252" t="n"/>
      <c r="P790" s="18" t="n"/>
      <c r="Q790" s="260" t="n"/>
    </row>
    <row r="791" ht="15.5" customHeight="1">
      <c r="B791" s="249" t="n">
        <v>45546</v>
      </c>
      <c r="C791" s="15" t="n">
        <v>205</v>
      </c>
      <c r="D791" s="170" t="inlineStr">
        <is>
          <t>Tax PPN 11% pajak Inv-007 tahun 2023 sarulla project - Sibat</t>
        </is>
      </c>
      <c r="E791" s="227" t="n"/>
      <c r="F791" s="250" t="n">
        <v>96126126</v>
      </c>
      <c r="G791" s="15" t="inlineStr">
        <is>
          <t>IDR</t>
        </is>
      </c>
      <c r="H791" s="251" t="n">
        <v>1</v>
      </c>
      <c r="I791" s="251" t="n">
        <v>96126126</v>
      </c>
      <c r="J791" s="252" t="n">
        <v>97126126</v>
      </c>
      <c r="K791" s="249" t="n"/>
      <c r="L791" s="252" t="n"/>
      <c r="M791" s="253" t="n"/>
      <c r="N791" s="253" t="n"/>
      <c r="O791" s="252" t="n"/>
      <c r="P791" s="18" t="n"/>
      <c r="Q791" s="260" t="n"/>
    </row>
    <row r="792" ht="15.5" customHeight="1">
      <c r="B792" s="249" t="n">
        <v>45567</v>
      </c>
      <c r="C792" s="15" t="n">
        <v>206</v>
      </c>
      <c r="D792" s="170" t="inlineStr">
        <is>
          <t>Tax PPN 11% (Perbaikan Repair Electric Assisted Stimulation Machine)</t>
        </is>
      </c>
      <c r="E792" s="227" t="n"/>
      <c r="F792" s="250" t="n">
        <v>9790000</v>
      </c>
      <c r="G792" s="15" t="inlineStr">
        <is>
          <t>IDR</t>
        </is>
      </c>
      <c r="H792" s="251" t="n">
        <v>1</v>
      </c>
      <c r="I792" s="251" t="n">
        <v>9790000</v>
      </c>
      <c r="J792" s="252" t="n">
        <v>9790000</v>
      </c>
      <c r="K792" s="249" t="n"/>
      <c r="L792" s="252" t="n"/>
      <c r="M792" s="253" t="n"/>
      <c r="N792" s="253" t="n"/>
      <c r="O792" s="252" t="n"/>
      <c r="P792" s="18" t="n"/>
      <c r="Q792" s="260" t="n"/>
    </row>
    <row r="793" ht="15.5" customHeight="1">
      <c r="B793" s="249" t="n">
        <v>45567</v>
      </c>
      <c r="C793" s="15" t="n">
        <v>207</v>
      </c>
      <c r="D793" s="170" t="inlineStr">
        <is>
          <t>Tax PPN 11% (Perbaikan Repair Electric Assisted Stimulation Machine)</t>
        </is>
      </c>
      <c r="E793" s="227" t="n"/>
      <c r="F793" s="250" t="n">
        <v>9790000</v>
      </c>
      <c r="G793" s="15" t="inlineStr">
        <is>
          <t>IDR</t>
        </is>
      </c>
      <c r="H793" s="251" t="n">
        <v>1</v>
      </c>
      <c r="I793" s="251" t="n">
        <v>9790000</v>
      </c>
      <c r="J793" s="252" t="n">
        <v>9790000</v>
      </c>
      <c r="K793" s="249" t="n"/>
      <c r="L793" s="252" t="n"/>
      <c r="M793" s="253" t="n"/>
      <c r="N793" s="253" t="n"/>
      <c r="O793" s="252" t="n"/>
      <c r="P793" s="18" t="n"/>
      <c r="Q793" s="260" t="n"/>
    </row>
    <row r="794" ht="15.5" customHeight="1">
      <c r="B794" s="249" t="n">
        <v>45567</v>
      </c>
      <c r="C794" s="15" t="n">
        <v>208</v>
      </c>
      <c r="D794" s="170" t="inlineStr">
        <is>
          <t>Tax PPN 11% (Perbaikan Repair Electric Assisted Stimulation Machine)</t>
        </is>
      </c>
      <c r="E794" s="227" t="n"/>
      <c r="F794" s="250" t="n">
        <v>9790000</v>
      </c>
      <c r="G794" s="15" t="inlineStr">
        <is>
          <t>IDR</t>
        </is>
      </c>
      <c r="H794" s="251" t="n">
        <v>1</v>
      </c>
      <c r="I794" s="251" t="n">
        <v>9790000</v>
      </c>
      <c r="J794" s="252" t="n">
        <v>9790000</v>
      </c>
      <c r="K794" s="249" t="n"/>
      <c r="L794" s="252" t="n"/>
      <c r="M794" s="253" t="n"/>
      <c r="N794" s="253" t="n"/>
      <c r="O794" s="252" t="n"/>
      <c r="P794" s="18" t="n"/>
      <c r="Q794" s="260" t="n"/>
    </row>
    <row r="795" ht="15.5" customHeight="1">
      <c r="B795" s="249" t="n">
        <v>45567</v>
      </c>
      <c r="C795" s="15" t="n">
        <v>209</v>
      </c>
      <c r="D795" s="170" t="inlineStr">
        <is>
          <t>Tax PPN 11% (Perbaikan Repair Electric Assisted Stimulation Machine)</t>
        </is>
      </c>
      <c r="E795" s="227" t="n"/>
      <c r="F795" s="250" t="n">
        <v>9790000</v>
      </c>
      <c r="G795" s="15" t="inlineStr">
        <is>
          <t>IDR</t>
        </is>
      </c>
      <c r="H795" s="251" t="n">
        <v>1</v>
      </c>
      <c r="I795" s="251" t="n">
        <v>9790000</v>
      </c>
      <c r="J795" s="252" t="n">
        <v>9790000</v>
      </c>
      <c r="K795" s="249" t="n"/>
      <c r="L795" s="252" t="n"/>
      <c r="M795" s="253" t="n"/>
      <c r="N795" s="253" t="n"/>
      <c r="O795" s="252" t="n"/>
      <c r="P795" s="18" t="n"/>
      <c r="Q795" s="260" t="n"/>
    </row>
    <row r="796" ht="15.5" customHeight="1">
      <c r="B796" s="249" t="n">
        <v>45567</v>
      </c>
      <c r="C796" s="15" t="n">
        <v>210</v>
      </c>
      <c r="D796" s="170" t="inlineStr">
        <is>
          <t>Tax PPN 11% (Perbaikan Repair Electric Assisted Stimulation Machine)</t>
        </is>
      </c>
      <c r="E796" s="227" t="n"/>
      <c r="F796" s="250" t="n">
        <v>9790000</v>
      </c>
      <c r="G796" s="15" t="inlineStr">
        <is>
          <t>IDR</t>
        </is>
      </c>
      <c r="H796" s="251" t="n">
        <v>1</v>
      </c>
      <c r="I796" s="251" t="n">
        <v>9790000</v>
      </c>
      <c r="J796" s="252" t="n">
        <v>9790000</v>
      </c>
      <c r="K796" s="249" t="n"/>
      <c r="L796" s="252" t="n"/>
      <c r="M796" s="253" t="n"/>
      <c r="N796" s="253" t="n"/>
      <c r="O796" s="252" t="n"/>
      <c r="P796" s="18" t="n"/>
      <c r="Q796" s="260" t="n"/>
    </row>
    <row r="797" ht="15.5" customHeight="1">
      <c r="B797" s="249" t="n">
        <v>45567</v>
      </c>
      <c r="C797" s="15" t="n">
        <v>211</v>
      </c>
      <c r="D797" s="170" t="inlineStr">
        <is>
          <t>Tax PPN 11% (Perbaikan Repair Electric Assisted Stimulation Machine)</t>
        </is>
      </c>
      <c r="E797" s="227" t="n"/>
      <c r="F797" s="250" t="n">
        <v>9790000</v>
      </c>
      <c r="G797" s="15" t="inlineStr">
        <is>
          <t>IDR</t>
        </is>
      </c>
      <c r="H797" s="251" t="n">
        <v>1</v>
      </c>
      <c r="I797" s="251" t="n">
        <v>9790000</v>
      </c>
      <c r="J797" s="252" t="n">
        <v>9790000</v>
      </c>
      <c r="K797" s="249" t="n"/>
      <c r="L797" s="252" t="n"/>
      <c r="M797" s="253" t="n"/>
      <c r="N797" s="253" t="n"/>
      <c r="O797" s="252" t="n"/>
      <c r="P797" s="18" t="n"/>
      <c r="Q797" s="260" t="n"/>
    </row>
    <row r="798" ht="15.5" customHeight="1">
      <c r="B798" s="249" t="n">
        <v>45567</v>
      </c>
      <c r="C798" s="15" t="n">
        <v>212</v>
      </c>
      <c r="D798" s="170" t="inlineStr">
        <is>
          <t>Tax PPN 11% (Perbaikan Repair Electric Assisted Stimulation Machine)</t>
        </is>
      </c>
      <c r="E798" s="227" t="n"/>
      <c r="F798" s="250" t="n">
        <v>9790000</v>
      </c>
      <c r="G798" s="15" t="inlineStr">
        <is>
          <t>IDR</t>
        </is>
      </c>
      <c r="H798" s="251" t="n">
        <v>1</v>
      </c>
      <c r="I798" s="251" t="n">
        <v>9790000</v>
      </c>
      <c r="J798" s="252" t="n">
        <v>9790000</v>
      </c>
      <c r="K798" s="249" t="n"/>
      <c r="L798" s="252" t="n"/>
      <c r="M798" s="253" t="n"/>
      <c r="N798" s="253" t="n"/>
      <c r="O798" s="252" t="n"/>
      <c r="P798" s="18" t="n"/>
      <c r="Q798" s="260" t="n"/>
    </row>
    <row r="799" ht="15.5" customHeight="1">
      <c r="B799" s="249" t="n">
        <v>45567</v>
      </c>
      <c r="C799" s="15" t="n">
        <v>213</v>
      </c>
      <c r="D799" s="170" t="inlineStr">
        <is>
          <t>Tax PPN 11% (Perbaikan Repair Electric Assisted Stimulation Machine)</t>
        </is>
      </c>
      <c r="E799" s="227" t="n"/>
      <c r="F799" s="250" t="n">
        <v>9790000</v>
      </c>
      <c r="G799" s="15" t="inlineStr">
        <is>
          <t>IDR</t>
        </is>
      </c>
      <c r="H799" s="251" t="n">
        <v>1</v>
      </c>
      <c r="I799" s="251" t="n">
        <v>9790000</v>
      </c>
      <c r="J799" s="252" t="n">
        <v>9790000</v>
      </c>
      <c r="K799" s="249" t="n"/>
      <c r="L799" s="252" t="n"/>
      <c r="M799" s="253" t="n"/>
      <c r="N799" s="253" t="n"/>
      <c r="O799" s="252" t="n"/>
      <c r="P799" s="18" t="n"/>
      <c r="Q799" s="260" t="n"/>
    </row>
    <row r="800" ht="15.5" customHeight="1">
      <c r="B800" s="249" t="n">
        <v>45567</v>
      </c>
      <c r="C800" s="15" t="n">
        <v>214</v>
      </c>
      <c r="D800" s="170" t="inlineStr">
        <is>
          <t>Tax PPN 11% (Perbaikan Repair Electric Assisted Stimulation Machine)</t>
        </is>
      </c>
      <c r="E800" s="227" t="n"/>
      <c r="F800" s="250" t="n">
        <v>9790000</v>
      </c>
      <c r="G800" s="15" t="inlineStr">
        <is>
          <t>IDR</t>
        </is>
      </c>
      <c r="H800" s="251" t="n">
        <v>1</v>
      </c>
      <c r="I800" s="251" t="n">
        <v>9790000</v>
      </c>
      <c r="J800" s="252" t="n">
        <v>9790000</v>
      </c>
      <c r="K800" s="249" t="n"/>
      <c r="L800" s="252" t="n"/>
      <c r="M800" s="253" t="n"/>
      <c r="N800" s="253" t="n"/>
      <c r="O800" s="252" t="n"/>
      <c r="P800" s="18" t="n"/>
      <c r="Q800" s="260" t="n"/>
    </row>
    <row r="801" ht="15.5" customHeight="1">
      <c r="B801" s="249" t="n">
        <v>45567</v>
      </c>
      <c r="C801" s="15" t="n">
        <v>215</v>
      </c>
      <c r="D801" s="170" t="inlineStr">
        <is>
          <t>Tax PPN 11% (Perbaikan Repair Electric Assisted Stimulation Machine)</t>
        </is>
      </c>
      <c r="E801" s="227" t="n"/>
      <c r="F801" s="250" t="n">
        <v>9790000</v>
      </c>
      <c r="G801" s="15" t="inlineStr">
        <is>
          <t>IDR</t>
        </is>
      </c>
      <c r="H801" s="251" t="n">
        <v>1</v>
      </c>
      <c r="I801" s="251" t="n">
        <v>9790000</v>
      </c>
      <c r="J801" s="252" t="n">
        <v>9790000</v>
      </c>
      <c r="K801" s="249" t="n"/>
      <c r="L801" s="252" t="n"/>
      <c r="M801" s="253" t="n"/>
      <c r="N801" s="253" t="n"/>
      <c r="O801" s="252" t="n"/>
      <c r="P801" s="18" t="n"/>
      <c r="Q801" s="260" t="n"/>
    </row>
    <row r="802" ht="15.5" customHeight="1">
      <c r="B802" s="249" t="n">
        <v>45567</v>
      </c>
      <c r="C802" s="15" t="n">
        <v>216</v>
      </c>
      <c r="D802" s="170" t="inlineStr">
        <is>
          <t>Tax PPN 11% (Perbaikan Repair Electric Assisted Stimulation Machine)</t>
        </is>
      </c>
      <c r="E802" s="227" t="n"/>
      <c r="F802" s="250" t="n">
        <v>9790000</v>
      </c>
      <c r="G802" s="15" t="inlineStr">
        <is>
          <t>IDR</t>
        </is>
      </c>
      <c r="H802" s="251" t="n">
        <v>1</v>
      </c>
      <c r="I802" s="251" t="n">
        <v>9790000</v>
      </c>
      <c r="J802" s="252" t="n">
        <v>9790000</v>
      </c>
      <c r="K802" s="249" t="n"/>
      <c r="L802" s="252" t="n"/>
      <c r="M802" s="253" t="n"/>
      <c r="N802" s="253" t="n"/>
      <c r="O802" s="252" t="n"/>
      <c r="P802" s="18" t="n"/>
      <c r="Q802" s="260" t="n"/>
    </row>
    <row r="803" ht="15.5" customHeight="1">
      <c r="B803" s="249" t="n">
        <v>45567</v>
      </c>
      <c r="C803" s="15" t="n">
        <v>217</v>
      </c>
      <c r="D803" s="170" t="inlineStr">
        <is>
          <t>Tax PPN 11% (Perbaikan Repair Electric Assisted Stimulation Machine)</t>
        </is>
      </c>
      <c r="E803" s="227" t="n"/>
      <c r="F803" s="250" t="n">
        <v>9790000</v>
      </c>
      <c r="G803" s="15" t="inlineStr">
        <is>
          <t>IDR</t>
        </is>
      </c>
      <c r="H803" s="251" t="n">
        <v>1</v>
      </c>
      <c r="I803" s="251" t="n">
        <v>9790000</v>
      </c>
      <c r="J803" s="252" t="n">
        <v>9790000</v>
      </c>
      <c r="K803" s="249" t="n"/>
      <c r="L803" s="252" t="n"/>
      <c r="M803" s="253" t="n"/>
      <c r="N803" s="253" t="n"/>
      <c r="O803" s="252" t="n"/>
      <c r="P803" s="18" t="n"/>
      <c r="Q803" s="260" t="n"/>
    </row>
    <row r="804" ht="15.5" customHeight="1">
      <c r="B804" s="249" t="n">
        <v>45567</v>
      </c>
      <c r="C804" s="15" t="n">
        <v>218</v>
      </c>
      <c r="D804" s="170" t="inlineStr">
        <is>
          <t>Tax PPN 11% (Perbaikan Repair Electric Assisted Stimulation Machine)</t>
        </is>
      </c>
      <c r="E804" s="227" t="n"/>
      <c r="F804" s="250" t="n">
        <v>9790000</v>
      </c>
      <c r="G804" s="15" t="inlineStr">
        <is>
          <t>IDR</t>
        </is>
      </c>
      <c r="H804" s="251" t="n">
        <v>1</v>
      </c>
      <c r="I804" s="251" t="n">
        <v>9790000</v>
      </c>
      <c r="J804" s="252" t="n">
        <v>9790000</v>
      </c>
      <c r="K804" s="249" t="n"/>
      <c r="L804" s="252" t="n"/>
      <c r="M804" s="253" t="n"/>
      <c r="N804" s="253" t="n"/>
      <c r="O804" s="252" t="n"/>
      <c r="P804" s="18" t="n"/>
      <c r="Q804" s="260" t="n"/>
    </row>
    <row r="805" ht="15.5" customHeight="1">
      <c r="B805" s="249" t="n">
        <v>45567</v>
      </c>
      <c r="C805" s="15" t="n">
        <v>219</v>
      </c>
      <c r="D805" s="170" t="inlineStr">
        <is>
          <t>Tax PPN 11% (Perbaikan Repair Electric Assisted Stimulation Machine)</t>
        </is>
      </c>
      <c r="E805" s="227" t="n"/>
      <c r="F805" s="250" t="n">
        <v>9790000</v>
      </c>
      <c r="G805" s="15" t="inlineStr">
        <is>
          <t>IDR</t>
        </is>
      </c>
      <c r="H805" s="251" t="n">
        <v>1</v>
      </c>
      <c r="I805" s="251" t="n">
        <v>9790000</v>
      </c>
      <c r="J805" s="252" t="n">
        <v>9790000</v>
      </c>
      <c r="K805" s="249" t="n"/>
      <c r="L805" s="252" t="n"/>
      <c r="M805" s="253" t="n"/>
      <c r="N805" s="253" t="n"/>
      <c r="O805" s="252" t="n"/>
      <c r="P805" s="18" t="n"/>
      <c r="Q805" s="260" t="n"/>
    </row>
    <row r="806" ht="15.5" customHeight="1">
      <c r="B806" s="249" t="n">
        <v>45567</v>
      </c>
      <c r="C806" s="15" t="n">
        <v>220</v>
      </c>
      <c r="D806" s="170" t="inlineStr">
        <is>
          <t>Tax PPN 11% (Perbaikan Repair Electric Assisted Stimulation Machine)</t>
        </is>
      </c>
      <c r="E806" s="227" t="n"/>
      <c r="F806" s="250" t="n">
        <v>9790000</v>
      </c>
      <c r="G806" s="15" t="inlineStr">
        <is>
          <t>IDR</t>
        </is>
      </c>
      <c r="H806" s="251" t="n">
        <v>1</v>
      </c>
      <c r="I806" s="251" t="n">
        <v>9790000</v>
      </c>
      <c r="J806" s="252" t="n">
        <v>9790000</v>
      </c>
      <c r="K806" s="249" t="n"/>
      <c r="L806" s="252" t="n"/>
      <c r="M806" s="253" t="n"/>
      <c r="N806" s="253" t="n"/>
      <c r="O806" s="252" t="n"/>
      <c r="P806" s="18" t="n"/>
      <c r="Q806" s="260" t="n"/>
    </row>
    <row r="807" ht="15.5" customHeight="1">
      <c r="B807" s="249" t="n">
        <v>45567</v>
      </c>
      <c r="C807" s="15" t="n">
        <v>221</v>
      </c>
      <c r="D807" s="170" t="inlineStr">
        <is>
          <t>Tax PPN 11% (Perbaikan Repair Electric Assisted Stimulation Machine)</t>
        </is>
      </c>
      <c r="E807" s="227" t="n"/>
      <c r="F807" s="250" t="n">
        <v>9790000</v>
      </c>
      <c r="G807" s="15" t="inlineStr">
        <is>
          <t>IDR</t>
        </is>
      </c>
      <c r="H807" s="251" t="n">
        <v>1</v>
      </c>
      <c r="I807" s="251" t="n">
        <v>9790000</v>
      </c>
      <c r="J807" s="252" t="n">
        <v>9790000</v>
      </c>
      <c r="K807" s="249" t="n"/>
      <c r="L807" s="252" t="n"/>
      <c r="M807" s="253" t="n"/>
      <c r="N807" s="253" t="n"/>
      <c r="O807" s="252" t="n"/>
      <c r="P807" s="18" t="n"/>
      <c r="Q807" s="260" t="n"/>
    </row>
    <row r="808" ht="15.5" customHeight="1">
      <c r="B808" s="249" t="n">
        <v>45567</v>
      </c>
      <c r="C808" s="15" t="n">
        <v>222</v>
      </c>
      <c r="D808" s="170" t="inlineStr">
        <is>
          <t>Tax PPN 11% (Perbaikan Repair Electric Assisted Stimulation Machine)</t>
        </is>
      </c>
      <c r="E808" s="227" t="n"/>
      <c r="F808" s="250" t="n">
        <v>9790000</v>
      </c>
      <c r="G808" s="15" t="inlineStr">
        <is>
          <t>IDR</t>
        </is>
      </c>
      <c r="H808" s="251" t="n">
        <v>1</v>
      </c>
      <c r="I808" s="251" t="n">
        <v>9790000</v>
      </c>
      <c r="J808" s="252" t="n">
        <v>9790000</v>
      </c>
      <c r="K808" s="249" t="n"/>
      <c r="L808" s="252" t="n"/>
      <c r="M808" s="253" t="n"/>
      <c r="N808" s="253" t="n"/>
      <c r="O808" s="252" t="n"/>
      <c r="P808" s="18" t="n"/>
      <c r="Q808" s="260" t="n"/>
    </row>
    <row r="809" ht="15.5" customHeight="1">
      <c r="B809" s="249" t="n">
        <v>45567</v>
      </c>
      <c r="C809" s="15" t="n">
        <v>223</v>
      </c>
      <c r="D809" s="170" t="inlineStr">
        <is>
          <t>Tax PPN 11% (Perbaikan Repair Electric Assisted Stimulation Machine)</t>
        </is>
      </c>
      <c r="E809" s="227" t="n"/>
      <c r="F809" s="250" t="n">
        <v>9790000</v>
      </c>
      <c r="G809" s="15" t="inlineStr">
        <is>
          <t>IDR</t>
        </is>
      </c>
      <c r="H809" s="251" t="n">
        <v>1</v>
      </c>
      <c r="I809" s="251" t="n">
        <v>9790000</v>
      </c>
      <c r="J809" s="252" t="n">
        <v>9790000</v>
      </c>
      <c r="K809" s="249" t="n"/>
      <c r="L809" s="252" t="n"/>
      <c r="M809" s="253" t="n"/>
      <c r="N809" s="253" t="n"/>
      <c r="O809" s="252" t="n"/>
      <c r="P809" s="18" t="n"/>
      <c r="Q809" s="260" t="n"/>
    </row>
    <row r="810" ht="15.5" customHeight="1">
      <c r="B810" s="249" t="n">
        <v>45567</v>
      </c>
      <c r="C810" s="15" t="n">
        <v>224</v>
      </c>
      <c r="D810" s="170" t="inlineStr">
        <is>
          <t>Tax PPN 11% (Perbaikan Repair Electric Assisted Stimulation Machine)</t>
        </is>
      </c>
      <c r="E810" s="227" t="n"/>
      <c r="F810" s="250" t="n">
        <v>9790000</v>
      </c>
      <c r="G810" s="15" t="inlineStr">
        <is>
          <t>IDR</t>
        </is>
      </c>
      <c r="H810" s="251" t="n">
        <v>1</v>
      </c>
      <c r="I810" s="251" t="n">
        <v>9790000</v>
      </c>
      <c r="J810" s="252" t="n">
        <v>9790000</v>
      </c>
      <c r="K810" s="249" t="n"/>
      <c r="L810" s="252" t="n"/>
      <c r="M810" s="253" t="n"/>
      <c r="N810" s="253" t="n"/>
      <c r="O810" s="252" t="n"/>
      <c r="P810" s="18" t="n"/>
      <c r="Q810" s="260" t="n"/>
    </row>
    <row r="811" ht="15.5" customHeight="1">
      <c r="B811" s="249" t="n">
        <v>45567</v>
      </c>
      <c r="C811" s="15" t="n">
        <v>225</v>
      </c>
      <c r="D811" s="170" t="inlineStr">
        <is>
          <t>Tax PPN 11% (Perbaikan Repair Electric Assisted Stimulation Machine)</t>
        </is>
      </c>
      <c r="E811" s="227" t="n"/>
      <c r="F811" s="250" t="n">
        <v>9790000</v>
      </c>
      <c r="G811" s="15" t="inlineStr">
        <is>
          <t>IDR</t>
        </is>
      </c>
      <c r="H811" s="251" t="n">
        <v>1</v>
      </c>
      <c r="I811" s="251" t="n">
        <v>9790000</v>
      </c>
      <c r="J811" s="252" t="n">
        <v>9790000</v>
      </c>
      <c r="K811" s="249" t="n"/>
      <c r="L811" s="252" t="n"/>
      <c r="M811" s="253" t="n"/>
      <c r="N811" s="253" t="n"/>
      <c r="O811" s="252" t="n"/>
      <c r="P811" s="18" t="n"/>
      <c r="Q811" s="260" t="n"/>
    </row>
    <row r="812" ht="15.5" customHeight="1">
      <c r="B812" s="249" t="n">
        <v>45567</v>
      </c>
      <c r="C812" s="15" t="n">
        <v>226</v>
      </c>
      <c r="D812" s="170" t="inlineStr">
        <is>
          <t>Tax PPN 11% (Perbaikan Repair Electric Assisted Stimulation Machine)</t>
        </is>
      </c>
      <c r="E812" s="227" t="n"/>
      <c r="F812" s="250" t="n">
        <v>9790000</v>
      </c>
      <c r="G812" s="15" t="inlineStr">
        <is>
          <t>IDR</t>
        </is>
      </c>
      <c r="H812" s="251" t="n">
        <v>1</v>
      </c>
      <c r="I812" s="251" t="n">
        <v>9790000</v>
      </c>
      <c r="J812" s="252" t="n">
        <v>9790000</v>
      </c>
      <c r="K812" s="249" t="n"/>
      <c r="L812" s="252" t="n"/>
      <c r="M812" s="253" t="n"/>
      <c r="N812" s="253" t="n"/>
      <c r="O812" s="252" t="n"/>
      <c r="P812" s="18" t="n"/>
      <c r="Q812" s="260" t="n"/>
    </row>
    <row r="813" ht="15.5" customHeight="1">
      <c r="B813" s="249" t="n">
        <v>45567</v>
      </c>
      <c r="C813" s="15" t="n">
        <v>227</v>
      </c>
      <c r="D813" s="170" t="inlineStr">
        <is>
          <t>Tax PPN 11% (Perbaikan Repair Electric Assisted Stimulation Machine)</t>
        </is>
      </c>
      <c r="E813" s="227" t="n"/>
      <c r="F813" s="250" t="n">
        <v>9790000</v>
      </c>
      <c r="G813" s="15" t="inlineStr">
        <is>
          <t>IDR</t>
        </is>
      </c>
      <c r="H813" s="251" t="n">
        <v>1</v>
      </c>
      <c r="I813" s="251" t="n">
        <v>9790000</v>
      </c>
      <c r="J813" s="252" t="n">
        <v>9790000</v>
      </c>
      <c r="K813" s="249" t="n"/>
      <c r="L813" s="252" t="n"/>
      <c r="M813" s="253" t="n"/>
      <c r="N813" s="253" t="n"/>
      <c r="O813" s="252" t="n"/>
      <c r="P813" s="18" t="n"/>
      <c r="Q813" s="260" t="n"/>
    </row>
    <row r="814" ht="15.5" customHeight="1">
      <c r="B814" s="249" t="n">
        <v>45567</v>
      </c>
      <c r="C814" s="15" t="n">
        <v>228</v>
      </c>
      <c r="D814" s="170" t="inlineStr">
        <is>
          <t>Tax PPN 11% (Perbaikan Repair Electric Assisted Stimulation Machine)</t>
        </is>
      </c>
      <c r="E814" s="227" t="n"/>
      <c r="F814" s="250" t="n">
        <v>9790000</v>
      </c>
      <c r="G814" s="15" t="inlineStr">
        <is>
          <t>IDR</t>
        </is>
      </c>
      <c r="H814" s="251" t="n">
        <v>1</v>
      </c>
      <c r="I814" s="251" t="n">
        <v>9790000</v>
      </c>
      <c r="J814" s="252" t="n">
        <v>9790000</v>
      </c>
      <c r="K814" s="249" t="n"/>
      <c r="L814" s="252" t="n"/>
      <c r="M814" s="253" t="n"/>
      <c r="N814" s="253" t="n"/>
      <c r="O814" s="252" t="n"/>
      <c r="P814" s="18" t="n"/>
      <c r="Q814" s="260" t="n"/>
    </row>
    <row r="815" ht="15.5" customHeight="1">
      <c r="B815" s="249" t="n">
        <v>45567</v>
      </c>
      <c r="C815" s="15" t="n">
        <v>229</v>
      </c>
      <c r="D815" s="170" t="inlineStr">
        <is>
          <t>Tax PPN 11% (Perbaikan Repair Electric Assisted Stimulation Machine)</t>
        </is>
      </c>
      <c r="E815" s="227" t="n"/>
      <c r="F815" s="250" t="n">
        <v>9790000</v>
      </c>
      <c r="G815" s="15" t="inlineStr">
        <is>
          <t>IDR</t>
        </is>
      </c>
      <c r="H815" s="251" t="n">
        <v>1</v>
      </c>
      <c r="I815" s="251" t="n">
        <v>9790000</v>
      </c>
      <c r="J815" s="252" t="n">
        <v>9790000</v>
      </c>
      <c r="K815" s="249" t="n"/>
      <c r="L815" s="252" t="n"/>
      <c r="M815" s="253" t="n"/>
      <c r="N815" s="253" t="n"/>
      <c r="O815" s="252" t="n"/>
      <c r="P815" s="18" t="n"/>
      <c r="Q815" s="260" t="n"/>
    </row>
    <row r="816" ht="15.5" customHeight="1">
      <c r="B816" s="249" t="n">
        <v>45567</v>
      </c>
      <c r="C816" s="15" t="n">
        <v>230</v>
      </c>
      <c r="D816" s="170" t="inlineStr">
        <is>
          <t>Tax PPN 11% (Perbaikan Repair Electric Assisted Stimulation Machine)</t>
        </is>
      </c>
      <c r="E816" s="227" t="n"/>
      <c r="F816" s="250" t="n">
        <v>9790000</v>
      </c>
      <c r="G816" s="15" t="inlineStr">
        <is>
          <t>IDR</t>
        </is>
      </c>
      <c r="H816" s="251" t="n">
        <v>1</v>
      </c>
      <c r="I816" s="251" t="n">
        <v>9790000</v>
      </c>
      <c r="J816" s="252" t="n">
        <v>9790000</v>
      </c>
      <c r="K816" s="249" t="n"/>
      <c r="L816" s="252" t="n"/>
      <c r="M816" s="253" t="n"/>
      <c r="N816" s="253" t="n"/>
      <c r="O816" s="252" t="n"/>
      <c r="P816" s="18" t="n"/>
      <c r="Q816" s="260" t="n"/>
    </row>
    <row r="817" ht="15.5" customHeight="1">
      <c r="B817" s="249" t="n">
        <v>45567</v>
      </c>
      <c r="C817" s="15" t="n">
        <v>231</v>
      </c>
      <c r="D817" s="170" t="inlineStr">
        <is>
          <t>Tax PPN 11% (Perbaikan Repair Electric Assisted Stimulation Machine)</t>
        </is>
      </c>
      <c r="E817" s="227" t="n"/>
      <c r="F817" s="250" t="n">
        <v>9790000</v>
      </c>
      <c r="G817" s="15" t="inlineStr">
        <is>
          <t>IDR</t>
        </is>
      </c>
      <c r="H817" s="251" t="n">
        <v>1</v>
      </c>
      <c r="I817" s="251" t="n">
        <v>9790000</v>
      </c>
      <c r="J817" s="252" t="n">
        <v>9790000</v>
      </c>
      <c r="K817" s="249" t="n"/>
      <c r="L817" s="252" t="n"/>
      <c r="M817" s="253" t="n"/>
      <c r="N817" s="253" t="n"/>
      <c r="O817" s="252" t="n"/>
      <c r="P817" s="18" t="n"/>
      <c r="Q817" s="260" t="n"/>
    </row>
    <row r="818" ht="15.5" customHeight="1">
      <c r="B818" s="249" t="n">
        <v>45567</v>
      </c>
      <c r="C818" s="15" t="n">
        <v>232</v>
      </c>
      <c r="D818" s="170" t="inlineStr">
        <is>
          <t>Tax PPN 11% (Perbaikan Repair Electric Assisted Stimulation Machine)</t>
        </is>
      </c>
      <c r="E818" s="227" t="n"/>
      <c r="F818" s="250" t="n">
        <v>9790000</v>
      </c>
      <c r="G818" s="15" t="inlineStr">
        <is>
          <t>IDR</t>
        </is>
      </c>
      <c r="H818" s="251" t="n">
        <v>1</v>
      </c>
      <c r="I818" s="251" t="n">
        <v>9790000</v>
      </c>
      <c r="J818" s="252" t="n">
        <v>9790000</v>
      </c>
      <c r="K818" s="249" t="n"/>
      <c r="L818" s="252" t="n"/>
      <c r="M818" s="253" t="n"/>
      <c r="N818" s="253" t="n"/>
      <c r="O818" s="252" t="n"/>
      <c r="P818" s="18" t="n"/>
      <c r="Q818" s="260" t="n"/>
    </row>
    <row r="819" ht="15.5" customHeight="1">
      <c r="B819" s="249" t="n">
        <v>45567</v>
      </c>
      <c r="C819" s="15" t="n">
        <v>233</v>
      </c>
      <c r="D819" s="170" t="inlineStr">
        <is>
          <t>Tax PPN 11% (Perbaikan Repair Electric Assisted Stimulation Machine)</t>
        </is>
      </c>
      <c r="E819" s="227" t="n"/>
      <c r="F819" s="250" t="n">
        <v>9790000</v>
      </c>
      <c r="G819" s="15" t="inlineStr">
        <is>
          <t>IDR</t>
        </is>
      </c>
      <c r="H819" s="251" t="n">
        <v>1</v>
      </c>
      <c r="I819" s="251" t="n">
        <v>9790000</v>
      </c>
      <c r="J819" s="252" t="n">
        <v>9790000</v>
      </c>
      <c r="K819" s="249" t="n"/>
      <c r="L819" s="252" t="n"/>
      <c r="M819" s="253" t="n"/>
      <c r="N819" s="253" t="n"/>
      <c r="O819" s="252" t="n"/>
      <c r="P819" s="18" t="n"/>
      <c r="Q819" s="260" t="n"/>
    </row>
    <row r="820" ht="15.5" customHeight="1">
      <c r="B820" s="249" t="n">
        <v>45567</v>
      </c>
      <c r="C820" s="15" t="n">
        <v>234</v>
      </c>
      <c r="D820" s="170" t="inlineStr">
        <is>
          <t>Tax PPN 11% (Perbaikan Repair Electric Assisted Stimulation Machine)</t>
        </is>
      </c>
      <c r="E820" s="227" t="n"/>
      <c r="F820" s="250" t="n">
        <v>9790000</v>
      </c>
      <c r="G820" s="15" t="inlineStr">
        <is>
          <t>IDR</t>
        </is>
      </c>
      <c r="H820" s="251" t="n">
        <v>1</v>
      </c>
      <c r="I820" s="251" t="n">
        <v>9790000</v>
      </c>
      <c r="J820" s="252" t="n">
        <v>9790000</v>
      </c>
      <c r="K820" s="249" t="n"/>
      <c r="L820" s="252" t="n"/>
      <c r="M820" s="253" t="n"/>
      <c r="N820" s="253" t="n"/>
      <c r="O820" s="252" t="n"/>
      <c r="P820" s="18" t="n"/>
      <c r="Q820" s="260" t="n"/>
    </row>
    <row r="821" ht="15.5" customHeight="1">
      <c r="B821" s="249" t="n">
        <v>45567</v>
      </c>
      <c r="C821" s="15" t="n">
        <v>235</v>
      </c>
      <c r="D821" s="170" t="inlineStr">
        <is>
          <t>Tax PPN 11% (Perbaikan Repair Electric Assisted Stimulation Machine)</t>
        </is>
      </c>
      <c r="E821" s="227" t="n"/>
      <c r="F821" s="250" t="n">
        <v>9790000</v>
      </c>
      <c r="G821" s="15" t="inlineStr">
        <is>
          <t>IDR</t>
        </is>
      </c>
      <c r="H821" s="251" t="n">
        <v>1</v>
      </c>
      <c r="I821" s="251" t="n">
        <v>9790000</v>
      </c>
      <c r="J821" s="252" t="n">
        <v>9790000</v>
      </c>
      <c r="K821" s="249" t="n"/>
      <c r="L821" s="252" t="n"/>
      <c r="M821" s="253" t="n"/>
      <c r="N821" s="253" t="n"/>
      <c r="O821" s="252" t="n"/>
      <c r="P821" s="18" t="n"/>
      <c r="Q821" s="260" t="n"/>
    </row>
    <row r="822" ht="15.5" customHeight="1">
      <c r="B822" s="249" t="n">
        <v>45567</v>
      </c>
      <c r="C822" s="15" t="n">
        <v>236</v>
      </c>
      <c r="D822" s="170" t="inlineStr">
        <is>
          <t>Tax PPN 11% (Perbaikan Repair Electric Assisted Stimulation Machine)</t>
        </is>
      </c>
      <c r="E822" s="227" t="n"/>
      <c r="F822" s="250" t="n">
        <v>9790000</v>
      </c>
      <c r="G822" s="15" t="inlineStr">
        <is>
          <t>IDR</t>
        </is>
      </c>
      <c r="H822" s="251" t="n">
        <v>1</v>
      </c>
      <c r="I822" s="251" t="n">
        <v>9790000</v>
      </c>
      <c r="J822" s="252" t="n">
        <v>9790000</v>
      </c>
      <c r="K822" s="249" t="n"/>
      <c r="L822" s="252" t="n"/>
      <c r="M822" s="253" t="n"/>
      <c r="N822" s="253" t="n"/>
      <c r="O822" s="252" t="n"/>
      <c r="P822" s="18" t="n"/>
      <c r="Q822" s="260" t="n"/>
    </row>
    <row r="823" ht="15.5" customHeight="1">
      <c r="B823" s="249" t="n">
        <v>45567</v>
      </c>
      <c r="C823" s="15" t="n">
        <v>237</v>
      </c>
      <c r="D823" s="170" t="inlineStr">
        <is>
          <t>Tax PPN 11% (Perbaikan Repair Electric Assisted Stimulation Machine)</t>
        </is>
      </c>
      <c r="E823" s="227" t="n"/>
      <c r="F823" s="250" t="n">
        <v>9790000</v>
      </c>
      <c r="G823" s="15" t="inlineStr">
        <is>
          <t>IDR</t>
        </is>
      </c>
      <c r="H823" s="251" t="n">
        <v>1</v>
      </c>
      <c r="I823" s="251" t="n">
        <v>9790000</v>
      </c>
      <c r="J823" s="252" t="n">
        <v>9790000</v>
      </c>
      <c r="K823" s="249" t="n"/>
      <c r="L823" s="252" t="n"/>
      <c r="M823" s="253" t="n"/>
      <c r="N823" s="253" t="n"/>
      <c r="O823" s="252" t="n"/>
      <c r="P823" s="18" t="n"/>
      <c r="Q823" s="260" t="n"/>
    </row>
    <row r="824" ht="15.5" customHeight="1">
      <c r="B824" s="249" t="n">
        <v>45567</v>
      </c>
      <c r="C824" s="15" t="n">
        <v>238</v>
      </c>
      <c r="D824" s="170" t="inlineStr">
        <is>
          <t>Tax PPN 11% (Perbaikan Repair Electric Assisted Stimulation Machine)</t>
        </is>
      </c>
      <c r="E824" s="227" t="n"/>
      <c r="F824" s="250" t="n">
        <v>9790000</v>
      </c>
      <c r="G824" s="15" t="inlineStr">
        <is>
          <t>IDR</t>
        </is>
      </c>
      <c r="H824" s="251" t="n">
        <v>1</v>
      </c>
      <c r="I824" s="251" t="n">
        <v>9790000</v>
      </c>
      <c r="J824" s="252" t="n">
        <v>9790000</v>
      </c>
      <c r="K824" s="249" t="n"/>
      <c r="L824" s="252" t="n"/>
      <c r="M824" s="253" t="n"/>
      <c r="N824" s="253" t="n"/>
      <c r="O824" s="252" t="n"/>
      <c r="P824" s="18" t="n"/>
      <c r="Q824" s="260" t="n"/>
    </row>
    <row r="825" ht="15.5" customHeight="1">
      <c r="B825" s="249" t="n">
        <v>45567</v>
      </c>
      <c r="C825" s="15" t="n">
        <v>239</v>
      </c>
      <c r="D825" s="170" t="inlineStr">
        <is>
          <t>Tax PPN 11% (Perbaikan Repair Electric Assisted Stimulation Machine)</t>
        </is>
      </c>
      <c r="E825" s="227" t="n"/>
      <c r="F825" s="250" t="n">
        <v>9790000</v>
      </c>
      <c r="G825" s="15" t="inlineStr">
        <is>
          <t>IDR</t>
        </is>
      </c>
      <c r="H825" s="251" t="n">
        <v>1</v>
      </c>
      <c r="I825" s="251" t="n">
        <v>9790000</v>
      </c>
      <c r="J825" s="252" t="n">
        <v>9790000</v>
      </c>
      <c r="K825" s="249" t="n"/>
      <c r="L825" s="252" t="n"/>
      <c r="M825" s="253" t="n"/>
      <c r="N825" s="253" t="n"/>
      <c r="O825" s="252" t="n"/>
      <c r="P825" s="18" t="n"/>
      <c r="Q825" s="260" t="n"/>
    </row>
    <row r="826" ht="15.5" customHeight="1">
      <c r="B826" s="249" t="n">
        <v>45567</v>
      </c>
      <c r="C826" s="15" t="n">
        <v>240</v>
      </c>
      <c r="D826" s="170" t="inlineStr">
        <is>
          <t>Tax PPN 11% (Perbaikan Repair Electric Assisted Stimulation Machine)</t>
        </is>
      </c>
      <c r="E826" s="227" t="n"/>
      <c r="F826" s="250" t="n">
        <v>9790000</v>
      </c>
      <c r="G826" s="15" t="inlineStr">
        <is>
          <t>IDR</t>
        </is>
      </c>
      <c r="H826" s="251" t="n">
        <v>1</v>
      </c>
      <c r="I826" s="251" t="n">
        <v>9790000</v>
      </c>
      <c r="J826" s="252" t="n">
        <v>9790000</v>
      </c>
      <c r="K826" s="249" t="n"/>
      <c r="L826" s="252" t="n"/>
      <c r="M826" s="253" t="n"/>
      <c r="N826" s="253" t="n"/>
      <c r="O826" s="252" t="n"/>
      <c r="P826" s="18" t="n"/>
      <c r="Q826" s="260" t="n"/>
    </row>
    <row r="827" ht="15.5" customHeight="1">
      <c r="B827" s="249" t="n">
        <v>45567</v>
      </c>
      <c r="C827" s="15" t="n">
        <v>241</v>
      </c>
      <c r="D827" s="170" t="inlineStr">
        <is>
          <t>Tax PPN 11% (Perbaikan Repair Electric Assisted Stimulation Machine)</t>
        </is>
      </c>
      <c r="E827" s="227" t="n"/>
      <c r="F827" s="250" t="n">
        <v>9790000</v>
      </c>
      <c r="G827" s="15" t="inlineStr">
        <is>
          <t>IDR</t>
        </is>
      </c>
      <c r="H827" s="251" t="n">
        <v>1</v>
      </c>
      <c r="I827" s="251" t="n">
        <v>9790000</v>
      </c>
      <c r="J827" s="252" t="n">
        <v>9790000</v>
      </c>
      <c r="K827" s="249" t="n"/>
      <c r="L827" s="252" t="n"/>
      <c r="M827" s="253" t="n"/>
      <c r="N827" s="253" t="n"/>
      <c r="O827" s="252" t="n"/>
      <c r="P827" s="18" t="n"/>
      <c r="Q827" s="260" t="n"/>
    </row>
    <row r="828" ht="15.5" customHeight="1">
      <c r="B828" s="249" t="n">
        <v>45567</v>
      </c>
      <c r="C828" s="15" t="n">
        <v>242</v>
      </c>
      <c r="D828" s="170" t="inlineStr">
        <is>
          <t>Tax PPN 11% (Perbaikan Repair Electric Assisted Stimulation Machine)</t>
        </is>
      </c>
      <c r="E828" s="227" t="n"/>
      <c r="F828" s="250" t="n">
        <v>9790000</v>
      </c>
      <c r="G828" s="15" t="inlineStr">
        <is>
          <t>IDR</t>
        </is>
      </c>
      <c r="H828" s="251" t="n">
        <v>1</v>
      </c>
      <c r="I828" s="251" t="n">
        <v>9790000</v>
      </c>
      <c r="J828" s="252" t="n">
        <v>9790000</v>
      </c>
      <c r="K828" s="249" t="n"/>
      <c r="L828" s="252" t="n"/>
      <c r="M828" s="253" t="n"/>
      <c r="N828" s="253" t="n"/>
      <c r="O828" s="252" t="n"/>
      <c r="P828" s="18" t="n"/>
      <c r="Q828" s="260" t="n"/>
    </row>
    <row r="829" ht="15.5" customHeight="1">
      <c r="B829" s="249" t="n">
        <v>45567</v>
      </c>
      <c r="C829" s="15" t="n">
        <v>243</v>
      </c>
      <c r="D829" s="170" t="inlineStr">
        <is>
          <t>Tax PPN 11% (Perbaikan Repair Electric Assisted Stimulation Machine)</t>
        </is>
      </c>
      <c r="E829" s="227" t="n"/>
      <c r="F829" s="250" t="n">
        <v>9790000</v>
      </c>
      <c r="G829" s="15" t="inlineStr">
        <is>
          <t>IDR</t>
        </is>
      </c>
      <c r="H829" s="251" t="n">
        <v>1</v>
      </c>
      <c r="I829" s="251" t="n">
        <v>9790000</v>
      </c>
      <c r="J829" s="252" t="n">
        <v>9790000</v>
      </c>
      <c r="K829" s="249" t="n"/>
      <c r="L829" s="252" t="n"/>
      <c r="M829" s="253" t="n"/>
      <c r="N829" s="253" t="n"/>
      <c r="O829" s="252" t="n"/>
      <c r="P829" s="18" t="n"/>
      <c r="Q829" s="260" t="n"/>
    </row>
    <row r="830" ht="15.5" customHeight="1">
      <c r="B830" s="249" t="n">
        <v>45567</v>
      </c>
      <c r="C830" s="15" t="n">
        <v>244</v>
      </c>
      <c r="D830" s="170" t="inlineStr">
        <is>
          <t>Tax PPN 11% (Perbaikan Repair Electric Assisted Stimulation Machine)</t>
        </is>
      </c>
      <c r="E830" s="227" t="n"/>
      <c r="F830" s="250" t="n">
        <v>9790000</v>
      </c>
      <c r="G830" s="15" t="inlineStr">
        <is>
          <t>IDR</t>
        </is>
      </c>
      <c r="H830" s="251" t="n">
        <v>1</v>
      </c>
      <c r="I830" s="251" t="n">
        <v>9790000</v>
      </c>
      <c r="J830" s="252" t="n">
        <v>9790000</v>
      </c>
      <c r="K830" s="249" t="n"/>
      <c r="L830" s="252" t="n"/>
      <c r="M830" s="253" t="n"/>
      <c r="N830" s="253" t="n"/>
      <c r="O830" s="252" t="n"/>
      <c r="P830" s="18" t="n"/>
      <c r="Q830" s="260" t="n"/>
    </row>
    <row r="831" ht="15.5" customHeight="1">
      <c r="B831" s="249" t="n">
        <v>45567</v>
      </c>
      <c r="C831" s="15" t="n">
        <v>245</v>
      </c>
      <c r="D831" s="170" t="inlineStr">
        <is>
          <t>Tax PPN 11% (Perbaikan Repair Electric Assisted Stimulation Machine)</t>
        </is>
      </c>
      <c r="E831" s="227" t="n"/>
      <c r="F831" s="250" t="n">
        <v>9790000</v>
      </c>
      <c r="G831" s="15" t="inlineStr">
        <is>
          <t>IDR</t>
        </is>
      </c>
      <c r="H831" s="251" t="n">
        <v>1</v>
      </c>
      <c r="I831" s="251" t="n">
        <v>9790000</v>
      </c>
      <c r="J831" s="252" t="n">
        <v>9790000</v>
      </c>
      <c r="K831" s="249" t="n"/>
      <c r="L831" s="252" t="n"/>
      <c r="M831" s="253" t="n"/>
      <c r="N831" s="253" t="n"/>
      <c r="O831" s="252" t="n"/>
      <c r="P831" s="18" t="n"/>
      <c r="Q831" s="260" t="n"/>
    </row>
    <row r="832" ht="15.5" customHeight="1">
      <c r="B832" s="249" t="n">
        <v>45567</v>
      </c>
      <c r="C832" s="15" t="n">
        <v>246</v>
      </c>
      <c r="D832" s="170" t="inlineStr">
        <is>
          <t>Tax PPN 11% (Perbaikan Repair Electric Assisted Stimulation Machine)</t>
        </is>
      </c>
      <c r="E832" s="227" t="n"/>
      <c r="F832" s="250" t="n">
        <v>9790000</v>
      </c>
      <c r="G832" s="15" t="inlineStr">
        <is>
          <t>IDR</t>
        </is>
      </c>
      <c r="H832" s="251" t="n">
        <v>1</v>
      </c>
      <c r="I832" s="251" t="n">
        <v>9790000</v>
      </c>
      <c r="J832" s="252" t="n">
        <v>9790000</v>
      </c>
      <c r="K832" s="249" t="n"/>
      <c r="L832" s="252" t="n"/>
      <c r="M832" s="253" t="n"/>
      <c r="N832" s="253" t="n"/>
      <c r="O832" s="252" t="n"/>
      <c r="P832" s="18" t="n"/>
      <c r="Q832" s="260" t="n"/>
    </row>
    <row r="833" ht="15.5" customHeight="1">
      <c r="B833" s="249" t="n">
        <v>45589</v>
      </c>
      <c r="C833" s="15" t="n">
        <v>247</v>
      </c>
      <c r="D833" s="170" t="inlineStr">
        <is>
          <t>Penalty telat bayar pajak PPN project sarulla_INV-007_under Sibat</t>
        </is>
      </c>
      <c r="E833" s="227" t="n"/>
      <c r="F833" s="250" t="n">
        <v>17716045</v>
      </c>
      <c r="G833" s="15" t="inlineStr">
        <is>
          <t>IDR</t>
        </is>
      </c>
      <c r="H833" s="251" t="n">
        <v>1</v>
      </c>
      <c r="I833" s="15" t="n"/>
      <c r="J833" s="18" t="n"/>
      <c r="K833" s="249" t="n"/>
      <c r="L833" s="252" t="n"/>
      <c r="M833" s="253" t="n"/>
      <c r="N833" s="253" t="n"/>
      <c r="O833" s="252" t="n"/>
      <c r="P833" s="18" t="n"/>
      <c r="Q833" s="260" t="n"/>
    </row>
    <row r="834" ht="15.5" customHeight="1">
      <c r="B834" s="249" t="n">
        <v>45589</v>
      </c>
      <c r="C834" s="15" t="n">
        <v>248</v>
      </c>
      <c r="D834" s="170" t="inlineStr">
        <is>
          <t>Penalty telat bayar pajak PPN project sarulla_INV-007_under Sibat</t>
        </is>
      </c>
      <c r="E834" s="227" t="n"/>
      <c r="F834" s="250" t="n">
        <v>17716045</v>
      </c>
      <c r="G834" s="15" t="inlineStr">
        <is>
          <t>IDR</t>
        </is>
      </c>
      <c r="H834" s="251" t="n">
        <v>1</v>
      </c>
      <c r="I834" s="15" t="n"/>
      <c r="J834" s="18" t="n"/>
      <c r="K834" s="249" t="n"/>
      <c r="L834" s="252" t="n"/>
      <c r="M834" s="253" t="n"/>
      <c r="N834" s="253" t="n"/>
      <c r="O834" s="252" t="n"/>
      <c r="P834" s="18" t="n"/>
      <c r="Q834" s="260" t="n"/>
    </row>
    <row r="835" ht="15.5" customHeight="1">
      <c r="B835" s="249" t="n">
        <v>45589</v>
      </c>
      <c r="C835" s="15" t="n">
        <v>249</v>
      </c>
      <c r="D835" s="170" t="inlineStr">
        <is>
          <t>Penalty telat bayar pajak PPN project sarulla_INV-007_under Sibat</t>
        </is>
      </c>
      <c r="E835" s="227" t="n"/>
      <c r="F835" s="250" t="n">
        <v>17716045</v>
      </c>
      <c r="G835" s="15" t="inlineStr">
        <is>
          <t>IDR</t>
        </is>
      </c>
      <c r="H835" s="251" t="n">
        <v>1</v>
      </c>
      <c r="I835" s="15" t="n"/>
      <c r="J835" s="18" t="n"/>
      <c r="K835" s="249" t="n"/>
      <c r="L835" s="252" t="n"/>
      <c r="M835" s="253" t="n"/>
      <c r="N835" s="253" t="n"/>
      <c r="O835" s="252" t="n"/>
      <c r="P835" s="18" t="n"/>
      <c r="Q835" s="260" t="n"/>
    </row>
    <row r="836" ht="15.5" customHeight="1">
      <c r="B836" s="249" t="n">
        <v>45589</v>
      </c>
      <c r="C836" s="15" t="n">
        <v>250</v>
      </c>
      <c r="D836" s="170" t="inlineStr">
        <is>
          <t>Penalty telat bayar pajak PPN project sarulla_INV-007_under Sibat</t>
        </is>
      </c>
      <c r="E836" s="227" t="n"/>
      <c r="F836" s="250" t="n">
        <v>17716045</v>
      </c>
      <c r="G836" s="15" t="inlineStr">
        <is>
          <t>IDR</t>
        </is>
      </c>
      <c r="H836" s="251" t="n">
        <v>1</v>
      </c>
      <c r="I836" s="15" t="n"/>
      <c r="J836" s="18" t="n"/>
      <c r="K836" s="249" t="n"/>
      <c r="L836" s="252" t="n"/>
      <c r="M836" s="253" t="n"/>
      <c r="N836" s="253" t="n"/>
      <c r="O836" s="252" t="n"/>
      <c r="P836" s="18" t="n"/>
      <c r="Q836" s="260" t="n"/>
    </row>
    <row r="837" ht="15.5" customHeight="1">
      <c r="B837" s="249" t="n">
        <v>45589</v>
      </c>
      <c r="C837" s="15" t="n">
        <v>251</v>
      </c>
      <c r="D837" s="170" t="inlineStr">
        <is>
          <t>Penalty telat bayar pajak PPN project sarulla_INV-007_under Sibat</t>
        </is>
      </c>
      <c r="E837" s="227" t="n"/>
      <c r="F837" s="250" t="n">
        <v>17716045</v>
      </c>
      <c r="G837" s="15" t="inlineStr">
        <is>
          <t>IDR</t>
        </is>
      </c>
      <c r="H837" s="251" t="n">
        <v>1</v>
      </c>
      <c r="I837" s="15" t="n"/>
      <c r="J837" s="18" t="n"/>
      <c r="K837" s="249" t="n"/>
      <c r="L837" s="252" t="n"/>
      <c r="M837" s="253" t="n"/>
      <c r="N837" s="253" t="n"/>
      <c r="O837" s="252" t="n"/>
      <c r="P837" s="18" t="n"/>
      <c r="Q837" s="260" t="n"/>
    </row>
    <row r="838" ht="15.5" customHeight="1">
      <c r="B838" s="249" t="n">
        <v>45589</v>
      </c>
      <c r="C838" s="15" t="n">
        <v>252</v>
      </c>
      <c r="D838" s="170" t="inlineStr">
        <is>
          <t>Penalty telat bayar pajak PPN project sarulla_INV-007_under Sibat</t>
        </is>
      </c>
      <c r="E838" s="227" t="n"/>
      <c r="F838" s="250" t="n">
        <v>17716045</v>
      </c>
      <c r="G838" s="15" t="inlineStr">
        <is>
          <t>IDR</t>
        </is>
      </c>
      <c r="H838" s="251" t="n">
        <v>1</v>
      </c>
      <c r="I838" s="15" t="n"/>
      <c r="J838" s="18" t="n"/>
      <c r="K838" s="249" t="n"/>
      <c r="L838" s="252" t="n"/>
      <c r="M838" s="253" t="n"/>
      <c r="N838" s="253" t="n"/>
      <c r="O838" s="252" t="n"/>
      <c r="P838" s="18" t="n"/>
      <c r="Q838" s="260" t="n"/>
    </row>
    <row r="839" ht="15.5" customHeight="1">
      <c r="B839" s="249" t="n">
        <v>45589</v>
      </c>
      <c r="C839" s="15" t="n">
        <v>253</v>
      </c>
      <c r="D839" s="170" t="inlineStr">
        <is>
          <t>Penalty telat bayar pajak PPN project sarulla_INV-007_under Sibat</t>
        </is>
      </c>
      <c r="E839" s="227" t="n"/>
      <c r="F839" s="250" t="n">
        <v>17716045</v>
      </c>
      <c r="G839" s="15" t="inlineStr">
        <is>
          <t>IDR</t>
        </is>
      </c>
      <c r="H839" s="251" t="n">
        <v>1</v>
      </c>
      <c r="I839" s="15" t="n"/>
      <c r="J839" s="18" t="n"/>
      <c r="K839" s="249" t="n"/>
      <c r="L839" s="252" t="n"/>
      <c r="M839" s="253" t="n"/>
      <c r="N839" s="253" t="n"/>
      <c r="O839" s="252" t="n"/>
      <c r="P839" s="18" t="n"/>
      <c r="Q839" s="260" t="n"/>
    </row>
    <row r="840" ht="15.5" customHeight="1">
      <c r="B840" s="249" t="n">
        <v>45589</v>
      </c>
      <c r="C840" s="15" t="n">
        <v>254</v>
      </c>
      <c r="D840" s="170" t="inlineStr">
        <is>
          <t>Penalty telat bayar pajak PPN project sarulla_INV-007_under Sibat</t>
        </is>
      </c>
      <c r="E840" s="227" t="n"/>
      <c r="F840" s="250" t="n">
        <v>17716045</v>
      </c>
      <c r="G840" s="15" t="inlineStr">
        <is>
          <t>IDR</t>
        </is>
      </c>
      <c r="H840" s="251" t="n">
        <v>1</v>
      </c>
      <c r="I840" s="15" t="n"/>
      <c r="J840" s="18" t="n"/>
      <c r="K840" s="249" t="n"/>
      <c r="L840" s="252" t="n"/>
      <c r="M840" s="253" t="n"/>
      <c r="N840" s="253" t="n"/>
      <c r="O840" s="252" t="n"/>
      <c r="P840" s="18" t="n"/>
      <c r="Q840" s="260" t="n"/>
    </row>
    <row r="841" ht="15.5" customHeight="1">
      <c r="B841" s="249" t="n">
        <v>45589</v>
      </c>
      <c r="C841" s="15" t="n">
        <v>255</v>
      </c>
      <c r="D841" s="170" t="inlineStr">
        <is>
          <t>Penalty telat bayar pajak PPN project sarulla_INV-007_under Sibat</t>
        </is>
      </c>
      <c r="E841" s="227" t="n"/>
      <c r="F841" s="250" t="n">
        <v>17716045</v>
      </c>
      <c r="G841" s="15" t="inlineStr">
        <is>
          <t>IDR</t>
        </is>
      </c>
      <c r="H841" s="251" t="n">
        <v>1</v>
      </c>
      <c r="I841" s="15" t="n"/>
      <c r="J841" s="18" t="n"/>
      <c r="K841" s="249" t="n"/>
      <c r="L841" s="252" t="n"/>
      <c r="M841" s="253" t="n"/>
      <c r="N841" s="253" t="n"/>
      <c r="O841" s="252" t="n"/>
      <c r="P841" s="18" t="n"/>
      <c r="Q841" s="260" t="n"/>
    </row>
    <row r="842" ht="15.5" customHeight="1">
      <c r="B842" s="249" t="n">
        <v>45589</v>
      </c>
      <c r="C842" s="15" t="n">
        <v>256</v>
      </c>
      <c r="D842" s="170" t="inlineStr">
        <is>
          <t>Penalty telat bayar pajak PPN project sarulla_INV-007_under Sibat</t>
        </is>
      </c>
      <c r="E842" s="227" t="n"/>
      <c r="F842" s="250" t="n">
        <v>17716045</v>
      </c>
      <c r="G842" s="15" t="inlineStr">
        <is>
          <t>IDR</t>
        </is>
      </c>
      <c r="H842" s="251" t="n">
        <v>1</v>
      </c>
      <c r="I842" s="15" t="n"/>
      <c r="J842" s="18" t="n"/>
      <c r="K842" s="249" t="n"/>
      <c r="L842" s="252" t="n"/>
      <c r="M842" s="253" t="n"/>
      <c r="N842" s="253" t="n"/>
      <c r="O842" s="252" t="n"/>
      <c r="P842" s="18" t="n"/>
      <c r="Q842" s="260" t="n"/>
    </row>
    <row r="843" ht="15.5" customHeight="1">
      <c r="B843" s="249" t="n">
        <v>45589</v>
      </c>
      <c r="C843" s="15" t="n">
        <v>257</v>
      </c>
      <c r="D843" s="170" t="inlineStr">
        <is>
          <t>Penalty telat bayar pajak PPN project sarulla_INV-007_under Sibat</t>
        </is>
      </c>
      <c r="E843" s="227" t="n"/>
      <c r="F843" s="250" t="n">
        <v>17716045</v>
      </c>
      <c r="G843" s="15" t="inlineStr">
        <is>
          <t>IDR</t>
        </is>
      </c>
      <c r="H843" s="251" t="n">
        <v>1</v>
      </c>
      <c r="I843" s="15" t="n"/>
      <c r="J843" s="18" t="n"/>
      <c r="K843" s="249" t="n"/>
      <c r="L843" s="252" t="n"/>
      <c r="M843" s="253" t="n"/>
      <c r="N843" s="253" t="n"/>
      <c r="O843" s="252" t="n"/>
      <c r="P843" s="18" t="n"/>
      <c r="Q843" s="260" t="n"/>
    </row>
    <row r="844" ht="15.5" customHeight="1">
      <c r="B844" s="249" t="n">
        <v>45589</v>
      </c>
      <c r="C844" s="15" t="n">
        <v>258</v>
      </c>
      <c r="D844" s="170" t="inlineStr">
        <is>
          <t>Penalty telat bayar pajak PPN project sarulla_INV-007_under Sibat</t>
        </is>
      </c>
      <c r="E844" s="227" t="n"/>
      <c r="F844" s="250" t="n">
        <v>17716045</v>
      </c>
      <c r="G844" s="15" t="inlineStr">
        <is>
          <t>IDR</t>
        </is>
      </c>
      <c r="H844" s="251" t="n">
        <v>1</v>
      </c>
      <c r="I844" s="15" t="n"/>
      <c r="J844" s="18" t="n"/>
      <c r="K844" s="249" t="n"/>
      <c r="L844" s="252" t="n"/>
      <c r="M844" s="253" t="n"/>
      <c r="N844" s="253" t="n"/>
      <c r="O844" s="252" t="n"/>
      <c r="P844" s="18" t="n"/>
      <c r="Q844" s="260" t="n"/>
    </row>
    <row r="845" ht="15.5" customHeight="1">
      <c r="B845" s="249" t="n">
        <v>45589</v>
      </c>
      <c r="C845" s="15" t="n">
        <v>259</v>
      </c>
      <c r="D845" s="170" t="inlineStr">
        <is>
          <t>Penalty telat bayar pajak PPN project sarulla_INV-007_under Sibat</t>
        </is>
      </c>
      <c r="E845" s="227" t="n"/>
      <c r="F845" s="250" t="n">
        <v>17716045</v>
      </c>
      <c r="G845" s="15" t="inlineStr">
        <is>
          <t>IDR</t>
        </is>
      </c>
      <c r="H845" s="251" t="n">
        <v>1</v>
      </c>
      <c r="I845" s="15" t="n"/>
      <c r="J845" s="18" t="n"/>
      <c r="K845" s="249" t="n"/>
      <c r="L845" s="252" t="n"/>
      <c r="M845" s="253" t="n"/>
      <c r="N845" s="253" t="n"/>
      <c r="O845" s="252" t="n"/>
      <c r="P845" s="18" t="n"/>
      <c r="Q845" s="260" t="n"/>
    </row>
    <row r="846" ht="15.5" customHeight="1">
      <c r="B846" s="249" t="n">
        <v>45589</v>
      </c>
      <c r="C846" s="15" t="n">
        <v>260</v>
      </c>
      <c r="D846" s="170" t="inlineStr">
        <is>
          <t>Penalty telat bayar pajak PPN project sarulla_INV-007_under Sibat</t>
        </is>
      </c>
      <c r="E846" s="227" t="n"/>
      <c r="F846" s="250" t="n">
        <v>17716045</v>
      </c>
      <c r="G846" s="15" t="inlineStr">
        <is>
          <t>IDR</t>
        </is>
      </c>
      <c r="H846" s="251" t="n">
        <v>1</v>
      </c>
      <c r="I846" s="15" t="n"/>
      <c r="J846" s="18" t="n"/>
      <c r="K846" s="249" t="n"/>
      <c r="L846" s="252" t="n"/>
      <c r="M846" s="253" t="n"/>
      <c r="N846" s="253" t="n"/>
      <c r="O846" s="252" t="n"/>
      <c r="P846" s="18" t="n"/>
      <c r="Q846" s="260" t="n"/>
    </row>
    <row r="847" ht="15.5" customHeight="1">
      <c r="B847" s="249" t="n">
        <v>45589</v>
      </c>
      <c r="C847" s="15" t="n">
        <v>261</v>
      </c>
      <c r="D847" s="170" t="inlineStr">
        <is>
          <t>Penalty telat bayar pajak PPN project sarulla_INV-007_under Sibat</t>
        </is>
      </c>
      <c r="E847" s="227" t="n"/>
      <c r="F847" s="250" t="n">
        <v>17716045</v>
      </c>
      <c r="G847" s="15" t="inlineStr">
        <is>
          <t>IDR</t>
        </is>
      </c>
      <c r="H847" s="251" t="n">
        <v>1</v>
      </c>
      <c r="I847" s="15" t="n"/>
      <c r="J847" s="18" t="n"/>
      <c r="K847" s="249" t="n"/>
      <c r="L847" s="252" t="n"/>
      <c r="M847" s="253" t="n"/>
      <c r="N847" s="253" t="n"/>
      <c r="O847" s="252" t="n"/>
      <c r="P847" s="18" t="n"/>
      <c r="Q847" s="260" t="n"/>
    </row>
    <row r="848" ht="15.5" customHeight="1">
      <c r="B848" s="249" t="n">
        <v>45589</v>
      </c>
      <c r="C848" s="15" t="n">
        <v>262</v>
      </c>
      <c r="D848" s="170" t="inlineStr">
        <is>
          <t>Penalty telat bayar pajak PPN project sarulla_INV-007_under Sibat</t>
        </is>
      </c>
      <c r="E848" s="227" t="n"/>
      <c r="F848" s="250" t="n">
        <v>17716045</v>
      </c>
      <c r="G848" s="15" t="inlineStr">
        <is>
          <t>IDR</t>
        </is>
      </c>
      <c r="H848" s="251" t="n">
        <v>1</v>
      </c>
      <c r="I848" s="15" t="n"/>
      <c r="J848" s="18" t="n"/>
      <c r="K848" s="249" t="n"/>
      <c r="L848" s="252" t="n"/>
      <c r="M848" s="253" t="n"/>
      <c r="N848" s="253" t="n"/>
      <c r="O848" s="252" t="n"/>
      <c r="P848" s="18" t="n"/>
      <c r="Q848" s="260" t="n"/>
    </row>
    <row r="849" ht="15.5" customHeight="1">
      <c r="B849" s="249" t="n">
        <v>45589</v>
      </c>
      <c r="C849" s="15" t="n">
        <v>263</v>
      </c>
      <c r="D849" s="170" t="inlineStr">
        <is>
          <t>Penalty telat bayar pajak PPN project sarulla_INV-007_under Sibat</t>
        </is>
      </c>
      <c r="E849" s="227" t="n"/>
      <c r="F849" s="250" t="n">
        <v>17716045</v>
      </c>
      <c r="G849" s="15" t="inlineStr">
        <is>
          <t>IDR</t>
        </is>
      </c>
      <c r="H849" s="251" t="n">
        <v>1</v>
      </c>
      <c r="I849" s="15" t="n"/>
      <c r="J849" s="18" t="n"/>
      <c r="K849" s="249" t="n"/>
      <c r="L849" s="252" t="n"/>
      <c r="M849" s="253" t="n"/>
      <c r="N849" s="253" t="n"/>
      <c r="O849" s="252" t="n"/>
      <c r="P849" s="18" t="n"/>
      <c r="Q849" s="260" t="n"/>
    </row>
    <row r="850" ht="15.5" customHeight="1">
      <c r="B850" s="249" t="n">
        <v>45589</v>
      </c>
      <c r="C850" s="15" t="n">
        <v>264</v>
      </c>
      <c r="D850" s="170" t="inlineStr">
        <is>
          <t>Penalty telat bayar pajak PPN project sarulla_INV-007_under Sibat</t>
        </is>
      </c>
      <c r="E850" s="227" t="n"/>
      <c r="F850" s="250" t="n">
        <v>17716045</v>
      </c>
      <c r="G850" s="15" t="inlineStr">
        <is>
          <t>IDR</t>
        </is>
      </c>
      <c r="H850" s="251" t="n">
        <v>1</v>
      </c>
      <c r="I850" s="15" t="n"/>
      <c r="J850" s="18" t="n"/>
      <c r="K850" s="249" t="n"/>
      <c r="L850" s="252" t="n"/>
      <c r="M850" s="253" t="n"/>
      <c r="N850" s="253" t="n"/>
      <c r="O850" s="252" t="n"/>
      <c r="P850" s="18" t="n"/>
      <c r="Q850" s="260" t="n"/>
    </row>
    <row r="851" ht="15.5" customHeight="1">
      <c r="B851" s="249" t="n">
        <v>45589</v>
      </c>
      <c r="C851" s="15" t="n">
        <v>265</v>
      </c>
      <c r="D851" s="170" t="inlineStr">
        <is>
          <t>Penalty telat bayar pajak PPN project sarulla_INV-007_under Sibat</t>
        </is>
      </c>
      <c r="E851" s="227" t="n"/>
      <c r="F851" s="250" t="n">
        <v>17716045</v>
      </c>
      <c r="G851" s="15" t="inlineStr">
        <is>
          <t>IDR</t>
        </is>
      </c>
      <c r="H851" s="251" t="n">
        <v>1</v>
      </c>
      <c r="I851" s="15" t="n"/>
      <c r="J851" s="18" t="n"/>
      <c r="K851" s="249" t="n"/>
      <c r="L851" s="252" t="n"/>
      <c r="M851" s="253" t="n"/>
      <c r="N851" s="253" t="n"/>
      <c r="O851" s="252" t="n"/>
      <c r="P851" s="18" t="n"/>
      <c r="Q851" s="260" t="n"/>
    </row>
    <row r="852" ht="15.5" customHeight="1">
      <c r="B852" s="249" t="n">
        <v>45589</v>
      </c>
      <c r="C852" s="15" t="n">
        <v>266</v>
      </c>
      <c r="D852" s="170" t="inlineStr">
        <is>
          <t>Penalty telat bayar pajak PPN project sarulla_INV-007_under Sibat</t>
        </is>
      </c>
      <c r="E852" s="227" t="n"/>
      <c r="F852" s="250" t="n">
        <v>17716045</v>
      </c>
      <c r="G852" s="15" t="inlineStr">
        <is>
          <t>IDR</t>
        </is>
      </c>
      <c r="H852" s="251" t="n">
        <v>1</v>
      </c>
      <c r="I852" s="15" t="n"/>
      <c r="J852" s="18" t="n"/>
      <c r="K852" s="249" t="n"/>
      <c r="L852" s="252" t="n"/>
      <c r="M852" s="253" t="n"/>
      <c r="N852" s="253" t="n"/>
      <c r="O852" s="252" t="n"/>
      <c r="P852" s="18" t="n"/>
      <c r="Q852" s="260" t="n"/>
    </row>
    <row r="853" ht="15.5" customHeight="1">
      <c r="B853" s="249" t="n">
        <v>45589</v>
      </c>
      <c r="C853" s="15" t="n">
        <v>267</v>
      </c>
      <c r="D853" s="170" t="inlineStr">
        <is>
          <t>Penalty telat bayar pajak PPN project sarulla_INV-007_under Sibat</t>
        </is>
      </c>
      <c r="E853" s="227" t="n"/>
      <c r="F853" s="250" t="n">
        <v>17716045</v>
      </c>
      <c r="G853" s="15" t="inlineStr">
        <is>
          <t>IDR</t>
        </is>
      </c>
      <c r="H853" s="251" t="n">
        <v>1</v>
      </c>
      <c r="I853" s="15" t="n"/>
      <c r="J853" s="18" t="n"/>
      <c r="K853" s="249" t="n"/>
      <c r="L853" s="252" t="n"/>
      <c r="M853" s="253" t="n"/>
      <c r="N853" s="253" t="n"/>
      <c r="O853" s="252" t="n"/>
      <c r="P853" s="18" t="n"/>
      <c r="Q853" s="260" t="n"/>
    </row>
    <row r="854" ht="15.5" customHeight="1">
      <c r="B854" s="249" t="n">
        <v>45589</v>
      </c>
      <c r="C854" s="15" t="n">
        <v>268</v>
      </c>
      <c r="D854" s="170" t="inlineStr">
        <is>
          <t>Penalty telat bayar pajak PPN project sarulla_INV-007_under Sibat</t>
        </is>
      </c>
      <c r="E854" s="227" t="n"/>
      <c r="F854" s="250" t="n">
        <v>17716045</v>
      </c>
      <c r="G854" s="15" t="inlineStr">
        <is>
          <t>IDR</t>
        </is>
      </c>
      <c r="H854" s="251" t="n">
        <v>1</v>
      </c>
      <c r="I854" s="15" t="n"/>
      <c r="J854" s="18" t="n"/>
      <c r="K854" s="249" t="n"/>
      <c r="L854" s="252" t="n"/>
      <c r="M854" s="253" t="n"/>
      <c r="N854" s="253" t="n"/>
      <c r="O854" s="252" t="n"/>
      <c r="P854" s="18" t="n"/>
      <c r="Q854" s="260" t="n"/>
    </row>
    <row r="855" ht="15.5" customHeight="1">
      <c r="B855" s="249" t="n">
        <v>45589</v>
      </c>
      <c r="C855" s="15" t="n">
        <v>269</v>
      </c>
      <c r="D855" s="170" t="inlineStr">
        <is>
          <t>Penalty telat bayar pajak PPN project sarulla_INV-007_under Sibat</t>
        </is>
      </c>
      <c r="E855" s="227" t="n"/>
      <c r="F855" s="250" t="n">
        <v>17716045</v>
      </c>
      <c r="G855" s="15" t="inlineStr">
        <is>
          <t>IDR</t>
        </is>
      </c>
      <c r="H855" s="251" t="n">
        <v>1</v>
      </c>
      <c r="I855" s="15" t="n"/>
      <c r="J855" s="18" t="n"/>
      <c r="K855" s="249" t="n"/>
      <c r="L855" s="252" t="n"/>
      <c r="M855" s="253" t="n"/>
      <c r="N855" s="253" t="n"/>
      <c r="O855" s="252" t="n"/>
      <c r="P855" s="18" t="n"/>
      <c r="Q855" s="260" t="n"/>
    </row>
    <row r="856" ht="15.5" customHeight="1">
      <c r="B856" s="249" t="n">
        <v>45589</v>
      </c>
      <c r="C856" s="15" t="n">
        <v>270</v>
      </c>
      <c r="D856" s="170" t="inlineStr">
        <is>
          <t>Penalty telat bayar pajak PPN project sarulla_INV-007_under Sibat</t>
        </is>
      </c>
      <c r="E856" s="227" t="n"/>
      <c r="F856" s="250" t="n">
        <v>17716045</v>
      </c>
      <c r="G856" s="15" t="inlineStr">
        <is>
          <t>IDR</t>
        </is>
      </c>
      <c r="H856" s="251" t="n">
        <v>1</v>
      </c>
      <c r="I856" s="15" t="n"/>
      <c r="J856" s="18" t="n"/>
      <c r="K856" s="249" t="n"/>
      <c r="L856" s="252" t="n"/>
      <c r="M856" s="253" t="n"/>
      <c r="N856" s="253" t="n"/>
      <c r="O856" s="252" t="n"/>
      <c r="P856" s="18" t="n"/>
      <c r="Q856" s="260" t="n"/>
    </row>
    <row r="857" ht="15.5" customHeight="1">
      <c r="B857" s="249" t="n">
        <v>45589</v>
      </c>
      <c r="C857" s="15" t="n">
        <v>271</v>
      </c>
      <c r="D857" s="170" t="inlineStr">
        <is>
          <t>Penalty telat bayar pajak PPN project sarulla_INV-007_under Sibat</t>
        </is>
      </c>
      <c r="E857" s="227" t="n"/>
      <c r="F857" s="250" t="n">
        <v>17716045</v>
      </c>
      <c r="G857" s="15" t="inlineStr">
        <is>
          <t>IDR</t>
        </is>
      </c>
      <c r="H857" s="251" t="n">
        <v>1</v>
      </c>
      <c r="I857" s="15" t="n"/>
      <c r="J857" s="18" t="n"/>
      <c r="K857" s="249" t="n"/>
      <c r="L857" s="252" t="n"/>
      <c r="M857" s="253" t="n"/>
      <c r="N857" s="253" t="n"/>
      <c r="O857" s="252" t="n"/>
      <c r="P857" s="18" t="n"/>
      <c r="Q857" s="260" t="n"/>
    </row>
    <row r="858" ht="15.5" customHeight="1">
      <c r="B858" s="249" t="n">
        <v>45589</v>
      </c>
      <c r="C858" s="15" t="n">
        <v>272</v>
      </c>
      <c r="D858" s="170" t="inlineStr">
        <is>
          <t>Penalty telat bayar pajak PPN project sarulla_INV-007_under Sibat</t>
        </is>
      </c>
      <c r="E858" s="227" t="n"/>
      <c r="F858" s="250" t="n">
        <v>17716045</v>
      </c>
      <c r="G858" s="15" t="inlineStr">
        <is>
          <t>IDR</t>
        </is>
      </c>
      <c r="H858" s="251" t="n">
        <v>1</v>
      </c>
      <c r="I858" s="15" t="n"/>
      <c r="J858" s="18" t="n"/>
      <c r="K858" s="249" t="n"/>
      <c r="L858" s="252" t="n"/>
      <c r="M858" s="253" t="n"/>
      <c r="N858" s="253" t="n"/>
      <c r="O858" s="252" t="n"/>
      <c r="P858" s="18" t="n"/>
      <c r="Q858" s="260" t="n"/>
    </row>
    <row r="859" ht="15.5" customHeight="1">
      <c r="B859" s="249" t="n">
        <v>45589</v>
      </c>
      <c r="C859" s="15" t="n">
        <v>273</v>
      </c>
      <c r="D859" s="170" t="inlineStr">
        <is>
          <t>Penalty telat bayar pajak PPN project sarulla_INV-007_under Sibat</t>
        </is>
      </c>
      <c r="E859" s="227" t="n"/>
      <c r="F859" s="250" t="n">
        <v>17716045</v>
      </c>
      <c r="G859" s="15" t="inlineStr">
        <is>
          <t>IDR</t>
        </is>
      </c>
      <c r="H859" s="251" t="n">
        <v>1</v>
      </c>
      <c r="I859" s="15" t="n"/>
      <c r="J859" s="18" t="n"/>
      <c r="K859" s="249" t="n"/>
      <c r="L859" s="252" t="n"/>
      <c r="M859" s="253" t="n"/>
      <c r="N859" s="253" t="n"/>
      <c r="O859" s="252" t="n"/>
      <c r="P859" s="18" t="n"/>
      <c r="Q859" s="260" t="n"/>
    </row>
    <row r="860" ht="15.5" customHeight="1">
      <c r="B860" s="249" t="n">
        <v>45589</v>
      </c>
      <c r="C860" s="15" t="n">
        <v>274</v>
      </c>
      <c r="D860" s="170" t="inlineStr">
        <is>
          <t>Penalty telat bayar pajak PPN project sarulla_INV-007_under Sibat</t>
        </is>
      </c>
      <c r="E860" s="227" t="n"/>
      <c r="F860" s="250" t="n">
        <v>17716045</v>
      </c>
      <c r="G860" s="15" t="inlineStr">
        <is>
          <t>IDR</t>
        </is>
      </c>
      <c r="H860" s="251" t="n">
        <v>1</v>
      </c>
      <c r="I860" s="15" t="n"/>
      <c r="J860" s="18" t="n"/>
      <c r="K860" s="249" t="n"/>
      <c r="L860" s="252" t="n"/>
      <c r="M860" s="253" t="n"/>
      <c r="N860" s="253" t="n"/>
      <c r="O860" s="252" t="n"/>
      <c r="P860" s="18" t="n"/>
      <c r="Q860" s="260" t="n"/>
    </row>
    <row r="861" ht="15.5" customHeight="1">
      <c r="B861" s="249" t="n">
        <v>45589</v>
      </c>
      <c r="C861" s="15" t="n">
        <v>275</v>
      </c>
      <c r="D861" s="170" t="inlineStr">
        <is>
          <t>Penalty telat bayar pajak PPN project sarulla_INV-007_under Sibat</t>
        </is>
      </c>
      <c r="E861" s="227" t="n"/>
      <c r="F861" s="250" t="n">
        <v>17716045</v>
      </c>
      <c r="G861" s="15" t="inlineStr">
        <is>
          <t>IDR</t>
        </is>
      </c>
      <c r="H861" s="251" t="n">
        <v>1</v>
      </c>
      <c r="I861" s="15" t="n"/>
      <c r="J861" s="18" t="n"/>
      <c r="K861" s="249" t="n"/>
      <c r="L861" s="252" t="n"/>
      <c r="M861" s="253" t="n"/>
      <c r="N861" s="253" t="n"/>
      <c r="O861" s="252" t="n"/>
      <c r="P861" s="18" t="n"/>
      <c r="Q861" s="260" t="n"/>
    </row>
    <row r="862" ht="15.5" customHeight="1">
      <c r="B862" s="249" t="n">
        <v>45589</v>
      </c>
      <c r="C862" s="15" t="n">
        <v>276</v>
      </c>
      <c r="D862" s="170" t="inlineStr">
        <is>
          <t>Penalty telat bayar pajak PPN project sarulla_INV-007_under Sibat</t>
        </is>
      </c>
      <c r="E862" s="227" t="n"/>
      <c r="F862" s="250" t="n">
        <v>17716045</v>
      </c>
      <c r="G862" s="15" t="inlineStr">
        <is>
          <t>IDR</t>
        </is>
      </c>
      <c r="H862" s="251" t="n">
        <v>1</v>
      </c>
      <c r="I862" s="15" t="n"/>
      <c r="J862" s="18" t="n"/>
      <c r="K862" s="249" t="n"/>
      <c r="L862" s="252" t="n"/>
      <c r="M862" s="253" t="n"/>
      <c r="N862" s="253" t="n"/>
      <c r="O862" s="252" t="n"/>
      <c r="P862" s="18" t="n"/>
      <c r="Q862" s="260" t="n"/>
    </row>
    <row r="863" ht="15.5" customHeight="1">
      <c r="B863" s="249" t="n">
        <v>45589</v>
      </c>
      <c r="C863" s="15" t="n">
        <v>277</v>
      </c>
      <c r="D863" s="170" t="inlineStr">
        <is>
          <t>Penalty telat bayar pajak PPN project sarulla_INV-007_under Sibat</t>
        </is>
      </c>
      <c r="E863" s="227" t="n"/>
      <c r="F863" s="250" t="n">
        <v>17716045</v>
      </c>
      <c r="G863" s="15" t="inlineStr">
        <is>
          <t>IDR</t>
        </is>
      </c>
      <c r="H863" s="251" t="n">
        <v>1</v>
      </c>
      <c r="I863" s="15" t="n"/>
      <c r="J863" s="18" t="n"/>
      <c r="K863" s="249" t="n"/>
      <c r="L863" s="252" t="n"/>
      <c r="M863" s="253" t="n"/>
      <c r="N863" s="253" t="n"/>
      <c r="O863" s="252" t="n"/>
      <c r="P863" s="18" t="n"/>
      <c r="Q863" s="260" t="n"/>
    </row>
    <row r="864" ht="15.5" customHeight="1">
      <c r="B864" s="249" t="n">
        <v>45589</v>
      </c>
      <c r="C864" s="15" t="n">
        <v>278</v>
      </c>
      <c r="D864" s="170" t="inlineStr">
        <is>
          <t>Penalty telat bayar pajak PPN project sarulla_INV-007_under Sibat</t>
        </is>
      </c>
      <c r="E864" s="227" t="n"/>
      <c r="F864" s="250" t="n">
        <v>17716045</v>
      </c>
      <c r="G864" s="15" t="inlineStr">
        <is>
          <t>IDR</t>
        </is>
      </c>
      <c r="H864" s="251" t="n">
        <v>1</v>
      </c>
      <c r="I864" s="15" t="n"/>
      <c r="J864" s="18" t="n"/>
      <c r="K864" s="249" t="n"/>
      <c r="L864" s="252" t="n"/>
      <c r="M864" s="253" t="n"/>
      <c r="N864" s="253" t="n"/>
      <c r="O864" s="252" t="n"/>
      <c r="P864" s="18" t="n"/>
      <c r="Q864" s="260" t="n"/>
    </row>
    <row r="865" ht="15.5" customHeight="1">
      <c r="B865" s="249" t="n">
        <v>45589</v>
      </c>
      <c r="C865" s="15" t="n">
        <v>279</v>
      </c>
      <c r="D865" s="170" t="inlineStr">
        <is>
          <t>Penalty telat bayar pajak PPN project sarulla_INV-007_under Sibat</t>
        </is>
      </c>
      <c r="E865" s="227" t="n"/>
      <c r="F865" s="250" t="n">
        <v>17716045</v>
      </c>
      <c r="G865" s="15" t="inlineStr">
        <is>
          <t>IDR</t>
        </is>
      </c>
      <c r="H865" s="251" t="n">
        <v>1</v>
      </c>
      <c r="I865" s="15" t="n"/>
      <c r="J865" s="18" t="n"/>
      <c r="K865" s="249" t="n"/>
      <c r="L865" s="252" t="n"/>
      <c r="M865" s="253" t="n"/>
      <c r="N865" s="253" t="n"/>
      <c r="O865" s="252" t="n"/>
      <c r="P865" s="18" t="n"/>
      <c r="Q865" s="260" t="n"/>
    </row>
    <row r="866" ht="15.5" customHeight="1">
      <c r="B866" s="249" t="n">
        <v>45589</v>
      </c>
      <c r="C866" s="15" t="n">
        <v>280</v>
      </c>
      <c r="D866" s="170" t="inlineStr">
        <is>
          <t>Penalty telat bayar pajak PPN project sarulla_INV-007_under Sibat</t>
        </is>
      </c>
      <c r="E866" s="227" t="n"/>
      <c r="F866" s="250" t="n">
        <v>17716045</v>
      </c>
      <c r="G866" s="15" t="inlineStr">
        <is>
          <t>IDR</t>
        </is>
      </c>
      <c r="H866" s="251" t="n">
        <v>1</v>
      </c>
      <c r="I866" s="15" t="n"/>
      <c r="J866" s="18" t="n"/>
      <c r="K866" s="249" t="n"/>
      <c r="L866" s="252" t="n"/>
      <c r="M866" s="253" t="n"/>
      <c r="N866" s="253" t="n"/>
      <c r="O866" s="252" t="n"/>
      <c r="P866" s="18" t="n"/>
      <c r="Q866" s="260" t="n"/>
    </row>
    <row r="867" ht="15.5" customHeight="1">
      <c r="B867" s="249" t="n">
        <v>45589</v>
      </c>
      <c r="C867" s="15" t="n">
        <v>281</v>
      </c>
      <c r="D867" s="170" t="inlineStr">
        <is>
          <t>Penalty telat bayar pajak PPN project sarulla_INV-007_under Sibat</t>
        </is>
      </c>
      <c r="E867" s="227" t="n"/>
      <c r="F867" s="250" t="n">
        <v>17716045</v>
      </c>
      <c r="G867" s="15" t="inlineStr">
        <is>
          <t>IDR</t>
        </is>
      </c>
      <c r="H867" s="251" t="n">
        <v>1</v>
      </c>
      <c r="I867" s="15" t="n"/>
      <c r="J867" s="18" t="n"/>
      <c r="K867" s="249" t="n"/>
      <c r="L867" s="252" t="n"/>
      <c r="M867" s="253" t="n"/>
      <c r="N867" s="253" t="n"/>
      <c r="O867" s="252" t="n"/>
      <c r="P867" s="18" t="n"/>
      <c r="Q867" s="260" t="n"/>
    </row>
    <row r="868" ht="15.5" customHeight="1">
      <c r="B868" s="249" t="n">
        <v>45589</v>
      </c>
      <c r="C868" s="15" t="n">
        <v>282</v>
      </c>
      <c r="D868" s="170" t="inlineStr">
        <is>
          <t>Penalty telat bayar pajak PPN project sarulla_INV-007_under Sibat</t>
        </is>
      </c>
      <c r="E868" s="227" t="n"/>
      <c r="F868" s="250" t="n">
        <v>17716045</v>
      </c>
      <c r="G868" s="15" t="inlineStr">
        <is>
          <t>IDR</t>
        </is>
      </c>
      <c r="H868" s="251" t="n">
        <v>1</v>
      </c>
      <c r="I868" s="15" t="n"/>
      <c r="J868" s="18" t="n"/>
      <c r="K868" s="249" t="n"/>
      <c r="L868" s="252" t="n"/>
      <c r="M868" s="253" t="n"/>
      <c r="N868" s="253" t="n"/>
      <c r="O868" s="252" t="n"/>
      <c r="P868" s="18" t="n"/>
      <c r="Q868" s="260" t="n"/>
    </row>
    <row r="869" ht="15.5" customHeight="1">
      <c r="B869" s="249" t="n">
        <v>45589</v>
      </c>
      <c r="C869" s="15" t="n">
        <v>283</v>
      </c>
      <c r="D869" s="170" t="inlineStr">
        <is>
          <t>Penalty telat bayar pajak PPN project sarulla_INV-007_under Sibat</t>
        </is>
      </c>
      <c r="E869" s="227" t="n"/>
      <c r="F869" s="250" t="n">
        <v>17716045</v>
      </c>
      <c r="G869" s="15" t="inlineStr">
        <is>
          <t>IDR</t>
        </is>
      </c>
      <c r="H869" s="251" t="n">
        <v>1</v>
      </c>
      <c r="I869" s="15" t="n"/>
      <c r="J869" s="18" t="n"/>
      <c r="K869" s="249" t="n"/>
      <c r="L869" s="252" t="n"/>
      <c r="M869" s="253" t="n"/>
      <c r="N869" s="253" t="n"/>
      <c r="O869" s="252" t="n"/>
      <c r="P869" s="18" t="n"/>
      <c r="Q869" s="260" t="n"/>
    </row>
    <row r="870" ht="15.5" customHeight="1">
      <c r="B870" s="249" t="n">
        <v>45589</v>
      </c>
      <c r="C870" s="15" t="n">
        <v>284</v>
      </c>
      <c r="D870" s="170" t="inlineStr">
        <is>
          <t>Penalty telat bayar pajak PPN project sarulla_INV-007_under Sibat</t>
        </is>
      </c>
      <c r="E870" s="227" t="n"/>
      <c r="F870" s="250" t="n">
        <v>17716045</v>
      </c>
      <c r="G870" s="15" t="inlineStr">
        <is>
          <t>IDR</t>
        </is>
      </c>
      <c r="H870" s="251" t="n">
        <v>1</v>
      </c>
      <c r="I870" s="15" t="n"/>
      <c r="J870" s="18" t="n"/>
      <c r="K870" s="249" t="n"/>
      <c r="L870" s="252" t="n"/>
      <c r="M870" s="253" t="n"/>
      <c r="N870" s="253" t="n"/>
      <c r="O870" s="252" t="n"/>
      <c r="P870" s="18" t="n"/>
      <c r="Q870" s="260" t="n"/>
    </row>
    <row r="871" ht="15.5" customHeight="1">
      <c r="B871" s="249" t="n">
        <v>45589</v>
      </c>
      <c r="C871" s="15" t="n">
        <v>285</v>
      </c>
      <c r="D871" s="170" t="inlineStr">
        <is>
          <t>Penalty telat bayar pajak PPN project sarulla_INV-007_under Sibat</t>
        </is>
      </c>
      <c r="E871" s="227" t="n"/>
      <c r="F871" s="250" t="n">
        <v>17716045</v>
      </c>
      <c r="G871" s="15" t="inlineStr">
        <is>
          <t>IDR</t>
        </is>
      </c>
      <c r="H871" s="251" t="n">
        <v>1</v>
      </c>
      <c r="I871" s="15" t="n"/>
      <c r="J871" s="18" t="n"/>
      <c r="K871" s="249" t="n"/>
      <c r="L871" s="252" t="n"/>
      <c r="M871" s="253" t="n"/>
      <c r="N871" s="253" t="n"/>
      <c r="O871" s="252" t="n"/>
      <c r="P871" s="18" t="n"/>
      <c r="Q871" s="260" t="n"/>
    </row>
    <row r="872" ht="15.5" customHeight="1">
      <c r="B872" s="249" t="n">
        <v>45589</v>
      </c>
      <c r="C872" s="15" t="n">
        <v>286</v>
      </c>
      <c r="D872" s="170" t="inlineStr">
        <is>
          <t>Penalty telat bayar pajak PPN project sarulla_INV-007_under Sibat</t>
        </is>
      </c>
      <c r="E872" s="227" t="n"/>
      <c r="F872" s="250" t="n">
        <v>17716045</v>
      </c>
      <c r="G872" s="15" t="inlineStr">
        <is>
          <t>IDR</t>
        </is>
      </c>
      <c r="H872" s="251" t="n">
        <v>1</v>
      </c>
      <c r="I872" s="15" t="n"/>
      <c r="J872" s="18" t="n"/>
      <c r="K872" s="249" t="n"/>
      <c r="L872" s="252" t="n"/>
      <c r="M872" s="253" t="n"/>
      <c r="N872" s="253" t="n"/>
      <c r="O872" s="252" t="n"/>
      <c r="P872" s="18" t="n"/>
      <c r="Q872" s="260" t="n"/>
    </row>
    <row r="873" ht="15.5" customHeight="1">
      <c r="B873" s="249" t="n">
        <v>45589</v>
      </c>
      <c r="C873" s="15" t="n">
        <v>287</v>
      </c>
      <c r="D873" s="170" t="inlineStr">
        <is>
          <t>Penalty telat bayar pajak PPN project sarulla_INV-007_under Sibat</t>
        </is>
      </c>
      <c r="E873" s="227" t="n"/>
      <c r="F873" s="250" t="n">
        <v>17716045</v>
      </c>
      <c r="G873" s="15" t="inlineStr">
        <is>
          <t>IDR</t>
        </is>
      </c>
      <c r="H873" s="251" t="n">
        <v>1</v>
      </c>
      <c r="I873" s="15" t="n"/>
      <c r="J873" s="18" t="n"/>
      <c r="K873" s="249" t="n"/>
      <c r="L873" s="252" t="n"/>
      <c r="M873" s="253" t="n"/>
      <c r="N873" s="253" t="n"/>
      <c r="O873" s="252" t="n"/>
      <c r="P873" s="18" t="n"/>
      <c r="Q873" s="260" t="n"/>
    </row>
    <row r="874" ht="15.5" customHeight="1">
      <c r="B874" s="249" t="n">
        <v>45593</v>
      </c>
      <c r="C874" s="15" t="n">
        <v>288</v>
      </c>
      <c r="D874" s="170" t="inlineStr">
        <is>
          <t>Pemindahbukan dari double bayar (29 des 2023) utk PPN Inv-028</t>
        </is>
      </c>
      <c r="E874" s="227" t="n"/>
      <c r="F874" s="250" t="n">
        <v>33836000</v>
      </c>
      <c r="G874" s="15" t="inlineStr">
        <is>
          <t>IDR</t>
        </is>
      </c>
      <c r="H874" s="251" t="n">
        <v>1</v>
      </c>
      <c r="I874" s="251" t="n">
        <v>33836000</v>
      </c>
      <c r="J874" s="252" t="n">
        <v>33836000</v>
      </c>
      <c r="K874" s="249" t="n"/>
      <c r="L874" s="252" t="n"/>
      <c r="M874" s="253" t="n"/>
      <c r="N874" s="253" t="n"/>
      <c r="O874" s="252" t="n"/>
      <c r="P874" s="18" t="n"/>
      <c r="Q874" s="260" t="n"/>
    </row>
    <row r="875" ht="15.5" customHeight="1">
      <c r="B875" s="249" t="n">
        <v>45593</v>
      </c>
      <c r="C875" s="15" t="n">
        <v>289</v>
      </c>
      <c r="D875" s="170" t="inlineStr">
        <is>
          <t>Pemindahbukan dari double bayar (29 des 2023) utk PPN Inv-028</t>
        </is>
      </c>
      <c r="E875" s="227" t="n"/>
      <c r="F875" s="250" t="n">
        <v>33836000</v>
      </c>
      <c r="G875" s="15" t="inlineStr">
        <is>
          <t>IDR</t>
        </is>
      </c>
      <c r="H875" s="251" t="n">
        <v>1</v>
      </c>
      <c r="I875" s="251" t="n">
        <v>33836000</v>
      </c>
      <c r="J875" s="252" t="n">
        <v>33836000</v>
      </c>
      <c r="K875" s="249" t="n"/>
      <c r="L875" s="252" t="n"/>
      <c r="M875" s="253" t="n"/>
      <c r="N875" s="253" t="n"/>
      <c r="O875" s="252" t="n"/>
      <c r="P875" s="18" t="n"/>
      <c r="Q875" s="260" t="n"/>
    </row>
    <row r="876" ht="15.5" customHeight="1">
      <c r="B876" s="249" t="n">
        <v>45593</v>
      </c>
      <c r="C876" s="15" t="n">
        <v>290</v>
      </c>
      <c r="D876" s="170" t="inlineStr">
        <is>
          <t>Pemindahbukan dari double bayar (29 des 2023) utk PPN Inv-028</t>
        </is>
      </c>
      <c r="E876" s="227" t="n"/>
      <c r="F876" s="250" t="n">
        <v>33836000</v>
      </c>
      <c r="G876" s="15" t="inlineStr">
        <is>
          <t>IDR</t>
        </is>
      </c>
      <c r="H876" s="251" t="n">
        <v>1</v>
      </c>
      <c r="I876" s="251" t="n">
        <v>33836000</v>
      </c>
      <c r="J876" s="252" t="n">
        <v>33836000</v>
      </c>
      <c r="K876" s="249" t="n"/>
      <c r="L876" s="252" t="n"/>
      <c r="M876" s="253" t="n"/>
      <c r="N876" s="253" t="n"/>
      <c r="O876" s="252" t="n"/>
      <c r="P876" s="18" t="n"/>
      <c r="Q876" s="260" t="n"/>
    </row>
    <row r="877" ht="15.5" customHeight="1">
      <c r="B877" s="249" t="n">
        <v>45593</v>
      </c>
      <c r="C877" s="15" t="n">
        <v>291</v>
      </c>
      <c r="D877" s="170" t="inlineStr">
        <is>
          <t>Pemindahbukan dari double bayar (29 des 2023) utk PPN Inv-028</t>
        </is>
      </c>
      <c r="E877" s="227" t="n"/>
      <c r="F877" s="250" t="n">
        <v>33836000</v>
      </c>
      <c r="G877" s="15" t="inlineStr">
        <is>
          <t>IDR</t>
        </is>
      </c>
      <c r="H877" s="251" t="n">
        <v>1</v>
      </c>
      <c r="I877" s="251" t="n">
        <v>33836000</v>
      </c>
      <c r="J877" s="252" t="n">
        <v>33836000</v>
      </c>
      <c r="K877" s="249" t="n"/>
      <c r="L877" s="252" t="n"/>
      <c r="M877" s="253" t="n"/>
      <c r="N877" s="253" t="n"/>
      <c r="O877" s="252" t="n"/>
      <c r="P877" s="18" t="n"/>
      <c r="Q877" s="260" t="n"/>
    </row>
    <row r="878" ht="15.5" customHeight="1">
      <c r="B878" s="249" t="n">
        <v>45593</v>
      </c>
      <c r="C878" s="15" t="n">
        <v>292</v>
      </c>
      <c r="D878" s="170" t="inlineStr">
        <is>
          <t>Pemindahbukan dari double bayar (29 des 2023) utk PPN Inv-028</t>
        </is>
      </c>
      <c r="E878" s="227" t="n"/>
      <c r="F878" s="250" t="n">
        <v>33836000</v>
      </c>
      <c r="G878" s="15" t="inlineStr">
        <is>
          <t>IDR</t>
        </is>
      </c>
      <c r="H878" s="251" t="n">
        <v>1</v>
      </c>
      <c r="I878" s="251" t="n">
        <v>33836000</v>
      </c>
      <c r="J878" s="252" t="n">
        <v>33836000</v>
      </c>
      <c r="K878" s="249" t="n"/>
      <c r="L878" s="252" t="n"/>
      <c r="M878" s="253" t="n"/>
      <c r="N878" s="253" t="n"/>
      <c r="O878" s="252" t="n"/>
      <c r="P878" s="18" t="n"/>
      <c r="Q878" s="260" t="n"/>
    </row>
    <row r="879" ht="15.5" customHeight="1">
      <c r="B879" s="249" t="n">
        <v>45593</v>
      </c>
      <c r="C879" s="15" t="n">
        <v>293</v>
      </c>
      <c r="D879" s="170" t="inlineStr">
        <is>
          <t>Pemindahbukan dari double bayar (29 des 2023) utk PPN Inv-028</t>
        </is>
      </c>
      <c r="E879" s="227" t="n"/>
      <c r="F879" s="250" t="n">
        <v>33836000</v>
      </c>
      <c r="G879" s="15" t="inlineStr">
        <is>
          <t>IDR</t>
        </is>
      </c>
      <c r="H879" s="251" t="n">
        <v>1</v>
      </c>
      <c r="I879" s="251" t="n">
        <v>33836000</v>
      </c>
      <c r="J879" s="252" t="n">
        <v>33836000</v>
      </c>
      <c r="K879" s="249" t="n"/>
      <c r="L879" s="252" t="n"/>
      <c r="M879" s="253" t="n"/>
      <c r="N879" s="253" t="n"/>
      <c r="O879" s="252" t="n"/>
      <c r="P879" s="18" t="n"/>
      <c r="Q879" s="260" t="n"/>
    </row>
    <row r="880" ht="15.5" customHeight="1">
      <c r="B880" s="249" t="n">
        <v>45593</v>
      </c>
      <c r="C880" s="15" t="n">
        <v>294</v>
      </c>
      <c r="D880" s="170" t="inlineStr">
        <is>
          <t>Pemindahbukan dari double bayar (29 des 2023) utk PPN Inv-028</t>
        </is>
      </c>
      <c r="E880" s="227" t="n"/>
      <c r="F880" s="250" t="n">
        <v>33836000</v>
      </c>
      <c r="G880" s="15" t="inlineStr">
        <is>
          <t>IDR</t>
        </is>
      </c>
      <c r="H880" s="251" t="n">
        <v>1</v>
      </c>
      <c r="I880" s="251" t="n">
        <v>33836000</v>
      </c>
      <c r="J880" s="252" t="n">
        <v>33836000</v>
      </c>
      <c r="K880" s="249" t="n"/>
      <c r="L880" s="252" t="n"/>
      <c r="M880" s="253" t="n"/>
      <c r="N880" s="253" t="n"/>
      <c r="O880" s="252" t="n"/>
      <c r="P880" s="18" t="n"/>
      <c r="Q880" s="260" t="n"/>
    </row>
    <row r="881" ht="15.5" customHeight="1">
      <c r="B881" s="249" t="n">
        <v>45593</v>
      </c>
      <c r="C881" s="15" t="n">
        <v>295</v>
      </c>
      <c r="D881" s="170" t="inlineStr">
        <is>
          <t>Pemindahbukan dari double bayar (29 des 2023) utk PPN Inv-028</t>
        </is>
      </c>
      <c r="E881" s="227" t="n"/>
      <c r="F881" s="250" t="n">
        <v>33836000</v>
      </c>
      <c r="G881" s="15" t="inlineStr">
        <is>
          <t>IDR</t>
        </is>
      </c>
      <c r="H881" s="251" t="n">
        <v>1</v>
      </c>
      <c r="I881" s="251" t="n">
        <v>33836000</v>
      </c>
      <c r="J881" s="252" t="n">
        <v>33836000</v>
      </c>
      <c r="K881" s="249" t="n"/>
      <c r="L881" s="252" t="n"/>
      <c r="M881" s="253" t="n"/>
      <c r="N881" s="253" t="n"/>
      <c r="O881" s="252" t="n"/>
      <c r="P881" s="18" t="n"/>
      <c r="Q881" s="260" t="n"/>
    </row>
    <row r="882" ht="15.5" customHeight="1">
      <c r="B882" s="249" t="n">
        <v>45593</v>
      </c>
      <c r="C882" s="15" t="n">
        <v>296</v>
      </c>
      <c r="D882" s="170" t="inlineStr">
        <is>
          <t>Pemindahbukan dari double bayar (29 des 2023) utk PPN Inv-028</t>
        </is>
      </c>
      <c r="E882" s="227" t="n"/>
      <c r="F882" s="250" t="n">
        <v>33836000</v>
      </c>
      <c r="G882" s="15" t="inlineStr">
        <is>
          <t>IDR</t>
        </is>
      </c>
      <c r="H882" s="251" t="n">
        <v>1</v>
      </c>
      <c r="I882" s="251" t="n">
        <v>33836000</v>
      </c>
      <c r="J882" s="252" t="n">
        <v>33836000</v>
      </c>
      <c r="K882" s="249" t="n"/>
      <c r="L882" s="252" t="n"/>
      <c r="M882" s="253" t="n"/>
      <c r="N882" s="253" t="n"/>
      <c r="O882" s="252" t="n"/>
      <c r="P882" s="18" t="n"/>
      <c r="Q882" s="260" t="n"/>
    </row>
    <row r="883" ht="15.5" customHeight="1">
      <c r="B883" s="249" t="n">
        <v>45593</v>
      </c>
      <c r="C883" s="15" t="n">
        <v>297</v>
      </c>
      <c r="D883" s="170" t="inlineStr">
        <is>
          <t>Pemindahbukan dari double bayar (29 des 2023) utk PPN Inv-028</t>
        </is>
      </c>
      <c r="E883" s="227" t="n"/>
      <c r="F883" s="250" t="n">
        <v>33836000</v>
      </c>
      <c r="G883" s="15" t="inlineStr">
        <is>
          <t>IDR</t>
        </is>
      </c>
      <c r="H883" s="251" t="n">
        <v>1</v>
      </c>
      <c r="I883" s="251" t="n">
        <v>33836000</v>
      </c>
      <c r="J883" s="252" t="n">
        <v>33836000</v>
      </c>
      <c r="K883" s="249" t="n"/>
      <c r="L883" s="252" t="n"/>
      <c r="M883" s="253" t="n"/>
      <c r="N883" s="253" t="n"/>
      <c r="O883" s="252" t="n"/>
      <c r="P883" s="18" t="n"/>
      <c r="Q883" s="260" t="n"/>
    </row>
    <row r="884" ht="15.5" customHeight="1">
      <c r="B884" s="249" t="n">
        <v>45593</v>
      </c>
      <c r="C884" s="15" t="n">
        <v>298</v>
      </c>
      <c r="D884" s="170" t="inlineStr">
        <is>
          <t>Pemindahbukan dari double bayar (29 des 2023) utk PPN Inv-028</t>
        </is>
      </c>
      <c r="E884" s="227" t="n"/>
      <c r="F884" s="250" t="n">
        <v>33836000</v>
      </c>
      <c r="G884" s="15" t="inlineStr">
        <is>
          <t>IDR</t>
        </is>
      </c>
      <c r="H884" s="251" t="n">
        <v>1</v>
      </c>
      <c r="I884" s="251" t="n">
        <v>33836000</v>
      </c>
      <c r="J884" s="252" t="n">
        <v>33836000</v>
      </c>
      <c r="K884" s="249" t="n"/>
      <c r="L884" s="252" t="n"/>
      <c r="M884" s="253" t="n"/>
      <c r="N884" s="253" t="n"/>
      <c r="O884" s="252" t="n"/>
      <c r="P884" s="18" t="n"/>
      <c r="Q884" s="260" t="n"/>
    </row>
    <row r="885" ht="15.5" customHeight="1">
      <c r="B885" s="249" t="n">
        <v>45593</v>
      </c>
      <c r="C885" s="15" t="n">
        <v>299</v>
      </c>
      <c r="D885" s="170" t="inlineStr">
        <is>
          <t>Pemindahbukan dari double bayar (29 des 2023) utk PPN Inv-028</t>
        </is>
      </c>
      <c r="E885" s="227" t="n"/>
      <c r="F885" s="250" t="n">
        <v>33836000</v>
      </c>
      <c r="G885" s="15" t="inlineStr">
        <is>
          <t>IDR</t>
        </is>
      </c>
      <c r="H885" s="251" t="n">
        <v>1</v>
      </c>
      <c r="I885" s="251" t="n">
        <v>33836000</v>
      </c>
      <c r="J885" s="252" t="n">
        <v>33836000</v>
      </c>
      <c r="K885" s="249" t="n"/>
      <c r="L885" s="252" t="n"/>
      <c r="M885" s="253" t="n"/>
      <c r="N885" s="253" t="n"/>
      <c r="O885" s="252" t="n"/>
      <c r="P885" s="18" t="n"/>
      <c r="Q885" s="260" t="n"/>
    </row>
    <row r="886" ht="15.5" customHeight="1">
      <c r="B886" s="249" t="n">
        <v>45593</v>
      </c>
      <c r="C886" s="15" t="n">
        <v>300</v>
      </c>
      <c r="D886" s="170" t="inlineStr">
        <is>
          <t>Pemindahbukan dari double bayar (29 des 2023) utk PPN Inv-028</t>
        </is>
      </c>
      <c r="E886" s="227" t="n"/>
      <c r="F886" s="250" t="n">
        <v>33836000</v>
      </c>
      <c r="G886" s="15" t="inlineStr">
        <is>
          <t>IDR</t>
        </is>
      </c>
      <c r="H886" s="251" t="n">
        <v>1</v>
      </c>
      <c r="I886" s="251" t="n">
        <v>33836000</v>
      </c>
      <c r="J886" s="252" t="n">
        <v>33836000</v>
      </c>
      <c r="K886" s="249" t="n"/>
      <c r="L886" s="252" t="n"/>
      <c r="M886" s="253" t="n"/>
      <c r="N886" s="253" t="n"/>
      <c r="O886" s="252" t="n"/>
      <c r="P886" s="18" t="n"/>
      <c r="Q886" s="260" t="n"/>
    </row>
    <row r="887" ht="15.5" customHeight="1">
      <c r="B887" s="249" t="n">
        <v>45593</v>
      </c>
      <c r="C887" s="15" t="n">
        <v>301</v>
      </c>
      <c r="D887" s="170" t="inlineStr">
        <is>
          <t>Pemindahbukan dari double bayar (29 des 2023) utk PPN Inv-028</t>
        </is>
      </c>
      <c r="E887" s="227" t="n"/>
      <c r="F887" s="250" t="n">
        <v>33836000</v>
      </c>
      <c r="G887" s="15" t="inlineStr">
        <is>
          <t>IDR</t>
        </is>
      </c>
      <c r="H887" s="251" t="n">
        <v>1</v>
      </c>
      <c r="I887" s="251" t="n">
        <v>33836000</v>
      </c>
      <c r="J887" s="252" t="n">
        <v>33836000</v>
      </c>
      <c r="K887" s="249" t="n"/>
      <c r="L887" s="252" t="n"/>
      <c r="M887" s="253" t="n"/>
      <c r="N887" s="253" t="n"/>
      <c r="O887" s="252" t="n"/>
      <c r="P887" s="18" t="n"/>
      <c r="Q887" s="260" t="n"/>
    </row>
    <row r="888" ht="15.5" customHeight="1">
      <c r="B888" s="249" t="n">
        <v>45593</v>
      </c>
      <c r="C888" s="15" t="n">
        <v>302</v>
      </c>
      <c r="D888" s="170" t="inlineStr">
        <is>
          <t>Pemindahbukan dari double bayar (29 des 2023) utk PPN Inv-028</t>
        </is>
      </c>
      <c r="E888" s="227" t="n"/>
      <c r="F888" s="250" t="n">
        <v>33836000</v>
      </c>
      <c r="G888" s="15" t="inlineStr">
        <is>
          <t>IDR</t>
        </is>
      </c>
      <c r="H888" s="251" t="n">
        <v>1</v>
      </c>
      <c r="I888" s="251" t="n">
        <v>33836000</v>
      </c>
      <c r="J888" s="252" t="n">
        <v>33836000</v>
      </c>
      <c r="K888" s="249" t="n"/>
      <c r="L888" s="252" t="n"/>
      <c r="M888" s="253" t="n"/>
      <c r="N888" s="253" t="n"/>
      <c r="O888" s="252" t="n"/>
      <c r="P888" s="18" t="n"/>
      <c r="Q888" s="260" t="n"/>
    </row>
    <row r="889" ht="15.5" customHeight="1">
      <c r="B889" s="249" t="n">
        <v>45593</v>
      </c>
      <c r="C889" s="15" t="n">
        <v>303</v>
      </c>
      <c r="D889" s="170" t="inlineStr">
        <is>
          <t>Pemindahbukan dari double bayar (29 des 2023) utk PPN Inv-028</t>
        </is>
      </c>
      <c r="E889" s="227" t="n"/>
      <c r="F889" s="250" t="n">
        <v>33836000</v>
      </c>
      <c r="G889" s="15" t="inlineStr">
        <is>
          <t>IDR</t>
        </is>
      </c>
      <c r="H889" s="251" t="n">
        <v>1</v>
      </c>
      <c r="I889" s="251" t="n">
        <v>33836000</v>
      </c>
      <c r="J889" s="252" t="n">
        <v>33836000</v>
      </c>
      <c r="K889" s="249" t="n"/>
      <c r="L889" s="252" t="n"/>
      <c r="M889" s="253" t="n"/>
      <c r="N889" s="253" t="n"/>
      <c r="O889" s="252" t="n"/>
      <c r="P889" s="18" t="n"/>
      <c r="Q889" s="260" t="n"/>
    </row>
    <row r="890" ht="15.5" customHeight="1">
      <c r="B890" s="249" t="n">
        <v>45593</v>
      </c>
      <c r="C890" s="15" t="n">
        <v>304</v>
      </c>
      <c r="D890" s="170" t="inlineStr">
        <is>
          <t>Pemindahbukan dari double bayar (29 des 2023) utk PPN Inv-028</t>
        </is>
      </c>
      <c r="E890" s="227" t="n"/>
      <c r="F890" s="250" t="n">
        <v>33836000</v>
      </c>
      <c r="G890" s="15" t="inlineStr">
        <is>
          <t>IDR</t>
        </is>
      </c>
      <c r="H890" s="251" t="n">
        <v>1</v>
      </c>
      <c r="I890" s="251" t="n">
        <v>33836000</v>
      </c>
      <c r="J890" s="252" t="n">
        <v>33836000</v>
      </c>
      <c r="K890" s="249" t="n"/>
      <c r="L890" s="252" t="n"/>
      <c r="M890" s="253" t="n"/>
      <c r="N890" s="253" t="n"/>
      <c r="O890" s="252" t="n"/>
      <c r="P890" s="18" t="n"/>
      <c r="Q890" s="260" t="n"/>
    </row>
    <row r="891" ht="15.5" customHeight="1">
      <c r="B891" s="249" t="n">
        <v>45593</v>
      </c>
      <c r="C891" s="15" t="n">
        <v>305</v>
      </c>
      <c r="D891" s="170" t="inlineStr">
        <is>
          <t>Pemindahbukan dari double bayar (29 des 2023) utk PPN Inv-028</t>
        </is>
      </c>
      <c r="E891" s="227" t="n"/>
      <c r="F891" s="250" t="n">
        <v>33836000</v>
      </c>
      <c r="G891" s="15" t="inlineStr">
        <is>
          <t>IDR</t>
        </is>
      </c>
      <c r="H891" s="251" t="n">
        <v>1</v>
      </c>
      <c r="I891" s="251" t="n">
        <v>33836000</v>
      </c>
      <c r="J891" s="252" t="n">
        <v>33836000</v>
      </c>
      <c r="K891" s="249" t="n"/>
      <c r="L891" s="252" t="n"/>
      <c r="M891" s="253" t="n"/>
      <c r="N891" s="253" t="n"/>
      <c r="O891" s="252" t="n"/>
      <c r="P891" s="18" t="n"/>
      <c r="Q891" s="260" t="n"/>
    </row>
    <row r="892" ht="15.5" customHeight="1">
      <c r="B892" s="249" t="n">
        <v>45593</v>
      </c>
      <c r="C892" s="15" t="n">
        <v>306</v>
      </c>
      <c r="D892" s="170" t="inlineStr">
        <is>
          <t>Pemindahbukan dari double bayar (29 des 2023) utk PPN Inv-028</t>
        </is>
      </c>
      <c r="E892" s="227" t="n"/>
      <c r="F892" s="250" t="n">
        <v>33836000</v>
      </c>
      <c r="G892" s="15" t="inlineStr">
        <is>
          <t>IDR</t>
        </is>
      </c>
      <c r="H892" s="251" t="n">
        <v>1</v>
      </c>
      <c r="I892" s="251" t="n">
        <v>33836000</v>
      </c>
      <c r="J892" s="252" t="n">
        <v>33836000</v>
      </c>
      <c r="K892" s="249" t="n"/>
      <c r="L892" s="252" t="n"/>
      <c r="M892" s="253" t="n"/>
      <c r="N892" s="253" t="n"/>
      <c r="O892" s="252" t="n"/>
      <c r="P892" s="18" t="n"/>
      <c r="Q892" s="260" t="n"/>
    </row>
    <row r="893" ht="15.5" customHeight="1">
      <c r="B893" s="249" t="n">
        <v>45593</v>
      </c>
      <c r="C893" s="15" t="n">
        <v>307</v>
      </c>
      <c r="D893" s="170" t="inlineStr">
        <is>
          <t>Pemindahbukan dari double bayar (29 des 2023) utk PPN Inv-028</t>
        </is>
      </c>
      <c r="E893" s="227" t="n"/>
      <c r="F893" s="250" t="n">
        <v>33836000</v>
      </c>
      <c r="G893" s="15" t="inlineStr">
        <is>
          <t>IDR</t>
        </is>
      </c>
      <c r="H893" s="251" t="n">
        <v>1</v>
      </c>
      <c r="I893" s="251" t="n">
        <v>33836000</v>
      </c>
      <c r="J893" s="252" t="n">
        <v>33836000</v>
      </c>
      <c r="K893" s="249" t="n"/>
      <c r="L893" s="252" t="n"/>
      <c r="M893" s="253" t="n"/>
      <c r="N893" s="253" t="n"/>
      <c r="O893" s="252" t="n"/>
      <c r="P893" s="18" t="n"/>
      <c r="Q893" s="260" t="n"/>
    </row>
    <row r="894" ht="15.5" customHeight="1">
      <c r="B894" s="249" t="n">
        <v>45593</v>
      </c>
      <c r="C894" s="15" t="n">
        <v>308</v>
      </c>
      <c r="D894" s="170" t="inlineStr">
        <is>
          <t>Pemindahbukan dari double bayar (29 des 2023) utk PPN Inv-028</t>
        </is>
      </c>
      <c r="E894" s="227" t="n"/>
      <c r="F894" s="250" t="n">
        <v>33836000</v>
      </c>
      <c r="G894" s="15" t="inlineStr">
        <is>
          <t>IDR</t>
        </is>
      </c>
      <c r="H894" s="251" t="n">
        <v>1</v>
      </c>
      <c r="I894" s="251" t="n">
        <v>33836000</v>
      </c>
      <c r="J894" s="252" t="n">
        <v>33836000</v>
      </c>
      <c r="K894" s="249" t="n"/>
      <c r="L894" s="252" t="n"/>
      <c r="M894" s="253" t="n"/>
      <c r="N894" s="253" t="n"/>
      <c r="O894" s="252" t="n"/>
      <c r="P894" s="18" t="n"/>
      <c r="Q894" s="260" t="n"/>
    </row>
    <row r="895" ht="15.5" customHeight="1">
      <c r="B895" s="249" t="n">
        <v>45593</v>
      </c>
      <c r="C895" s="15" t="n">
        <v>309</v>
      </c>
      <c r="D895" s="170" t="inlineStr">
        <is>
          <t>Pemindahbukan dari double bayar (29 des 2023) utk PPN Inv-028</t>
        </is>
      </c>
      <c r="E895" s="227" t="n"/>
      <c r="F895" s="250" t="n">
        <v>33836000</v>
      </c>
      <c r="G895" s="15" t="inlineStr">
        <is>
          <t>IDR</t>
        </is>
      </c>
      <c r="H895" s="251" t="n">
        <v>1</v>
      </c>
      <c r="I895" s="251" t="n">
        <v>33836000</v>
      </c>
      <c r="J895" s="252" t="n">
        <v>33836000</v>
      </c>
      <c r="K895" s="249" t="n"/>
      <c r="L895" s="252" t="n"/>
      <c r="M895" s="253" t="n"/>
      <c r="N895" s="253" t="n"/>
      <c r="O895" s="252" t="n"/>
      <c r="P895" s="18" t="n"/>
      <c r="Q895" s="260" t="n"/>
    </row>
    <row r="896" ht="15.5" customHeight="1">
      <c r="B896" s="249" t="n">
        <v>45593</v>
      </c>
      <c r="C896" s="15" t="n">
        <v>310</v>
      </c>
      <c r="D896" s="170" t="inlineStr">
        <is>
          <t>Pemindahbukan dari double bayar (29 des 2023) utk PPN Inv-028</t>
        </is>
      </c>
      <c r="E896" s="227" t="n"/>
      <c r="F896" s="250" t="n">
        <v>33836000</v>
      </c>
      <c r="G896" s="15" t="inlineStr">
        <is>
          <t>IDR</t>
        </is>
      </c>
      <c r="H896" s="251" t="n">
        <v>1</v>
      </c>
      <c r="I896" s="251" t="n">
        <v>33836000</v>
      </c>
      <c r="J896" s="252" t="n">
        <v>33836000</v>
      </c>
      <c r="K896" s="249" t="n"/>
      <c r="L896" s="252" t="n"/>
      <c r="M896" s="253" t="n"/>
      <c r="N896" s="253" t="n"/>
      <c r="O896" s="252" t="n"/>
      <c r="P896" s="18" t="n"/>
      <c r="Q896" s="260" t="n"/>
    </row>
    <row r="897" ht="15.5" customHeight="1">
      <c r="B897" s="249" t="n">
        <v>45593</v>
      </c>
      <c r="C897" s="15" t="n">
        <v>311</v>
      </c>
      <c r="D897" s="170" t="inlineStr">
        <is>
          <t>Pemindahbukan dari double bayar (29 des 2023) utk PPN Inv-028</t>
        </is>
      </c>
      <c r="E897" s="227" t="n"/>
      <c r="F897" s="250" t="n">
        <v>33836000</v>
      </c>
      <c r="G897" s="15" t="inlineStr">
        <is>
          <t>IDR</t>
        </is>
      </c>
      <c r="H897" s="251" t="n">
        <v>1</v>
      </c>
      <c r="I897" s="251" t="n">
        <v>33836000</v>
      </c>
      <c r="J897" s="252" t="n">
        <v>33836000</v>
      </c>
      <c r="K897" s="249" t="n"/>
      <c r="L897" s="252" t="n"/>
      <c r="M897" s="253" t="n"/>
      <c r="N897" s="253" t="n"/>
      <c r="O897" s="252" t="n"/>
      <c r="P897" s="18" t="n"/>
      <c r="Q897" s="260" t="n"/>
    </row>
    <row r="898" ht="15.5" customHeight="1">
      <c r="B898" s="249" t="n">
        <v>45593</v>
      </c>
      <c r="C898" s="15" t="n">
        <v>312</v>
      </c>
      <c r="D898" s="170" t="inlineStr">
        <is>
          <t>Pemindahbukan dari double bayar (29 des 2023) utk PPN Inv-028</t>
        </is>
      </c>
      <c r="E898" s="227" t="n"/>
      <c r="F898" s="250" t="n">
        <v>33836000</v>
      </c>
      <c r="G898" s="15" t="inlineStr">
        <is>
          <t>IDR</t>
        </is>
      </c>
      <c r="H898" s="251" t="n">
        <v>1</v>
      </c>
      <c r="I898" s="251" t="n">
        <v>33836000</v>
      </c>
      <c r="J898" s="252" t="n">
        <v>33836000</v>
      </c>
      <c r="K898" s="249" t="n"/>
      <c r="L898" s="252" t="n"/>
      <c r="M898" s="253" t="n"/>
      <c r="N898" s="253" t="n"/>
      <c r="O898" s="252" t="n"/>
      <c r="P898" s="18" t="n"/>
      <c r="Q898" s="260" t="n"/>
    </row>
    <row r="899" ht="15.5" customHeight="1">
      <c r="B899" s="249" t="n">
        <v>45593</v>
      </c>
      <c r="C899" s="15" t="n">
        <v>313</v>
      </c>
      <c r="D899" s="170" t="inlineStr">
        <is>
          <t>Pemindahbukan dari double bayar (29 des 2023) utk PPN Inv-028</t>
        </is>
      </c>
      <c r="E899" s="227" t="n"/>
      <c r="F899" s="250" t="n">
        <v>33836000</v>
      </c>
      <c r="G899" s="15" t="inlineStr">
        <is>
          <t>IDR</t>
        </is>
      </c>
      <c r="H899" s="251" t="n">
        <v>1</v>
      </c>
      <c r="I899" s="251" t="n">
        <v>33836000</v>
      </c>
      <c r="J899" s="252" t="n">
        <v>33836000</v>
      </c>
      <c r="K899" s="249" t="n"/>
      <c r="L899" s="252" t="n"/>
      <c r="M899" s="253" t="n"/>
      <c r="N899" s="253" t="n"/>
      <c r="O899" s="252" t="n"/>
      <c r="P899" s="18" t="n"/>
      <c r="Q899" s="260" t="n"/>
    </row>
    <row r="900" ht="15.5" customHeight="1">
      <c r="B900" s="249" t="n">
        <v>45593</v>
      </c>
      <c r="C900" s="15" t="n">
        <v>314</v>
      </c>
      <c r="D900" s="170" t="inlineStr">
        <is>
          <t>Pemindahbukan dari double bayar (29 des 2023) utk PPN Inv-028</t>
        </is>
      </c>
      <c r="E900" s="227" t="n"/>
      <c r="F900" s="250" t="n">
        <v>33836000</v>
      </c>
      <c r="G900" s="15" t="inlineStr">
        <is>
          <t>IDR</t>
        </is>
      </c>
      <c r="H900" s="251" t="n">
        <v>1</v>
      </c>
      <c r="I900" s="251" t="n">
        <v>33836000</v>
      </c>
      <c r="J900" s="252" t="n">
        <v>33836000</v>
      </c>
      <c r="K900" s="249" t="n"/>
      <c r="L900" s="252" t="n"/>
      <c r="M900" s="253" t="n"/>
      <c r="N900" s="253" t="n"/>
      <c r="O900" s="252" t="n"/>
      <c r="P900" s="18" t="n"/>
      <c r="Q900" s="260" t="n"/>
    </row>
    <row r="901" ht="15.5" customHeight="1">
      <c r="B901" s="249" t="n">
        <v>45593</v>
      </c>
      <c r="C901" s="15" t="n">
        <v>315</v>
      </c>
      <c r="D901" s="170" t="inlineStr">
        <is>
          <t>Pemindahbukan dari double bayar (29 des 2023) utk PPN Inv-028</t>
        </is>
      </c>
      <c r="E901" s="227" t="n"/>
      <c r="F901" s="250" t="n">
        <v>33836000</v>
      </c>
      <c r="G901" s="15" t="inlineStr">
        <is>
          <t>IDR</t>
        </is>
      </c>
      <c r="H901" s="251" t="n">
        <v>1</v>
      </c>
      <c r="I901" s="251" t="n">
        <v>33836000</v>
      </c>
      <c r="J901" s="252" t="n">
        <v>33836000</v>
      </c>
      <c r="K901" s="249" t="n"/>
      <c r="L901" s="252" t="n"/>
      <c r="M901" s="253" t="n"/>
      <c r="N901" s="253" t="n"/>
      <c r="O901" s="252" t="n"/>
      <c r="P901" s="18" t="n"/>
      <c r="Q901" s="260" t="n"/>
    </row>
    <row r="902" ht="15.5" customHeight="1">
      <c r="B902" s="249" t="n">
        <v>45593</v>
      </c>
      <c r="C902" s="15" t="n">
        <v>316</v>
      </c>
      <c r="D902" s="170" t="inlineStr">
        <is>
          <t>Pemindahbukan dari double bayar (29 des 2023) utk PPN Inv-028</t>
        </is>
      </c>
      <c r="E902" s="227" t="n"/>
      <c r="F902" s="250" t="n">
        <v>33836000</v>
      </c>
      <c r="G902" s="15" t="inlineStr">
        <is>
          <t>IDR</t>
        </is>
      </c>
      <c r="H902" s="251" t="n">
        <v>1</v>
      </c>
      <c r="I902" s="251" t="n">
        <v>33836000</v>
      </c>
      <c r="J902" s="252" t="n">
        <v>33836000</v>
      </c>
      <c r="K902" s="249" t="n"/>
      <c r="L902" s="252" t="n"/>
      <c r="M902" s="253" t="n"/>
      <c r="N902" s="253" t="n"/>
      <c r="O902" s="252" t="n"/>
      <c r="P902" s="18" t="n"/>
      <c r="Q902" s="260" t="n"/>
    </row>
    <row r="903" ht="15.5" customHeight="1">
      <c r="B903" s="249" t="n">
        <v>45593</v>
      </c>
      <c r="C903" s="15" t="n">
        <v>317</v>
      </c>
      <c r="D903" s="170" t="inlineStr">
        <is>
          <t>Pemindahbukan dari double bayar (29 des 2023) utk PPN Inv-028</t>
        </is>
      </c>
      <c r="E903" s="227" t="n"/>
      <c r="F903" s="250" t="n">
        <v>33836000</v>
      </c>
      <c r="G903" s="15" t="inlineStr">
        <is>
          <t>IDR</t>
        </is>
      </c>
      <c r="H903" s="251" t="n">
        <v>1</v>
      </c>
      <c r="I903" s="251" t="n">
        <v>33836000</v>
      </c>
      <c r="J903" s="252" t="n">
        <v>33836000</v>
      </c>
      <c r="K903" s="249" t="n"/>
      <c r="L903" s="252" t="n"/>
      <c r="M903" s="253" t="n"/>
      <c r="N903" s="253" t="n"/>
      <c r="O903" s="252" t="n"/>
      <c r="P903" s="18" t="n"/>
      <c r="Q903" s="260" t="n"/>
    </row>
    <row r="904" ht="15.5" customHeight="1">
      <c r="B904" s="249" t="n">
        <v>45593</v>
      </c>
      <c r="C904" s="15" t="n">
        <v>318</v>
      </c>
      <c r="D904" s="170" t="inlineStr">
        <is>
          <t>Pemindahbukan dari double bayar (29 des 2023) utk PPN Inv-028</t>
        </is>
      </c>
      <c r="E904" s="227" t="n"/>
      <c r="F904" s="250" t="n">
        <v>33836000</v>
      </c>
      <c r="G904" s="15" t="inlineStr">
        <is>
          <t>IDR</t>
        </is>
      </c>
      <c r="H904" s="251" t="n">
        <v>1</v>
      </c>
      <c r="I904" s="251" t="n">
        <v>33836000</v>
      </c>
      <c r="J904" s="252" t="n">
        <v>33836000</v>
      </c>
      <c r="K904" s="249" t="n"/>
      <c r="L904" s="252" t="n"/>
      <c r="M904" s="253" t="n"/>
      <c r="N904" s="253" t="n"/>
      <c r="O904" s="252" t="n"/>
      <c r="P904" s="18" t="n"/>
      <c r="Q904" s="260" t="n"/>
    </row>
    <row r="905" ht="15.5" customHeight="1">
      <c r="B905" s="249" t="n">
        <v>45593</v>
      </c>
      <c r="C905" s="15" t="n">
        <v>319</v>
      </c>
      <c r="D905" s="170" t="inlineStr">
        <is>
          <t>Pemindahbukan dari double bayar (29 des 2023) utk PPN Inv-028</t>
        </is>
      </c>
      <c r="E905" s="227" t="n"/>
      <c r="F905" s="250" t="n">
        <v>33836000</v>
      </c>
      <c r="G905" s="15" t="inlineStr">
        <is>
          <t>IDR</t>
        </is>
      </c>
      <c r="H905" s="251" t="n">
        <v>1</v>
      </c>
      <c r="I905" s="251" t="n">
        <v>33836000</v>
      </c>
      <c r="J905" s="252" t="n">
        <v>33836000</v>
      </c>
      <c r="K905" s="249" t="n"/>
      <c r="L905" s="252" t="n"/>
      <c r="M905" s="253" t="n"/>
      <c r="N905" s="253" t="n"/>
      <c r="O905" s="252" t="n"/>
      <c r="P905" s="18" t="n"/>
      <c r="Q905" s="260" t="n"/>
    </row>
    <row r="906" ht="15.5" customHeight="1">
      <c r="B906" s="249" t="n">
        <v>45593</v>
      </c>
      <c r="C906" s="15" t="n">
        <v>320</v>
      </c>
      <c r="D906" s="170" t="inlineStr">
        <is>
          <t>Pemindahbukan dari double bayar (29 des 2023) utk PPN Inv-028</t>
        </is>
      </c>
      <c r="E906" s="227" t="n"/>
      <c r="F906" s="250" t="n">
        <v>33836000</v>
      </c>
      <c r="G906" s="15" t="inlineStr">
        <is>
          <t>IDR</t>
        </is>
      </c>
      <c r="H906" s="251" t="n">
        <v>1</v>
      </c>
      <c r="I906" s="251" t="n">
        <v>33836000</v>
      </c>
      <c r="J906" s="252" t="n">
        <v>33836000</v>
      </c>
      <c r="K906" s="249" t="n"/>
      <c r="L906" s="252" t="n"/>
      <c r="M906" s="253" t="n"/>
      <c r="N906" s="253" t="n"/>
      <c r="O906" s="252" t="n"/>
      <c r="P906" s="18" t="n"/>
      <c r="Q906" s="260" t="n"/>
    </row>
    <row r="907" ht="15.5" customHeight="1">
      <c r="B907" s="249" t="n">
        <v>45593</v>
      </c>
      <c r="C907" s="15" t="n">
        <v>321</v>
      </c>
      <c r="D907" s="170" t="inlineStr">
        <is>
          <t>Pemindahbukan dari double bayar (29 des 2023) utk PPN Inv-028</t>
        </is>
      </c>
      <c r="E907" s="227" t="n"/>
      <c r="F907" s="250" t="n">
        <v>33836000</v>
      </c>
      <c r="G907" s="15" t="inlineStr">
        <is>
          <t>IDR</t>
        </is>
      </c>
      <c r="H907" s="251" t="n">
        <v>1</v>
      </c>
      <c r="I907" s="251" t="n">
        <v>33836000</v>
      </c>
      <c r="J907" s="252" t="n">
        <v>33836000</v>
      </c>
      <c r="K907" s="249" t="n"/>
      <c r="L907" s="252" t="n"/>
      <c r="M907" s="253" t="n"/>
      <c r="N907" s="253" t="n"/>
      <c r="O907" s="252" t="n"/>
      <c r="P907" s="18" t="n"/>
      <c r="Q907" s="260" t="n"/>
    </row>
    <row r="908" ht="15.5" customHeight="1">
      <c r="B908" s="249" t="n">
        <v>45593</v>
      </c>
      <c r="C908" s="15" t="n">
        <v>322</v>
      </c>
      <c r="D908" s="170" t="inlineStr">
        <is>
          <t>Pemindahbukan dari double bayar (29 des 2023) utk PPN Inv-028</t>
        </is>
      </c>
      <c r="E908" s="227" t="n"/>
      <c r="F908" s="250" t="n">
        <v>33836000</v>
      </c>
      <c r="G908" s="15" t="inlineStr">
        <is>
          <t>IDR</t>
        </is>
      </c>
      <c r="H908" s="251" t="n">
        <v>1</v>
      </c>
      <c r="I908" s="251" t="n">
        <v>33836000</v>
      </c>
      <c r="J908" s="252" t="n">
        <v>33836000</v>
      </c>
      <c r="K908" s="249" t="n"/>
      <c r="L908" s="252" t="n"/>
      <c r="M908" s="253" t="n"/>
      <c r="N908" s="253" t="n"/>
      <c r="O908" s="252" t="n"/>
      <c r="P908" s="18" t="n"/>
      <c r="Q908" s="260" t="n"/>
    </row>
    <row r="909" ht="15.5" customHeight="1">
      <c r="B909" s="249" t="n">
        <v>45593</v>
      </c>
      <c r="C909" s="15" t="n">
        <v>323</v>
      </c>
      <c r="D909" s="170" t="inlineStr">
        <is>
          <t>Pemindahbukan dari double bayar (29 des 2023) utk PPN Inv-028</t>
        </is>
      </c>
      <c r="E909" s="227" t="n"/>
      <c r="F909" s="250" t="n">
        <v>33836000</v>
      </c>
      <c r="G909" s="15" t="inlineStr">
        <is>
          <t>IDR</t>
        </is>
      </c>
      <c r="H909" s="251" t="n">
        <v>1</v>
      </c>
      <c r="I909" s="251" t="n">
        <v>33836000</v>
      </c>
      <c r="J909" s="252" t="n">
        <v>33836000</v>
      </c>
      <c r="K909" s="249" t="n"/>
      <c r="L909" s="252" t="n"/>
      <c r="M909" s="253" t="n"/>
      <c r="N909" s="253" t="n"/>
      <c r="O909" s="252" t="n"/>
      <c r="P909" s="18" t="n"/>
      <c r="Q909" s="260" t="n"/>
    </row>
    <row r="910" ht="15.5" customHeight="1">
      <c r="B910" s="249" t="n">
        <v>45593</v>
      </c>
      <c r="C910" s="15" t="n">
        <v>324</v>
      </c>
      <c r="D910" s="170" t="inlineStr">
        <is>
          <t>Pemindahbukan dari double bayar (29 des 2023) utk PPN Inv-028</t>
        </is>
      </c>
      <c r="E910" s="227" t="n"/>
      <c r="F910" s="250" t="n">
        <v>33836000</v>
      </c>
      <c r="G910" s="15" t="inlineStr">
        <is>
          <t>IDR</t>
        </is>
      </c>
      <c r="H910" s="251" t="n">
        <v>1</v>
      </c>
      <c r="I910" s="251" t="n">
        <v>33836000</v>
      </c>
      <c r="J910" s="252" t="n">
        <v>33836000</v>
      </c>
      <c r="K910" s="249" t="n"/>
      <c r="L910" s="252" t="n"/>
      <c r="M910" s="253" t="n"/>
      <c r="N910" s="253" t="n"/>
      <c r="O910" s="252" t="n"/>
      <c r="P910" s="18" t="n"/>
      <c r="Q910" s="260" t="n"/>
    </row>
    <row r="911" ht="15.5" customHeight="1">
      <c r="B911" s="249" t="n">
        <v>45593</v>
      </c>
      <c r="C911" s="15" t="n">
        <v>325</v>
      </c>
      <c r="D911" s="170" t="inlineStr">
        <is>
          <t>Pemindahbukan dari double bayar (29 des 2023) utk PPN Inv-028</t>
        </is>
      </c>
      <c r="E911" s="227" t="n"/>
      <c r="F911" s="250" t="n">
        <v>33836000</v>
      </c>
      <c r="G911" s="15" t="inlineStr">
        <is>
          <t>IDR</t>
        </is>
      </c>
      <c r="H911" s="251" t="n">
        <v>1</v>
      </c>
      <c r="I911" s="251" t="n">
        <v>33836000</v>
      </c>
      <c r="J911" s="252" t="n">
        <v>33836000</v>
      </c>
      <c r="K911" s="249" t="n"/>
      <c r="L911" s="252" t="n"/>
      <c r="M911" s="253" t="n"/>
      <c r="N911" s="253" t="n"/>
      <c r="O911" s="252" t="n"/>
      <c r="P911" s="18" t="n"/>
      <c r="Q911" s="260" t="n"/>
    </row>
    <row r="912" ht="15.5" customHeight="1">
      <c r="B912" s="249" t="n">
        <v>45593</v>
      </c>
      <c r="C912" s="15" t="n">
        <v>326</v>
      </c>
      <c r="D912" s="170" t="inlineStr">
        <is>
          <t>Pemindahbukan dari double bayar (29 des 2023) utk PPN Inv-028</t>
        </is>
      </c>
      <c r="E912" s="227" t="n"/>
      <c r="F912" s="250" t="n">
        <v>33836000</v>
      </c>
      <c r="G912" s="15" t="inlineStr">
        <is>
          <t>IDR</t>
        </is>
      </c>
      <c r="H912" s="251" t="n">
        <v>1</v>
      </c>
      <c r="I912" s="251" t="n">
        <v>33836000</v>
      </c>
      <c r="J912" s="252" t="n">
        <v>33836000</v>
      </c>
      <c r="K912" s="249" t="n"/>
      <c r="L912" s="252" t="n"/>
      <c r="M912" s="253" t="n"/>
      <c r="N912" s="253" t="n"/>
      <c r="O912" s="252" t="n"/>
      <c r="P912" s="18" t="n"/>
      <c r="Q912" s="260" t="n"/>
    </row>
    <row r="913" ht="15.5" customHeight="1">
      <c r="B913" s="249" t="n">
        <v>45593</v>
      </c>
      <c r="C913" s="15" t="n">
        <v>327</v>
      </c>
      <c r="D913" s="170" t="inlineStr">
        <is>
          <t>Pemindahbukan dari double bayar (29 des 2023) utk PPN Inv-028</t>
        </is>
      </c>
      <c r="E913" s="227" t="n"/>
      <c r="F913" s="250" t="n">
        <v>33836000</v>
      </c>
      <c r="G913" s="15" t="inlineStr">
        <is>
          <t>IDR</t>
        </is>
      </c>
      <c r="H913" s="251" t="n">
        <v>1</v>
      </c>
      <c r="I913" s="251" t="n">
        <v>33836000</v>
      </c>
      <c r="J913" s="252" t="n">
        <v>33836000</v>
      </c>
      <c r="K913" s="249" t="n"/>
      <c r="L913" s="252" t="n"/>
      <c r="M913" s="253" t="n"/>
      <c r="N913" s="253" t="n"/>
      <c r="O913" s="252" t="n"/>
      <c r="P913" s="18" t="n"/>
      <c r="Q913" s="260" t="n"/>
    </row>
    <row r="914" ht="15.5" customHeight="1">
      <c r="B914" s="249" t="n">
        <v>45593</v>
      </c>
      <c r="C914" s="15" t="n">
        <v>328</v>
      </c>
      <c r="D914" s="170" t="inlineStr">
        <is>
          <t>Pemindahbukan dari double bayar (29 des 2023) utk PPN Inv-028</t>
        </is>
      </c>
      <c r="E914" s="227" t="n"/>
      <c r="F914" s="250" t="n">
        <v>33836000</v>
      </c>
      <c r="G914" s="15" t="inlineStr">
        <is>
          <t>IDR</t>
        </is>
      </c>
      <c r="H914" s="251" t="n">
        <v>1</v>
      </c>
      <c r="I914" s="251" t="n">
        <v>33836000</v>
      </c>
      <c r="J914" s="252" t="n">
        <v>33836000</v>
      </c>
      <c r="K914" s="249" t="n"/>
      <c r="L914" s="252" t="n"/>
      <c r="M914" s="253" t="n"/>
      <c r="N914" s="253" t="n"/>
      <c r="O914" s="252" t="n"/>
      <c r="P914" s="18" t="n"/>
      <c r="Q914" s="260" t="n"/>
    </row>
    <row r="915" ht="15.5" customHeight="1">
      <c r="B915" s="249" t="n">
        <v>45607</v>
      </c>
      <c r="C915" s="15" t="n">
        <v>329</v>
      </c>
      <c r="D915" s="170" t="inlineStr">
        <is>
          <t>Kekurangan pajak PPn Inv-028 (barikikn Sakti)(1/3 nya dari PBK pajak)</t>
        </is>
      </c>
      <c r="E915" s="227" t="n"/>
      <c r="F915" s="250" t="n">
        <v>56276000</v>
      </c>
      <c r="G915" s="15" t="inlineStr">
        <is>
          <t>IDR</t>
        </is>
      </c>
      <c r="H915" s="251" t="n">
        <v>1</v>
      </c>
      <c r="I915" s="251" t="n">
        <v>56276000</v>
      </c>
      <c r="J915" s="252" t="n">
        <v>56276000</v>
      </c>
      <c r="K915" s="249" t="n"/>
      <c r="L915" s="252" t="n"/>
      <c r="M915" s="253" t="n"/>
      <c r="N915" s="253" t="n"/>
      <c r="O915" s="252" t="n"/>
      <c r="P915" s="18" t="n"/>
      <c r="Q915" s="260" t="n"/>
    </row>
    <row r="916" ht="15.5" customHeight="1">
      <c r="B916" s="249" t="n">
        <v>45607</v>
      </c>
      <c r="C916" s="15" t="n">
        <v>330</v>
      </c>
      <c r="D916" s="170" t="inlineStr">
        <is>
          <t>Kekurangan pajak final PPH 23 keuntungan perusahaan tahun 2023</t>
        </is>
      </c>
      <c r="E916" s="227" t="n"/>
      <c r="F916" s="250" t="n">
        <v>1726469</v>
      </c>
      <c r="G916" s="15" t="inlineStr">
        <is>
          <t>IDR</t>
        </is>
      </c>
      <c r="H916" s="251" t="n">
        <v>1</v>
      </c>
      <c r="I916" s="15" t="n"/>
      <c r="J916" s="18" t="n"/>
      <c r="K916" s="249" t="n"/>
      <c r="L916" s="252" t="n"/>
      <c r="M916" s="253" t="n">
        <v>1726469</v>
      </c>
      <c r="N916" s="253" t="n">
        <v>1726469</v>
      </c>
      <c r="O916" s="252" t="n"/>
      <c r="P916" s="18" t="n"/>
      <c r="Q916" s="260" t="n"/>
    </row>
    <row r="917" ht="15.5" customHeight="1">
      <c r="B917" s="249" t="n">
        <v>45607</v>
      </c>
      <c r="C917" s="15" t="n">
        <v>331</v>
      </c>
      <c r="D917" s="170" t="inlineStr">
        <is>
          <t>Kekurangan pajak PPn Inv-028 (barikikn Sakti)(1/3 nya dari PBK pajak)</t>
        </is>
      </c>
      <c r="E917" s="227" t="n"/>
      <c r="F917" s="250" t="n">
        <v>56276000</v>
      </c>
      <c r="G917" s="15" t="inlineStr">
        <is>
          <t>IDR</t>
        </is>
      </c>
      <c r="H917" s="251" t="n">
        <v>1</v>
      </c>
      <c r="I917" s="251" t="n">
        <v>56276000</v>
      </c>
      <c r="J917" s="252" t="n">
        <v>56276000</v>
      </c>
      <c r="K917" s="249" t="n"/>
      <c r="L917" s="252" t="n"/>
      <c r="M917" s="253" t="n"/>
      <c r="N917" s="253" t="n"/>
      <c r="O917" s="252" t="n"/>
      <c r="P917" s="18" t="n"/>
      <c r="Q917" s="260" t="n"/>
    </row>
    <row r="918" ht="15.5" customHeight="1">
      <c r="B918" s="249" t="n">
        <v>45607</v>
      </c>
      <c r="C918" s="15" t="n">
        <v>332</v>
      </c>
      <c r="D918" s="170" t="inlineStr">
        <is>
          <t>Kekurangan pajak final PPH 23 keuntungan perusahaan tahun 2023</t>
        </is>
      </c>
      <c r="E918" s="227" t="n"/>
      <c r="F918" s="250" t="n">
        <v>1726469</v>
      </c>
      <c r="G918" s="15" t="inlineStr">
        <is>
          <t>IDR</t>
        </is>
      </c>
      <c r="H918" s="251" t="n">
        <v>1</v>
      </c>
      <c r="I918" s="15" t="n"/>
      <c r="J918" s="18" t="n"/>
      <c r="K918" s="249" t="n"/>
      <c r="L918" s="252" t="n"/>
      <c r="M918" s="253" t="n">
        <v>1726469</v>
      </c>
      <c r="N918" s="253" t="n">
        <v>1726469</v>
      </c>
      <c r="O918" s="252" t="n"/>
      <c r="P918" s="18" t="n"/>
      <c r="Q918" s="260" t="n"/>
    </row>
    <row r="919" ht="15.5" customHeight="1">
      <c r="B919" s="249" t="n">
        <v>45607</v>
      </c>
      <c r="C919" s="15" t="n">
        <v>333</v>
      </c>
      <c r="D919" s="170" t="inlineStr">
        <is>
          <t>Kekurangan pajak PPn Inv-028 (barikikn Sakti)(1/3 nya dari PBK pajak)</t>
        </is>
      </c>
      <c r="E919" s="227" t="n"/>
      <c r="F919" s="250" t="n">
        <v>56276000</v>
      </c>
      <c r="G919" s="15" t="inlineStr">
        <is>
          <t>IDR</t>
        </is>
      </c>
      <c r="H919" s="251" t="n">
        <v>1</v>
      </c>
      <c r="I919" s="251" t="n">
        <v>56276000</v>
      </c>
      <c r="J919" s="252" t="n">
        <v>56276000</v>
      </c>
      <c r="K919" s="249" t="n"/>
      <c r="L919" s="252" t="n"/>
      <c r="M919" s="253" t="n"/>
      <c r="N919" s="253" t="n"/>
      <c r="O919" s="252" t="n"/>
      <c r="P919" s="18" t="n"/>
      <c r="Q919" s="260" t="n"/>
    </row>
    <row r="920" ht="15.5" customHeight="1">
      <c r="B920" s="249" t="n">
        <v>45607</v>
      </c>
      <c r="C920" s="15" t="n">
        <v>334</v>
      </c>
      <c r="D920" s="170" t="inlineStr">
        <is>
          <t>Kekurangan pajak final PPH 23 keuntungan perusahaan tahun 2023</t>
        </is>
      </c>
      <c r="E920" s="227" t="n"/>
      <c r="F920" s="250" t="n">
        <v>1726469</v>
      </c>
      <c r="G920" s="15" t="inlineStr">
        <is>
          <t>IDR</t>
        </is>
      </c>
      <c r="H920" s="251" t="n">
        <v>1</v>
      </c>
      <c r="I920" s="15" t="n"/>
      <c r="J920" s="18" t="n"/>
      <c r="K920" s="249" t="n"/>
      <c r="L920" s="252" t="n"/>
      <c r="M920" s="253" t="n">
        <v>1726469</v>
      </c>
      <c r="N920" s="253" t="n">
        <v>1726469</v>
      </c>
      <c r="O920" s="252" t="n"/>
      <c r="P920" s="18" t="n"/>
      <c r="Q920" s="260" t="n"/>
    </row>
    <row r="921" ht="15.5" customHeight="1">
      <c r="B921" s="249" t="n">
        <v>45607</v>
      </c>
      <c r="C921" s="15" t="n">
        <v>335</v>
      </c>
      <c r="D921" s="170" t="inlineStr">
        <is>
          <t>Kekurangan pajak PPn Inv-028 (barikikn Sakti)(1/3 nya dari PBK pajak)</t>
        </is>
      </c>
      <c r="E921" s="227" t="n"/>
      <c r="F921" s="250" t="n">
        <v>56276000</v>
      </c>
      <c r="G921" s="15" t="inlineStr">
        <is>
          <t>IDR</t>
        </is>
      </c>
      <c r="H921" s="251" t="n">
        <v>1</v>
      </c>
      <c r="I921" s="251" t="n">
        <v>56276000</v>
      </c>
      <c r="J921" s="252" t="n">
        <v>56276000</v>
      </c>
      <c r="K921" s="249" t="n"/>
      <c r="L921" s="252" t="n"/>
      <c r="M921" s="253" t="n"/>
      <c r="N921" s="253" t="n"/>
      <c r="O921" s="252" t="n"/>
      <c r="P921" s="18" t="n"/>
      <c r="Q921" s="260" t="n"/>
    </row>
    <row r="922" ht="15.5" customHeight="1">
      <c r="B922" s="249" t="n">
        <v>45607</v>
      </c>
      <c r="C922" s="15" t="n">
        <v>336</v>
      </c>
      <c r="D922" s="170" t="inlineStr">
        <is>
          <t>Kekurangan pajak final PPH 23 keuntungan perusahaan tahun 2023</t>
        </is>
      </c>
      <c r="E922" s="227" t="n"/>
      <c r="F922" s="250" t="n">
        <v>1726469</v>
      </c>
      <c r="G922" s="15" t="inlineStr">
        <is>
          <t>IDR</t>
        </is>
      </c>
      <c r="H922" s="251" t="n">
        <v>1</v>
      </c>
      <c r="I922" s="15" t="n"/>
      <c r="J922" s="18" t="n"/>
      <c r="K922" s="249" t="n"/>
      <c r="L922" s="252" t="n"/>
      <c r="M922" s="253" t="n">
        <v>1726469</v>
      </c>
      <c r="N922" s="253" t="n">
        <v>1726469</v>
      </c>
      <c r="O922" s="252" t="n"/>
      <c r="P922" s="18" t="n"/>
      <c r="Q922" s="260" t="n"/>
    </row>
    <row r="923" ht="15.5" customHeight="1">
      <c r="B923" s="249" t="n">
        <v>45607</v>
      </c>
      <c r="C923" s="15" t="n">
        <v>337</v>
      </c>
      <c r="D923" s="170" t="inlineStr">
        <is>
          <t>Kekurangan pajak PPn Inv-028 (barikikn Sakti)(1/3 nya dari PBK pajak)</t>
        </is>
      </c>
      <c r="E923" s="227" t="n"/>
      <c r="F923" s="250" t="n">
        <v>56276000</v>
      </c>
      <c r="G923" s="15" t="inlineStr">
        <is>
          <t>IDR</t>
        </is>
      </c>
      <c r="H923" s="251" t="n">
        <v>1</v>
      </c>
      <c r="I923" s="251" t="n">
        <v>56276000</v>
      </c>
      <c r="J923" s="252" t="n">
        <v>56276000</v>
      </c>
      <c r="K923" s="249" t="n"/>
      <c r="L923" s="252" t="n"/>
      <c r="M923" s="253" t="n"/>
      <c r="N923" s="253" t="n"/>
      <c r="O923" s="252" t="n"/>
      <c r="P923" s="18" t="n"/>
      <c r="Q923" s="260" t="n"/>
    </row>
    <row r="924" ht="15.5" customHeight="1">
      <c r="B924" s="249" t="n">
        <v>45607</v>
      </c>
      <c r="C924" s="15" t="n">
        <v>338</v>
      </c>
      <c r="D924" s="170" t="inlineStr">
        <is>
          <t>Kekurangan pajak final PPH 23 keuntungan perusahaan tahun 2023</t>
        </is>
      </c>
      <c r="E924" s="227" t="n"/>
      <c r="F924" s="250" t="n">
        <v>1726469</v>
      </c>
      <c r="G924" s="15" t="inlineStr">
        <is>
          <t>IDR</t>
        </is>
      </c>
      <c r="H924" s="251" t="n">
        <v>1</v>
      </c>
      <c r="I924" s="15" t="n"/>
      <c r="J924" s="18" t="n"/>
      <c r="K924" s="249" t="n"/>
      <c r="L924" s="252" t="n"/>
      <c r="M924" s="253" t="n">
        <v>1726469</v>
      </c>
      <c r="N924" s="253" t="n">
        <v>1726469</v>
      </c>
      <c r="O924" s="252" t="n"/>
      <c r="P924" s="18" t="n"/>
      <c r="Q924" s="260" t="n"/>
    </row>
    <row r="925" ht="15.5" customHeight="1">
      <c r="B925" s="249" t="n">
        <v>45607</v>
      </c>
      <c r="C925" s="15" t="n">
        <v>339</v>
      </c>
      <c r="D925" s="170" t="inlineStr">
        <is>
          <t>Kekurangan pajak PPn Inv-028 (barikikn Sakti)(1/3 nya dari PBK pajak)</t>
        </is>
      </c>
      <c r="E925" s="227" t="n"/>
      <c r="F925" s="250" t="n">
        <v>56276000</v>
      </c>
      <c r="G925" s="15" t="inlineStr">
        <is>
          <t>IDR</t>
        </is>
      </c>
      <c r="H925" s="251" t="n">
        <v>1</v>
      </c>
      <c r="I925" s="251" t="n">
        <v>56276000</v>
      </c>
      <c r="J925" s="252" t="n">
        <v>56276000</v>
      </c>
      <c r="K925" s="249" t="n"/>
      <c r="L925" s="252" t="n"/>
      <c r="M925" s="253" t="n"/>
      <c r="N925" s="253" t="n"/>
      <c r="O925" s="252" t="n"/>
      <c r="P925" s="18" t="n"/>
      <c r="Q925" s="260" t="n"/>
    </row>
    <row r="926" ht="15.5" customHeight="1">
      <c r="B926" s="249" t="n">
        <v>45607</v>
      </c>
      <c r="C926" s="15" t="n">
        <v>340</v>
      </c>
      <c r="D926" s="170" t="inlineStr">
        <is>
          <t>Kekurangan pajak final PPH 23 keuntungan perusahaan tahun 2023</t>
        </is>
      </c>
      <c r="E926" s="227" t="n"/>
      <c r="F926" s="250" t="n">
        <v>1726469</v>
      </c>
      <c r="G926" s="15" t="inlineStr">
        <is>
          <t>IDR</t>
        </is>
      </c>
      <c r="H926" s="251" t="n">
        <v>1</v>
      </c>
      <c r="I926" s="15" t="n"/>
      <c r="J926" s="18" t="n"/>
      <c r="K926" s="249" t="n"/>
      <c r="L926" s="252" t="n"/>
      <c r="M926" s="253" t="n">
        <v>1726469</v>
      </c>
      <c r="N926" s="253" t="n">
        <v>1726469</v>
      </c>
      <c r="O926" s="252" t="n"/>
      <c r="P926" s="18" t="n"/>
      <c r="Q926" s="260" t="n"/>
    </row>
    <row r="927" ht="15.5" customHeight="1">
      <c r="B927" s="249" t="n">
        <v>45607</v>
      </c>
      <c r="C927" s="15" t="n">
        <v>341</v>
      </c>
      <c r="D927" s="170" t="inlineStr">
        <is>
          <t>Kekurangan pajak PPn Inv-028 (barikikn Sakti)(1/3 nya dari PBK pajak)</t>
        </is>
      </c>
      <c r="E927" s="227" t="n"/>
      <c r="F927" s="250" t="n">
        <v>56276000</v>
      </c>
      <c r="G927" s="15" t="inlineStr">
        <is>
          <t>IDR</t>
        </is>
      </c>
      <c r="H927" s="251" t="n">
        <v>1</v>
      </c>
      <c r="I927" s="251" t="n">
        <v>56276000</v>
      </c>
      <c r="J927" s="252" t="n">
        <v>56276000</v>
      </c>
      <c r="K927" s="249" t="n"/>
      <c r="L927" s="252" t="n"/>
      <c r="M927" s="253" t="n"/>
      <c r="N927" s="253" t="n"/>
      <c r="O927" s="252" t="n"/>
      <c r="P927" s="18" t="n"/>
      <c r="Q927" s="260" t="n"/>
    </row>
    <row r="928" ht="15.5" customHeight="1">
      <c r="B928" s="249" t="n">
        <v>45607</v>
      </c>
      <c r="C928" s="15" t="n">
        <v>342</v>
      </c>
      <c r="D928" s="170" t="inlineStr">
        <is>
          <t>Kekurangan pajak final PPH 23 keuntungan perusahaan tahun 2023</t>
        </is>
      </c>
      <c r="E928" s="227" t="n"/>
      <c r="F928" s="250" t="n">
        <v>1726469</v>
      </c>
      <c r="G928" s="15" t="inlineStr">
        <is>
          <t>IDR</t>
        </is>
      </c>
      <c r="H928" s="251" t="n">
        <v>1</v>
      </c>
      <c r="I928" s="15" t="n"/>
      <c r="J928" s="18" t="n"/>
      <c r="K928" s="249" t="n"/>
      <c r="L928" s="252" t="n"/>
      <c r="M928" s="253" t="n">
        <v>1726469</v>
      </c>
      <c r="N928" s="253" t="n">
        <v>1726469</v>
      </c>
      <c r="O928" s="252" t="n"/>
      <c r="P928" s="18" t="n"/>
      <c r="Q928" s="260" t="n"/>
    </row>
    <row r="929" ht="15.5" customHeight="1">
      <c r="B929" s="249" t="n">
        <v>45607</v>
      </c>
      <c r="C929" s="15" t="n">
        <v>343</v>
      </c>
      <c r="D929" s="170" t="inlineStr">
        <is>
          <t>Kekurangan pajak PPn Inv-028 (barikikn Sakti)(1/3 nya dari PBK pajak)</t>
        </is>
      </c>
      <c r="E929" s="227" t="n"/>
      <c r="F929" s="250" t="n">
        <v>56276000</v>
      </c>
      <c r="G929" s="15" t="inlineStr">
        <is>
          <t>IDR</t>
        </is>
      </c>
      <c r="H929" s="251" t="n">
        <v>1</v>
      </c>
      <c r="I929" s="251" t="n">
        <v>56276000</v>
      </c>
      <c r="J929" s="252" t="n">
        <v>56276000</v>
      </c>
      <c r="K929" s="249" t="n"/>
      <c r="L929" s="252" t="n"/>
      <c r="M929" s="253" t="n"/>
      <c r="N929" s="253" t="n"/>
      <c r="O929" s="252" t="n"/>
      <c r="P929" s="18" t="n"/>
      <c r="Q929" s="260" t="n"/>
    </row>
    <row r="930" ht="15.5" customHeight="1">
      <c r="B930" s="249" t="n">
        <v>45607</v>
      </c>
      <c r="C930" s="15" t="n">
        <v>344</v>
      </c>
      <c r="D930" s="170" t="inlineStr">
        <is>
          <t>Kekurangan pajak final PPH 23 keuntungan perusahaan tahun 2023</t>
        </is>
      </c>
      <c r="E930" s="227" t="n"/>
      <c r="F930" s="250" t="n">
        <v>1726469</v>
      </c>
      <c r="G930" s="15" t="inlineStr">
        <is>
          <t>IDR</t>
        </is>
      </c>
      <c r="H930" s="251" t="n">
        <v>1</v>
      </c>
      <c r="I930" s="15" t="n"/>
      <c r="J930" s="18" t="n"/>
      <c r="K930" s="249" t="n"/>
      <c r="L930" s="252" t="n"/>
      <c r="M930" s="253" t="n">
        <v>1726469</v>
      </c>
      <c r="N930" s="253" t="n">
        <v>1726469</v>
      </c>
      <c r="O930" s="252" t="n"/>
      <c r="P930" s="18" t="n"/>
      <c r="Q930" s="260" t="n"/>
    </row>
    <row r="931" ht="15.5" customHeight="1">
      <c r="B931" s="249" t="n">
        <v>45607</v>
      </c>
      <c r="C931" s="15" t="n">
        <v>345</v>
      </c>
      <c r="D931" s="170" t="inlineStr">
        <is>
          <t>Kekurangan pajak PPn Inv-028 (barikikn Sakti)(1/3 nya dari PBK pajak)</t>
        </is>
      </c>
      <c r="E931" s="227" t="n"/>
      <c r="F931" s="250" t="n">
        <v>56276000</v>
      </c>
      <c r="G931" s="15" t="inlineStr">
        <is>
          <t>IDR</t>
        </is>
      </c>
      <c r="H931" s="251" t="n">
        <v>1</v>
      </c>
      <c r="I931" s="251" t="n">
        <v>56276000</v>
      </c>
      <c r="J931" s="252" t="n">
        <v>56276000</v>
      </c>
      <c r="K931" s="249" t="n"/>
      <c r="L931" s="252" t="n"/>
      <c r="M931" s="253" t="n"/>
      <c r="N931" s="253" t="n"/>
      <c r="O931" s="252" t="n"/>
      <c r="P931" s="18" t="n"/>
      <c r="Q931" s="260" t="n"/>
    </row>
    <row r="932" ht="15.5" customHeight="1">
      <c r="B932" s="249" t="n">
        <v>45607</v>
      </c>
      <c r="C932" s="15" t="n">
        <v>346</v>
      </c>
      <c r="D932" s="170" t="inlineStr">
        <is>
          <t>Kekurangan pajak final PPH 23 keuntungan perusahaan tahun 2023</t>
        </is>
      </c>
      <c r="E932" s="227" t="n"/>
      <c r="F932" s="250" t="n">
        <v>1726469</v>
      </c>
      <c r="G932" s="15" t="inlineStr">
        <is>
          <t>IDR</t>
        </is>
      </c>
      <c r="H932" s="251" t="n">
        <v>1</v>
      </c>
      <c r="I932" s="15" t="n"/>
      <c r="J932" s="18" t="n"/>
      <c r="K932" s="249" t="n"/>
      <c r="L932" s="252" t="n"/>
      <c r="M932" s="253" t="n">
        <v>1726469</v>
      </c>
      <c r="N932" s="253" t="n">
        <v>1726469</v>
      </c>
      <c r="O932" s="252" t="n"/>
      <c r="P932" s="18" t="n"/>
      <c r="Q932" s="260" t="n"/>
    </row>
    <row r="933" ht="15.5" customHeight="1">
      <c r="B933" s="249" t="n">
        <v>45607</v>
      </c>
      <c r="C933" s="15" t="n">
        <v>347</v>
      </c>
      <c r="D933" s="170" t="inlineStr">
        <is>
          <t>Kekurangan pajak PPn Inv-028 (barikikn Sakti)(1/3 nya dari PBK pajak)</t>
        </is>
      </c>
      <c r="E933" s="227" t="n"/>
      <c r="F933" s="250" t="n">
        <v>56276000</v>
      </c>
      <c r="G933" s="15" t="inlineStr">
        <is>
          <t>IDR</t>
        </is>
      </c>
      <c r="H933" s="251" t="n">
        <v>1</v>
      </c>
      <c r="I933" s="251" t="n">
        <v>56276000</v>
      </c>
      <c r="J933" s="252" t="n">
        <v>56276000</v>
      </c>
      <c r="K933" s="249" t="n"/>
      <c r="L933" s="252" t="n"/>
      <c r="M933" s="253" t="n"/>
      <c r="N933" s="253" t="n"/>
      <c r="O933" s="252" t="n"/>
      <c r="P933" s="18" t="n"/>
      <c r="Q933" s="260" t="n"/>
    </row>
    <row r="934" ht="15.5" customHeight="1">
      <c r="B934" s="249" t="n">
        <v>45607</v>
      </c>
      <c r="C934" s="15" t="n">
        <v>348</v>
      </c>
      <c r="D934" s="170" t="inlineStr">
        <is>
          <t>Kekurangan pajak final PPH 23 keuntungan perusahaan tahun 2023</t>
        </is>
      </c>
      <c r="E934" s="227" t="n"/>
      <c r="F934" s="250" t="n">
        <v>1726469</v>
      </c>
      <c r="G934" s="15" t="inlineStr">
        <is>
          <t>IDR</t>
        </is>
      </c>
      <c r="H934" s="251" t="n">
        <v>1</v>
      </c>
      <c r="I934" s="15" t="n"/>
      <c r="J934" s="18" t="n"/>
      <c r="K934" s="249" t="n"/>
      <c r="L934" s="252" t="n"/>
      <c r="M934" s="253" t="n">
        <v>1726469</v>
      </c>
      <c r="N934" s="253" t="n">
        <v>1726469</v>
      </c>
      <c r="O934" s="252" t="n"/>
      <c r="P934" s="18" t="n"/>
      <c r="Q934" s="260" t="n"/>
    </row>
    <row r="935" ht="15.5" customHeight="1">
      <c r="B935" s="249" t="n">
        <v>45607</v>
      </c>
      <c r="C935" s="15" t="n">
        <v>349</v>
      </c>
      <c r="D935" s="170" t="inlineStr">
        <is>
          <t>Kekurangan pajak PPn Inv-028 (barikikn Sakti)(1/3 nya dari PBK pajak)</t>
        </is>
      </c>
      <c r="E935" s="227" t="n"/>
      <c r="F935" s="250" t="n">
        <v>56276000</v>
      </c>
      <c r="G935" s="15" t="inlineStr">
        <is>
          <t>IDR</t>
        </is>
      </c>
      <c r="H935" s="251" t="n">
        <v>1</v>
      </c>
      <c r="I935" s="251" t="n">
        <v>56276000</v>
      </c>
      <c r="J935" s="252" t="n">
        <v>56276000</v>
      </c>
      <c r="K935" s="249" t="n"/>
      <c r="L935" s="252" t="n"/>
      <c r="M935" s="253" t="n"/>
      <c r="N935" s="253" t="n"/>
      <c r="O935" s="252" t="n"/>
      <c r="P935" s="18" t="n"/>
      <c r="Q935" s="260" t="n"/>
    </row>
    <row r="936" ht="15.5" customHeight="1">
      <c r="B936" s="249" t="n">
        <v>45607</v>
      </c>
      <c r="C936" s="15" t="n">
        <v>350</v>
      </c>
      <c r="D936" s="170" t="inlineStr">
        <is>
          <t>Kekurangan pajak final PPH 23 keuntungan perusahaan tahun 2023</t>
        </is>
      </c>
      <c r="E936" s="227" t="n"/>
      <c r="F936" s="250" t="n">
        <v>1726469</v>
      </c>
      <c r="G936" s="15" t="inlineStr">
        <is>
          <t>IDR</t>
        </is>
      </c>
      <c r="H936" s="251" t="n">
        <v>1</v>
      </c>
      <c r="I936" s="15" t="n"/>
      <c r="J936" s="18" t="n"/>
      <c r="K936" s="249" t="n"/>
      <c r="L936" s="252" t="n"/>
      <c r="M936" s="253" t="n">
        <v>1726469</v>
      </c>
      <c r="N936" s="253" t="n">
        <v>1726469</v>
      </c>
      <c r="O936" s="252" t="n"/>
      <c r="P936" s="18" t="n"/>
      <c r="Q936" s="260" t="n"/>
    </row>
    <row r="937" ht="15.5" customHeight="1">
      <c r="B937" s="249" t="n">
        <v>45607</v>
      </c>
      <c r="C937" s="15" t="n">
        <v>351</v>
      </c>
      <c r="D937" s="170" t="inlineStr">
        <is>
          <t>Kekurangan pajak PPn Inv-028 (barikikn Sakti)(1/3 nya dari PBK pajak)</t>
        </is>
      </c>
      <c r="E937" s="227" t="n"/>
      <c r="F937" s="250" t="n">
        <v>56276000</v>
      </c>
      <c r="G937" s="15" t="inlineStr">
        <is>
          <t>IDR</t>
        </is>
      </c>
      <c r="H937" s="251" t="n">
        <v>1</v>
      </c>
      <c r="I937" s="251" t="n">
        <v>56276000</v>
      </c>
      <c r="J937" s="252" t="n">
        <v>56276000</v>
      </c>
      <c r="K937" s="249" t="n"/>
      <c r="L937" s="252" t="n"/>
      <c r="M937" s="253" t="n"/>
      <c r="N937" s="253" t="n"/>
      <c r="O937" s="252" t="n"/>
      <c r="P937" s="18" t="n"/>
      <c r="Q937" s="260" t="n"/>
    </row>
    <row r="938" ht="15.5" customHeight="1">
      <c r="B938" s="249" t="n">
        <v>45607</v>
      </c>
      <c r="C938" s="15" t="n">
        <v>352</v>
      </c>
      <c r="D938" s="170" t="inlineStr">
        <is>
          <t>Kekurangan pajak final PPH 23 keuntungan perusahaan tahun 2023</t>
        </is>
      </c>
      <c r="E938" s="227" t="n"/>
      <c r="F938" s="250" t="n">
        <v>1726469</v>
      </c>
      <c r="G938" s="15" t="inlineStr">
        <is>
          <t>IDR</t>
        </is>
      </c>
      <c r="H938" s="251" t="n">
        <v>1</v>
      </c>
      <c r="I938" s="15" t="n"/>
      <c r="J938" s="18" t="n"/>
      <c r="K938" s="249" t="n"/>
      <c r="L938" s="252" t="n"/>
      <c r="M938" s="253" t="n">
        <v>1726469</v>
      </c>
      <c r="N938" s="253" t="n">
        <v>1726469</v>
      </c>
      <c r="O938" s="252" t="n"/>
      <c r="P938" s="18" t="n"/>
      <c r="Q938" s="260" t="n"/>
    </row>
    <row r="939" ht="15.5" customHeight="1">
      <c r="B939" s="249" t="n">
        <v>45607</v>
      </c>
      <c r="C939" s="15" t="n">
        <v>353</v>
      </c>
      <c r="D939" s="170" t="inlineStr">
        <is>
          <t>Kekurangan pajak PPn Inv-028 (barikikn Sakti)(1/3 nya dari PBK pajak)</t>
        </is>
      </c>
      <c r="E939" s="227" t="n"/>
      <c r="F939" s="250" t="n">
        <v>56276000</v>
      </c>
      <c r="G939" s="15" t="inlineStr">
        <is>
          <t>IDR</t>
        </is>
      </c>
      <c r="H939" s="251" t="n">
        <v>1</v>
      </c>
      <c r="I939" s="251" t="n">
        <v>56276000</v>
      </c>
      <c r="J939" s="252" t="n">
        <v>56276000</v>
      </c>
      <c r="K939" s="249" t="n"/>
      <c r="L939" s="252" t="n"/>
      <c r="M939" s="253" t="n"/>
      <c r="N939" s="253" t="n"/>
      <c r="O939" s="252" t="n"/>
      <c r="P939" s="18" t="n"/>
      <c r="Q939" s="260" t="n"/>
    </row>
    <row r="940" ht="15.5" customHeight="1">
      <c r="B940" s="249" t="n">
        <v>45607</v>
      </c>
      <c r="C940" s="15" t="n">
        <v>354</v>
      </c>
      <c r="D940" s="170" t="inlineStr">
        <is>
          <t>Kekurangan pajak final PPH 23 keuntungan perusahaan tahun 2023</t>
        </is>
      </c>
      <c r="E940" s="227" t="n"/>
      <c r="F940" s="250" t="n">
        <v>1726469</v>
      </c>
      <c r="G940" s="15" t="inlineStr">
        <is>
          <t>IDR</t>
        </is>
      </c>
      <c r="H940" s="251" t="n">
        <v>1</v>
      </c>
      <c r="I940" s="15" t="n"/>
      <c r="J940" s="18" t="n"/>
      <c r="K940" s="249" t="n"/>
      <c r="L940" s="252" t="n"/>
      <c r="M940" s="253" t="n">
        <v>1726469</v>
      </c>
      <c r="N940" s="253" t="n">
        <v>1726469</v>
      </c>
      <c r="O940" s="252" t="n"/>
      <c r="P940" s="18" t="n"/>
      <c r="Q940" s="260" t="n"/>
    </row>
    <row r="941" ht="15.5" customHeight="1">
      <c r="B941" s="249" t="n">
        <v>45607</v>
      </c>
      <c r="C941" s="15" t="n">
        <v>355</v>
      </c>
      <c r="D941" s="170" t="inlineStr">
        <is>
          <t>Kekurangan pajak PPn Inv-028 (barikikn Sakti)(1/3 nya dari PBK pajak)</t>
        </is>
      </c>
      <c r="E941" s="227" t="n"/>
      <c r="F941" s="250" t="n">
        <v>56276000</v>
      </c>
      <c r="G941" s="15" t="inlineStr">
        <is>
          <t>IDR</t>
        </is>
      </c>
      <c r="H941" s="251" t="n">
        <v>1</v>
      </c>
      <c r="I941" s="251" t="n">
        <v>56276000</v>
      </c>
      <c r="J941" s="252" t="n">
        <v>56276000</v>
      </c>
      <c r="K941" s="249" t="n"/>
      <c r="L941" s="252" t="n"/>
      <c r="M941" s="253" t="n"/>
      <c r="N941" s="253" t="n"/>
      <c r="O941" s="252" t="n"/>
      <c r="P941" s="18" t="n"/>
      <c r="Q941" s="260" t="n"/>
    </row>
    <row r="942" ht="15.5" customHeight="1">
      <c r="B942" s="249" t="n">
        <v>45607</v>
      </c>
      <c r="C942" s="15" t="n">
        <v>356</v>
      </c>
      <c r="D942" s="170" t="inlineStr">
        <is>
          <t>Kekurangan pajak final PPH 23 keuntungan perusahaan tahun 2023</t>
        </is>
      </c>
      <c r="E942" s="227" t="n"/>
      <c r="F942" s="250" t="n">
        <v>1726469</v>
      </c>
      <c r="G942" s="15" t="inlineStr">
        <is>
          <t>IDR</t>
        </is>
      </c>
      <c r="H942" s="251" t="n">
        <v>1</v>
      </c>
      <c r="I942" s="15" t="n"/>
      <c r="J942" s="18" t="n"/>
      <c r="K942" s="249" t="n"/>
      <c r="L942" s="252" t="n"/>
      <c r="M942" s="253" t="n">
        <v>1726469</v>
      </c>
      <c r="N942" s="253" t="n">
        <v>1726469</v>
      </c>
      <c r="O942" s="252" t="n"/>
      <c r="P942" s="18" t="n"/>
      <c r="Q942" s="260" t="n"/>
    </row>
    <row r="943" ht="15.5" customHeight="1">
      <c r="B943" s="249" t="n">
        <v>45607</v>
      </c>
      <c r="C943" s="15" t="n">
        <v>357</v>
      </c>
      <c r="D943" s="170" t="inlineStr">
        <is>
          <t>Kekurangan pajak PPn Inv-028 (barikikn Sakti)(1/3 nya dari PBK pajak)</t>
        </is>
      </c>
      <c r="E943" s="227" t="n"/>
      <c r="F943" s="250" t="n">
        <v>56276000</v>
      </c>
      <c r="G943" s="15" t="inlineStr">
        <is>
          <t>IDR</t>
        </is>
      </c>
      <c r="H943" s="251" t="n">
        <v>1</v>
      </c>
      <c r="I943" s="251" t="n">
        <v>56276000</v>
      </c>
      <c r="J943" s="252" t="n">
        <v>56276000</v>
      </c>
      <c r="K943" s="249" t="n"/>
      <c r="L943" s="252" t="n"/>
      <c r="M943" s="253" t="n"/>
      <c r="N943" s="253" t="n"/>
      <c r="O943" s="252" t="n"/>
      <c r="P943" s="18" t="n"/>
      <c r="Q943" s="260" t="n"/>
    </row>
    <row r="944" ht="15.5" customHeight="1">
      <c r="B944" s="249" t="n">
        <v>45607</v>
      </c>
      <c r="C944" s="15" t="n">
        <v>358</v>
      </c>
      <c r="D944" s="170" t="inlineStr">
        <is>
          <t>Kekurangan pajak final PPH 23 keuntungan perusahaan tahun 2023</t>
        </is>
      </c>
      <c r="E944" s="227" t="n"/>
      <c r="F944" s="250" t="n">
        <v>1726469</v>
      </c>
      <c r="G944" s="15" t="inlineStr">
        <is>
          <t>IDR</t>
        </is>
      </c>
      <c r="H944" s="251" t="n">
        <v>1</v>
      </c>
      <c r="I944" s="15" t="n"/>
      <c r="J944" s="18" t="n"/>
      <c r="K944" s="249" t="n"/>
      <c r="L944" s="252" t="n"/>
      <c r="M944" s="253" t="n">
        <v>1726469</v>
      </c>
      <c r="N944" s="253" t="n">
        <v>1726469</v>
      </c>
      <c r="O944" s="252" t="n"/>
      <c r="P944" s="18" t="n"/>
      <c r="Q944" s="260" t="n"/>
    </row>
    <row r="945" ht="15.5" customHeight="1">
      <c r="B945" s="249" t="n">
        <v>45607</v>
      </c>
      <c r="C945" s="15" t="n">
        <v>359</v>
      </c>
      <c r="D945" s="170" t="inlineStr">
        <is>
          <t>Kekurangan pajak PPn Inv-028 (barikikn Sakti)(1/3 nya dari PBK pajak)</t>
        </is>
      </c>
      <c r="E945" s="227" t="n"/>
      <c r="F945" s="250" t="n">
        <v>56276000</v>
      </c>
      <c r="G945" s="15" t="inlineStr">
        <is>
          <t>IDR</t>
        </is>
      </c>
      <c r="H945" s="251" t="n">
        <v>1</v>
      </c>
      <c r="I945" s="251" t="n">
        <v>56276000</v>
      </c>
      <c r="J945" s="252" t="n">
        <v>56276000</v>
      </c>
      <c r="K945" s="249" t="n"/>
      <c r="L945" s="252" t="n"/>
      <c r="M945" s="253" t="n"/>
      <c r="N945" s="253" t="n"/>
      <c r="O945" s="252" t="n"/>
      <c r="P945" s="18" t="n"/>
      <c r="Q945" s="260" t="n"/>
    </row>
    <row r="946" ht="15.5" customHeight="1">
      <c r="B946" s="249" t="n">
        <v>45607</v>
      </c>
      <c r="C946" s="15" t="n">
        <v>360</v>
      </c>
      <c r="D946" s="170" t="inlineStr">
        <is>
          <t>Kekurangan pajak final PPH 23 keuntungan perusahaan tahun 2023</t>
        </is>
      </c>
      <c r="E946" s="227" t="n"/>
      <c r="F946" s="250" t="n">
        <v>1726469</v>
      </c>
      <c r="G946" s="15" t="inlineStr">
        <is>
          <t>IDR</t>
        </is>
      </c>
      <c r="H946" s="251" t="n">
        <v>1</v>
      </c>
      <c r="I946" s="15" t="n"/>
      <c r="J946" s="18" t="n"/>
      <c r="K946" s="249" t="n"/>
      <c r="L946" s="252" t="n"/>
      <c r="M946" s="253" t="n">
        <v>1726469</v>
      </c>
      <c r="N946" s="253" t="n">
        <v>1726469</v>
      </c>
      <c r="O946" s="252" t="n"/>
      <c r="P946" s="18" t="n"/>
      <c r="Q946" s="260" t="n"/>
    </row>
    <row r="947" ht="15.5" customHeight="1">
      <c r="B947" s="249" t="n">
        <v>45607</v>
      </c>
      <c r="C947" s="15" t="n">
        <v>361</v>
      </c>
      <c r="D947" s="170" t="inlineStr">
        <is>
          <t>Kekurangan pajak PPn Inv-028 (barikikn Sakti)(1/3 nya dari PBK pajak)</t>
        </is>
      </c>
      <c r="E947" s="227" t="n"/>
      <c r="F947" s="250" t="n">
        <v>56276000</v>
      </c>
      <c r="G947" s="15" t="inlineStr">
        <is>
          <t>IDR</t>
        </is>
      </c>
      <c r="H947" s="251" t="n">
        <v>1</v>
      </c>
      <c r="I947" s="251" t="n">
        <v>56276000</v>
      </c>
      <c r="J947" s="252" t="n">
        <v>56276000</v>
      </c>
      <c r="K947" s="249" t="n"/>
      <c r="L947" s="252" t="n"/>
      <c r="M947" s="253" t="n"/>
      <c r="N947" s="253" t="n"/>
      <c r="O947" s="252" t="n"/>
      <c r="P947" s="18" t="n"/>
      <c r="Q947" s="260" t="n"/>
    </row>
    <row r="948" ht="15.5" customHeight="1">
      <c r="B948" s="249" t="n">
        <v>45607</v>
      </c>
      <c r="C948" s="15" t="n">
        <v>362</v>
      </c>
      <c r="D948" s="170" t="inlineStr">
        <is>
          <t>Kekurangan pajak final PPH 23 keuntungan perusahaan tahun 2023</t>
        </is>
      </c>
      <c r="E948" s="227" t="n"/>
      <c r="F948" s="250" t="n">
        <v>1726469</v>
      </c>
      <c r="G948" s="15" t="inlineStr">
        <is>
          <t>IDR</t>
        </is>
      </c>
      <c r="H948" s="251" t="n">
        <v>1</v>
      </c>
      <c r="I948" s="15" t="n"/>
      <c r="J948" s="18" t="n"/>
      <c r="K948" s="249" t="n"/>
      <c r="L948" s="252" t="n"/>
      <c r="M948" s="253" t="n">
        <v>1726469</v>
      </c>
      <c r="N948" s="253" t="n">
        <v>1726469</v>
      </c>
      <c r="O948" s="252" t="n"/>
      <c r="P948" s="18" t="n"/>
      <c r="Q948" s="260" t="n"/>
    </row>
    <row r="949" ht="15.5" customHeight="1">
      <c r="B949" s="249" t="n">
        <v>45607</v>
      </c>
      <c r="C949" s="15" t="n">
        <v>363</v>
      </c>
      <c r="D949" s="170" t="inlineStr">
        <is>
          <t>Kekurangan pajak PPn Inv-028 (barikikn Sakti)(1/3 nya dari PBK pajak)</t>
        </is>
      </c>
      <c r="E949" s="227" t="n"/>
      <c r="F949" s="250" t="n">
        <v>56276000</v>
      </c>
      <c r="G949" s="15" t="inlineStr">
        <is>
          <t>IDR</t>
        </is>
      </c>
      <c r="H949" s="251" t="n">
        <v>1</v>
      </c>
      <c r="I949" s="251" t="n">
        <v>56276000</v>
      </c>
      <c r="J949" s="252" t="n">
        <v>56276000</v>
      </c>
      <c r="K949" s="249" t="n"/>
      <c r="L949" s="252" t="n"/>
      <c r="M949" s="253" t="n"/>
      <c r="N949" s="253" t="n"/>
      <c r="O949" s="252" t="n"/>
      <c r="P949" s="18" t="n"/>
      <c r="Q949" s="260" t="n"/>
    </row>
    <row r="950" ht="15.5" customHeight="1">
      <c r="B950" s="249" t="n">
        <v>45607</v>
      </c>
      <c r="C950" s="15" t="n">
        <v>364</v>
      </c>
      <c r="D950" s="170" t="inlineStr">
        <is>
          <t>Kekurangan pajak final PPH 23 keuntungan perusahaan tahun 2023</t>
        </is>
      </c>
      <c r="E950" s="227" t="n"/>
      <c r="F950" s="250" t="n">
        <v>1726469</v>
      </c>
      <c r="G950" s="15" t="inlineStr">
        <is>
          <t>IDR</t>
        </is>
      </c>
      <c r="H950" s="251" t="n">
        <v>1</v>
      </c>
      <c r="I950" s="15" t="n"/>
      <c r="J950" s="18" t="n"/>
      <c r="K950" s="249" t="n"/>
      <c r="L950" s="252" t="n"/>
      <c r="M950" s="253" t="n">
        <v>1726469</v>
      </c>
      <c r="N950" s="253" t="n">
        <v>1726469</v>
      </c>
      <c r="O950" s="252" t="n"/>
      <c r="P950" s="18" t="n"/>
      <c r="Q950" s="260" t="n"/>
    </row>
    <row r="951" ht="15.5" customHeight="1">
      <c r="B951" s="249" t="n">
        <v>45607</v>
      </c>
      <c r="C951" s="15" t="n">
        <v>365</v>
      </c>
      <c r="D951" s="170" t="inlineStr">
        <is>
          <t>Kekurangan pajak PPn Inv-028 (barikikn Sakti)(1/3 nya dari PBK pajak)</t>
        </is>
      </c>
      <c r="E951" s="227" t="n"/>
      <c r="F951" s="250" t="n">
        <v>56276000</v>
      </c>
      <c r="G951" s="15" t="inlineStr">
        <is>
          <t>IDR</t>
        </is>
      </c>
      <c r="H951" s="251" t="n">
        <v>1</v>
      </c>
      <c r="I951" s="251" t="n">
        <v>56276000</v>
      </c>
      <c r="J951" s="252" t="n">
        <v>56276000</v>
      </c>
      <c r="K951" s="249" t="n"/>
      <c r="L951" s="252" t="n"/>
      <c r="M951" s="253" t="n"/>
      <c r="N951" s="253" t="n"/>
      <c r="O951" s="252" t="n"/>
      <c r="P951" s="18" t="n"/>
      <c r="Q951" s="260" t="n"/>
    </row>
    <row r="952" ht="15.5" customHeight="1">
      <c r="B952" s="249" t="n">
        <v>45607</v>
      </c>
      <c r="C952" s="15" t="n">
        <v>366</v>
      </c>
      <c r="D952" s="170" t="inlineStr">
        <is>
          <t>Kekurangan pajak final PPH 23 keuntungan perusahaan tahun 2023</t>
        </is>
      </c>
      <c r="E952" s="227" t="n"/>
      <c r="F952" s="250" t="n">
        <v>1726469</v>
      </c>
      <c r="G952" s="15" t="inlineStr">
        <is>
          <t>IDR</t>
        </is>
      </c>
      <c r="H952" s="251" t="n">
        <v>1</v>
      </c>
      <c r="I952" s="15" t="n"/>
      <c r="J952" s="18" t="n"/>
      <c r="K952" s="249" t="n"/>
      <c r="L952" s="252" t="n"/>
      <c r="M952" s="253" t="n">
        <v>1726469</v>
      </c>
      <c r="N952" s="253" t="n">
        <v>1726469</v>
      </c>
      <c r="O952" s="252" t="n"/>
      <c r="P952" s="18" t="n"/>
      <c r="Q952" s="260" t="n"/>
    </row>
    <row r="953" ht="15.5" customHeight="1">
      <c r="B953" s="249" t="n">
        <v>45607</v>
      </c>
      <c r="C953" s="15" t="n">
        <v>367</v>
      </c>
      <c r="D953" s="170" t="inlineStr">
        <is>
          <t>Kekurangan pajak PPn Inv-028 (barikikn Sakti)(1/3 nya dari PBK pajak)</t>
        </is>
      </c>
      <c r="E953" s="227" t="n"/>
      <c r="F953" s="250" t="n">
        <v>56276000</v>
      </c>
      <c r="G953" s="15" t="inlineStr">
        <is>
          <t>IDR</t>
        </is>
      </c>
      <c r="H953" s="251" t="n">
        <v>1</v>
      </c>
      <c r="I953" s="251" t="n">
        <v>56276000</v>
      </c>
      <c r="J953" s="252" t="n">
        <v>56276000</v>
      </c>
      <c r="K953" s="249" t="n"/>
      <c r="L953" s="252" t="n"/>
      <c r="M953" s="253" t="n"/>
      <c r="N953" s="253" t="n"/>
      <c r="O953" s="252" t="n"/>
      <c r="P953" s="18" t="n"/>
      <c r="Q953" s="260" t="n"/>
    </row>
    <row r="954" ht="15.5" customHeight="1">
      <c r="B954" s="249" t="n">
        <v>45607</v>
      </c>
      <c r="C954" s="15" t="n">
        <v>368</v>
      </c>
      <c r="D954" s="170" t="inlineStr">
        <is>
          <t>Kekurangan pajak final PPH 23 keuntungan perusahaan tahun 2023</t>
        </is>
      </c>
      <c r="E954" s="227" t="n"/>
      <c r="F954" s="250" t="n">
        <v>1726469</v>
      </c>
      <c r="G954" s="15" t="inlineStr">
        <is>
          <t>IDR</t>
        </is>
      </c>
      <c r="H954" s="251" t="n">
        <v>1</v>
      </c>
      <c r="I954" s="15" t="n"/>
      <c r="J954" s="18" t="n"/>
      <c r="K954" s="249" t="n"/>
      <c r="L954" s="252" t="n"/>
      <c r="M954" s="253" t="n">
        <v>1726469</v>
      </c>
      <c r="N954" s="253" t="n">
        <v>1726469</v>
      </c>
      <c r="O954" s="252" t="n"/>
      <c r="P954" s="18" t="n"/>
      <c r="Q954" s="260" t="n"/>
    </row>
    <row r="955" ht="15.5" customHeight="1">
      <c r="B955" s="249" t="n">
        <v>45607</v>
      </c>
      <c r="C955" s="15" t="n">
        <v>369</v>
      </c>
      <c r="D955" s="170" t="inlineStr">
        <is>
          <t>Kekurangan pajak PPn Inv-028 (barikikn Sakti)(1/3 nya dari PBK pajak)</t>
        </is>
      </c>
      <c r="E955" s="227" t="n"/>
      <c r="F955" s="250" t="n">
        <v>56276000</v>
      </c>
      <c r="G955" s="15" t="inlineStr">
        <is>
          <t>IDR</t>
        </is>
      </c>
      <c r="H955" s="251" t="n">
        <v>1</v>
      </c>
      <c r="I955" s="251" t="n">
        <v>56276000</v>
      </c>
      <c r="J955" s="252" t="n">
        <v>56276000</v>
      </c>
      <c r="K955" s="249" t="n"/>
      <c r="L955" s="252" t="n"/>
      <c r="M955" s="253" t="n"/>
      <c r="N955" s="253" t="n"/>
      <c r="O955" s="252" t="n"/>
      <c r="P955" s="18" t="n"/>
      <c r="Q955" s="260" t="n"/>
    </row>
    <row r="956" ht="15.5" customHeight="1">
      <c r="B956" s="249" t="n">
        <v>45607</v>
      </c>
      <c r="C956" s="15" t="n">
        <v>370</v>
      </c>
      <c r="D956" s="170" t="inlineStr">
        <is>
          <t>Kekurangan pajak final PPH 23 keuntungan perusahaan tahun 2023</t>
        </is>
      </c>
      <c r="E956" s="227" t="n"/>
      <c r="F956" s="250" t="n">
        <v>1726469</v>
      </c>
      <c r="G956" s="15" t="inlineStr">
        <is>
          <t>IDR</t>
        </is>
      </c>
      <c r="H956" s="251" t="n">
        <v>1</v>
      </c>
      <c r="I956" s="15" t="n"/>
      <c r="J956" s="18" t="n"/>
      <c r="K956" s="249" t="n"/>
      <c r="L956" s="252" t="n"/>
      <c r="M956" s="253" t="n">
        <v>1726469</v>
      </c>
      <c r="N956" s="253" t="n">
        <v>1726469</v>
      </c>
      <c r="O956" s="252" t="n"/>
      <c r="P956" s="18" t="n"/>
      <c r="Q956" s="260" t="n"/>
    </row>
    <row r="957" ht="15.5" customHeight="1">
      <c r="B957" s="249" t="n">
        <v>45607</v>
      </c>
      <c r="C957" s="15" t="n">
        <v>371</v>
      </c>
      <c r="D957" s="170" t="inlineStr">
        <is>
          <t>Kekurangan pajak PPn Inv-028 (barikikn Sakti)(1/3 nya dari PBK pajak)</t>
        </is>
      </c>
      <c r="E957" s="227" t="n"/>
      <c r="F957" s="250" t="n">
        <v>56276000</v>
      </c>
      <c r="G957" s="15" t="inlineStr">
        <is>
          <t>IDR</t>
        </is>
      </c>
      <c r="H957" s="251" t="n">
        <v>1</v>
      </c>
      <c r="I957" s="251" t="n">
        <v>56276000</v>
      </c>
      <c r="J957" s="252" t="n">
        <v>56276000</v>
      </c>
      <c r="K957" s="249" t="n"/>
      <c r="L957" s="252" t="n"/>
      <c r="M957" s="253" t="n"/>
      <c r="N957" s="253" t="n"/>
      <c r="O957" s="252" t="n"/>
      <c r="P957" s="18" t="n"/>
      <c r="Q957" s="260" t="n"/>
    </row>
    <row r="958" ht="15.5" customHeight="1">
      <c r="B958" s="249" t="n">
        <v>45607</v>
      </c>
      <c r="C958" s="15" t="n">
        <v>372</v>
      </c>
      <c r="D958" s="170" t="inlineStr">
        <is>
          <t>Kekurangan pajak final PPH 23 keuntungan perusahaan tahun 2023</t>
        </is>
      </c>
      <c r="E958" s="227" t="n"/>
      <c r="F958" s="250" t="n">
        <v>1726469</v>
      </c>
      <c r="G958" s="15" t="inlineStr">
        <is>
          <t>IDR</t>
        </is>
      </c>
      <c r="H958" s="251" t="n">
        <v>1</v>
      </c>
      <c r="I958" s="15" t="n"/>
      <c r="J958" s="18" t="n"/>
      <c r="K958" s="249" t="n"/>
      <c r="L958" s="252" t="n"/>
      <c r="M958" s="253" t="n">
        <v>1726469</v>
      </c>
      <c r="N958" s="253" t="n">
        <v>1726469</v>
      </c>
      <c r="O958" s="252" t="n"/>
      <c r="P958" s="18" t="n"/>
      <c r="Q958" s="260" t="n"/>
    </row>
    <row r="959" ht="15.5" customHeight="1">
      <c r="B959" s="249" t="n">
        <v>45607</v>
      </c>
      <c r="C959" s="15" t="n">
        <v>373</v>
      </c>
      <c r="D959" s="170" t="inlineStr">
        <is>
          <t>Kekurangan pajak PPn Inv-028 (barikikn Sakti)(1/3 nya dari PBK pajak)</t>
        </is>
      </c>
      <c r="E959" s="227" t="n"/>
      <c r="F959" s="250" t="n">
        <v>56276000</v>
      </c>
      <c r="G959" s="15" t="inlineStr">
        <is>
          <t>IDR</t>
        </is>
      </c>
      <c r="H959" s="251" t="n">
        <v>1</v>
      </c>
      <c r="I959" s="251" t="n">
        <v>56276000</v>
      </c>
      <c r="J959" s="252" t="n">
        <v>56276000</v>
      </c>
      <c r="K959" s="249" t="n"/>
      <c r="L959" s="252" t="n"/>
      <c r="M959" s="253" t="n"/>
      <c r="N959" s="253" t="n"/>
      <c r="O959" s="252" t="n"/>
      <c r="P959" s="18" t="n"/>
      <c r="Q959" s="260" t="n"/>
    </row>
    <row r="960" ht="15.5" customHeight="1">
      <c r="B960" s="249" t="n">
        <v>45607</v>
      </c>
      <c r="C960" s="15" t="n">
        <v>374</v>
      </c>
      <c r="D960" s="170" t="inlineStr">
        <is>
          <t>Kekurangan pajak final PPH 23 keuntungan perusahaan tahun 2023</t>
        </is>
      </c>
      <c r="E960" s="227" t="n"/>
      <c r="F960" s="250" t="n">
        <v>1726469</v>
      </c>
      <c r="G960" s="15" t="inlineStr">
        <is>
          <t>IDR</t>
        </is>
      </c>
      <c r="H960" s="251" t="n">
        <v>1</v>
      </c>
      <c r="I960" s="15" t="n"/>
      <c r="J960" s="18" t="n"/>
      <c r="K960" s="249" t="n"/>
      <c r="L960" s="252" t="n"/>
      <c r="M960" s="253" t="n">
        <v>1726469</v>
      </c>
      <c r="N960" s="253" t="n">
        <v>1726469</v>
      </c>
      <c r="O960" s="252" t="n"/>
      <c r="P960" s="18" t="n"/>
      <c r="Q960" s="260" t="n"/>
    </row>
    <row r="961" ht="15.5" customHeight="1">
      <c r="B961" s="249" t="n">
        <v>45607</v>
      </c>
      <c r="C961" s="15" t="n">
        <v>375</v>
      </c>
      <c r="D961" s="170" t="inlineStr">
        <is>
          <t>Kekurangan pajak PPn Inv-028 (barikikn Sakti)(1/3 nya dari PBK pajak)</t>
        </is>
      </c>
      <c r="E961" s="227" t="n"/>
      <c r="F961" s="250" t="n">
        <v>56276000</v>
      </c>
      <c r="G961" s="15" t="inlineStr">
        <is>
          <t>IDR</t>
        </is>
      </c>
      <c r="H961" s="251" t="n">
        <v>1</v>
      </c>
      <c r="I961" s="251" t="n">
        <v>56276000</v>
      </c>
      <c r="J961" s="252" t="n">
        <v>56276000</v>
      </c>
      <c r="K961" s="249" t="n"/>
      <c r="L961" s="252" t="n"/>
      <c r="M961" s="253" t="n"/>
      <c r="N961" s="253" t="n"/>
      <c r="O961" s="252" t="n"/>
      <c r="P961" s="18" t="n"/>
      <c r="Q961" s="260" t="n"/>
    </row>
    <row r="962" ht="15.5" customHeight="1">
      <c r="B962" s="249" t="n">
        <v>45607</v>
      </c>
      <c r="C962" s="15" t="n">
        <v>376</v>
      </c>
      <c r="D962" s="170" t="inlineStr">
        <is>
          <t>Kekurangan pajak final PPH 23 keuntungan perusahaan tahun 2023</t>
        </is>
      </c>
      <c r="E962" s="227" t="n"/>
      <c r="F962" s="250" t="n">
        <v>1726469</v>
      </c>
      <c r="G962" s="15" t="inlineStr">
        <is>
          <t>IDR</t>
        </is>
      </c>
      <c r="H962" s="251" t="n">
        <v>1</v>
      </c>
      <c r="I962" s="15" t="n"/>
      <c r="J962" s="18" t="n"/>
      <c r="K962" s="249" t="n"/>
      <c r="L962" s="252" t="n"/>
      <c r="M962" s="253" t="n">
        <v>1726469</v>
      </c>
      <c r="N962" s="253" t="n">
        <v>1726469</v>
      </c>
      <c r="O962" s="252" t="n"/>
      <c r="P962" s="18" t="n"/>
      <c r="Q962" s="260" t="n"/>
    </row>
    <row r="963" ht="15.5" customHeight="1">
      <c r="B963" s="249" t="n">
        <v>45607</v>
      </c>
      <c r="C963" s="15" t="n">
        <v>377</v>
      </c>
      <c r="D963" s="170" t="inlineStr">
        <is>
          <t>Kekurangan pajak PPn Inv-028 (barikikn Sakti)(1/3 nya dari PBK pajak)</t>
        </is>
      </c>
      <c r="E963" s="227" t="n"/>
      <c r="F963" s="250" t="n">
        <v>56276000</v>
      </c>
      <c r="G963" s="15" t="inlineStr">
        <is>
          <t>IDR</t>
        </is>
      </c>
      <c r="H963" s="251" t="n">
        <v>1</v>
      </c>
      <c r="I963" s="251" t="n">
        <v>56276000</v>
      </c>
      <c r="J963" s="252" t="n">
        <v>56276000</v>
      </c>
      <c r="K963" s="249" t="n"/>
      <c r="L963" s="252" t="n"/>
      <c r="M963" s="253" t="n"/>
      <c r="N963" s="253" t="n"/>
      <c r="O963" s="252" t="n"/>
      <c r="P963" s="18" t="n"/>
      <c r="Q963" s="260" t="n"/>
    </row>
    <row r="964" ht="15.5" customHeight="1">
      <c r="B964" s="249" t="n">
        <v>45607</v>
      </c>
      <c r="C964" s="15" t="n">
        <v>378</v>
      </c>
      <c r="D964" s="170" t="inlineStr">
        <is>
          <t>Kekurangan pajak final PPH 23 keuntungan perusahaan tahun 2023</t>
        </is>
      </c>
      <c r="E964" s="227" t="n"/>
      <c r="F964" s="250" t="n">
        <v>1726469</v>
      </c>
      <c r="G964" s="15" t="inlineStr">
        <is>
          <t>IDR</t>
        </is>
      </c>
      <c r="H964" s="251" t="n">
        <v>1</v>
      </c>
      <c r="I964" s="15" t="n"/>
      <c r="J964" s="18" t="n"/>
      <c r="K964" s="249" t="n"/>
      <c r="L964" s="252" t="n"/>
      <c r="M964" s="253" t="n">
        <v>1726469</v>
      </c>
      <c r="N964" s="253" t="n">
        <v>1726469</v>
      </c>
      <c r="O964" s="252" t="n"/>
      <c r="P964" s="18" t="n"/>
      <c r="Q964" s="260" t="n"/>
    </row>
    <row r="965" ht="15.5" customHeight="1">
      <c r="B965" s="249" t="n">
        <v>45607</v>
      </c>
      <c r="C965" s="15" t="n">
        <v>379</v>
      </c>
      <c r="D965" s="170" t="inlineStr">
        <is>
          <t>Kekurangan pajak PPn Inv-028 (barikikn Sakti)(1/3 nya dari PBK pajak)</t>
        </is>
      </c>
      <c r="E965" s="227" t="n"/>
      <c r="F965" s="250" t="n">
        <v>56276000</v>
      </c>
      <c r="G965" s="15" t="inlineStr">
        <is>
          <t>IDR</t>
        </is>
      </c>
      <c r="H965" s="251" t="n">
        <v>1</v>
      </c>
      <c r="I965" s="251" t="n">
        <v>56276000</v>
      </c>
      <c r="J965" s="252" t="n">
        <v>56276000</v>
      </c>
      <c r="K965" s="249" t="n"/>
      <c r="L965" s="252" t="n"/>
      <c r="M965" s="253" t="n"/>
      <c r="N965" s="253" t="n"/>
      <c r="O965" s="252" t="n"/>
      <c r="P965" s="18" t="n"/>
      <c r="Q965" s="260" t="n"/>
    </row>
    <row r="966" ht="15.5" customHeight="1">
      <c r="B966" s="249" t="n">
        <v>45607</v>
      </c>
      <c r="C966" s="15" t="n">
        <v>380</v>
      </c>
      <c r="D966" s="170" t="inlineStr">
        <is>
          <t>Kekurangan pajak final PPH 23 keuntungan perusahaan tahun 2023</t>
        </is>
      </c>
      <c r="E966" s="227" t="n"/>
      <c r="F966" s="250" t="n">
        <v>1726469</v>
      </c>
      <c r="G966" s="15" t="inlineStr">
        <is>
          <t>IDR</t>
        </is>
      </c>
      <c r="H966" s="251" t="n">
        <v>1</v>
      </c>
      <c r="I966" s="15" t="n"/>
      <c r="J966" s="18" t="n"/>
      <c r="K966" s="249" t="n"/>
      <c r="L966" s="252" t="n"/>
      <c r="M966" s="253" t="n">
        <v>1726469</v>
      </c>
      <c r="N966" s="253" t="n">
        <v>1726469</v>
      </c>
      <c r="O966" s="252" t="n"/>
      <c r="P966" s="18" t="n"/>
      <c r="Q966" s="260" t="n"/>
    </row>
    <row r="967" ht="15.5" customHeight="1">
      <c r="B967" s="249" t="n">
        <v>45607</v>
      </c>
      <c r="C967" s="15" t="n">
        <v>381</v>
      </c>
      <c r="D967" s="170" t="inlineStr">
        <is>
          <t>Kekurangan pajak PPn Inv-028 (barikikn Sakti)(1/3 nya dari PBK pajak)</t>
        </is>
      </c>
      <c r="E967" s="227" t="n"/>
      <c r="F967" s="250" t="n">
        <v>56276000</v>
      </c>
      <c r="G967" s="15" t="inlineStr">
        <is>
          <t>IDR</t>
        </is>
      </c>
      <c r="H967" s="251" t="n">
        <v>1</v>
      </c>
      <c r="I967" s="251" t="n">
        <v>56276000</v>
      </c>
      <c r="J967" s="252" t="n">
        <v>56276000</v>
      </c>
      <c r="K967" s="249" t="n"/>
      <c r="L967" s="252" t="n"/>
      <c r="M967" s="253" t="n"/>
      <c r="N967" s="253" t="n"/>
      <c r="O967" s="252" t="n"/>
      <c r="P967" s="18" t="n"/>
      <c r="Q967" s="260" t="n"/>
    </row>
    <row r="968" ht="15.5" customHeight="1">
      <c r="B968" s="249" t="n">
        <v>45607</v>
      </c>
      <c r="C968" s="15" t="n">
        <v>382</v>
      </c>
      <c r="D968" s="170" t="inlineStr">
        <is>
          <t>Kekurangan pajak final PPH 23 keuntungan perusahaan tahun 2023</t>
        </is>
      </c>
      <c r="E968" s="227" t="n"/>
      <c r="F968" s="250" t="n">
        <v>1726469</v>
      </c>
      <c r="G968" s="15" t="inlineStr">
        <is>
          <t>IDR</t>
        </is>
      </c>
      <c r="H968" s="251" t="n">
        <v>1</v>
      </c>
      <c r="I968" s="15" t="n"/>
      <c r="J968" s="18" t="n"/>
      <c r="K968" s="249" t="n"/>
      <c r="L968" s="252" t="n"/>
      <c r="M968" s="253" t="n">
        <v>1726469</v>
      </c>
      <c r="N968" s="253" t="n">
        <v>1726469</v>
      </c>
      <c r="O968" s="252" t="n"/>
      <c r="P968" s="18" t="n"/>
      <c r="Q968" s="260" t="n"/>
    </row>
    <row r="969" ht="15.5" customHeight="1">
      <c r="B969" s="249" t="n">
        <v>45607</v>
      </c>
      <c r="C969" s="15" t="n">
        <v>383</v>
      </c>
      <c r="D969" s="170" t="inlineStr">
        <is>
          <t>Kekurangan pajak PPn Inv-028 (barikikn Sakti)(1/3 nya dari PBK pajak)</t>
        </is>
      </c>
      <c r="E969" s="227" t="n"/>
      <c r="F969" s="250" t="n">
        <v>56276000</v>
      </c>
      <c r="G969" s="15" t="inlineStr">
        <is>
          <t>IDR</t>
        </is>
      </c>
      <c r="H969" s="251" t="n">
        <v>1</v>
      </c>
      <c r="I969" s="251" t="n">
        <v>56276000</v>
      </c>
      <c r="J969" s="252" t="n">
        <v>56276000</v>
      </c>
      <c r="K969" s="249" t="n"/>
      <c r="L969" s="252" t="n"/>
      <c r="M969" s="253" t="n"/>
      <c r="N969" s="253" t="n"/>
      <c r="O969" s="252" t="n"/>
      <c r="P969" s="18" t="n"/>
      <c r="Q969" s="260" t="n"/>
    </row>
    <row r="970" ht="15.5" customHeight="1">
      <c r="B970" s="249" t="n">
        <v>45607</v>
      </c>
      <c r="C970" s="15" t="n">
        <v>384</v>
      </c>
      <c r="D970" s="170" t="inlineStr">
        <is>
          <t>Kekurangan pajak final PPH 23 keuntungan perusahaan tahun 2023</t>
        </is>
      </c>
      <c r="E970" s="227" t="n"/>
      <c r="F970" s="250" t="n">
        <v>1726469</v>
      </c>
      <c r="G970" s="15" t="inlineStr">
        <is>
          <t>IDR</t>
        </is>
      </c>
      <c r="H970" s="251" t="n">
        <v>1</v>
      </c>
      <c r="I970" s="15" t="n"/>
      <c r="J970" s="18" t="n"/>
      <c r="K970" s="249" t="n"/>
      <c r="L970" s="252" t="n"/>
      <c r="M970" s="253" t="n">
        <v>1726469</v>
      </c>
      <c r="N970" s="253" t="n">
        <v>1726469</v>
      </c>
      <c r="O970" s="252" t="n"/>
      <c r="P970" s="18" t="n"/>
      <c r="Q970" s="260" t="n"/>
    </row>
    <row r="971" ht="15.5" customHeight="1">
      <c r="B971" s="249" t="n">
        <v>45607</v>
      </c>
      <c r="C971" s="15" t="n">
        <v>385</v>
      </c>
      <c r="D971" s="170" t="inlineStr">
        <is>
          <t>Kekurangan pajak PPn Inv-028 (barikikn Sakti)(1/3 nya dari PBK pajak)</t>
        </is>
      </c>
      <c r="E971" s="227" t="n"/>
      <c r="F971" s="250" t="n">
        <v>56276000</v>
      </c>
      <c r="G971" s="15" t="inlineStr">
        <is>
          <t>IDR</t>
        </is>
      </c>
      <c r="H971" s="251" t="n">
        <v>1</v>
      </c>
      <c r="I971" s="251" t="n">
        <v>56276000</v>
      </c>
      <c r="J971" s="252" t="n">
        <v>56276000</v>
      </c>
      <c r="K971" s="249" t="n"/>
      <c r="L971" s="252" t="n"/>
      <c r="M971" s="253" t="n"/>
      <c r="N971" s="253" t="n"/>
      <c r="O971" s="252" t="n"/>
      <c r="P971" s="18" t="n"/>
      <c r="Q971" s="260" t="n"/>
    </row>
    <row r="972" ht="15.5" customHeight="1">
      <c r="B972" s="249" t="n">
        <v>45607</v>
      </c>
      <c r="C972" s="15" t="n">
        <v>386</v>
      </c>
      <c r="D972" s="170" t="inlineStr">
        <is>
          <t>Kekurangan pajak final PPH 23 keuntungan perusahaan tahun 2023</t>
        </is>
      </c>
      <c r="E972" s="227" t="n"/>
      <c r="F972" s="250" t="n">
        <v>1726469</v>
      </c>
      <c r="G972" s="15" t="inlineStr">
        <is>
          <t>IDR</t>
        </is>
      </c>
      <c r="H972" s="251" t="n">
        <v>1</v>
      </c>
      <c r="I972" s="15" t="n"/>
      <c r="J972" s="18" t="n"/>
      <c r="K972" s="249" t="n"/>
      <c r="L972" s="252" t="n"/>
      <c r="M972" s="253" t="n">
        <v>1726469</v>
      </c>
      <c r="N972" s="253" t="n">
        <v>1726469</v>
      </c>
      <c r="O972" s="252" t="n"/>
      <c r="P972" s="18" t="n"/>
      <c r="Q972" s="260" t="n"/>
    </row>
    <row r="973" ht="15.5" customHeight="1">
      <c r="B973" s="249" t="n">
        <v>45607</v>
      </c>
      <c r="C973" s="15" t="n">
        <v>387</v>
      </c>
      <c r="D973" s="170" t="inlineStr">
        <is>
          <t>Kekurangan pajak PPn Inv-028 (barikikn Sakti)(1/3 nya dari PBK pajak)</t>
        </is>
      </c>
      <c r="E973" s="227" t="n"/>
      <c r="F973" s="250" t="n">
        <v>56276000</v>
      </c>
      <c r="G973" s="15" t="inlineStr">
        <is>
          <t>IDR</t>
        </is>
      </c>
      <c r="H973" s="251" t="n">
        <v>1</v>
      </c>
      <c r="I973" s="251" t="n">
        <v>56276000</v>
      </c>
      <c r="J973" s="252" t="n">
        <v>56276000</v>
      </c>
      <c r="K973" s="249" t="n"/>
      <c r="L973" s="252" t="n"/>
      <c r="M973" s="253" t="n"/>
      <c r="N973" s="253" t="n"/>
      <c r="O973" s="252" t="n"/>
      <c r="P973" s="18" t="n"/>
      <c r="Q973" s="260" t="n"/>
    </row>
    <row r="974" ht="15.5" customHeight="1">
      <c r="B974" s="249" t="n">
        <v>45607</v>
      </c>
      <c r="C974" s="15" t="n">
        <v>388</v>
      </c>
      <c r="D974" s="170" t="inlineStr">
        <is>
          <t>Kekurangan pajak final PPH 23 keuntungan perusahaan tahun 2023</t>
        </is>
      </c>
      <c r="E974" s="227" t="n"/>
      <c r="F974" s="250" t="n">
        <v>1726469</v>
      </c>
      <c r="G974" s="15" t="inlineStr">
        <is>
          <t>IDR</t>
        </is>
      </c>
      <c r="H974" s="251" t="n">
        <v>1</v>
      </c>
      <c r="I974" s="15" t="n"/>
      <c r="J974" s="18" t="n"/>
      <c r="K974" s="249" t="n"/>
      <c r="L974" s="252" t="n"/>
      <c r="M974" s="253" t="n">
        <v>1726469</v>
      </c>
      <c r="N974" s="253" t="n">
        <v>1726469</v>
      </c>
      <c r="O974" s="252" t="n"/>
      <c r="P974" s="18" t="n"/>
      <c r="Q974" s="260" t="n"/>
    </row>
    <row r="975" ht="15.5" customHeight="1">
      <c r="B975" s="249" t="n">
        <v>45607</v>
      </c>
      <c r="C975" s="15" t="n">
        <v>389</v>
      </c>
      <c r="D975" s="170" t="inlineStr">
        <is>
          <t>Kekurangan pajak PPn Inv-028 (barikikn Sakti)(1/3 nya dari PBK pajak)</t>
        </is>
      </c>
      <c r="E975" s="227" t="n"/>
      <c r="F975" s="250" t="n">
        <v>56276000</v>
      </c>
      <c r="G975" s="15" t="inlineStr">
        <is>
          <t>IDR</t>
        </is>
      </c>
      <c r="H975" s="251" t="n">
        <v>1</v>
      </c>
      <c r="I975" s="251" t="n">
        <v>56276000</v>
      </c>
      <c r="J975" s="252" t="n">
        <v>56276000</v>
      </c>
      <c r="K975" s="249" t="n"/>
      <c r="L975" s="252" t="n"/>
      <c r="M975" s="253" t="n"/>
      <c r="N975" s="253" t="n"/>
      <c r="O975" s="252" t="n"/>
      <c r="P975" s="18" t="n"/>
      <c r="Q975" s="260" t="n"/>
    </row>
    <row r="976" ht="15.5" customHeight="1">
      <c r="B976" s="249" t="n">
        <v>45607</v>
      </c>
      <c r="C976" s="15" t="n">
        <v>390</v>
      </c>
      <c r="D976" s="170" t="inlineStr">
        <is>
          <t>Kekurangan pajak final PPH 23 keuntungan perusahaan tahun 2023</t>
        </is>
      </c>
      <c r="E976" s="227" t="n"/>
      <c r="F976" s="250" t="n">
        <v>1726469</v>
      </c>
      <c r="G976" s="15" t="inlineStr">
        <is>
          <t>IDR</t>
        </is>
      </c>
      <c r="H976" s="251" t="n">
        <v>1</v>
      </c>
      <c r="I976" s="15" t="n"/>
      <c r="J976" s="18" t="n"/>
      <c r="K976" s="249" t="n"/>
      <c r="L976" s="252" t="n"/>
      <c r="M976" s="253" t="n">
        <v>1726469</v>
      </c>
      <c r="N976" s="253" t="n">
        <v>1726469</v>
      </c>
      <c r="O976" s="252" t="n"/>
      <c r="P976" s="18" t="n"/>
      <c r="Q976" s="260" t="n"/>
    </row>
    <row r="977" ht="15.5" customHeight="1">
      <c r="B977" s="249" t="n">
        <v>45607</v>
      </c>
      <c r="C977" s="15" t="n">
        <v>391</v>
      </c>
      <c r="D977" s="170" t="inlineStr">
        <is>
          <t>Kekurangan pajak PPn Inv-028 (barikikn Sakti)(1/3 nya dari PBK pajak)</t>
        </is>
      </c>
      <c r="E977" s="227" t="n"/>
      <c r="F977" s="250" t="n">
        <v>56276000</v>
      </c>
      <c r="G977" s="15" t="inlineStr">
        <is>
          <t>IDR</t>
        </is>
      </c>
      <c r="H977" s="251" t="n">
        <v>1</v>
      </c>
      <c r="I977" s="251" t="n">
        <v>56276000</v>
      </c>
      <c r="J977" s="252" t="n">
        <v>56276000</v>
      </c>
      <c r="K977" s="249" t="n"/>
      <c r="L977" s="252" t="n"/>
      <c r="M977" s="253" t="n"/>
      <c r="N977" s="253" t="n"/>
      <c r="O977" s="252" t="n"/>
      <c r="P977" s="18" t="n"/>
      <c r="Q977" s="260" t="n"/>
    </row>
    <row r="978" ht="15.5" customHeight="1">
      <c r="B978" s="249" t="n">
        <v>45607</v>
      </c>
      <c r="C978" s="15" t="n">
        <v>392</v>
      </c>
      <c r="D978" s="170" t="inlineStr">
        <is>
          <t>Kekurangan pajak final PPH 23 keuntungan perusahaan tahun 2023</t>
        </is>
      </c>
      <c r="E978" s="227" t="n"/>
      <c r="F978" s="250" t="n">
        <v>1726469</v>
      </c>
      <c r="G978" s="15" t="inlineStr">
        <is>
          <t>IDR</t>
        </is>
      </c>
      <c r="H978" s="251" t="n">
        <v>1</v>
      </c>
      <c r="I978" s="15" t="n"/>
      <c r="J978" s="18" t="n"/>
      <c r="K978" s="249" t="n"/>
      <c r="L978" s="252" t="n"/>
      <c r="M978" s="253" t="n">
        <v>1726469</v>
      </c>
      <c r="N978" s="253" t="n">
        <v>1726469</v>
      </c>
      <c r="O978" s="252" t="n"/>
      <c r="P978" s="18" t="n"/>
      <c r="Q978" s="260" t="n"/>
    </row>
    <row r="979" ht="15.5" customHeight="1">
      <c r="B979" s="249" t="n">
        <v>45607</v>
      </c>
      <c r="C979" s="15" t="n">
        <v>393</v>
      </c>
      <c r="D979" s="170" t="inlineStr">
        <is>
          <t>Kekurangan pajak PPn Inv-028 (barikikn Sakti)(1/3 nya dari PBK pajak)</t>
        </is>
      </c>
      <c r="E979" s="227" t="n"/>
      <c r="F979" s="250" t="n">
        <v>56276000</v>
      </c>
      <c r="G979" s="15" t="inlineStr">
        <is>
          <t>IDR</t>
        </is>
      </c>
      <c r="H979" s="251" t="n">
        <v>1</v>
      </c>
      <c r="I979" s="251" t="n">
        <v>56276000</v>
      </c>
      <c r="J979" s="252" t="n">
        <v>56276000</v>
      </c>
      <c r="K979" s="249" t="n"/>
      <c r="L979" s="252" t="n"/>
      <c r="M979" s="253" t="n"/>
      <c r="N979" s="253" t="n"/>
      <c r="O979" s="252" t="n"/>
      <c r="P979" s="18" t="n"/>
      <c r="Q979" s="260" t="n"/>
    </row>
    <row r="980" ht="15.5" customHeight="1">
      <c r="B980" s="249" t="n">
        <v>45607</v>
      </c>
      <c r="C980" s="15" t="n">
        <v>394</v>
      </c>
      <c r="D980" s="170" t="inlineStr">
        <is>
          <t>Kekurangan pajak final PPH 23 keuntungan perusahaan tahun 2023</t>
        </is>
      </c>
      <c r="E980" s="227" t="n"/>
      <c r="F980" s="250" t="n">
        <v>1726469</v>
      </c>
      <c r="G980" s="15" t="inlineStr">
        <is>
          <t>IDR</t>
        </is>
      </c>
      <c r="H980" s="251" t="n">
        <v>1</v>
      </c>
      <c r="I980" s="15" t="n"/>
      <c r="J980" s="18" t="n"/>
      <c r="K980" s="249" t="n"/>
      <c r="L980" s="252" t="n"/>
      <c r="M980" s="253" t="n">
        <v>1726469</v>
      </c>
      <c r="N980" s="253" t="n">
        <v>1726469</v>
      </c>
      <c r="O980" s="252" t="n"/>
      <c r="P980" s="18" t="n"/>
      <c r="Q980" s="260" t="n"/>
    </row>
    <row r="981" ht="15.5" customHeight="1">
      <c r="B981" s="249" t="n">
        <v>45607</v>
      </c>
      <c r="C981" s="15" t="n">
        <v>395</v>
      </c>
      <c r="D981" s="170" t="inlineStr">
        <is>
          <t>Kekurangan pajak PPn Inv-028 (barikikn Sakti)(1/3 nya dari PBK pajak)</t>
        </is>
      </c>
      <c r="E981" s="227" t="n"/>
      <c r="F981" s="250" t="n">
        <v>56276000</v>
      </c>
      <c r="G981" s="15" t="inlineStr">
        <is>
          <t>IDR</t>
        </is>
      </c>
      <c r="H981" s="251" t="n">
        <v>1</v>
      </c>
      <c r="I981" s="251" t="n">
        <v>56276000</v>
      </c>
      <c r="J981" s="252" t="n">
        <v>56276000</v>
      </c>
      <c r="K981" s="249" t="n"/>
      <c r="L981" s="252" t="n"/>
      <c r="M981" s="253" t="n"/>
      <c r="N981" s="253" t="n"/>
      <c r="O981" s="252" t="n"/>
      <c r="P981" s="18" t="n"/>
      <c r="Q981" s="260" t="n"/>
    </row>
    <row r="982" ht="15.5" customHeight="1">
      <c r="B982" s="249" t="n">
        <v>45607</v>
      </c>
      <c r="C982" s="15" t="n">
        <v>396</v>
      </c>
      <c r="D982" s="170" t="inlineStr">
        <is>
          <t>Kekurangan pajak final PPH 23 keuntungan perusahaan tahun 2023</t>
        </is>
      </c>
      <c r="E982" s="227" t="n"/>
      <c r="F982" s="250" t="n">
        <v>1726469</v>
      </c>
      <c r="G982" s="15" t="inlineStr">
        <is>
          <t>IDR</t>
        </is>
      </c>
      <c r="H982" s="251" t="n">
        <v>1</v>
      </c>
      <c r="I982" s="15" t="n"/>
      <c r="J982" s="18" t="n"/>
      <c r="K982" s="249" t="n"/>
      <c r="L982" s="252" t="n"/>
      <c r="M982" s="253" t="n">
        <v>1726469</v>
      </c>
      <c r="N982" s="253" t="n">
        <v>1726469</v>
      </c>
      <c r="O982" s="252" t="n"/>
      <c r="P982" s="18" t="n"/>
      <c r="Q982" s="260" t="n"/>
    </row>
    <row r="983" ht="15.5" customHeight="1">
      <c r="B983" s="249" t="n">
        <v>45607</v>
      </c>
      <c r="C983" s="15" t="n">
        <v>397</v>
      </c>
      <c r="D983" s="170" t="inlineStr">
        <is>
          <t>Kekurangan pajak PPn Inv-028 (barikikn Sakti)(1/3 nya dari PBK pajak)</t>
        </is>
      </c>
      <c r="E983" s="227" t="n"/>
      <c r="F983" s="250" t="n">
        <v>56276000</v>
      </c>
      <c r="G983" s="15" t="inlineStr">
        <is>
          <t>IDR</t>
        </is>
      </c>
      <c r="H983" s="251" t="n">
        <v>1</v>
      </c>
      <c r="I983" s="251" t="n">
        <v>56276000</v>
      </c>
      <c r="J983" s="252" t="n">
        <v>56276000</v>
      </c>
      <c r="K983" s="249" t="n"/>
      <c r="L983" s="252" t="n"/>
      <c r="M983" s="253" t="n"/>
      <c r="N983" s="253" t="n"/>
      <c r="O983" s="252" t="n"/>
      <c r="P983" s="18" t="n"/>
      <c r="Q983" s="260" t="n"/>
    </row>
    <row r="984" ht="15.5" customHeight="1">
      <c r="B984" s="249" t="n">
        <v>45607</v>
      </c>
      <c r="C984" s="15" t="n">
        <v>398</v>
      </c>
      <c r="D984" s="170" t="inlineStr">
        <is>
          <t>Kekurangan pajak final PPH 23 keuntungan perusahaan tahun 2023</t>
        </is>
      </c>
      <c r="E984" s="227" t="n"/>
      <c r="F984" s="250" t="n">
        <v>1726469</v>
      </c>
      <c r="G984" s="15" t="inlineStr">
        <is>
          <t>IDR</t>
        </is>
      </c>
      <c r="H984" s="251" t="n">
        <v>1</v>
      </c>
      <c r="I984" s="15" t="n"/>
      <c r="J984" s="18" t="n"/>
      <c r="K984" s="249" t="n"/>
      <c r="L984" s="252" t="n"/>
      <c r="M984" s="253" t="n">
        <v>1726469</v>
      </c>
      <c r="N984" s="253" t="n">
        <v>1726469</v>
      </c>
      <c r="O984" s="252" t="n"/>
      <c r="P984" s="18" t="n"/>
      <c r="Q984" s="260" t="n"/>
    </row>
    <row r="985" ht="15.5" customHeight="1">
      <c r="B985" s="249" t="n">
        <v>45607</v>
      </c>
      <c r="C985" s="15" t="n">
        <v>399</v>
      </c>
      <c r="D985" s="170" t="inlineStr">
        <is>
          <t>Kekurangan pajak PPn Inv-028 (barikikn Sakti)(1/3 nya dari PBK pajak)</t>
        </is>
      </c>
      <c r="E985" s="227" t="n"/>
      <c r="F985" s="250" t="n">
        <v>56276000</v>
      </c>
      <c r="G985" s="15" t="inlineStr">
        <is>
          <t>IDR</t>
        </is>
      </c>
      <c r="H985" s="251" t="n">
        <v>1</v>
      </c>
      <c r="I985" s="251" t="n">
        <v>56276000</v>
      </c>
      <c r="J985" s="252" t="n">
        <v>56276000</v>
      </c>
      <c r="K985" s="249" t="n"/>
      <c r="L985" s="252" t="n"/>
      <c r="M985" s="253" t="n"/>
      <c r="N985" s="253" t="n"/>
      <c r="O985" s="252" t="n"/>
      <c r="P985" s="18" t="n"/>
      <c r="Q985" s="260" t="n"/>
    </row>
    <row r="986" ht="15.5" customHeight="1">
      <c r="B986" s="249" t="n">
        <v>45607</v>
      </c>
      <c r="C986" s="15" t="n">
        <v>400</v>
      </c>
      <c r="D986" s="170" t="inlineStr">
        <is>
          <t>Kekurangan pajak final PPH 23 keuntungan perusahaan tahun 2023</t>
        </is>
      </c>
      <c r="E986" s="227" t="n"/>
      <c r="F986" s="250" t="n">
        <v>1726469</v>
      </c>
      <c r="G986" s="15" t="inlineStr">
        <is>
          <t>IDR</t>
        </is>
      </c>
      <c r="H986" s="251" t="n">
        <v>1</v>
      </c>
      <c r="I986" s="15" t="n"/>
      <c r="J986" s="18" t="n"/>
      <c r="K986" s="249" t="n"/>
      <c r="L986" s="252" t="n"/>
      <c r="M986" s="253" t="n">
        <v>1726469</v>
      </c>
      <c r="N986" s="253" t="n">
        <v>1726469</v>
      </c>
      <c r="O986" s="252" t="n"/>
      <c r="P986" s="18" t="n"/>
      <c r="Q986" s="260" t="n"/>
    </row>
    <row r="987" ht="15.5" customHeight="1">
      <c r="B987" s="249" t="n">
        <v>45607</v>
      </c>
      <c r="C987" s="15" t="n">
        <v>401</v>
      </c>
      <c r="D987" s="170" t="inlineStr">
        <is>
          <t>Kekurangan pajak PPn Inv-028 (barikikn Sakti)(1/3 nya dari PBK pajak)</t>
        </is>
      </c>
      <c r="E987" s="227" t="n"/>
      <c r="F987" s="250" t="n">
        <v>56276000</v>
      </c>
      <c r="G987" s="15" t="inlineStr">
        <is>
          <t>IDR</t>
        </is>
      </c>
      <c r="H987" s="251" t="n">
        <v>1</v>
      </c>
      <c r="I987" s="251" t="n">
        <v>56276000</v>
      </c>
      <c r="J987" s="252" t="n">
        <v>56276000</v>
      </c>
      <c r="K987" s="249" t="n"/>
      <c r="L987" s="252" t="n"/>
      <c r="M987" s="253" t="n"/>
      <c r="N987" s="253" t="n"/>
      <c r="O987" s="252" t="n"/>
      <c r="P987" s="18" t="n"/>
      <c r="Q987" s="260" t="n"/>
    </row>
    <row r="988" ht="15.5" customHeight="1">
      <c r="B988" s="249" t="n">
        <v>45607</v>
      </c>
      <c r="C988" s="15" t="n">
        <v>402</v>
      </c>
      <c r="D988" s="170" t="inlineStr">
        <is>
          <t>Kekurangan pajak final PPH 23 keuntungan perusahaan tahun 2023</t>
        </is>
      </c>
      <c r="E988" s="227" t="n"/>
      <c r="F988" s="250" t="n">
        <v>1726469</v>
      </c>
      <c r="G988" s="15" t="inlineStr">
        <is>
          <t>IDR</t>
        </is>
      </c>
      <c r="H988" s="251" t="n">
        <v>1</v>
      </c>
      <c r="I988" s="15" t="n"/>
      <c r="J988" s="18" t="n"/>
      <c r="K988" s="249" t="n"/>
      <c r="L988" s="252" t="n"/>
      <c r="M988" s="253" t="n">
        <v>1726469</v>
      </c>
      <c r="N988" s="253" t="n">
        <v>1726469</v>
      </c>
      <c r="O988" s="252" t="n"/>
      <c r="P988" s="18" t="n"/>
      <c r="Q988" s="260" t="n"/>
    </row>
    <row r="989" ht="15.5" customHeight="1">
      <c r="B989" s="249" t="n">
        <v>45607</v>
      </c>
      <c r="C989" s="15" t="n">
        <v>403</v>
      </c>
      <c r="D989" s="170" t="inlineStr">
        <is>
          <t>Kekurangan pajak PPn Inv-028 (barikikn Sakti)(1/3 nya dari PBK pajak)</t>
        </is>
      </c>
      <c r="E989" s="227" t="n"/>
      <c r="F989" s="250" t="n">
        <v>56276000</v>
      </c>
      <c r="G989" s="15" t="inlineStr">
        <is>
          <t>IDR</t>
        </is>
      </c>
      <c r="H989" s="251" t="n">
        <v>1</v>
      </c>
      <c r="I989" s="251" t="n">
        <v>56276000</v>
      </c>
      <c r="J989" s="252" t="n">
        <v>56276000</v>
      </c>
      <c r="K989" s="249" t="n"/>
      <c r="L989" s="252" t="n"/>
      <c r="M989" s="253" t="n"/>
      <c r="N989" s="253" t="n"/>
      <c r="O989" s="252" t="n"/>
      <c r="P989" s="18" t="n"/>
      <c r="Q989" s="260" t="n"/>
    </row>
    <row r="990" ht="15.5" customHeight="1">
      <c r="B990" s="249" t="n">
        <v>45607</v>
      </c>
      <c r="C990" s="15" t="n">
        <v>404</v>
      </c>
      <c r="D990" s="170" t="inlineStr">
        <is>
          <t>Kekurangan pajak final PPH 23 keuntungan perusahaan tahun 2023</t>
        </is>
      </c>
      <c r="E990" s="227" t="n"/>
      <c r="F990" s="250" t="n">
        <v>1726469</v>
      </c>
      <c r="G990" s="15" t="inlineStr">
        <is>
          <t>IDR</t>
        </is>
      </c>
      <c r="H990" s="251" t="n">
        <v>1</v>
      </c>
      <c r="I990" s="15" t="n"/>
      <c r="J990" s="18" t="n"/>
      <c r="K990" s="249" t="n"/>
      <c r="L990" s="252" t="n"/>
      <c r="M990" s="253" t="n">
        <v>1726469</v>
      </c>
      <c r="N990" s="253" t="n">
        <v>1726469</v>
      </c>
      <c r="O990" s="252" t="n"/>
      <c r="P990" s="18" t="n"/>
      <c r="Q990" s="260" t="n"/>
    </row>
    <row r="991" ht="15.5" customHeight="1">
      <c r="B991" s="249" t="n">
        <v>45607</v>
      </c>
      <c r="C991" s="15" t="n">
        <v>405</v>
      </c>
      <c r="D991" s="170" t="inlineStr">
        <is>
          <t>Kekurangan pajak PPn Inv-028 (barikikn Sakti)(1/3 nya dari PBK pajak)</t>
        </is>
      </c>
      <c r="E991" s="227" t="n"/>
      <c r="F991" s="250" t="n">
        <v>56276000</v>
      </c>
      <c r="G991" s="15" t="inlineStr">
        <is>
          <t>IDR</t>
        </is>
      </c>
      <c r="H991" s="251" t="n">
        <v>1</v>
      </c>
      <c r="I991" s="251" t="n">
        <v>56276000</v>
      </c>
      <c r="J991" s="252" t="n">
        <v>56276000</v>
      </c>
      <c r="K991" s="249" t="n"/>
      <c r="L991" s="252" t="n"/>
      <c r="M991" s="253" t="n"/>
      <c r="N991" s="253" t="n"/>
      <c r="O991" s="252" t="n"/>
      <c r="P991" s="18" t="n"/>
      <c r="Q991" s="260" t="n"/>
    </row>
    <row r="992" ht="15.5" customHeight="1">
      <c r="B992" s="249" t="n">
        <v>45607</v>
      </c>
      <c r="C992" s="15" t="n">
        <v>406</v>
      </c>
      <c r="D992" s="170" t="inlineStr">
        <is>
          <t>Kekurangan pajak final PPH 23 keuntungan perusahaan tahun 2023</t>
        </is>
      </c>
      <c r="E992" s="227" t="n"/>
      <c r="F992" s="250" t="n">
        <v>1726469</v>
      </c>
      <c r="G992" s="15" t="inlineStr">
        <is>
          <t>IDR</t>
        </is>
      </c>
      <c r="H992" s="251" t="n">
        <v>1</v>
      </c>
      <c r="I992" s="15" t="n"/>
      <c r="J992" s="18" t="n"/>
      <c r="K992" s="249" t="n"/>
      <c r="L992" s="252" t="n"/>
      <c r="M992" s="253" t="n">
        <v>1726469</v>
      </c>
      <c r="N992" s="253" t="n">
        <v>1726469</v>
      </c>
      <c r="O992" s="252" t="n"/>
      <c r="P992" s="18" t="n"/>
      <c r="Q992" s="260" t="n"/>
    </row>
    <row r="993" ht="15.5" customHeight="1">
      <c r="B993" s="249" t="n">
        <v>45607</v>
      </c>
      <c r="C993" s="15" t="n">
        <v>407</v>
      </c>
      <c r="D993" s="170" t="inlineStr">
        <is>
          <t>Kekurangan pajak PPn Inv-028 (barikikn Sakti)(1/3 nya dari PBK pajak)</t>
        </is>
      </c>
      <c r="E993" s="227" t="n"/>
      <c r="F993" s="250" t="n">
        <v>56276000</v>
      </c>
      <c r="G993" s="15" t="inlineStr">
        <is>
          <t>IDR</t>
        </is>
      </c>
      <c r="H993" s="251" t="n">
        <v>1</v>
      </c>
      <c r="I993" s="251" t="n">
        <v>56276000</v>
      </c>
      <c r="J993" s="252" t="n">
        <v>56276000</v>
      </c>
      <c r="K993" s="249" t="n"/>
      <c r="L993" s="252" t="n"/>
      <c r="M993" s="253" t="n"/>
      <c r="N993" s="253" t="n"/>
      <c r="O993" s="252" t="n"/>
      <c r="P993" s="18" t="n"/>
      <c r="Q993" s="260" t="n"/>
    </row>
    <row r="994" ht="15.5" customHeight="1">
      <c r="B994" s="249" t="n">
        <v>45607</v>
      </c>
      <c r="C994" s="15" t="n">
        <v>408</v>
      </c>
      <c r="D994" s="170" t="inlineStr">
        <is>
          <t>Kekurangan pajak final PPH 23 keuntungan perusahaan tahun 2023</t>
        </is>
      </c>
      <c r="E994" s="227" t="n"/>
      <c r="F994" s="250" t="n">
        <v>1726469</v>
      </c>
      <c r="G994" s="15" t="inlineStr">
        <is>
          <t>IDR</t>
        </is>
      </c>
      <c r="H994" s="251" t="n">
        <v>1</v>
      </c>
      <c r="I994" s="15" t="n"/>
      <c r="J994" s="18" t="n"/>
      <c r="K994" s="249" t="n"/>
      <c r="L994" s="252" t="n"/>
      <c r="M994" s="253" t="n">
        <v>1726469</v>
      </c>
      <c r="N994" s="253" t="n">
        <v>1726469</v>
      </c>
      <c r="O994" s="252" t="n"/>
      <c r="P994" s="18" t="n"/>
      <c r="Q994" s="260" t="n"/>
    </row>
    <row r="995" ht="15.5" customHeight="1">
      <c r="B995" s="249" t="n">
        <v>45607</v>
      </c>
      <c r="C995" s="15" t="n">
        <v>409</v>
      </c>
      <c r="D995" s="170" t="inlineStr">
        <is>
          <t>Kekurangan pajak PPn Inv-028 (barikikn Sakti)(1/3 nya dari PBK pajak)</t>
        </is>
      </c>
      <c r="E995" s="227" t="n"/>
      <c r="F995" s="250" t="n">
        <v>56276000</v>
      </c>
      <c r="G995" s="15" t="inlineStr">
        <is>
          <t>IDR</t>
        </is>
      </c>
      <c r="H995" s="251" t="n">
        <v>1</v>
      </c>
      <c r="I995" s="251" t="n">
        <v>56276000</v>
      </c>
      <c r="J995" s="252" t="n">
        <v>56276000</v>
      </c>
      <c r="K995" s="249" t="n"/>
      <c r="L995" s="252" t="n"/>
      <c r="M995" s="253" t="n"/>
      <c r="N995" s="253" t="n"/>
      <c r="O995" s="252" t="n"/>
      <c r="P995" s="18" t="n"/>
      <c r="Q995" s="260" t="n"/>
    </row>
    <row r="996" ht="15.5" customHeight="1">
      <c r="B996" s="249" t="n">
        <v>45607</v>
      </c>
      <c r="C996" s="15" t="n">
        <v>410</v>
      </c>
      <c r="D996" s="170" t="inlineStr">
        <is>
          <t>Kekurangan pajak final PPH 23 keuntungan perusahaan tahun 2023</t>
        </is>
      </c>
      <c r="E996" s="227" t="n"/>
      <c r="F996" s="250" t="n">
        <v>1726469</v>
      </c>
      <c r="G996" s="15" t="inlineStr">
        <is>
          <t>IDR</t>
        </is>
      </c>
      <c r="H996" s="251" t="n">
        <v>1</v>
      </c>
      <c r="I996" s="15" t="n"/>
      <c r="J996" s="18" t="n"/>
      <c r="K996" s="249" t="n"/>
      <c r="L996" s="252" t="n"/>
      <c r="M996" s="253" t="n">
        <v>1726469</v>
      </c>
      <c r="N996" s="253" t="n">
        <v>1726469</v>
      </c>
      <c r="O996" s="252" t="n"/>
      <c r="P996" s="18" t="n"/>
      <c r="Q996" s="260" t="n"/>
    </row>
    <row r="997" ht="15.5" customHeight="1">
      <c r="B997" s="263" t="inlineStr">
        <is>
          <t>PENERIMAAN NEGARA (TAX) (IDR)</t>
        </is>
      </c>
      <c r="C997" s="264" t="n"/>
      <c r="D997" s="264" t="n"/>
      <c r="E997" s="264" t="n"/>
      <c r="F997" s="264" t="n"/>
      <c r="G997" s="264" t="n"/>
      <c r="H997" s="265" t="n"/>
      <c r="I997" s="266" t="inlineStr">
        <is>
          <t>PPN</t>
        </is>
      </c>
      <c r="J997" s="267">
        <f>SUM(J587:J996)</f>
        <v/>
      </c>
      <c r="K997" s="268" t="inlineStr">
        <is>
          <t>PPh</t>
        </is>
      </c>
      <c r="L997" s="267">
        <f>SUM(L587:L996)</f>
        <v/>
      </c>
      <c r="M997" s="267" t="inlineStr">
        <is>
          <t>PPh</t>
        </is>
      </c>
      <c r="N997" s="267">
        <f>SUM(N587:N996)</f>
        <v/>
      </c>
      <c r="O997" s="267" t="inlineStr">
        <is>
          <t>PPh</t>
        </is>
      </c>
      <c r="P997" s="267">
        <f>SUM(P587:P996)</f>
        <v/>
      </c>
      <c r="Q997" s="269" t="inlineStr">
        <is>
          <t>-</t>
        </is>
      </c>
    </row>
    <row r="998" ht="15.5" customHeight="1">
      <c r="B998" s="249" t="n"/>
      <c r="C998" s="15" t="n"/>
      <c r="D998" s="170" t="n"/>
      <c r="E998" s="227" t="n"/>
      <c r="F998" s="250" t="n"/>
      <c r="G998" s="15" t="n"/>
      <c r="H998" s="251" t="n"/>
      <c r="I998" s="15" t="n"/>
      <c r="J998" s="18" t="n"/>
      <c r="K998" s="249" t="n"/>
      <c r="L998" s="252" t="n"/>
      <c r="M998" s="253" t="n"/>
      <c r="N998" s="253" t="n"/>
      <c r="O998" s="252" t="n"/>
      <c r="P998" s="18" t="n"/>
      <c r="Q998" s="260" t="n"/>
    </row>
    <row r="999" ht="15.5" customHeight="1">
      <c r="B999" s="249" t="inlineStr">
        <is>
          <t>PENGELUARAN</t>
        </is>
      </c>
      <c r="C999" s="15" t="n">
        <v>32</v>
      </c>
      <c r="D999" s="170" t="inlineStr">
        <is>
          <t>ALFA Service PDP-075 Pertamina Zona#4</t>
        </is>
      </c>
      <c r="E999" s="227" t="n"/>
      <c r="F999" s="250" t="n">
        <v>354210000</v>
      </c>
      <c r="G999" s="15" t="inlineStr">
        <is>
          <t>IDR</t>
        </is>
      </c>
      <c r="H999" s="251" t="n">
        <v>1</v>
      </c>
      <c r="I999" s="15" t="inlineStr">
        <is>
          <t>INV017</t>
        </is>
      </c>
      <c r="J999" s="18" t="inlineStr">
        <is>
          <t>SI Jak</t>
        </is>
      </c>
      <c r="K999" s="249" t="n">
        <v>45350</v>
      </c>
      <c r="L999" s="252" t="n">
        <v>347125800</v>
      </c>
      <c r="M999" s="253" t="n">
        <v>38963100</v>
      </c>
      <c r="N999" s="253" t="n">
        <v>7084200</v>
      </c>
      <c r="O999" s="252" t="n">
        <v>0</v>
      </c>
      <c r="P999" s="18" t="inlineStr">
        <is>
          <t>Pemungut</t>
        </is>
      </c>
      <c r="Q999" s="260" t="n"/>
    </row>
    <row r="1000" ht="60" customHeight="1">
      <c r="B1000" s="270" t="n">
        <v>45302</v>
      </c>
      <c r="C1000" s="271" t="n">
        <v>33</v>
      </c>
      <c r="D1000" s="271" t="inlineStr">
        <is>
          <t>ALFA Service PDP-075 Pertamina Zona#4</t>
        </is>
      </c>
      <c r="E1000" s="227" t="n"/>
      <c r="F1000" s="272" t="n">
        <v>354210000</v>
      </c>
      <c r="G1000" s="273" t="inlineStr">
        <is>
          <t>IDR</t>
        </is>
      </c>
      <c r="H1000" s="274" t="n">
        <v>1</v>
      </c>
      <c r="I1000" s="275" t="inlineStr">
        <is>
          <t>Biaya Sewa Peralatan</t>
        </is>
      </c>
      <c r="J1000" s="275" t="inlineStr">
        <is>
          <t>Biaya Research (R&amp;D)</t>
        </is>
      </c>
      <c r="K1000" s="276" t="inlineStr">
        <is>
          <t>Biaya Interpretasi Log Data</t>
        </is>
      </c>
      <c r="L1000" s="277" t="inlineStr">
        <is>
          <t>Biaya Operasi</t>
        </is>
      </c>
      <c r="M1000" s="277" t="inlineStr">
        <is>
          <t>Administrasi</t>
        </is>
      </c>
      <c r="N1000" s="277" t="inlineStr">
        <is>
          <t>Pembelian Barang</t>
        </is>
      </c>
      <c r="O1000" s="277" t="inlineStr">
        <is>
          <t>Sewa Kantor</t>
        </is>
      </c>
      <c r="P1000" s="275" t="inlineStr">
        <is>
          <t>Kesehatan</t>
        </is>
      </c>
      <c r="Q1000" s="275" t="inlineStr">
        <is>
          <t>Bisnis Dev</t>
        </is>
      </c>
      <c r="R1000" s="278" t="n"/>
      <c r="S1000" s="278" t="n"/>
      <c r="T1000" s="278" t="n"/>
      <c r="U1000" s="278" t="n"/>
      <c r="V1000" s="278" t="n"/>
      <c r="W1000" s="278" t="n"/>
      <c r="X1000" s="278" t="n"/>
      <c r="Y1000" s="278" t="n"/>
      <c r="Z1000" s="278" t="n"/>
      <c r="AA1000" s="278" t="n"/>
      <c r="AB1000" s="278" t="n"/>
      <c r="AC1000" s="278" t="n"/>
      <c r="AD1000" s="278" t="n"/>
    </row>
    <row r="1001" ht="15.5" customHeight="1">
      <c r="B1001" s="279" t="n"/>
      <c r="C1001" s="280" t="n"/>
      <c r="D1001" s="281" t="inlineStr">
        <is>
          <t>Allowance</t>
        </is>
      </c>
      <c r="E1001" s="282" t="n"/>
      <c r="F1001" s="283" t="n"/>
      <c r="G1001" s="280" t="n"/>
      <c r="H1001" s="284" t="n"/>
      <c r="I1001" s="280" t="n"/>
      <c r="J1001" s="285" t="n"/>
      <c r="K1001" s="279" t="n"/>
      <c r="L1001" s="283" t="n"/>
      <c r="M1001" s="286" t="n"/>
      <c r="N1001" s="286" t="n"/>
      <c r="O1001" s="283" t="n"/>
      <c r="P1001" s="285" t="n"/>
      <c r="Q1001" s="287" t="n"/>
      <c r="R1001" s="278" t="n"/>
      <c r="S1001" s="278" t="n"/>
      <c r="T1001" s="278" t="n"/>
      <c r="U1001" s="278" t="n"/>
      <c r="V1001" s="278" t="n"/>
      <c r="W1001" s="278" t="n"/>
      <c r="X1001" s="278" t="n"/>
      <c r="Y1001" s="278" t="n"/>
      <c r="Z1001" s="278" t="n"/>
      <c r="AA1001" s="278" t="n"/>
      <c r="AB1001" s="278" t="n"/>
      <c r="AC1001" s="278" t="n"/>
      <c r="AD1001" s="278" t="n"/>
    </row>
    <row r="1002" ht="15.5" customHeight="1">
      <c r="B1002" s="288" t="n">
        <v>45388</v>
      </c>
      <c r="C1002" s="289" t="n">
        <v>1</v>
      </c>
      <c r="D1002" s="290" t="inlineStr">
        <is>
          <t>THR 2024_Yufitri</t>
        </is>
      </c>
      <c r="E1002" s="287" t="inlineStr">
        <is>
          <t>BCA</t>
        </is>
      </c>
      <c r="F1002" s="283" t="n">
        <v>3000000</v>
      </c>
      <c r="G1002" s="291" t="inlineStr">
        <is>
          <t>IDR</t>
        </is>
      </c>
      <c r="H1002" s="292" t="n">
        <v>1</v>
      </c>
      <c r="I1002" s="280" t="n"/>
      <c r="J1002" s="285" t="n"/>
      <c r="K1002" s="279" t="n"/>
      <c r="L1002" s="283" t="n">
        <v>3000000</v>
      </c>
      <c r="M1002" s="286" t="n"/>
      <c r="N1002" s="286" t="n"/>
      <c r="O1002" s="283" t="n"/>
      <c r="P1002" s="285" t="n"/>
      <c r="Q1002" s="287" t="n"/>
      <c r="R1002" s="278" t="n"/>
      <c r="S1002" s="278" t="n"/>
      <c r="T1002" s="278" t="n"/>
      <c r="U1002" s="278" t="n"/>
      <c r="V1002" s="278" t="n"/>
      <c r="W1002" s="278" t="n"/>
      <c r="X1002" s="278" t="n"/>
      <c r="Y1002" s="278" t="n"/>
      <c r="Z1002" s="278" t="n"/>
      <c r="AA1002" s="278" t="n"/>
      <c r="AB1002" s="278" t="n"/>
      <c r="AC1002" s="278" t="n"/>
      <c r="AD1002" s="278" t="n"/>
    </row>
    <row r="1003" ht="15.5" customHeight="1">
      <c r="B1003" s="279" t="n"/>
      <c r="C1003" s="280" t="n"/>
      <c r="D1003" s="281" t="inlineStr">
        <is>
          <t>Biaya Bank</t>
        </is>
      </c>
      <c r="E1003" s="282" t="n"/>
      <c r="F1003" s="283" t="n"/>
      <c r="G1003" s="280" t="n"/>
      <c r="H1003" s="284" t="n"/>
      <c r="I1003" s="280" t="n"/>
      <c r="J1003" s="285" t="n"/>
      <c r="K1003" s="279" t="n"/>
      <c r="L1003" s="283" t="n"/>
      <c r="M1003" s="286" t="n"/>
      <c r="N1003" s="286" t="n"/>
      <c r="O1003" s="283" t="n"/>
      <c r="P1003" s="285" t="n"/>
      <c r="Q1003" s="287" t="n"/>
      <c r="R1003" s="278" t="n"/>
      <c r="S1003" s="278" t="n"/>
      <c r="T1003" s="278" t="n"/>
      <c r="U1003" s="278" t="n"/>
      <c r="V1003" s="278" t="n"/>
      <c r="W1003" s="278" t="n"/>
      <c r="X1003" s="278" t="n"/>
      <c r="Y1003" s="278" t="n"/>
      <c r="Z1003" s="278" t="n"/>
      <c r="AA1003" s="278" t="n"/>
      <c r="AB1003" s="278" t="n"/>
      <c r="AC1003" s="278" t="n"/>
      <c r="AD1003" s="278" t="n"/>
    </row>
    <row r="1004" ht="15.5" customHeight="1">
      <c r="B1004" s="288" t="n">
        <v>45657</v>
      </c>
      <c r="C1004" s="289" t="n">
        <v>2</v>
      </c>
      <c r="D1004" s="290" t="inlineStr">
        <is>
          <t>Total Biaya Transaksi Bank selama 1 tahun</t>
        </is>
      </c>
      <c r="E1004" s="287" t="inlineStr">
        <is>
          <t>-</t>
        </is>
      </c>
      <c r="F1004" s="283" t="n">
        <v>1998587</v>
      </c>
      <c r="G1004" s="291" t="inlineStr">
        <is>
          <t>IDR</t>
        </is>
      </c>
      <c r="H1004" s="292" t="n">
        <v>1</v>
      </c>
      <c r="I1004" s="280" t="n"/>
      <c r="J1004" s="285" t="n"/>
      <c r="K1004" s="279" t="n"/>
      <c r="L1004" s="283" t="n"/>
      <c r="M1004" s="286" t="n">
        <v>1998587</v>
      </c>
      <c r="N1004" s="286" t="n"/>
      <c r="O1004" s="283" t="n"/>
      <c r="P1004" s="285" t="n"/>
      <c r="Q1004" s="287" t="n"/>
      <c r="R1004" s="278" t="n"/>
      <c r="S1004" s="278" t="n"/>
      <c r="T1004" s="278" t="n"/>
      <c r="U1004" s="278" t="n"/>
      <c r="V1004" s="278" t="n"/>
      <c r="W1004" s="278" t="n"/>
      <c r="X1004" s="278" t="n"/>
      <c r="Y1004" s="278" t="n"/>
      <c r="Z1004" s="278" t="n"/>
      <c r="AA1004" s="278" t="n"/>
      <c r="AB1004" s="278" t="n"/>
      <c r="AC1004" s="278" t="n"/>
      <c r="AD1004" s="278" t="n"/>
    </row>
    <row r="1005" ht="15.5" customHeight="1">
      <c r="B1005" s="279" t="n"/>
      <c r="C1005" s="280" t="n"/>
      <c r="D1005" s="281" t="inlineStr">
        <is>
          <t>Data Processing</t>
        </is>
      </c>
      <c r="E1005" s="282" t="n"/>
      <c r="F1005" s="283" t="n"/>
      <c r="G1005" s="280" t="n"/>
      <c r="H1005" s="284" t="n"/>
      <c r="I1005" s="280" t="n"/>
      <c r="J1005" s="285" t="n"/>
      <c r="K1005" s="279" t="n"/>
      <c r="L1005" s="283" t="n"/>
      <c r="M1005" s="286" t="n"/>
      <c r="N1005" s="286" t="n"/>
      <c r="O1005" s="283" t="n"/>
      <c r="P1005" s="285" t="n"/>
      <c r="Q1005" s="287" t="n"/>
      <c r="R1005" s="278" t="n"/>
      <c r="S1005" s="278" t="n"/>
      <c r="T1005" s="278" t="n"/>
      <c r="U1005" s="278" t="n"/>
      <c r="V1005" s="278" t="n"/>
      <c r="W1005" s="278" t="n"/>
      <c r="X1005" s="278" t="n"/>
      <c r="Y1005" s="278" t="n"/>
      <c r="Z1005" s="278" t="n"/>
      <c r="AA1005" s="278" t="n"/>
      <c r="AB1005" s="278" t="n"/>
      <c r="AC1005" s="278" t="n"/>
      <c r="AD1005" s="278" t="n"/>
    </row>
    <row r="1006" ht="15.5" customHeight="1">
      <c r="B1006" s="288" t="n">
        <v>45413</v>
      </c>
      <c r="C1006" s="289" t="n">
        <v>3</v>
      </c>
      <c r="D1006" s="290" t="inlineStr">
        <is>
          <t>Data proccesing MTD 4 well, project Tomori-Alan</t>
        </is>
      </c>
      <c r="E1006" s="287" t="inlineStr">
        <is>
          <t>BCA</t>
        </is>
      </c>
      <c r="F1006" s="283" t="n">
        <v>122625000</v>
      </c>
      <c r="G1006" s="291" t="inlineStr">
        <is>
          <t>IDR</t>
        </is>
      </c>
      <c r="H1006" s="292" t="n">
        <v>1</v>
      </c>
      <c r="I1006" s="280" t="n"/>
      <c r="J1006" s="285" t="n"/>
      <c r="K1006" s="283" t="n">
        <v>122625000</v>
      </c>
      <c r="L1006" s="283" t="n"/>
      <c r="M1006" s="286" t="n"/>
      <c r="N1006" s="286" t="n"/>
      <c r="O1006" s="283" t="n"/>
      <c r="P1006" s="285" t="n"/>
      <c r="Q1006" s="287" t="n"/>
      <c r="R1006" s="278" t="n"/>
      <c r="S1006" s="278" t="n"/>
      <c r="T1006" s="278" t="n"/>
      <c r="U1006" s="278" t="n"/>
      <c r="V1006" s="278" t="n"/>
      <c r="W1006" s="278" t="n"/>
      <c r="X1006" s="278" t="n"/>
      <c r="Y1006" s="278" t="n"/>
      <c r="Z1006" s="278" t="n"/>
      <c r="AA1006" s="278" t="n"/>
      <c r="AB1006" s="278" t="n"/>
      <c r="AC1006" s="278" t="n"/>
      <c r="AD1006" s="278" t="n"/>
    </row>
    <row r="1007" ht="15.5" customHeight="1">
      <c r="B1007" s="288" t="n">
        <v>45525</v>
      </c>
      <c r="C1007" s="289" t="n">
        <v>4</v>
      </c>
      <c r="D1007" s="290" t="inlineStr">
        <is>
          <t>Data proccesing TGB-33 DAN TIS (RBG-3b)-Alan</t>
        </is>
      </c>
      <c r="E1007" s="287" t="inlineStr">
        <is>
          <t>BCA</t>
        </is>
      </c>
      <c r="F1007" s="283" t="n">
        <v>101120000</v>
      </c>
      <c r="G1007" s="291" t="inlineStr">
        <is>
          <t>IDR</t>
        </is>
      </c>
      <c r="H1007" s="292" t="n">
        <v>1</v>
      </c>
      <c r="I1007" s="280" t="n"/>
      <c r="J1007" s="285" t="n"/>
      <c r="K1007" s="283" t="n">
        <v>101120000</v>
      </c>
      <c r="L1007" s="283" t="n"/>
      <c r="M1007" s="286" t="n"/>
      <c r="N1007" s="286" t="n"/>
      <c r="O1007" s="283" t="n"/>
      <c r="P1007" s="285" t="n"/>
      <c r="Q1007" s="287" t="n"/>
      <c r="R1007" s="278" t="n"/>
      <c r="S1007" s="278" t="n"/>
      <c r="T1007" s="278" t="n"/>
      <c r="U1007" s="278" t="n"/>
      <c r="V1007" s="278" t="n"/>
      <c r="W1007" s="278" t="n"/>
      <c r="X1007" s="278" t="n"/>
      <c r="Y1007" s="278" t="n"/>
      <c r="Z1007" s="278" t="n"/>
      <c r="AA1007" s="278" t="n"/>
      <c r="AB1007" s="278" t="n"/>
      <c r="AC1007" s="278" t="n"/>
      <c r="AD1007" s="278" t="n"/>
    </row>
    <row r="1008" ht="15.5" customHeight="1">
      <c r="B1008" s="288" t="n">
        <v>45589</v>
      </c>
      <c r="C1008" s="289" t="n">
        <v>5</v>
      </c>
      <c r="D1008" s="290" t="inlineStr">
        <is>
          <t>Data Processing 8 Well Alan Project SIJAK</t>
        </is>
      </c>
      <c r="E1008" s="287" t="inlineStr">
        <is>
          <t>BRI</t>
        </is>
      </c>
      <c r="F1008" s="283" t="n">
        <v>144000000</v>
      </c>
      <c r="G1008" s="291" t="inlineStr">
        <is>
          <t>IDR</t>
        </is>
      </c>
      <c r="H1008" s="292" t="n">
        <v>1</v>
      </c>
      <c r="I1008" s="280" t="n"/>
      <c r="J1008" s="285" t="n"/>
      <c r="K1008" s="283" t="n">
        <v>144000000</v>
      </c>
      <c r="L1008" s="283" t="n"/>
      <c r="M1008" s="286" t="n"/>
      <c r="N1008" s="286" t="n"/>
      <c r="O1008" s="283" t="n"/>
      <c r="P1008" s="285" t="n"/>
      <c r="Q1008" s="287" t="n"/>
      <c r="R1008" s="278" t="n"/>
      <c r="S1008" s="278" t="n"/>
      <c r="T1008" s="278" t="n"/>
      <c r="U1008" s="278" t="n"/>
      <c r="V1008" s="278" t="n"/>
      <c r="W1008" s="278" t="n"/>
      <c r="X1008" s="278" t="n"/>
      <c r="Y1008" s="278" t="n"/>
      <c r="Z1008" s="278" t="n"/>
      <c r="AA1008" s="278" t="n"/>
      <c r="AB1008" s="278" t="n"/>
      <c r="AC1008" s="278" t="n"/>
      <c r="AD1008" s="278" t="n"/>
    </row>
    <row r="1009" ht="15.5" customHeight="1">
      <c r="B1009" s="279" t="n"/>
      <c r="C1009" s="280" t="n"/>
      <c r="D1009" s="281" t="inlineStr">
        <is>
          <t>Elektronik &amp; Gadget</t>
        </is>
      </c>
      <c r="E1009" s="282" t="n"/>
      <c r="F1009" s="283" t="n"/>
      <c r="G1009" s="280" t="n"/>
      <c r="H1009" s="284" t="n"/>
      <c r="I1009" s="280" t="n"/>
      <c r="J1009" s="285" t="n"/>
      <c r="K1009" s="279" t="n"/>
      <c r="L1009" s="283" t="n"/>
      <c r="M1009" s="286" t="n"/>
      <c r="N1009" s="286" t="n"/>
      <c r="O1009" s="283" t="n"/>
      <c r="P1009" s="285" t="n"/>
      <c r="Q1009" s="287" t="n"/>
      <c r="R1009" s="278" t="n"/>
      <c r="S1009" s="278" t="n"/>
      <c r="T1009" s="278" t="n"/>
      <c r="U1009" s="278" t="n"/>
      <c r="V1009" s="278" t="n"/>
      <c r="W1009" s="278" t="n"/>
      <c r="X1009" s="278" t="n"/>
      <c r="Y1009" s="278" t="n"/>
      <c r="Z1009" s="278" t="n"/>
      <c r="AA1009" s="278" t="n"/>
      <c r="AB1009" s="278" t="n"/>
      <c r="AC1009" s="278" t="n"/>
      <c r="AD1009" s="278" t="n"/>
    </row>
    <row r="1010" ht="15.5" customHeight="1">
      <c r="B1010" s="288" t="n">
        <v>45501</v>
      </c>
      <c r="C1010" s="289" t="n">
        <v>6</v>
      </c>
      <c r="D1010" s="290" t="inlineStr">
        <is>
          <t>Handphone Operational untuk Secretary (Yufitri)</t>
        </is>
      </c>
      <c r="E1010" s="287" t="inlineStr">
        <is>
          <t>BCA</t>
        </is>
      </c>
      <c r="F1010" s="283" t="n">
        <v>2600000</v>
      </c>
      <c r="G1010" s="291" t="inlineStr">
        <is>
          <t>IDR</t>
        </is>
      </c>
      <c r="H1010" s="292" t="n">
        <v>1</v>
      </c>
      <c r="I1010" s="280" t="n"/>
      <c r="J1010" s="285" t="n"/>
      <c r="K1010" s="279" t="n"/>
      <c r="L1010" s="283" t="n"/>
      <c r="M1010" s="286" t="n"/>
      <c r="N1010" s="286" t="n">
        <v>2600000</v>
      </c>
      <c r="O1010" s="283" t="n"/>
      <c r="P1010" s="285" t="n"/>
      <c r="Q1010" s="287" t="n"/>
      <c r="R1010" s="278" t="n"/>
      <c r="S1010" s="278" t="n"/>
      <c r="T1010" s="278" t="n"/>
      <c r="U1010" s="278" t="n"/>
      <c r="V1010" s="278" t="n"/>
      <c r="W1010" s="278" t="n"/>
      <c r="X1010" s="278" t="n"/>
      <c r="Y1010" s="278" t="n"/>
      <c r="Z1010" s="278" t="n"/>
      <c r="AA1010" s="278" t="n"/>
      <c r="AB1010" s="278" t="n"/>
      <c r="AC1010" s="278" t="n"/>
      <c r="AD1010" s="278" t="n"/>
    </row>
    <row r="1011" ht="15.5" customHeight="1">
      <c r="B1011" s="279" t="n"/>
      <c r="C1011" s="280" t="n"/>
      <c r="D1011" s="281" t="inlineStr">
        <is>
          <t>Gaji</t>
        </is>
      </c>
      <c r="E1011" s="282" t="n"/>
      <c r="F1011" s="283" t="n"/>
      <c r="G1011" s="280" t="n"/>
      <c r="H1011" s="284" t="n"/>
      <c r="I1011" s="280" t="n"/>
      <c r="J1011" s="285" t="n"/>
      <c r="K1011" s="279" t="n"/>
      <c r="L1011" s="283" t="n"/>
      <c r="M1011" s="286" t="n"/>
      <c r="N1011" s="286" t="n"/>
      <c r="O1011" s="283" t="n"/>
      <c r="P1011" s="285" t="n"/>
      <c r="Q1011" s="287" t="n"/>
      <c r="R1011" s="278" t="n"/>
      <c r="S1011" s="278" t="n"/>
      <c r="T1011" s="278" t="n"/>
      <c r="U1011" s="278" t="n"/>
      <c r="V1011" s="278" t="n"/>
      <c r="W1011" s="278" t="n"/>
      <c r="X1011" s="278" t="n"/>
      <c r="Y1011" s="278" t="n"/>
      <c r="Z1011" s="278" t="n"/>
      <c r="AA1011" s="278" t="n"/>
      <c r="AB1011" s="278" t="n"/>
      <c r="AC1011" s="278" t="n"/>
      <c r="AD1011" s="278" t="n"/>
    </row>
    <row r="1012" ht="15.5" customHeight="1">
      <c r="B1012" s="288" t="n">
        <v>45323</v>
      </c>
      <c r="C1012" s="289" t="n">
        <v>7</v>
      </c>
      <c r="D1012" s="290" t="inlineStr">
        <is>
          <t>Gaji Januari 2024 _Yufitri</t>
        </is>
      </c>
      <c r="E1012" s="287" t="inlineStr">
        <is>
          <t>BCA</t>
        </is>
      </c>
      <c r="F1012" s="283" t="n">
        <v>2500000</v>
      </c>
      <c r="G1012" s="291" t="inlineStr">
        <is>
          <t>IDR</t>
        </is>
      </c>
      <c r="H1012" s="292" t="n">
        <v>1</v>
      </c>
      <c r="I1012" s="280" t="n"/>
      <c r="J1012" s="285" t="n"/>
      <c r="K1012" s="279" t="n"/>
      <c r="L1012" s="283" t="n">
        <v>2500000</v>
      </c>
      <c r="M1012" s="286" t="n"/>
      <c r="N1012" s="286" t="n"/>
      <c r="O1012" s="283" t="n"/>
      <c r="P1012" s="285" t="n"/>
      <c r="Q1012" s="287" t="n"/>
      <c r="R1012" s="278" t="n"/>
      <c r="S1012" s="278" t="n"/>
      <c r="T1012" s="278" t="n"/>
      <c r="U1012" s="278" t="n"/>
      <c r="V1012" s="278" t="n"/>
      <c r="W1012" s="278" t="n"/>
      <c r="X1012" s="278" t="n"/>
      <c r="Y1012" s="278" t="n"/>
      <c r="Z1012" s="278" t="n"/>
      <c r="AA1012" s="278" t="n"/>
      <c r="AB1012" s="278" t="n"/>
      <c r="AC1012" s="278" t="n"/>
      <c r="AD1012" s="278" t="n"/>
    </row>
    <row r="1013" ht="15.5" customHeight="1">
      <c r="B1013" s="288" t="n">
        <v>45356</v>
      </c>
      <c r="C1013" s="289" t="n">
        <v>8</v>
      </c>
      <c r="D1013" s="290" t="inlineStr">
        <is>
          <t>Gaji Februari 2024 + raple gaji Januari 2024_Yufitri</t>
        </is>
      </c>
      <c r="E1013" s="287" t="inlineStr">
        <is>
          <t>BCA</t>
        </is>
      </c>
      <c r="F1013" s="283" t="n">
        <v>3500000</v>
      </c>
      <c r="G1013" s="291" t="inlineStr">
        <is>
          <t>IDR</t>
        </is>
      </c>
      <c r="H1013" s="292" t="n">
        <v>1</v>
      </c>
      <c r="I1013" s="280" t="n"/>
      <c r="J1013" s="285" t="n"/>
      <c r="K1013" s="279" t="n"/>
      <c r="L1013" s="283" t="n">
        <v>3500000</v>
      </c>
      <c r="M1013" s="286" t="n"/>
      <c r="N1013" s="286" t="n"/>
      <c r="O1013" s="283" t="n"/>
      <c r="P1013" s="285" t="n"/>
      <c r="Q1013" s="287" t="n"/>
      <c r="R1013" s="278" t="n"/>
      <c r="S1013" s="278" t="n"/>
      <c r="T1013" s="278" t="n"/>
      <c r="U1013" s="278" t="n"/>
      <c r="V1013" s="278" t="n"/>
      <c r="W1013" s="278" t="n"/>
      <c r="X1013" s="278" t="n"/>
      <c r="Y1013" s="278" t="n"/>
      <c r="Z1013" s="278" t="n"/>
      <c r="AA1013" s="278" t="n"/>
      <c r="AB1013" s="278" t="n"/>
      <c r="AC1013" s="278" t="n"/>
      <c r="AD1013" s="278" t="n"/>
    </row>
    <row r="1014" ht="15.5" customHeight="1">
      <c r="B1014" s="288" t="n">
        <v>45379</v>
      </c>
      <c r="C1014" s="289" t="n">
        <v>9</v>
      </c>
      <c r="D1014" s="290" t="inlineStr">
        <is>
          <t>Gaji Maret 2024_Yufitri</t>
        </is>
      </c>
      <c r="E1014" s="287" t="inlineStr">
        <is>
          <t>BCA</t>
        </is>
      </c>
      <c r="F1014" s="283" t="n">
        <v>3000000</v>
      </c>
      <c r="G1014" s="291" t="inlineStr">
        <is>
          <t>IDR</t>
        </is>
      </c>
      <c r="H1014" s="292" t="n">
        <v>1</v>
      </c>
      <c r="I1014" s="280" t="n"/>
      <c r="J1014" s="285" t="n"/>
      <c r="K1014" s="279" t="n"/>
      <c r="L1014" s="283" t="n">
        <v>3000000</v>
      </c>
      <c r="M1014" s="286" t="n"/>
      <c r="N1014" s="286" t="n"/>
      <c r="O1014" s="283" t="n"/>
      <c r="P1014" s="285" t="n"/>
      <c r="Q1014" s="287" t="n"/>
      <c r="R1014" s="278" t="n"/>
      <c r="S1014" s="278" t="n"/>
      <c r="T1014" s="278" t="n"/>
      <c r="U1014" s="278" t="n"/>
      <c r="V1014" s="278" t="n"/>
      <c r="W1014" s="278" t="n"/>
      <c r="X1014" s="278" t="n"/>
      <c r="Y1014" s="278" t="n"/>
      <c r="Z1014" s="278" t="n"/>
      <c r="AA1014" s="278" t="n"/>
      <c r="AB1014" s="278" t="n"/>
      <c r="AC1014" s="278" t="n"/>
      <c r="AD1014" s="278" t="n"/>
    </row>
    <row r="1015" ht="15.5" customHeight="1">
      <c r="B1015" s="288" t="n">
        <v>45416</v>
      </c>
      <c r="C1015" s="289" t="n">
        <v>10</v>
      </c>
      <c r="D1015" s="290" t="inlineStr">
        <is>
          <t>Gaji April_Yufitri</t>
        </is>
      </c>
      <c r="E1015" s="287" t="inlineStr">
        <is>
          <t>BCA</t>
        </is>
      </c>
      <c r="F1015" s="283" t="n">
        <v>3000000</v>
      </c>
      <c r="G1015" s="291" t="inlineStr">
        <is>
          <t>IDR</t>
        </is>
      </c>
      <c r="H1015" s="292" t="n">
        <v>1</v>
      </c>
      <c r="I1015" s="280" t="n"/>
      <c r="J1015" s="285" t="n"/>
      <c r="K1015" s="279" t="n"/>
      <c r="L1015" s="283" t="n">
        <v>3000000</v>
      </c>
      <c r="M1015" s="286" t="n"/>
      <c r="N1015" s="286" t="n"/>
      <c r="O1015" s="283" t="n"/>
      <c r="P1015" s="285" t="n"/>
      <c r="Q1015" s="287" t="n"/>
      <c r="R1015" s="278" t="n"/>
      <c r="S1015" s="278" t="n"/>
      <c r="T1015" s="278" t="n"/>
      <c r="U1015" s="278" t="n"/>
      <c r="V1015" s="278" t="n"/>
      <c r="W1015" s="278" t="n"/>
      <c r="X1015" s="278" t="n"/>
      <c r="Y1015" s="278" t="n"/>
      <c r="Z1015" s="278" t="n"/>
      <c r="AA1015" s="278" t="n"/>
      <c r="AB1015" s="278" t="n"/>
      <c r="AC1015" s="278" t="n"/>
      <c r="AD1015" s="278" t="n"/>
    </row>
    <row r="1016" ht="15.5" customHeight="1">
      <c r="B1016" s="288" t="n">
        <v>45446</v>
      </c>
      <c r="C1016" s="289" t="n">
        <v>11</v>
      </c>
      <c r="D1016" s="290" t="inlineStr">
        <is>
          <t>Gaji Mei_Yufitri</t>
        </is>
      </c>
      <c r="E1016" s="287" t="inlineStr">
        <is>
          <t>BCA</t>
        </is>
      </c>
      <c r="F1016" s="283" t="n">
        <v>3000000</v>
      </c>
      <c r="G1016" s="291" t="inlineStr">
        <is>
          <t>IDR</t>
        </is>
      </c>
      <c r="H1016" s="292" t="n">
        <v>1</v>
      </c>
      <c r="I1016" s="280" t="n"/>
      <c r="J1016" s="285" t="n"/>
      <c r="K1016" s="279" t="n"/>
      <c r="L1016" s="283" t="n">
        <v>3000000</v>
      </c>
      <c r="M1016" s="286" t="n"/>
      <c r="N1016" s="286" t="n"/>
      <c r="O1016" s="283" t="n"/>
      <c r="P1016" s="285" t="n"/>
      <c r="Q1016" s="287" t="n"/>
      <c r="R1016" s="278" t="n"/>
      <c r="S1016" s="278" t="n"/>
      <c r="T1016" s="278" t="n"/>
      <c r="U1016" s="278" t="n"/>
      <c r="V1016" s="278" t="n"/>
      <c r="W1016" s="278" t="n"/>
      <c r="X1016" s="278" t="n"/>
      <c r="Y1016" s="278" t="n"/>
      <c r="Z1016" s="278" t="n"/>
      <c r="AA1016" s="278" t="n"/>
      <c r="AB1016" s="278" t="n"/>
      <c r="AC1016" s="278" t="n"/>
      <c r="AD1016" s="278" t="n"/>
    </row>
    <row r="1017" ht="15.5" customHeight="1">
      <c r="B1017" s="288" t="n">
        <v>45473</v>
      </c>
      <c r="C1017" s="289" t="n">
        <v>12</v>
      </c>
      <c r="D1017" s="290" t="inlineStr">
        <is>
          <t>Gaji Juni 2024_Yufitri</t>
        </is>
      </c>
      <c r="E1017" s="287" t="inlineStr">
        <is>
          <t>BCA</t>
        </is>
      </c>
      <c r="F1017" s="283" t="n">
        <v>3000000</v>
      </c>
      <c r="G1017" s="291" t="inlineStr">
        <is>
          <t>IDR</t>
        </is>
      </c>
      <c r="H1017" s="292" t="n">
        <v>1</v>
      </c>
      <c r="I1017" s="280" t="n"/>
      <c r="J1017" s="285" t="n"/>
      <c r="K1017" s="279" t="n"/>
      <c r="L1017" s="283" t="n">
        <v>3000000</v>
      </c>
      <c r="M1017" s="286" t="n"/>
      <c r="N1017" s="286" t="n"/>
      <c r="O1017" s="283" t="n"/>
      <c r="P1017" s="285" t="n"/>
      <c r="Q1017" s="287" t="n"/>
      <c r="R1017" s="278" t="n"/>
      <c r="S1017" s="278" t="n"/>
      <c r="T1017" s="278" t="n"/>
      <c r="U1017" s="278" t="n"/>
      <c r="V1017" s="278" t="n"/>
      <c r="W1017" s="278" t="n"/>
      <c r="X1017" s="278" t="n"/>
      <c r="Y1017" s="278" t="n"/>
      <c r="Z1017" s="278" t="n"/>
      <c r="AA1017" s="278" t="n"/>
      <c r="AB1017" s="278" t="n"/>
      <c r="AC1017" s="278" t="n"/>
      <c r="AD1017" s="278" t="n"/>
    </row>
    <row r="1018" ht="15.5" customHeight="1">
      <c r="B1018" s="288" t="n">
        <v>45501</v>
      </c>
      <c r="C1018" s="289" t="n">
        <v>13</v>
      </c>
      <c r="D1018" s="290" t="inlineStr">
        <is>
          <t>Gaji Juli 2024_Yufitri</t>
        </is>
      </c>
      <c r="E1018" s="287" t="inlineStr">
        <is>
          <t>BCA</t>
        </is>
      </c>
      <c r="F1018" s="283" t="n">
        <v>3000000</v>
      </c>
      <c r="G1018" s="291" t="inlineStr">
        <is>
          <t>IDR</t>
        </is>
      </c>
      <c r="H1018" s="292" t="n">
        <v>1</v>
      </c>
      <c r="I1018" s="280" t="n"/>
      <c r="J1018" s="285" t="n"/>
      <c r="K1018" s="279" t="n"/>
      <c r="L1018" s="283" t="n">
        <v>3000000</v>
      </c>
      <c r="M1018" s="286" t="n"/>
      <c r="N1018" s="286" t="n"/>
      <c r="O1018" s="283" t="n"/>
      <c r="P1018" s="285" t="n"/>
      <c r="Q1018" s="287" t="n"/>
      <c r="R1018" s="278" t="n"/>
      <c r="S1018" s="278" t="n"/>
      <c r="T1018" s="278" t="n"/>
      <c r="U1018" s="278" t="n"/>
      <c r="V1018" s="278" t="n"/>
      <c r="W1018" s="278" t="n"/>
      <c r="X1018" s="278" t="n"/>
      <c r="Y1018" s="278" t="n"/>
      <c r="Z1018" s="278" t="n"/>
      <c r="AA1018" s="278" t="n"/>
      <c r="AB1018" s="278" t="n"/>
      <c r="AC1018" s="278" t="n"/>
      <c r="AD1018" s="278" t="n"/>
    </row>
    <row r="1019" ht="15.5" customHeight="1">
      <c r="B1019" s="288" t="n">
        <v>45535</v>
      </c>
      <c r="C1019" s="289" t="n">
        <v>14</v>
      </c>
      <c r="D1019" s="290" t="inlineStr">
        <is>
          <t>Gaji Agustus 2024_Yufitri</t>
        </is>
      </c>
      <c r="E1019" s="287" t="inlineStr">
        <is>
          <t>BCA</t>
        </is>
      </c>
      <c r="F1019" s="283" t="n">
        <v>3000000</v>
      </c>
      <c r="G1019" s="291" t="inlineStr">
        <is>
          <t>IDR</t>
        </is>
      </c>
      <c r="H1019" s="292" t="n">
        <v>1</v>
      </c>
      <c r="I1019" s="280" t="n"/>
      <c r="J1019" s="285" t="n"/>
      <c r="K1019" s="279" t="n"/>
      <c r="L1019" s="283" t="n">
        <v>3000000</v>
      </c>
      <c r="M1019" s="286" t="n"/>
      <c r="N1019" s="286" t="n"/>
      <c r="O1019" s="283" t="n"/>
      <c r="P1019" s="285" t="n"/>
      <c r="Q1019" s="287" t="n"/>
      <c r="R1019" s="278" t="n"/>
      <c r="S1019" s="278" t="n"/>
      <c r="T1019" s="278" t="n"/>
      <c r="U1019" s="278" t="n"/>
      <c r="V1019" s="278" t="n"/>
      <c r="W1019" s="278" t="n"/>
      <c r="X1019" s="278" t="n"/>
      <c r="Y1019" s="278" t="n"/>
      <c r="Z1019" s="278" t="n"/>
      <c r="AA1019" s="278" t="n"/>
      <c r="AB1019" s="278" t="n"/>
      <c r="AC1019" s="278" t="n"/>
      <c r="AD1019" s="278" t="n"/>
    </row>
    <row r="1020" ht="15.5" customHeight="1">
      <c r="B1020" s="288" t="n">
        <v>45568</v>
      </c>
      <c r="C1020" s="289" t="n">
        <v>15</v>
      </c>
      <c r="D1020" s="290" t="inlineStr">
        <is>
          <t>Gaji fitri bulan september 2024</t>
        </is>
      </c>
      <c r="E1020" s="287" t="inlineStr">
        <is>
          <t>BRI</t>
        </is>
      </c>
      <c r="F1020" s="283" t="n">
        <v>3000000</v>
      </c>
      <c r="G1020" s="291" t="inlineStr">
        <is>
          <t>IDR</t>
        </is>
      </c>
      <c r="H1020" s="292" t="n">
        <v>1</v>
      </c>
      <c r="I1020" s="280" t="n"/>
      <c r="J1020" s="285" t="n"/>
      <c r="K1020" s="279" t="n"/>
      <c r="L1020" s="283" t="n">
        <v>3000000</v>
      </c>
      <c r="M1020" s="286" t="n"/>
      <c r="N1020" s="286" t="n"/>
      <c r="O1020" s="283" t="n"/>
      <c r="P1020" s="285" t="n"/>
      <c r="Q1020" s="287" t="n"/>
      <c r="R1020" s="278" t="n"/>
      <c r="S1020" s="278" t="n"/>
      <c r="T1020" s="278" t="n"/>
      <c r="U1020" s="278" t="n"/>
      <c r="V1020" s="278" t="n"/>
      <c r="W1020" s="278" t="n"/>
      <c r="X1020" s="278" t="n"/>
      <c r="Y1020" s="278" t="n"/>
      <c r="Z1020" s="278" t="n"/>
      <c r="AA1020" s="278" t="n"/>
      <c r="AB1020" s="278" t="n"/>
      <c r="AC1020" s="278" t="n"/>
      <c r="AD1020" s="278" t="n"/>
    </row>
    <row r="1021" ht="15.5" customHeight="1">
      <c r="B1021" s="288" t="n">
        <v>45568</v>
      </c>
      <c r="C1021" s="289" t="n">
        <v>16</v>
      </c>
      <c r="D1021" s="290" t="inlineStr">
        <is>
          <t>Gaji fitri bulan October 2024</t>
        </is>
      </c>
      <c r="E1021" s="287" t="inlineStr">
        <is>
          <t>BRI</t>
        </is>
      </c>
      <c r="F1021" s="283" t="n">
        <v>3000000</v>
      </c>
      <c r="G1021" s="291" t="inlineStr">
        <is>
          <t>IDR</t>
        </is>
      </c>
      <c r="H1021" s="292" t="n">
        <v>1</v>
      </c>
      <c r="I1021" s="280" t="n"/>
      <c r="J1021" s="285" t="n"/>
      <c r="K1021" s="279" t="n"/>
      <c r="L1021" s="283" t="n">
        <v>3000000</v>
      </c>
      <c r="M1021" s="286" t="n"/>
      <c r="N1021" s="286" t="n"/>
      <c r="O1021" s="283" t="n"/>
      <c r="P1021" s="285" t="n"/>
      <c r="Q1021" s="287" t="n"/>
      <c r="R1021" s="278" t="n"/>
      <c r="S1021" s="278" t="n"/>
      <c r="T1021" s="278" t="n"/>
      <c r="U1021" s="278" t="n"/>
      <c r="V1021" s="278" t="n"/>
      <c r="W1021" s="278" t="n"/>
      <c r="X1021" s="278" t="n"/>
      <c r="Y1021" s="278" t="n"/>
      <c r="Z1021" s="278" t="n"/>
      <c r="AA1021" s="278" t="n"/>
      <c r="AB1021" s="278" t="n"/>
      <c r="AC1021" s="278" t="n"/>
      <c r="AD1021" s="278" t="n"/>
    </row>
    <row r="1022" ht="15.5" customHeight="1">
      <c r="B1022" s="288" t="n">
        <v>45625</v>
      </c>
      <c r="C1022" s="289" t="n">
        <v>17</v>
      </c>
      <c r="D1022" s="290" t="inlineStr">
        <is>
          <t>Gaji fitri bulan November 2024</t>
        </is>
      </c>
      <c r="E1022" s="287" t="inlineStr">
        <is>
          <t>BRI</t>
        </is>
      </c>
      <c r="F1022" s="283" t="n">
        <v>3000000</v>
      </c>
      <c r="G1022" s="291" t="inlineStr">
        <is>
          <t>IDR</t>
        </is>
      </c>
      <c r="H1022" s="292" t="n">
        <v>1</v>
      </c>
      <c r="I1022" s="280" t="n"/>
      <c r="J1022" s="285" t="n"/>
      <c r="K1022" s="279" t="n"/>
      <c r="L1022" s="283" t="n">
        <v>3000000</v>
      </c>
      <c r="M1022" s="286" t="n"/>
      <c r="N1022" s="286" t="n"/>
      <c r="O1022" s="283" t="n"/>
      <c r="P1022" s="285" t="n"/>
      <c r="Q1022" s="287" t="n"/>
      <c r="R1022" s="278" t="n"/>
      <c r="S1022" s="278" t="n"/>
      <c r="T1022" s="278" t="n"/>
      <c r="U1022" s="278" t="n"/>
      <c r="V1022" s="278" t="n"/>
      <c r="W1022" s="278" t="n"/>
      <c r="X1022" s="278" t="n"/>
      <c r="Y1022" s="278" t="n"/>
      <c r="Z1022" s="278" t="n"/>
      <c r="AA1022" s="278" t="n"/>
      <c r="AB1022" s="278" t="n"/>
      <c r="AC1022" s="278" t="n"/>
      <c r="AD1022" s="278" t="n"/>
    </row>
    <row r="1023" ht="15.5" customHeight="1">
      <c r="B1023" s="288" t="n">
        <v>45651</v>
      </c>
      <c r="C1023" s="289" t="n">
        <v>18</v>
      </c>
      <c r="D1023" s="290" t="inlineStr">
        <is>
          <t>Gaji Desember 2024 + Bomnus akhir tahun - 4 bulan_Yufitri</t>
        </is>
      </c>
      <c r="E1023" s="287" t="inlineStr">
        <is>
          <t>BCA</t>
        </is>
      </c>
      <c r="F1023" s="283" t="n">
        <v>15000000</v>
      </c>
      <c r="G1023" s="291" t="inlineStr">
        <is>
          <t>IDR</t>
        </is>
      </c>
      <c r="H1023" s="292" t="n">
        <v>1</v>
      </c>
      <c r="I1023" s="280" t="n"/>
      <c r="J1023" s="285" t="n"/>
      <c r="K1023" s="279" t="n"/>
      <c r="L1023" s="283" t="n">
        <v>15000000</v>
      </c>
      <c r="M1023" s="286" t="n"/>
      <c r="N1023" s="286" t="n"/>
      <c r="O1023" s="283" t="n"/>
      <c r="P1023" s="285" t="n"/>
      <c r="Q1023" s="287" t="n"/>
      <c r="R1023" s="278" t="n"/>
      <c r="S1023" s="278" t="n"/>
      <c r="T1023" s="278" t="n"/>
      <c r="U1023" s="278" t="n"/>
      <c r="V1023" s="278" t="n"/>
      <c r="W1023" s="278" t="n"/>
      <c r="X1023" s="278" t="n"/>
      <c r="Y1023" s="278" t="n"/>
      <c r="Z1023" s="278" t="n"/>
      <c r="AA1023" s="278" t="n"/>
      <c r="AB1023" s="278" t="n"/>
      <c r="AC1023" s="278" t="n"/>
      <c r="AD1023" s="278" t="n"/>
    </row>
    <row r="1024" ht="15.5" customHeight="1">
      <c r="B1024" s="279" t="n"/>
      <c r="C1024" s="280" t="n"/>
      <c r="D1024" s="281" t="inlineStr">
        <is>
          <t>Hand Tools</t>
        </is>
      </c>
      <c r="E1024" s="282" t="n"/>
      <c r="F1024" s="283" t="n"/>
      <c r="G1024" s="280" t="n"/>
      <c r="H1024" s="284" t="n"/>
      <c r="I1024" s="280" t="n"/>
      <c r="J1024" s="285" t="n"/>
      <c r="K1024" s="279" t="n"/>
      <c r="L1024" s="283" t="n"/>
      <c r="M1024" s="286" t="n"/>
      <c r="N1024" s="286" t="n"/>
      <c r="O1024" s="283" t="n"/>
      <c r="P1024" s="285" t="n"/>
      <c r="Q1024" s="287" t="n"/>
      <c r="R1024" s="278" t="n"/>
      <c r="S1024" s="278" t="n"/>
      <c r="T1024" s="278" t="n"/>
      <c r="U1024" s="278" t="n"/>
      <c r="V1024" s="278" t="n"/>
      <c r="W1024" s="278" t="n"/>
      <c r="X1024" s="278" t="n"/>
      <c r="Y1024" s="278" t="n"/>
      <c r="Z1024" s="278" t="n"/>
      <c r="AA1024" s="278" t="n"/>
      <c r="AB1024" s="278" t="n"/>
      <c r="AC1024" s="278" t="n"/>
      <c r="AD1024" s="278" t="n"/>
    </row>
    <row r="1025" ht="15.5" customHeight="1">
      <c r="B1025" s="288" t="n">
        <v>45473</v>
      </c>
      <c r="C1025" s="289" t="n">
        <v>19</v>
      </c>
      <c r="D1025" s="290" t="inlineStr">
        <is>
          <t>Downhole Sampling tool #1-1 GARINDO SARANA BARU</t>
        </is>
      </c>
      <c r="E1025" s="287" t="inlineStr">
        <is>
          <t>BCA</t>
        </is>
      </c>
      <c r="F1025" s="283" t="n">
        <v>39800000</v>
      </c>
      <c r="G1025" s="291" t="inlineStr">
        <is>
          <t>IDR</t>
        </is>
      </c>
      <c r="H1025" s="292" t="n">
        <v>1</v>
      </c>
      <c r="I1025" s="280" t="n"/>
      <c r="J1025" s="285" t="n"/>
      <c r="K1025" s="279" t="n"/>
      <c r="L1025" s="283" t="n"/>
      <c r="M1025" s="286" t="n"/>
      <c r="N1025" s="286" t="n">
        <v>39800000</v>
      </c>
      <c r="O1025" s="283" t="n"/>
      <c r="P1025" s="285" t="n"/>
      <c r="Q1025" s="287" t="n"/>
      <c r="R1025" s="278" t="n"/>
      <c r="S1025" s="278" t="n"/>
      <c r="T1025" s="278" t="n"/>
      <c r="U1025" s="278" t="n"/>
      <c r="V1025" s="278" t="n"/>
      <c r="W1025" s="278" t="n"/>
      <c r="X1025" s="278" t="n"/>
      <c r="Y1025" s="278" t="n"/>
      <c r="Z1025" s="278" t="n"/>
      <c r="AA1025" s="278" t="n"/>
      <c r="AB1025" s="278" t="n"/>
      <c r="AC1025" s="278" t="n"/>
      <c r="AD1025" s="278" t="n"/>
    </row>
    <row r="1026" ht="15.5" customHeight="1">
      <c r="B1026" s="288" t="n">
        <v>45519</v>
      </c>
      <c r="C1026" s="289" t="n">
        <v>20</v>
      </c>
      <c r="D1026" s="290" t="inlineStr">
        <is>
          <t>Downhole Sampling tool #1-2 GARINDO SARANA BARU</t>
        </is>
      </c>
      <c r="E1026" s="287" t="inlineStr">
        <is>
          <t>BCA</t>
        </is>
      </c>
      <c r="F1026" s="283" t="n">
        <v>53835000</v>
      </c>
      <c r="G1026" s="291" t="inlineStr">
        <is>
          <t>IDR</t>
        </is>
      </c>
      <c r="H1026" s="292" t="n">
        <v>1</v>
      </c>
      <c r="I1026" s="280" t="n"/>
      <c r="J1026" s="285" t="n"/>
      <c r="K1026" s="279" t="n"/>
      <c r="L1026" s="283" t="n"/>
      <c r="M1026" s="286" t="n"/>
      <c r="N1026" s="286" t="n">
        <v>53835000</v>
      </c>
      <c r="O1026" s="283" t="n"/>
      <c r="P1026" s="285" t="n"/>
      <c r="Q1026" s="287" t="n"/>
      <c r="R1026" s="278" t="n"/>
      <c r="S1026" s="278" t="n"/>
      <c r="T1026" s="278" t="n"/>
      <c r="U1026" s="278" t="n"/>
      <c r="V1026" s="278" t="n"/>
      <c r="W1026" s="278" t="n"/>
      <c r="X1026" s="278" t="n"/>
      <c r="Y1026" s="278" t="n"/>
      <c r="Z1026" s="278" t="n"/>
      <c r="AA1026" s="278" t="n"/>
      <c r="AB1026" s="278" t="n"/>
      <c r="AC1026" s="278" t="n"/>
      <c r="AD1026" s="278" t="n"/>
    </row>
    <row r="1027" ht="15.5" customHeight="1">
      <c r="B1027" s="288" t="n">
        <v>45556</v>
      </c>
      <c r="C1027" s="289" t="n">
        <v>21</v>
      </c>
      <c r="D1027" s="290" t="inlineStr">
        <is>
          <t>Downhole Sampling tool #2 GARINDO SARANA BARU</t>
        </is>
      </c>
      <c r="E1027" s="287" t="inlineStr">
        <is>
          <t>BCA</t>
        </is>
      </c>
      <c r="F1027" s="283" t="n">
        <v>34299000</v>
      </c>
      <c r="G1027" s="291" t="inlineStr">
        <is>
          <t>IDR</t>
        </is>
      </c>
      <c r="H1027" s="292" t="n">
        <v>1</v>
      </c>
      <c r="I1027" s="280" t="n"/>
      <c r="J1027" s="285" t="n"/>
      <c r="K1027" s="279" t="n"/>
      <c r="L1027" s="283" t="n"/>
      <c r="M1027" s="286" t="n"/>
      <c r="N1027" s="286" t="n">
        <v>34299000</v>
      </c>
      <c r="O1027" s="283" t="n"/>
      <c r="P1027" s="285" t="n"/>
      <c r="Q1027" s="287" t="n"/>
      <c r="R1027" s="278" t="n"/>
      <c r="S1027" s="278" t="n"/>
      <c r="T1027" s="278" t="n"/>
      <c r="U1027" s="278" t="n"/>
      <c r="V1027" s="278" t="n"/>
      <c r="W1027" s="278" t="n"/>
      <c r="X1027" s="278" t="n"/>
      <c r="Y1027" s="278" t="n"/>
      <c r="Z1027" s="278" t="n"/>
      <c r="AA1027" s="278" t="n"/>
      <c r="AB1027" s="278" t="n"/>
      <c r="AC1027" s="278" t="n"/>
      <c r="AD1027" s="278" t="n"/>
    </row>
    <row r="1028" ht="15.5" customHeight="1">
      <c r="B1028" s="279" t="n"/>
      <c r="C1028" s="280" t="n"/>
      <c r="D1028" s="281" t="inlineStr">
        <is>
          <t>Meal</t>
        </is>
      </c>
      <c r="E1028" s="282" t="n"/>
      <c r="F1028" s="283" t="n"/>
      <c r="G1028" s="280" t="n"/>
      <c r="H1028" s="284" t="n"/>
      <c r="I1028" s="280" t="n"/>
      <c r="J1028" s="285" t="n"/>
      <c r="K1028" s="279" t="n"/>
      <c r="L1028" s="283" t="n"/>
      <c r="M1028" s="286" t="n"/>
      <c r="N1028" s="286" t="n"/>
      <c r="O1028" s="283" t="n"/>
      <c r="P1028" s="285" t="n"/>
      <c r="Q1028" s="287" t="n"/>
      <c r="R1028" s="278" t="n"/>
      <c r="S1028" s="278" t="n"/>
      <c r="T1028" s="278" t="n"/>
      <c r="U1028" s="278" t="n"/>
      <c r="V1028" s="278" t="n"/>
      <c r="W1028" s="278" t="n"/>
      <c r="X1028" s="278" t="n"/>
      <c r="Y1028" s="278" t="n"/>
      <c r="Z1028" s="278" t="n"/>
      <c r="AA1028" s="278" t="n"/>
      <c r="AB1028" s="278" t="n"/>
      <c r="AC1028" s="278" t="n"/>
      <c r="AD1028" s="278" t="n"/>
    </row>
    <row r="1029" ht="15.5" customHeight="1">
      <c r="B1029" s="288" t="n">
        <v>45644</v>
      </c>
      <c r="C1029" s="289" t="n">
        <v>22</v>
      </c>
      <c r="D1029" s="290" t="inlineStr">
        <is>
          <t>Team building EWI dengan team Well Intervention PEP Reg. 2</t>
        </is>
      </c>
      <c r="E1029" s="287" t="inlineStr">
        <is>
          <t>BCA</t>
        </is>
      </c>
      <c r="F1029" s="283" t="n">
        <v>39201350</v>
      </c>
      <c r="G1029" s="291" t="inlineStr">
        <is>
          <t>IDR</t>
        </is>
      </c>
      <c r="H1029" s="292" t="n">
        <v>1</v>
      </c>
      <c r="I1029" s="280" t="n"/>
      <c r="J1029" s="285" t="n"/>
      <c r="K1029" s="279" t="n"/>
      <c r="L1029" s="283" t="n">
        <v>39201350</v>
      </c>
      <c r="M1029" s="286" t="n"/>
      <c r="N1029" s="286" t="n"/>
      <c r="O1029" s="283" t="n"/>
      <c r="P1029" s="285" t="n"/>
      <c r="Q1029" s="287" t="n"/>
      <c r="R1029" s="278" t="n"/>
      <c r="S1029" s="278" t="n"/>
      <c r="T1029" s="278" t="n"/>
      <c r="U1029" s="278" t="n"/>
      <c r="V1029" s="278" t="n"/>
      <c r="W1029" s="278" t="n"/>
      <c r="X1029" s="278" t="n"/>
      <c r="Y1029" s="278" t="n"/>
      <c r="Z1029" s="278" t="n"/>
      <c r="AA1029" s="278" t="n"/>
      <c r="AB1029" s="278" t="n"/>
      <c r="AC1029" s="278" t="n"/>
      <c r="AD1029" s="278" t="n"/>
    </row>
    <row r="1030" ht="15.5" customHeight="1">
      <c r="B1030" s="279" t="n"/>
      <c r="C1030" s="280" t="n"/>
      <c r="D1030" s="281" t="inlineStr">
        <is>
          <t>Modal Kerja</t>
        </is>
      </c>
      <c r="E1030" s="282" t="n"/>
      <c r="F1030" s="283" t="n"/>
      <c r="G1030" s="280" t="n"/>
      <c r="H1030" s="284" t="n"/>
      <c r="I1030" s="280" t="n"/>
      <c r="J1030" s="285" t="n"/>
      <c r="K1030" s="279" t="n"/>
      <c r="L1030" s="283" t="n"/>
      <c r="M1030" s="286" t="n"/>
      <c r="N1030" s="286" t="n"/>
      <c r="O1030" s="283" t="n"/>
      <c r="P1030" s="285" t="n"/>
      <c r="Q1030" s="287" t="n"/>
      <c r="R1030" s="278" t="n"/>
      <c r="S1030" s="278" t="n"/>
      <c r="T1030" s="278" t="n"/>
      <c r="U1030" s="278" t="n"/>
      <c r="V1030" s="278" t="n"/>
      <c r="W1030" s="278" t="n"/>
      <c r="X1030" s="278" t="n"/>
      <c r="Y1030" s="278" t="n"/>
      <c r="Z1030" s="278" t="n"/>
      <c r="AA1030" s="278" t="n"/>
      <c r="AB1030" s="278" t="n"/>
      <c r="AC1030" s="278" t="n"/>
      <c r="AD1030" s="278" t="n"/>
    </row>
    <row r="1031" ht="15.5" customHeight="1">
      <c r="B1031" s="288" t="n">
        <v>45483</v>
      </c>
      <c r="C1031" s="289" t="n">
        <v>23</v>
      </c>
      <c r="D1031" s="290" t="inlineStr">
        <is>
          <t>Pembelian Lisence Sonoechometer to PT Weebz Mandiri</t>
        </is>
      </c>
      <c r="E1031" s="287" t="inlineStr">
        <is>
          <t>BCA</t>
        </is>
      </c>
      <c r="F1031" s="283" t="n">
        <v>16650000</v>
      </c>
      <c r="G1031" s="291" t="inlineStr">
        <is>
          <t>IDR</t>
        </is>
      </c>
      <c r="H1031" s="292" t="n">
        <v>1</v>
      </c>
      <c r="I1031" s="280" t="n"/>
      <c r="J1031" s="285" t="n"/>
      <c r="K1031" s="279" t="n"/>
      <c r="L1031" s="283" t="n"/>
      <c r="M1031" s="286" t="n"/>
      <c r="N1031" s="286" t="n"/>
      <c r="O1031" s="283" t="n"/>
      <c r="P1031" s="285" t="n"/>
      <c r="Q1031" s="293" t="n">
        <v>16650000</v>
      </c>
      <c r="R1031" s="278" t="n"/>
      <c r="S1031" s="278" t="n"/>
      <c r="T1031" s="278" t="n"/>
      <c r="U1031" s="278" t="n"/>
      <c r="V1031" s="278" t="n"/>
      <c r="W1031" s="278" t="n"/>
      <c r="X1031" s="278" t="n"/>
      <c r="Y1031" s="278" t="n"/>
      <c r="Z1031" s="278" t="n"/>
      <c r="AA1031" s="278" t="n"/>
      <c r="AB1031" s="278" t="n"/>
      <c r="AC1031" s="278" t="n"/>
      <c r="AD1031" s="278" t="n"/>
    </row>
    <row r="1032" ht="15.5" customHeight="1">
      <c r="B1032" s="288" t="n">
        <v>45519</v>
      </c>
      <c r="C1032" s="289" t="n">
        <v>24</v>
      </c>
      <c r="D1032" s="290" t="inlineStr">
        <is>
          <t>MUTRI | Sewa ruangan kantor BBC 2 bulan</t>
        </is>
      </c>
      <c r="E1032" s="287" t="inlineStr">
        <is>
          <t>BCA</t>
        </is>
      </c>
      <c r="F1032" s="283" t="n">
        <v>11270000</v>
      </c>
      <c r="G1032" s="291" t="inlineStr">
        <is>
          <t>IDR</t>
        </is>
      </c>
      <c r="H1032" s="292" t="n">
        <v>1</v>
      </c>
      <c r="I1032" s="280" t="n"/>
      <c r="J1032" s="285" t="n"/>
      <c r="K1032" s="279" t="n"/>
      <c r="L1032" s="283" t="n"/>
      <c r="M1032" s="286" t="n"/>
      <c r="N1032" s="286" t="n"/>
      <c r="O1032" s="283" t="n"/>
      <c r="P1032" s="285" t="n"/>
      <c r="Q1032" s="293" t="n">
        <v>11270000</v>
      </c>
      <c r="R1032" s="278" t="n"/>
      <c r="S1032" s="278" t="n"/>
      <c r="T1032" s="278" t="n"/>
      <c r="U1032" s="278" t="n"/>
      <c r="V1032" s="278" t="n"/>
      <c r="W1032" s="278" t="n"/>
      <c r="X1032" s="278" t="n"/>
      <c r="Y1032" s="278" t="n"/>
      <c r="Z1032" s="278" t="n"/>
      <c r="AA1032" s="278" t="n"/>
      <c r="AB1032" s="278" t="n"/>
      <c r="AC1032" s="278" t="n"/>
      <c r="AD1032" s="278" t="n"/>
    </row>
    <row r="1033" ht="15.5" customHeight="1">
      <c r="B1033" s="288" t="n">
        <v>45539</v>
      </c>
      <c r="C1033" s="289" t="n">
        <v>25</v>
      </c>
      <c r="D1033" s="290" t="inlineStr">
        <is>
          <t>MUTRI | Penambahan modal biaya kerja</t>
        </is>
      </c>
      <c r="E1033" s="287" t="inlineStr">
        <is>
          <t>BRI</t>
        </is>
      </c>
      <c r="F1033" s="283" t="n">
        <v>100000000</v>
      </c>
      <c r="G1033" s="291" t="inlineStr">
        <is>
          <t>IDR</t>
        </is>
      </c>
      <c r="H1033" s="292" t="n">
        <v>1</v>
      </c>
      <c r="I1033" s="280" t="n"/>
      <c r="J1033" s="285" t="n"/>
      <c r="K1033" s="279" t="n"/>
      <c r="L1033" s="283" t="n"/>
      <c r="M1033" s="286" t="n"/>
      <c r="N1033" s="286" t="n"/>
      <c r="O1033" s="283" t="n"/>
      <c r="P1033" s="285" t="n"/>
      <c r="Q1033" s="293" t="n">
        <v>100000000</v>
      </c>
      <c r="R1033" s="278" t="n"/>
      <c r="S1033" s="278" t="n"/>
      <c r="T1033" s="278" t="n"/>
      <c r="U1033" s="278" t="n"/>
      <c r="V1033" s="278" t="n"/>
      <c r="W1033" s="278" t="n"/>
      <c r="X1033" s="278" t="n"/>
      <c r="Y1033" s="278" t="n"/>
      <c r="Z1033" s="278" t="n"/>
      <c r="AA1033" s="278" t="n"/>
      <c r="AB1033" s="278" t="n"/>
      <c r="AC1033" s="278" t="n"/>
      <c r="AD1033" s="278" t="n"/>
    </row>
    <row r="1034" ht="15.5" customHeight="1">
      <c r="B1034" s="288" t="n">
        <v>45625</v>
      </c>
      <c r="C1034" s="289" t="n">
        <v>26</v>
      </c>
      <c r="D1034" s="290" t="inlineStr">
        <is>
          <t>MUTRI | Penambahan modal biaya kerja 3rd</t>
        </is>
      </c>
      <c r="E1034" s="287" t="inlineStr">
        <is>
          <t>BRI</t>
        </is>
      </c>
      <c r="F1034" s="283" t="n">
        <v>75000000</v>
      </c>
      <c r="G1034" s="291" t="inlineStr">
        <is>
          <t>IDR</t>
        </is>
      </c>
      <c r="H1034" s="292" t="n">
        <v>1</v>
      </c>
      <c r="I1034" s="280" t="n"/>
      <c r="J1034" s="285" t="n"/>
      <c r="K1034" s="279" t="n"/>
      <c r="L1034" s="283" t="n"/>
      <c r="M1034" s="286" t="n"/>
      <c r="N1034" s="286" t="n"/>
      <c r="O1034" s="283" t="n"/>
      <c r="P1034" s="285" t="n"/>
      <c r="Q1034" s="293" t="n">
        <v>75000000</v>
      </c>
      <c r="R1034" s="278" t="n"/>
      <c r="S1034" s="278" t="n"/>
      <c r="T1034" s="278" t="n"/>
      <c r="U1034" s="278" t="n"/>
      <c r="V1034" s="278" t="n"/>
      <c r="W1034" s="278" t="n"/>
      <c r="X1034" s="278" t="n"/>
      <c r="Y1034" s="278" t="n"/>
      <c r="Z1034" s="278" t="n"/>
      <c r="AA1034" s="278" t="n"/>
      <c r="AB1034" s="278" t="n"/>
      <c r="AC1034" s="278" t="n"/>
      <c r="AD1034" s="278" t="n"/>
    </row>
    <row r="1035" ht="15.5" customHeight="1">
      <c r="B1035" s="279" t="n"/>
      <c r="C1035" s="280" t="n"/>
      <c r="D1035" s="281" t="inlineStr">
        <is>
          <t>Pembuatan Alat</t>
        </is>
      </c>
      <c r="E1035" s="282" t="n"/>
      <c r="F1035" s="283" t="n"/>
      <c r="G1035" s="280" t="n"/>
      <c r="H1035" s="284" t="n"/>
      <c r="I1035" s="280" t="n"/>
      <c r="J1035" s="285" t="n"/>
      <c r="K1035" s="279" t="n"/>
      <c r="L1035" s="283" t="n"/>
      <c r="M1035" s="286" t="n"/>
      <c r="N1035" s="286" t="n"/>
      <c r="O1035" s="283" t="n"/>
      <c r="P1035" s="285" t="n"/>
      <c r="Q1035" s="287" t="n"/>
      <c r="R1035" s="278" t="n"/>
      <c r="S1035" s="278" t="n"/>
      <c r="T1035" s="278" t="n"/>
      <c r="U1035" s="278" t="n"/>
      <c r="V1035" s="278" t="n"/>
      <c r="W1035" s="278" t="n"/>
      <c r="X1035" s="278" t="n"/>
      <c r="Y1035" s="278" t="n"/>
      <c r="Z1035" s="278" t="n"/>
      <c r="AA1035" s="278" t="n"/>
      <c r="AB1035" s="278" t="n"/>
      <c r="AC1035" s="278" t="n"/>
      <c r="AD1035" s="278" t="n"/>
    </row>
    <row r="1036" ht="15.5" customHeight="1">
      <c r="B1036" s="288" t="n">
        <v>45364</v>
      </c>
      <c r="C1036" s="289" t="n">
        <v>27</v>
      </c>
      <c r="D1036" s="290" t="inlineStr">
        <is>
          <t>Ralika Jaya Utama | Permbuatan alat Downhole Wireless Telemetry</t>
        </is>
      </c>
      <c r="E1036" s="287" t="inlineStr">
        <is>
          <t>BCA</t>
        </is>
      </c>
      <c r="F1036" s="283" t="n">
        <v>100000000</v>
      </c>
      <c r="G1036" s="291" t="inlineStr">
        <is>
          <t>IDR</t>
        </is>
      </c>
      <c r="H1036" s="292" t="n">
        <v>1</v>
      </c>
      <c r="I1036" s="280" t="n"/>
      <c r="J1036" s="283" t="n">
        <v>100000000</v>
      </c>
      <c r="K1036" s="279" t="n"/>
      <c r="L1036" s="283" t="n"/>
      <c r="M1036" s="286" t="n"/>
      <c r="N1036" s="286" t="n"/>
      <c r="O1036" s="283" t="n"/>
      <c r="P1036" s="285" t="n"/>
      <c r="Q1036" s="287" t="n"/>
      <c r="R1036" s="278" t="n"/>
      <c r="S1036" s="278" t="n"/>
      <c r="T1036" s="278" t="n"/>
      <c r="U1036" s="278" t="n"/>
      <c r="V1036" s="278" t="n"/>
      <c r="W1036" s="278" t="n"/>
      <c r="X1036" s="278" t="n"/>
      <c r="Y1036" s="278" t="n"/>
      <c r="Z1036" s="278" t="n"/>
      <c r="AA1036" s="278" t="n"/>
      <c r="AB1036" s="278" t="n"/>
      <c r="AC1036" s="278" t="n"/>
      <c r="AD1036" s="278" t="n"/>
    </row>
    <row r="1037" ht="15.5" customHeight="1">
      <c r="B1037" s="288" t="n">
        <v>45418</v>
      </c>
      <c r="C1037" s="289" t="n">
        <v>28</v>
      </c>
      <c r="D1037" s="290" t="inlineStr">
        <is>
          <t>Ralika Jaya Utama | Permbuatan alat Downhole Wireless Telemetry</t>
        </is>
      </c>
      <c r="E1037" s="287" t="inlineStr">
        <is>
          <t>BRI</t>
        </is>
      </c>
      <c r="F1037" s="283" t="n">
        <v>100000000</v>
      </c>
      <c r="G1037" s="291" t="inlineStr">
        <is>
          <t>IDR</t>
        </is>
      </c>
      <c r="H1037" s="292" t="n">
        <v>1</v>
      </c>
      <c r="I1037" s="280" t="n"/>
      <c r="J1037" s="283" t="n">
        <v>100000000</v>
      </c>
      <c r="K1037" s="279" t="n"/>
      <c r="L1037" s="283" t="n"/>
      <c r="M1037" s="286" t="n"/>
      <c r="N1037" s="286" t="n"/>
      <c r="O1037" s="283" t="n"/>
      <c r="P1037" s="285" t="n"/>
      <c r="Q1037" s="287" t="n"/>
      <c r="R1037" s="278" t="n"/>
      <c r="S1037" s="278" t="n"/>
      <c r="T1037" s="278" t="n"/>
      <c r="U1037" s="278" t="n"/>
      <c r="V1037" s="278" t="n"/>
      <c r="W1037" s="278" t="n"/>
      <c r="X1037" s="278" t="n"/>
      <c r="Y1037" s="278" t="n"/>
      <c r="Z1037" s="278" t="n"/>
      <c r="AA1037" s="278" t="n"/>
      <c r="AB1037" s="278" t="n"/>
      <c r="AC1037" s="278" t="n"/>
      <c r="AD1037" s="278" t="n"/>
    </row>
    <row r="1038" ht="15.5" customHeight="1">
      <c r="B1038" s="288" t="n">
        <v>45502</v>
      </c>
      <c r="C1038" s="289" t="n">
        <v>29</v>
      </c>
      <c r="D1038" s="290" t="inlineStr">
        <is>
          <t>Ralika Jaya Utama | Permbuatan alat injeksi listrik (EAS)</t>
        </is>
      </c>
      <c r="E1038" s="287" t="inlineStr">
        <is>
          <t>BRI</t>
        </is>
      </c>
      <c r="F1038" s="283" t="n">
        <v>100000000</v>
      </c>
      <c r="G1038" s="291" t="inlineStr">
        <is>
          <t>IDR</t>
        </is>
      </c>
      <c r="H1038" s="292" t="n">
        <v>1</v>
      </c>
      <c r="I1038" s="280" t="n"/>
      <c r="J1038" s="283" t="n">
        <v>100000000</v>
      </c>
      <c r="K1038" s="279" t="n"/>
      <c r="L1038" s="283" t="n"/>
      <c r="M1038" s="286" t="n"/>
      <c r="N1038" s="286" t="n"/>
      <c r="O1038" s="283" t="n"/>
      <c r="P1038" s="285" t="n"/>
      <c r="Q1038" s="287" t="n"/>
      <c r="R1038" s="278" t="n"/>
      <c r="S1038" s="278" t="n"/>
      <c r="T1038" s="278" t="n"/>
      <c r="U1038" s="278" t="n"/>
      <c r="V1038" s="278" t="n"/>
      <c r="W1038" s="278" t="n"/>
      <c r="X1038" s="278" t="n"/>
      <c r="Y1038" s="278" t="n"/>
      <c r="Z1038" s="278" t="n"/>
      <c r="AA1038" s="278" t="n"/>
      <c r="AB1038" s="278" t="n"/>
      <c r="AC1038" s="278" t="n"/>
      <c r="AD1038" s="278" t="n"/>
    </row>
    <row r="1039" ht="15.5" customHeight="1">
      <c r="B1039" s="288" t="n">
        <v>45548</v>
      </c>
      <c r="C1039" s="289" t="n">
        <v>30</v>
      </c>
      <c r="D1039" s="290" t="inlineStr">
        <is>
          <t>Ralika Jaya Utama | Permbuatan alat EMR</t>
        </is>
      </c>
      <c r="E1039" s="287" t="inlineStr">
        <is>
          <t>BRI</t>
        </is>
      </c>
      <c r="F1039" s="283" t="n">
        <v>150000000</v>
      </c>
      <c r="G1039" s="291" t="inlineStr">
        <is>
          <t>IDR</t>
        </is>
      </c>
      <c r="H1039" s="292" t="n">
        <v>1</v>
      </c>
      <c r="I1039" s="280" t="n"/>
      <c r="J1039" s="283" t="n">
        <v>150000000</v>
      </c>
      <c r="K1039" s="279" t="n"/>
      <c r="L1039" s="283" t="n"/>
      <c r="M1039" s="286" t="n"/>
      <c r="N1039" s="286" t="n"/>
      <c r="O1039" s="283" t="n"/>
      <c r="P1039" s="285" t="n"/>
      <c r="Q1039" s="287" t="n"/>
      <c r="R1039" s="278" t="n"/>
      <c r="S1039" s="278" t="n"/>
      <c r="T1039" s="278" t="n"/>
      <c r="U1039" s="278" t="n"/>
      <c r="V1039" s="278" t="n"/>
      <c r="W1039" s="278" t="n"/>
      <c r="X1039" s="278" t="n"/>
      <c r="Y1039" s="278" t="n"/>
      <c r="Z1039" s="278" t="n"/>
      <c r="AA1039" s="278" t="n"/>
      <c r="AB1039" s="278" t="n"/>
      <c r="AC1039" s="278" t="n"/>
      <c r="AD1039" s="278" t="n"/>
    </row>
    <row r="1040" ht="15.5" customHeight="1">
      <c r="B1040" s="288" t="n">
        <v>45631</v>
      </c>
      <c r="C1040" s="289" t="n">
        <v>31</v>
      </c>
      <c r="D1040" s="290" t="inlineStr">
        <is>
          <t>Ralika Jaya Utama | Permbuatan alat injeksi listrik (EAS)</t>
        </is>
      </c>
      <c r="E1040" s="287" t="inlineStr">
        <is>
          <t>BRI</t>
        </is>
      </c>
      <c r="F1040" s="283" t="n">
        <v>400000000</v>
      </c>
      <c r="G1040" s="291" t="inlineStr">
        <is>
          <t>IDR</t>
        </is>
      </c>
      <c r="H1040" s="292" t="n">
        <v>1</v>
      </c>
      <c r="I1040" s="280" t="n"/>
      <c r="J1040" s="283" t="n">
        <v>400000000</v>
      </c>
      <c r="K1040" s="279" t="n"/>
      <c r="L1040" s="283" t="n"/>
      <c r="M1040" s="286" t="n"/>
      <c r="N1040" s="286" t="n"/>
      <c r="O1040" s="283" t="n"/>
      <c r="P1040" s="285" t="n"/>
      <c r="Q1040" s="287" t="n"/>
      <c r="R1040" s="278" t="n"/>
      <c r="S1040" s="278" t="n"/>
      <c r="T1040" s="278" t="n"/>
      <c r="U1040" s="278" t="n"/>
      <c r="V1040" s="278" t="n"/>
      <c r="W1040" s="278" t="n"/>
      <c r="X1040" s="278" t="n"/>
      <c r="Y1040" s="278" t="n"/>
      <c r="Z1040" s="278" t="n"/>
      <c r="AA1040" s="278" t="n"/>
      <c r="AB1040" s="278" t="n"/>
      <c r="AC1040" s="278" t="n"/>
      <c r="AD1040" s="278" t="n"/>
    </row>
    <row r="1041" ht="15.5" customHeight="1">
      <c r="B1041" s="288" t="n">
        <v>45653</v>
      </c>
      <c r="C1041" s="289" t="n">
        <v>32</v>
      </c>
      <c r="D1041" s="290" t="inlineStr">
        <is>
          <t>KUPA | Pembelian Mesin Retort Horizontal 500 Lt Automatic Control</t>
        </is>
      </c>
      <c r="E1041" s="287" t="inlineStr">
        <is>
          <t>BCA</t>
        </is>
      </c>
      <c r="F1041" s="283" t="n">
        <v>141500000</v>
      </c>
      <c r="G1041" s="291" t="inlineStr">
        <is>
          <t>IDR</t>
        </is>
      </c>
      <c r="H1041" s="292" t="n">
        <v>1</v>
      </c>
      <c r="I1041" s="280" t="n"/>
      <c r="J1041" s="283" t="n">
        <v>141500000</v>
      </c>
      <c r="K1041" s="279" t="n"/>
      <c r="L1041" s="283" t="n"/>
      <c r="M1041" s="286" t="n"/>
      <c r="N1041" s="286" t="n"/>
      <c r="O1041" s="283" t="n"/>
      <c r="P1041" s="285" t="n"/>
      <c r="Q1041" s="287" t="n"/>
      <c r="R1041" s="278" t="n"/>
      <c r="S1041" s="278" t="n"/>
      <c r="T1041" s="278" t="n"/>
      <c r="U1041" s="278" t="n"/>
      <c r="V1041" s="278" t="n"/>
      <c r="W1041" s="278" t="n"/>
      <c r="X1041" s="278" t="n"/>
      <c r="Y1041" s="278" t="n"/>
      <c r="Z1041" s="278" t="n"/>
      <c r="AA1041" s="278" t="n"/>
      <c r="AB1041" s="278" t="n"/>
      <c r="AC1041" s="278" t="n"/>
      <c r="AD1041" s="278" t="n"/>
    </row>
    <row r="1042" ht="15.5" customHeight="1">
      <c r="B1042" s="279" t="n"/>
      <c r="C1042" s="280" t="n"/>
      <c r="D1042" s="281" t="inlineStr">
        <is>
          <t>Project Operation</t>
        </is>
      </c>
      <c r="E1042" s="282" t="n"/>
      <c r="F1042" s="283" t="n"/>
      <c r="G1042" s="280" t="n"/>
      <c r="H1042" s="284" t="n"/>
      <c r="I1042" s="280" t="n"/>
      <c r="J1042" s="285" t="n"/>
      <c r="K1042" s="279" t="n"/>
      <c r="L1042" s="283" t="n"/>
      <c r="M1042" s="286" t="n"/>
      <c r="N1042" s="286" t="n"/>
      <c r="O1042" s="283" t="n"/>
      <c r="P1042" s="285" t="n"/>
      <c r="Q1042" s="287" t="n"/>
      <c r="R1042" s="278" t="n"/>
      <c r="S1042" s="278" t="n"/>
      <c r="T1042" s="278" t="n"/>
      <c r="U1042" s="278" t="n"/>
      <c r="V1042" s="278" t="n"/>
      <c r="W1042" s="278" t="n"/>
      <c r="X1042" s="278" t="n"/>
      <c r="Y1042" s="278" t="n"/>
      <c r="Z1042" s="278" t="n"/>
      <c r="AA1042" s="278" t="n"/>
      <c r="AB1042" s="278" t="n"/>
      <c r="AC1042" s="278" t="n"/>
      <c r="AD1042" s="278" t="n"/>
    </row>
    <row r="1043" ht="15.5" customHeight="1">
      <c r="B1043" s="288" t="n">
        <v>45446</v>
      </c>
      <c r="C1043" s="289" t="n">
        <v>33</v>
      </c>
      <c r="D1043" s="290" t="inlineStr">
        <is>
          <t>PT Laka Indonesia |  Wastafel for WIKA Anantara Ubud Bali</t>
        </is>
      </c>
      <c r="E1043" s="287" t="inlineStr">
        <is>
          <t>BCA</t>
        </is>
      </c>
      <c r="F1043" s="283" t="n">
        <v>300000000</v>
      </c>
      <c r="G1043" s="291" t="inlineStr">
        <is>
          <t>IDR</t>
        </is>
      </c>
      <c r="H1043" s="292" t="n">
        <v>1</v>
      </c>
      <c r="I1043" s="280" t="n"/>
      <c r="J1043" s="285" t="n"/>
      <c r="K1043" s="279" t="n"/>
      <c r="L1043" s="283" t="n">
        <v>300000000</v>
      </c>
      <c r="M1043" s="286" t="n"/>
      <c r="N1043" s="286" t="n"/>
      <c r="O1043" s="283" t="n"/>
      <c r="P1043" s="285" t="n"/>
      <c r="Q1043" s="287" t="n"/>
      <c r="R1043" s="278" t="n"/>
      <c r="S1043" s="278" t="n"/>
      <c r="T1043" s="278" t="n"/>
      <c r="U1043" s="278" t="n"/>
      <c r="V1043" s="278" t="n"/>
      <c r="W1043" s="278" t="n"/>
      <c r="X1043" s="278" t="n"/>
      <c r="Y1043" s="278" t="n"/>
      <c r="Z1043" s="278" t="n"/>
      <c r="AA1043" s="278" t="n"/>
      <c r="AB1043" s="278" t="n"/>
      <c r="AC1043" s="278" t="n"/>
      <c r="AD1043" s="278" t="n"/>
    </row>
    <row r="1044" ht="15.5" customHeight="1">
      <c r="B1044" s="288" t="n">
        <v>45478</v>
      </c>
      <c r="C1044" s="289" t="n">
        <v>34</v>
      </c>
      <c r="D1044" s="290" t="inlineStr">
        <is>
          <t>Repair ESOR panel &amp; Fabricate dummy test load, Payment#2</t>
        </is>
      </c>
      <c r="E1044" s="287" t="inlineStr">
        <is>
          <t>BRI</t>
        </is>
      </c>
      <c r="F1044" s="283" t="n">
        <v>25000000</v>
      </c>
      <c r="G1044" s="291" t="inlineStr">
        <is>
          <t>IDR</t>
        </is>
      </c>
      <c r="H1044" s="292" t="n">
        <v>1</v>
      </c>
      <c r="I1044" s="280" t="n"/>
      <c r="J1044" s="285" t="n"/>
      <c r="K1044" s="279" t="n"/>
      <c r="L1044" s="283" t="n">
        <v>25000000</v>
      </c>
      <c r="M1044" s="286" t="n"/>
      <c r="N1044" s="286" t="n"/>
      <c r="O1044" s="283" t="n"/>
      <c r="P1044" s="285" t="n"/>
      <c r="Q1044" s="287" t="n"/>
      <c r="R1044" s="278" t="n"/>
      <c r="S1044" s="278" t="n"/>
      <c r="T1044" s="278" t="n"/>
      <c r="U1044" s="278" t="n"/>
      <c r="V1044" s="278" t="n"/>
      <c r="W1044" s="278" t="n"/>
      <c r="X1044" s="278" t="n"/>
      <c r="Y1044" s="278" t="n"/>
      <c r="Z1044" s="278" t="n"/>
      <c r="AA1044" s="278" t="n"/>
      <c r="AB1044" s="278" t="n"/>
      <c r="AC1044" s="278" t="n"/>
      <c r="AD1044" s="278" t="n"/>
    </row>
    <row r="1045" ht="15.5" customHeight="1">
      <c r="B1045" s="288" t="n">
        <v>45480</v>
      </c>
      <c r="C1045" s="289" t="n">
        <v>35</v>
      </c>
      <c r="D1045" s="290" t="inlineStr">
        <is>
          <t>PT Laka Indonesia |  Wastafel for WIKA Anantara Ubud Bali</t>
        </is>
      </c>
      <c r="E1045" s="287" t="inlineStr">
        <is>
          <t>BCA</t>
        </is>
      </c>
      <c r="F1045" s="283" t="n">
        <v>25000000</v>
      </c>
      <c r="G1045" s="291" t="inlineStr">
        <is>
          <t>IDR</t>
        </is>
      </c>
      <c r="H1045" s="292" t="n">
        <v>1</v>
      </c>
      <c r="I1045" s="280" t="n"/>
      <c r="J1045" s="285" t="n"/>
      <c r="K1045" s="279" t="n"/>
      <c r="L1045" s="283" t="n">
        <v>25000000</v>
      </c>
      <c r="M1045" s="286" t="n"/>
      <c r="N1045" s="286" t="n"/>
      <c r="O1045" s="283" t="n"/>
      <c r="P1045" s="285" t="n"/>
      <c r="Q1045" s="287" t="n"/>
      <c r="R1045" s="278" t="n"/>
      <c r="S1045" s="278" t="n"/>
      <c r="T1045" s="278" t="n"/>
      <c r="U1045" s="278" t="n"/>
      <c r="V1045" s="278" t="n"/>
      <c r="W1045" s="278" t="n"/>
      <c r="X1045" s="278" t="n"/>
      <c r="Y1045" s="278" t="n"/>
      <c r="Z1045" s="278" t="n"/>
      <c r="AA1045" s="278" t="n"/>
      <c r="AB1045" s="278" t="n"/>
      <c r="AC1045" s="278" t="n"/>
      <c r="AD1045" s="278" t="n"/>
    </row>
    <row r="1046" ht="15.5" customHeight="1">
      <c r="B1046" s="288" t="n">
        <v>45492</v>
      </c>
      <c r="C1046" s="289" t="n">
        <v>36</v>
      </c>
      <c r="D1046" s="290" t="inlineStr">
        <is>
          <t>PT Laka Indonesia |  Wastafel for WIKA Anantara Ubud Bali</t>
        </is>
      </c>
      <c r="E1046" s="287" t="inlineStr">
        <is>
          <t>BCA</t>
        </is>
      </c>
      <c r="F1046" s="283" t="n">
        <v>25000000</v>
      </c>
      <c r="G1046" s="291" t="inlineStr">
        <is>
          <t>IDR</t>
        </is>
      </c>
      <c r="H1046" s="292" t="n">
        <v>1</v>
      </c>
      <c r="I1046" s="280" t="n"/>
      <c r="J1046" s="285" t="n"/>
      <c r="K1046" s="279" t="n"/>
      <c r="L1046" s="283" t="n">
        <v>25000000</v>
      </c>
      <c r="M1046" s="286" t="n"/>
      <c r="N1046" s="286" t="n"/>
      <c r="O1046" s="283" t="n"/>
      <c r="P1046" s="285" t="n"/>
      <c r="Q1046" s="287" t="n"/>
      <c r="R1046" s="278" t="n"/>
      <c r="S1046" s="278" t="n"/>
      <c r="T1046" s="278" t="n"/>
      <c r="U1046" s="278" t="n"/>
      <c r="V1046" s="278" t="n"/>
      <c r="W1046" s="278" t="n"/>
      <c r="X1046" s="278" t="n"/>
      <c r="Y1046" s="278" t="n"/>
      <c r="Z1046" s="278" t="n"/>
      <c r="AA1046" s="278" t="n"/>
      <c r="AB1046" s="278" t="n"/>
      <c r="AC1046" s="278" t="n"/>
      <c r="AD1046" s="278" t="n"/>
    </row>
    <row r="1047" ht="15.5" customHeight="1">
      <c r="B1047" s="288" t="n">
        <v>45493</v>
      </c>
      <c r="C1047" s="289" t="n">
        <v>37</v>
      </c>
      <c r="D1047" s="290" t="inlineStr">
        <is>
          <t>Repair ESOR panel &amp; Fabricate dummy test load, Payment#1</t>
        </is>
      </c>
      <c r="E1047" s="287" t="inlineStr">
        <is>
          <t>BCA</t>
        </is>
      </c>
      <c r="F1047" s="283" t="n">
        <v>20000000</v>
      </c>
      <c r="G1047" s="291" t="inlineStr">
        <is>
          <t>IDR</t>
        </is>
      </c>
      <c r="H1047" s="292" t="n">
        <v>1</v>
      </c>
      <c r="I1047" s="280" t="n"/>
      <c r="J1047" s="285" t="n"/>
      <c r="K1047" s="279" t="n"/>
      <c r="L1047" s="283" t="n">
        <v>20000000</v>
      </c>
      <c r="M1047" s="286" t="n"/>
      <c r="N1047" s="286" t="n"/>
      <c r="O1047" s="283" t="n"/>
      <c r="P1047" s="285" t="n"/>
      <c r="Q1047" s="287" t="n"/>
      <c r="R1047" s="278" t="n"/>
      <c r="S1047" s="278" t="n"/>
      <c r="T1047" s="278" t="n"/>
      <c r="U1047" s="278" t="n"/>
      <c r="V1047" s="278" t="n"/>
      <c r="W1047" s="278" t="n"/>
      <c r="X1047" s="278" t="n"/>
      <c r="Y1047" s="278" t="n"/>
      <c r="Z1047" s="278" t="n"/>
      <c r="AA1047" s="278" t="n"/>
      <c r="AB1047" s="278" t="n"/>
      <c r="AC1047" s="278" t="n"/>
      <c r="AD1047" s="278" t="n"/>
    </row>
    <row r="1048" ht="15.5" customHeight="1">
      <c r="B1048" s="288" t="n">
        <v>45581</v>
      </c>
      <c r="C1048" s="289" t="n">
        <v>38</v>
      </c>
      <c r="D1048" s="290" t="inlineStr">
        <is>
          <t>PT Laka Indonesia | Project Lampu Taman Istana Negara Jakarta</t>
        </is>
      </c>
      <c r="E1048" s="287" t="inlineStr">
        <is>
          <t>BRI</t>
        </is>
      </c>
      <c r="F1048" s="283" t="n">
        <v>100000000</v>
      </c>
      <c r="G1048" s="291" t="inlineStr">
        <is>
          <t>IDR</t>
        </is>
      </c>
      <c r="H1048" s="292" t="n">
        <v>1</v>
      </c>
      <c r="I1048" s="280" t="n"/>
      <c r="J1048" s="285" t="n"/>
      <c r="K1048" s="279" t="n"/>
      <c r="L1048" s="283" t="n">
        <v>100000000</v>
      </c>
      <c r="M1048" s="286" t="n"/>
      <c r="N1048" s="286" t="n"/>
      <c r="O1048" s="283" t="n"/>
      <c r="P1048" s="285" t="n"/>
      <c r="Q1048" s="287" t="n"/>
      <c r="R1048" s="278" t="n"/>
      <c r="S1048" s="278" t="n"/>
      <c r="T1048" s="278" t="n"/>
      <c r="U1048" s="278" t="n"/>
      <c r="V1048" s="278" t="n"/>
      <c r="W1048" s="278" t="n"/>
      <c r="X1048" s="278" t="n"/>
      <c r="Y1048" s="278" t="n"/>
      <c r="Z1048" s="278" t="n"/>
      <c r="AA1048" s="278" t="n"/>
      <c r="AB1048" s="278" t="n"/>
      <c r="AC1048" s="278" t="n"/>
      <c r="AD1048" s="278" t="n"/>
    </row>
    <row r="1049" ht="15.5" customHeight="1">
      <c r="B1049" s="279" t="n"/>
      <c r="C1049" s="280" t="n"/>
      <c r="D1049" s="281" t="inlineStr">
        <is>
          <t>Rental Tool</t>
        </is>
      </c>
      <c r="E1049" s="282" t="n"/>
      <c r="F1049" s="283" t="n"/>
      <c r="G1049" s="280" t="n"/>
      <c r="H1049" s="284" t="n"/>
      <c r="I1049" s="280" t="n"/>
      <c r="J1049" s="285" t="n"/>
      <c r="K1049" s="279" t="n"/>
      <c r="L1049" s="283" t="n"/>
      <c r="M1049" s="286" t="n"/>
      <c r="N1049" s="286" t="n"/>
      <c r="O1049" s="283" t="n"/>
      <c r="P1049" s="285" t="n"/>
      <c r="Q1049" s="287" t="n"/>
      <c r="R1049" s="278" t="n"/>
      <c r="S1049" s="278" t="n"/>
      <c r="T1049" s="278" t="n"/>
      <c r="U1049" s="278" t="n"/>
      <c r="V1049" s="278" t="n"/>
      <c r="W1049" s="278" t="n"/>
      <c r="X1049" s="278" t="n"/>
      <c r="Y1049" s="278" t="n"/>
      <c r="Z1049" s="278" t="n"/>
      <c r="AA1049" s="278" t="n"/>
      <c r="AB1049" s="278" t="n"/>
      <c r="AC1049" s="278" t="n"/>
      <c r="AD1049" s="278" t="n"/>
    </row>
    <row r="1050" ht="15.5" customHeight="1">
      <c r="B1050" s="288" t="n">
        <v>45302</v>
      </c>
      <c r="C1050" s="289" t="n">
        <v>39</v>
      </c>
      <c r="D1050" s="290" t="inlineStr">
        <is>
          <t>ALFA Service PDP-075 Pertamina Zona#4 - Rental Tool</t>
        </is>
      </c>
      <c r="E1050" s="287" t="inlineStr">
        <is>
          <t>BCA</t>
        </is>
      </c>
      <c r="F1050" s="283" t="n">
        <v>29640916</v>
      </c>
      <c r="G1050" s="291" t="inlineStr">
        <is>
          <t>IDR</t>
        </is>
      </c>
      <c r="H1050" s="292" t="n">
        <v>1</v>
      </c>
      <c r="I1050" s="284" t="n">
        <v>29640916</v>
      </c>
      <c r="J1050" s="285" t="n"/>
      <c r="K1050" s="279" t="n"/>
      <c r="L1050" s="283" t="n"/>
      <c r="M1050" s="286" t="n"/>
      <c r="N1050" s="286" t="n"/>
      <c r="O1050" s="283" t="n"/>
      <c r="P1050" s="285" t="n"/>
      <c r="Q1050" s="287" t="n"/>
      <c r="R1050" s="278" t="n"/>
      <c r="S1050" s="278" t="n"/>
      <c r="T1050" s="278" t="n"/>
      <c r="U1050" s="278" t="n"/>
      <c r="V1050" s="278" t="n"/>
      <c r="W1050" s="278" t="n"/>
      <c r="X1050" s="278" t="n"/>
      <c r="Y1050" s="278" t="n"/>
      <c r="Z1050" s="278" t="n"/>
      <c r="AA1050" s="278" t="n"/>
      <c r="AB1050" s="278" t="n"/>
      <c r="AC1050" s="278" t="n"/>
      <c r="AD1050" s="278" t="n"/>
    </row>
    <row r="1051" ht="15.5" customHeight="1">
      <c r="B1051" s="288" t="n">
        <v>45302</v>
      </c>
      <c r="C1051" s="289" t="n">
        <v>40</v>
      </c>
      <c r="D1051" s="290" t="inlineStr">
        <is>
          <t>ALFA Service PDS-01ST Pertamina Zona#4 - Rental Tool</t>
        </is>
      </c>
      <c r="E1051" s="287" t="inlineStr">
        <is>
          <t>BCA</t>
        </is>
      </c>
      <c r="F1051" s="283" t="n">
        <v>29640916</v>
      </c>
      <c r="G1051" s="291" t="inlineStr">
        <is>
          <t>IDR</t>
        </is>
      </c>
      <c r="H1051" s="292" t="n">
        <v>1</v>
      </c>
      <c r="I1051" s="284" t="n">
        <v>29640916</v>
      </c>
      <c r="J1051" s="285" t="n"/>
      <c r="K1051" s="279" t="n"/>
      <c r="L1051" s="283" t="n"/>
      <c r="M1051" s="286" t="n"/>
      <c r="N1051" s="286" t="n"/>
      <c r="O1051" s="283" t="n"/>
      <c r="P1051" s="285" t="n"/>
      <c r="Q1051" s="287" t="n"/>
      <c r="R1051" s="278" t="n"/>
      <c r="S1051" s="278" t="n"/>
      <c r="T1051" s="278" t="n"/>
      <c r="U1051" s="278" t="n"/>
      <c r="V1051" s="278" t="n"/>
      <c r="W1051" s="278" t="n"/>
      <c r="X1051" s="278" t="n"/>
      <c r="Y1051" s="278" t="n"/>
      <c r="Z1051" s="278" t="n"/>
      <c r="AA1051" s="278" t="n"/>
      <c r="AB1051" s="278" t="n"/>
      <c r="AC1051" s="278" t="n"/>
      <c r="AD1051" s="278" t="n"/>
    </row>
    <row r="1052" ht="15.5" customHeight="1">
      <c r="B1052" s="288" t="n">
        <v>45302</v>
      </c>
      <c r="C1052" s="289" t="n">
        <v>41</v>
      </c>
      <c r="D1052" s="290" t="inlineStr">
        <is>
          <t>ALFA Service JRK-254 Pertamina Zona#4 - Rental Tool</t>
        </is>
      </c>
      <c r="E1052" s="287" t="inlineStr">
        <is>
          <t>BCA</t>
        </is>
      </c>
      <c r="F1052" s="283" t="n">
        <v>29640916</v>
      </c>
      <c r="G1052" s="291" t="inlineStr">
        <is>
          <t>IDR</t>
        </is>
      </c>
      <c r="H1052" s="292" t="n">
        <v>1</v>
      </c>
      <c r="I1052" s="284" t="n">
        <v>29640916</v>
      </c>
      <c r="J1052" s="285" t="n"/>
      <c r="K1052" s="279" t="n"/>
      <c r="L1052" s="283" t="n"/>
      <c r="M1052" s="286" t="n"/>
      <c r="N1052" s="286" t="n"/>
      <c r="O1052" s="283" t="n"/>
      <c r="P1052" s="285" t="n"/>
      <c r="Q1052" s="287" t="n"/>
      <c r="R1052" s="278" t="n"/>
      <c r="S1052" s="278" t="n"/>
      <c r="T1052" s="278" t="n"/>
      <c r="U1052" s="278" t="n"/>
      <c r="V1052" s="278" t="n"/>
      <c r="W1052" s="278" t="n"/>
      <c r="X1052" s="278" t="n"/>
      <c r="Y1052" s="278" t="n"/>
      <c r="Z1052" s="278" t="n"/>
      <c r="AA1052" s="278" t="n"/>
      <c r="AB1052" s="278" t="n"/>
      <c r="AC1052" s="278" t="n"/>
      <c r="AD1052" s="278" t="n"/>
    </row>
    <row r="1053" ht="15.5" customHeight="1">
      <c r="B1053" s="288" t="n">
        <v>45446</v>
      </c>
      <c r="C1053" s="289" t="n">
        <v>42</v>
      </c>
      <c r="D1053" s="290" t="inlineStr">
        <is>
          <t>ALFA Service TLJ-58 Pertamina Zona#4 - Rental Tool</t>
        </is>
      </c>
      <c r="E1053" s="287" t="inlineStr">
        <is>
          <t>BCA</t>
        </is>
      </c>
      <c r="F1053" s="283" t="n">
        <v>29640916</v>
      </c>
      <c r="G1053" s="291" t="inlineStr">
        <is>
          <t>IDR</t>
        </is>
      </c>
      <c r="H1053" s="292" t="n">
        <v>1</v>
      </c>
      <c r="I1053" s="284" t="n">
        <v>29640916</v>
      </c>
      <c r="J1053" s="285" t="n"/>
      <c r="K1053" s="279" t="n"/>
      <c r="L1053" s="283" t="n"/>
      <c r="M1053" s="286" t="n"/>
      <c r="N1053" s="286" t="n"/>
      <c r="O1053" s="283" t="n"/>
      <c r="P1053" s="285" t="n"/>
      <c r="Q1053" s="287" t="n"/>
      <c r="R1053" s="278" t="n"/>
      <c r="S1053" s="278" t="n"/>
      <c r="T1053" s="278" t="n"/>
      <c r="U1053" s="278" t="n"/>
      <c r="V1053" s="278" t="n"/>
      <c r="W1053" s="278" t="n"/>
      <c r="X1053" s="278" t="n"/>
      <c r="Y1053" s="278" t="n"/>
      <c r="Z1053" s="278" t="n"/>
      <c r="AA1053" s="278" t="n"/>
      <c r="AB1053" s="278" t="n"/>
      <c r="AC1053" s="278" t="n"/>
      <c r="AD1053" s="278" t="n"/>
    </row>
    <row r="1054" ht="15.5" customHeight="1">
      <c r="B1054" s="288" t="n">
        <v>45447</v>
      </c>
      <c r="C1054" s="289" t="n">
        <v>43</v>
      </c>
      <c r="D1054" s="290" t="inlineStr">
        <is>
          <t>ALFA Service JRK-193 Pertamina Zona#4 - Rental Tool</t>
        </is>
      </c>
      <c r="E1054" s="287" t="inlineStr">
        <is>
          <t>BCA</t>
        </is>
      </c>
      <c r="F1054" s="283" t="n">
        <v>29640916</v>
      </c>
      <c r="G1054" s="291" t="inlineStr">
        <is>
          <t>IDR</t>
        </is>
      </c>
      <c r="H1054" s="292" t="n">
        <v>1</v>
      </c>
      <c r="I1054" s="284" t="n">
        <v>29640916</v>
      </c>
      <c r="J1054" s="285" t="n"/>
      <c r="K1054" s="279" t="n"/>
      <c r="L1054" s="283" t="n"/>
      <c r="M1054" s="286" t="n"/>
      <c r="N1054" s="286" t="n"/>
      <c r="O1054" s="283" t="n"/>
      <c r="P1054" s="285" t="n"/>
      <c r="Q1054" s="287" t="n"/>
      <c r="R1054" s="278" t="n"/>
      <c r="S1054" s="278" t="n"/>
      <c r="T1054" s="278" t="n"/>
      <c r="U1054" s="278" t="n"/>
      <c r="V1054" s="278" t="n"/>
      <c r="W1054" s="278" t="n"/>
      <c r="X1054" s="278" t="n"/>
      <c r="Y1054" s="278" t="n"/>
      <c r="Z1054" s="278" t="n"/>
      <c r="AA1054" s="278" t="n"/>
      <c r="AB1054" s="278" t="n"/>
      <c r="AC1054" s="278" t="n"/>
      <c r="AD1054" s="278" t="n"/>
    </row>
    <row r="1055" ht="15.5" customHeight="1">
      <c r="B1055" s="288" t="n">
        <v>45537</v>
      </c>
      <c r="C1055" s="289" t="n">
        <v>44</v>
      </c>
      <c r="D1055" s="290" t="inlineStr">
        <is>
          <t>ALFA Service JRK-163 Pertamina Zona#4 - Rental Tool</t>
        </is>
      </c>
      <c r="E1055" s="287" t="inlineStr">
        <is>
          <t>BCA</t>
        </is>
      </c>
      <c r="F1055" s="283" t="n">
        <v>29640916</v>
      </c>
      <c r="G1055" s="291" t="inlineStr">
        <is>
          <t>IDR</t>
        </is>
      </c>
      <c r="H1055" s="292" t="n">
        <v>1</v>
      </c>
      <c r="I1055" s="284" t="n">
        <v>29640916</v>
      </c>
      <c r="J1055" s="285" t="n"/>
      <c r="K1055" s="279" t="n"/>
      <c r="L1055" s="283" t="n"/>
      <c r="M1055" s="286" t="n"/>
      <c r="N1055" s="286" t="n"/>
      <c r="O1055" s="283" t="n"/>
      <c r="P1055" s="285" t="n"/>
      <c r="Q1055" s="287" t="n"/>
      <c r="R1055" s="278" t="n"/>
      <c r="S1055" s="278" t="n"/>
      <c r="T1055" s="278" t="n"/>
      <c r="U1055" s="278" t="n"/>
      <c r="V1055" s="278" t="n"/>
      <c r="W1055" s="278" t="n"/>
      <c r="X1055" s="278" t="n"/>
      <c r="Y1055" s="278" t="n"/>
      <c r="Z1055" s="278" t="n"/>
      <c r="AA1055" s="278" t="n"/>
      <c r="AB1055" s="278" t="n"/>
      <c r="AC1055" s="278" t="n"/>
      <c r="AD1055" s="278" t="n"/>
    </row>
    <row r="1056" ht="15.5" customHeight="1">
      <c r="B1056" s="288" t="n">
        <v>45569</v>
      </c>
      <c r="C1056" s="289" t="n">
        <v>45</v>
      </c>
      <c r="D1056" s="290" t="inlineStr">
        <is>
          <t>PLT Service TGB-033 Pertamina Cirebon - Rental Tool</t>
        </is>
      </c>
      <c r="E1056" s="287" t="inlineStr">
        <is>
          <t>BCA</t>
        </is>
      </c>
      <c r="F1056" s="283" t="n">
        <v>16165271</v>
      </c>
      <c r="G1056" s="291" t="inlineStr">
        <is>
          <t>IDR</t>
        </is>
      </c>
      <c r="H1056" s="292" t="n">
        <v>1</v>
      </c>
      <c r="I1056" s="284" t="n">
        <v>16165271</v>
      </c>
      <c r="J1056" s="285" t="n"/>
      <c r="K1056" s="279" t="n"/>
      <c r="L1056" s="283" t="n"/>
      <c r="M1056" s="286" t="n"/>
      <c r="N1056" s="286" t="n"/>
      <c r="O1056" s="283" t="n"/>
      <c r="P1056" s="285" t="n"/>
      <c r="Q1056" s="287" t="n"/>
      <c r="R1056" s="278" t="n"/>
      <c r="S1056" s="278" t="n"/>
      <c r="T1056" s="278" t="n"/>
      <c r="U1056" s="278" t="n"/>
      <c r="V1056" s="278" t="n"/>
      <c r="W1056" s="278" t="n"/>
      <c r="X1056" s="278" t="n"/>
      <c r="Y1056" s="278" t="n"/>
      <c r="Z1056" s="278" t="n"/>
      <c r="AA1056" s="278" t="n"/>
      <c r="AB1056" s="278" t="n"/>
      <c r="AC1056" s="278" t="n"/>
      <c r="AD1056" s="278" t="n"/>
    </row>
    <row r="1057" ht="15.5" customHeight="1">
      <c r="B1057" s="288" t="n">
        <v>45569</v>
      </c>
      <c r="C1057" s="289" t="n">
        <v>46</v>
      </c>
      <c r="D1057" s="290" t="inlineStr">
        <is>
          <t>ALFA Service TGB-033 Pertamina Cirebon - Rental Tool</t>
        </is>
      </c>
      <c r="E1057" s="287" t="inlineStr">
        <is>
          <t>BCA</t>
        </is>
      </c>
      <c r="F1057" s="283" t="n">
        <v>25967616</v>
      </c>
      <c r="G1057" s="291" t="inlineStr">
        <is>
          <t>IDR</t>
        </is>
      </c>
      <c r="H1057" s="292" t="n">
        <v>1</v>
      </c>
      <c r="I1057" s="284" t="n">
        <v>25967616</v>
      </c>
      <c r="J1057" s="285" t="n"/>
      <c r="K1057" s="279" t="n"/>
      <c r="L1057" s="283" t="n"/>
      <c r="M1057" s="286" t="n"/>
      <c r="N1057" s="286" t="n"/>
      <c r="O1057" s="283" t="n"/>
      <c r="P1057" s="285" t="n"/>
      <c r="Q1057" s="287" t="n"/>
      <c r="R1057" s="278" t="n"/>
      <c r="S1057" s="278" t="n"/>
      <c r="T1057" s="278" t="n"/>
      <c r="U1057" s="278" t="n"/>
      <c r="V1057" s="278" t="n"/>
      <c r="W1057" s="278" t="n"/>
      <c r="X1057" s="278" t="n"/>
      <c r="Y1057" s="278" t="n"/>
      <c r="Z1057" s="278" t="n"/>
      <c r="AA1057" s="278" t="n"/>
      <c r="AB1057" s="278" t="n"/>
      <c r="AC1057" s="278" t="n"/>
      <c r="AD1057" s="278" t="n"/>
    </row>
    <row r="1058" ht="15.5" customHeight="1">
      <c r="B1058" s="288" t="n">
        <v>45569</v>
      </c>
      <c r="C1058" s="289" t="n">
        <v>47</v>
      </c>
      <c r="D1058" s="290" t="inlineStr">
        <is>
          <t>MFC Service TGB-033 Pertamina Cirebon - Rental Tool</t>
        </is>
      </c>
      <c r="E1058" s="287" t="inlineStr">
        <is>
          <t>BCA</t>
        </is>
      </c>
      <c r="F1058" s="283" t="n">
        <v>32101247</v>
      </c>
      <c r="G1058" s="291" t="inlineStr">
        <is>
          <t>IDR</t>
        </is>
      </c>
      <c r="H1058" s="292" t="n">
        <v>1</v>
      </c>
      <c r="I1058" s="284" t="n">
        <v>32101247</v>
      </c>
      <c r="J1058" s="285" t="n"/>
      <c r="K1058" s="279" t="n"/>
      <c r="L1058" s="283" t="n"/>
      <c r="M1058" s="286" t="n"/>
      <c r="N1058" s="286" t="n"/>
      <c r="O1058" s="283" t="n"/>
      <c r="P1058" s="285" t="n"/>
      <c r="Q1058" s="287" t="n"/>
      <c r="R1058" s="278" t="n"/>
      <c r="S1058" s="278" t="n"/>
      <c r="T1058" s="278" t="n"/>
      <c r="U1058" s="278" t="n"/>
      <c r="V1058" s="278" t="n"/>
      <c r="W1058" s="278" t="n"/>
      <c r="X1058" s="278" t="n"/>
      <c r="Y1058" s="278" t="n"/>
      <c r="Z1058" s="278" t="n"/>
      <c r="AA1058" s="278" t="n"/>
      <c r="AB1058" s="278" t="n"/>
      <c r="AC1058" s="278" t="n"/>
      <c r="AD1058" s="278" t="n"/>
    </row>
    <row r="1059" ht="15.5" customHeight="1">
      <c r="B1059" s="288" t="n">
        <v>45572</v>
      </c>
      <c r="C1059" s="289" t="n">
        <v>48</v>
      </c>
      <c r="D1059" s="290" t="inlineStr">
        <is>
          <t>ALFA Service JRK-095 Pertamina Zona#4 - Rental Tool</t>
        </is>
      </c>
      <c r="E1059" s="287" t="inlineStr">
        <is>
          <t>BCA</t>
        </is>
      </c>
      <c r="F1059" s="283" t="n">
        <v>29640916</v>
      </c>
      <c r="G1059" s="291" t="inlineStr">
        <is>
          <t>IDR</t>
        </is>
      </c>
      <c r="H1059" s="292" t="n">
        <v>1</v>
      </c>
      <c r="I1059" s="284" t="n">
        <v>29640916</v>
      </c>
      <c r="J1059" s="285" t="n"/>
      <c r="K1059" s="279" t="n"/>
      <c r="L1059" s="283" t="n"/>
      <c r="M1059" s="286" t="n"/>
      <c r="N1059" s="286" t="n"/>
      <c r="O1059" s="283" t="n"/>
      <c r="P1059" s="285" t="n"/>
      <c r="Q1059" s="287" t="n"/>
      <c r="R1059" s="278" t="n"/>
      <c r="S1059" s="278" t="n"/>
      <c r="T1059" s="278" t="n"/>
      <c r="U1059" s="278" t="n"/>
      <c r="V1059" s="278" t="n"/>
      <c r="W1059" s="278" t="n"/>
      <c r="X1059" s="278" t="n"/>
      <c r="Y1059" s="278" t="n"/>
      <c r="Z1059" s="278" t="n"/>
      <c r="AA1059" s="278" t="n"/>
      <c r="AB1059" s="278" t="n"/>
      <c r="AC1059" s="278" t="n"/>
      <c r="AD1059" s="278" t="n"/>
    </row>
    <row r="1060" ht="15.5" customHeight="1">
      <c r="B1060" s="288" t="n">
        <v>45576</v>
      </c>
      <c r="C1060" s="289" t="n">
        <v>49</v>
      </c>
      <c r="D1060" s="290" t="inlineStr">
        <is>
          <t>MPLT/GR-CCL/ALFA TIS - Rental Tool</t>
        </is>
      </c>
      <c r="E1060" s="287" t="inlineStr">
        <is>
          <t>BCA</t>
        </is>
      </c>
      <c r="F1060" s="283" t="n">
        <v>74291457</v>
      </c>
      <c r="G1060" s="291" t="inlineStr">
        <is>
          <t>IDR</t>
        </is>
      </c>
      <c r="H1060" s="292" t="n">
        <v>1</v>
      </c>
      <c r="I1060" s="284" t="n">
        <v>74291457</v>
      </c>
      <c r="J1060" s="285" t="n"/>
      <c r="K1060" s="279" t="n"/>
      <c r="L1060" s="283" t="n"/>
      <c r="M1060" s="286" t="n"/>
      <c r="N1060" s="286" t="n"/>
      <c r="O1060" s="283" t="n"/>
      <c r="P1060" s="285" t="n"/>
      <c r="Q1060" s="287" t="n"/>
      <c r="R1060" s="278" t="n"/>
      <c r="S1060" s="278" t="n"/>
      <c r="T1060" s="278" t="n"/>
      <c r="U1060" s="278" t="n"/>
      <c r="V1060" s="278" t="n"/>
      <c r="W1060" s="278" t="n"/>
      <c r="X1060" s="278" t="n"/>
      <c r="Y1060" s="278" t="n"/>
      <c r="Z1060" s="278" t="n"/>
      <c r="AA1060" s="278" t="n"/>
      <c r="AB1060" s="278" t="n"/>
      <c r="AC1060" s="278" t="n"/>
      <c r="AD1060" s="278" t="n"/>
    </row>
    <row r="1061" ht="15.5" customHeight="1">
      <c r="B1061" s="279" t="n"/>
      <c r="C1061" s="280" t="n"/>
      <c r="D1061" s="281" t="inlineStr">
        <is>
          <t>Sales</t>
        </is>
      </c>
      <c r="E1061" s="282" t="n"/>
      <c r="F1061" s="283" t="n"/>
      <c r="G1061" s="280" t="n"/>
      <c r="H1061" s="284" t="n"/>
      <c r="I1061" s="280" t="n"/>
      <c r="J1061" s="285" t="n"/>
      <c r="K1061" s="279" t="n"/>
      <c r="L1061" s="283" t="n"/>
      <c r="M1061" s="286" t="n"/>
      <c r="N1061" s="286" t="n"/>
      <c r="O1061" s="283" t="n"/>
      <c r="P1061" s="285" t="n"/>
      <c r="Q1061" s="287" t="n"/>
      <c r="R1061" s="278" t="n"/>
      <c r="S1061" s="278" t="n"/>
      <c r="T1061" s="278" t="n"/>
      <c r="U1061" s="278" t="n"/>
      <c r="V1061" s="278" t="n"/>
      <c r="W1061" s="278" t="n"/>
      <c r="X1061" s="278" t="n"/>
      <c r="Y1061" s="278" t="n"/>
      <c r="Z1061" s="278" t="n"/>
      <c r="AA1061" s="278" t="n"/>
      <c r="AB1061" s="278" t="n"/>
      <c r="AC1061" s="278" t="n"/>
      <c r="AD1061" s="278" t="n"/>
    </row>
    <row r="1062" ht="15.5" customHeight="1">
      <c r="B1062" s="288" t="n">
        <v>45304</v>
      </c>
      <c r="C1062" s="289" t="n">
        <v>50</v>
      </c>
      <c r="D1062" s="290" t="inlineStr">
        <is>
          <t>Sales cost 4 Well Integrity Pertamina Z.4</t>
        </is>
      </c>
      <c r="E1062" s="287" t="inlineStr">
        <is>
          <t>BRI</t>
        </is>
      </c>
      <c r="F1062" s="283" t="n">
        <v>77672400</v>
      </c>
      <c r="G1062" s="291" t="inlineStr">
        <is>
          <t>IDR</t>
        </is>
      </c>
      <c r="H1062" s="292" t="n">
        <v>1</v>
      </c>
      <c r="I1062" s="280" t="n"/>
      <c r="J1062" s="285" t="n"/>
      <c r="K1062" s="279" t="n"/>
      <c r="L1062" s="283" t="n">
        <v>77672400</v>
      </c>
      <c r="M1062" s="286" t="n"/>
      <c r="N1062" s="286" t="n"/>
      <c r="O1062" s="283" t="n"/>
      <c r="P1062" s="285" t="n"/>
      <c r="Q1062" s="287" t="n"/>
      <c r="R1062" s="278" t="n"/>
      <c r="S1062" s="278" t="n"/>
      <c r="T1062" s="278" t="n"/>
      <c r="U1062" s="278" t="n"/>
      <c r="V1062" s="278" t="n"/>
      <c r="W1062" s="278" t="n"/>
      <c r="X1062" s="278" t="n"/>
      <c r="Y1062" s="278" t="n"/>
      <c r="Z1062" s="278" t="n"/>
      <c r="AA1062" s="278" t="n"/>
      <c r="AB1062" s="278" t="n"/>
      <c r="AC1062" s="278" t="n"/>
      <c r="AD1062" s="278" t="n"/>
    </row>
    <row r="1063" ht="15.5" customHeight="1">
      <c r="B1063" s="279" t="n"/>
      <c r="C1063" s="280" t="n"/>
      <c r="D1063" s="281" t="inlineStr">
        <is>
          <t>Sewa Ruangan</t>
        </is>
      </c>
      <c r="E1063" s="282" t="n"/>
      <c r="F1063" s="283" t="n"/>
      <c r="G1063" s="280" t="n"/>
      <c r="H1063" s="284" t="n"/>
      <c r="I1063" s="280" t="n"/>
      <c r="J1063" s="285" t="n"/>
      <c r="K1063" s="279" t="n"/>
      <c r="L1063" s="283" t="n"/>
      <c r="M1063" s="286" t="n"/>
      <c r="N1063" s="286" t="n"/>
      <c r="O1063" s="283" t="n"/>
      <c r="P1063" s="285" t="n"/>
      <c r="Q1063" s="287" t="n"/>
      <c r="R1063" s="278" t="n"/>
      <c r="S1063" s="278" t="n"/>
      <c r="T1063" s="278" t="n"/>
      <c r="U1063" s="278" t="n"/>
      <c r="V1063" s="278" t="n"/>
      <c r="W1063" s="278" t="n"/>
      <c r="X1063" s="278" t="n"/>
      <c r="Y1063" s="278" t="n"/>
      <c r="Z1063" s="278" t="n"/>
      <c r="AA1063" s="278" t="n"/>
      <c r="AB1063" s="278" t="n"/>
      <c r="AC1063" s="278" t="n"/>
      <c r="AD1063" s="278" t="n"/>
    </row>
    <row r="1064" ht="15.5" customHeight="1">
      <c r="B1064" s="288" t="n">
        <v>45632</v>
      </c>
      <c r="C1064" s="289" t="n">
        <v>51</v>
      </c>
      <c r="D1064" s="290" t="inlineStr">
        <is>
          <t>Sewa Virtual Office 1th, 1jan25 - 31des25_BBC_ Ganesha Dwipaya B</t>
        </is>
      </c>
      <c r="E1064" s="287" t="inlineStr">
        <is>
          <t>BCA</t>
        </is>
      </c>
      <c r="F1064" s="283" t="n">
        <v>4995000</v>
      </c>
      <c r="G1064" s="291" t="inlineStr">
        <is>
          <t>IDR</t>
        </is>
      </c>
      <c r="H1064" s="292" t="n">
        <v>1</v>
      </c>
      <c r="I1064" s="280" t="n"/>
      <c r="J1064" s="285" t="n"/>
      <c r="K1064" s="279" t="n"/>
      <c r="L1064" s="283" t="n"/>
      <c r="M1064" s="286" t="n"/>
      <c r="N1064" s="286" t="n"/>
      <c r="O1064" s="283" t="n">
        <v>4995000</v>
      </c>
      <c r="P1064" s="285" t="n"/>
      <c r="Q1064" s="287" t="n"/>
      <c r="R1064" s="278" t="n"/>
      <c r="S1064" s="278" t="n"/>
      <c r="T1064" s="278" t="n"/>
      <c r="U1064" s="278" t="n"/>
      <c r="V1064" s="278" t="n"/>
      <c r="W1064" s="278" t="n"/>
      <c r="X1064" s="278" t="n"/>
      <c r="Y1064" s="278" t="n"/>
      <c r="Z1064" s="278" t="n"/>
      <c r="AA1064" s="278" t="n"/>
      <c r="AB1064" s="278" t="n"/>
      <c r="AC1064" s="278" t="n"/>
      <c r="AD1064" s="278" t="n"/>
    </row>
    <row r="1065" ht="15.5" customHeight="1">
      <c r="B1065" s="279" t="n"/>
      <c r="C1065" s="280" t="n"/>
      <c r="D1065" s="281" t="inlineStr">
        <is>
          <t>Sparepart</t>
        </is>
      </c>
      <c r="E1065" s="282" t="n"/>
      <c r="F1065" s="283" t="n"/>
      <c r="G1065" s="280" t="n"/>
      <c r="H1065" s="284" t="n"/>
      <c r="I1065" s="280" t="n"/>
      <c r="J1065" s="285" t="n"/>
      <c r="K1065" s="279" t="n"/>
      <c r="L1065" s="283" t="n"/>
      <c r="M1065" s="286" t="n"/>
      <c r="N1065" s="286" t="n"/>
      <c r="O1065" s="283" t="n"/>
      <c r="P1065" s="285" t="n"/>
      <c r="Q1065" s="287" t="n"/>
      <c r="R1065" s="278" t="n"/>
      <c r="S1065" s="278" t="n"/>
      <c r="T1065" s="278" t="n"/>
      <c r="U1065" s="278" t="n"/>
      <c r="V1065" s="278" t="n"/>
      <c r="W1065" s="278" t="n"/>
      <c r="X1065" s="278" t="n"/>
      <c r="Y1065" s="278" t="n"/>
      <c r="Z1065" s="278" t="n"/>
      <c r="AA1065" s="278" t="n"/>
      <c r="AB1065" s="278" t="n"/>
      <c r="AC1065" s="278" t="n"/>
      <c r="AD1065" s="278" t="n"/>
    </row>
    <row r="1066" ht="15.5" customHeight="1">
      <c r="B1066" s="288" t="n">
        <v>45476</v>
      </c>
      <c r="C1066" s="289" t="n">
        <v>52</v>
      </c>
      <c r="D1066" s="290" t="inlineStr">
        <is>
          <t>Kekurangan (PPN ) ke PT Garindo sarana Baru (Downhole Sampling)</t>
        </is>
      </c>
      <c r="E1066" s="287" t="inlineStr">
        <is>
          <t>BCA</t>
        </is>
      </c>
      <c r="F1066" s="283" t="n">
        <v>3582000</v>
      </c>
      <c r="G1066" s="291" t="inlineStr">
        <is>
          <t>IDR</t>
        </is>
      </c>
      <c r="H1066" s="292" t="n">
        <v>1</v>
      </c>
      <c r="I1066" s="280" t="n"/>
      <c r="J1066" s="285" t="n"/>
      <c r="K1066" s="279" t="n"/>
      <c r="L1066" s="283" t="n"/>
      <c r="M1066" s="286" t="n"/>
      <c r="N1066" s="286" t="n">
        <v>3582000</v>
      </c>
      <c r="O1066" s="283" t="n"/>
      <c r="P1066" s="285" t="n"/>
      <c r="Q1066" s="287" t="n"/>
      <c r="R1066" s="278" t="n"/>
      <c r="S1066" s="278" t="n"/>
      <c r="T1066" s="278" t="n"/>
      <c r="U1066" s="278" t="n"/>
      <c r="V1066" s="278" t="n"/>
      <c r="W1066" s="278" t="n"/>
      <c r="X1066" s="278" t="n"/>
      <c r="Y1066" s="278" t="n"/>
      <c r="Z1066" s="278" t="n"/>
      <c r="AA1066" s="278" t="n"/>
      <c r="AB1066" s="278" t="n"/>
      <c r="AC1066" s="278" t="n"/>
      <c r="AD1066" s="278" t="n"/>
    </row>
    <row r="1067" ht="15.5" customHeight="1">
      <c r="B1067" s="288" t="n">
        <v>45630</v>
      </c>
      <c r="C1067" s="289" t="n">
        <v>53</v>
      </c>
      <c r="D1067" s="290" t="inlineStr">
        <is>
          <t>Payment ke UPS Biaya Import pembelian sparepart dari Pei-Genesis</t>
        </is>
      </c>
      <c r="E1067" s="287" t="inlineStr">
        <is>
          <t>BRI</t>
        </is>
      </c>
      <c r="F1067" s="283" t="n">
        <v>777246</v>
      </c>
      <c r="G1067" s="291" t="inlineStr">
        <is>
          <t>IDR</t>
        </is>
      </c>
      <c r="H1067" s="292" t="n">
        <v>1</v>
      </c>
      <c r="I1067" s="280" t="n"/>
      <c r="J1067" s="285" t="n"/>
      <c r="K1067" s="279" t="n"/>
      <c r="L1067" s="283" t="n"/>
      <c r="M1067" s="286" t="n"/>
      <c r="N1067" s="286" t="n">
        <v>777246</v>
      </c>
      <c r="O1067" s="283" t="n"/>
      <c r="P1067" s="285" t="n"/>
      <c r="Q1067" s="287" t="n"/>
      <c r="R1067" s="278" t="n"/>
      <c r="S1067" s="278" t="n"/>
      <c r="T1067" s="278" t="n"/>
      <c r="U1067" s="278" t="n"/>
      <c r="V1067" s="278" t="n"/>
      <c r="W1067" s="278" t="n"/>
      <c r="X1067" s="278" t="n"/>
      <c r="Y1067" s="278" t="n"/>
      <c r="Z1067" s="278" t="n"/>
      <c r="AA1067" s="278" t="n"/>
      <c r="AB1067" s="278" t="n"/>
      <c r="AC1067" s="278" t="n"/>
      <c r="AD1067" s="278" t="n"/>
    </row>
    <row r="1068" ht="15.5" customHeight="1">
      <c r="B1068" s="279" t="n"/>
      <c r="C1068" s="280" t="n"/>
      <c r="D1068" s="281" t="inlineStr">
        <is>
          <t>Transportation</t>
        </is>
      </c>
      <c r="E1068" s="282" t="n"/>
      <c r="F1068" s="283" t="n"/>
      <c r="G1068" s="280" t="n"/>
      <c r="H1068" s="284" t="n"/>
      <c r="I1068" s="280" t="n"/>
      <c r="J1068" s="285" t="n"/>
      <c r="K1068" s="279" t="n"/>
      <c r="L1068" s="283" t="n"/>
      <c r="M1068" s="286" t="n"/>
      <c r="N1068" s="286" t="n"/>
      <c r="O1068" s="283" t="n"/>
      <c r="P1068" s="285" t="n"/>
      <c r="Q1068" s="287" t="n"/>
      <c r="R1068" s="278" t="n"/>
      <c r="S1068" s="278" t="n"/>
      <c r="T1068" s="278" t="n"/>
      <c r="U1068" s="278" t="n"/>
      <c r="V1068" s="278" t="n"/>
      <c r="W1068" s="278" t="n"/>
      <c r="X1068" s="278" t="n"/>
      <c r="Y1068" s="278" t="n"/>
      <c r="Z1068" s="278" t="n"/>
      <c r="AA1068" s="278" t="n"/>
      <c r="AB1068" s="278" t="n"/>
      <c r="AC1068" s="278" t="n"/>
      <c r="AD1068" s="278" t="n"/>
    </row>
    <row r="1069" ht="15.5" customHeight="1">
      <c r="B1069" s="288" t="n">
        <v>45422</v>
      </c>
      <c r="C1069" s="289" t="n">
        <v>54</v>
      </c>
      <c r="D1069" s="290" t="inlineStr">
        <is>
          <t>Aro Energy | Moving slickline dari Duri (Toni Supriadi) ke Sungai lilin</t>
        </is>
      </c>
      <c r="E1069" s="287" t="inlineStr">
        <is>
          <t>BCA</t>
        </is>
      </c>
      <c r="F1069" s="283" t="n">
        <v>18000000</v>
      </c>
      <c r="G1069" s="291" t="inlineStr">
        <is>
          <t>IDR</t>
        </is>
      </c>
      <c r="H1069" s="292" t="n">
        <v>1</v>
      </c>
      <c r="I1069" s="280" t="n"/>
      <c r="J1069" s="285" t="n"/>
      <c r="K1069" s="279" t="n"/>
      <c r="L1069" s="283" t="n">
        <v>18000000</v>
      </c>
      <c r="M1069" s="286" t="n"/>
      <c r="N1069" s="286" t="n"/>
      <c r="O1069" s="283" t="n"/>
      <c r="P1069" s="285" t="n"/>
      <c r="Q1069" s="287" t="n"/>
      <c r="R1069" s="278" t="n"/>
      <c r="S1069" s="278" t="n"/>
      <c r="T1069" s="278" t="n"/>
      <c r="U1069" s="278" t="n"/>
      <c r="V1069" s="278" t="n"/>
      <c r="W1069" s="278" t="n"/>
      <c r="X1069" s="278" t="n"/>
      <c r="Y1069" s="278" t="n"/>
      <c r="Z1069" s="278" t="n"/>
      <c r="AA1069" s="278" t="n"/>
      <c r="AB1069" s="278" t="n"/>
      <c r="AC1069" s="278" t="n"/>
      <c r="AD1069" s="278" t="n"/>
    </row>
    <row r="1070" ht="15.5" customHeight="1">
      <c r="B1070" s="288" t="n">
        <v>45601</v>
      </c>
      <c r="C1070" s="289" t="n">
        <v>55</v>
      </c>
      <c r="D1070" s="290" t="inlineStr">
        <is>
          <t>Sales fee 2 Well Integrity Pertamina Z.4</t>
        </is>
      </c>
      <c r="E1070" s="287" t="inlineStr">
        <is>
          <t>BRI</t>
        </is>
      </c>
      <c r="F1070" s="283" t="n">
        <v>38838700</v>
      </c>
      <c r="G1070" s="291" t="inlineStr">
        <is>
          <t>IDR</t>
        </is>
      </c>
      <c r="H1070" s="292" t="n">
        <v>1</v>
      </c>
      <c r="I1070" s="280" t="n"/>
      <c r="J1070" s="285" t="n"/>
      <c r="K1070" s="279" t="n"/>
      <c r="L1070" s="283" t="n">
        <v>38838700</v>
      </c>
      <c r="M1070" s="286" t="n"/>
      <c r="N1070" s="286" t="n"/>
      <c r="O1070" s="283" t="n"/>
      <c r="P1070" s="285" t="n"/>
      <c r="Q1070" s="287" t="n"/>
      <c r="R1070" s="278" t="n"/>
      <c r="S1070" s="278" t="n"/>
      <c r="T1070" s="278" t="n"/>
      <c r="U1070" s="278" t="n"/>
      <c r="V1070" s="278" t="n"/>
      <c r="W1070" s="278" t="n"/>
      <c r="X1070" s="278" t="n"/>
      <c r="Y1070" s="278" t="n"/>
      <c r="Z1070" s="278" t="n"/>
      <c r="AA1070" s="278" t="n"/>
      <c r="AB1070" s="278" t="n"/>
      <c r="AC1070" s="278" t="n"/>
      <c r="AD1070" s="278" t="n"/>
    </row>
    <row r="1071">
      <c r="B1071" s="294" t="n"/>
      <c r="C1071" s="294" t="n"/>
      <c r="D1071" s="295" t="inlineStr">
        <is>
          <t>OPERATION COST AND OFFICE - Expenses Report</t>
        </is>
      </c>
      <c r="E1071" s="294" t="n"/>
      <c r="F1071" s="294" t="n"/>
      <c r="G1071" s="294" t="n"/>
      <c r="H1071" s="294" t="n"/>
      <c r="I1071" s="294" t="n"/>
      <c r="J1071" s="294" t="n"/>
      <c r="K1071" s="294" t="n"/>
      <c r="L1071" s="294" t="n"/>
      <c r="M1071" s="294" t="n"/>
      <c r="N1071" s="294" t="n"/>
      <c r="O1071" s="294" t="n"/>
      <c r="P1071" s="294" t="n"/>
      <c r="Q1071" s="294" t="n"/>
      <c r="R1071" s="278" t="n"/>
      <c r="S1071" s="278" t="n"/>
      <c r="T1071" s="278" t="n"/>
      <c r="U1071" s="278" t="n"/>
      <c r="V1071" s="278" t="n"/>
      <c r="W1071" s="278" t="n"/>
      <c r="X1071" s="278" t="n"/>
      <c r="Y1071" s="278" t="n"/>
      <c r="Z1071" s="278" t="n"/>
      <c r="AA1071" s="278" t="n"/>
      <c r="AB1071" s="278" t="n"/>
      <c r="AC1071" s="278" t="n"/>
      <c r="AD1071" s="278" t="n"/>
    </row>
    <row r="1072">
      <c r="B1072" s="296" t="inlineStr">
        <is>
          <t>Expense#1</t>
        </is>
      </c>
      <c r="C1072" s="297" t="inlineStr">
        <is>
          <t>:</t>
        </is>
      </c>
      <c r="D1072" s="296" t="inlineStr">
        <is>
          <t>ALFA_ TLJ-58 (PEPZ4-Prabumulih field) SIJak- IC</t>
        </is>
      </c>
      <c r="E1072" s="298" t="n"/>
      <c r="F1072" s="298" t="n"/>
      <c r="G1072" s="298" t="n"/>
      <c r="H1072" s="298" t="n"/>
      <c r="I1072" s="298" t="n"/>
      <c r="J1072" s="298" t="n"/>
      <c r="K1072" s="298" t="n"/>
      <c r="L1072" s="298" t="n"/>
      <c r="M1072" s="298" t="n"/>
      <c r="N1072" s="298" t="n"/>
      <c r="O1072" s="298" t="n"/>
      <c r="P1072" s="298" t="n"/>
      <c r="Q1072" s="298" t="n"/>
      <c r="R1072" s="278" t="n"/>
      <c r="S1072" s="278" t="n"/>
      <c r="T1072" s="278" t="n"/>
      <c r="U1072" s="278" t="n"/>
      <c r="V1072" s="278" t="n"/>
      <c r="W1072" s="278" t="n"/>
      <c r="X1072" s="278" t="n"/>
      <c r="Y1072" s="278" t="n"/>
      <c r="Z1072" s="278" t="n"/>
      <c r="AA1072" s="278" t="n"/>
      <c r="AB1072" s="278" t="n"/>
      <c r="AC1072" s="278" t="n"/>
      <c r="AD1072" s="278" t="n"/>
    </row>
    <row r="1073">
      <c r="B1073" s="299" t="n"/>
      <c r="C1073" s="299" t="n"/>
      <c r="D1073" s="300" t="inlineStr">
        <is>
          <t>Accommodation</t>
        </is>
      </c>
      <c r="E1073" s="299" t="n"/>
      <c r="F1073" s="299" t="n"/>
      <c r="G1073" s="299" t="n"/>
      <c r="H1073" s="299" t="n"/>
      <c r="I1073" s="299" t="n"/>
      <c r="J1073" s="299" t="n"/>
      <c r="K1073" s="299" t="n"/>
      <c r="L1073" s="299" t="n"/>
      <c r="M1073" s="299" t="n"/>
      <c r="N1073" s="299" t="n"/>
      <c r="O1073" s="299" t="n"/>
      <c r="P1073" s="299" t="n"/>
      <c r="Q1073" s="299" t="n"/>
      <c r="R1073" s="278" t="n"/>
      <c r="S1073" s="278" t="n"/>
      <c r="T1073" s="278" t="n"/>
      <c r="U1073" s="278" t="n"/>
      <c r="V1073" s="278" t="n"/>
      <c r="W1073" s="278" t="n"/>
      <c r="X1073" s="278" t="n"/>
      <c r="Y1073" s="278" t="n"/>
      <c r="Z1073" s="278" t="n"/>
      <c r="AA1073" s="278" t="n"/>
      <c r="AB1073" s="278" t="n"/>
      <c r="AC1073" s="278" t="n"/>
      <c r="AD1073" s="278" t="n"/>
    </row>
    <row r="1074" ht="15.5" customHeight="1">
      <c r="B1074" s="288" t="n">
        <v>45329</v>
      </c>
      <c r="C1074" s="289" t="n">
        <v>56</v>
      </c>
      <c r="D1074" s="290" t="inlineStr">
        <is>
          <t>Hotel Prabumulih 8 Feb- 7 Mar 2024 (1 Month)</t>
        </is>
      </c>
      <c r="E1074" s="287" t="inlineStr">
        <is>
          <t>-</t>
        </is>
      </c>
      <c r="F1074" s="283" t="n">
        <v>3300000</v>
      </c>
      <c r="G1074" s="291" t="inlineStr">
        <is>
          <t>IDR</t>
        </is>
      </c>
      <c r="H1074" s="292" t="n">
        <v>1</v>
      </c>
      <c r="I1074" s="280" t="n"/>
      <c r="J1074" s="285" t="n"/>
      <c r="K1074" s="279" t="n"/>
      <c r="L1074" s="283" t="n">
        <v>3300000</v>
      </c>
      <c r="M1074" s="286" t="n"/>
      <c r="N1074" s="286" t="n"/>
      <c r="O1074" s="283" t="n"/>
      <c r="P1074" s="285" t="n"/>
      <c r="Q1074" s="287" t="n"/>
      <c r="R1074" s="278" t="n"/>
      <c r="S1074" s="278" t="n"/>
      <c r="T1074" s="278" t="n"/>
      <c r="U1074" s="278" t="n"/>
      <c r="V1074" s="278" t="n"/>
      <c r="W1074" s="278" t="n"/>
      <c r="X1074" s="278" t="n"/>
      <c r="Y1074" s="278" t="n"/>
      <c r="Z1074" s="278" t="n"/>
      <c r="AA1074" s="278" t="n"/>
      <c r="AB1074" s="278" t="n"/>
      <c r="AC1074" s="278" t="n"/>
      <c r="AD1074" s="278" t="n"/>
    </row>
    <row r="1075">
      <c r="B1075" s="299" t="n"/>
      <c r="C1075" s="299" t="n"/>
      <c r="D1075" s="300" t="inlineStr">
        <is>
          <t>Allowance</t>
        </is>
      </c>
      <c r="E1075" s="299" t="n"/>
      <c r="F1075" s="299" t="n"/>
      <c r="G1075" s="299" t="n"/>
      <c r="H1075" s="299" t="n"/>
      <c r="I1075" s="299" t="n"/>
      <c r="J1075" s="299" t="n"/>
      <c r="K1075" s="299" t="n"/>
      <c r="L1075" s="299" t="n"/>
      <c r="M1075" s="299" t="n"/>
      <c r="N1075" s="299" t="n"/>
      <c r="O1075" s="299" t="n"/>
      <c r="P1075" s="299" t="n"/>
      <c r="Q1075" s="299" t="n"/>
      <c r="R1075" s="278" t="n"/>
      <c r="S1075" s="278" t="n"/>
      <c r="T1075" s="278" t="n"/>
      <c r="U1075" s="278" t="n"/>
      <c r="V1075" s="278" t="n"/>
      <c r="W1075" s="278" t="n"/>
      <c r="X1075" s="278" t="n"/>
      <c r="Y1075" s="278" t="n"/>
      <c r="Z1075" s="278" t="n"/>
      <c r="AA1075" s="278" t="n"/>
      <c r="AB1075" s="278" t="n"/>
      <c r="AC1075" s="278" t="n"/>
      <c r="AD1075" s="278" t="n"/>
    </row>
    <row r="1076" ht="15.5" customHeight="1">
      <c r="B1076" s="288" t="n">
        <v>45355</v>
      </c>
      <c r="C1076" s="289" t="n">
        <v>57</v>
      </c>
      <c r="D1076" s="290" t="inlineStr">
        <is>
          <t>Tunjangan Lapangan for 27 days</t>
        </is>
      </c>
      <c r="E1076" s="287" t="inlineStr">
        <is>
          <t>-</t>
        </is>
      </c>
      <c r="F1076" s="283" t="n">
        <v>42589800</v>
      </c>
      <c r="G1076" s="291" t="inlineStr">
        <is>
          <t>USD</t>
        </is>
      </c>
      <c r="H1076" s="292" t="n">
        <v>15774</v>
      </c>
      <c r="I1076" s="280" t="n"/>
      <c r="J1076" s="285" t="n"/>
      <c r="K1076" s="279" t="n"/>
      <c r="L1076" s="283" t="n">
        <v>42589800</v>
      </c>
      <c r="M1076" s="286" t="n"/>
      <c r="N1076" s="286" t="n"/>
      <c r="O1076" s="283" t="n"/>
      <c r="P1076" s="285" t="n"/>
      <c r="Q1076" s="287" t="n"/>
      <c r="R1076" s="278" t="n"/>
      <c r="S1076" s="278" t="n"/>
      <c r="T1076" s="278" t="n"/>
      <c r="U1076" s="278" t="n"/>
      <c r="V1076" s="278" t="n"/>
      <c r="W1076" s="278" t="n"/>
      <c r="X1076" s="278" t="n"/>
      <c r="Y1076" s="278" t="n"/>
      <c r="Z1076" s="278" t="n"/>
      <c r="AA1076" s="278" t="n"/>
      <c r="AB1076" s="278" t="n"/>
      <c r="AC1076" s="278" t="n"/>
      <c r="AD1076" s="278" t="n"/>
    </row>
    <row r="1077">
      <c r="B1077" s="299" t="n"/>
      <c r="C1077" s="299" t="n"/>
      <c r="D1077" s="300" t="inlineStr">
        <is>
          <t>Hand Tools</t>
        </is>
      </c>
      <c r="E1077" s="299" t="n"/>
      <c r="F1077" s="299" t="n"/>
      <c r="G1077" s="299" t="n"/>
      <c r="H1077" s="299" t="n"/>
      <c r="I1077" s="299" t="n"/>
      <c r="J1077" s="299" t="n"/>
      <c r="K1077" s="299" t="n"/>
      <c r="L1077" s="299" t="n"/>
      <c r="M1077" s="299" t="n"/>
      <c r="N1077" s="299" t="n"/>
      <c r="O1077" s="299" t="n"/>
      <c r="P1077" s="299" t="n"/>
      <c r="Q1077" s="299" t="n"/>
      <c r="R1077" s="278" t="n"/>
      <c r="S1077" s="278" t="n"/>
      <c r="T1077" s="278" t="n"/>
      <c r="U1077" s="278" t="n"/>
      <c r="V1077" s="278" t="n"/>
      <c r="W1077" s="278" t="n"/>
      <c r="X1077" s="278" t="n"/>
      <c r="Y1077" s="278" t="n"/>
      <c r="Z1077" s="278" t="n"/>
      <c r="AA1077" s="278" t="n"/>
      <c r="AB1077" s="278" t="n"/>
      <c r="AC1077" s="278" t="n"/>
      <c r="AD1077" s="278" t="n"/>
    </row>
    <row r="1078" ht="15.5" customHeight="1">
      <c r="B1078" s="288" t="n">
        <v>45344</v>
      </c>
      <c r="C1078" s="289" t="n">
        <v>58</v>
      </c>
      <c r="D1078" s="290" t="inlineStr">
        <is>
          <t>Gloves</t>
        </is>
      </c>
      <c r="E1078" s="287" t="inlineStr">
        <is>
          <t>-</t>
        </is>
      </c>
      <c r="F1078" s="283" t="n">
        <v>65000</v>
      </c>
      <c r="G1078" s="291" t="inlineStr">
        <is>
          <t>IDR</t>
        </is>
      </c>
      <c r="H1078" s="292" t="n">
        <v>1</v>
      </c>
      <c r="I1078" s="280" t="n"/>
      <c r="J1078" s="285" t="n"/>
      <c r="K1078" s="279" t="n"/>
      <c r="L1078" s="283" t="n"/>
      <c r="M1078" s="286" t="n"/>
      <c r="N1078" s="286" t="n">
        <v>65000</v>
      </c>
      <c r="O1078" s="283" t="n"/>
      <c r="P1078" s="285" t="n"/>
      <c r="Q1078" s="287" t="n"/>
      <c r="R1078" s="278" t="n"/>
      <c r="S1078" s="278" t="n"/>
      <c r="T1078" s="278" t="n"/>
      <c r="U1078" s="278" t="n"/>
      <c r="V1078" s="278" t="n"/>
      <c r="W1078" s="278" t="n"/>
      <c r="X1078" s="278" t="n"/>
      <c r="Y1078" s="278" t="n"/>
      <c r="Z1078" s="278" t="n"/>
      <c r="AA1078" s="278" t="n"/>
      <c r="AB1078" s="278" t="n"/>
      <c r="AC1078" s="278" t="n"/>
      <c r="AD1078" s="278" t="n"/>
    </row>
    <row r="1079">
      <c r="B1079" s="299" t="n"/>
      <c r="C1079" s="299" t="n"/>
      <c r="D1079" s="300" t="inlineStr">
        <is>
          <t>Laundry</t>
        </is>
      </c>
      <c r="E1079" s="299" t="n"/>
      <c r="F1079" s="299" t="n"/>
      <c r="G1079" s="299" t="n"/>
      <c r="H1079" s="299" t="n"/>
      <c r="I1079" s="299" t="n"/>
      <c r="J1079" s="299" t="n"/>
      <c r="K1079" s="299" t="n"/>
      <c r="L1079" s="299" t="n"/>
      <c r="M1079" s="299" t="n"/>
      <c r="N1079" s="299" t="n"/>
      <c r="O1079" s="299" t="n"/>
      <c r="P1079" s="299" t="n"/>
      <c r="Q1079" s="299" t="n"/>
      <c r="R1079" s="278" t="n"/>
      <c r="S1079" s="278" t="n"/>
      <c r="T1079" s="278" t="n"/>
      <c r="U1079" s="278" t="n"/>
      <c r="V1079" s="278" t="n"/>
      <c r="W1079" s="278" t="n"/>
      <c r="X1079" s="278" t="n"/>
      <c r="Y1079" s="278" t="n"/>
      <c r="Z1079" s="278" t="n"/>
      <c r="AA1079" s="278" t="n"/>
      <c r="AB1079" s="278" t="n"/>
      <c r="AC1079" s="278" t="n"/>
      <c r="AD1079" s="278" t="n"/>
    </row>
    <row r="1080" ht="15.5" customHeight="1">
      <c r="B1080" s="288" t="n">
        <v>45355</v>
      </c>
      <c r="C1080" s="289" t="n">
        <v>59</v>
      </c>
      <c r="D1080" s="290" t="inlineStr">
        <is>
          <t>Laundry 27 days 1 Persons @ 50K IDR/day</t>
        </is>
      </c>
      <c r="E1080" s="287" t="inlineStr">
        <is>
          <t>-</t>
        </is>
      </c>
      <c r="F1080" s="283" t="n">
        <v>1350000</v>
      </c>
      <c r="G1080" s="291" t="inlineStr">
        <is>
          <t>IDR</t>
        </is>
      </c>
      <c r="H1080" s="292" t="n">
        <v>1</v>
      </c>
      <c r="I1080" s="280" t="n"/>
      <c r="J1080" s="285" t="n"/>
      <c r="K1080" s="279" t="n"/>
      <c r="L1080" s="283" t="n">
        <v>1350000</v>
      </c>
      <c r="M1080" s="286" t="n"/>
      <c r="N1080" s="286" t="n"/>
      <c r="O1080" s="283" t="n"/>
      <c r="P1080" s="285" t="n"/>
      <c r="Q1080" s="287" t="n"/>
      <c r="R1080" s="278" t="n"/>
      <c r="S1080" s="278" t="n"/>
      <c r="T1080" s="278" t="n"/>
      <c r="U1080" s="278" t="n"/>
      <c r="V1080" s="278" t="n"/>
      <c r="W1080" s="278" t="n"/>
      <c r="X1080" s="278" t="n"/>
      <c r="Y1080" s="278" t="n"/>
      <c r="Z1080" s="278" t="n"/>
      <c r="AA1080" s="278" t="n"/>
      <c r="AB1080" s="278" t="n"/>
      <c r="AC1080" s="278" t="n"/>
      <c r="AD1080" s="278" t="n"/>
    </row>
    <row r="1081">
      <c r="B1081" s="299" t="n"/>
      <c r="C1081" s="299" t="n"/>
      <c r="D1081" s="300" t="inlineStr">
        <is>
          <t>Meal</t>
        </is>
      </c>
      <c r="E1081" s="299" t="n"/>
      <c r="F1081" s="299" t="n"/>
      <c r="G1081" s="299" t="n"/>
      <c r="H1081" s="299" t="n"/>
      <c r="I1081" s="299" t="n"/>
      <c r="J1081" s="299" t="n"/>
      <c r="K1081" s="299" t="n"/>
      <c r="L1081" s="299" t="n"/>
      <c r="M1081" s="299" t="n"/>
      <c r="N1081" s="299" t="n"/>
      <c r="O1081" s="299" t="n"/>
      <c r="P1081" s="299" t="n"/>
      <c r="Q1081" s="299" t="n"/>
      <c r="R1081" s="278" t="n"/>
      <c r="S1081" s="278" t="n"/>
      <c r="T1081" s="278" t="n"/>
      <c r="U1081" s="278" t="n"/>
      <c r="V1081" s="278" t="n"/>
      <c r="W1081" s="278" t="n"/>
      <c r="X1081" s="278" t="n"/>
      <c r="Y1081" s="278" t="n"/>
      <c r="Z1081" s="278" t="n"/>
      <c r="AA1081" s="278" t="n"/>
      <c r="AB1081" s="278" t="n"/>
      <c r="AC1081" s="278" t="n"/>
      <c r="AD1081" s="278" t="n"/>
    </row>
    <row r="1082" ht="15.5" customHeight="1">
      <c r="B1082" s="288" t="n">
        <v>45355</v>
      </c>
      <c r="C1082" s="289" t="n">
        <v>60</v>
      </c>
      <c r="D1082" s="290" t="inlineStr">
        <is>
          <t>Meals 27 days 1 Persons @ 150K IDR/day</t>
        </is>
      </c>
      <c r="E1082" s="287" t="inlineStr">
        <is>
          <t>-</t>
        </is>
      </c>
      <c r="F1082" s="283" t="n">
        <v>4050000</v>
      </c>
      <c r="G1082" s="291" t="inlineStr">
        <is>
          <t>IDR</t>
        </is>
      </c>
      <c r="H1082" s="292" t="n">
        <v>1</v>
      </c>
      <c r="I1082" s="280" t="n"/>
      <c r="J1082" s="285" t="n"/>
      <c r="K1082" s="279" t="n"/>
      <c r="L1082" s="283" t="n">
        <v>4050000</v>
      </c>
      <c r="M1082" s="286" t="n"/>
      <c r="N1082" s="286" t="n"/>
      <c r="O1082" s="283" t="n"/>
      <c r="P1082" s="285" t="n"/>
      <c r="Q1082" s="287" t="n"/>
      <c r="R1082" s="278" t="n"/>
      <c r="S1082" s="278" t="n"/>
      <c r="T1082" s="278" t="n"/>
      <c r="U1082" s="278" t="n"/>
      <c r="V1082" s="278" t="n"/>
      <c r="W1082" s="278" t="n"/>
      <c r="X1082" s="278" t="n"/>
      <c r="Y1082" s="278" t="n"/>
      <c r="Z1082" s="278" t="n"/>
      <c r="AA1082" s="278" t="n"/>
      <c r="AB1082" s="278" t="n"/>
      <c r="AC1082" s="278" t="n"/>
      <c r="AD1082" s="278" t="n"/>
    </row>
    <row r="1083">
      <c r="B1083" s="299" t="n"/>
      <c r="C1083" s="299" t="n"/>
      <c r="D1083" s="300" t="inlineStr">
        <is>
          <t>Sparepart</t>
        </is>
      </c>
      <c r="E1083" s="299" t="n"/>
      <c r="F1083" s="299" t="n"/>
      <c r="G1083" s="299" t="n"/>
      <c r="H1083" s="299" t="n"/>
      <c r="I1083" s="299" t="n"/>
      <c r="J1083" s="299" t="n"/>
      <c r="K1083" s="299" t="n"/>
      <c r="L1083" s="299" t="n"/>
      <c r="M1083" s="299" t="n"/>
      <c r="N1083" s="299" t="n"/>
      <c r="O1083" s="299" t="n"/>
      <c r="P1083" s="299" t="n"/>
      <c r="Q1083" s="299" t="n"/>
      <c r="R1083" s="278" t="n"/>
      <c r="S1083" s="278" t="n"/>
      <c r="T1083" s="278" t="n"/>
      <c r="U1083" s="278" t="n"/>
      <c r="V1083" s="278" t="n"/>
      <c r="W1083" s="278" t="n"/>
      <c r="X1083" s="278" t="n"/>
      <c r="Y1083" s="278" t="n"/>
      <c r="Z1083" s="278" t="n"/>
      <c r="AA1083" s="278" t="n"/>
      <c r="AB1083" s="278" t="n"/>
      <c r="AC1083" s="278" t="n"/>
      <c r="AD1083" s="278" t="n"/>
    </row>
    <row r="1084" ht="15.5" customHeight="1">
      <c r="B1084" s="288" t="n">
        <v>45350</v>
      </c>
      <c r="C1084" s="289" t="n">
        <v>61</v>
      </c>
      <c r="D1084" s="290" t="inlineStr">
        <is>
          <t>Internet Data</t>
        </is>
      </c>
      <c r="E1084" s="287" t="inlineStr">
        <is>
          <t>-</t>
        </is>
      </c>
      <c r="F1084" s="283" t="n">
        <v>87000</v>
      </c>
      <c r="G1084" s="291" t="inlineStr">
        <is>
          <t>IDR</t>
        </is>
      </c>
      <c r="H1084" s="292" t="n">
        <v>1</v>
      </c>
      <c r="I1084" s="280" t="n"/>
      <c r="J1084" s="285" t="n"/>
      <c r="K1084" s="279" t="n"/>
      <c r="L1084" s="283" t="n"/>
      <c r="M1084" s="286" t="n"/>
      <c r="N1084" s="286" t="n">
        <v>87000</v>
      </c>
      <c r="O1084" s="283" t="n"/>
      <c r="P1084" s="285" t="n"/>
      <c r="Q1084" s="287" t="n"/>
      <c r="R1084" s="278" t="n"/>
      <c r="S1084" s="278" t="n"/>
      <c r="T1084" s="278" t="n"/>
      <c r="U1084" s="278" t="n"/>
      <c r="V1084" s="278" t="n"/>
      <c r="W1084" s="278" t="n"/>
      <c r="X1084" s="278" t="n"/>
      <c r="Y1084" s="278" t="n"/>
      <c r="Z1084" s="278" t="n"/>
      <c r="AA1084" s="278" t="n"/>
      <c r="AB1084" s="278" t="n"/>
      <c r="AC1084" s="278" t="n"/>
      <c r="AD1084" s="278" t="n"/>
    </row>
    <row r="1085">
      <c r="B1085" s="299" t="n"/>
      <c r="C1085" s="299" t="n"/>
      <c r="D1085" s="300" t="inlineStr">
        <is>
          <t>Transportation</t>
        </is>
      </c>
      <c r="E1085" s="299" t="n"/>
      <c r="F1085" s="299" t="n"/>
      <c r="G1085" s="299" t="n"/>
      <c r="H1085" s="299" t="n"/>
      <c r="I1085" s="299" t="n"/>
      <c r="J1085" s="299" t="n"/>
      <c r="K1085" s="299" t="n"/>
      <c r="L1085" s="299" t="n"/>
      <c r="M1085" s="299" t="n"/>
      <c r="N1085" s="299" t="n"/>
      <c r="O1085" s="299" t="n"/>
      <c r="P1085" s="299" t="n"/>
      <c r="Q1085" s="299" t="n"/>
      <c r="R1085" s="278" t="n"/>
      <c r="S1085" s="278" t="n"/>
      <c r="T1085" s="278" t="n"/>
      <c r="U1085" s="278" t="n"/>
      <c r="V1085" s="278" t="n"/>
      <c r="W1085" s="278" t="n"/>
      <c r="X1085" s="278" t="n"/>
      <c r="Y1085" s="278" t="n"/>
      <c r="Z1085" s="278" t="n"/>
      <c r="AA1085" s="278" t="n"/>
      <c r="AB1085" s="278" t="n"/>
      <c r="AC1085" s="278" t="n"/>
      <c r="AD1085" s="278" t="n"/>
    </row>
    <row r="1086" ht="15.5" customHeight="1">
      <c r="B1086" s="288" t="n">
        <v>45355</v>
      </c>
      <c r="C1086" s="289" t="n">
        <v>62</v>
      </c>
      <c r="D1086" s="290" t="inlineStr">
        <is>
          <t>Toll Fee</t>
        </is>
      </c>
      <c r="E1086" s="287" t="inlineStr">
        <is>
          <t>-</t>
        </is>
      </c>
      <c r="F1086" s="283" t="n">
        <v>378000</v>
      </c>
      <c r="G1086" s="291" t="inlineStr">
        <is>
          <t>IDR</t>
        </is>
      </c>
      <c r="H1086" s="292" t="n">
        <v>1</v>
      </c>
      <c r="I1086" s="280" t="n"/>
      <c r="J1086" s="285" t="n"/>
      <c r="K1086" s="279" t="n"/>
      <c r="L1086" s="283" t="n">
        <v>378000</v>
      </c>
      <c r="M1086" s="286" t="n"/>
      <c r="N1086" s="286" t="n"/>
      <c r="O1086" s="283" t="n"/>
      <c r="P1086" s="285" t="n"/>
      <c r="Q1086" s="287" t="n"/>
      <c r="R1086" s="278" t="n"/>
      <c r="S1086" s="278" t="n"/>
      <c r="T1086" s="278" t="n"/>
      <c r="U1086" s="278" t="n"/>
      <c r="V1086" s="278" t="n"/>
      <c r="W1086" s="278" t="n"/>
      <c r="X1086" s="278" t="n"/>
      <c r="Y1086" s="278" t="n"/>
      <c r="Z1086" s="278" t="n"/>
      <c r="AA1086" s="278" t="n"/>
      <c r="AB1086" s="278" t="n"/>
      <c r="AC1086" s="278" t="n"/>
      <c r="AD1086" s="278" t="n"/>
    </row>
    <row r="1087">
      <c r="B1087" s="296" t="inlineStr">
        <is>
          <t>Expense#2</t>
        </is>
      </c>
      <c r="C1087" s="297" t="inlineStr">
        <is>
          <t>:</t>
        </is>
      </c>
      <c r="D1087" s="296" t="inlineStr">
        <is>
          <t>Training ALFA _TLJ-58 (PEPZ4-Prabumulih field_ Titis Maulana</t>
        </is>
      </c>
      <c r="E1087" s="298" t="n"/>
      <c r="F1087" s="298" t="n"/>
      <c r="G1087" s="298" t="n"/>
      <c r="H1087" s="298" t="n"/>
      <c r="I1087" s="298" t="n"/>
      <c r="J1087" s="298" t="n"/>
      <c r="K1087" s="298" t="n"/>
      <c r="L1087" s="298" t="n"/>
      <c r="M1087" s="298" t="n"/>
      <c r="N1087" s="298" t="n"/>
      <c r="O1087" s="298" t="n"/>
      <c r="P1087" s="298" t="n"/>
      <c r="Q1087" s="298" t="n"/>
      <c r="R1087" s="278" t="n"/>
      <c r="S1087" s="278" t="n"/>
      <c r="T1087" s="278" t="n"/>
      <c r="U1087" s="278" t="n"/>
      <c r="V1087" s="278" t="n"/>
      <c r="W1087" s="278" t="n"/>
      <c r="X1087" s="278" t="n"/>
      <c r="Y1087" s="278" t="n"/>
      <c r="Z1087" s="278" t="n"/>
      <c r="AA1087" s="278" t="n"/>
      <c r="AB1087" s="278" t="n"/>
      <c r="AC1087" s="278" t="n"/>
      <c r="AD1087" s="278" t="n"/>
    </row>
    <row r="1088">
      <c r="B1088" s="299" t="n"/>
      <c r="C1088" s="299" t="n"/>
      <c r="D1088" s="300" t="inlineStr">
        <is>
          <t>Hand Tools</t>
        </is>
      </c>
      <c r="E1088" s="299" t="n"/>
      <c r="F1088" s="299" t="n"/>
      <c r="G1088" s="299" t="n"/>
      <c r="H1088" s="299" t="n"/>
      <c r="I1088" s="299" t="n"/>
      <c r="J1088" s="299" t="n"/>
      <c r="K1088" s="299" t="n"/>
      <c r="L1088" s="299" t="n"/>
      <c r="M1088" s="299" t="n"/>
      <c r="N1088" s="299" t="n"/>
      <c r="O1088" s="299" t="n"/>
      <c r="P1088" s="299" t="n"/>
      <c r="Q1088" s="299" t="n"/>
      <c r="R1088" s="278" t="n"/>
      <c r="S1088" s="278" t="n"/>
      <c r="T1088" s="278" t="n"/>
      <c r="U1088" s="278" t="n"/>
      <c r="V1088" s="278" t="n"/>
      <c r="W1088" s="278" t="n"/>
      <c r="X1088" s="278" t="n"/>
      <c r="Y1088" s="278" t="n"/>
      <c r="Z1088" s="278" t="n"/>
      <c r="AA1088" s="278" t="n"/>
      <c r="AB1088" s="278" t="n"/>
      <c r="AC1088" s="278" t="n"/>
      <c r="AD1088" s="278" t="n"/>
    </row>
    <row r="1089" ht="15.5" customHeight="1">
      <c r="B1089" s="288" t="n">
        <v>45324</v>
      </c>
      <c r="C1089" s="289" t="n">
        <v>63</v>
      </c>
      <c r="D1089" s="290" t="inlineStr">
        <is>
          <t>Safety Shoes</t>
        </is>
      </c>
      <c r="E1089" s="287" t="inlineStr">
        <is>
          <t>-</t>
        </is>
      </c>
      <c r="F1089" s="283" t="n">
        <v>499940</v>
      </c>
      <c r="G1089" s="291" t="inlineStr">
        <is>
          <t>IDR</t>
        </is>
      </c>
      <c r="H1089" s="292" t="n">
        <v>1</v>
      </c>
      <c r="I1089" s="280" t="n"/>
      <c r="J1089" s="285" t="n"/>
      <c r="K1089" s="279" t="n"/>
      <c r="L1089" s="283" t="n"/>
      <c r="M1089" s="286" t="n"/>
      <c r="N1089" s="286" t="n">
        <v>499940</v>
      </c>
      <c r="O1089" s="283" t="n"/>
      <c r="P1089" s="285" t="n"/>
      <c r="Q1089" s="287" t="n"/>
      <c r="R1089" s="278" t="n"/>
      <c r="S1089" s="278" t="n"/>
      <c r="T1089" s="278" t="n"/>
      <c r="U1089" s="278" t="n"/>
      <c r="V1089" s="278" t="n"/>
      <c r="W1089" s="278" t="n"/>
      <c r="X1089" s="278" t="n"/>
      <c r="Y1089" s="278" t="n"/>
      <c r="Z1089" s="278" t="n"/>
      <c r="AA1089" s="278" t="n"/>
      <c r="AB1089" s="278" t="n"/>
      <c r="AC1089" s="278" t="n"/>
      <c r="AD1089" s="278" t="n"/>
    </row>
    <row r="1090">
      <c r="B1090" s="299" t="n"/>
      <c r="C1090" s="299" t="n"/>
      <c r="D1090" s="300" t="inlineStr">
        <is>
          <t>Laundry</t>
        </is>
      </c>
      <c r="E1090" s="299" t="n"/>
      <c r="F1090" s="299" t="n"/>
      <c r="G1090" s="299" t="n"/>
      <c r="H1090" s="299" t="n"/>
      <c r="I1090" s="299" t="n"/>
      <c r="J1090" s="299" t="n"/>
      <c r="K1090" s="299" t="n"/>
      <c r="L1090" s="299" t="n"/>
      <c r="M1090" s="299" t="n"/>
      <c r="N1090" s="299" t="n"/>
      <c r="O1090" s="299" t="n"/>
      <c r="P1090" s="299" t="n"/>
      <c r="Q1090" s="299" t="n"/>
      <c r="R1090" s="278" t="n"/>
      <c r="S1090" s="278" t="n"/>
      <c r="T1090" s="278" t="n"/>
      <c r="U1090" s="278" t="n"/>
      <c r="V1090" s="278" t="n"/>
      <c r="W1090" s="278" t="n"/>
      <c r="X1090" s="278" t="n"/>
      <c r="Y1090" s="278" t="n"/>
      <c r="Z1090" s="278" t="n"/>
      <c r="AA1090" s="278" t="n"/>
      <c r="AB1090" s="278" t="n"/>
      <c r="AC1090" s="278" t="n"/>
      <c r="AD1090" s="278" t="n"/>
    </row>
    <row r="1091" ht="15.5" customHeight="1">
      <c r="B1091" s="288" t="n">
        <v>45358</v>
      </c>
      <c r="C1091" s="289" t="n">
        <v>64</v>
      </c>
      <c r="D1091" s="290" t="inlineStr">
        <is>
          <t>Laundry 30 days 1 Persons @ 50K IDR/day</t>
        </is>
      </c>
      <c r="E1091" s="287" t="inlineStr">
        <is>
          <t>-</t>
        </is>
      </c>
      <c r="F1091" s="283" t="n">
        <v>1500000</v>
      </c>
      <c r="G1091" s="291" t="inlineStr">
        <is>
          <t>IDR</t>
        </is>
      </c>
      <c r="H1091" s="292" t="n">
        <v>1</v>
      </c>
      <c r="I1091" s="280" t="n"/>
      <c r="J1091" s="285" t="n"/>
      <c r="K1091" s="279" t="n"/>
      <c r="L1091" s="283" t="n">
        <v>1500000</v>
      </c>
      <c r="M1091" s="286" t="n"/>
      <c r="N1091" s="286" t="n"/>
      <c r="O1091" s="283" t="n"/>
      <c r="P1091" s="285" t="n"/>
      <c r="Q1091" s="287" t="n"/>
      <c r="R1091" s="278" t="n"/>
      <c r="S1091" s="278" t="n"/>
      <c r="T1091" s="278" t="n"/>
      <c r="U1091" s="278" t="n"/>
      <c r="V1091" s="278" t="n"/>
      <c r="W1091" s="278" t="n"/>
      <c r="X1091" s="278" t="n"/>
      <c r="Y1091" s="278" t="n"/>
      <c r="Z1091" s="278" t="n"/>
      <c r="AA1091" s="278" t="n"/>
      <c r="AB1091" s="278" t="n"/>
      <c r="AC1091" s="278" t="n"/>
      <c r="AD1091" s="278" t="n"/>
    </row>
    <row r="1092">
      <c r="B1092" s="299" t="n"/>
      <c r="C1092" s="299" t="n"/>
      <c r="D1092" s="300" t="inlineStr">
        <is>
          <t>Logistic</t>
        </is>
      </c>
      <c r="E1092" s="299" t="n"/>
      <c r="F1092" s="299" t="n"/>
      <c r="G1092" s="299" t="n"/>
      <c r="H1092" s="299" t="n"/>
      <c r="I1092" s="299" t="n"/>
      <c r="J1092" s="299" t="n"/>
      <c r="K1092" s="299" t="n"/>
      <c r="L1092" s="299" t="n"/>
      <c r="M1092" s="299" t="n"/>
      <c r="N1092" s="299" t="n"/>
      <c r="O1092" s="299" t="n"/>
      <c r="P1092" s="299" t="n"/>
      <c r="Q1092" s="299" t="n"/>
      <c r="R1092" s="278" t="n"/>
      <c r="S1092" s="278" t="n"/>
      <c r="T1092" s="278" t="n"/>
      <c r="U1092" s="278" t="n"/>
      <c r="V1092" s="278" t="n"/>
      <c r="W1092" s="278" t="n"/>
      <c r="X1092" s="278" t="n"/>
      <c r="Y1092" s="278" t="n"/>
      <c r="Z1092" s="278" t="n"/>
      <c r="AA1092" s="278" t="n"/>
      <c r="AB1092" s="278" t="n"/>
      <c r="AC1092" s="278" t="n"/>
      <c r="AD1092" s="278" t="n"/>
    </row>
    <row r="1093" ht="15.5" customHeight="1">
      <c r="B1093" s="288" t="n">
        <v>45358</v>
      </c>
      <c r="C1093" s="289" t="n">
        <v>65</v>
      </c>
      <c r="D1093" s="290" t="inlineStr">
        <is>
          <t>Extra Baggage</t>
        </is>
      </c>
      <c r="E1093" s="287" t="inlineStr">
        <is>
          <t>-</t>
        </is>
      </c>
      <c r="F1093" s="283" t="n">
        <v>540000</v>
      </c>
      <c r="G1093" s="291" t="inlineStr">
        <is>
          <t>IDR</t>
        </is>
      </c>
      <c r="H1093" s="292" t="n">
        <v>1</v>
      </c>
      <c r="I1093" s="280" t="n"/>
      <c r="J1093" s="285" t="n"/>
      <c r="K1093" s="279" t="n"/>
      <c r="L1093" s="283" t="n"/>
      <c r="M1093" s="286" t="n"/>
      <c r="N1093" s="286" t="n">
        <v>540000</v>
      </c>
      <c r="O1093" s="283" t="n"/>
      <c r="P1093" s="285" t="n"/>
      <c r="Q1093" s="287" t="n"/>
      <c r="R1093" s="278" t="n"/>
      <c r="S1093" s="278" t="n"/>
      <c r="T1093" s="278" t="n"/>
      <c r="U1093" s="278" t="n"/>
      <c r="V1093" s="278" t="n"/>
      <c r="W1093" s="278" t="n"/>
      <c r="X1093" s="278" t="n"/>
      <c r="Y1093" s="278" t="n"/>
      <c r="Z1093" s="278" t="n"/>
      <c r="AA1093" s="278" t="n"/>
      <c r="AB1093" s="278" t="n"/>
      <c r="AC1093" s="278" t="n"/>
      <c r="AD1093" s="278" t="n"/>
    </row>
    <row r="1094">
      <c r="B1094" s="299" t="n"/>
      <c r="C1094" s="299" t="n"/>
      <c r="D1094" s="300" t="inlineStr">
        <is>
          <t>Meal</t>
        </is>
      </c>
      <c r="E1094" s="299" t="n"/>
      <c r="F1094" s="299" t="n"/>
      <c r="G1094" s="299" t="n"/>
      <c r="H1094" s="299" t="n"/>
      <c r="I1094" s="299" t="n"/>
      <c r="J1094" s="299" t="n"/>
      <c r="K1094" s="299" t="n"/>
      <c r="L1094" s="299" t="n"/>
      <c r="M1094" s="299" t="n"/>
      <c r="N1094" s="299" t="n"/>
      <c r="O1094" s="299" t="n"/>
      <c r="P1094" s="299" t="n"/>
      <c r="Q1094" s="299" t="n"/>
      <c r="R1094" s="278" t="n"/>
      <c r="S1094" s="278" t="n"/>
      <c r="T1094" s="278" t="n"/>
      <c r="U1094" s="278" t="n"/>
      <c r="V1094" s="278" t="n"/>
      <c r="W1094" s="278" t="n"/>
      <c r="X1094" s="278" t="n"/>
      <c r="Y1094" s="278" t="n"/>
      <c r="Z1094" s="278" t="n"/>
      <c r="AA1094" s="278" t="n"/>
      <c r="AB1094" s="278" t="n"/>
      <c r="AC1094" s="278" t="n"/>
      <c r="AD1094" s="278" t="n"/>
    </row>
    <row r="1095" ht="15.5" customHeight="1">
      <c r="B1095" s="288" t="n">
        <v>45358</v>
      </c>
      <c r="C1095" s="289" t="n">
        <v>66</v>
      </c>
      <c r="D1095" s="290" t="inlineStr">
        <is>
          <t>Meals 30 days 1 Persons @ 150K IDR/day</t>
        </is>
      </c>
      <c r="E1095" s="287" t="inlineStr">
        <is>
          <t>-</t>
        </is>
      </c>
      <c r="F1095" s="283" t="n">
        <v>4500000</v>
      </c>
      <c r="G1095" s="291" t="inlineStr">
        <is>
          <t>IDR</t>
        </is>
      </c>
      <c r="H1095" s="292" t="n">
        <v>1</v>
      </c>
      <c r="I1095" s="280" t="n"/>
      <c r="J1095" s="285" t="n"/>
      <c r="K1095" s="279" t="n"/>
      <c r="L1095" s="283" t="n">
        <v>4500000</v>
      </c>
      <c r="M1095" s="286" t="n"/>
      <c r="N1095" s="286" t="n"/>
      <c r="O1095" s="283" t="n"/>
      <c r="P1095" s="285" t="n"/>
      <c r="Q1095" s="287" t="n"/>
      <c r="R1095" s="278" t="n"/>
      <c r="S1095" s="278" t="n"/>
      <c r="T1095" s="278" t="n"/>
      <c r="U1095" s="278" t="n"/>
      <c r="V1095" s="278" t="n"/>
      <c r="W1095" s="278" t="n"/>
      <c r="X1095" s="278" t="n"/>
      <c r="Y1095" s="278" t="n"/>
      <c r="Z1095" s="278" t="n"/>
      <c r="AA1095" s="278" t="n"/>
      <c r="AB1095" s="278" t="n"/>
      <c r="AC1095" s="278" t="n"/>
      <c r="AD1095" s="278" t="n"/>
    </row>
    <row r="1096">
      <c r="B1096" s="299" t="n"/>
      <c r="C1096" s="299" t="n"/>
      <c r="D1096" s="300" t="inlineStr">
        <is>
          <t>Sparepart</t>
        </is>
      </c>
      <c r="E1096" s="299" t="n"/>
      <c r="F1096" s="299" t="n"/>
      <c r="G1096" s="299" t="n"/>
      <c r="H1096" s="299" t="n"/>
      <c r="I1096" s="299" t="n"/>
      <c r="J1096" s="299" t="n"/>
      <c r="K1096" s="299" t="n"/>
      <c r="L1096" s="299" t="n"/>
      <c r="M1096" s="299" t="n"/>
      <c r="N1096" s="299" t="n"/>
      <c r="O1096" s="299" t="n"/>
      <c r="P1096" s="299" t="n"/>
      <c r="Q1096" s="299" t="n"/>
      <c r="R1096" s="278" t="n"/>
      <c r="S1096" s="278" t="n"/>
      <c r="T1096" s="278" t="n"/>
      <c r="U1096" s="278" t="n"/>
      <c r="V1096" s="278" t="n"/>
      <c r="W1096" s="278" t="n"/>
      <c r="X1096" s="278" t="n"/>
      <c r="Y1096" s="278" t="n"/>
      <c r="Z1096" s="278" t="n"/>
      <c r="AA1096" s="278" t="n"/>
      <c r="AB1096" s="278" t="n"/>
      <c r="AC1096" s="278" t="n"/>
      <c r="AD1096" s="278" t="n"/>
    </row>
    <row r="1097" ht="15.5" customHeight="1">
      <c r="B1097" s="288" t="n">
        <v>45354</v>
      </c>
      <c r="C1097" s="289" t="n">
        <v>67</v>
      </c>
      <c r="D1097" s="290" t="inlineStr">
        <is>
          <t>Internet Data</t>
        </is>
      </c>
      <c r="E1097" s="287" t="inlineStr">
        <is>
          <t>-</t>
        </is>
      </c>
      <c r="F1097" s="283" t="n">
        <v>70000</v>
      </c>
      <c r="G1097" s="291" t="inlineStr">
        <is>
          <t>IDR</t>
        </is>
      </c>
      <c r="H1097" s="292" t="n">
        <v>1</v>
      </c>
      <c r="I1097" s="280" t="n"/>
      <c r="J1097" s="285" t="n"/>
      <c r="K1097" s="279" t="n"/>
      <c r="L1097" s="283" t="n"/>
      <c r="M1097" s="286" t="n"/>
      <c r="N1097" s="286" t="n">
        <v>70000</v>
      </c>
      <c r="O1097" s="283" t="n"/>
      <c r="P1097" s="285" t="n"/>
      <c r="Q1097" s="287" t="n"/>
      <c r="R1097" s="278" t="n"/>
      <c r="S1097" s="278" t="n"/>
      <c r="T1097" s="278" t="n"/>
      <c r="U1097" s="278" t="n"/>
      <c r="V1097" s="278" t="n"/>
      <c r="W1097" s="278" t="n"/>
      <c r="X1097" s="278" t="n"/>
      <c r="Y1097" s="278" t="n"/>
      <c r="Z1097" s="278" t="n"/>
      <c r="AA1097" s="278" t="n"/>
      <c r="AB1097" s="278" t="n"/>
      <c r="AC1097" s="278" t="n"/>
      <c r="AD1097" s="278" t="n"/>
    </row>
    <row r="1098">
      <c r="B1098" s="299" t="n"/>
      <c r="C1098" s="299" t="n"/>
      <c r="D1098" s="300" t="inlineStr">
        <is>
          <t>Transportation</t>
        </is>
      </c>
      <c r="E1098" s="299" t="n"/>
      <c r="F1098" s="299" t="n"/>
      <c r="G1098" s="299" t="n"/>
      <c r="H1098" s="299" t="n"/>
      <c r="I1098" s="299" t="n"/>
      <c r="J1098" s="299" t="n"/>
      <c r="K1098" s="299" t="n"/>
      <c r="L1098" s="299" t="n"/>
      <c r="M1098" s="299" t="n"/>
      <c r="N1098" s="299" t="n"/>
      <c r="O1098" s="299" t="n"/>
      <c r="P1098" s="299" t="n"/>
      <c r="Q1098" s="299" t="n"/>
      <c r="R1098" s="278" t="n"/>
      <c r="S1098" s="278" t="n"/>
      <c r="T1098" s="278" t="n"/>
      <c r="U1098" s="278" t="n"/>
      <c r="V1098" s="278" t="n"/>
      <c r="W1098" s="278" t="n"/>
      <c r="X1098" s="278" t="n"/>
      <c r="Y1098" s="278" t="n"/>
      <c r="Z1098" s="278" t="n"/>
      <c r="AA1098" s="278" t="n"/>
      <c r="AB1098" s="278" t="n"/>
      <c r="AC1098" s="278" t="n"/>
      <c r="AD1098" s="278" t="n"/>
    </row>
    <row r="1099" ht="15.5" customHeight="1">
      <c r="B1099" s="288" t="n">
        <v>45358</v>
      </c>
      <c r="C1099" s="289" t="n">
        <v>68</v>
      </c>
      <c r="D1099" s="290" t="inlineStr">
        <is>
          <t>Tunjangan Lapangan (Training) untuk 27 days</t>
        </is>
      </c>
      <c r="E1099" s="287" t="inlineStr">
        <is>
          <t>-</t>
        </is>
      </c>
      <c r="F1099" s="283" t="n">
        <v>11705250</v>
      </c>
      <c r="G1099" s="291" t="inlineStr">
        <is>
          <t>USD</t>
        </is>
      </c>
      <c r="H1099" s="292" t="n">
        <v>15607</v>
      </c>
      <c r="I1099" s="280" t="n"/>
      <c r="J1099" s="285" t="n"/>
      <c r="K1099" s="279" t="n"/>
      <c r="L1099" s="283" t="n">
        <v>11705250</v>
      </c>
      <c r="M1099" s="286" t="n"/>
      <c r="N1099" s="286" t="n"/>
      <c r="O1099" s="283" t="n"/>
      <c r="P1099" s="285" t="n"/>
      <c r="Q1099" s="287" t="n"/>
      <c r="R1099" s="278" t="n"/>
      <c r="S1099" s="278" t="n"/>
      <c r="T1099" s="278" t="n"/>
      <c r="U1099" s="278" t="n"/>
      <c r="V1099" s="278" t="n"/>
      <c r="W1099" s="278" t="n"/>
      <c r="X1099" s="278" t="n"/>
      <c r="Y1099" s="278" t="n"/>
      <c r="Z1099" s="278" t="n"/>
      <c r="AA1099" s="278" t="n"/>
      <c r="AB1099" s="278" t="n"/>
      <c r="AC1099" s="278" t="n"/>
      <c r="AD1099" s="278" t="n"/>
    </row>
    <row r="1100">
      <c r="B1100" s="296" t="inlineStr">
        <is>
          <t>Expense#3</t>
        </is>
      </c>
      <c r="C1100" s="297" t="inlineStr">
        <is>
          <t>:</t>
        </is>
      </c>
      <c r="D1100" s="296" t="inlineStr">
        <is>
          <t>MPLT (SAKA-UjungPangkah field) GOWell - TGE _IC</t>
        </is>
      </c>
      <c r="E1100" s="298" t="n"/>
      <c r="F1100" s="298" t="n"/>
      <c r="G1100" s="298" t="n"/>
      <c r="H1100" s="298" t="n"/>
      <c r="I1100" s="298" t="n"/>
      <c r="J1100" s="298" t="n"/>
      <c r="K1100" s="298" t="n"/>
      <c r="L1100" s="298" t="n"/>
      <c r="M1100" s="298" t="n"/>
      <c r="N1100" s="298" t="n"/>
      <c r="O1100" s="298" t="n"/>
      <c r="P1100" s="298" t="n"/>
      <c r="Q1100" s="298" t="n"/>
      <c r="R1100" s="278" t="n"/>
      <c r="S1100" s="278" t="n"/>
      <c r="T1100" s="278" t="n"/>
      <c r="U1100" s="278" t="n"/>
      <c r="V1100" s="278" t="n"/>
      <c r="W1100" s="278" t="n"/>
      <c r="X1100" s="278" t="n"/>
      <c r="Y1100" s="278" t="n"/>
      <c r="Z1100" s="278" t="n"/>
      <c r="AA1100" s="278" t="n"/>
      <c r="AB1100" s="278" t="n"/>
      <c r="AC1100" s="278" t="n"/>
      <c r="AD1100" s="278" t="n"/>
    </row>
    <row r="1101">
      <c r="B1101" s="299" t="n"/>
      <c r="C1101" s="299" t="n"/>
      <c r="D1101" s="300" t="inlineStr">
        <is>
          <t>Allowance</t>
        </is>
      </c>
      <c r="E1101" s="299" t="n"/>
      <c r="F1101" s="299" t="n"/>
      <c r="G1101" s="299" t="n"/>
      <c r="H1101" s="299" t="n"/>
      <c r="I1101" s="299" t="n"/>
      <c r="J1101" s="299" t="n"/>
      <c r="K1101" s="299" t="n"/>
      <c r="L1101" s="299" t="n"/>
      <c r="M1101" s="299" t="n"/>
      <c r="N1101" s="299" t="n"/>
      <c r="O1101" s="299" t="n"/>
      <c r="P1101" s="299" t="n"/>
      <c r="Q1101" s="299" t="n"/>
      <c r="R1101" s="278" t="n"/>
      <c r="S1101" s="278" t="n"/>
      <c r="T1101" s="278" t="n"/>
      <c r="U1101" s="278" t="n"/>
      <c r="V1101" s="278" t="n"/>
      <c r="W1101" s="278" t="n"/>
      <c r="X1101" s="278" t="n"/>
      <c r="Y1101" s="278" t="n"/>
      <c r="Z1101" s="278" t="n"/>
      <c r="AA1101" s="278" t="n"/>
      <c r="AB1101" s="278" t="n"/>
      <c r="AC1101" s="278" t="n"/>
      <c r="AD1101" s="278" t="n"/>
    </row>
    <row r="1102" ht="15.5" customHeight="1">
      <c r="B1102" s="288" t="n">
        <v>45375</v>
      </c>
      <c r="C1102" s="289" t="n">
        <v>69</v>
      </c>
      <c r="D1102" s="290" t="inlineStr">
        <is>
          <t>Tunjangan Lapangan untuk 6 days</t>
        </is>
      </c>
      <c r="E1102" s="287" t="inlineStr">
        <is>
          <t>-</t>
        </is>
      </c>
      <c r="F1102" s="283" t="n">
        <v>9501000</v>
      </c>
      <c r="G1102" s="291" t="inlineStr">
        <is>
          <t>USD</t>
        </is>
      </c>
      <c r="H1102" s="292" t="n">
        <v>15835</v>
      </c>
      <c r="I1102" s="280" t="n"/>
      <c r="J1102" s="285" t="n"/>
      <c r="K1102" s="279" t="n"/>
      <c r="L1102" s="283" t="n">
        <v>9501000</v>
      </c>
      <c r="M1102" s="286" t="n"/>
      <c r="N1102" s="286" t="n"/>
      <c r="O1102" s="283" t="n"/>
      <c r="P1102" s="285" t="n"/>
      <c r="Q1102" s="287" t="n"/>
      <c r="R1102" s="278" t="n"/>
      <c r="S1102" s="278" t="n"/>
      <c r="T1102" s="278" t="n"/>
      <c r="U1102" s="278" t="n"/>
      <c r="V1102" s="278" t="n"/>
      <c r="W1102" s="278" t="n"/>
      <c r="X1102" s="278" t="n"/>
      <c r="Y1102" s="278" t="n"/>
      <c r="Z1102" s="278" t="n"/>
      <c r="AA1102" s="278" t="n"/>
      <c r="AB1102" s="278" t="n"/>
      <c r="AC1102" s="278" t="n"/>
      <c r="AD1102" s="278" t="n"/>
    </row>
    <row r="1103">
      <c r="B1103" s="299" t="n"/>
      <c r="C1103" s="299" t="n"/>
      <c r="D1103" s="300" t="inlineStr">
        <is>
          <t>Laundry</t>
        </is>
      </c>
      <c r="E1103" s="299" t="n"/>
      <c r="F1103" s="299" t="n"/>
      <c r="G1103" s="299" t="n"/>
      <c r="H1103" s="299" t="n"/>
      <c r="I1103" s="299" t="n"/>
      <c r="J1103" s="299" t="n"/>
      <c r="K1103" s="299" t="n"/>
      <c r="L1103" s="299" t="n"/>
      <c r="M1103" s="299" t="n"/>
      <c r="N1103" s="299" t="n"/>
      <c r="O1103" s="299" t="n"/>
      <c r="P1103" s="299" t="n"/>
      <c r="Q1103" s="299" t="n"/>
      <c r="R1103" s="278" t="n"/>
      <c r="S1103" s="278" t="n"/>
      <c r="T1103" s="278" t="n"/>
      <c r="U1103" s="278" t="n"/>
      <c r="V1103" s="278" t="n"/>
      <c r="W1103" s="278" t="n"/>
      <c r="X1103" s="278" t="n"/>
      <c r="Y1103" s="278" t="n"/>
      <c r="Z1103" s="278" t="n"/>
      <c r="AA1103" s="278" t="n"/>
      <c r="AB1103" s="278" t="n"/>
      <c r="AC1103" s="278" t="n"/>
      <c r="AD1103" s="278" t="n"/>
    </row>
    <row r="1104" ht="15.5" customHeight="1">
      <c r="B1104" s="288" t="n">
        <v>45375</v>
      </c>
      <c r="C1104" s="289" t="n">
        <v>70</v>
      </c>
      <c r="D1104" s="290" t="inlineStr">
        <is>
          <t>Laundry 6 days 1 Persons @ 50K IDR/day</t>
        </is>
      </c>
      <c r="E1104" s="287" t="inlineStr">
        <is>
          <t>-</t>
        </is>
      </c>
      <c r="F1104" s="283" t="n">
        <v>300000</v>
      </c>
      <c r="G1104" s="291" t="inlineStr">
        <is>
          <t>IDR</t>
        </is>
      </c>
      <c r="H1104" s="292" t="n">
        <v>1</v>
      </c>
      <c r="I1104" s="280" t="n"/>
      <c r="J1104" s="285" t="n"/>
      <c r="K1104" s="279" t="n"/>
      <c r="L1104" s="283" t="n">
        <v>300000</v>
      </c>
      <c r="M1104" s="286" t="n"/>
      <c r="N1104" s="286" t="n"/>
      <c r="O1104" s="283" t="n"/>
      <c r="P1104" s="285" t="n"/>
      <c r="Q1104" s="287" t="n"/>
      <c r="R1104" s="278" t="n"/>
      <c r="S1104" s="278" t="n"/>
      <c r="T1104" s="278" t="n"/>
      <c r="U1104" s="278" t="n"/>
      <c r="V1104" s="278" t="n"/>
      <c r="W1104" s="278" t="n"/>
      <c r="X1104" s="278" t="n"/>
      <c r="Y1104" s="278" t="n"/>
      <c r="Z1104" s="278" t="n"/>
      <c r="AA1104" s="278" t="n"/>
      <c r="AB1104" s="278" t="n"/>
      <c r="AC1104" s="278" t="n"/>
      <c r="AD1104" s="278" t="n"/>
    </row>
    <row r="1105">
      <c r="B1105" s="299" t="n"/>
      <c r="C1105" s="299" t="n"/>
      <c r="D1105" s="300" t="inlineStr">
        <is>
          <t>Meal</t>
        </is>
      </c>
      <c r="E1105" s="299" t="n"/>
      <c r="F1105" s="299" t="n"/>
      <c r="G1105" s="299" t="n"/>
      <c r="H1105" s="299" t="n"/>
      <c r="I1105" s="299" t="n"/>
      <c r="J1105" s="299" t="n"/>
      <c r="K1105" s="299" t="n"/>
      <c r="L1105" s="299" t="n"/>
      <c r="M1105" s="299" t="n"/>
      <c r="N1105" s="299" t="n"/>
      <c r="O1105" s="299" t="n"/>
      <c r="P1105" s="299" t="n"/>
      <c r="Q1105" s="299" t="n"/>
      <c r="R1105" s="278" t="n"/>
      <c r="S1105" s="278" t="n"/>
      <c r="T1105" s="278" t="n"/>
      <c r="U1105" s="278" t="n"/>
      <c r="V1105" s="278" t="n"/>
      <c r="W1105" s="278" t="n"/>
      <c r="X1105" s="278" t="n"/>
      <c r="Y1105" s="278" t="n"/>
      <c r="Z1105" s="278" t="n"/>
      <c r="AA1105" s="278" t="n"/>
      <c r="AB1105" s="278" t="n"/>
      <c r="AC1105" s="278" t="n"/>
      <c r="AD1105" s="278" t="n"/>
    </row>
    <row r="1106" ht="15.5" customHeight="1">
      <c r="B1106" s="288" t="n">
        <v>45375</v>
      </c>
      <c r="C1106" s="289" t="n">
        <v>71</v>
      </c>
      <c r="D1106" s="290" t="inlineStr">
        <is>
          <t>Meals 6 days 1 Persons @ 150K IDR/day</t>
        </is>
      </c>
      <c r="E1106" s="287" t="inlineStr">
        <is>
          <t>-</t>
        </is>
      </c>
      <c r="F1106" s="283" t="n">
        <v>900000</v>
      </c>
      <c r="G1106" s="291" t="inlineStr">
        <is>
          <t>IDR</t>
        </is>
      </c>
      <c r="H1106" s="292" t="n">
        <v>1</v>
      </c>
      <c r="I1106" s="280" t="n"/>
      <c r="J1106" s="285" t="n"/>
      <c r="K1106" s="279" t="n"/>
      <c r="L1106" s="283" t="n">
        <v>900000</v>
      </c>
      <c r="M1106" s="286" t="n"/>
      <c r="N1106" s="286" t="n"/>
      <c r="O1106" s="283" t="n"/>
      <c r="P1106" s="285" t="n"/>
      <c r="Q1106" s="287" t="n"/>
      <c r="R1106" s="278" t="n"/>
      <c r="S1106" s="278" t="n"/>
      <c r="T1106" s="278" t="n"/>
      <c r="U1106" s="278" t="n"/>
      <c r="V1106" s="278" t="n"/>
      <c r="W1106" s="278" t="n"/>
      <c r="X1106" s="278" t="n"/>
      <c r="Y1106" s="278" t="n"/>
      <c r="Z1106" s="278" t="n"/>
      <c r="AA1106" s="278" t="n"/>
      <c r="AB1106" s="278" t="n"/>
      <c r="AC1106" s="278" t="n"/>
      <c r="AD1106" s="278" t="n"/>
    </row>
    <row r="1107">
      <c r="B1107" s="299" t="n"/>
      <c r="C1107" s="299" t="n"/>
      <c r="D1107" s="300" t="inlineStr">
        <is>
          <t>Transportation</t>
        </is>
      </c>
      <c r="E1107" s="299" t="n"/>
      <c r="F1107" s="299" t="n"/>
      <c r="G1107" s="299" t="n"/>
      <c r="H1107" s="299" t="n"/>
      <c r="I1107" s="299" t="n"/>
      <c r="J1107" s="299" t="n"/>
      <c r="K1107" s="299" t="n"/>
      <c r="L1107" s="299" t="n"/>
      <c r="M1107" s="299" t="n"/>
      <c r="N1107" s="299" t="n"/>
      <c r="O1107" s="299" t="n"/>
      <c r="P1107" s="299" t="n"/>
      <c r="Q1107" s="299" t="n"/>
      <c r="R1107" s="278" t="n"/>
      <c r="S1107" s="278" t="n"/>
      <c r="T1107" s="278" t="n"/>
      <c r="U1107" s="278" t="n"/>
      <c r="V1107" s="278" t="n"/>
      <c r="W1107" s="278" t="n"/>
      <c r="X1107" s="278" t="n"/>
      <c r="Y1107" s="278" t="n"/>
      <c r="Z1107" s="278" t="n"/>
      <c r="AA1107" s="278" t="n"/>
      <c r="AB1107" s="278" t="n"/>
      <c r="AC1107" s="278" t="n"/>
      <c r="AD1107" s="278" t="n"/>
    </row>
    <row r="1108" ht="15.5" customHeight="1">
      <c r="B1108" s="288" t="n">
        <v>45375</v>
      </c>
      <c r="C1108" s="289" t="n">
        <v>72</v>
      </c>
      <c r="D1108" s="290" t="inlineStr">
        <is>
          <t>Taxi CGK-Bintaro</t>
        </is>
      </c>
      <c r="E1108" s="287" t="inlineStr">
        <is>
          <t>-</t>
        </is>
      </c>
      <c r="F1108" s="283" t="n">
        <v>250000</v>
      </c>
      <c r="G1108" s="291" t="inlineStr">
        <is>
          <t>IDR</t>
        </is>
      </c>
      <c r="H1108" s="292" t="n">
        <v>1</v>
      </c>
      <c r="I1108" s="280" t="n"/>
      <c r="J1108" s="285" t="n"/>
      <c r="K1108" s="279" t="n"/>
      <c r="L1108" s="283" t="n">
        <v>250000</v>
      </c>
      <c r="M1108" s="286" t="n"/>
      <c r="N1108" s="286" t="n"/>
      <c r="O1108" s="283" t="n"/>
      <c r="P1108" s="285" t="n"/>
      <c r="Q1108" s="287" t="n"/>
      <c r="R1108" s="278" t="n"/>
      <c r="S1108" s="278" t="n"/>
      <c r="T1108" s="278" t="n"/>
      <c r="U1108" s="278" t="n"/>
      <c r="V1108" s="278" t="n"/>
      <c r="W1108" s="278" t="n"/>
      <c r="X1108" s="278" t="n"/>
      <c r="Y1108" s="278" t="n"/>
      <c r="Z1108" s="278" t="n"/>
      <c r="AA1108" s="278" t="n"/>
      <c r="AB1108" s="278" t="n"/>
      <c r="AC1108" s="278" t="n"/>
      <c r="AD1108" s="278" t="n"/>
    </row>
    <row r="1109">
      <c r="B1109" s="296" t="inlineStr">
        <is>
          <t>Expense#4</t>
        </is>
      </c>
      <c r="C1109" s="297" t="inlineStr">
        <is>
          <t>:</t>
        </is>
      </c>
      <c r="D1109" s="296" t="inlineStr">
        <is>
          <t>Non project (3rd) _ Ivan Chairulsyah</t>
        </is>
      </c>
      <c r="E1109" s="298" t="n"/>
      <c r="F1109" s="298" t="n"/>
      <c r="G1109" s="298" t="n"/>
      <c r="H1109" s="298" t="n"/>
      <c r="I1109" s="298" t="n"/>
      <c r="J1109" s="298" t="n"/>
      <c r="K1109" s="298" t="n"/>
      <c r="L1109" s="298" t="n"/>
      <c r="M1109" s="298" t="n"/>
      <c r="N1109" s="298" t="n"/>
      <c r="O1109" s="298" t="n"/>
      <c r="P1109" s="298" t="n"/>
      <c r="Q1109" s="298" t="n"/>
      <c r="R1109" s="278" t="n"/>
      <c r="S1109" s="278" t="n"/>
      <c r="T1109" s="278" t="n"/>
      <c r="U1109" s="278" t="n"/>
      <c r="V1109" s="278" t="n"/>
      <c r="W1109" s="278" t="n"/>
      <c r="X1109" s="278" t="n"/>
      <c r="Y1109" s="278" t="n"/>
      <c r="Z1109" s="278" t="n"/>
      <c r="AA1109" s="278" t="n"/>
      <c r="AB1109" s="278" t="n"/>
      <c r="AC1109" s="278" t="n"/>
      <c r="AD1109" s="278" t="n"/>
    </row>
    <row r="1110">
      <c r="B1110" s="299" t="n"/>
      <c r="C1110" s="299" t="n"/>
      <c r="D1110" s="300" t="inlineStr">
        <is>
          <t>Elektronik &amp; Gadget</t>
        </is>
      </c>
      <c r="E1110" s="299" t="n"/>
      <c r="F1110" s="299" t="n"/>
      <c r="G1110" s="299" t="n"/>
      <c r="H1110" s="299" t="n"/>
      <c r="I1110" s="299" t="n"/>
      <c r="J1110" s="299" t="n"/>
      <c r="K1110" s="299" t="n"/>
      <c r="L1110" s="299" t="n"/>
      <c r="M1110" s="299" t="n"/>
      <c r="N1110" s="299" t="n"/>
      <c r="O1110" s="299" t="n"/>
      <c r="P1110" s="299" t="n"/>
      <c r="Q1110" s="299" t="n"/>
      <c r="R1110" s="278" t="n"/>
      <c r="S1110" s="278" t="n"/>
      <c r="T1110" s="278" t="n"/>
      <c r="U1110" s="278" t="n"/>
      <c r="V1110" s="278" t="n"/>
      <c r="W1110" s="278" t="n"/>
      <c r="X1110" s="278" t="n"/>
      <c r="Y1110" s="278" t="n"/>
      <c r="Z1110" s="278" t="n"/>
      <c r="AA1110" s="278" t="n"/>
      <c r="AB1110" s="278" t="n"/>
      <c r="AC1110" s="278" t="n"/>
      <c r="AD1110" s="278" t="n"/>
    </row>
    <row r="1111" ht="15.5" customHeight="1">
      <c r="B1111" s="288" t="n">
        <v>45369</v>
      </c>
      <c r="C1111" s="289" t="n">
        <v>73</v>
      </c>
      <c r="D1111" s="290" t="inlineStr">
        <is>
          <t>Buy SANWA YX360TRF</t>
        </is>
      </c>
      <c r="E1111" s="287" t="inlineStr">
        <is>
          <t>-</t>
        </is>
      </c>
      <c r="F1111" s="283" t="n">
        <v>455600</v>
      </c>
      <c r="G1111" s="291" t="inlineStr">
        <is>
          <t>IDR</t>
        </is>
      </c>
      <c r="H1111" s="292" t="n">
        <v>1</v>
      </c>
      <c r="I1111" s="280" t="n"/>
      <c r="J1111" s="285" t="n"/>
      <c r="K1111" s="279" t="n"/>
      <c r="L1111" s="283" t="n"/>
      <c r="M1111" s="286" t="n"/>
      <c r="N1111" s="286" t="n">
        <v>455600</v>
      </c>
      <c r="O1111" s="283" t="n"/>
      <c r="P1111" s="285" t="n"/>
      <c r="Q1111" s="287" t="n"/>
      <c r="R1111" s="278" t="n"/>
      <c r="S1111" s="278" t="n"/>
      <c r="T1111" s="278" t="n"/>
      <c r="U1111" s="278" t="n"/>
      <c r="V1111" s="278" t="n"/>
      <c r="W1111" s="278" t="n"/>
      <c r="X1111" s="278" t="n"/>
      <c r="Y1111" s="278" t="n"/>
      <c r="Z1111" s="278" t="n"/>
      <c r="AA1111" s="278" t="n"/>
      <c r="AB1111" s="278" t="n"/>
      <c r="AC1111" s="278" t="n"/>
      <c r="AD1111" s="278" t="n"/>
    </row>
    <row r="1112">
      <c r="B1112" s="299" t="n"/>
      <c r="C1112" s="299" t="n"/>
      <c r="D1112" s="300" t="inlineStr">
        <is>
          <t>Hand Tools</t>
        </is>
      </c>
      <c r="E1112" s="299" t="n"/>
      <c r="F1112" s="299" t="n"/>
      <c r="G1112" s="299" t="n"/>
      <c r="H1112" s="299" t="n"/>
      <c r="I1112" s="299" t="n"/>
      <c r="J1112" s="299" t="n"/>
      <c r="K1112" s="299" t="n"/>
      <c r="L1112" s="299" t="n"/>
      <c r="M1112" s="299" t="n"/>
      <c r="N1112" s="299" t="n"/>
      <c r="O1112" s="299" t="n"/>
      <c r="P1112" s="299" t="n"/>
      <c r="Q1112" s="299" t="n"/>
      <c r="R1112" s="278" t="n"/>
      <c r="S1112" s="278" t="n"/>
      <c r="T1112" s="278" t="n"/>
      <c r="U1112" s="278" t="n"/>
      <c r="V1112" s="278" t="n"/>
      <c r="W1112" s="278" t="n"/>
      <c r="X1112" s="278" t="n"/>
      <c r="Y1112" s="278" t="n"/>
      <c r="Z1112" s="278" t="n"/>
      <c r="AA1112" s="278" t="n"/>
      <c r="AB1112" s="278" t="n"/>
      <c r="AC1112" s="278" t="n"/>
      <c r="AD1112" s="278" t="n"/>
    </row>
    <row r="1113" ht="15.5" customHeight="1">
      <c r="B1113" s="288" t="n">
        <v>45370</v>
      </c>
      <c r="C1113" s="289" t="n">
        <v>74</v>
      </c>
      <c r="D1113" s="290" t="inlineStr">
        <is>
          <t>Send Tool from Gowell to TGE</t>
        </is>
      </c>
      <c r="E1113" s="287" t="inlineStr">
        <is>
          <t>-</t>
        </is>
      </c>
      <c r="F1113" s="283" t="n">
        <v>168732</v>
      </c>
      <c r="G1113" s="291" t="inlineStr">
        <is>
          <t>IDR</t>
        </is>
      </c>
      <c r="H1113" s="292" t="n">
        <v>1</v>
      </c>
      <c r="I1113" s="280" t="n"/>
      <c r="J1113" s="285" t="n"/>
      <c r="K1113" s="279" t="n"/>
      <c r="L1113" s="283" t="n"/>
      <c r="M1113" s="286" t="n"/>
      <c r="N1113" s="286" t="n">
        <v>168732</v>
      </c>
      <c r="O1113" s="283" t="n"/>
      <c r="P1113" s="285" t="n"/>
      <c r="Q1113" s="287" t="n"/>
      <c r="R1113" s="278" t="n"/>
      <c r="S1113" s="278" t="n"/>
      <c r="T1113" s="278" t="n"/>
      <c r="U1113" s="278" t="n"/>
      <c r="V1113" s="278" t="n"/>
      <c r="W1113" s="278" t="n"/>
      <c r="X1113" s="278" t="n"/>
      <c r="Y1113" s="278" t="n"/>
      <c r="Z1113" s="278" t="n"/>
      <c r="AA1113" s="278" t="n"/>
      <c r="AB1113" s="278" t="n"/>
      <c r="AC1113" s="278" t="n"/>
      <c r="AD1113" s="278" t="n"/>
    </row>
    <row r="1114">
      <c r="B1114" s="296" t="inlineStr">
        <is>
          <t>Expense#5</t>
        </is>
      </c>
      <c r="C1114" s="297" t="inlineStr">
        <is>
          <t>:</t>
        </is>
      </c>
      <c r="D1114" s="296" t="inlineStr">
        <is>
          <t>MCU RS PP _Titis Maulana</t>
        </is>
      </c>
      <c r="E1114" s="298" t="n"/>
      <c r="F1114" s="298" t="n"/>
      <c r="G1114" s="298" t="n"/>
      <c r="H1114" s="298" t="n"/>
      <c r="I1114" s="298" t="n"/>
      <c r="J1114" s="298" t="n"/>
      <c r="K1114" s="298" t="n"/>
      <c r="L1114" s="298" t="n"/>
      <c r="M1114" s="298" t="n"/>
      <c r="N1114" s="298" t="n"/>
      <c r="O1114" s="298" t="n"/>
      <c r="P1114" s="298" t="n"/>
      <c r="Q1114" s="298" t="n"/>
      <c r="R1114" s="278" t="n"/>
      <c r="S1114" s="278" t="n"/>
      <c r="T1114" s="278" t="n"/>
      <c r="U1114" s="278" t="n"/>
      <c r="V1114" s="278" t="n"/>
      <c r="W1114" s="278" t="n"/>
      <c r="X1114" s="278" t="n"/>
      <c r="Y1114" s="278" t="n"/>
      <c r="Z1114" s="278" t="n"/>
      <c r="AA1114" s="278" t="n"/>
      <c r="AB1114" s="278" t="n"/>
      <c r="AC1114" s="278" t="n"/>
      <c r="AD1114" s="278" t="n"/>
    </row>
    <row r="1115">
      <c r="B1115" s="299" t="n"/>
      <c r="C1115" s="299" t="n"/>
      <c r="D1115" s="300" t="inlineStr">
        <is>
          <t>Medical</t>
        </is>
      </c>
      <c r="E1115" s="299" t="n"/>
      <c r="F1115" s="299" t="n"/>
      <c r="G1115" s="299" t="n"/>
      <c r="H1115" s="299" t="n"/>
      <c r="I1115" s="299" t="n"/>
      <c r="J1115" s="299" t="n"/>
      <c r="K1115" s="299" t="n"/>
      <c r="L1115" s="299" t="n"/>
      <c r="M1115" s="299" t="n"/>
      <c r="N1115" s="299" t="n"/>
      <c r="O1115" s="299" t="n"/>
      <c r="P1115" s="299" t="n"/>
      <c r="Q1115" s="299" t="n"/>
      <c r="R1115" s="278" t="n"/>
      <c r="S1115" s="278" t="n"/>
      <c r="T1115" s="278" t="n"/>
      <c r="U1115" s="278" t="n"/>
      <c r="V1115" s="278" t="n"/>
      <c r="W1115" s="278" t="n"/>
      <c r="X1115" s="278" t="n"/>
      <c r="Y1115" s="278" t="n"/>
      <c r="Z1115" s="278" t="n"/>
      <c r="AA1115" s="278" t="n"/>
      <c r="AB1115" s="278" t="n"/>
      <c r="AC1115" s="278" t="n"/>
      <c r="AD1115" s="278" t="n"/>
    </row>
    <row r="1116" ht="15.5" customHeight="1">
      <c r="B1116" s="288" t="n">
        <v>45384</v>
      </c>
      <c r="C1116" s="289" t="n">
        <v>75</v>
      </c>
      <c r="D1116" s="290" t="inlineStr">
        <is>
          <t>MCU RS PP</t>
        </is>
      </c>
      <c r="E1116" s="287" t="inlineStr">
        <is>
          <t>-</t>
        </is>
      </c>
      <c r="F1116" s="283" t="n">
        <v>5407000</v>
      </c>
      <c r="G1116" s="291" t="inlineStr">
        <is>
          <t>IDR</t>
        </is>
      </c>
      <c r="H1116" s="292" t="n">
        <v>1</v>
      </c>
      <c r="I1116" s="280" t="n"/>
      <c r="J1116" s="285" t="n"/>
      <c r="K1116" s="279" t="n"/>
      <c r="L1116" s="283" t="n"/>
      <c r="M1116" s="286" t="n"/>
      <c r="N1116" s="286" t="n"/>
      <c r="O1116" s="283" t="n"/>
      <c r="P1116" s="283" t="n">
        <v>5407000</v>
      </c>
      <c r="Q1116" s="287" t="n"/>
      <c r="R1116" s="278" t="n"/>
      <c r="S1116" s="278" t="n"/>
      <c r="T1116" s="278" t="n"/>
      <c r="U1116" s="278" t="n"/>
      <c r="V1116" s="278" t="n"/>
      <c r="W1116" s="278" t="n"/>
      <c r="X1116" s="278" t="n"/>
      <c r="Y1116" s="278" t="n"/>
      <c r="Z1116" s="278" t="n"/>
      <c r="AA1116" s="278" t="n"/>
      <c r="AB1116" s="278" t="n"/>
      <c r="AC1116" s="278" t="n"/>
      <c r="AD1116" s="278" t="n"/>
    </row>
    <row r="1117">
      <c r="B1117" s="296" t="inlineStr">
        <is>
          <t>Expense#6</t>
        </is>
      </c>
      <c r="C1117" s="297" t="inlineStr">
        <is>
          <t>:</t>
        </is>
      </c>
      <c r="D1117" s="296" t="inlineStr">
        <is>
          <t>MPLT (SAKA-UjungPangkah field) by TGE - GOWell project_IC</t>
        </is>
      </c>
      <c r="E1117" s="298" t="n"/>
      <c r="F1117" s="298" t="n"/>
      <c r="G1117" s="298" t="n"/>
      <c r="H1117" s="298" t="n"/>
      <c r="I1117" s="298" t="n"/>
      <c r="J1117" s="298" t="n"/>
      <c r="K1117" s="298" t="n"/>
      <c r="L1117" s="298" t="n"/>
      <c r="M1117" s="298" t="n"/>
      <c r="N1117" s="298" t="n"/>
      <c r="O1117" s="298" t="n"/>
      <c r="P1117" s="298" t="n"/>
      <c r="Q1117" s="298" t="n"/>
      <c r="R1117" s="278" t="n"/>
      <c r="S1117" s="278" t="n"/>
      <c r="T1117" s="278" t="n"/>
      <c r="U1117" s="278" t="n"/>
      <c r="V1117" s="278" t="n"/>
      <c r="W1117" s="278" t="n"/>
      <c r="X1117" s="278" t="n"/>
      <c r="Y1117" s="278" t="n"/>
      <c r="Z1117" s="278" t="n"/>
      <c r="AA1117" s="278" t="n"/>
      <c r="AB1117" s="278" t="n"/>
      <c r="AC1117" s="278" t="n"/>
      <c r="AD1117" s="278" t="n"/>
    </row>
    <row r="1118">
      <c r="B1118" s="299" t="n"/>
      <c r="C1118" s="299" t="n"/>
      <c r="D1118" s="300" t="inlineStr">
        <is>
          <t>Biaya Operasi Lain-lain</t>
        </is>
      </c>
      <c r="E1118" s="299" t="n"/>
      <c r="F1118" s="299" t="n"/>
      <c r="G1118" s="299" t="n"/>
      <c r="H1118" s="299" t="n"/>
      <c r="I1118" s="299" t="n"/>
      <c r="J1118" s="299" t="n"/>
      <c r="K1118" s="299" t="n"/>
      <c r="L1118" s="299" t="n"/>
      <c r="M1118" s="299" t="n"/>
      <c r="N1118" s="299" t="n"/>
      <c r="O1118" s="299" t="n"/>
      <c r="P1118" s="299" t="n"/>
      <c r="Q1118" s="299" t="n"/>
      <c r="R1118" s="278" t="n"/>
      <c r="S1118" s="278" t="n"/>
      <c r="T1118" s="278" t="n"/>
      <c r="U1118" s="278" t="n"/>
      <c r="V1118" s="278" t="n"/>
      <c r="W1118" s="278" t="n"/>
      <c r="X1118" s="278" t="n"/>
      <c r="Y1118" s="278" t="n"/>
      <c r="Z1118" s="278" t="n"/>
      <c r="AA1118" s="278" t="n"/>
      <c r="AB1118" s="278" t="n"/>
      <c r="AC1118" s="278" t="n"/>
      <c r="AD1118" s="278" t="n"/>
    </row>
    <row r="1119" ht="15.5" customHeight="1">
      <c r="B1119" s="288" t="n">
        <v>45407</v>
      </c>
      <c r="C1119" s="289" t="n">
        <v>76</v>
      </c>
      <c r="D1119" s="290" t="inlineStr">
        <is>
          <t>Send MPLT TGE - Gowell</t>
        </is>
      </c>
      <c r="E1119" s="287" t="inlineStr">
        <is>
          <t>-</t>
        </is>
      </c>
      <c r="F1119" s="283" t="n">
        <v>167297</v>
      </c>
      <c r="G1119" s="291" t="inlineStr">
        <is>
          <t>IDR</t>
        </is>
      </c>
      <c r="H1119" s="292" t="n">
        <v>1</v>
      </c>
      <c r="I1119" s="280" t="n"/>
      <c r="J1119" s="285" t="n"/>
      <c r="K1119" s="279" t="n"/>
      <c r="L1119" s="283" t="n">
        <v>167297</v>
      </c>
      <c r="M1119" s="286" t="n"/>
      <c r="N1119" s="286" t="n"/>
      <c r="O1119" s="283" t="n"/>
      <c r="P1119" s="285" t="n"/>
      <c r="Q1119" s="287" t="n"/>
      <c r="R1119" s="278" t="n"/>
      <c r="S1119" s="278" t="n"/>
      <c r="T1119" s="278" t="n"/>
      <c r="U1119" s="278" t="n"/>
      <c r="V1119" s="278" t="n"/>
      <c r="W1119" s="278" t="n"/>
      <c r="X1119" s="278" t="n"/>
      <c r="Y1119" s="278" t="n"/>
      <c r="Z1119" s="278" t="n"/>
      <c r="AA1119" s="278" t="n"/>
      <c r="AB1119" s="278" t="n"/>
      <c r="AC1119" s="278" t="n"/>
      <c r="AD1119" s="278" t="n"/>
    </row>
    <row r="1120">
      <c r="B1120" s="299" t="n"/>
      <c r="C1120" s="299" t="n"/>
      <c r="D1120" s="300" t="inlineStr">
        <is>
          <t>Laundry</t>
        </is>
      </c>
      <c r="E1120" s="299" t="n"/>
      <c r="F1120" s="299" t="n"/>
      <c r="G1120" s="299" t="n"/>
      <c r="H1120" s="299" t="n"/>
      <c r="I1120" s="299" t="n"/>
      <c r="J1120" s="299" t="n"/>
      <c r="K1120" s="299" t="n"/>
      <c r="L1120" s="299" t="n"/>
      <c r="M1120" s="299" t="n"/>
      <c r="N1120" s="299" t="n"/>
      <c r="O1120" s="299" t="n"/>
      <c r="P1120" s="299" t="n"/>
      <c r="Q1120" s="299" t="n"/>
      <c r="R1120" s="278" t="n"/>
      <c r="S1120" s="278" t="n"/>
      <c r="T1120" s="278" t="n"/>
      <c r="U1120" s="278" t="n"/>
      <c r="V1120" s="278" t="n"/>
      <c r="W1120" s="278" t="n"/>
      <c r="X1120" s="278" t="n"/>
      <c r="Y1120" s="278" t="n"/>
      <c r="Z1120" s="278" t="n"/>
      <c r="AA1120" s="278" t="n"/>
      <c r="AB1120" s="278" t="n"/>
      <c r="AC1120" s="278" t="n"/>
      <c r="AD1120" s="278" t="n"/>
    </row>
    <row r="1121" ht="15.5" customHeight="1">
      <c r="B1121" s="288" t="n">
        <v>45402</v>
      </c>
      <c r="C1121" s="289" t="n">
        <v>77</v>
      </c>
      <c r="D1121" s="290" t="inlineStr">
        <is>
          <t>Laundry 5 days 1 Persons @ 50K IDR/day</t>
        </is>
      </c>
      <c r="E1121" s="287" t="inlineStr">
        <is>
          <t>-</t>
        </is>
      </c>
      <c r="F1121" s="283" t="n">
        <v>250000</v>
      </c>
      <c r="G1121" s="291" t="inlineStr">
        <is>
          <t>IDR</t>
        </is>
      </c>
      <c r="H1121" s="292" t="n">
        <v>1</v>
      </c>
      <c r="I1121" s="280" t="n"/>
      <c r="J1121" s="285" t="n"/>
      <c r="K1121" s="279" t="n"/>
      <c r="L1121" s="283" t="n">
        <v>250000</v>
      </c>
      <c r="M1121" s="286" t="n"/>
      <c r="N1121" s="286" t="n"/>
      <c r="O1121" s="283" t="n"/>
      <c r="P1121" s="285" t="n"/>
      <c r="Q1121" s="287" t="n"/>
      <c r="R1121" s="278" t="n"/>
      <c r="S1121" s="278" t="n"/>
      <c r="T1121" s="278" t="n"/>
      <c r="U1121" s="278" t="n"/>
      <c r="V1121" s="278" t="n"/>
      <c r="W1121" s="278" t="n"/>
      <c r="X1121" s="278" t="n"/>
      <c r="Y1121" s="278" t="n"/>
      <c r="Z1121" s="278" t="n"/>
      <c r="AA1121" s="278" t="n"/>
      <c r="AB1121" s="278" t="n"/>
      <c r="AC1121" s="278" t="n"/>
      <c r="AD1121" s="278" t="n"/>
    </row>
    <row r="1122">
      <c r="B1122" s="299" t="n"/>
      <c r="C1122" s="299" t="n"/>
      <c r="D1122" s="300" t="inlineStr">
        <is>
          <t>Meal</t>
        </is>
      </c>
      <c r="E1122" s="299" t="n"/>
      <c r="F1122" s="299" t="n"/>
      <c r="G1122" s="299" t="n"/>
      <c r="H1122" s="299" t="n"/>
      <c r="I1122" s="299" t="n"/>
      <c r="J1122" s="299" t="n"/>
      <c r="K1122" s="299" t="n"/>
      <c r="L1122" s="299" t="n"/>
      <c r="M1122" s="299" t="n"/>
      <c r="N1122" s="299" t="n"/>
      <c r="O1122" s="299" t="n"/>
      <c r="P1122" s="299" t="n"/>
      <c r="Q1122" s="299" t="n"/>
      <c r="R1122" s="278" t="n"/>
      <c r="S1122" s="278" t="n"/>
      <c r="T1122" s="278" t="n"/>
      <c r="U1122" s="278" t="n"/>
      <c r="V1122" s="278" t="n"/>
      <c r="W1122" s="278" t="n"/>
      <c r="X1122" s="278" t="n"/>
      <c r="Y1122" s="278" t="n"/>
      <c r="Z1122" s="278" t="n"/>
      <c r="AA1122" s="278" t="n"/>
      <c r="AB1122" s="278" t="n"/>
      <c r="AC1122" s="278" t="n"/>
      <c r="AD1122" s="278" t="n"/>
    </row>
    <row r="1123" ht="15.5" customHeight="1">
      <c r="B1123" s="288" t="n">
        <v>45402</v>
      </c>
      <c r="C1123" s="289" t="n">
        <v>78</v>
      </c>
      <c r="D1123" s="290" t="inlineStr">
        <is>
          <t>Meals 5 days 1 Persons @ 150K IDR/day</t>
        </is>
      </c>
      <c r="E1123" s="287" t="inlineStr">
        <is>
          <t>-</t>
        </is>
      </c>
      <c r="F1123" s="283" t="n">
        <v>750000</v>
      </c>
      <c r="G1123" s="291" t="inlineStr">
        <is>
          <t>IDR</t>
        </is>
      </c>
      <c r="H1123" s="292" t="n">
        <v>1</v>
      </c>
      <c r="I1123" s="280" t="n"/>
      <c r="J1123" s="285" t="n"/>
      <c r="K1123" s="279" t="n"/>
      <c r="L1123" s="283" t="n">
        <v>750000</v>
      </c>
      <c r="M1123" s="286" t="n"/>
      <c r="N1123" s="286" t="n"/>
      <c r="O1123" s="283" t="n"/>
      <c r="P1123" s="285" t="n"/>
      <c r="Q1123" s="287" t="n"/>
      <c r="R1123" s="278" t="n"/>
      <c r="S1123" s="278" t="n"/>
      <c r="T1123" s="278" t="n"/>
      <c r="U1123" s="278" t="n"/>
      <c r="V1123" s="278" t="n"/>
      <c r="W1123" s="278" t="n"/>
      <c r="X1123" s="278" t="n"/>
      <c r="Y1123" s="278" t="n"/>
      <c r="Z1123" s="278" t="n"/>
      <c r="AA1123" s="278" t="n"/>
      <c r="AB1123" s="278" t="n"/>
      <c r="AC1123" s="278" t="n"/>
      <c r="AD1123" s="278" t="n"/>
    </row>
    <row r="1124">
      <c r="B1124" s="299" t="n"/>
      <c r="C1124" s="299" t="n"/>
      <c r="D1124" s="300" t="inlineStr">
        <is>
          <t>Transportation</t>
        </is>
      </c>
      <c r="E1124" s="299" t="n"/>
      <c r="F1124" s="299" t="n"/>
      <c r="G1124" s="299" t="n"/>
      <c r="H1124" s="299" t="n"/>
      <c r="I1124" s="299" t="n"/>
      <c r="J1124" s="299" t="n"/>
      <c r="K1124" s="299" t="n"/>
      <c r="L1124" s="299" t="n"/>
      <c r="M1124" s="299" t="n"/>
      <c r="N1124" s="299" t="n"/>
      <c r="O1124" s="299" t="n"/>
      <c r="P1124" s="299" t="n"/>
      <c r="Q1124" s="299" t="n"/>
      <c r="R1124" s="278" t="n"/>
      <c r="S1124" s="278" t="n"/>
      <c r="T1124" s="278" t="n"/>
      <c r="U1124" s="278" t="n"/>
      <c r="V1124" s="278" t="n"/>
      <c r="W1124" s="278" t="n"/>
      <c r="X1124" s="278" t="n"/>
      <c r="Y1124" s="278" t="n"/>
      <c r="Z1124" s="278" t="n"/>
      <c r="AA1124" s="278" t="n"/>
      <c r="AB1124" s="278" t="n"/>
      <c r="AC1124" s="278" t="n"/>
      <c r="AD1124" s="278" t="n"/>
    </row>
    <row r="1125" ht="15.5" customHeight="1">
      <c r="B1125" s="288" t="n">
        <v>45402</v>
      </c>
      <c r="C1125" s="289" t="n">
        <v>79</v>
      </c>
      <c r="D1125" s="290" t="inlineStr">
        <is>
          <t>Taxi CGK-Bintaro</t>
        </is>
      </c>
      <c r="E1125" s="287" t="inlineStr">
        <is>
          <t>-</t>
        </is>
      </c>
      <c r="F1125" s="283" t="n">
        <v>250000</v>
      </c>
      <c r="G1125" s="291" t="inlineStr">
        <is>
          <t>IDR</t>
        </is>
      </c>
      <c r="H1125" s="292" t="n">
        <v>1</v>
      </c>
      <c r="I1125" s="280" t="n"/>
      <c r="J1125" s="285" t="n"/>
      <c r="K1125" s="279" t="n"/>
      <c r="L1125" s="283" t="n">
        <v>250000</v>
      </c>
      <c r="M1125" s="286" t="n"/>
      <c r="N1125" s="286" t="n"/>
      <c r="O1125" s="283" t="n"/>
      <c r="P1125" s="285" t="n"/>
      <c r="Q1125" s="287" t="n"/>
      <c r="R1125" s="278" t="n"/>
      <c r="S1125" s="278" t="n"/>
      <c r="T1125" s="278" t="n"/>
      <c r="U1125" s="278" t="n"/>
      <c r="V1125" s="278" t="n"/>
      <c r="W1125" s="278" t="n"/>
      <c r="X1125" s="278" t="n"/>
      <c r="Y1125" s="278" t="n"/>
      <c r="Z1125" s="278" t="n"/>
      <c r="AA1125" s="278" t="n"/>
      <c r="AB1125" s="278" t="n"/>
      <c r="AC1125" s="278" t="n"/>
      <c r="AD1125" s="278" t="n"/>
    </row>
    <row r="1126">
      <c r="B1126" s="296" t="inlineStr">
        <is>
          <t>Expense#7</t>
        </is>
      </c>
      <c r="C1126" s="297" t="inlineStr">
        <is>
          <t>:</t>
        </is>
      </c>
      <c r="D1126" s="296" t="inlineStr">
        <is>
          <t>PLT SRO_ TGB-33 (Jatibarang Field) Elnusa _ IC</t>
        </is>
      </c>
      <c r="E1126" s="298" t="n"/>
      <c r="F1126" s="298" t="n"/>
      <c r="G1126" s="298" t="n"/>
      <c r="H1126" s="298" t="n"/>
      <c r="I1126" s="298" t="n"/>
      <c r="J1126" s="298" t="n"/>
      <c r="K1126" s="298" t="n"/>
      <c r="L1126" s="298" t="n"/>
      <c r="M1126" s="298" t="n"/>
      <c r="N1126" s="298" t="n"/>
      <c r="O1126" s="298" t="n"/>
      <c r="P1126" s="298" t="n"/>
      <c r="Q1126" s="298" t="n"/>
      <c r="R1126" s="278" t="n"/>
      <c r="S1126" s="278" t="n"/>
      <c r="T1126" s="278" t="n"/>
      <c r="U1126" s="278" t="n"/>
      <c r="V1126" s="278" t="n"/>
      <c r="W1126" s="278" t="n"/>
      <c r="X1126" s="278" t="n"/>
      <c r="Y1126" s="278" t="n"/>
      <c r="Z1126" s="278" t="n"/>
      <c r="AA1126" s="278" t="n"/>
      <c r="AB1126" s="278" t="n"/>
      <c r="AC1126" s="278" t="n"/>
      <c r="AD1126" s="278" t="n"/>
    </row>
    <row r="1127">
      <c r="B1127" s="299" t="n"/>
      <c r="C1127" s="299" t="n"/>
      <c r="D1127" s="300" t="inlineStr">
        <is>
          <t>Accommodation</t>
        </is>
      </c>
      <c r="E1127" s="299" t="n"/>
      <c r="F1127" s="299" t="n"/>
      <c r="G1127" s="299" t="n"/>
      <c r="H1127" s="299" t="n"/>
      <c r="I1127" s="299" t="n"/>
      <c r="J1127" s="299" t="n"/>
      <c r="K1127" s="299" t="n"/>
      <c r="L1127" s="299" t="n"/>
      <c r="M1127" s="299" t="n"/>
      <c r="N1127" s="299" t="n"/>
      <c r="O1127" s="299" t="n"/>
      <c r="P1127" s="299" t="n"/>
      <c r="Q1127" s="299" t="n"/>
      <c r="R1127" s="278" t="n"/>
      <c r="S1127" s="278" t="n"/>
      <c r="T1127" s="278" t="n"/>
      <c r="U1127" s="278" t="n"/>
      <c r="V1127" s="278" t="n"/>
      <c r="W1127" s="278" t="n"/>
      <c r="X1127" s="278" t="n"/>
      <c r="Y1127" s="278" t="n"/>
      <c r="Z1127" s="278" t="n"/>
      <c r="AA1127" s="278" t="n"/>
      <c r="AB1127" s="278" t="n"/>
      <c r="AC1127" s="278" t="n"/>
      <c r="AD1127" s="278" t="n"/>
    </row>
    <row r="1128" ht="15.5" customHeight="1">
      <c r="B1128" s="288" t="n">
        <v>45410</v>
      </c>
      <c r="C1128" s="289" t="n">
        <v>80</v>
      </c>
      <c r="D1128" s="290" t="inlineStr">
        <is>
          <t>Hotel 2 days</t>
        </is>
      </c>
      <c r="E1128" s="287" t="inlineStr">
        <is>
          <t>-</t>
        </is>
      </c>
      <c r="F1128" s="283" t="n">
        <v>1357481</v>
      </c>
      <c r="G1128" s="291" t="inlineStr">
        <is>
          <t>IDR</t>
        </is>
      </c>
      <c r="H1128" s="292" t="n">
        <v>1</v>
      </c>
      <c r="I1128" s="280" t="n"/>
      <c r="J1128" s="285" t="n"/>
      <c r="K1128" s="279" t="n"/>
      <c r="L1128" s="283" t="n">
        <v>1357481</v>
      </c>
      <c r="M1128" s="286" t="n"/>
      <c r="N1128" s="286" t="n"/>
      <c r="O1128" s="283" t="n"/>
      <c r="P1128" s="285" t="n"/>
      <c r="Q1128" s="287" t="n"/>
      <c r="R1128" s="278" t="n"/>
      <c r="S1128" s="278" t="n"/>
      <c r="T1128" s="278" t="n"/>
      <c r="U1128" s="278" t="n"/>
      <c r="V1128" s="278" t="n"/>
      <c r="W1128" s="278" t="n"/>
      <c r="X1128" s="278" t="n"/>
      <c r="Y1128" s="278" t="n"/>
      <c r="Z1128" s="278" t="n"/>
      <c r="AA1128" s="278" t="n"/>
      <c r="AB1128" s="278" t="n"/>
      <c r="AC1128" s="278" t="n"/>
      <c r="AD1128" s="278" t="n"/>
    </row>
    <row r="1129">
      <c r="B1129" s="299" t="n"/>
      <c r="C1129" s="299" t="n"/>
      <c r="D1129" s="300" t="inlineStr">
        <is>
          <t>Allowance</t>
        </is>
      </c>
      <c r="E1129" s="299" t="n"/>
      <c r="F1129" s="299" t="n"/>
      <c r="G1129" s="299" t="n"/>
      <c r="H1129" s="299" t="n"/>
      <c r="I1129" s="299" t="n"/>
      <c r="J1129" s="299" t="n"/>
      <c r="K1129" s="299" t="n"/>
      <c r="L1129" s="299" t="n"/>
      <c r="M1129" s="299" t="n"/>
      <c r="N1129" s="299" t="n"/>
      <c r="O1129" s="299" t="n"/>
      <c r="P1129" s="299" t="n"/>
      <c r="Q1129" s="299" t="n"/>
      <c r="R1129" s="278" t="n"/>
      <c r="S1129" s="278" t="n"/>
      <c r="T1129" s="278" t="n"/>
      <c r="U1129" s="278" t="n"/>
      <c r="V1129" s="278" t="n"/>
      <c r="W1129" s="278" t="n"/>
      <c r="X1129" s="278" t="n"/>
      <c r="Y1129" s="278" t="n"/>
      <c r="Z1129" s="278" t="n"/>
      <c r="AA1129" s="278" t="n"/>
      <c r="AB1129" s="278" t="n"/>
      <c r="AC1129" s="278" t="n"/>
      <c r="AD1129" s="278" t="n"/>
    </row>
    <row r="1130" ht="15.5" customHeight="1">
      <c r="B1130" s="288" t="n">
        <v>45410</v>
      </c>
      <c r="C1130" s="289" t="n">
        <v>81</v>
      </c>
      <c r="D1130" s="290" t="inlineStr">
        <is>
          <t>Tunjangan Lapangan for 2 days</t>
        </is>
      </c>
      <c r="E1130" s="287" t="inlineStr">
        <is>
          <t>-</t>
        </is>
      </c>
      <c r="F1130" s="283" t="n">
        <v>3251400</v>
      </c>
      <c r="G1130" s="291" t="inlineStr">
        <is>
          <t>USD</t>
        </is>
      </c>
      <c r="H1130" s="292" t="n">
        <v>16257</v>
      </c>
      <c r="I1130" s="280" t="n"/>
      <c r="J1130" s="285" t="n"/>
      <c r="K1130" s="279" t="n"/>
      <c r="L1130" s="283" t="n">
        <v>3251400</v>
      </c>
      <c r="M1130" s="286" t="n"/>
      <c r="N1130" s="286" t="n"/>
      <c r="O1130" s="283" t="n"/>
      <c r="P1130" s="285" t="n"/>
      <c r="Q1130" s="287" t="n"/>
      <c r="R1130" s="278" t="n"/>
      <c r="S1130" s="278" t="n"/>
      <c r="T1130" s="278" t="n"/>
      <c r="U1130" s="278" t="n"/>
      <c r="V1130" s="278" t="n"/>
      <c r="W1130" s="278" t="n"/>
      <c r="X1130" s="278" t="n"/>
      <c r="Y1130" s="278" t="n"/>
      <c r="Z1130" s="278" t="n"/>
      <c r="AA1130" s="278" t="n"/>
      <c r="AB1130" s="278" t="n"/>
      <c r="AC1130" s="278" t="n"/>
      <c r="AD1130" s="278" t="n"/>
    </row>
    <row r="1131">
      <c r="B1131" s="299" t="n"/>
      <c r="C1131" s="299" t="n"/>
      <c r="D1131" s="300" t="inlineStr">
        <is>
          <t>Laundry</t>
        </is>
      </c>
      <c r="E1131" s="299" t="n"/>
      <c r="F1131" s="299" t="n"/>
      <c r="G1131" s="299" t="n"/>
      <c r="H1131" s="299" t="n"/>
      <c r="I1131" s="299" t="n"/>
      <c r="J1131" s="299" t="n"/>
      <c r="K1131" s="299" t="n"/>
      <c r="L1131" s="299" t="n"/>
      <c r="M1131" s="299" t="n"/>
      <c r="N1131" s="299" t="n"/>
      <c r="O1131" s="299" t="n"/>
      <c r="P1131" s="299" t="n"/>
      <c r="Q1131" s="299" t="n"/>
      <c r="R1131" s="278" t="n"/>
      <c r="S1131" s="278" t="n"/>
      <c r="T1131" s="278" t="n"/>
      <c r="U1131" s="278" t="n"/>
      <c r="V1131" s="278" t="n"/>
      <c r="W1131" s="278" t="n"/>
      <c r="X1131" s="278" t="n"/>
      <c r="Y1131" s="278" t="n"/>
      <c r="Z1131" s="278" t="n"/>
      <c r="AA1131" s="278" t="n"/>
      <c r="AB1131" s="278" t="n"/>
      <c r="AC1131" s="278" t="n"/>
      <c r="AD1131" s="278" t="n"/>
    </row>
    <row r="1132" ht="15.5" customHeight="1">
      <c r="B1132" s="288" t="n">
        <v>45410</v>
      </c>
      <c r="C1132" s="289" t="n">
        <v>82</v>
      </c>
      <c r="D1132" s="290" t="inlineStr">
        <is>
          <t>Laundry 2 days</t>
        </is>
      </c>
      <c r="E1132" s="287" t="inlineStr">
        <is>
          <t>-</t>
        </is>
      </c>
      <c r="F1132" s="283" t="n">
        <v>100000</v>
      </c>
      <c r="G1132" s="291" t="inlineStr">
        <is>
          <t>IDR</t>
        </is>
      </c>
      <c r="H1132" s="292" t="n">
        <v>1</v>
      </c>
      <c r="I1132" s="280" t="n"/>
      <c r="J1132" s="285" t="n"/>
      <c r="K1132" s="279" t="n"/>
      <c r="L1132" s="283" t="n">
        <v>100000</v>
      </c>
      <c r="M1132" s="286" t="n"/>
      <c r="N1132" s="286" t="n"/>
      <c r="O1132" s="283" t="n"/>
      <c r="P1132" s="285" t="n"/>
      <c r="Q1132" s="287" t="n"/>
      <c r="R1132" s="278" t="n"/>
      <c r="S1132" s="278" t="n"/>
      <c r="T1132" s="278" t="n"/>
      <c r="U1132" s="278" t="n"/>
      <c r="V1132" s="278" t="n"/>
      <c r="W1132" s="278" t="n"/>
      <c r="X1132" s="278" t="n"/>
      <c r="Y1132" s="278" t="n"/>
      <c r="Z1132" s="278" t="n"/>
      <c r="AA1132" s="278" t="n"/>
      <c r="AB1132" s="278" t="n"/>
      <c r="AC1132" s="278" t="n"/>
      <c r="AD1132" s="278" t="n"/>
    </row>
    <row r="1133">
      <c r="B1133" s="299" t="n"/>
      <c r="C1133" s="299" t="n"/>
      <c r="D1133" s="300" t="inlineStr">
        <is>
          <t>Meal</t>
        </is>
      </c>
      <c r="E1133" s="299" t="n"/>
      <c r="F1133" s="299" t="n"/>
      <c r="G1133" s="299" t="n"/>
      <c r="H1133" s="299" t="n"/>
      <c r="I1133" s="299" t="n"/>
      <c r="J1133" s="299" t="n"/>
      <c r="K1133" s="299" t="n"/>
      <c r="L1133" s="299" t="n"/>
      <c r="M1133" s="299" t="n"/>
      <c r="N1133" s="299" t="n"/>
      <c r="O1133" s="299" t="n"/>
      <c r="P1133" s="299" t="n"/>
      <c r="Q1133" s="299" t="n"/>
      <c r="R1133" s="278" t="n"/>
      <c r="S1133" s="278" t="n"/>
      <c r="T1133" s="278" t="n"/>
      <c r="U1133" s="278" t="n"/>
      <c r="V1133" s="278" t="n"/>
      <c r="W1133" s="278" t="n"/>
      <c r="X1133" s="278" t="n"/>
      <c r="Y1133" s="278" t="n"/>
      <c r="Z1133" s="278" t="n"/>
      <c r="AA1133" s="278" t="n"/>
      <c r="AB1133" s="278" t="n"/>
      <c r="AC1133" s="278" t="n"/>
      <c r="AD1133" s="278" t="n"/>
    </row>
    <row r="1134" ht="15.5" customHeight="1">
      <c r="B1134" s="288" t="n">
        <v>45410</v>
      </c>
      <c r="C1134" s="289" t="n">
        <v>83</v>
      </c>
      <c r="D1134" s="290" t="inlineStr">
        <is>
          <t>Meals 2 days 1 Persons @ 150K IDR/day</t>
        </is>
      </c>
      <c r="E1134" s="287" t="inlineStr">
        <is>
          <t>-</t>
        </is>
      </c>
      <c r="F1134" s="283" t="n">
        <v>300000</v>
      </c>
      <c r="G1134" s="291" t="inlineStr">
        <is>
          <t>IDR</t>
        </is>
      </c>
      <c r="H1134" s="292" t="n">
        <v>1</v>
      </c>
      <c r="I1134" s="280" t="n"/>
      <c r="J1134" s="285" t="n"/>
      <c r="K1134" s="279" t="n"/>
      <c r="L1134" s="283" t="n">
        <v>300000</v>
      </c>
      <c r="M1134" s="286" t="n"/>
      <c r="N1134" s="286" t="n"/>
      <c r="O1134" s="283" t="n"/>
      <c r="P1134" s="285" t="n"/>
      <c r="Q1134" s="287" t="n"/>
      <c r="R1134" s="278" t="n"/>
      <c r="S1134" s="278" t="n"/>
      <c r="T1134" s="278" t="n"/>
      <c r="U1134" s="278" t="n"/>
      <c r="V1134" s="278" t="n"/>
      <c r="W1134" s="278" t="n"/>
      <c r="X1134" s="278" t="n"/>
      <c r="Y1134" s="278" t="n"/>
      <c r="Z1134" s="278" t="n"/>
      <c r="AA1134" s="278" t="n"/>
      <c r="AB1134" s="278" t="n"/>
      <c r="AC1134" s="278" t="n"/>
      <c r="AD1134" s="278" t="n"/>
    </row>
    <row r="1135">
      <c r="B1135" s="299" t="n"/>
      <c r="C1135" s="299" t="n"/>
      <c r="D1135" s="300" t="inlineStr">
        <is>
          <t>Transportation</t>
        </is>
      </c>
      <c r="E1135" s="299" t="n"/>
      <c r="F1135" s="299" t="n"/>
      <c r="G1135" s="299" t="n"/>
      <c r="H1135" s="299" t="n"/>
      <c r="I1135" s="299" t="n"/>
      <c r="J1135" s="299" t="n"/>
      <c r="K1135" s="299" t="n"/>
      <c r="L1135" s="299" t="n"/>
      <c r="M1135" s="299" t="n"/>
      <c r="N1135" s="299" t="n"/>
      <c r="O1135" s="299" t="n"/>
      <c r="P1135" s="299" t="n"/>
      <c r="Q1135" s="299" t="n"/>
      <c r="R1135" s="278" t="n"/>
      <c r="S1135" s="278" t="n"/>
      <c r="T1135" s="278" t="n"/>
      <c r="U1135" s="278" t="n"/>
      <c r="V1135" s="278" t="n"/>
      <c r="W1135" s="278" t="n"/>
      <c r="X1135" s="278" t="n"/>
      <c r="Y1135" s="278" t="n"/>
      <c r="Z1135" s="278" t="n"/>
      <c r="AA1135" s="278" t="n"/>
      <c r="AB1135" s="278" t="n"/>
      <c r="AC1135" s="278" t="n"/>
      <c r="AD1135" s="278" t="n"/>
    </row>
    <row r="1136" ht="15.5" customHeight="1">
      <c r="B1136" s="288" t="n">
        <v>45410</v>
      </c>
      <c r="C1136" s="289" t="n">
        <v>84</v>
      </c>
      <c r="D1136" s="290" t="inlineStr">
        <is>
          <t>Toll</t>
        </is>
      </c>
      <c r="E1136" s="287" t="inlineStr">
        <is>
          <t>-</t>
        </is>
      </c>
      <c r="F1136" s="283" t="n">
        <v>298000</v>
      </c>
      <c r="G1136" s="291" t="inlineStr">
        <is>
          <t>IDR</t>
        </is>
      </c>
      <c r="H1136" s="292" t="n">
        <v>1</v>
      </c>
      <c r="I1136" s="280" t="n"/>
      <c r="J1136" s="285" t="n"/>
      <c r="K1136" s="279" t="n"/>
      <c r="L1136" s="283" t="n">
        <v>298000</v>
      </c>
      <c r="M1136" s="286" t="n"/>
      <c r="N1136" s="286" t="n"/>
      <c r="O1136" s="283" t="n"/>
      <c r="P1136" s="285" t="n"/>
      <c r="Q1136" s="287" t="n"/>
      <c r="R1136" s="278" t="n"/>
      <c r="S1136" s="278" t="n"/>
      <c r="T1136" s="278" t="n"/>
      <c r="U1136" s="278" t="n"/>
      <c r="V1136" s="278" t="n"/>
      <c r="W1136" s="278" t="n"/>
      <c r="X1136" s="278" t="n"/>
      <c r="Y1136" s="278" t="n"/>
      <c r="Z1136" s="278" t="n"/>
      <c r="AA1136" s="278" t="n"/>
      <c r="AB1136" s="278" t="n"/>
      <c r="AC1136" s="278" t="n"/>
      <c r="AD1136" s="278" t="n"/>
    </row>
    <row r="1137">
      <c r="B1137" s="296" t="inlineStr">
        <is>
          <t>Expense#8</t>
        </is>
      </c>
      <c r="C1137" s="297" t="inlineStr">
        <is>
          <t>:</t>
        </is>
      </c>
      <c r="D1137" s="296" t="inlineStr">
        <is>
          <t>Training BST_ PHR-zona 4 (Dwiyanto) (Dwi_Febri dan Ilham)</t>
        </is>
      </c>
      <c r="E1137" s="298" t="n"/>
      <c r="F1137" s="298" t="n"/>
      <c r="G1137" s="298" t="n"/>
      <c r="H1137" s="298" t="n"/>
      <c r="I1137" s="298" t="n"/>
      <c r="J1137" s="298" t="n"/>
      <c r="K1137" s="298" t="n"/>
      <c r="L1137" s="298" t="n"/>
      <c r="M1137" s="298" t="n"/>
      <c r="N1137" s="298" t="n"/>
      <c r="O1137" s="298" t="n"/>
      <c r="P1137" s="298" t="n"/>
      <c r="Q1137" s="298" t="n"/>
      <c r="R1137" s="278" t="n"/>
      <c r="S1137" s="278" t="n"/>
      <c r="T1137" s="278" t="n"/>
      <c r="U1137" s="278" t="n"/>
      <c r="V1137" s="278" t="n"/>
      <c r="W1137" s="278" t="n"/>
      <c r="X1137" s="278" t="n"/>
      <c r="Y1137" s="278" t="n"/>
      <c r="Z1137" s="278" t="n"/>
      <c r="AA1137" s="278" t="n"/>
      <c r="AB1137" s="278" t="n"/>
      <c r="AC1137" s="278" t="n"/>
      <c r="AD1137" s="278" t="n"/>
    </row>
    <row r="1138">
      <c r="B1138" s="299" t="n"/>
      <c r="C1138" s="299" t="n"/>
      <c r="D1138" s="300" t="inlineStr">
        <is>
          <t>Accommodation</t>
        </is>
      </c>
      <c r="E1138" s="299" t="n"/>
      <c r="F1138" s="299" t="n"/>
      <c r="G1138" s="299" t="n"/>
      <c r="H1138" s="299" t="n"/>
      <c r="I1138" s="299" t="n"/>
      <c r="J1138" s="299" t="n"/>
      <c r="K1138" s="299" t="n"/>
      <c r="L1138" s="299" t="n"/>
      <c r="M1138" s="299" t="n"/>
      <c r="N1138" s="299" t="n"/>
      <c r="O1138" s="299" t="n"/>
      <c r="P1138" s="299" t="n"/>
      <c r="Q1138" s="299" t="n"/>
      <c r="R1138" s="278" t="n"/>
      <c r="S1138" s="278" t="n"/>
      <c r="T1138" s="278" t="n"/>
      <c r="U1138" s="278" t="n"/>
      <c r="V1138" s="278" t="n"/>
      <c r="W1138" s="278" t="n"/>
      <c r="X1138" s="278" t="n"/>
      <c r="Y1138" s="278" t="n"/>
      <c r="Z1138" s="278" t="n"/>
      <c r="AA1138" s="278" t="n"/>
      <c r="AB1138" s="278" t="n"/>
      <c r="AC1138" s="278" t="n"/>
      <c r="AD1138" s="278" t="n"/>
    </row>
    <row r="1139" ht="15.5" customHeight="1">
      <c r="B1139" s="288" t="n">
        <v>45420</v>
      </c>
      <c r="C1139" s="289" t="n">
        <v>85</v>
      </c>
      <c r="D1139" s="290" t="inlineStr">
        <is>
          <t>Hotel</t>
        </is>
      </c>
      <c r="E1139" s="287" t="inlineStr">
        <is>
          <t>-</t>
        </is>
      </c>
      <c r="F1139" s="283" t="n">
        <v>360000</v>
      </c>
      <c r="G1139" s="291" t="inlineStr">
        <is>
          <t>IDR</t>
        </is>
      </c>
      <c r="H1139" s="292" t="n">
        <v>1</v>
      </c>
      <c r="I1139" s="280" t="n"/>
      <c r="J1139" s="285" t="n"/>
      <c r="K1139" s="279" t="n"/>
      <c r="L1139" s="283" t="n">
        <v>360000</v>
      </c>
      <c r="M1139" s="286" t="n"/>
      <c r="N1139" s="286" t="n"/>
      <c r="O1139" s="283" t="n"/>
      <c r="P1139" s="285" t="n"/>
      <c r="Q1139" s="287" t="n"/>
      <c r="R1139" s="278" t="n"/>
      <c r="S1139" s="278" t="n"/>
      <c r="T1139" s="278" t="n"/>
      <c r="U1139" s="278" t="n"/>
      <c r="V1139" s="278" t="n"/>
      <c r="W1139" s="278" t="n"/>
      <c r="X1139" s="278" t="n"/>
      <c r="Y1139" s="278" t="n"/>
      <c r="Z1139" s="278" t="n"/>
      <c r="AA1139" s="278" t="n"/>
      <c r="AB1139" s="278" t="n"/>
      <c r="AC1139" s="278" t="n"/>
      <c r="AD1139" s="278" t="n"/>
    </row>
    <row r="1140">
      <c r="B1140" s="299" t="n"/>
      <c r="C1140" s="299" t="n"/>
      <c r="D1140" s="300" t="inlineStr">
        <is>
          <t>Biaya Operasi Lain-lain</t>
        </is>
      </c>
      <c r="E1140" s="299" t="n"/>
      <c r="F1140" s="299" t="n"/>
      <c r="G1140" s="299" t="n"/>
      <c r="H1140" s="299" t="n"/>
      <c r="I1140" s="299" t="n"/>
      <c r="J1140" s="299" t="n"/>
      <c r="K1140" s="299" t="n"/>
      <c r="L1140" s="299" t="n"/>
      <c r="M1140" s="299" t="n"/>
      <c r="N1140" s="299" t="n"/>
      <c r="O1140" s="299" t="n"/>
      <c r="P1140" s="299" t="n"/>
      <c r="Q1140" s="299" t="n"/>
      <c r="R1140" s="278" t="n"/>
      <c r="S1140" s="278" t="n"/>
      <c r="T1140" s="278" t="n"/>
      <c r="U1140" s="278" t="n"/>
      <c r="V1140" s="278" t="n"/>
      <c r="W1140" s="278" t="n"/>
      <c r="X1140" s="278" t="n"/>
      <c r="Y1140" s="278" t="n"/>
      <c r="Z1140" s="278" t="n"/>
      <c r="AA1140" s="278" t="n"/>
      <c r="AB1140" s="278" t="n"/>
      <c r="AC1140" s="278" t="n"/>
      <c r="AD1140" s="278" t="n"/>
    </row>
    <row r="1141" ht="15.5" customHeight="1">
      <c r="B1141" s="288" t="n">
        <v>45418</v>
      </c>
      <c r="C1141" s="289" t="n">
        <v>86</v>
      </c>
      <c r="D1141" s="290" t="inlineStr">
        <is>
          <t>Jakarta - Palembang - Jakarta</t>
        </is>
      </c>
      <c r="E1141" s="287" t="inlineStr">
        <is>
          <t>-</t>
        </is>
      </c>
      <c r="F1141" s="283" t="n">
        <v>1387800</v>
      </c>
      <c r="G1141" s="291" t="inlineStr">
        <is>
          <t>IDR</t>
        </is>
      </c>
      <c r="H1141" s="292" t="n">
        <v>1</v>
      </c>
      <c r="I1141" s="280" t="n"/>
      <c r="J1141" s="285" t="n"/>
      <c r="K1141" s="279" t="n"/>
      <c r="L1141" s="283" t="n">
        <v>1387800</v>
      </c>
      <c r="M1141" s="286" t="n"/>
      <c r="N1141" s="286" t="n"/>
      <c r="O1141" s="283" t="n"/>
      <c r="P1141" s="285" t="n"/>
      <c r="Q1141" s="287" t="n"/>
      <c r="R1141" s="278" t="n"/>
      <c r="S1141" s="278" t="n"/>
      <c r="T1141" s="278" t="n"/>
      <c r="U1141" s="278" t="n"/>
      <c r="V1141" s="278" t="n"/>
      <c r="W1141" s="278" t="n"/>
      <c r="X1141" s="278" t="n"/>
      <c r="Y1141" s="278" t="n"/>
      <c r="Z1141" s="278" t="n"/>
      <c r="AA1141" s="278" t="n"/>
      <c r="AB1141" s="278" t="n"/>
      <c r="AC1141" s="278" t="n"/>
      <c r="AD1141" s="278" t="n"/>
    </row>
    <row r="1142">
      <c r="B1142" s="299" t="n"/>
      <c r="C1142" s="299" t="n"/>
      <c r="D1142" s="300" t="inlineStr">
        <is>
          <t>Meal</t>
        </is>
      </c>
      <c r="E1142" s="299" t="n"/>
      <c r="F1142" s="299" t="n"/>
      <c r="G1142" s="299" t="n"/>
      <c r="H1142" s="299" t="n"/>
      <c r="I1142" s="299" t="n"/>
      <c r="J1142" s="299" t="n"/>
      <c r="K1142" s="299" t="n"/>
      <c r="L1142" s="299" t="n"/>
      <c r="M1142" s="299" t="n"/>
      <c r="N1142" s="299" t="n"/>
      <c r="O1142" s="299" t="n"/>
      <c r="P1142" s="299" t="n"/>
      <c r="Q1142" s="299" t="n"/>
      <c r="R1142" s="278" t="n"/>
      <c r="S1142" s="278" t="n"/>
      <c r="T1142" s="278" t="n"/>
      <c r="U1142" s="278" t="n"/>
      <c r="V1142" s="278" t="n"/>
      <c r="W1142" s="278" t="n"/>
      <c r="X1142" s="278" t="n"/>
      <c r="Y1142" s="278" t="n"/>
      <c r="Z1142" s="278" t="n"/>
      <c r="AA1142" s="278" t="n"/>
      <c r="AB1142" s="278" t="n"/>
      <c r="AC1142" s="278" t="n"/>
      <c r="AD1142" s="278" t="n"/>
    </row>
    <row r="1143" ht="15.5" customHeight="1">
      <c r="B1143" s="288" t="n">
        <v>45419</v>
      </c>
      <c r="C1143" s="289" t="n">
        <v>87</v>
      </c>
      <c r="D1143" s="290" t="inlineStr">
        <is>
          <t>Dinner (Dwi, Febri, Ilham)</t>
        </is>
      </c>
      <c r="E1143" s="287" t="inlineStr">
        <is>
          <t>-</t>
        </is>
      </c>
      <c r="F1143" s="283" t="n">
        <v>103400</v>
      </c>
      <c r="G1143" s="291" t="inlineStr">
        <is>
          <t>IDR</t>
        </is>
      </c>
      <c r="H1143" s="292" t="n">
        <v>1</v>
      </c>
      <c r="I1143" s="280" t="n"/>
      <c r="J1143" s="285" t="n"/>
      <c r="K1143" s="279" t="n"/>
      <c r="L1143" s="283" t="n">
        <v>103400</v>
      </c>
      <c r="M1143" s="286" t="n"/>
      <c r="N1143" s="286" t="n"/>
      <c r="O1143" s="283" t="n"/>
      <c r="P1143" s="285" t="n"/>
      <c r="Q1143" s="287" t="n"/>
      <c r="R1143" s="278" t="n"/>
      <c r="S1143" s="278" t="n"/>
      <c r="T1143" s="278" t="n"/>
      <c r="U1143" s="278" t="n"/>
      <c r="V1143" s="278" t="n"/>
      <c r="W1143" s="278" t="n"/>
      <c r="X1143" s="278" t="n"/>
      <c r="Y1143" s="278" t="n"/>
      <c r="Z1143" s="278" t="n"/>
      <c r="AA1143" s="278" t="n"/>
      <c r="AB1143" s="278" t="n"/>
      <c r="AC1143" s="278" t="n"/>
      <c r="AD1143" s="278" t="n"/>
    </row>
    <row r="1144">
      <c r="B1144" s="299" t="n"/>
      <c r="C1144" s="299" t="n"/>
      <c r="D1144" s="300" t="inlineStr">
        <is>
          <t>Transportation</t>
        </is>
      </c>
      <c r="E1144" s="299" t="n"/>
      <c r="F1144" s="299" t="n"/>
      <c r="G1144" s="299" t="n"/>
      <c r="H1144" s="299" t="n"/>
      <c r="I1144" s="299" t="n"/>
      <c r="J1144" s="299" t="n"/>
      <c r="K1144" s="299" t="n"/>
      <c r="L1144" s="299" t="n"/>
      <c r="M1144" s="299" t="n"/>
      <c r="N1144" s="299" t="n"/>
      <c r="O1144" s="299" t="n"/>
      <c r="P1144" s="299" t="n"/>
      <c r="Q1144" s="299" t="n"/>
      <c r="R1144" s="278" t="n"/>
      <c r="S1144" s="278" t="n"/>
      <c r="T1144" s="278" t="n"/>
      <c r="U1144" s="278" t="n"/>
      <c r="V1144" s="278" t="n"/>
      <c r="W1144" s="278" t="n"/>
      <c r="X1144" s="278" t="n"/>
      <c r="Y1144" s="278" t="n"/>
      <c r="Z1144" s="278" t="n"/>
      <c r="AA1144" s="278" t="n"/>
      <c r="AB1144" s="278" t="n"/>
      <c r="AC1144" s="278" t="n"/>
      <c r="AD1144" s="278" t="n"/>
    </row>
    <row r="1145" ht="15.5" customHeight="1">
      <c r="B1145" s="288" t="n">
        <v>45421</v>
      </c>
      <c r="C1145" s="289" t="n">
        <v>88</v>
      </c>
      <c r="D1145" s="290" t="inlineStr">
        <is>
          <t>Tol + Taxi From Airport Jakarta</t>
        </is>
      </c>
      <c r="E1145" s="287" t="inlineStr">
        <is>
          <t>-</t>
        </is>
      </c>
      <c r="F1145" s="283" t="n">
        <v>276900</v>
      </c>
      <c r="G1145" s="291" t="inlineStr">
        <is>
          <t>IDR</t>
        </is>
      </c>
      <c r="H1145" s="292" t="n">
        <v>1</v>
      </c>
      <c r="I1145" s="280" t="n"/>
      <c r="J1145" s="285" t="n"/>
      <c r="K1145" s="279" t="n"/>
      <c r="L1145" s="283" t="n">
        <v>276900</v>
      </c>
      <c r="M1145" s="286" t="n"/>
      <c r="N1145" s="286" t="n"/>
      <c r="O1145" s="283" t="n"/>
      <c r="P1145" s="285" t="n"/>
      <c r="Q1145" s="287" t="n"/>
      <c r="R1145" s="278" t="n"/>
      <c r="S1145" s="278" t="n"/>
      <c r="T1145" s="278" t="n"/>
      <c r="U1145" s="278" t="n"/>
      <c r="V1145" s="278" t="n"/>
      <c r="W1145" s="278" t="n"/>
      <c r="X1145" s="278" t="n"/>
      <c r="Y1145" s="278" t="n"/>
      <c r="Z1145" s="278" t="n"/>
      <c r="AA1145" s="278" t="n"/>
      <c r="AB1145" s="278" t="n"/>
      <c r="AC1145" s="278" t="n"/>
      <c r="AD1145" s="278" t="n"/>
    </row>
    <row r="1146">
      <c r="B1146" s="296" t="inlineStr">
        <is>
          <t>Expense#9</t>
        </is>
      </c>
      <c r="C1146" s="297" t="inlineStr">
        <is>
          <t>:</t>
        </is>
      </c>
      <c r="D1146" s="296" t="inlineStr">
        <is>
          <t>MFC and ALFA Memory (Jatibarang Field) TGB-033_Elnusa_ AC</t>
        </is>
      </c>
      <c r="E1146" s="298" t="n"/>
      <c r="F1146" s="298" t="n"/>
      <c r="G1146" s="298" t="n"/>
      <c r="H1146" s="298" t="n"/>
      <c r="I1146" s="298" t="n"/>
      <c r="J1146" s="298" t="n"/>
      <c r="K1146" s="298" t="n"/>
      <c r="L1146" s="298" t="n"/>
      <c r="M1146" s="298" t="n"/>
      <c r="N1146" s="298" t="n"/>
      <c r="O1146" s="298" t="n"/>
      <c r="P1146" s="298" t="n"/>
      <c r="Q1146" s="298" t="n"/>
      <c r="R1146" s="278" t="n"/>
      <c r="S1146" s="278" t="n"/>
      <c r="T1146" s="278" t="n"/>
      <c r="U1146" s="278" t="n"/>
      <c r="V1146" s="278" t="n"/>
      <c r="W1146" s="278" t="n"/>
      <c r="X1146" s="278" t="n"/>
      <c r="Y1146" s="278" t="n"/>
      <c r="Z1146" s="278" t="n"/>
      <c r="AA1146" s="278" t="n"/>
      <c r="AB1146" s="278" t="n"/>
      <c r="AC1146" s="278" t="n"/>
      <c r="AD1146" s="278" t="n"/>
    </row>
    <row r="1147">
      <c r="B1147" s="299" t="n"/>
      <c r="C1147" s="299" t="n"/>
      <c r="D1147" s="300" t="inlineStr">
        <is>
          <t>Allowance</t>
        </is>
      </c>
      <c r="E1147" s="299" t="n"/>
      <c r="F1147" s="299" t="n"/>
      <c r="G1147" s="299" t="n"/>
      <c r="H1147" s="299" t="n"/>
      <c r="I1147" s="299" t="n"/>
      <c r="J1147" s="299" t="n"/>
      <c r="K1147" s="299" t="n"/>
      <c r="L1147" s="299" t="n"/>
      <c r="M1147" s="299" t="n"/>
      <c r="N1147" s="299" t="n"/>
      <c r="O1147" s="299" t="n"/>
      <c r="P1147" s="299" t="n"/>
      <c r="Q1147" s="299" t="n"/>
      <c r="R1147" s="278" t="n"/>
      <c r="S1147" s="278" t="n"/>
      <c r="T1147" s="278" t="n"/>
      <c r="U1147" s="278" t="n"/>
      <c r="V1147" s="278" t="n"/>
      <c r="W1147" s="278" t="n"/>
      <c r="X1147" s="278" t="n"/>
      <c r="Y1147" s="278" t="n"/>
      <c r="Z1147" s="278" t="n"/>
      <c r="AA1147" s="278" t="n"/>
      <c r="AB1147" s="278" t="n"/>
      <c r="AC1147" s="278" t="n"/>
      <c r="AD1147" s="278" t="n"/>
    </row>
    <row r="1148" ht="15.5" customHeight="1">
      <c r="B1148" s="288" t="n">
        <v>45403</v>
      </c>
      <c r="C1148" s="289" t="n">
        <v>89</v>
      </c>
      <c r="D1148" s="290" t="inlineStr">
        <is>
          <t>Tunajngan lapangan for 3 days (19-21 apr24) Anevril</t>
        </is>
      </c>
      <c r="E1148" s="287" t="inlineStr">
        <is>
          <t>-</t>
        </is>
      </c>
      <c r="F1148" s="283" t="n">
        <v>4815300</v>
      </c>
      <c r="G1148" s="291" t="inlineStr">
        <is>
          <t>USD</t>
        </is>
      </c>
      <c r="H1148" s="292" t="n">
        <v>16051</v>
      </c>
      <c r="I1148" s="280" t="n"/>
      <c r="J1148" s="285" t="n"/>
      <c r="K1148" s="279" t="n"/>
      <c r="L1148" s="283" t="n">
        <v>4815300</v>
      </c>
      <c r="M1148" s="286" t="n"/>
      <c r="N1148" s="286" t="n"/>
      <c r="O1148" s="283" t="n"/>
      <c r="P1148" s="285" t="n"/>
      <c r="Q1148" s="287" t="n"/>
      <c r="R1148" s="278" t="n"/>
      <c r="S1148" s="278" t="n"/>
      <c r="T1148" s="278" t="n"/>
      <c r="U1148" s="278" t="n"/>
      <c r="V1148" s="278" t="n"/>
      <c r="W1148" s="278" t="n"/>
      <c r="X1148" s="278" t="n"/>
      <c r="Y1148" s="278" t="n"/>
      <c r="Z1148" s="278" t="n"/>
      <c r="AA1148" s="278" t="n"/>
      <c r="AB1148" s="278" t="n"/>
      <c r="AC1148" s="278" t="n"/>
      <c r="AD1148" s="278" t="n"/>
    </row>
    <row r="1149">
      <c r="B1149" s="299" t="n"/>
      <c r="C1149" s="299" t="n"/>
      <c r="D1149" s="300" t="inlineStr">
        <is>
          <t>Laundry</t>
        </is>
      </c>
      <c r="E1149" s="299" t="n"/>
      <c r="F1149" s="299" t="n"/>
      <c r="G1149" s="299" t="n"/>
      <c r="H1149" s="299" t="n"/>
      <c r="I1149" s="299" t="n"/>
      <c r="J1149" s="299" t="n"/>
      <c r="K1149" s="299" t="n"/>
      <c r="L1149" s="299" t="n"/>
      <c r="M1149" s="299" t="n"/>
      <c r="N1149" s="299" t="n"/>
      <c r="O1149" s="299" t="n"/>
      <c r="P1149" s="299" t="n"/>
      <c r="Q1149" s="299" t="n"/>
      <c r="R1149" s="278" t="n"/>
      <c r="S1149" s="278" t="n"/>
      <c r="T1149" s="278" t="n"/>
      <c r="U1149" s="278" t="n"/>
      <c r="V1149" s="278" t="n"/>
      <c r="W1149" s="278" t="n"/>
      <c r="X1149" s="278" t="n"/>
      <c r="Y1149" s="278" t="n"/>
      <c r="Z1149" s="278" t="n"/>
      <c r="AA1149" s="278" t="n"/>
      <c r="AB1149" s="278" t="n"/>
      <c r="AC1149" s="278" t="n"/>
      <c r="AD1149" s="278" t="n"/>
    </row>
    <row r="1150" ht="15.5" customHeight="1">
      <c r="B1150" s="288" t="n">
        <v>45403</v>
      </c>
      <c r="C1150" s="289" t="n">
        <v>90</v>
      </c>
      <c r="D1150" s="290" t="inlineStr">
        <is>
          <t>Laundry 3 days @ Rp. 50.000</t>
        </is>
      </c>
      <c r="E1150" s="287" t="inlineStr">
        <is>
          <t>-</t>
        </is>
      </c>
      <c r="F1150" s="283" t="n">
        <v>150000</v>
      </c>
      <c r="G1150" s="291" t="inlineStr">
        <is>
          <t>IDR</t>
        </is>
      </c>
      <c r="H1150" s="292" t="n">
        <v>1</v>
      </c>
      <c r="I1150" s="280" t="n"/>
      <c r="J1150" s="285" t="n"/>
      <c r="K1150" s="279" t="n"/>
      <c r="L1150" s="283" t="n">
        <v>150000</v>
      </c>
      <c r="M1150" s="286" t="n"/>
      <c r="N1150" s="286" t="n"/>
      <c r="O1150" s="283" t="n"/>
      <c r="P1150" s="285" t="n"/>
      <c r="Q1150" s="287" t="n"/>
      <c r="R1150" s="278" t="n"/>
      <c r="S1150" s="278" t="n"/>
      <c r="T1150" s="278" t="n"/>
      <c r="U1150" s="278" t="n"/>
      <c r="V1150" s="278" t="n"/>
      <c r="W1150" s="278" t="n"/>
      <c r="X1150" s="278" t="n"/>
      <c r="Y1150" s="278" t="n"/>
      <c r="Z1150" s="278" t="n"/>
      <c r="AA1150" s="278" t="n"/>
      <c r="AB1150" s="278" t="n"/>
      <c r="AC1150" s="278" t="n"/>
      <c r="AD1150" s="278" t="n"/>
    </row>
    <row r="1151">
      <c r="B1151" s="299" t="n"/>
      <c r="C1151" s="299" t="n"/>
      <c r="D1151" s="300" t="inlineStr">
        <is>
          <t>Meal</t>
        </is>
      </c>
      <c r="E1151" s="299" t="n"/>
      <c r="F1151" s="299" t="n"/>
      <c r="G1151" s="299" t="n"/>
      <c r="H1151" s="299" t="n"/>
      <c r="I1151" s="299" t="n"/>
      <c r="J1151" s="299" t="n"/>
      <c r="K1151" s="299" t="n"/>
      <c r="L1151" s="299" t="n"/>
      <c r="M1151" s="299" t="n"/>
      <c r="N1151" s="299" t="n"/>
      <c r="O1151" s="299" t="n"/>
      <c r="P1151" s="299" t="n"/>
      <c r="Q1151" s="299" t="n"/>
      <c r="R1151" s="278" t="n"/>
      <c r="S1151" s="278" t="n"/>
      <c r="T1151" s="278" t="n"/>
      <c r="U1151" s="278" t="n"/>
      <c r="V1151" s="278" t="n"/>
      <c r="W1151" s="278" t="n"/>
      <c r="X1151" s="278" t="n"/>
      <c r="Y1151" s="278" t="n"/>
      <c r="Z1151" s="278" t="n"/>
      <c r="AA1151" s="278" t="n"/>
      <c r="AB1151" s="278" t="n"/>
      <c r="AC1151" s="278" t="n"/>
      <c r="AD1151" s="278" t="n"/>
    </row>
    <row r="1152" ht="15.5" customHeight="1">
      <c r="B1152" s="288" t="n">
        <v>45420</v>
      </c>
      <c r="C1152" s="289" t="n">
        <v>91</v>
      </c>
      <c r="D1152" s="290" t="inlineStr">
        <is>
          <t>Dinner (Dwi, Febri, Ilham)</t>
        </is>
      </c>
      <c r="E1152" s="287" t="inlineStr">
        <is>
          <t>-</t>
        </is>
      </c>
      <c r="F1152" s="283" t="n">
        <v>128000</v>
      </c>
      <c r="G1152" s="291" t="inlineStr">
        <is>
          <t>IDR</t>
        </is>
      </c>
      <c r="H1152" s="292" t="n">
        <v>1</v>
      </c>
      <c r="I1152" s="280" t="n"/>
      <c r="J1152" s="285" t="n"/>
      <c r="K1152" s="279" t="n"/>
      <c r="L1152" s="283" t="n">
        <v>128000</v>
      </c>
      <c r="M1152" s="286" t="n"/>
      <c r="N1152" s="286" t="n"/>
      <c r="O1152" s="283" t="n"/>
      <c r="P1152" s="285" t="n"/>
      <c r="Q1152" s="287" t="n"/>
      <c r="R1152" s="278" t="n"/>
      <c r="S1152" s="278" t="n"/>
      <c r="T1152" s="278" t="n"/>
      <c r="U1152" s="278" t="n"/>
      <c r="V1152" s="278" t="n"/>
      <c r="W1152" s="278" t="n"/>
      <c r="X1152" s="278" t="n"/>
      <c r="Y1152" s="278" t="n"/>
      <c r="Z1152" s="278" t="n"/>
      <c r="AA1152" s="278" t="n"/>
      <c r="AB1152" s="278" t="n"/>
      <c r="AC1152" s="278" t="n"/>
      <c r="AD1152" s="278" t="n"/>
    </row>
    <row r="1153">
      <c r="B1153" s="299" t="n"/>
      <c r="C1153" s="299" t="n"/>
      <c r="D1153" s="300" t="inlineStr">
        <is>
          <t>Transportation</t>
        </is>
      </c>
      <c r="E1153" s="299" t="n"/>
      <c r="F1153" s="299" t="n"/>
      <c r="G1153" s="299" t="n"/>
      <c r="H1153" s="299" t="n"/>
      <c r="I1153" s="299" t="n"/>
      <c r="J1153" s="299" t="n"/>
      <c r="K1153" s="299" t="n"/>
      <c r="L1153" s="299" t="n"/>
      <c r="M1153" s="299" t="n"/>
      <c r="N1153" s="299" t="n"/>
      <c r="O1153" s="299" t="n"/>
      <c r="P1153" s="299" t="n"/>
      <c r="Q1153" s="299" t="n"/>
      <c r="R1153" s="278" t="n"/>
      <c r="S1153" s="278" t="n"/>
      <c r="T1153" s="278" t="n"/>
      <c r="U1153" s="278" t="n"/>
      <c r="V1153" s="278" t="n"/>
      <c r="W1153" s="278" t="n"/>
      <c r="X1153" s="278" t="n"/>
      <c r="Y1153" s="278" t="n"/>
      <c r="Z1153" s="278" t="n"/>
      <c r="AA1153" s="278" t="n"/>
      <c r="AB1153" s="278" t="n"/>
      <c r="AC1153" s="278" t="n"/>
      <c r="AD1153" s="278" t="n"/>
    </row>
    <row r="1154" ht="15.5" customHeight="1">
      <c r="B1154" s="288" t="n">
        <v>45403</v>
      </c>
      <c r="C1154" s="289" t="n">
        <v>92</v>
      </c>
      <c r="D1154" s="290" t="inlineStr">
        <is>
          <t>Taksi</t>
        </is>
      </c>
      <c r="E1154" s="287" t="inlineStr">
        <is>
          <t>-</t>
        </is>
      </c>
      <c r="F1154" s="283" t="n">
        <v>150000</v>
      </c>
      <c r="G1154" s="291" t="inlineStr">
        <is>
          <t>IDR</t>
        </is>
      </c>
      <c r="H1154" s="292" t="n">
        <v>1</v>
      </c>
      <c r="I1154" s="280" t="n"/>
      <c r="J1154" s="285" t="n"/>
      <c r="K1154" s="279" t="n"/>
      <c r="L1154" s="283" t="n">
        <v>150000</v>
      </c>
      <c r="M1154" s="286" t="n"/>
      <c r="N1154" s="286" t="n"/>
      <c r="O1154" s="283" t="n"/>
      <c r="P1154" s="285" t="n"/>
      <c r="Q1154" s="287" t="n"/>
      <c r="R1154" s="278" t="n"/>
      <c r="S1154" s="278" t="n"/>
      <c r="T1154" s="278" t="n"/>
      <c r="U1154" s="278" t="n"/>
      <c r="V1154" s="278" t="n"/>
      <c r="W1154" s="278" t="n"/>
      <c r="X1154" s="278" t="n"/>
      <c r="Y1154" s="278" t="n"/>
      <c r="Z1154" s="278" t="n"/>
      <c r="AA1154" s="278" t="n"/>
      <c r="AB1154" s="278" t="n"/>
      <c r="AC1154" s="278" t="n"/>
      <c r="AD1154" s="278" t="n"/>
    </row>
    <row r="1155">
      <c r="B1155" s="296" t="inlineStr">
        <is>
          <t>Expense#10</t>
        </is>
      </c>
      <c r="C1155" s="297" t="inlineStr">
        <is>
          <t>:</t>
        </is>
      </c>
      <c r="D1155" s="296" t="inlineStr">
        <is>
          <t>ALFA+PLT (TGB-033 Zona 7) Elnusa_TMA</t>
        </is>
      </c>
      <c r="E1155" s="298" t="n"/>
      <c r="F1155" s="298" t="n"/>
      <c r="G1155" s="298" t="n"/>
      <c r="H1155" s="298" t="n"/>
      <c r="I1155" s="298" t="n"/>
      <c r="J1155" s="298" t="n"/>
      <c r="K1155" s="298" t="n"/>
      <c r="L1155" s="298" t="n"/>
      <c r="M1155" s="298" t="n"/>
      <c r="N1155" s="298" t="n"/>
      <c r="O1155" s="298" t="n"/>
      <c r="P1155" s="298" t="n"/>
      <c r="Q1155" s="298" t="n"/>
      <c r="R1155" s="278" t="n"/>
      <c r="S1155" s="278" t="n"/>
      <c r="T1155" s="278" t="n"/>
      <c r="U1155" s="278" t="n"/>
      <c r="V1155" s="278" t="n"/>
      <c r="W1155" s="278" t="n"/>
      <c r="X1155" s="278" t="n"/>
      <c r="Y1155" s="278" t="n"/>
      <c r="Z1155" s="278" t="n"/>
      <c r="AA1155" s="278" t="n"/>
      <c r="AB1155" s="278" t="n"/>
      <c r="AC1155" s="278" t="n"/>
      <c r="AD1155" s="278" t="n"/>
    </row>
    <row r="1156">
      <c r="B1156" s="299" t="n"/>
      <c r="C1156" s="299" t="n"/>
      <c r="D1156" s="300" t="inlineStr">
        <is>
          <t>Accommodation</t>
        </is>
      </c>
      <c r="E1156" s="299" t="n"/>
      <c r="F1156" s="299" t="n"/>
      <c r="G1156" s="299" t="n"/>
      <c r="H1156" s="299" t="n"/>
      <c r="I1156" s="299" t="n"/>
      <c r="J1156" s="299" t="n"/>
      <c r="K1156" s="299" t="n"/>
      <c r="L1156" s="299" t="n"/>
      <c r="M1156" s="299" t="n"/>
      <c r="N1156" s="299" t="n"/>
      <c r="O1156" s="299" t="n"/>
      <c r="P1156" s="299" t="n"/>
      <c r="Q1156" s="299" t="n"/>
      <c r="R1156" s="278" t="n"/>
      <c r="S1156" s="278" t="n"/>
      <c r="T1156" s="278" t="n"/>
      <c r="U1156" s="278" t="n"/>
      <c r="V1156" s="278" t="n"/>
      <c r="W1156" s="278" t="n"/>
      <c r="X1156" s="278" t="n"/>
      <c r="Y1156" s="278" t="n"/>
      <c r="Z1156" s="278" t="n"/>
      <c r="AA1156" s="278" t="n"/>
      <c r="AB1156" s="278" t="n"/>
      <c r="AC1156" s="278" t="n"/>
      <c r="AD1156" s="278" t="n"/>
    </row>
    <row r="1157" ht="15.5" customHeight="1">
      <c r="B1157" s="288" t="n">
        <v>45407</v>
      </c>
      <c r="C1157" s="289" t="n">
        <v>93</v>
      </c>
      <c r="D1157" s="290" t="inlineStr">
        <is>
          <t>Hotel 25 Apr - 27 Apr &amp; 29 Apr- 2 May 2024 (6 days)</t>
        </is>
      </c>
      <c r="E1157" s="287" t="inlineStr">
        <is>
          <t>-</t>
        </is>
      </c>
      <c r="F1157" s="283" t="n">
        <v>3292802</v>
      </c>
      <c r="G1157" s="291" t="inlineStr">
        <is>
          <t>IDR</t>
        </is>
      </c>
      <c r="H1157" s="292" t="n">
        <v>1</v>
      </c>
      <c r="I1157" s="280" t="n"/>
      <c r="J1157" s="285" t="n"/>
      <c r="K1157" s="279" t="n"/>
      <c r="L1157" s="283" t="n">
        <v>3292802</v>
      </c>
      <c r="M1157" s="286" t="n"/>
      <c r="N1157" s="286" t="n"/>
      <c r="O1157" s="283" t="n"/>
      <c r="P1157" s="285" t="n"/>
      <c r="Q1157" s="287" t="n"/>
      <c r="R1157" s="278" t="n"/>
      <c r="S1157" s="278" t="n"/>
      <c r="T1157" s="278" t="n"/>
      <c r="U1157" s="278" t="n"/>
      <c r="V1157" s="278" t="n"/>
      <c r="W1157" s="278" t="n"/>
      <c r="X1157" s="278" t="n"/>
      <c r="Y1157" s="278" t="n"/>
      <c r="Z1157" s="278" t="n"/>
      <c r="AA1157" s="278" t="n"/>
      <c r="AB1157" s="278" t="n"/>
      <c r="AC1157" s="278" t="n"/>
      <c r="AD1157" s="278" t="n"/>
    </row>
    <row r="1158">
      <c r="B1158" s="299" t="n"/>
      <c r="C1158" s="299" t="n"/>
      <c r="D1158" s="300" t="inlineStr">
        <is>
          <t>Allowance</t>
        </is>
      </c>
      <c r="E1158" s="299" t="n"/>
      <c r="F1158" s="299" t="n"/>
      <c r="G1158" s="299" t="n"/>
      <c r="H1158" s="299" t="n"/>
      <c r="I1158" s="299" t="n"/>
      <c r="J1158" s="299" t="n"/>
      <c r="K1158" s="299" t="n"/>
      <c r="L1158" s="299" t="n"/>
      <c r="M1158" s="299" t="n"/>
      <c r="N1158" s="299" t="n"/>
      <c r="O1158" s="299" t="n"/>
      <c r="P1158" s="299" t="n"/>
      <c r="Q1158" s="299" t="n"/>
      <c r="R1158" s="278" t="n"/>
      <c r="S1158" s="278" t="n"/>
      <c r="T1158" s="278" t="n"/>
      <c r="U1158" s="278" t="n"/>
      <c r="V1158" s="278" t="n"/>
      <c r="W1158" s="278" t="n"/>
      <c r="X1158" s="278" t="n"/>
      <c r="Y1158" s="278" t="n"/>
      <c r="Z1158" s="278" t="n"/>
      <c r="AA1158" s="278" t="n"/>
      <c r="AB1158" s="278" t="n"/>
      <c r="AC1158" s="278" t="n"/>
      <c r="AD1158" s="278" t="n"/>
    </row>
    <row r="1159" ht="15.5" customHeight="1">
      <c r="B1159" s="288" t="n">
        <v>45407</v>
      </c>
      <c r="C1159" s="289" t="n">
        <v>94</v>
      </c>
      <c r="D1159" s="290" t="inlineStr">
        <is>
          <t>Field Bonus for 4 days 29 April-2 May 2024 (100$/Day</t>
        </is>
      </c>
      <c r="E1159" s="287" t="inlineStr">
        <is>
          <t>-</t>
        </is>
      </c>
      <c r="F1159" s="283" t="n">
        <v>6420340</v>
      </c>
      <c r="G1159" s="291" t="inlineStr">
        <is>
          <t>USD</t>
        </is>
      </c>
      <c r="H1159" s="292" t="n">
        <v>16050.85</v>
      </c>
      <c r="I1159" s="280" t="n"/>
      <c r="J1159" s="285" t="n"/>
      <c r="K1159" s="279" t="n"/>
      <c r="L1159" s="283" t="n">
        <v>6420340</v>
      </c>
      <c r="M1159" s="286" t="n"/>
      <c r="N1159" s="286" t="n"/>
      <c r="O1159" s="283" t="n"/>
      <c r="P1159" s="285" t="n"/>
      <c r="Q1159" s="287" t="n"/>
      <c r="R1159" s="278" t="n"/>
      <c r="S1159" s="278" t="n"/>
      <c r="T1159" s="278" t="n"/>
      <c r="U1159" s="278" t="n"/>
      <c r="V1159" s="278" t="n"/>
      <c r="W1159" s="278" t="n"/>
      <c r="X1159" s="278" t="n"/>
      <c r="Y1159" s="278" t="n"/>
      <c r="Z1159" s="278" t="n"/>
      <c r="AA1159" s="278" t="n"/>
      <c r="AB1159" s="278" t="n"/>
      <c r="AC1159" s="278" t="n"/>
      <c r="AD1159" s="278" t="n"/>
    </row>
    <row r="1160">
      <c r="B1160" s="299" t="n"/>
      <c r="C1160" s="299" t="n"/>
      <c r="D1160" s="300" t="inlineStr">
        <is>
          <t>Biaya Operasi Lain-lain</t>
        </is>
      </c>
      <c r="E1160" s="299" t="n"/>
      <c r="F1160" s="299" t="n"/>
      <c r="G1160" s="299" t="n"/>
      <c r="H1160" s="299" t="n"/>
      <c r="I1160" s="299" t="n"/>
      <c r="J1160" s="299" t="n"/>
      <c r="K1160" s="299" t="n"/>
      <c r="L1160" s="299" t="n"/>
      <c r="M1160" s="299" t="n"/>
      <c r="N1160" s="299" t="n"/>
      <c r="O1160" s="299" t="n"/>
      <c r="P1160" s="299" t="n"/>
      <c r="Q1160" s="299" t="n"/>
      <c r="R1160" s="278" t="n"/>
      <c r="S1160" s="278" t="n"/>
      <c r="T1160" s="278" t="n"/>
      <c r="U1160" s="278" t="n"/>
      <c r="V1160" s="278" t="n"/>
      <c r="W1160" s="278" t="n"/>
      <c r="X1160" s="278" t="n"/>
      <c r="Y1160" s="278" t="n"/>
      <c r="Z1160" s="278" t="n"/>
      <c r="AA1160" s="278" t="n"/>
      <c r="AB1160" s="278" t="n"/>
      <c r="AC1160" s="278" t="n"/>
      <c r="AD1160" s="278" t="n"/>
    </row>
    <row r="1161" ht="15.5" customHeight="1">
      <c r="B1161" s="288" t="n">
        <v>45411</v>
      </c>
      <c r="C1161" s="289" t="n">
        <v>95</v>
      </c>
      <c r="D1161" s="290" t="inlineStr">
        <is>
          <t>Internet Data</t>
        </is>
      </c>
      <c r="E1161" s="287" t="inlineStr">
        <is>
          <t>-</t>
        </is>
      </c>
      <c r="F1161" s="283" t="n">
        <v>75000</v>
      </c>
      <c r="G1161" s="291" t="inlineStr">
        <is>
          <t>IDR</t>
        </is>
      </c>
      <c r="H1161" s="292" t="n">
        <v>1</v>
      </c>
      <c r="I1161" s="280" t="n"/>
      <c r="J1161" s="285" t="n"/>
      <c r="K1161" s="279" t="n"/>
      <c r="L1161" s="283" t="n">
        <v>75000</v>
      </c>
      <c r="M1161" s="286" t="n"/>
      <c r="N1161" s="286" t="n"/>
      <c r="O1161" s="283" t="n"/>
      <c r="P1161" s="285" t="n"/>
      <c r="Q1161" s="287" t="n"/>
      <c r="R1161" s="278" t="n"/>
      <c r="S1161" s="278" t="n"/>
      <c r="T1161" s="278" t="n"/>
      <c r="U1161" s="278" t="n"/>
      <c r="V1161" s="278" t="n"/>
      <c r="W1161" s="278" t="n"/>
      <c r="X1161" s="278" t="n"/>
      <c r="Y1161" s="278" t="n"/>
      <c r="Z1161" s="278" t="n"/>
      <c r="AA1161" s="278" t="n"/>
      <c r="AB1161" s="278" t="n"/>
      <c r="AC1161" s="278" t="n"/>
      <c r="AD1161" s="278" t="n"/>
    </row>
    <row r="1162">
      <c r="B1162" s="299" t="n"/>
      <c r="C1162" s="299" t="n"/>
      <c r="D1162" s="300" t="inlineStr">
        <is>
          <t>Hand Tools</t>
        </is>
      </c>
      <c r="E1162" s="299" t="n"/>
      <c r="F1162" s="299" t="n"/>
      <c r="G1162" s="299" t="n"/>
      <c r="H1162" s="299" t="n"/>
      <c r="I1162" s="299" t="n"/>
      <c r="J1162" s="299" t="n"/>
      <c r="K1162" s="299" t="n"/>
      <c r="L1162" s="299" t="n"/>
      <c r="M1162" s="299" t="n"/>
      <c r="N1162" s="299" t="n"/>
      <c r="O1162" s="299" t="n"/>
      <c r="P1162" s="299" t="n"/>
      <c r="Q1162" s="299" t="n"/>
      <c r="R1162" s="278" t="n"/>
      <c r="S1162" s="278" t="n"/>
      <c r="T1162" s="278" t="n"/>
      <c r="U1162" s="278" t="n"/>
      <c r="V1162" s="278" t="n"/>
      <c r="W1162" s="278" t="n"/>
      <c r="X1162" s="278" t="n"/>
      <c r="Y1162" s="278" t="n"/>
      <c r="Z1162" s="278" t="n"/>
      <c r="AA1162" s="278" t="n"/>
      <c r="AB1162" s="278" t="n"/>
      <c r="AC1162" s="278" t="n"/>
      <c r="AD1162" s="278" t="n"/>
    </row>
    <row r="1163" ht="15.5" customHeight="1">
      <c r="B1163" s="288" t="n">
        <v>45401</v>
      </c>
      <c r="C1163" s="289" t="n">
        <v>96</v>
      </c>
      <c r="D1163" s="290" t="inlineStr">
        <is>
          <t>Tekiro Kunci L, Tekiro Tang, Obeng Set</t>
        </is>
      </c>
      <c r="E1163" s="287" t="inlineStr">
        <is>
          <t>-</t>
        </is>
      </c>
      <c r="F1163" s="283" t="n">
        <v>349000</v>
      </c>
      <c r="G1163" s="291" t="inlineStr">
        <is>
          <t>IDR</t>
        </is>
      </c>
      <c r="H1163" s="292" t="n">
        <v>1</v>
      </c>
      <c r="I1163" s="280" t="n"/>
      <c r="J1163" s="285" t="n"/>
      <c r="K1163" s="279" t="n"/>
      <c r="L1163" s="283" t="n"/>
      <c r="M1163" s="286" t="n"/>
      <c r="N1163" s="286" t="n">
        <v>349000</v>
      </c>
      <c r="O1163" s="283" t="n"/>
      <c r="P1163" s="285" t="n"/>
      <c r="Q1163" s="287" t="n"/>
      <c r="R1163" s="278" t="n"/>
      <c r="S1163" s="278" t="n"/>
      <c r="T1163" s="278" t="n"/>
      <c r="U1163" s="278" t="n"/>
      <c r="V1163" s="278" t="n"/>
      <c r="W1163" s="278" t="n"/>
      <c r="X1163" s="278" t="n"/>
      <c r="Y1163" s="278" t="n"/>
      <c r="Z1163" s="278" t="n"/>
      <c r="AA1163" s="278" t="n"/>
      <c r="AB1163" s="278" t="n"/>
      <c r="AC1163" s="278" t="n"/>
      <c r="AD1163" s="278" t="n"/>
    </row>
    <row r="1164">
      <c r="B1164" s="299" t="n"/>
      <c r="C1164" s="299" t="n"/>
      <c r="D1164" s="300" t="inlineStr">
        <is>
          <t>Laundry</t>
        </is>
      </c>
      <c r="E1164" s="299" t="n"/>
      <c r="F1164" s="299" t="n"/>
      <c r="G1164" s="299" t="n"/>
      <c r="H1164" s="299" t="n"/>
      <c r="I1164" s="299" t="n"/>
      <c r="J1164" s="299" t="n"/>
      <c r="K1164" s="299" t="n"/>
      <c r="L1164" s="299" t="n"/>
      <c r="M1164" s="299" t="n"/>
      <c r="N1164" s="299" t="n"/>
      <c r="O1164" s="299" t="n"/>
      <c r="P1164" s="299" t="n"/>
      <c r="Q1164" s="299" t="n"/>
      <c r="R1164" s="278" t="n"/>
      <c r="S1164" s="278" t="n"/>
      <c r="T1164" s="278" t="n"/>
      <c r="U1164" s="278" t="n"/>
      <c r="V1164" s="278" t="n"/>
      <c r="W1164" s="278" t="n"/>
      <c r="X1164" s="278" t="n"/>
      <c r="Y1164" s="278" t="n"/>
      <c r="Z1164" s="278" t="n"/>
      <c r="AA1164" s="278" t="n"/>
      <c r="AB1164" s="278" t="n"/>
      <c r="AC1164" s="278" t="n"/>
      <c r="AD1164" s="278" t="n"/>
    </row>
    <row r="1165" ht="15.5" customHeight="1">
      <c r="B1165" s="288" t="n">
        <v>45407</v>
      </c>
      <c r="C1165" s="289" t="n">
        <v>97</v>
      </c>
      <c r="D1165" s="290" t="inlineStr">
        <is>
          <t>Laundry 7 days 1 Persons @ 50K IDR/day</t>
        </is>
      </c>
      <c r="E1165" s="287" t="inlineStr">
        <is>
          <t>-</t>
        </is>
      </c>
      <c r="F1165" s="283" t="n">
        <v>350000</v>
      </c>
      <c r="G1165" s="291" t="inlineStr">
        <is>
          <t>IDR</t>
        </is>
      </c>
      <c r="H1165" s="292" t="n">
        <v>1</v>
      </c>
      <c r="I1165" s="280" t="n"/>
      <c r="J1165" s="285" t="n"/>
      <c r="K1165" s="279" t="n"/>
      <c r="L1165" s="283" t="n">
        <v>350000</v>
      </c>
      <c r="M1165" s="286" t="n"/>
      <c r="N1165" s="286" t="n"/>
      <c r="O1165" s="283" t="n"/>
      <c r="P1165" s="285" t="n"/>
      <c r="Q1165" s="287" t="n"/>
      <c r="R1165" s="278" t="n"/>
      <c r="S1165" s="278" t="n"/>
      <c r="T1165" s="278" t="n"/>
      <c r="U1165" s="278" t="n"/>
      <c r="V1165" s="278" t="n"/>
      <c r="W1165" s="278" t="n"/>
      <c r="X1165" s="278" t="n"/>
      <c r="Y1165" s="278" t="n"/>
      <c r="Z1165" s="278" t="n"/>
      <c r="AA1165" s="278" t="n"/>
      <c r="AB1165" s="278" t="n"/>
      <c r="AC1165" s="278" t="n"/>
      <c r="AD1165" s="278" t="n"/>
    </row>
    <row r="1166">
      <c r="B1166" s="299" t="n"/>
      <c r="C1166" s="299" t="n"/>
      <c r="D1166" s="300" t="inlineStr">
        <is>
          <t>Meal</t>
        </is>
      </c>
      <c r="E1166" s="299" t="n"/>
      <c r="F1166" s="299" t="n"/>
      <c r="G1166" s="299" t="n"/>
      <c r="H1166" s="299" t="n"/>
      <c r="I1166" s="299" t="n"/>
      <c r="J1166" s="299" t="n"/>
      <c r="K1166" s="299" t="n"/>
      <c r="L1166" s="299" t="n"/>
      <c r="M1166" s="299" t="n"/>
      <c r="N1166" s="299" t="n"/>
      <c r="O1166" s="299" t="n"/>
      <c r="P1166" s="299" t="n"/>
      <c r="Q1166" s="299" t="n"/>
      <c r="R1166" s="278" t="n"/>
      <c r="S1166" s="278" t="n"/>
      <c r="T1166" s="278" t="n"/>
      <c r="U1166" s="278" t="n"/>
      <c r="V1166" s="278" t="n"/>
      <c r="W1166" s="278" t="n"/>
      <c r="X1166" s="278" t="n"/>
      <c r="Y1166" s="278" t="n"/>
      <c r="Z1166" s="278" t="n"/>
      <c r="AA1166" s="278" t="n"/>
      <c r="AB1166" s="278" t="n"/>
      <c r="AC1166" s="278" t="n"/>
      <c r="AD1166" s="278" t="n"/>
    </row>
    <row r="1167" ht="15.5" customHeight="1">
      <c r="B1167" s="288" t="n">
        <v>45407</v>
      </c>
      <c r="C1167" s="289" t="n">
        <v>98</v>
      </c>
      <c r="D1167" s="290" t="inlineStr">
        <is>
          <t>Meals 7 days 1 Persons @ 150K IDR/day</t>
        </is>
      </c>
      <c r="E1167" s="287" t="inlineStr">
        <is>
          <t>-</t>
        </is>
      </c>
      <c r="F1167" s="283" t="n">
        <v>1050000</v>
      </c>
      <c r="G1167" s="291" t="inlineStr">
        <is>
          <t>IDR</t>
        </is>
      </c>
      <c r="H1167" s="292" t="n">
        <v>1</v>
      </c>
      <c r="I1167" s="280" t="n"/>
      <c r="J1167" s="285" t="n"/>
      <c r="K1167" s="279" t="n"/>
      <c r="L1167" s="283" t="n">
        <v>1050000</v>
      </c>
      <c r="M1167" s="286" t="n"/>
      <c r="N1167" s="286" t="n"/>
      <c r="O1167" s="283" t="n"/>
      <c r="P1167" s="285" t="n"/>
      <c r="Q1167" s="287" t="n"/>
      <c r="R1167" s="278" t="n"/>
      <c r="S1167" s="278" t="n"/>
      <c r="T1167" s="278" t="n"/>
      <c r="U1167" s="278" t="n"/>
      <c r="V1167" s="278" t="n"/>
      <c r="W1167" s="278" t="n"/>
      <c r="X1167" s="278" t="n"/>
      <c r="Y1167" s="278" t="n"/>
      <c r="Z1167" s="278" t="n"/>
      <c r="AA1167" s="278" t="n"/>
      <c r="AB1167" s="278" t="n"/>
      <c r="AC1167" s="278" t="n"/>
      <c r="AD1167" s="278" t="n"/>
    </row>
    <row r="1168">
      <c r="B1168" s="296" t="inlineStr">
        <is>
          <t>Expense#11</t>
        </is>
      </c>
      <c r="C1168" s="297" t="inlineStr">
        <is>
          <t>:</t>
        </is>
      </c>
      <c r="D1168" s="296" t="inlineStr">
        <is>
          <t>ALFA+MFC (TGB-033 Zona 7) Elnusa_TMA</t>
        </is>
      </c>
      <c r="E1168" s="298" t="n"/>
      <c r="F1168" s="298" t="n"/>
      <c r="G1168" s="298" t="n"/>
      <c r="H1168" s="298" t="n"/>
      <c r="I1168" s="298" t="n"/>
      <c r="J1168" s="298" t="n"/>
      <c r="K1168" s="298" t="n"/>
      <c r="L1168" s="298" t="n"/>
      <c r="M1168" s="298" t="n"/>
      <c r="N1168" s="298" t="n"/>
      <c r="O1168" s="298" t="n"/>
      <c r="P1168" s="298" t="n"/>
      <c r="Q1168" s="298" t="n"/>
      <c r="R1168" s="278" t="n"/>
      <c r="S1168" s="278" t="n"/>
      <c r="T1168" s="278" t="n"/>
      <c r="U1168" s="278" t="n"/>
      <c r="V1168" s="278" t="n"/>
      <c r="W1168" s="278" t="n"/>
      <c r="X1168" s="278" t="n"/>
      <c r="Y1168" s="278" t="n"/>
      <c r="Z1168" s="278" t="n"/>
      <c r="AA1168" s="278" t="n"/>
      <c r="AB1168" s="278" t="n"/>
      <c r="AC1168" s="278" t="n"/>
      <c r="AD1168" s="278" t="n"/>
    </row>
    <row r="1169">
      <c r="B1169" s="299" t="n"/>
      <c r="C1169" s="299" t="n"/>
      <c r="D1169" s="300" t="inlineStr">
        <is>
          <t>Accommodation</t>
        </is>
      </c>
      <c r="E1169" s="299" t="n"/>
      <c r="F1169" s="299" t="n"/>
      <c r="G1169" s="299" t="n"/>
      <c r="H1169" s="299" t="n"/>
      <c r="I1169" s="299" t="n"/>
      <c r="J1169" s="299" t="n"/>
      <c r="K1169" s="299" t="n"/>
      <c r="L1169" s="299" t="n"/>
      <c r="M1169" s="299" t="n"/>
      <c r="N1169" s="299" t="n"/>
      <c r="O1169" s="299" t="n"/>
      <c r="P1169" s="299" t="n"/>
      <c r="Q1169" s="299" t="n"/>
      <c r="R1169" s="278" t="n"/>
      <c r="S1169" s="278" t="n"/>
      <c r="T1169" s="278" t="n"/>
      <c r="U1169" s="278" t="n"/>
      <c r="V1169" s="278" t="n"/>
      <c r="W1169" s="278" t="n"/>
      <c r="X1169" s="278" t="n"/>
      <c r="Y1169" s="278" t="n"/>
      <c r="Z1169" s="278" t="n"/>
      <c r="AA1169" s="278" t="n"/>
      <c r="AB1169" s="278" t="n"/>
      <c r="AC1169" s="278" t="n"/>
      <c r="AD1169" s="278" t="n"/>
    </row>
    <row r="1170" ht="15.5" customHeight="1">
      <c r="B1170" s="288" t="n">
        <v>45401</v>
      </c>
      <c r="C1170" s="289" t="n">
        <v>99</v>
      </c>
      <c r="D1170" s="290" t="inlineStr">
        <is>
          <t>Hotel 19 Apr-22 Apr 2024 (3 days)</t>
        </is>
      </c>
      <c r="E1170" s="287" t="inlineStr">
        <is>
          <t>-</t>
        </is>
      </c>
      <c r="F1170" s="283" t="n">
        <v>1950000</v>
      </c>
      <c r="G1170" s="291" t="inlineStr">
        <is>
          <t>IDR</t>
        </is>
      </c>
      <c r="H1170" s="292" t="n">
        <v>1</v>
      </c>
      <c r="I1170" s="280" t="n"/>
      <c r="J1170" s="285" t="n"/>
      <c r="K1170" s="279" t="n"/>
      <c r="L1170" s="283" t="n">
        <v>1950000</v>
      </c>
      <c r="M1170" s="286" t="n"/>
      <c r="N1170" s="286" t="n"/>
      <c r="O1170" s="283" t="n"/>
      <c r="P1170" s="285" t="n"/>
      <c r="Q1170" s="287" t="n"/>
      <c r="R1170" s="278" t="n"/>
      <c r="S1170" s="278" t="n"/>
      <c r="T1170" s="278" t="n"/>
      <c r="U1170" s="278" t="n"/>
      <c r="V1170" s="278" t="n"/>
      <c r="W1170" s="278" t="n"/>
      <c r="X1170" s="278" t="n"/>
      <c r="Y1170" s="278" t="n"/>
      <c r="Z1170" s="278" t="n"/>
      <c r="AA1170" s="278" t="n"/>
      <c r="AB1170" s="278" t="n"/>
      <c r="AC1170" s="278" t="n"/>
      <c r="AD1170" s="278" t="n"/>
    </row>
    <row r="1171">
      <c r="B1171" s="299" t="n"/>
      <c r="C1171" s="299" t="n"/>
      <c r="D1171" s="300" t="inlineStr">
        <is>
          <t>Allowance</t>
        </is>
      </c>
      <c r="E1171" s="299" t="n"/>
      <c r="F1171" s="299" t="n"/>
      <c r="G1171" s="299" t="n"/>
      <c r="H1171" s="299" t="n"/>
      <c r="I1171" s="299" t="n"/>
      <c r="J1171" s="299" t="n"/>
      <c r="K1171" s="299" t="n"/>
      <c r="L1171" s="299" t="n"/>
      <c r="M1171" s="299" t="n"/>
      <c r="N1171" s="299" t="n"/>
      <c r="O1171" s="299" t="n"/>
      <c r="P1171" s="299" t="n"/>
      <c r="Q1171" s="299" t="n"/>
      <c r="R1171" s="278" t="n"/>
      <c r="S1171" s="278" t="n"/>
      <c r="T1171" s="278" t="n"/>
      <c r="U1171" s="278" t="n"/>
      <c r="V1171" s="278" t="n"/>
      <c r="W1171" s="278" t="n"/>
      <c r="X1171" s="278" t="n"/>
      <c r="Y1171" s="278" t="n"/>
      <c r="Z1171" s="278" t="n"/>
      <c r="AA1171" s="278" t="n"/>
      <c r="AB1171" s="278" t="n"/>
      <c r="AC1171" s="278" t="n"/>
      <c r="AD1171" s="278" t="n"/>
    </row>
    <row r="1172" ht="15.5" customHeight="1">
      <c r="B1172" s="288" t="n">
        <v>45401</v>
      </c>
      <c r="C1172" s="289" t="n">
        <v>100</v>
      </c>
      <c r="D1172" s="290" t="inlineStr">
        <is>
          <t>Field Bonus for 4 days (25$/Day)</t>
        </is>
      </c>
      <c r="E1172" s="287" t="inlineStr">
        <is>
          <t>-</t>
        </is>
      </c>
      <c r="F1172" s="283" t="n">
        <v>1605085</v>
      </c>
      <c r="G1172" s="291" t="inlineStr">
        <is>
          <t>USD</t>
        </is>
      </c>
      <c r="H1172" s="292" t="n">
        <v>16050.85</v>
      </c>
      <c r="I1172" s="280" t="n"/>
      <c r="J1172" s="285" t="n"/>
      <c r="K1172" s="279" t="n"/>
      <c r="L1172" s="283" t="n">
        <v>1605085</v>
      </c>
      <c r="M1172" s="286" t="n"/>
      <c r="N1172" s="286" t="n"/>
      <c r="O1172" s="283" t="n"/>
      <c r="P1172" s="285" t="n"/>
      <c r="Q1172" s="287" t="n"/>
      <c r="R1172" s="278" t="n"/>
      <c r="S1172" s="278" t="n"/>
      <c r="T1172" s="278" t="n"/>
      <c r="U1172" s="278" t="n"/>
      <c r="V1172" s="278" t="n"/>
      <c r="W1172" s="278" t="n"/>
      <c r="X1172" s="278" t="n"/>
      <c r="Y1172" s="278" t="n"/>
      <c r="Z1172" s="278" t="n"/>
      <c r="AA1172" s="278" t="n"/>
      <c r="AB1172" s="278" t="n"/>
      <c r="AC1172" s="278" t="n"/>
      <c r="AD1172" s="278" t="n"/>
    </row>
    <row r="1173">
      <c r="B1173" s="299" t="n"/>
      <c r="C1173" s="299" t="n"/>
      <c r="D1173" s="300" t="inlineStr">
        <is>
          <t>Biaya Operasi Lain-lain</t>
        </is>
      </c>
      <c r="E1173" s="299" t="n"/>
      <c r="F1173" s="299" t="n"/>
      <c r="G1173" s="299" t="n"/>
      <c r="H1173" s="299" t="n"/>
      <c r="I1173" s="299" t="n"/>
      <c r="J1173" s="299" t="n"/>
      <c r="K1173" s="299" t="n"/>
      <c r="L1173" s="299" t="n"/>
      <c r="M1173" s="299" t="n"/>
      <c r="N1173" s="299" t="n"/>
      <c r="O1173" s="299" t="n"/>
      <c r="P1173" s="299" t="n"/>
      <c r="Q1173" s="299" t="n"/>
      <c r="R1173" s="278" t="n"/>
      <c r="S1173" s="278" t="n"/>
      <c r="T1173" s="278" t="n"/>
      <c r="U1173" s="278" t="n"/>
      <c r="V1173" s="278" t="n"/>
      <c r="W1173" s="278" t="n"/>
      <c r="X1173" s="278" t="n"/>
      <c r="Y1173" s="278" t="n"/>
      <c r="Z1173" s="278" t="n"/>
      <c r="AA1173" s="278" t="n"/>
      <c r="AB1173" s="278" t="n"/>
      <c r="AC1173" s="278" t="n"/>
      <c r="AD1173" s="278" t="n"/>
    </row>
    <row r="1174" ht="15.5" customHeight="1">
      <c r="B1174" s="288" t="n">
        <v>45401</v>
      </c>
      <c r="C1174" s="289" t="n">
        <v>101</v>
      </c>
      <c r="D1174" s="290" t="inlineStr">
        <is>
          <t>Crew's Operational</t>
        </is>
      </c>
      <c r="E1174" s="287" t="inlineStr">
        <is>
          <t>-</t>
        </is>
      </c>
      <c r="F1174" s="283" t="n">
        <v>481900</v>
      </c>
      <c r="G1174" s="291" t="inlineStr">
        <is>
          <t>IDR</t>
        </is>
      </c>
      <c r="H1174" s="292" t="n">
        <v>1</v>
      </c>
      <c r="I1174" s="280" t="n"/>
      <c r="J1174" s="285" t="n"/>
      <c r="K1174" s="279" t="n"/>
      <c r="L1174" s="283" t="n">
        <v>481900</v>
      </c>
      <c r="M1174" s="286" t="n"/>
      <c r="N1174" s="286" t="n"/>
      <c r="O1174" s="283" t="n"/>
      <c r="P1174" s="285" t="n"/>
      <c r="Q1174" s="287" t="n"/>
      <c r="R1174" s="278" t="n"/>
      <c r="S1174" s="278" t="n"/>
      <c r="T1174" s="278" t="n"/>
      <c r="U1174" s="278" t="n"/>
      <c r="V1174" s="278" t="n"/>
      <c r="W1174" s="278" t="n"/>
      <c r="X1174" s="278" t="n"/>
      <c r="Y1174" s="278" t="n"/>
      <c r="Z1174" s="278" t="n"/>
      <c r="AA1174" s="278" t="n"/>
      <c r="AB1174" s="278" t="n"/>
      <c r="AC1174" s="278" t="n"/>
      <c r="AD1174" s="278" t="n"/>
    </row>
    <row r="1175">
      <c r="B1175" s="299" t="n"/>
      <c r="C1175" s="299" t="n"/>
      <c r="D1175" s="300" t="inlineStr">
        <is>
          <t>Laundry</t>
        </is>
      </c>
      <c r="E1175" s="299" t="n"/>
      <c r="F1175" s="299" t="n"/>
      <c r="G1175" s="299" t="n"/>
      <c r="H1175" s="299" t="n"/>
      <c r="I1175" s="299" t="n"/>
      <c r="J1175" s="299" t="n"/>
      <c r="K1175" s="299" t="n"/>
      <c r="L1175" s="299" t="n"/>
      <c r="M1175" s="299" t="n"/>
      <c r="N1175" s="299" t="n"/>
      <c r="O1175" s="299" t="n"/>
      <c r="P1175" s="299" t="n"/>
      <c r="Q1175" s="299" t="n"/>
      <c r="R1175" s="278" t="n"/>
      <c r="S1175" s="278" t="n"/>
      <c r="T1175" s="278" t="n"/>
      <c r="U1175" s="278" t="n"/>
      <c r="V1175" s="278" t="n"/>
      <c r="W1175" s="278" t="n"/>
      <c r="X1175" s="278" t="n"/>
      <c r="Y1175" s="278" t="n"/>
      <c r="Z1175" s="278" t="n"/>
      <c r="AA1175" s="278" t="n"/>
      <c r="AB1175" s="278" t="n"/>
      <c r="AC1175" s="278" t="n"/>
      <c r="AD1175" s="278" t="n"/>
    </row>
    <row r="1176" ht="15.5" customHeight="1">
      <c r="B1176" s="288" t="n">
        <v>45401</v>
      </c>
      <c r="C1176" s="289" t="n">
        <v>102</v>
      </c>
      <c r="D1176" s="290" t="inlineStr">
        <is>
          <t>Laundry 4 days 1 Persons @ 50K IDR/day</t>
        </is>
      </c>
      <c r="E1176" s="287" t="inlineStr">
        <is>
          <t>-</t>
        </is>
      </c>
      <c r="F1176" s="283" t="n">
        <v>200000</v>
      </c>
      <c r="G1176" s="291" t="inlineStr">
        <is>
          <t>IDR</t>
        </is>
      </c>
      <c r="H1176" s="292" t="n">
        <v>1</v>
      </c>
      <c r="I1176" s="280" t="n"/>
      <c r="J1176" s="285" t="n"/>
      <c r="K1176" s="279" t="n"/>
      <c r="L1176" s="283" t="n">
        <v>200000</v>
      </c>
      <c r="M1176" s="286" t="n"/>
      <c r="N1176" s="286" t="n"/>
      <c r="O1176" s="283" t="n"/>
      <c r="P1176" s="285" t="n"/>
      <c r="Q1176" s="287" t="n"/>
      <c r="R1176" s="278" t="n"/>
      <c r="S1176" s="278" t="n"/>
      <c r="T1176" s="278" t="n"/>
      <c r="U1176" s="278" t="n"/>
      <c r="V1176" s="278" t="n"/>
      <c r="W1176" s="278" t="n"/>
      <c r="X1176" s="278" t="n"/>
      <c r="Y1176" s="278" t="n"/>
      <c r="Z1176" s="278" t="n"/>
      <c r="AA1176" s="278" t="n"/>
      <c r="AB1176" s="278" t="n"/>
      <c r="AC1176" s="278" t="n"/>
      <c r="AD1176" s="278" t="n"/>
    </row>
    <row r="1177">
      <c r="B1177" s="299" t="n"/>
      <c r="C1177" s="299" t="n"/>
      <c r="D1177" s="300" t="inlineStr">
        <is>
          <t>Meal</t>
        </is>
      </c>
      <c r="E1177" s="299" t="n"/>
      <c r="F1177" s="299" t="n"/>
      <c r="G1177" s="299" t="n"/>
      <c r="H1177" s="299" t="n"/>
      <c r="I1177" s="299" t="n"/>
      <c r="J1177" s="299" t="n"/>
      <c r="K1177" s="299" t="n"/>
      <c r="L1177" s="299" t="n"/>
      <c r="M1177" s="299" t="n"/>
      <c r="N1177" s="299" t="n"/>
      <c r="O1177" s="299" t="n"/>
      <c r="P1177" s="299" t="n"/>
      <c r="Q1177" s="299" t="n"/>
      <c r="R1177" s="278" t="n"/>
      <c r="S1177" s="278" t="n"/>
      <c r="T1177" s="278" t="n"/>
      <c r="U1177" s="278" t="n"/>
      <c r="V1177" s="278" t="n"/>
      <c r="W1177" s="278" t="n"/>
      <c r="X1177" s="278" t="n"/>
      <c r="Y1177" s="278" t="n"/>
      <c r="Z1177" s="278" t="n"/>
      <c r="AA1177" s="278" t="n"/>
      <c r="AB1177" s="278" t="n"/>
      <c r="AC1177" s="278" t="n"/>
      <c r="AD1177" s="278" t="n"/>
    </row>
    <row r="1178" ht="15.5" customHeight="1">
      <c r="B1178" s="288" t="n">
        <v>45401</v>
      </c>
      <c r="C1178" s="289" t="n">
        <v>103</v>
      </c>
      <c r="D1178" s="290" t="inlineStr">
        <is>
          <t>Meals 4 days 1 Persons @ 150K IDR/day</t>
        </is>
      </c>
      <c r="E1178" s="287" t="inlineStr">
        <is>
          <t>-</t>
        </is>
      </c>
      <c r="F1178" s="283" t="n">
        <v>600000</v>
      </c>
      <c r="G1178" s="291" t="inlineStr">
        <is>
          <t>IDR</t>
        </is>
      </c>
      <c r="H1178" s="292" t="n">
        <v>1</v>
      </c>
      <c r="I1178" s="280" t="n"/>
      <c r="J1178" s="285" t="n"/>
      <c r="K1178" s="279" t="n"/>
      <c r="L1178" s="283" t="n">
        <v>600000</v>
      </c>
      <c r="M1178" s="286" t="n"/>
      <c r="N1178" s="286" t="n"/>
      <c r="O1178" s="283" t="n"/>
      <c r="P1178" s="285" t="n"/>
      <c r="Q1178" s="287" t="n"/>
      <c r="R1178" s="278" t="n"/>
      <c r="S1178" s="278" t="n"/>
      <c r="T1178" s="278" t="n"/>
      <c r="U1178" s="278" t="n"/>
      <c r="V1178" s="278" t="n"/>
      <c r="W1178" s="278" t="n"/>
      <c r="X1178" s="278" t="n"/>
      <c r="Y1178" s="278" t="n"/>
      <c r="Z1178" s="278" t="n"/>
      <c r="AA1178" s="278" t="n"/>
      <c r="AB1178" s="278" t="n"/>
      <c r="AC1178" s="278" t="n"/>
      <c r="AD1178" s="278" t="n"/>
    </row>
    <row r="1179">
      <c r="B1179" s="299" t="n"/>
      <c r="C1179" s="299" t="n"/>
      <c r="D1179" s="300" t="inlineStr">
        <is>
          <t>Transportation</t>
        </is>
      </c>
      <c r="E1179" s="299" t="n"/>
      <c r="F1179" s="299" t="n"/>
      <c r="G1179" s="299" t="n"/>
      <c r="H1179" s="299" t="n"/>
      <c r="I1179" s="299" t="n"/>
      <c r="J1179" s="299" t="n"/>
      <c r="K1179" s="299" t="n"/>
      <c r="L1179" s="299" t="n"/>
      <c r="M1179" s="299" t="n"/>
      <c r="N1179" s="299" t="n"/>
      <c r="O1179" s="299" t="n"/>
      <c r="P1179" s="299" t="n"/>
      <c r="Q1179" s="299" t="n"/>
      <c r="R1179" s="278" t="n"/>
      <c r="S1179" s="278" t="n"/>
      <c r="T1179" s="278" t="n"/>
      <c r="U1179" s="278" t="n"/>
      <c r="V1179" s="278" t="n"/>
      <c r="W1179" s="278" t="n"/>
      <c r="X1179" s="278" t="n"/>
      <c r="Y1179" s="278" t="n"/>
      <c r="Z1179" s="278" t="n"/>
      <c r="AA1179" s="278" t="n"/>
      <c r="AB1179" s="278" t="n"/>
      <c r="AC1179" s="278" t="n"/>
      <c r="AD1179" s="278" t="n"/>
    </row>
    <row r="1180" ht="15.5" customHeight="1">
      <c r="B1180" s="288" t="n">
        <v>45404</v>
      </c>
      <c r="C1180" s="289" t="n">
        <v>104</v>
      </c>
      <c r="D1180" s="290" t="inlineStr">
        <is>
          <t>Taxi Bintaro-Wisma Mas</t>
        </is>
      </c>
      <c r="E1180" s="287" t="inlineStr">
        <is>
          <t>-</t>
        </is>
      </c>
      <c r="F1180" s="283" t="n">
        <v>78500</v>
      </c>
      <c r="G1180" s="291" t="inlineStr">
        <is>
          <t>IDR</t>
        </is>
      </c>
      <c r="H1180" s="292" t="n">
        <v>1</v>
      </c>
      <c r="I1180" s="280" t="n"/>
      <c r="J1180" s="285" t="n"/>
      <c r="K1180" s="279" t="n"/>
      <c r="L1180" s="283" t="n">
        <v>78500</v>
      </c>
      <c r="M1180" s="286" t="n"/>
      <c r="N1180" s="286" t="n"/>
      <c r="O1180" s="283" t="n"/>
      <c r="P1180" s="285" t="n"/>
      <c r="Q1180" s="287" t="n"/>
      <c r="R1180" s="278" t="n"/>
      <c r="S1180" s="278" t="n"/>
      <c r="T1180" s="278" t="n"/>
      <c r="U1180" s="278" t="n"/>
      <c r="V1180" s="278" t="n"/>
      <c r="W1180" s="278" t="n"/>
      <c r="X1180" s="278" t="n"/>
      <c r="Y1180" s="278" t="n"/>
      <c r="Z1180" s="278" t="n"/>
      <c r="AA1180" s="278" t="n"/>
      <c r="AB1180" s="278" t="n"/>
      <c r="AC1180" s="278" t="n"/>
      <c r="AD1180" s="278" t="n"/>
    </row>
    <row r="1181">
      <c r="B1181" s="296" t="inlineStr">
        <is>
          <t>Expense#12</t>
        </is>
      </c>
      <c r="C1181" s="297" t="inlineStr">
        <is>
          <t>:</t>
        </is>
      </c>
      <c r="D1181" s="296" t="inlineStr">
        <is>
          <t>BOSIET Training -_TMA</t>
        </is>
      </c>
      <c r="E1181" s="298" t="n"/>
      <c r="F1181" s="298" t="n"/>
      <c r="G1181" s="298" t="n"/>
      <c r="H1181" s="298" t="n"/>
      <c r="I1181" s="298" t="n"/>
      <c r="J1181" s="298" t="n"/>
      <c r="K1181" s="298" t="n"/>
      <c r="L1181" s="298" t="n"/>
      <c r="M1181" s="298" t="n"/>
      <c r="N1181" s="298" t="n"/>
      <c r="O1181" s="298" t="n"/>
      <c r="P1181" s="298" t="n"/>
      <c r="Q1181" s="298" t="n"/>
      <c r="R1181" s="278" t="n"/>
      <c r="S1181" s="278" t="n"/>
      <c r="T1181" s="278" t="n"/>
      <c r="U1181" s="278" t="n"/>
      <c r="V1181" s="278" t="n"/>
      <c r="W1181" s="278" t="n"/>
      <c r="X1181" s="278" t="n"/>
      <c r="Y1181" s="278" t="n"/>
      <c r="Z1181" s="278" t="n"/>
      <c r="AA1181" s="278" t="n"/>
      <c r="AB1181" s="278" t="n"/>
      <c r="AC1181" s="278" t="n"/>
      <c r="AD1181" s="278" t="n"/>
    </row>
    <row r="1182">
      <c r="B1182" s="299" t="n"/>
      <c r="C1182" s="299" t="n"/>
      <c r="D1182" s="300" t="inlineStr">
        <is>
          <t>Transportation</t>
        </is>
      </c>
      <c r="E1182" s="299" t="n"/>
      <c r="F1182" s="299" t="n"/>
      <c r="G1182" s="299" t="n"/>
      <c r="H1182" s="299" t="n"/>
      <c r="I1182" s="299" t="n"/>
      <c r="J1182" s="299" t="n"/>
      <c r="K1182" s="299" t="n"/>
      <c r="L1182" s="299" t="n"/>
      <c r="M1182" s="299" t="n"/>
      <c r="N1182" s="299" t="n"/>
      <c r="O1182" s="299" t="n"/>
      <c r="P1182" s="299" t="n"/>
      <c r="Q1182" s="299" t="n"/>
      <c r="R1182" s="278" t="n"/>
      <c r="S1182" s="278" t="n"/>
      <c r="T1182" s="278" t="n"/>
      <c r="U1182" s="278" t="n"/>
      <c r="V1182" s="278" t="n"/>
      <c r="W1182" s="278" t="n"/>
      <c r="X1182" s="278" t="n"/>
      <c r="Y1182" s="278" t="n"/>
      <c r="Z1182" s="278" t="n"/>
      <c r="AA1182" s="278" t="n"/>
      <c r="AB1182" s="278" t="n"/>
      <c r="AC1182" s="278" t="n"/>
      <c r="AD1182" s="278" t="n"/>
    </row>
    <row r="1183" ht="15.5" customHeight="1">
      <c r="B1183" s="288" t="n">
        <v>45429</v>
      </c>
      <c r="C1183" s="289" t="n">
        <v>105</v>
      </c>
      <c r="D1183" s="290" t="inlineStr">
        <is>
          <t>BOSIET Training</t>
        </is>
      </c>
      <c r="E1183" s="287" t="inlineStr">
        <is>
          <t>-</t>
        </is>
      </c>
      <c r="F1183" s="283" t="n">
        <v>9693878</v>
      </c>
      <c r="G1183" s="291" t="inlineStr">
        <is>
          <t>IDR</t>
        </is>
      </c>
      <c r="H1183" s="292" t="n">
        <v>1</v>
      </c>
      <c r="I1183" s="280" t="n"/>
      <c r="J1183" s="285" t="n"/>
      <c r="K1183" s="279" t="n"/>
      <c r="L1183" s="283" t="n">
        <v>9693878</v>
      </c>
      <c r="M1183" s="286" t="n"/>
      <c r="N1183" s="286" t="n"/>
      <c r="O1183" s="283" t="n"/>
      <c r="P1183" s="285" t="n"/>
      <c r="Q1183" s="287" t="n"/>
      <c r="R1183" s="278" t="n"/>
      <c r="S1183" s="278" t="n"/>
      <c r="T1183" s="278" t="n"/>
      <c r="U1183" s="278" t="n"/>
      <c r="V1183" s="278" t="n"/>
      <c r="W1183" s="278" t="n"/>
      <c r="X1183" s="278" t="n"/>
      <c r="Y1183" s="278" t="n"/>
      <c r="Z1183" s="278" t="n"/>
      <c r="AA1183" s="278" t="n"/>
      <c r="AB1183" s="278" t="n"/>
      <c r="AC1183" s="278" t="n"/>
      <c r="AD1183" s="278" t="n"/>
    </row>
    <row r="1184">
      <c r="B1184" s="296" t="inlineStr">
        <is>
          <t>Expense#13</t>
        </is>
      </c>
      <c r="C1184" s="297" t="inlineStr">
        <is>
          <t>:</t>
        </is>
      </c>
      <c r="D1184" s="296" t="inlineStr">
        <is>
          <t>Non Trip MCU Dwiyanto</t>
        </is>
      </c>
      <c r="E1184" s="298" t="n"/>
      <c r="F1184" s="298" t="n"/>
      <c r="G1184" s="298" t="n"/>
      <c r="H1184" s="298" t="n"/>
      <c r="I1184" s="298" t="n"/>
      <c r="J1184" s="298" t="n"/>
      <c r="K1184" s="298" t="n"/>
      <c r="L1184" s="298" t="n"/>
      <c r="M1184" s="298" t="n"/>
      <c r="N1184" s="298" t="n"/>
      <c r="O1184" s="298" t="n"/>
      <c r="P1184" s="298" t="n"/>
      <c r="Q1184" s="298" t="n"/>
      <c r="R1184" s="278" t="n"/>
      <c r="S1184" s="278" t="n"/>
      <c r="T1184" s="278" t="n"/>
      <c r="U1184" s="278" t="n"/>
      <c r="V1184" s="278" t="n"/>
      <c r="W1184" s="278" t="n"/>
      <c r="X1184" s="278" t="n"/>
      <c r="Y1184" s="278" t="n"/>
      <c r="Z1184" s="278" t="n"/>
      <c r="AA1184" s="278" t="n"/>
      <c r="AB1184" s="278" t="n"/>
      <c r="AC1184" s="278" t="n"/>
      <c r="AD1184" s="278" t="n"/>
    </row>
    <row r="1185">
      <c r="B1185" s="299" t="n"/>
      <c r="C1185" s="299" t="n"/>
      <c r="D1185" s="300" t="inlineStr">
        <is>
          <t>Hand Tools</t>
        </is>
      </c>
      <c r="E1185" s="299" t="n"/>
      <c r="F1185" s="299" t="n"/>
      <c r="G1185" s="299" t="n"/>
      <c r="H1185" s="299" t="n"/>
      <c r="I1185" s="299" t="n"/>
      <c r="J1185" s="299" t="n"/>
      <c r="K1185" s="299" t="n"/>
      <c r="L1185" s="299" t="n"/>
      <c r="M1185" s="299" t="n"/>
      <c r="N1185" s="299" t="n"/>
      <c r="O1185" s="299" t="n"/>
      <c r="P1185" s="299" t="n"/>
      <c r="Q1185" s="299" t="n"/>
      <c r="R1185" s="278" t="n"/>
      <c r="S1185" s="278" t="n"/>
      <c r="T1185" s="278" t="n"/>
      <c r="U1185" s="278" t="n"/>
      <c r="V1185" s="278" t="n"/>
      <c r="W1185" s="278" t="n"/>
      <c r="X1185" s="278" t="n"/>
      <c r="Y1185" s="278" t="n"/>
      <c r="Z1185" s="278" t="n"/>
      <c r="AA1185" s="278" t="n"/>
      <c r="AB1185" s="278" t="n"/>
      <c r="AC1185" s="278" t="n"/>
      <c r="AD1185" s="278" t="n"/>
    </row>
    <row r="1186" ht="15.5" customHeight="1">
      <c r="B1186" s="288" t="n">
        <v>45433</v>
      </c>
      <c r="C1186" s="289" t="n">
        <v>106</v>
      </c>
      <c r="D1186" s="290" t="inlineStr">
        <is>
          <t>Safety shoes</t>
        </is>
      </c>
      <c r="E1186" s="287" t="inlineStr">
        <is>
          <t>-</t>
        </is>
      </c>
      <c r="F1186" s="283" t="n">
        <v>2402000</v>
      </c>
      <c r="G1186" s="291" t="inlineStr">
        <is>
          <t>IDR</t>
        </is>
      </c>
      <c r="H1186" s="292" t="n">
        <v>1</v>
      </c>
      <c r="I1186" s="280" t="n"/>
      <c r="J1186" s="285" t="n"/>
      <c r="K1186" s="279" t="n"/>
      <c r="L1186" s="283" t="n"/>
      <c r="M1186" s="286" t="n"/>
      <c r="N1186" s="286" t="n">
        <v>2402000</v>
      </c>
      <c r="O1186" s="283" t="n"/>
      <c r="P1186" s="285" t="n"/>
      <c r="Q1186" s="287" t="n"/>
      <c r="R1186" s="278" t="n"/>
      <c r="S1186" s="278" t="n"/>
      <c r="T1186" s="278" t="n"/>
      <c r="U1186" s="278" t="n"/>
      <c r="V1186" s="278" t="n"/>
      <c r="W1186" s="278" t="n"/>
      <c r="X1186" s="278" t="n"/>
      <c r="Y1186" s="278" t="n"/>
      <c r="Z1186" s="278" t="n"/>
      <c r="AA1186" s="278" t="n"/>
      <c r="AB1186" s="278" t="n"/>
      <c r="AC1186" s="278" t="n"/>
      <c r="AD1186" s="278" t="n"/>
    </row>
    <row r="1187">
      <c r="B1187" s="299" t="n"/>
      <c r="C1187" s="299" t="n"/>
      <c r="D1187" s="300" t="inlineStr">
        <is>
          <t>Medical</t>
        </is>
      </c>
      <c r="E1187" s="299" t="n"/>
      <c r="F1187" s="299" t="n"/>
      <c r="G1187" s="299" t="n"/>
      <c r="H1187" s="299" t="n"/>
      <c r="I1187" s="299" t="n"/>
      <c r="J1187" s="299" t="n"/>
      <c r="K1187" s="299" t="n"/>
      <c r="L1187" s="299" t="n"/>
      <c r="M1187" s="299" t="n"/>
      <c r="N1187" s="299" t="n"/>
      <c r="O1187" s="299" t="n"/>
      <c r="P1187" s="299" t="n"/>
      <c r="Q1187" s="299" t="n"/>
      <c r="R1187" s="278" t="n"/>
      <c r="S1187" s="278" t="n"/>
      <c r="T1187" s="278" t="n"/>
      <c r="U1187" s="278" t="n"/>
      <c r="V1187" s="278" t="n"/>
      <c r="W1187" s="278" t="n"/>
      <c r="X1187" s="278" t="n"/>
      <c r="Y1187" s="278" t="n"/>
      <c r="Z1187" s="278" t="n"/>
      <c r="AA1187" s="278" t="n"/>
      <c r="AB1187" s="278" t="n"/>
      <c r="AC1187" s="278" t="n"/>
      <c r="AD1187" s="278" t="n"/>
    </row>
    <row r="1188" ht="15.5" customHeight="1">
      <c r="B1188" s="288" t="n">
        <v>45432</v>
      </c>
      <c r="C1188" s="289" t="n">
        <v>107</v>
      </c>
      <c r="D1188" s="290" t="inlineStr">
        <is>
          <t>MCU Paket Umum Basic 1</t>
        </is>
      </c>
      <c r="E1188" s="287" t="inlineStr">
        <is>
          <t>-</t>
        </is>
      </c>
      <c r="F1188" s="283" t="n">
        <v>5322000</v>
      </c>
      <c r="G1188" s="291" t="inlineStr">
        <is>
          <t>IDR</t>
        </is>
      </c>
      <c r="H1188" s="292" t="n">
        <v>1</v>
      </c>
      <c r="I1188" s="280" t="n"/>
      <c r="J1188" s="285" t="n"/>
      <c r="K1188" s="279" t="n"/>
      <c r="L1188" s="283" t="n"/>
      <c r="M1188" s="286" t="n"/>
      <c r="N1188" s="286" t="n"/>
      <c r="O1188" s="283" t="n"/>
      <c r="P1188" s="283" t="n">
        <v>5322000</v>
      </c>
      <c r="Q1188" s="287" t="n"/>
      <c r="R1188" s="278" t="n"/>
      <c r="S1188" s="278" t="n"/>
      <c r="T1188" s="278" t="n"/>
      <c r="U1188" s="278" t="n"/>
      <c r="V1188" s="278" t="n"/>
      <c r="W1188" s="278" t="n"/>
      <c r="X1188" s="278" t="n"/>
      <c r="Y1188" s="278" t="n"/>
      <c r="Z1188" s="278" t="n"/>
      <c r="AA1188" s="278" t="n"/>
      <c r="AB1188" s="278" t="n"/>
      <c r="AC1188" s="278" t="n"/>
      <c r="AD1188" s="278" t="n"/>
    </row>
    <row r="1189">
      <c r="B1189" s="296" t="inlineStr">
        <is>
          <t>Expense#14</t>
        </is>
      </c>
      <c r="C1189" s="297" t="inlineStr">
        <is>
          <t>:</t>
        </is>
      </c>
      <c r="D1189" s="296" t="inlineStr">
        <is>
          <t>Non project _ MCU - Ilham BR</t>
        </is>
      </c>
      <c r="E1189" s="298" t="n"/>
      <c r="F1189" s="298" t="n"/>
      <c r="G1189" s="298" t="n"/>
      <c r="H1189" s="298" t="n"/>
      <c r="I1189" s="298" t="n"/>
      <c r="J1189" s="298" t="n"/>
      <c r="K1189" s="298" t="n"/>
      <c r="L1189" s="298" t="n"/>
      <c r="M1189" s="298" t="n"/>
      <c r="N1189" s="298" t="n"/>
      <c r="O1189" s="298" t="n"/>
      <c r="P1189" s="298" t="n"/>
      <c r="Q1189" s="298" t="n"/>
      <c r="R1189" s="278" t="n"/>
      <c r="S1189" s="278" t="n"/>
      <c r="T1189" s="278" t="n"/>
      <c r="U1189" s="278" t="n"/>
      <c r="V1189" s="278" t="n"/>
      <c r="W1189" s="278" t="n"/>
      <c r="X1189" s="278" t="n"/>
      <c r="Y1189" s="278" t="n"/>
      <c r="Z1189" s="278" t="n"/>
      <c r="AA1189" s="278" t="n"/>
      <c r="AB1189" s="278" t="n"/>
      <c r="AC1189" s="278" t="n"/>
      <c r="AD1189" s="278" t="n"/>
    </row>
    <row r="1190">
      <c r="B1190" s="299" t="n"/>
      <c r="C1190" s="299" t="n"/>
      <c r="D1190" s="300" t="inlineStr">
        <is>
          <t>Medical</t>
        </is>
      </c>
      <c r="E1190" s="299" t="n"/>
      <c r="F1190" s="299" t="n"/>
      <c r="G1190" s="299" t="n"/>
      <c r="H1190" s="299" t="n"/>
      <c r="I1190" s="299" t="n"/>
      <c r="J1190" s="299" t="n"/>
      <c r="K1190" s="299" t="n"/>
      <c r="L1190" s="299" t="n"/>
      <c r="M1190" s="299" t="n"/>
      <c r="N1190" s="299" t="n"/>
      <c r="O1190" s="299" t="n"/>
      <c r="P1190" s="299" t="n"/>
      <c r="Q1190" s="299" t="n"/>
      <c r="R1190" s="278" t="n"/>
      <c r="S1190" s="278" t="n"/>
      <c r="T1190" s="278" t="n"/>
      <c r="U1190" s="278" t="n"/>
      <c r="V1190" s="278" t="n"/>
      <c r="W1190" s="278" t="n"/>
      <c r="X1190" s="278" t="n"/>
      <c r="Y1190" s="278" t="n"/>
      <c r="Z1190" s="278" t="n"/>
      <c r="AA1190" s="278" t="n"/>
      <c r="AB1190" s="278" t="n"/>
      <c r="AC1190" s="278" t="n"/>
      <c r="AD1190" s="278" t="n"/>
    </row>
    <row r="1191" ht="15.5" customHeight="1">
      <c r="B1191" s="288" t="n">
        <v>45432</v>
      </c>
      <c r="C1191" s="289" t="n">
        <v>108</v>
      </c>
      <c r="D1191" s="290" t="inlineStr">
        <is>
          <t>Biaya MCU</t>
        </is>
      </c>
      <c r="E1191" s="287" t="inlineStr">
        <is>
          <t>-</t>
        </is>
      </c>
      <c r="F1191" s="283" t="n">
        <v>5407000</v>
      </c>
      <c r="G1191" s="291" t="inlineStr">
        <is>
          <t>IDR</t>
        </is>
      </c>
      <c r="H1191" s="292" t="n">
        <v>1</v>
      </c>
      <c r="I1191" s="280" t="n"/>
      <c r="J1191" s="285" t="n"/>
      <c r="K1191" s="279" t="n"/>
      <c r="L1191" s="283" t="n"/>
      <c r="M1191" s="286" t="n"/>
      <c r="N1191" s="286" t="n"/>
      <c r="O1191" s="283" t="n"/>
      <c r="P1191" s="283" t="n">
        <v>5407000</v>
      </c>
      <c r="Q1191" s="287" t="n"/>
      <c r="R1191" s="278" t="n"/>
      <c r="S1191" s="278" t="n"/>
      <c r="T1191" s="278" t="n"/>
      <c r="U1191" s="278" t="n"/>
      <c r="V1191" s="278" t="n"/>
      <c r="W1191" s="278" t="n"/>
      <c r="X1191" s="278" t="n"/>
      <c r="Y1191" s="278" t="n"/>
      <c r="Z1191" s="278" t="n"/>
      <c r="AA1191" s="278" t="n"/>
      <c r="AB1191" s="278" t="n"/>
      <c r="AC1191" s="278" t="n"/>
      <c r="AD1191" s="278" t="n"/>
    </row>
    <row r="1192">
      <c r="B1192" s="296" t="inlineStr">
        <is>
          <t>Expense#15</t>
        </is>
      </c>
      <c r="C1192" s="297" t="inlineStr">
        <is>
          <t>:</t>
        </is>
      </c>
      <c r="D1192" s="296" t="inlineStr">
        <is>
          <t>ALFA Job - Jrk-193 _ OJT_ Ilham BR</t>
        </is>
      </c>
      <c r="E1192" s="298" t="n"/>
      <c r="F1192" s="298" t="n"/>
      <c r="G1192" s="298" t="n"/>
      <c r="H1192" s="298" t="n"/>
      <c r="I1192" s="298" t="n"/>
      <c r="J1192" s="298" t="n"/>
      <c r="K1192" s="298" t="n"/>
      <c r="L1192" s="298" t="n"/>
      <c r="M1192" s="298" t="n"/>
      <c r="N1192" s="298" t="n"/>
      <c r="O1192" s="298" t="n"/>
      <c r="P1192" s="298" t="n"/>
      <c r="Q1192" s="298" t="n"/>
      <c r="R1192" s="278" t="n"/>
      <c r="S1192" s="278" t="n"/>
      <c r="T1192" s="278" t="n"/>
      <c r="U1192" s="278" t="n"/>
      <c r="V1192" s="278" t="n"/>
      <c r="W1192" s="278" t="n"/>
      <c r="X1192" s="278" t="n"/>
      <c r="Y1192" s="278" t="n"/>
      <c r="Z1192" s="278" t="n"/>
      <c r="AA1192" s="278" t="n"/>
      <c r="AB1192" s="278" t="n"/>
      <c r="AC1192" s="278" t="n"/>
      <c r="AD1192" s="278" t="n"/>
    </row>
    <row r="1193">
      <c r="B1193" s="299" t="n"/>
      <c r="C1193" s="299" t="n"/>
      <c r="D1193" s="300" t="inlineStr">
        <is>
          <t>Allowance</t>
        </is>
      </c>
      <c r="E1193" s="299" t="n"/>
      <c r="F1193" s="299" t="n"/>
      <c r="G1193" s="299" t="n"/>
      <c r="H1193" s="299" t="n"/>
      <c r="I1193" s="299" t="n"/>
      <c r="J1193" s="299" t="n"/>
      <c r="K1193" s="299" t="n"/>
      <c r="L1193" s="299" t="n"/>
      <c r="M1193" s="299" t="n"/>
      <c r="N1193" s="299" t="n"/>
      <c r="O1193" s="299" t="n"/>
      <c r="P1193" s="299" t="n"/>
      <c r="Q1193" s="299" t="n"/>
      <c r="R1193" s="278" t="n"/>
      <c r="S1193" s="278" t="n"/>
      <c r="T1193" s="278" t="n"/>
      <c r="U1193" s="278" t="n"/>
      <c r="V1193" s="278" t="n"/>
      <c r="W1193" s="278" t="n"/>
      <c r="X1193" s="278" t="n"/>
      <c r="Y1193" s="278" t="n"/>
      <c r="Z1193" s="278" t="n"/>
      <c r="AA1193" s="278" t="n"/>
      <c r="AB1193" s="278" t="n"/>
      <c r="AC1193" s="278" t="n"/>
      <c r="AD1193" s="278" t="n"/>
    </row>
    <row r="1194" ht="15.5" customHeight="1">
      <c r="B1194" s="288" t="n">
        <v>45437</v>
      </c>
      <c r="C1194" s="289" t="n">
        <v>109</v>
      </c>
      <c r="D1194" s="290" t="inlineStr">
        <is>
          <t>Tunjangan Lapangan JRK-193 (25 - 30 May 2024)</t>
        </is>
      </c>
      <c r="E1194" s="287" t="inlineStr">
        <is>
          <t>-</t>
        </is>
      </c>
      <c r="F1194" s="283" t="n">
        <v>2430000</v>
      </c>
      <c r="G1194" s="291" t="inlineStr">
        <is>
          <t>$</t>
        </is>
      </c>
      <c r="H1194" s="292" t="n">
        <v>16200</v>
      </c>
      <c r="I1194" s="280" t="n"/>
      <c r="J1194" s="285" t="n"/>
      <c r="K1194" s="279" t="n"/>
      <c r="L1194" s="283" t="n">
        <v>2430000</v>
      </c>
      <c r="M1194" s="286" t="n"/>
      <c r="N1194" s="286" t="n"/>
      <c r="O1194" s="283" t="n"/>
      <c r="P1194" s="285" t="n"/>
      <c r="Q1194" s="287" t="n"/>
      <c r="R1194" s="278" t="n"/>
      <c r="S1194" s="278" t="n"/>
      <c r="T1194" s="278" t="n"/>
      <c r="U1194" s="278" t="n"/>
      <c r="V1194" s="278" t="n"/>
      <c r="W1194" s="278" t="n"/>
      <c r="X1194" s="278" t="n"/>
      <c r="Y1194" s="278" t="n"/>
      <c r="Z1194" s="278" t="n"/>
      <c r="AA1194" s="278" t="n"/>
      <c r="AB1194" s="278" t="n"/>
      <c r="AC1194" s="278" t="n"/>
      <c r="AD1194" s="278" t="n"/>
    </row>
    <row r="1195">
      <c r="B1195" s="299" t="n"/>
      <c r="C1195" s="299" t="n"/>
      <c r="D1195" s="300" t="inlineStr">
        <is>
          <t>Meal</t>
        </is>
      </c>
      <c r="E1195" s="299" t="n"/>
      <c r="F1195" s="299" t="n"/>
      <c r="G1195" s="299" t="n"/>
      <c r="H1195" s="299" t="n"/>
      <c r="I1195" s="299" t="n"/>
      <c r="J1195" s="299" t="n"/>
      <c r="K1195" s="299" t="n"/>
      <c r="L1195" s="299" t="n"/>
      <c r="M1195" s="299" t="n"/>
      <c r="N1195" s="299" t="n"/>
      <c r="O1195" s="299" t="n"/>
      <c r="P1195" s="299" t="n"/>
      <c r="Q1195" s="299" t="n"/>
      <c r="R1195" s="278" t="n"/>
      <c r="S1195" s="278" t="n"/>
      <c r="T1195" s="278" t="n"/>
      <c r="U1195" s="278" t="n"/>
      <c r="V1195" s="278" t="n"/>
      <c r="W1195" s="278" t="n"/>
      <c r="X1195" s="278" t="n"/>
      <c r="Y1195" s="278" t="n"/>
      <c r="Z1195" s="278" t="n"/>
      <c r="AA1195" s="278" t="n"/>
      <c r="AB1195" s="278" t="n"/>
      <c r="AC1195" s="278" t="n"/>
      <c r="AD1195" s="278" t="n"/>
    </row>
    <row r="1196" ht="15.5" customHeight="1">
      <c r="B1196" s="288" t="n">
        <v>45437</v>
      </c>
      <c r="C1196" s="289" t="n">
        <v>110</v>
      </c>
      <c r="D1196" s="290" t="inlineStr">
        <is>
          <t>Uang makan (25 - 30 May 2024)</t>
        </is>
      </c>
      <c r="E1196" s="287" t="inlineStr">
        <is>
          <t>-</t>
        </is>
      </c>
      <c r="F1196" s="283" t="n">
        <v>900000</v>
      </c>
      <c r="G1196" s="291" t="inlineStr">
        <is>
          <t>IDR</t>
        </is>
      </c>
      <c r="H1196" s="292" t="n">
        <v>1</v>
      </c>
      <c r="I1196" s="280" t="n"/>
      <c r="J1196" s="285" t="n"/>
      <c r="K1196" s="279" t="n"/>
      <c r="L1196" s="283" t="n">
        <v>900000</v>
      </c>
      <c r="M1196" s="286" t="n"/>
      <c r="N1196" s="286" t="n"/>
      <c r="O1196" s="283" t="n"/>
      <c r="P1196" s="285" t="n"/>
      <c r="Q1196" s="287" t="n"/>
      <c r="R1196" s="278" t="n"/>
      <c r="S1196" s="278" t="n"/>
      <c r="T1196" s="278" t="n"/>
      <c r="U1196" s="278" t="n"/>
      <c r="V1196" s="278" t="n"/>
      <c r="W1196" s="278" t="n"/>
      <c r="X1196" s="278" t="n"/>
      <c r="Y1196" s="278" t="n"/>
      <c r="Z1196" s="278" t="n"/>
      <c r="AA1196" s="278" t="n"/>
      <c r="AB1196" s="278" t="n"/>
      <c r="AC1196" s="278" t="n"/>
      <c r="AD1196" s="278" t="n"/>
    </row>
    <row r="1197">
      <c r="B1197" s="299" t="n"/>
      <c r="C1197" s="299" t="n"/>
      <c r="D1197" s="300" t="inlineStr">
        <is>
          <t>Transportation</t>
        </is>
      </c>
      <c r="E1197" s="299" t="n"/>
      <c r="F1197" s="299" t="n"/>
      <c r="G1197" s="299" t="n"/>
      <c r="H1197" s="299" t="n"/>
      <c r="I1197" s="299" t="n"/>
      <c r="J1197" s="299" t="n"/>
      <c r="K1197" s="299" t="n"/>
      <c r="L1197" s="299" t="n"/>
      <c r="M1197" s="299" t="n"/>
      <c r="N1197" s="299" t="n"/>
      <c r="O1197" s="299" t="n"/>
      <c r="P1197" s="299" t="n"/>
      <c r="Q1197" s="299" t="n"/>
      <c r="R1197" s="278" t="n"/>
      <c r="S1197" s="278" t="n"/>
      <c r="T1197" s="278" t="n"/>
      <c r="U1197" s="278" t="n"/>
      <c r="V1197" s="278" t="n"/>
      <c r="W1197" s="278" t="n"/>
      <c r="X1197" s="278" t="n"/>
      <c r="Y1197" s="278" t="n"/>
      <c r="Z1197" s="278" t="n"/>
      <c r="AA1197" s="278" t="n"/>
      <c r="AB1197" s="278" t="n"/>
      <c r="AC1197" s="278" t="n"/>
      <c r="AD1197" s="278" t="n"/>
    </row>
    <row r="1198" ht="15.5" customHeight="1">
      <c r="B1198" s="288" t="n">
        <v>45436</v>
      </c>
      <c r="C1198" s="289" t="n">
        <v>111</v>
      </c>
      <c r="D1198" s="290" t="inlineStr">
        <is>
          <t>Taxi + Tol To Airport CGK</t>
        </is>
      </c>
      <c r="E1198" s="287" t="inlineStr">
        <is>
          <t>-</t>
        </is>
      </c>
      <c r="F1198" s="283" t="n">
        <v>250000</v>
      </c>
      <c r="G1198" s="291" t="inlineStr">
        <is>
          <t>IDR</t>
        </is>
      </c>
      <c r="H1198" s="292" t="n">
        <v>1</v>
      </c>
      <c r="I1198" s="280" t="n"/>
      <c r="J1198" s="285" t="n"/>
      <c r="K1198" s="279" t="n"/>
      <c r="L1198" s="283" t="n">
        <v>250000</v>
      </c>
      <c r="M1198" s="286" t="n"/>
      <c r="N1198" s="286" t="n"/>
      <c r="O1198" s="283" t="n"/>
      <c r="P1198" s="285" t="n"/>
      <c r="Q1198" s="287" t="n"/>
      <c r="R1198" s="278" t="n"/>
      <c r="S1198" s="278" t="n"/>
      <c r="T1198" s="278" t="n"/>
      <c r="U1198" s="278" t="n"/>
      <c r="V1198" s="278" t="n"/>
      <c r="W1198" s="278" t="n"/>
      <c r="X1198" s="278" t="n"/>
      <c r="Y1198" s="278" t="n"/>
      <c r="Z1198" s="278" t="n"/>
      <c r="AA1198" s="278" t="n"/>
      <c r="AB1198" s="278" t="n"/>
      <c r="AC1198" s="278" t="n"/>
      <c r="AD1198" s="278" t="n"/>
    </row>
    <row r="1199">
      <c r="B1199" s="296" t="inlineStr">
        <is>
          <t>Expense#16</t>
        </is>
      </c>
      <c r="C1199" s="297" t="inlineStr">
        <is>
          <t>:</t>
        </is>
      </c>
      <c r="D1199" s="296" t="inlineStr">
        <is>
          <t>ALFA job - JRK-193 OJT - Dwiyanto S</t>
        </is>
      </c>
      <c r="E1199" s="298" t="n"/>
      <c r="F1199" s="298" t="n"/>
      <c r="G1199" s="298" t="n"/>
      <c r="H1199" s="298" t="n"/>
      <c r="I1199" s="298" t="n"/>
      <c r="J1199" s="298" t="n"/>
      <c r="K1199" s="298" t="n"/>
      <c r="L1199" s="298" t="n"/>
      <c r="M1199" s="298" t="n"/>
      <c r="N1199" s="298" t="n"/>
      <c r="O1199" s="298" t="n"/>
      <c r="P1199" s="298" t="n"/>
      <c r="Q1199" s="298" t="n"/>
      <c r="R1199" s="278" t="n"/>
      <c r="S1199" s="278" t="n"/>
      <c r="T1199" s="278" t="n"/>
      <c r="U1199" s="278" t="n"/>
      <c r="V1199" s="278" t="n"/>
      <c r="W1199" s="278" t="n"/>
      <c r="X1199" s="278" t="n"/>
      <c r="Y1199" s="278" t="n"/>
      <c r="Z1199" s="278" t="n"/>
      <c r="AA1199" s="278" t="n"/>
      <c r="AB1199" s="278" t="n"/>
      <c r="AC1199" s="278" t="n"/>
      <c r="AD1199" s="278" t="n"/>
    </row>
    <row r="1200">
      <c r="B1200" s="299" t="n"/>
      <c r="C1200" s="299" t="n"/>
      <c r="D1200" s="300" t="inlineStr">
        <is>
          <t>Allowance</t>
        </is>
      </c>
      <c r="E1200" s="299" t="n"/>
      <c r="F1200" s="299" t="n"/>
      <c r="G1200" s="299" t="n"/>
      <c r="H1200" s="299" t="n"/>
      <c r="I1200" s="299" t="n"/>
      <c r="J1200" s="299" t="n"/>
      <c r="K1200" s="299" t="n"/>
      <c r="L1200" s="299" t="n"/>
      <c r="M1200" s="299" t="n"/>
      <c r="N1200" s="299" t="n"/>
      <c r="O1200" s="299" t="n"/>
      <c r="P1200" s="299" t="n"/>
      <c r="Q1200" s="299" t="n"/>
      <c r="R1200" s="278" t="n"/>
      <c r="S1200" s="278" t="n"/>
      <c r="T1200" s="278" t="n"/>
      <c r="U1200" s="278" t="n"/>
      <c r="V1200" s="278" t="n"/>
      <c r="W1200" s="278" t="n"/>
      <c r="X1200" s="278" t="n"/>
      <c r="Y1200" s="278" t="n"/>
      <c r="Z1200" s="278" t="n"/>
      <c r="AA1200" s="278" t="n"/>
      <c r="AB1200" s="278" t="n"/>
      <c r="AC1200" s="278" t="n"/>
      <c r="AD1200" s="278" t="n"/>
    </row>
    <row r="1201" ht="15.5" customHeight="1">
      <c r="B1201" s="288" t="n">
        <v>45437</v>
      </c>
      <c r="C1201" s="289" t="n">
        <v>112</v>
      </c>
      <c r="D1201" s="290" t="inlineStr">
        <is>
          <t>Tunjangan Lapangan JRK-193 (25 - 30 May 2024). 1US$=16.200</t>
        </is>
      </c>
      <c r="E1201" s="287" t="inlineStr">
        <is>
          <t>-</t>
        </is>
      </c>
      <c r="F1201" s="283" t="n">
        <v>150</v>
      </c>
      <c r="G1201" s="291" t="inlineStr">
        <is>
          <t>IDR</t>
        </is>
      </c>
      <c r="H1201" s="292" t="n">
        <v>16200</v>
      </c>
      <c r="I1201" s="280" t="n"/>
      <c r="J1201" s="285" t="n"/>
      <c r="K1201" s="279" t="n"/>
      <c r="L1201" s="283" t="n">
        <v>150</v>
      </c>
      <c r="M1201" s="286" t="n"/>
      <c r="N1201" s="286" t="n"/>
      <c r="O1201" s="283" t="n"/>
      <c r="P1201" s="285" t="n"/>
      <c r="Q1201" s="287" t="n"/>
      <c r="R1201" s="278" t="n"/>
      <c r="S1201" s="278" t="n"/>
      <c r="T1201" s="278" t="n"/>
      <c r="U1201" s="278" t="n"/>
      <c r="V1201" s="278" t="n"/>
      <c r="W1201" s="278" t="n"/>
      <c r="X1201" s="278" t="n"/>
      <c r="Y1201" s="278" t="n"/>
      <c r="Z1201" s="278" t="n"/>
      <c r="AA1201" s="278" t="n"/>
      <c r="AB1201" s="278" t="n"/>
      <c r="AC1201" s="278" t="n"/>
      <c r="AD1201" s="278" t="n"/>
    </row>
    <row r="1202">
      <c r="B1202" s="299" t="n"/>
      <c r="C1202" s="299" t="n"/>
      <c r="D1202" s="300" t="inlineStr">
        <is>
          <t>Hand Tools</t>
        </is>
      </c>
      <c r="E1202" s="299" t="n"/>
      <c r="F1202" s="299" t="n"/>
      <c r="G1202" s="299" t="n"/>
      <c r="H1202" s="299" t="n"/>
      <c r="I1202" s="299" t="n"/>
      <c r="J1202" s="299" t="n"/>
      <c r="K1202" s="299" t="n"/>
      <c r="L1202" s="299" t="n"/>
      <c r="M1202" s="299" t="n"/>
      <c r="N1202" s="299" t="n"/>
      <c r="O1202" s="299" t="n"/>
      <c r="P1202" s="299" t="n"/>
      <c r="Q1202" s="299" t="n"/>
      <c r="R1202" s="278" t="n"/>
      <c r="S1202" s="278" t="n"/>
      <c r="T1202" s="278" t="n"/>
      <c r="U1202" s="278" t="n"/>
      <c r="V1202" s="278" t="n"/>
      <c r="W1202" s="278" t="n"/>
      <c r="X1202" s="278" t="n"/>
      <c r="Y1202" s="278" t="n"/>
      <c r="Z1202" s="278" t="n"/>
      <c r="AA1202" s="278" t="n"/>
      <c r="AB1202" s="278" t="n"/>
      <c r="AC1202" s="278" t="n"/>
      <c r="AD1202" s="278" t="n"/>
    </row>
    <row r="1203" ht="15.5" customHeight="1">
      <c r="B1203" s="288" t="n">
        <v>45439</v>
      </c>
      <c r="C1203" s="289" t="n">
        <v>113</v>
      </c>
      <c r="D1203" s="290" t="inlineStr">
        <is>
          <t>Hand gloves</t>
        </is>
      </c>
      <c r="E1203" s="287" t="inlineStr">
        <is>
          <t>-</t>
        </is>
      </c>
      <c r="F1203" s="283" t="n">
        <v>21900</v>
      </c>
      <c r="G1203" s="291" t="inlineStr">
        <is>
          <t>IDR</t>
        </is>
      </c>
      <c r="H1203" s="292" t="n">
        <v>1</v>
      </c>
      <c r="I1203" s="280" t="n"/>
      <c r="J1203" s="285" t="n"/>
      <c r="K1203" s="279" t="n"/>
      <c r="L1203" s="283" t="n"/>
      <c r="M1203" s="286" t="n"/>
      <c r="N1203" s="286" t="n">
        <v>21900</v>
      </c>
      <c r="O1203" s="283" t="n"/>
      <c r="P1203" s="285" t="n"/>
      <c r="Q1203" s="287" t="n"/>
      <c r="R1203" s="278" t="n"/>
      <c r="S1203" s="278" t="n"/>
      <c r="T1203" s="278" t="n"/>
      <c r="U1203" s="278" t="n"/>
      <c r="V1203" s="278" t="n"/>
      <c r="W1203" s="278" t="n"/>
      <c r="X1203" s="278" t="n"/>
      <c r="Y1203" s="278" t="n"/>
      <c r="Z1203" s="278" t="n"/>
      <c r="AA1203" s="278" t="n"/>
      <c r="AB1203" s="278" t="n"/>
      <c r="AC1203" s="278" t="n"/>
      <c r="AD1203" s="278" t="n"/>
    </row>
    <row r="1204">
      <c r="B1204" s="299" t="n"/>
      <c r="C1204" s="299" t="n"/>
      <c r="D1204" s="300" t="inlineStr">
        <is>
          <t>Laundry</t>
        </is>
      </c>
      <c r="E1204" s="299" t="n"/>
      <c r="F1204" s="299" t="n"/>
      <c r="G1204" s="299" t="n"/>
      <c r="H1204" s="299" t="n"/>
      <c r="I1204" s="299" t="n"/>
      <c r="J1204" s="299" t="n"/>
      <c r="K1204" s="299" t="n"/>
      <c r="L1204" s="299" t="n"/>
      <c r="M1204" s="299" t="n"/>
      <c r="N1204" s="299" t="n"/>
      <c r="O1204" s="299" t="n"/>
      <c r="P1204" s="299" t="n"/>
      <c r="Q1204" s="299" t="n"/>
      <c r="R1204" s="278" t="n"/>
      <c r="S1204" s="278" t="n"/>
      <c r="T1204" s="278" t="n"/>
      <c r="U1204" s="278" t="n"/>
      <c r="V1204" s="278" t="n"/>
      <c r="W1204" s="278" t="n"/>
      <c r="X1204" s="278" t="n"/>
      <c r="Y1204" s="278" t="n"/>
      <c r="Z1204" s="278" t="n"/>
      <c r="AA1204" s="278" t="n"/>
      <c r="AB1204" s="278" t="n"/>
      <c r="AC1204" s="278" t="n"/>
      <c r="AD1204" s="278" t="n"/>
    </row>
    <row r="1205" ht="15.5" customHeight="1">
      <c r="B1205" s="288" t="n">
        <v>45437</v>
      </c>
      <c r="C1205" s="289" t="n">
        <v>114</v>
      </c>
      <c r="D1205" s="290" t="inlineStr">
        <is>
          <t>Laundry (25 - 30 May 2024)</t>
        </is>
      </c>
      <c r="E1205" s="287" t="inlineStr">
        <is>
          <t>-</t>
        </is>
      </c>
      <c r="F1205" s="283" t="n">
        <v>300000</v>
      </c>
      <c r="G1205" s="291" t="inlineStr">
        <is>
          <t>IDR</t>
        </is>
      </c>
      <c r="H1205" s="292" t="n">
        <v>1</v>
      </c>
      <c r="I1205" s="280" t="n"/>
      <c r="J1205" s="285" t="n"/>
      <c r="K1205" s="279" t="n"/>
      <c r="L1205" s="283" t="n">
        <v>300000</v>
      </c>
      <c r="M1205" s="286" t="n"/>
      <c r="N1205" s="286" t="n"/>
      <c r="O1205" s="283" t="n"/>
      <c r="P1205" s="285" t="n"/>
      <c r="Q1205" s="287" t="n"/>
      <c r="R1205" s="278" t="n"/>
      <c r="S1205" s="278" t="n"/>
      <c r="T1205" s="278" t="n"/>
      <c r="U1205" s="278" t="n"/>
      <c r="V1205" s="278" t="n"/>
      <c r="W1205" s="278" t="n"/>
      <c r="X1205" s="278" t="n"/>
      <c r="Y1205" s="278" t="n"/>
      <c r="Z1205" s="278" t="n"/>
      <c r="AA1205" s="278" t="n"/>
      <c r="AB1205" s="278" t="n"/>
      <c r="AC1205" s="278" t="n"/>
      <c r="AD1205" s="278" t="n"/>
    </row>
    <row r="1206">
      <c r="B1206" s="299" t="n"/>
      <c r="C1206" s="299" t="n"/>
      <c r="D1206" s="300" t="inlineStr">
        <is>
          <t>Logistic</t>
        </is>
      </c>
      <c r="E1206" s="299" t="n"/>
      <c r="F1206" s="299" t="n"/>
      <c r="G1206" s="299" t="n"/>
      <c r="H1206" s="299" t="n"/>
      <c r="I1206" s="299" t="n"/>
      <c r="J1206" s="299" t="n"/>
      <c r="K1206" s="299" t="n"/>
      <c r="L1206" s="299" t="n"/>
      <c r="M1206" s="299" t="n"/>
      <c r="N1206" s="299" t="n"/>
      <c r="O1206" s="299" t="n"/>
      <c r="P1206" s="299" t="n"/>
      <c r="Q1206" s="299" t="n"/>
      <c r="R1206" s="278" t="n"/>
      <c r="S1206" s="278" t="n"/>
      <c r="T1206" s="278" t="n"/>
      <c r="U1206" s="278" t="n"/>
      <c r="V1206" s="278" t="n"/>
      <c r="W1206" s="278" t="n"/>
      <c r="X1206" s="278" t="n"/>
      <c r="Y1206" s="278" t="n"/>
      <c r="Z1206" s="278" t="n"/>
      <c r="AA1206" s="278" t="n"/>
      <c r="AB1206" s="278" t="n"/>
      <c r="AC1206" s="278" t="n"/>
      <c r="AD1206" s="278" t="n"/>
    </row>
    <row r="1207" ht="15.5" customHeight="1">
      <c r="B1207" s="288" t="n">
        <v>45437</v>
      </c>
      <c r="C1207" s="289" t="n">
        <v>115</v>
      </c>
      <c r="D1207" s="290" t="inlineStr">
        <is>
          <t>Wrapping Alfa Box</t>
        </is>
      </c>
      <c r="E1207" s="287" t="inlineStr">
        <is>
          <t>-</t>
        </is>
      </c>
      <c r="F1207" s="283" t="n">
        <v>80000</v>
      </c>
      <c r="G1207" s="291" t="inlineStr">
        <is>
          <t>IDR</t>
        </is>
      </c>
      <c r="H1207" s="292" t="n">
        <v>1</v>
      </c>
      <c r="I1207" s="280" t="n"/>
      <c r="J1207" s="285" t="n"/>
      <c r="K1207" s="279" t="n"/>
      <c r="L1207" s="283" t="n"/>
      <c r="M1207" s="286" t="n"/>
      <c r="N1207" s="286" t="n">
        <v>80000</v>
      </c>
      <c r="O1207" s="283" t="n"/>
      <c r="P1207" s="285" t="n"/>
      <c r="Q1207" s="287" t="n"/>
      <c r="R1207" s="278" t="n"/>
      <c r="S1207" s="278" t="n"/>
      <c r="T1207" s="278" t="n"/>
      <c r="U1207" s="278" t="n"/>
      <c r="V1207" s="278" t="n"/>
      <c r="W1207" s="278" t="n"/>
      <c r="X1207" s="278" t="n"/>
      <c r="Y1207" s="278" t="n"/>
      <c r="Z1207" s="278" t="n"/>
      <c r="AA1207" s="278" t="n"/>
      <c r="AB1207" s="278" t="n"/>
      <c r="AC1207" s="278" t="n"/>
      <c r="AD1207" s="278" t="n"/>
    </row>
    <row r="1208">
      <c r="B1208" s="299" t="n"/>
      <c r="C1208" s="299" t="n"/>
      <c r="D1208" s="300" t="inlineStr">
        <is>
          <t>Meal</t>
        </is>
      </c>
      <c r="E1208" s="299" t="n"/>
      <c r="F1208" s="299" t="n"/>
      <c r="G1208" s="299" t="n"/>
      <c r="H1208" s="299" t="n"/>
      <c r="I1208" s="299" t="n"/>
      <c r="J1208" s="299" t="n"/>
      <c r="K1208" s="299" t="n"/>
      <c r="L1208" s="299" t="n"/>
      <c r="M1208" s="299" t="n"/>
      <c r="N1208" s="299" t="n"/>
      <c r="O1208" s="299" t="n"/>
      <c r="P1208" s="299" t="n"/>
      <c r="Q1208" s="299" t="n"/>
      <c r="R1208" s="278" t="n"/>
      <c r="S1208" s="278" t="n"/>
      <c r="T1208" s="278" t="n"/>
      <c r="U1208" s="278" t="n"/>
      <c r="V1208" s="278" t="n"/>
      <c r="W1208" s="278" t="n"/>
      <c r="X1208" s="278" t="n"/>
      <c r="Y1208" s="278" t="n"/>
      <c r="Z1208" s="278" t="n"/>
      <c r="AA1208" s="278" t="n"/>
      <c r="AB1208" s="278" t="n"/>
      <c r="AC1208" s="278" t="n"/>
      <c r="AD1208" s="278" t="n"/>
    </row>
    <row r="1209" ht="15.5" customHeight="1">
      <c r="B1209" s="288" t="n">
        <v>45437</v>
      </c>
      <c r="C1209" s="289" t="n">
        <v>116</v>
      </c>
      <c r="D1209" s="290" t="inlineStr">
        <is>
          <t>Uang Makan (25 - 30 May 2024)</t>
        </is>
      </c>
      <c r="E1209" s="287" t="inlineStr">
        <is>
          <t>-</t>
        </is>
      </c>
      <c r="F1209" s="283" t="n">
        <v>900000</v>
      </c>
      <c r="G1209" s="291" t="inlineStr">
        <is>
          <t>IDR</t>
        </is>
      </c>
      <c r="H1209" s="292" t="n">
        <v>1</v>
      </c>
      <c r="I1209" s="280" t="n"/>
      <c r="J1209" s="285" t="n"/>
      <c r="K1209" s="279" t="n"/>
      <c r="L1209" s="283" t="n">
        <v>900000</v>
      </c>
      <c r="M1209" s="286" t="n"/>
      <c r="N1209" s="286" t="n"/>
      <c r="O1209" s="283" t="n"/>
      <c r="P1209" s="285" t="n"/>
      <c r="Q1209" s="287" t="n"/>
      <c r="R1209" s="278" t="n"/>
      <c r="S1209" s="278" t="n"/>
      <c r="T1209" s="278" t="n"/>
      <c r="U1209" s="278" t="n"/>
      <c r="V1209" s="278" t="n"/>
      <c r="W1209" s="278" t="n"/>
      <c r="X1209" s="278" t="n"/>
      <c r="Y1209" s="278" t="n"/>
      <c r="Z1209" s="278" t="n"/>
      <c r="AA1209" s="278" t="n"/>
      <c r="AB1209" s="278" t="n"/>
      <c r="AC1209" s="278" t="n"/>
      <c r="AD1209" s="278" t="n"/>
    </row>
    <row r="1210">
      <c r="B1210" s="299" t="n"/>
      <c r="C1210" s="299" t="n"/>
      <c r="D1210" s="300" t="inlineStr">
        <is>
          <t>Sparepart</t>
        </is>
      </c>
      <c r="E1210" s="299" t="n"/>
      <c r="F1210" s="299" t="n"/>
      <c r="G1210" s="299" t="n"/>
      <c r="H1210" s="299" t="n"/>
      <c r="I1210" s="299" t="n"/>
      <c r="J1210" s="299" t="n"/>
      <c r="K1210" s="299" t="n"/>
      <c r="L1210" s="299" t="n"/>
      <c r="M1210" s="299" t="n"/>
      <c r="N1210" s="299" t="n"/>
      <c r="O1210" s="299" t="n"/>
      <c r="P1210" s="299" t="n"/>
      <c r="Q1210" s="299" t="n"/>
      <c r="R1210" s="278" t="n"/>
      <c r="S1210" s="278" t="n"/>
      <c r="T1210" s="278" t="n"/>
      <c r="U1210" s="278" t="n"/>
      <c r="V1210" s="278" t="n"/>
      <c r="W1210" s="278" t="n"/>
      <c r="X1210" s="278" t="n"/>
      <c r="Y1210" s="278" t="n"/>
      <c r="Z1210" s="278" t="n"/>
      <c r="AA1210" s="278" t="n"/>
      <c r="AB1210" s="278" t="n"/>
      <c r="AC1210" s="278" t="n"/>
      <c r="AD1210" s="278" t="n"/>
    </row>
    <row r="1211" ht="15.5" customHeight="1">
      <c r="B1211" s="288" t="n">
        <v>45443</v>
      </c>
      <c r="C1211" s="289" t="n">
        <v>117</v>
      </c>
      <c r="D1211" s="290" t="inlineStr">
        <is>
          <t>Allen key, pliers, screwdrivers</t>
        </is>
      </c>
      <c r="E1211" s="287" t="inlineStr">
        <is>
          <t>-</t>
        </is>
      </c>
      <c r="F1211" s="283" t="n">
        <v>268000</v>
      </c>
      <c r="G1211" s="291" t="inlineStr">
        <is>
          <t>IDR</t>
        </is>
      </c>
      <c r="H1211" s="292" t="n">
        <v>1</v>
      </c>
      <c r="I1211" s="280" t="n"/>
      <c r="J1211" s="285" t="n"/>
      <c r="K1211" s="279" t="n"/>
      <c r="L1211" s="283" t="n"/>
      <c r="M1211" s="286" t="n"/>
      <c r="N1211" s="286" t="n">
        <v>268000</v>
      </c>
      <c r="O1211" s="283" t="n"/>
      <c r="P1211" s="285" t="n"/>
      <c r="Q1211" s="287" t="n"/>
      <c r="R1211" s="278" t="n"/>
      <c r="S1211" s="278" t="n"/>
      <c r="T1211" s="278" t="n"/>
      <c r="U1211" s="278" t="n"/>
      <c r="V1211" s="278" t="n"/>
      <c r="W1211" s="278" t="n"/>
      <c r="X1211" s="278" t="n"/>
      <c r="Y1211" s="278" t="n"/>
      <c r="Z1211" s="278" t="n"/>
      <c r="AA1211" s="278" t="n"/>
      <c r="AB1211" s="278" t="n"/>
      <c r="AC1211" s="278" t="n"/>
      <c r="AD1211" s="278" t="n"/>
    </row>
    <row r="1212">
      <c r="B1212" s="299" t="n"/>
      <c r="C1212" s="299" t="n"/>
      <c r="D1212" s="300" t="inlineStr">
        <is>
          <t>Transportation</t>
        </is>
      </c>
      <c r="E1212" s="299" t="n"/>
      <c r="F1212" s="299" t="n"/>
      <c r="G1212" s="299" t="n"/>
      <c r="H1212" s="299" t="n"/>
      <c r="I1212" s="299" t="n"/>
      <c r="J1212" s="299" t="n"/>
      <c r="K1212" s="299" t="n"/>
      <c r="L1212" s="299" t="n"/>
      <c r="M1212" s="299" t="n"/>
      <c r="N1212" s="299" t="n"/>
      <c r="O1212" s="299" t="n"/>
      <c r="P1212" s="299" t="n"/>
      <c r="Q1212" s="299" t="n"/>
      <c r="R1212" s="278" t="n"/>
      <c r="S1212" s="278" t="n"/>
      <c r="T1212" s="278" t="n"/>
      <c r="U1212" s="278" t="n"/>
      <c r="V1212" s="278" t="n"/>
      <c r="W1212" s="278" t="n"/>
      <c r="X1212" s="278" t="n"/>
      <c r="Y1212" s="278" t="n"/>
      <c r="Z1212" s="278" t="n"/>
      <c r="AA1212" s="278" t="n"/>
      <c r="AB1212" s="278" t="n"/>
      <c r="AC1212" s="278" t="n"/>
      <c r="AD1212" s="278" t="n"/>
    </row>
    <row r="1213" ht="15.5" customHeight="1">
      <c r="B1213" s="288" t="n">
        <v>45437</v>
      </c>
      <c r="C1213" s="289" t="n">
        <v>118</v>
      </c>
      <c r="D1213" s="290" t="inlineStr">
        <is>
          <t>fuel + tol PLM-Prabu</t>
        </is>
      </c>
      <c r="E1213" s="287" t="inlineStr">
        <is>
          <t>-</t>
        </is>
      </c>
      <c r="F1213" s="283" t="n">
        <v>312000</v>
      </c>
      <c r="G1213" s="291" t="inlineStr">
        <is>
          <t>IDR</t>
        </is>
      </c>
      <c r="H1213" s="292" t="n">
        <v>1</v>
      </c>
      <c r="I1213" s="280" t="n"/>
      <c r="J1213" s="285" t="n"/>
      <c r="K1213" s="279" t="n"/>
      <c r="L1213" s="283" t="n">
        <v>312000</v>
      </c>
      <c r="M1213" s="286" t="n"/>
      <c r="N1213" s="286" t="n"/>
      <c r="O1213" s="283" t="n"/>
      <c r="P1213" s="285" t="n"/>
      <c r="Q1213" s="287" t="n"/>
      <c r="R1213" s="278" t="n"/>
      <c r="S1213" s="278" t="n"/>
      <c r="T1213" s="278" t="n"/>
      <c r="U1213" s="278" t="n"/>
      <c r="V1213" s="278" t="n"/>
      <c r="W1213" s="278" t="n"/>
      <c r="X1213" s="278" t="n"/>
      <c r="Y1213" s="278" t="n"/>
      <c r="Z1213" s="278" t="n"/>
      <c r="AA1213" s="278" t="n"/>
      <c r="AB1213" s="278" t="n"/>
      <c r="AC1213" s="278" t="n"/>
      <c r="AD1213" s="278" t="n"/>
    </row>
    <row r="1214">
      <c r="B1214" s="296" t="inlineStr">
        <is>
          <t>Expense#17</t>
        </is>
      </c>
      <c r="C1214" s="297" t="inlineStr">
        <is>
          <t>:</t>
        </is>
      </c>
      <c r="D1214" s="296" t="inlineStr">
        <is>
          <t>ALFA JRK-193 - project SI_ TMA</t>
        </is>
      </c>
      <c r="E1214" s="298" t="n"/>
      <c r="F1214" s="298" t="n"/>
      <c r="G1214" s="298" t="n"/>
      <c r="H1214" s="298" t="n"/>
      <c r="I1214" s="298" t="n"/>
      <c r="J1214" s="298" t="n"/>
      <c r="K1214" s="298" t="n"/>
      <c r="L1214" s="298" t="n"/>
      <c r="M1214" s="298" t="n"/>
      <c r="N1214" s="298" t="n"/>
      <c r="O1214" s="298" t="n"/>
      <c r="P1214" s="298" t="n"/>
      <c r="Q1214" s="298" t="n"/>
      <c r="R1214" s="278" t="n"/>
      <c r="S1214" s="278" t="n"/>
      <c r="T1214" s="278" t="n"/>
      <c r="U1214" s="278" t="n"/>
      <c r="V1214" s="278" t="n"/>
      <c r="W1214" s="278" t="n"/>
      <c r="X1214" s="278" t="n"/>
      <c r="Y1214" s="278" t="n"/>
      <c r="Z1214" s="278" t="n"/>
      <c r="AA1214" s="278" t="n"/>
      <c r="AB1214" s="278" t="n"/>
      <c r="AC1214" s="278" t="n"/>
      <c r="AD1214" s="278" t="n"/>
    </row>
    <row r="1215">
      <c r="B1215" s="299" t="n"/>
      <c r="C1215" s="299" t="n"/>
      <c r="D1215" s="300" t="inlineStr">
        <is>
          <t>Accommodation</t>
        </is>
      </c>
      <c r="E1215" s="299" t="n"/>
      <c r="F1215" s="299" t="n"/>
      <c r="G1215" s="299" t="n"/>
      <c r="H1215" s="299" t="n"/>
      <c r="I1215" s="299" t="n"/>
      <c r="J1215" s="299" t="n"/>
      <c r="K1215" s="299" t="n"/>
      <c r="L1215" s="299" t="n"/>
      <c r="M1215" s="299" t="n"/>
      <c r="N1215" s="299" t="n"/>
      <c r="O1215" s="299" t="n"/>
      <c r="P1215" s="299" t="n"/>
      <c r="Q1215" s="299" t="n"/>
      <c r="R1215" s="278" t="n"/>
      <c r="S1215" s="278" t="n"/>
      <c r="T1215" s="278" t="n"/>
      <c r="U1215" s="278" t="n"/>
      <c r="V1215" s="278" t="n"/>
      <c r="W1215" s="278" t="n"/>
      <c r="X1215" s="278" t="n"/>
      <c r="Y1215" s="278" t="n"/>
      <c r="Z1215" s="278" t="n"/>
      <c r="AA1215" s="278" t="n"/>
      <c r="AB1215" s="278" t="n"/>
      <c r="AC1215" s="278" t="n"/>
      <c r="AD1215" s="278" t="n"/>
    </row>
    <row r="1216" ht="15.5" customHeight="1">
      <c r="B1216" s="288" t="n">
        <v>45437</v>
      </c>
      <c r="C1216" s="289" t="n">
        <v>119</v>
      </c>
      <c r="D1216" s="290" t="inlineStr">
        <is>
          <t>Hotel 24 May - 30 May (6 days)</t>
        </is>
      </c>
      <c r="E1216" s="287" t="inlineStr">
        <is>
          <t>-</t>
        </is>
      </c>
      <c r="F1216" s="283" t="n">
        <v>1650000</v>
      </c>
      <c r="G1216" s="291" t="inlineStr">
        <is>
          <t>IDR</t>
        </is>
      </c>
      <c r="H1216" s="292" t="n">
        <v>1</v>
      </c>
      <c r="I1216" s="280" t="n"/>
      <c r="J1216" s="285" t="n"/>
      <c r="K1216" s="279" t="n"/>
      <c r="L1216" s="283" t="n">
        <v>1650000</v>
      </c>
      <c r="M1216" s="286" t="n"/>
      <c r="N1216" s="286" t="n"/>
      <c r="O1216" s="283" t="n"/>
      <c r="P1216" s="285" t="n"/>
      <c r="Q1216" s="287" t="n"/>
      <c r="R1216" s="278" t="n"/>
      <c r="S1216" s="278" t="n"/>
      <c r="T1216" s="278" t="n"/>
      <c r="U1216" s="278" t="n"/>
      <c r="V1216" s="278" t="n"/>
      <c r="W1216" s="278" t="n"/>
      <c r="X1216" s="278" t="n"/>
      <c r="Y1216" s="278" t="n"/>
      <c r="Z1216" s="278" t="n"/>
      <c r="AA1216" s="278" t="n"/>
      <c r="AB1216" s="278" t="n"/>
      <c r="AC1216" s="278" t="n"/>
      <c r="AD1216" s="278" t="n"/>
    </row>
    <row r="1217">
      <c r="B1217" s="299" t="n"/>
      <c r="C1217" s="299" t="n"/>
      <c r="D1217" s="300" t="inlineStr">
        <is>
          <t>Allowance</t>
        </is>
      </c>
      <c r="E1217" s="299" t="n"/>
      <c r="F1217" s="299" t="n"/>
      <c r="G1217" s="299" t="n"/>
      <c r="H1217" s="299" t="n"/>
      <c r="I1217" s="299" t="n"/>
      <c r="J1217" s="299" t="n"/>
      <c r="K1217" s="299" t="n"/>
      <c r="L1217" s="299" t="n"/>
      <c r="M1217" s="299" t="n"/>
      <c r="N1217" s="299" t="n"/>
      <c r="O1217" s="299" t="n"/>
      <c r="P1217" s="299" t="n"/>
      <c r="Q1217" s="299" t="n"/>
      <c r="R1217" s="278" t="n"/>
      <c r="S1217" s="278" t="n"/>
      <c r="T1217" s="278" t="n"/>
      <c r="U1217" s="278" t="n"/>
      <c r="V1217" s="278" t="n"/>
      <c r="W1217" s="278" t="n"/>
      <c r="X1217" s="278" t="n"/>
      <c r="Y1217" s="278" t="n"/>
      <c r="Z1217" s="278" t="n"/>
      <c r="AA1217" s="278" t="n"/>
      <c r="AB1217" s="278" t="n"/>
      <c r="AC1217" s="278" t="n"/>
      <c r="AD1217" s="278" t="n"/>
    </row>
    <row r="1218" ht="15.5" customHeight="1">
      <c r="B1218" s="288" t="n">
        <v>45437</v>
      </c>
      <c r="C1218" s="289" t="n">
        <v>120</v>
      </c>
      <c r="D1218" s="290" t="inlineStr">
        <is>
          <t>Tunjangan Lapangan for 6 days</t>
        </is>
      </c>
      <c r="E1218" s="287" t="inlineStr">
        <is>
          <t>-</t>
        </is>
      </c>
      <c r="F1218" s="283" t="n">
        <v>9717600</v>
      </c>
      <c r="G1218" s="291" t="inlineStr">
        <is>
          <t>USD</t>
        </is>
      </c>
      <c r="H1218" s="292" t="n">
        <v>16196</v>
      </c>
      <c r="I1218" s="280" t="n"/>
      <c r="J1218" s="285" t="n"/>
      <c r="K1218" s="279" t="n"/>
      <c r="L1218" s="283" t="n">
        <v>9717600</v>
      </c>
      <c r="M1218" s="286" t="n"/>
      <c r="N1218" s="286" t="n"/>
      <c r="O1218" s="283" t="n"/>
      <c r="P1218" s="285" t="n"/>
      <c r="Q1218" s="287" t="n"/>
      <c r="R1218" s="278" t="n"/>
      <c r="S1218" s="278" t="n"/>
      <c r="T1218" s="278" t="n"/>
      <c r="U1218" s="278" t="n"/>
      <c r="V1218" s="278" t="n"/>
      <c r="W1218" s="278" t="n"/>
      <c r="X1218" s="278" t="n"/>
      <c r="Y1218" s="278" t="n"/>
      <c r="Z1218" s="278" t="n"/>
      <c r="AA1218" s="278" t="n"/>
      <c r="AB1218" s="278" t="n"/>
      <c r="AC1218" s="278" t="n"/>
      <c r="AD1218" s="278" t="n"/>
    </row>
    <row r="1219">
      <c r="B1219" s="299" t="n"/>
      <c r="C1219" s="299" t="n"/>
      <c r="D1219" s="300" t="inlineStr">
        <is>
          <t>Biaya Operasi Lain-lain</t>
        </is>
      </c>
      <c r="E1219" s="299" t="n"/>
      <c r="F1219" s="299" t="n"/>
      <c r="G1219" s="299" t="n"/>
      <c r="H1219" s="299" t="n"/>
      <c r="I1219" s="299" t="n"/>
      <c r="J1219" s="299" t="n"/>
      <c r="K1219" s="299" t="n"/>
      <c r="L1219" s="299" t="n"/>
      <c r="M1219" s="299" t="n"/>
      <c r="N1219" s="299" t="n"/>
      <c r="O1219" s="299" t="n"/>
      <c r="P1219" s="299" t="n"/>
      <c r="Q1219" s="299" t="n"/>
      <c r="R1219" s="278" t="n"/>
      <c r="S1219" s="278" t="n"/>
      <c r="T1219" s="278" t="n"/>
      <c r="U1219" s="278" t="n"/>
      <c r="V1219" s="278" t="n"/>
      <c r="W1219" s="278" t="n"/>
      <c r="X1219" s="278" t="n"/>
      <c r="Y1219" s="278" t="n"/>
      <c r="Z1219" s="278" t="n"/>
      <c r="AA1219" s="278" t="n"/>
      <c r="AB1219" s="278" t="n"/>
      <c r="AC1219" s="278" t="n"/>
      <c r="AD1219" s="278" t="n"/>
    </row>
    <row r="1220" ht="15.5" customHeight="1">
      <c r="B1220" s="288" t="n">
        <v>45437</v>
      </c>
      <c r="C1220" s="289" t="n">
        <v>121</v>
      </c>
      <c r="D1220" s="290" t="inlineStr">
        <is>
          <t>Rent Car 6 Days</t>
        </is>
      </c>
      <c r="E1220" s="287" t="inlineStr">
        <is>
          <t>-</t>
        </is>
      </c>
      <c r="F1220" s="283" t="n">
        <v>2900000</v>
      </c>
      <c r="G1220" s="291" t="inlineStr">
        <is>
          <t>IDR</t>
        </is>
      </c>
      <c r="H1220" s="292" t="n">
        <v>1</v>
      </c>
      <c r="I1220" s="280" t="n"/>
      <c r="J1220" s="285" t="n"/>
      <c r="K1220" s="279" t="n"/>
      <c r="L1220" s="283" t="n">
        <v>2900000</v>
      </c>
      <c r="M1220" s="286" t="n"/>
      <c r="N1220" s="286" t="n"/>
      <c r="O1220" s="283" t="n"/>
      <c r="P1220" s="285" t="n"/>
      <c r="Q1220" s="287" t="n"/>
      <c r="R1220" s="278" t="n"/>
      <c r="S1220" s="278" t="n"/>
      <c r="T1220" s="278" t="n"/>
      <c r="U1220" s="278" t="n"/>
      <c r="V1220" s="278" t="n"/>
      <c r="W1220" s="278" t="n"/>
      <c r="X1220" s="278" t="n"/>
      <c r="Y1220" s="278" t="n"/>
      <c r="Z1220" s="278" t="n"/>
      <c r="AA1220" s="278" t="n"/>
      <c r="AB1220" s="278" t="n"/>
      <c r="AC1220" s="278" t="n"/>
      <c r="AD1220" s="278" t="n"/>
    </row>
    <row r="1221">
      <c r="B1221" s="299" t="n"/>
      <c r="C1221" s="299" t="n"/>
      <c r="D1221" s="300" t="inlineStr">
        <is>
          <t>Laundry</t>
        </is>
      </c>
      <c r="E1221" s="299" t="n"/>
      <c r="F1221" s="299" t="n"/>
      <c r="G1221" s="299" t="n"/>
      <c r="H1221" s="299" t="n"/>
      <c r="I1221" s="299" t="n"/>
      <c r="J1221" s="299" t="n"/>
      <c r="K1221" s="299" t="n"/>
      <c r="L1221" s="299" t="n"/>
      <c r="M1221" s="299" t="n"/>
      <c r="N1221" s="299" t="n"/>
      <c r="O1221" s="299" t="n"/>
      <c r="P1221" s="299" t="n"/>
      <c r="Q1221" s="299" t="n"/>
      <c r="R1221" s="278" t="n"/>
      <c r="S1221" s="278" t="n"/>
      <c r="T1221" s="278" t="n"/>
      <c r="U1221" s="278" t="n"/>
      <c r="V1221" s="278" t="n"/>
      <c r="W1221" s="278" t="n"/>
      <c r="X1221" s="278" t="n"/>
      <c r="Y1221" s="278" t="n"/>
      <c r="Z1221" s="278" t="n"/>
      <c r="AA1221" s="278" t="n"/>
      <c r="AB1221" s="278" t="n"/>
      <c r="AC1221" s="278" t="n"/>
      <c r="AD1221" s="278" t="n"/>
    </row>
    <row r="1222" ht="15.5" customHeight="1">
      <c r="B1222" s="288" t="n">
        <v>45437</v>
      </c>
      <c r="C1222" s="289" t="n">
        <v>122</v>
      </c>
      <c r="D1222" s="290" t="inlineStr">
        <is>
          <t>Laundry 6 days 1 Persons @ 50K IDR/day</t>
        </is>
      </c>
      <c r="E1222" s="287" t="inlineStr">
        <is>
          <t>-</t>
        </is>
      </c>
      <c r="F1222" s="283" t="n">
        <v>300000</v>
      </c>
      <c r="G1222" s="291" t="inlineStr">
        <is>
          <t>IDR</t>
        </is>
      </c>
      <c r="H1222" s="292" t="n">
        <v>1</v>
      </c>
      <c r="I1222" s="280" t="n"/>
      <c r="J1222" s="285" t="n"/>
      <c r="K1222" s="279" t="n"/>
      <c r="L1222" s="283" t="n">
        <v>300000</v>
      </c>
      <c r="M1222" s="286" t="n"/>
      <c r="N1222" s="286" t="n"/>
      <c r="O1222" s="283" t="n"/>
      <c r="P1222" s="285" t="n"/>
      <c r="Q1222" s="287" t="n"/>
      <c r="R1222" s="278" t="n"/>
      <c r="S1222" s="278" t="n"/>
      <c r="T1222" s="278" t="n"/>
      <c r="U1222" s="278" t="n"/>
      <c r="V1222" s="278" t="n"/>
      <c r="W1222" s="278" t="n"/>
      <c r="X1222" s="278" t="n"/>
      <c r="Y1222" s="278" t="n"/>
      <c r="Z1222" s="278" t="n"/>
      <c r="AA1222" s="278" t="n"/>
      <c r="AB1222" s="278" t="n"/>
      <c r="AC1222" s="278" t="n"/>
      <c r="AD1222" s="278" t="n"/>
    </row>
    <row r="1223">
      <c r="B1223" s="299" t="n"/>
      <c r="C1223" s="299" t="n"/>
      <c r="D1223" s="300" t="inlineStr">
        <is>
          <t>Meal</t>
        </is>
      </c>
      <c r="E1223" s="299" t="n"/>
      <c r="F1223" s="299" t="n"/>
      <c r="G1223" s="299" t="n"/>
      <c r="H1223" s="299" t="n"/>
      <c r="I1223" s="299" t="n"/>
      <c r="J1223" s="299" t="n"/>
      <c r="K1223" s="299" t="n"/>
      <c r="L1223" s="299" t="n"/>
      <c r="M1223" s="299" t="n"/>
      <c r="N1223" s="299" t="n"/>
      <c r="O1223" s="299" t="n"/>
      <c r="P1223" s="299" t="n"/>
      <c r="Q1223" s="299" t="n"/>
      <c r="R1223" s="278" t="n"/>
      <c r="S1223" s="278" t="n"/>
      <c r="T1223" s="278" t="n"/>
      <c r="U1223" s="278" t="n"/>
      <c r="V1223" s="278" t="n"/>
      <c r="W1223" s="278" t="n"/>
      <c r="X1223" s="278" t="n"/>
      <c r="Y1223" s="278" t="n"/>
      <c r="Z1223" s="278" t="n"/>
      <c r="AA1223" s="278" t="n"/>
      <c r="AB1223" s="278" t="n"/>
      <c r="AC1223" s="278" t="n"/>
      <c r="AD1223" s="278" t="n"/>
    </row>
    <row r="1224" ht="15.5" customHeight="1">
      <c r="B1224" s="288" t="n">
        <v>45437</v>
      </c>
      <c r="C1224" s="289" t="n">
        <v>123</v>
      </c>
      <c r="D1224" s="290" t="inlineStr">
        <is>
          <t>Meals 7 days 1 Persons @ 150K IDR/day</t>
        </is>
      </c>
      <c r="E1224" s="287" t="inlineStr">
        <is>
          <t>-</t>
        </is>
      </c>
      <c r="F1224" s="283" t="n">
        <v>900000</v>
      </c>
      <c r="G1224" s="291" t="inlineStr">
        <is>
          <t>IDR</t>
        </is>
      </c>
      <c r="H1224" s="292" t="n">
        <v>1</v>
      </c>
      <c r="I1224" s="280" t="n"/>
      <c r="J1224" s="285" t="n"/>
      <c r="K1224" s="279" t="n"/>
      <c r="L1224" s="283" t="n">
        <v>900000</v>
      </c>
      <c r="M1224" s="286" t="n"/>
      <c r="N1224" s="286" t="n"/>
      <c r="O1224" s="283" t="n"/>
      <c r="P1224" s="285" t="n"/>
      <c r="Q1224" s="287" t="n"/>
      <c r="R1224" s="278" t="n"/>
      <c r="S1224" s="278" t="n"/>
      <c r="T1224" s="278" t="n"/>
      <c r="U1224" s="278" t="n"/>
      <c r="V1224" s="278" t="n"/>
      <c r="W1224" s="278" t="n"/>
      <c r="X1224" s="278" t="n"/>
      <c r="Y1224" s="278" t="n"/>
      <c r="Z1224" s="278" t="n"/>
      <c r="AA1224" s="278" t="n"/>
      <c r="AB1224" s="278" t="n"/>
      <c r="AC1224" s="278" t="n"/>
      <c r="AD1224" s="278" t="n"/>
    </row>
    <row r="1225">
      <c r="B1225" s="299" t="n"/>
      <c r="C1225" s="299" t="n"/>
      <c r="D1225" s="300" t="inlineStr">
        <is>
          <t>Transportation</t>
        </is>
      </c>
      <c r="E1225" s="299" t="n"/>
      <c r="F1225" s="299" t="n"/>
      <c r="G1225" s="299" t="n"/>
      <c r="H1225" s="299" t="n"/>
      <c r="I1225" s="299" t="n"/>
      <c r="J1225" s="299" t="n"/>
      <c r="K1225" s="299" t="n"/>
      <c r="L1225" s="299" t="n"/>
      <c r="M1225" s="299" t="n"/>
      <c r="N1225" s="299" t="n"/>
      <c r="O1225" s="299" t="n"/>
      <c r="P1225" s="299" t="n"/>
      <c r="Q1225" s="299" t="n"/>
      <c r="R1225" s="278" t="n"/>
      <c r="S1225" s="278" t="n"/>
      <c r="T1225" s="278" t="n"/>
      <c r="U1225" s="278" t="n"/>
      <c r="V1225" s="278" t="n"/>
      <c r="W1225" s="278" t="n"/>
      <c r="X1225" s="278" t="n"/>
      <c r="Y1225" s="278" t="n"/>
      <c r="Z1225" s="278" t="n"/>
      <c r="AA1225" s="278" t="n"/>
      <c r="AB1225" s="278" t="n"/>
      <c r="AC1225" s="278" t="n"/>
      <c r="AD1225" s="278" t="n"/>
    </row>
    <row r="1226" ht="15.5" customHeight="1">
      <c r="B1226" s="288" t="n">
        <v>45442</v>
      </c>
      <c r="C1226" s="289" t="n">
        <v>124</v>
      </c>
      <c r="D1226" s="290" t="inlineStr">
        <is>
          <t>Airplane Ticket PLM-CGK (2 Person)</t>
        </is>
      </c>
      <c r="E1226" s="287" t="inlineStr">
        <is>
          <t>-</t>
        </is>
      </c>
      <c r="F1226" s="283" t="n">
        <v>1326410</v>
      </c>
      <c r="G1226" s="291" t="inlineStr">
        <is>
          <t>IDR</t>
        </is>
      </c>
      <c r="H1226" s="292" t="n">
        <v>1</v>
      </c>
      <c r="I1226" s="280" t="n"/>
      <c r="J1226" s="285" t="n"/>
      <c r="K1226" s="279" t="n"/>
      <c r="L1226" s="283" t="n">
        <v>1326410</v>
      </c>
      <c r="M1226" s="286" t="n"/>
      <c r="N1226" s="286" t="n"/>
      <c r="O1226" s="283" t="n"/>
      <c r="P1226" s="285" t="n"/>
      <c r="Q1226" s="287" t="n"/>
      <c r="R1226" s="278" t="n"/>
      <c r="S1226" s="278" t="n"/>
      <c r="T1226" s="278" t="n"/>
      <c r="U1226" s="278" t="n"/>
      <c r="V1226" s="278" t="n"/>
      <c r="W1226" s="278" t="n"/>
      <c r="X1226" s="278" t="n"/>
      <c r="Y1226" s="278" t="n"/>
      <c r="Z1226" s="278" t="n"/>
      <c r="AA1226" s="278" t="n"/>
      <c r="AB1226" s="278" t="n"/>
      <c r="AC1226" s="278" t="n"/>
      <c r="AD1226" s="278" t="n"/>
    </row>
    <row r="1227">
      <c r="B1227" s="296" t="inlineStr">
        <is>
          <t>Expense#18</t>
        </is>
      </c>
      <c r="C1227" s="297" t="inlineStr">
        <is>
          <t>:</t>
        </is>
      </c>
      <c r="D1227" s="296" t="inlineStr">
        <is>
          <t>Non Trip - BOSIET Training - DS</t>
        </is>
      </c>
      <c r="E1227" s="298" t="n"/>
      <c r="F1227" s="298" t="n"/>
      <c r="G1227" s="298" t="n"/>
      <c r="H1227" s="298" t="n"/>
      <c r="I1227" s="298" t="n"/>
      <c r="J1227" s="298" t="n"/>
      <c r="K1227" s="298" t="n"/>
      <c r="L1227" s="298" t="n"/>
      <c r="M1227" s="298" t="n"/>
      <c r="N1227" s="298" t="n"/>
      <c r="O1227" s="298" t="n"/>
      <c r="P1227" s="298" t="n"/>
      <c r="Q1227" s="298" t="n"/>
      <c r="R1227" s="278" t="n"/>
      <c r="S1227" s="278" t="n"/>
      <c r="T1227" s="278" t="n"/>
      <c r="U1227" s="278" t="n"/>
      <c r="V1227" s="278" t="n"/>
      <c r="W1227" s="278" t="n"/>
      <c r="X1227" s="278" t="n"/>
      <c r="Y1227" s="278" t="n"/>
      <c r="Z1227" s="278" t="n"/>
      <c r="AA1227" s="278" t="n"/>
      <c r="AB1227" s="278" t="n"/>
      <c r="AC1227" s="278" t="n"/>
      <c r="AD1227" s="278" t="n"/>
    </row>
    <row r="1228">
      <c r="B1228" s="299" t="n"/>
      <c r="C1228" s="299" t="n"/>
      <c r="D1228" s="300" t="inlineStr">
        <is>
          <t>Biaya Operasi Lain-lain</t>
        </is>
      </c>
      <c r="E1228" s="299" t="n"/>
      <c r="F1228" s="299" t="n"/>
      <c r="G1228" s="299" t="n"/>
      <c r="H1228" s="299" t="n"/>
      <c r="I1228" s="299" t="n"/>
      <c r="J1228" s="299" t="n"/>
      <c r="K1228" s="299" t="n"/>
      <c r="L1228" s="299" t="n"/>
      <c r="M1228" s="299" t="n"/>
      <c r="N1228" s="299" t="n"/>
      <c r="O1228" s="299" t="n"/>
      <c r="P1228" s="299" t="n"/>
      <c r="Q1228" s="299" t="n"/>
      <c r="R1228" s="278" t="n"/>
      <c r="S1228" s="278" t="n"/>
      <c r="T1228" s="278" t="n"/>
      <c r="U1228" s="278" t="n"/>
      <c r="V1228" s="278" t="n"/>
      <c r="W1228" s="278" t="n"/>
      <c r="X1228" s="278" t="n"/>
      <c r="Y1228" s="278" t="n"/>
      <c r="Z1228" s="278" t="n"/>
      <c r="AA1228" s="278" t="n"/>
      <c r="AB1228" s="278" t="n"/>
      <c r="AC1228" s="278" t="n"/>
      <c r="AD1228" s="278" t="n"/>
    </row>
    <row r="1229" ht="15.5" customHeight="1">
      <c r="B1229" s="288" t="n">
        <v>45448</v>
      </c>
      <c r="C1229" s="289" t="n">
        <v>125</v>
      </c>
      <c r="D1229" s="290" t="inlineStr">
        <is>
          <t>Personal Car from Home to PT. LTJ (converted) DAY-1</t>
        </is>
      </c>
      <c r="E1229" s="287" t="inlineStr">
        <is>
          <t>-</t>
        </is>
      </c>
      <c r="F1229" s="283" t="n">
        <v>233000</v>
      </c>
      <c r="G1229" s="291" t="inlineStr">
        <is>
          <t>IDR</t>
        </is>
      </c>
      <c r="H1229" s="292" t="n">
        <v>1</v>
      </c>
      <c r="I1229" s="280" t="n"/>
      <c r="J1229" s="285" t="n"/>
      <c r="K1229" s="279" t="n"/>
      <c r="L1229" s="283" t="n">
        <v>233000</v>
      </c>
      <c r="M1229" s="286" t="n"/>
      <c r="N1229" s="286" t="n"/>
      <c r="O1229" s="283" t="n"/>
      <c r="P1229" s="285" t="n"/>
      <c r="Q1229" s="287" t="n"/>
      <c r="R1229" s="278" t="n"/>
      <c r="S1229" s="278" t="n"/>
      <c r="T1229" s="278" t="n"/>
      <c r="U1229" s="278" t="n"/>
      <c r="V1229" s="278" t="n"/>
      <c r="W1229" s="278" t="n"/>
      <c r="X1229" s="278" t="n"/>
      <c r="Y1229" s="278" t="n"/>
      <c r="Z1229" s="278" t="n"/>
      <c r="AA1229" s="278" t="n"/>
      <c r="AB1229" s="278" t="n"/>
      <c r="AC1229" s="278" t="n"/>
      <c r="AD1229" s="278" t="n"/>
    </row>
    <row r="1230">
      <c r="B1230" s="299" t="n"/>
      <c r="C1230" s="299" t="n"/>
      <c r="D1230" s="300" t="inlineStr">
        <is>
          <t>Training</t>
        </is>
      </c>
      <c r="E1230" s="299" t="n"/>
      <c r="F1230" s="299" t="n"/>
      <c r="G1230" s="299" t="n"/>
      <c r="H1230" s="299" t="n"/>
      <c r="I1230" s="299" t="n"/>
      <c r="J1230" s="299" t="n"/>
      <c r="K1230" s="299" t="n"/>
      <c r="L1230" s="299" t="n"/>
      <c r="M1230" s="299" t="n"/>
      <c r="N1230" s="299" t="n"/>
      <c r="O1230" s="299" t="n"/>
      <c r="P1230" s="299" t="n"/>
      <c r="Q1230" s="299" t="n"/>
      <c r="R1230" s="278" t="n"/>
      <c r="S1230" s="278" t="n"/>
      <c r="T1230" s="278" t="n"/>
      <c r="U1230" s="278" t="n"/>
      <c r="V1230" s="278" t="n"/>
      <c r="W1230" s="278" t="n"/>
      <c r="X1230" s="278" t="n"/>
      <c r="Y1230" s="278" t="n"/>
      <c r="Z1230" s="278" t="n"/>
      <c r="AA1230" s="278" t="n"/>
      <c r="AB1230" s="278" t="n"/>
      <c r="AC1230" s="278" t="n"/>
      <c r="AD1230" s="278" t="n"/>
    </row>
    <row r="1231" ht="15.5" customHeight="1">
      <c r="B1231" s="288" t="n">
        <v>45450</v>
      </c>
      <c r="C1231" s="289" t="n">
        <v>126</v>
      </c>
      <c r="D1231" s="290" t="inlineStr">
        <is>
          <t>BOSIET 5 - 7 June 2024</t>
        </is>
      </c>
      <c r="E1231" s="287" t="inlineStr">
        <is>
          <t>-</t>
        </is>
      </c>
      <c r="F1231" s="283" t="n">
        <v>9693878</v>
      </c>
      <c r="G1231" s="291" t="inlineStr">
        <is>
          <t>IDR</t>
        </is>
      </c>
      <c r="H1231" s="292" t="n">
        <v>1</v>
      </c>
      <c r="I1231" s="280" t="n"/>
      <c r="J1231" s="285" t="n"/>
      <c r="K1231" s="279" t="n"/>
      <c r="L1231" s="283" t="n">
        <v>9693878</v>
      </c>
      <c r="M1231" s="286" t="n"/>
      <c r="N1231" s="286" t="n"/>
      <c r="O1231" s="283" t="n"/>
      <c r="P1231" s="285" t="n"/>
      <c r="Q1231" s="287" t="n"/>
      <c r="R1231" s="278" t="n"/>
      <c r="S1231" s="278" t="n"/>
      <c r="T1231" s="278" t="n"/>
      <c r="U1231" s="278" t="n"/>
      <c r="V1231" s="278" t="n"/>
      <c r="W1231" s="278" t="n"/>
      <c r="X1231" s="278" t="n"/>
      <c r="Y1231" s="278" t="n"/>
      <c r="Z1231" s="278" t="n"/>
      <c r="AA1231" s="278" t="n"/>
      <c r="AB1231" s="278" t="n"/>
      <c r="AC1231" s="278" t="n"/>
      <c r="AD1231" s="278" t="n"/>
    </row>
    <row r="1232">
      <c r="B1232" s="299" t="n"/>
      <c r="C1232" s="299" t="n"/>
      <c r="D1232" s="300" t="inlineStr">
        <is>
          <t>Transportation</t>
        </is>
      </c>
      <c r="E1232" s="299" t="n"/>
      <c r="F1232" s="299" t="n"/>
      <c r="G1232" s="299" t="n"/>
      <c r="H1232" s="299" t="n"/>
      <c r="I1232" s="299" t="n"/>
      <c r="J1232" s="299" t="n"/>
      <c r="K1232" s="299" t="n"/>
      <c r="L1232" s="299" t="n"/>
      <c r="M1232" s="299" t="n"/>
      <c r="N1232" s="299" t="n"/>
      <c r="O1232" s="299" t="n"/>
      <c r="P1232" s="299" t="n"/>
      <c r="Q1232" s="299" t="n"/>
      <c r="R1232" s="278" t="n"/>
      <c r="S1232" s="278" t="n"/>
      <c r="T1232" s="278" t="n"/>
      <c r="U1232" s="278" t="n"/>
      <c r="V1232" s="278" t="n"/>
      <c r="W1232" s="278" t="n"/>
      <c r="X1232" s="278" t="n"/>
      <c r="Y1232" s="278" t="n"/>
      <c r="Z1232" s="278" t="n"/>
      <c r="AA1232" s="278" t="n"/>
      <c r="AB1232" s="278" t="n"/>
      <c r="AC1232" s="278" t="n"/>
      <c r="AD1232" s="278" t="n"/>
    </row>
    <row r="1233" ht="15.5" customHeight="1">
      <c r="B1233" s="288" t="n">
        <v>45450</v>
      </c>
      <c r="C1233" s="289" t="n">
        <v>127</v>
      </c>
      <c r="D1233" s="290" t="inlineStr">
        <is>
          <t>Transport DAY - 3 BOSIET</t>
        </is>
      </c>
      <c r="E1233" s="287" t="inlineStr">
        <is>
          <t>-</t>
        </is>
      </c>
      <c r="F1233" s="283" t="n">
        <v>59000</v>
      </c>
      <c r="G1233" s="291" t="inlineStr">
        <is>
          <t>IDR</t>
        </is>
      </c>
      <c r="H1233" s="292" t="n">
        <v>1</v>
      </c>
      <c r="I1233" s="280" t="n"/>
      <c r="J1233" s="285" t="n"/>
      <c r="K1233" s="279" t="n"/>
      <c r="L1233" s="283" t="n">
        <v>59000</v>
      </c>
      <c r="M1233" s="286" t="n"/>
      <c r="N1233" s="286" t="n"/>
      <c r="O1233" s="283" t="n"/>
      <c r="P1233" s="285" t="n"/>
      <c r="Q1233" s="287" t="n"/>
      <c r="R1233" s="278" t="n"/>
      <c r="S1233" s="278" t="n"/>
      <c r="T1233" s="278" t="n"/>
      <c r="U1233" s="278" t="n"/>
      <c r="V1233" s="278" t="n"/>
      <c r="W1233" s="278" t="n"/>
      <c r="X1233" s="278" t="n"/>
      <c r="Y1233" s="278" t="n"/>
      <c r="Z1233" s="278" t="n"/>
      <c r="AA1233" s="278" t="n"/>
      <c r="AB1233" s="278" t="n"/>
      <c r="AC1233" s="278" t="n"/>
      <c r="AD1233" s="278" t="n"/>
    </row>
    <row r="1234">
      <c r="B1234" s="296" t="inlineStr">
        <is>
          <t>Expense#19</t>
        </is>
      </c>
      <c r="C1234" s="297" t="inlineStr">
        <is>
          <t>:</t>
        </is>
      </c>
      <c r="D1234" s="296" t="inlineStr">
        <is>
          <t>ALFA JRK-163 (Pending job) - TMA</t>
        </is>
      </c>
      <c r="E1234" s="298" t="n"/>
      <c r="F1234" s="298" t="n"/>
      <c r="G1234" s="298" t="n"/>
      <c r="H1234" s="298" t="n"/>
      <c r="I1234" s="298" t="n"/>
      <c r="J1234" s="298" t="n"/>
      <c r="K1234" s="298" t="n"/>
      <c r="L1234" s="298" t="n"/>
      <c r="M1234" s="298" t="n"/>
      <c r="N1234" s="298" t="n"/>
      <c r="O1234" s="298" t="n"/>
      <c r="P1234" s="298" t="n"/>
      <c r="Q1234" s="298" t="n"/>
      <c r="R1234" s="278" t="n"/>
      <c r="S1234" s="278" t="n"/>
      <c r="T1234" s="278" t="n"/>
      <c r="U1234" s="278" t="n"/>
      <c r="V1234" s="278" t="n"/>
      <c r="W1234" s="278" t="n"/>
      <c r="X1234" s="278" t="n"/>
      <c r="Y1234" s="278" t="n"/>
      <c r="Z1234" s="278" t="n"/>
      <c r="AA1234" s="278" t="n"/>
      <c r="AB1234" s="278" t="n"/>
      <c r="AC1234" s="278" t="n"/>
      <c r="AD1234" s="278" t="n"/>
    </row>
    <row r="1235">
      <c r="B1235" s="299" t="n"/>
      <c r="C1235" s="299" t="n"/>
      <c r="D1235" s="300" t="inlineStr">
        <is>
          <t>Accommodation</t>
        </is>
      </c>
      <c r="E1235" s="299" t="n"/>
      <c r="F1235" s="299" t="n"/>
      <c r="G1235" s="299" t="n"/>
      <c r="H1235" s="299" t="n"/>
      <c r="I1235" s="299" t="n"/>
      <c r="J1235" s="299" t="n"/>
      <c r="K1235" s="299" t="n"/>
      <c r="L1235" s="299" t="n"/>
      <c r="M1235" s="299" t="n"/>
      <c r="N1235" s="299" t="n"/>
      <c r="O1235" s="299" t="n"/>
      <c r="P1235" s="299" t="n"/>
      <c r="Q1235" s="299" t="n"/>
      <c r="R1235" s="278" t="n"/>
      <c r="S1235" s="278" t="n"/>
      <c r="T1235" s="278" t="n"/>
      <c r="U1235" s="278" t="n"/>
      <c r="V1235" s="278" t="n"/>
      <c r="W1235" s="278" t="n"/>
      <c r="X1235" s="278" t="n"/>
      <c r="Y1235" s="278" t="n"/>
      <c r="Z1235" s="278" t="n"/>
      <c r="AA1235" s="278" t="n"/>
      <c r="AB1235" s="278" t="n"/>
      <c r="AC1235" s="278" t="n"/>
      <c r="AD1235" s="278" t="n"/>
    </row>
    <row r="1236" ht="15.5" customHeight="1">
      <c r="B1236" s="288" t="n">
        <v>45428</v>
      </c>
      <c r="C1236" s="289" t="n">
        <v>128</v>
      </c>
      <c r="D1236" s="290" t="inlineStr">
        <is>
          <t>Hotel 16 June - 19 June (3 days)</t>
        </is>
      </c>
      <c r="E1236" s="287" t="inlineStr">
        <is>
          <t>-</t>
        </is>
      </c>
      <c r="F1236" s="283" t="n">
        <v>720000</v>
      </c>
      <c r="G1236" s="291" t="inlineStr">
        <is>
          <t>IDR</t>
        </is>
      </c>
      <c r="H1236" s="292" t="n">
        <v>1</v>
      </c>
      <c r="I1236" s="280" t="n"/>
      <c r="J1236" s="285" t="n"/>
      <c r="K1236" s="279" t="n"/>
      <c r="L1236" s="283" t="n">
        <v>720000</v>
      </c>
      <c r="M1236" s="286" t="n"/>
      <c r="N1236" s="286" t="n"/>
      <c r="O1236" s="283" t="n"/>
      <c r="P1236" s="285" t="n"/>
      <c r="Q1236" s="287" t="n"/>
      <c r="R1236" s="278" t="n"/>
      <c r="S1236" s="278" t="n"/>
      <c r="T1236" s="278" t="n"/>
      <c r="U1236" s="278" t="n"/>
      <c r="V1236" s="278" t="n"/>
      <c r="W1236" s="278" t="n"/>
      <c r="X1236" s="278" t="n"/>
      <c r="Y1236" s="278" t="n"/>
      <c r="Z1236" s="278" t="n"/>
      <c r="AA1236" s="278" t="n"/>
      <c r="AB1236" s="278" t="n"/>
      <c r="AC1236" s="278" t="n"/>
      <c r="AD1236" s="278" t="n"/>
    </row>
    <row r="1237">
      <c r="B1237" s="299" t="n"/>
      <c r="C1237" s="299" t="n"/>
      <c r="D1237" s="300" t="inlineStr">
        <is>
          <t>Allowance</t>
        </is>
      </c>
      <c r="E1237" s="299" t="n"/>
      <c r="F1237" s="299" t="n"/>
      <c r="G1237" s="299" t="n"/>
      <c r="H1237" s="299" t="n"/>
      <c r="I1237" s="299" t="n"/>
      <c r="J1237" s="299" t="n"/>
      <c r="K1237" s="299" t="n"/>
      <c r="L1237" s="299" t="n"/>
      <c r="M1237" s="299" t="n"/>
      <c r="N1237" s="299" t="n"/>
      <c r="O1237" s="299" t="n"/>
      <c r="P1237" s="299" t="n"/>
      <c r="Q1237" s="299" t="n"/>
      <c r="R1237" s="278" t="n"/>
      <c r="S1237" s="278" t="n"/>
      <c r="T1237" s="278" t="n"/>
      <c r="U1237" s="278" t="n"/>
      <c r="V1237" s="278" t="n"/>
      <c r="W1237" s="278" t="n"/>
      <c r="X1237" s="278" t="n"/>
      <c r="Y1237" s="278" t="n"/>
      <c r="Z1237" s="278" t="n"/>
      <c r="AA1237" s="278" t="n"/>
      <c r="AB1237" s="278" t="n"/>
      <c r="AC1237" s="278" t="n"/>
      <c r="AD1237" s="278" t="n"/>
    </row>
    <row r="1238" ht="15.5" customHeight="1">
      <c r="B1238" s="288" t="n">
        <v>45428</v>
      </c>
      <c r="C1238" s="289" t="n">
        <v>129</v>
      </c>
      <c r="D1238" s="290" t="inlineStr">
        <is>
          <t>Tunjangan Lapangan for 4 days</t>
        </is>
      </c>
      <c r="E1238" s="287" t="inlineStr">
        <is>
          <t>-</t>
        </is>
      </c>
      <c r="F1238" s="283" t="n">
        <v>6551200</v>
      </c>
      <c r="G1238" s="291" t="inlineStr">
        <is>
          <t>USD</t>
        </is>
      </c>
      <c r="H1238" s="292" t="n">
        <v>16378</v>
      </c>
      <c r="I1238" s="280" t="n"/>
      <c r="J1238" s="285" t="n"/>
      <c r="K1238" s="279" t="n"/>
      <c r="L1238" s="283" t="n">
        <v>6551200</v>
      </c>
      <c r="M1238" s="286" t="n"/>
      <c r="N1238" s="286" t="n"/>
      <c r="O1238" s="283" t="n"/>
      <c r="P1238" s="285" t="n"/>
      <c r="Q1238" s="287" t="n"/>
      <c r="R1238" s="278" t="n"/>
      <c r="S1238" s="278" t="n"/>
      <c r="T1238" s="278" t="n"/>
      <c r="U1238" s="278" t="n"/>
      <c r="V1238" s="278" t="n"/>
      <c r="W1238" s="278" t="n"/>
      <c r="X1238" s="278" t="n"/>
      <c r="Y1238" s="278" t="n"/>
      <c r="Z1238" s="278" t="n"/>
      <c r="AA1238" s="278" t="n"/>
      <c r="AB1238" s="278" t="n"/>
      <c r="AC1238" s="278" t="n"/>
      <c r="AD1238" s="278" t="n"/>
    </row>
    <row r="1239">
      <c r="B1239" s="299" t="n"/>
      <c r="C1239" s="299" t="n"/>
      <c r="D1239" s="300" t="inlineStr">
        <is>
          <t>Biaya Operasi Lain-lain</t>
        </is>
      </c>
      <c r="E1239" s="299" t="n"/>
      <c r="F1239" s="299" t="n"/>
      <c r="G1239" s="299" t="n"/>
      <c r="H1239" s="299" t="n"/>
      <c r="I1239" s="299" t="n"/>
      <c r="J1239" s="299" t="n"/>
      <c r="K1239" s="299" t="n"/>
      <c r="L1239" s="299" t="n"/>
      <c r="M1239" s="299" t="n"/>
      <c r="N1239" s="299" t="n"/>
      <c r="O1239" s="299" t="n"/>
      <c r="P1239" s="299" t="n"/>
      <c r="Q1239" s="299" t="n"/>
      <c r="R1239" s="278" t="n"/>
      <c r="S1239" s="278" t="n"/>
      <c r="T1239" s="278" t="n"/>
      <c r="U1239" s="278" t="n"/>
      <c r="V1239" s="278" t="n"/>
      <c r="W1239" s="278" t="n"/>
      <c r="X1239" s="278" t="n"/>
      <c r="Y1239" s="278" t="n"/>
      <c r="Z1239" s="278" t="n"/>
      <c r="AA1239" s="278" t="n"/>
      <c r="AB1239" s="278" t="n"/>
      <c r="AC1239" s="278" t="n"/>
      <c r="AD1239" s="278" t="n"/>
    </row>
    <row r="1240" ht="15.5" customHeight="1">
      <c r="B1240" s="288" t="n">
        <v>45428</v>
      </c>
      <c r="C1240" s="289" t="n">
        <v>130</v>
      </c>
      <c r="D1240" s="290" t="inlineStr">
        <is>
          <t>Rent Car 4 Days</t>
        </is>
      </c>
      <c r="E1240" s="287" t="inlineStr">
        <is>
          <t>-</t>
        </is>
      </c>
      <c r="F1240" s="283" t="n">
        <v>2000000</v>
      </c>
      <c r="G1240" s="291" t="inlineStr">
        <is>
          <t>IDR</t>
        </is>
      </c>
      <c r="H1240" s="292" t="n">
        <v>1</v>
      </c>
      <c r="I1240" s="280" t="n"/>
      <c r="J1240" s="285" t="n"/>
      <c r="K1240" s="279" t="n"/>
      <c r="L1240" s="283" t="n">
        <v>2000000</v>
      </c>
      <c r="M1240" s="286" t="n"/>
      <c r="N1240" s="286" t="n"/>
      <c r="O1240" s="283" t="n"/>
      <c r="P1240" s="285" t="n"/>
      <c r="Q1240" s="287" t="n"/>
      <c r="R1240" s="278" t="n"/>
      <c r="S1240" s="278" t="n"/>
      <c r="T1240" s="278" t="n"/>
      <c r="U1240" s="278" t="n"/>
      <c r="V1240" s="278" t="n"/>
      <c r="W1240" s="278" t="n"/>
      <c r="X1240" s="278" t="n"/>
      <c r="Y1240" s="278" t="n"/>
      <c r="Z1240" s="278" t="n"/>
      <c r="AA1240" s="278" t="n"/>
      <c r="AB1240" s="278" t="n"/>
      <c r="AC1240" s="278" t="n"/>
      <c r="AD1240" s="278" t="n"/>
    </row>
    <row r="1241">
      <c r="B1241" s="299" t="n"/>
      <c r="C1241" s="299" t="n"/>
      <c r="D1241" s="300" t="inlineStr">
        <is>
          <t>Elektronik &amp; Gadget</t>
        </is>
      </c>
      <c r="E1241" s="299" t="n"/>
      <c r="F1241" s="299" t="n"/>
      <c r="G1241" s="299" t="n"/>
      <c r="H1241" s="299" t="n"/>
      <c r="I1241" s="299" t="n"/>
      <c r="J1241" s="299" t="n"/>
      <c r="K1241" s="299" t="n"/>
      <c r="L1241" s="299" t="n"/>
      <c r="M1241" s="299" t="n"/>
      <c r="N1241" s="299" t="n"/>
      <c r="O1241" s="299" t="n"/>
      <c r="P1241" s="299" t="n"/>
      <c r="Q1241" s="299" t="n"/>
      <c r="R1241" s="278" t="n"/>
      <c r="S1241" s="278" t="n"/>
      <c r="T1241" s="278" t="n"/>
      <c r="U1241" s="278" t="n"/>
      <c r="V1241" s="278" t="n"/>
      <c r="W1241" s="278" t="n"/>
      <c r="X1241" s="278" t="n"/>
      <c r="Y1241" s="278" t="n"/>
      <c r="Z1241" s="278" t="n"/>
      <c r="AA1241" s="278" t="n"/>
      <c r="AB1241" s="278" t="n"/>
      <c r="AC1241" s="278" t="n"/>
      <c r="AD1241" s="278" t="n"/>
    </row>
    <row r="1242" ht="15.5" customHeight="1">
      <c r="B1242" s="288" t="n">
        <v>45428</v>
      </c>
      <c r="C1242" s="289" t="n">
        <v>131</v>
      </c>
      <c r="D1242" s="290" t="inlineStr">
        <is>
          <t>Uneed Power Station</t>
        </is>
      </c>
      <c r="E1242" s="287" t="inlineStr">
        <is>
          <t>-</t>
        </is>
      </c>
      <c r="F1242" s="283" t="n">
        <v>2371000</v>
      </c>
      <c r="G1242" s="291" t="inlineStr">
        <is>
          <t>IDR</t>
        </is>
      </c>
      <c r="H1242" s="292" t="n">
        <v>1</v>
      </c>
      <c r="I1242" s="280" t="n"/>
      <c r="J1242" s="285" t="n"/>
      <c r="K1242" s="279" t="n"/>
      <c r="L1242" s="283" t="n"/>
      <c r="M1242" s="286" t="n"/>
      <c r="N1242" s="286" t="n">
        <v>2371000</v>
      </c>
      <c r="O1242" s="283" t="n"/>
      <c r="P1242" s="285" t="n"/>
      <c r="Q1242" s="287" t="n"/>
      <c r="R1242" s="278" t="n"/>
      <c r="S1242" s="278" t="n"/>
      <c r="T1242" s="278" t="n"/>
      <c r="U1242" s="278" t="n"/>
      <c r="V1242" s="278" t="n"/>
      <c r="W1242" s="278" t="n"/>
      <c r="X1242" s="278" t="n"/>
      <c r="Y1242" s="278" t="n"/>
      <c r="Z1242" s="278" t="n"/>
      <c r="AA1242" s="278" t="n"/>
      <c r="AB1242" s="278" t="n"/>
      <c r="AC1242" s="278" t="n"/>
      <c r="AD1242" s="278" t="n"/>
    </row>
    <row r="1243">
      <c r="B1243" s="299" t="n"/>
      <c r="C1243" s="299" t="n"/>
      <c r="D1243" s="300" t="inlineStr">
        <is>
          <t>Laundry</t>
        </is>
      </c>
      <c r="E1243" s="299" t="n"/>
      <c r="F1243" s="299" t="n"/>
      <c r="G1243" s="299" t="n"/>
      <c r="H1243" s="299" t="n"/>
      <c r="I1243" s="299" t="n"/>
      <c r="J1243" s="299" t="n"/>
      <c r="K1243" s="299" t="n"/>
      <c r="L1243" s="299" t="n"/>
      <c r="M1243" s="299" t="n"/>
      <c r="N1243" s="299" t="n"/>
      <c r="O1243" s="299" t="n"/>
      <c r="P1243" s="299" t="n"/>
      <c r="Q1243" s="299" t="n"/>
      <c r="R1243" s="278" t="n"/>
      <c r="S1243" s="278" t="n"/>
      <c r="T1243" s="278" t="n"/>
      <c r="U1243" s="278" t="n"/>
      <c r="V1243" s="278" t="n"/>
      <c r="W1243" s="278" t="n"/>
      <c r="X1243" s="278" t="n"/>
      <c r="Y1243" s="278" t="n"/>
      <c r="Z1243" s="278" t="n"/>
      <c r="AA1243" s="278" t="n"/>
      <c r="AB1243" s="278" t="n"/>
      <c r="AC1243" s="278" t="n"/>
      <c r="AD1243" s="278" t="n"/>
    </row>
    <row r="1244" ht="15.5" customHeight="1">
      <c r="B1244" s="288" t="n">
        <v>45428</v>
      </c>
      <c r="C1244" s="289" t="n">
        <v>132</v>
      </c>
      <c r="D1244" s="290" t="inlineStr">
        <is>
          <t>Laundry 4 days 1 Persons @ 50K IDR/day</t>
        </is>
      </c>
      <c r="E1244" s="287" t="inlineStr">
        <is>
          <t>-</t>
        </is>
      </c>
      <c r="F1244" s="283" t="n">
        <v>200000</v>
      </c>
      <c r="G1244" s="291" t="inlineStr">
        <is>
          <t>IDR</t>
        </is>
      </c>
      <c r="H1244" s="292" t="n">
        <v>1</v>
      </c>
      <c r="I1244" s="280" t="n"/>
      <c r="J1244" s="285" t="n"/>
      <c r="K1244" s="279" t="n"/>
      <c r="L1244" s="283" t="n">
        <v>200000</v>
      </c>
      <c r="M1244" s="286" t="n"/>
      <c r="N1244" s="286" t="n"/>
      <c r="O1244" s="283" t="n"/>
      <c r="P1244" s="285" t="n"/>
      <c r="Q1244" s="287" t="n"/>
      <c r="R1244" s="278" t="n"/>
      <c r="S1244" s="278" t="n"/>
      <c r="T1244" s="278" t="n"/>
      <c r="U1244" s="278" t="n"/>
      <c r="V1244" s="278" t="n"/>
      <c r="W1244" s="278" t="n"/>
      <c r="X1244" s="278" t="n"/>
      <c r="Y1244" s="278" t="n"/>
      <c r="Z1244" s="278" t="n"/>
      <c r="AA1244" s="278" t="n"/>
      <c r="AB1244" s="278" t="n"/>
      <c r="AC1244" s="278" t="n"/>
      <c r="AD1244" s="278" t="n"/>
    </row>
    <row r="1245">
      <c r="B1245" s="299" t="n"/>
      <c r="C1245" s="299" t="n"/>
      <c r="D1245" s="300" t="inlineStr">
        <is>
          <t>Meal</t>
        </is>
      </c>
      <c r="E1245" s="299" t="n"/>
      <c r="F1245" s="299" t="n"/>
      <c r="G1245" s="299" t="n"/>
      <c r="H1245" s="299" t="n"/>
      <c r="I1245" s="299" t="n"/>
      <c r="J1245" s="299" t="n"/>
      <c r="K1245" s="299" t="n"/>
      <c r="L1245" s="299" t="n"/>
      <c r="M1245" s="299" t="n"/>
      <c r="N1245" s="299" t="n"/>
      <c r="O1245" s="299" t="n"/>
      <c r="P1245" s="299" t="n"/>
      <c r="Q1245" s="299" t="n"/>
      <c r="R1245" s="278" t="n"/>
      <c r="S1245" s="278" t="n"/>
      <c r="T1245" s="278" t="n"/>
      <c r="U1245" s="278" t="n"/>
      <c r="V1245" s="278" t="n"/>
      <c r="W1245" s="278" t="n"/>
      <c r="X1245" s="278" t="n"/>
      <c r="Y1245" s="278" t="n"/>
      <c r="Z1245" s="278" t="n"/>
      <c r="AA1245" s="278" t="n"/>
      <c r="AB1245" s="278" t="n"/>
      <c r="AC1245" s="278" t="n"/>
      <c r="AD1245" s="278" t="n"/>
    </row>
    <row r="1246" ht="15.5" customHeight="1">
      <c r="B1246" s="288" t="n">
        <v>45428</v>
      </c>
      <c r="C1246" s="289" t="n">
        <v>133</v>
      </c>
      <c r="D1246" s="290" t="inlineStr">
        <is>
          <t>Meals 4 days 1 Persons @ 150K IDR/day</t>
        </is>
      </c>
      <c r="E1246" s="287" t="inlineStr">
        <is>
          <t>-</t>
        </is>
      </c>
      <c r="F1246" s="283" t="n">
        <v>600000</v>
      </c>
      <c r="G1246" s="291" t="inlineStr">
        <is>
          <t>IDR</t>
        </is>
      </c>
      <c r="H1246" s="292" t="n">
        <v>1</v>
      </c>
      <c r="I1246" s="280" t="n"/>
      <c r="J1246" s="285" t="n"/>
      <c r="K1246" s="279" t="n"/>
      <c r="L1246" s="283" t="n">
        <v>600000</v>
      </c>
      <c r="M1246" s="286" t="n"/>
      <c r="N1246" s="286" t="n"/>
      <c r="O1246" s="283" t="n"/>
      <c r="P1246" s="285" t="n"/>
      <c r="Q1246" s="287" t="n"/>
      <c r="R1246" s="278" t="n"/>
      <c r="S1246" s="278" t="n"/>
      <c r="T1246" s="278" t="n"/>
      <c r="U1246" s="278" t="n"/>
      <c r="V1246" s="278" t="n"/>
      <c r="W1246" s="278" t="n"/>
      <c r="X1246" s="278" t="n"/>
      <c r="Y1246" s="278" t="n"/>
      <c r="Z1246" s="278" t="n"/>
      <c r="AA1246" s="278" t="n"/>
      <c r="AB1246" s="278" t="n"/>
      <c r="AC1246" s="278" t="n"/>
      <c r="AD1246" s="278" t="n"/>
    </row>
    <row r="1247">
      <c r="B1247" s="299" t="n"/>
      <c r="C1247" s="299" t="n"/>
      <c r="D1247" s="300" t="inlineStr">
        <is>
          <t>Transportation</t>
        </is>
      </c>
      <c r="E1247" s="299" t="n"/>
      <c r="F1247" s="299" t="n"/>
      <c r="G1247" s="299" t="n"/>
      <c r="H1247" s="299" t="n"/>
      <c r="I1247" s="299" t="n"/>
      <c r="J1247" s="299" t="n"/>
      <c r="K1247" s="299" t="n"/>
      <c r="L1247" s="299" t="n"/>
      <c r="M1247" s="299" t="n"/>
      <c r="N1247" s="299" t="n"/>
      <c r="O1247" s="299" t="n"/>
      <c r="P1247" s="299" t="n"/>
      <c r="Q1247" s="299" t="n"/>
      <c r="R1247" s="278" t="n"/>
      <c r="S1247" s="278" t="n"/>
      <c r="T1247" s="278" t="n"/>
      <c r="U1247" s="278" t="n"/>
      <c r="V1247" s="278" t="n"/>
      <c r="W1247" s="278" t="n"/>
      <c r="X1247" s="278" t="n"/>
      <c r="Y1247" s="278" t="n"/>
      <c r="Z1247" s="278" t="n"/>
      <c r="AA1247" s="278" t="n"/>
      <c r="AB1247" s="278" t="n"/>
      <c r="AC1247" s="278" t="n"/>
      <c r="AD1247" s="278" t="n"/>
    </row>
    <row r="1248" ht="15.5" customHeight="1">
      <c r="B1248" s="288" t="n">
        <v>45428</v>
      </c>
      <c r="C1248" s="289" t="n">
        <v>134</v>
      </c>
      <c r="D1248" s="290" t="inlineStr">
        <is>
          <t>Airplane Ticket PLM-HLP</t>
        </is>
      </c>
      <c r="E1248" s="287" t="inlineStr">
        <is>
          <t>-</t>
        </is>
      </c>
      <c r="F1248" s="283" t="n">
        <v>1004000</v>
      </c>
      <c r="G1248" s="291" t="inlineStr">
        <is>
          <t>IDR</t>
        </is>
      </c>
      <c r="H1248" s="292" t="n">
        <v>1</v>
      </c>
      <c r="I1248" s="280" t="n"/>
      <c r="J1248" s="285" t="n"/>
      <c r="K1248" s="279" t="n"/>
      <c r="L1248" s="283" t="n">
        <v>1004000</v>
      </c>
      <c r="M1248" s="286" t="n"/>
      <c r="N1248" s="286" t="n"/>
      <c r="O1248" s="283" t="n"/>
      <c r="P1248" s="285" t="n"/>
      <c r="Q1248" s="287" t="n"/>
      <c r="R1248" s="278" t="n"/>
      <c r="S1248" s="278" t="n"/>
      <c r="T1248" s="278" t="n"/>
      <c r="U1248" s="278" t="n"/>
      <c r="V1248" s="278" t="n"/>
      <c r="W1248" s="278" t="n"/>
      <c r="X1248" s="278" t="n"/>
      <c r="Y1248" s="278" t="n"/>
      <c r="Z1248" s="278" t="n"/>
      <c r="AA1248" s="278" t="n"/>
      <c r="AB1248" s="278" t="n"/>
      <c r="AC1248" s="278" t="n"/>
      <c r="AD1248" s="278" t="n"/>
    </row>
    <row r="1249">
      <c r="B1249" s="296" t="inlineStr">
        <is>
          <t>Expense#20</t>
        </is>
      </c>
      <c r="C1249" s="297" t="inlineStr">
        <is>
          <t>:</t>
        </is>
      </c>
      <c r="D1249" s="296" t="inlineStr">
        <is>
          <t>Preparation TIS Petroleum - TMA</t>
        </is>
      </c>
      <c r="E1249" s="298" t="n"/>
      <c r="F1249" s="298" t="n"/>
      <c r="G1249" s="298" t="n"/>
      <c r="H1249" s="298" t="n"/>
      <c r="I1249" s="298" t="n"/>
      <c r="J1249" s="298" t="n"/>
      <c r="K1249" s="298" t="n"/>
      <c r="L1249" s="298" t="n"/>
      <c r="M1249" s="298" t="n"/>
      <c r="N1249" s="298" t="n"/>
      <c r="O1249" s="298" t="n"/>
      <c r="P1249" s="298" t="n"/>
      <c r="Q1249" s="298" t="n"/>
      <c r="R1249" s="278" t="n"/>
      <c r="S1249" s="278" t="n"/>
      <c r="T1249" s="278" t="n"/>
      <c r="U1249" s="278" t="n"/>
      <c r="V1249" s="278" t="n"/>
      <c r="W1249" s="278" t="n"/>
      <c r="X1249" s="278" t="n"/>
      <c r="Y1249" s="278" t="n"/>
      <c r="Z1249" s="278" t="n"/>
      <c r="AA1249" s="278" t="n"/>
      <c r="AB1249" s="278" t="n"/>
      <c r="AC1249" s="278" t="n"/>
      <c r="AD1249" s="278" t="n"/>
    </row>
    <row r="1250">
      <c r="B1250" s="299" t="n"/>
      <c r="C1250" s="299" t="n"/>
      <c r="D1250" s="300" t="inlineStr">
        <is>
          <t>Sparepart</t>
        </is>
      </c>
      <c r="E1250" s="299" t="n"/>
      <c r="F1250" s="299" t="n"/>
      <c r="G1250" s="299" t="n"/>
      <c r="H1250" s="299" t="n"/>
      <c r="I1250" s="299" t="n"/>
      <c r="J1250" s="299" t="n"/>
      <c r="K1250" s="299" t="n"/>
      <c r="L1250" s="299" t="n"/>
      <c r="M1250" s="299" t="n"/>
      <c r="N1250" s="299" t="n"/>
      <c r="O1250" s="299" t="n"/>
      <c r="P1250" s="299" t="n"/>
      <c r="Q1250" s="299" t="n"/>
      <c r="R1250" s="278" t="n"/>
      <c r="S1250" s="278" t="n"/>
      <c r="T1250" s="278" t="n"/>
      <c r="U1250" s="278" t="n"/>
      <c r="V1250" s="278" t="n"/>
      <c r="W1250" s="278" t="n"/>
      <c r="X1250" s="278" t="n"/>
      <c r="Y1250" s="278" t="n"/>
      <c r="Z1250" s="278" t="n"/>
      <c r="AA1250" s="278" t="n"/>
      <c r="AB1250" s="278" t="n"/>
      <c r="AC1250" s="278" t="n"/>
      <c r="AD1250" s="278" t="n"/>
    </row>
    <row r="1251" ht="15.5" customHeight="1">
      <c r="B1251" s="288" t="n">
        <v>45483</v>
      </c>
      <c r="C1251" s="289" t="n">
        <v>135</v>
      </c>
      <c r="D1251" s="290" t="inlineStr">
        <is>
          <t>Hardcase Custom</t>
        </is>
      </c>
      <c r="E1251" s="287" t="inlineStr">
        <is>
          <t>-</t>
        </is>
      </c>
      <c r="F1251" s="283" t="n">
        <v>3595000</v>
      </c>
      <c r="G1251" s="291" t="inlineStr">
        <is>
          <t>IDR</t>
        </is>
      </c>
      <c r="H1251" s="292" t="n">
        <v>1</v>
      </c>
      <c r="I1251" s="280" t="n"/>
      <c r="J1251" s="285" t="n"/>
      <c r="K1251" s="279" t="n"/>
      <c r="L1251" s="283" t="n"/>
      <c r="M1251" s="286" t="n"/>
      <c r="N1251" s="286" t="n">
        <v>3595000</v>
      </c>
      <c r="O1251" s="283" t="n"/>
      <c r="P1251" s="285" t="n"/>
      <c r="Q1251" s="287" t="n"/>
      <c r="R1251" s="278" t="n"/>
      <c r="S1251" s="278" t="n"/>
      <c r="T1251" s="278" t="n"/>
      <c r="U1251" s="278" t="n"/>
      <c r="V1251" s="278" t="n"/>
      <c r="W1251" s="278" t="n"/>
      <c r="X1251" s="278" t="n"/>
      <c r="Y1251" s="278" t="n"/>
      <c r="Z1251" s="278" t="n"/>
      <c r="AA1251" s="278" t="n"/>
      <c r="AB1251" s="278" t="n"/>
      <c r="AC1251" s="278" t="n"/>
      <c r="AD1251" s="278" t="n"/>
    </row>
    <row r="1252">
      <c r="B1252" s="299" t="n"/>
      <c r="C1252" s="299" t="n"/>
      <c r="D1252" s="300" t="inlineStr">
        <is>
          <t>Transportation</t>
        </is>
      </c>
      <c r="E1252" s="299" t="n"/>
      <c r="F1252" s="299" t="n"/>
      <c r="G1252" s="299" t="n"/>
      <c r="H1252" s="299" t="n"/>
      <c r="I1252" s="299" t="n"/>
      <c r="J1252" s="299" t="n"/>
      <c r="K1252" s="299" t="n"/>
      <c r="L1252" s="299" t="n"/>
      <c r="M1252" s="299" t="n"/>
      <c r="N1252" s="299" t="n"/>
      <c r="O1252" s="299" t="n"/>
      <c r="P1252" s="299" t="n"/>
      <c r="Q1252" s="299" t="n"/>
      <c r="R1252" s="278" t="n"/>
      <c r="S1252" s="278" t="n"/>
      <c r="T1252" s="278" t="n"/>
      <c r="U1252" s="278" t="n"/>
      <c r="V1252" s="278" t="n"/>
      <c r="W1252" s="278" t="n"/>
      <c r="X1252" s="278" t="n"/>
      <c r="Y1252" s="278" t="n"/>
      <c r="Z1252" s="278" t="n"/>
      <c r="AA1252" s="278" t="n"/>
      <c r="AB1252" s="278" t="n"/>
      <c r="AC1252" s="278" t="n"/>
      <c r="AD1252" s="278" t="n"/>
    </row>
    <row r="1253" ht="15.5" customHeight="1">
      <c r="B1253" s="288" t="n">
        <v>45478</v>
      </c>
      <c r="C1253" s="289" t="n">
        <v>136</v>
      </c>
      <c r="D1253" s="290" t="inlineStr">
        <is>
          <t>Lalamove Gowell-Bogor-Gowell</t>
        </is>
      </c>
      <c r="E1253" s="287" t="inlineStr">
        <is>
          <t>-</t>
        </is>
      </c>
      <c r="F1253" s="283" t="n">
        <v>594804</v>
      </c>
      <c r="G1253" s="291" t="inlineStr">
        <is>
          <t>IDR</t>
        </is>
      </c>
      <c r="H1253" s="292" t="n">
        <v>1</v>
      </c>
      <c r="I1253" s="280" t="n"/>
      <c r="J1253" s="285" t="n"/>
      <c r="K1253" s="279" t="n"/>
      <c r="L1253" s="283" t="n">
        <v>594804</v>
      </c>
      <c r="M1253" s="286" t="n"/>
      <c r="N1253" s="286" t="n"/>
      <c r="O1253" s="283" t="n"/>
      <c r="P1253" s="285" t="n"/>
      <c r="Q1253" s="287" t="n"/>
      <c r="R1253" s="278" t="n"/>
      <c r="S1253" s="278" t="n"/>
      <c r="T1253" s="278" t="n"/>
      <c r="U1253" s="278" t="n"/>
      <c r="V1253" s="278" t="n"/>
      <c r="W1253" s="278" t="n"/>
      <c r="X1253" s="278" t="n"/>
      <c r="Y1253" s="278" t="n"/>
      <c r="Z1253" s="278" t="n"/>
      <c r="AA1253" s="278" t="n"/>
      <c r="AB1253" s="278" t="n"/>
      <c r="AC1253" s="278" t="n"/>
      <c r="AD1253" s="278" t="n"/>
    </row>
    <row r="1254">
      <c r="B1254" s="296" t="inlineStr">
        <is>
          <t>Expense#21</t>
        </is>
      </c>
      <c r="C1254" s="297" t="inlineStr">
        <is>
          <t>:</t>
        </is>
      </c>
      <c r="D1254" s="296" t="inlineStr">
        <is>
          <t>Delivery Tools Sonoecho (KL) - TMA</t>
        </is>
      </c>
      <c r="E1254" s="298" t="n"/>
      <c r="F1254" s="298" t="n"/>
      <c r="G1254" s="298" t="n"/>
      <c r="H1254" s="298" t="n"/>
      <c r="I1254" s="298" t="n"/>
      <c r="J1254" s="298" t="n"/>
      <c r="K1254" s="298" t="n"/>
      <c r="L1254" s="298" t="n"/>
      <c r="M1254" s="298" t="n"/>
      <c r="N1254" s="298" t="n"/>
      <c r="O1254" s="298" t="n"/>
      <c r="P1254" s="298" t="n"/>
      <c r="Q1254" s="298" t="n"/>
      <c r="R1254" s="278" t="n"/>
      <c r="S1254" s="278" t="n"/>
      <c r="T1254" s="278" t="n"/>
      <c r="U1254" s="278" t="n"/>
      <c r="V1254" s="278" t="n"/>
      <c r="W1254" s="278" t="n"/>
      <c r="X1254" s="278" t="n"/>
      <c r="Y1254" s="278" t="n"/>
      <c r="Z1254" s="278" t="n"/>
      <c r="AA1254" s="278" t="n"/>
      <c r="AB1254" s="278" t="n"/>
      <c r="AC1254" s="278" t="n"/>
      <c r="AD1254" s="278" t="n"/>
    </row>
    <row r="1255">
      <c r="B1255" s="299" t="n"/>
      <c r="C1255" s="299" t="n"/>
      <c r="D1255" s="300" t="inlineStr">
        <is>
          <t>Accommodation</t>
        </is>
      </c>
      <c r="E1255" s="299" t="n"/>
      <c r="F1255" s="299" t="n"/>
      <c r="G1255" s="299" t="n"/>
      <c r="H1255" s="299" t="n"/>
      <c r="I1255" s="299" t="n"/>
      <c r="J1255" s="299" t="n"/>
      <c r="K1255" s="299" t="n"/>
      <c r="L1255" s="299" t="n"/>
      <c r="M1255" s="299" t="n"/>
      <c r="N1255" s="299" t="n"/>
      <c r="O1255" s="299" t="n"/>
      <c r="P1255" s="299" t="n"/>
      <c r="Q1255" s="299" t="n"/>
      <c r="R1255" s="278" t="n"/>
      <c r="S1255" s="278" t="n"/>
      <c r="T1255" s="278" t="n"/>
      <c r="U1255" s="278" t="n"/>
      <c r="V1255" s="278" t="n"/>
      <c r="W1255" s="278" t="n"/>
      <c r="X1255" s="278" t="n"/>
      <c r="Y1255" s="278" t="n"/>
      <c r="Z1255" s="278" t="n"/>
      <c r="AA1255" s="278" t="n"/>
      <c r="AB1255" s="278" t="n"/>
      <c r="AC1255" s="278" t="n"/>
      <c r="AD1255" s="278" t="n"/>
    </row>
    <row r="1256" ht="15.5" customHeight="1">
      <c r="B1256" s="288" t="n">
        <v>45481</v>
      </c>
      <c r="C1256" s="289" t="n">
        <v>137</v>
      </c>
      <c r="D1256" s="290" t="inlineStr">
        <is>
          <t>Hotel Tax Foreigner</t>
        </is>
      </c>
      <c r="E1256" s="287" t="inlineStr">
        <is>
          <t>-</t>
        </is>
      </c>
      <c r="F1256" s="283" t="n">
        <v>34620</v>
      </c>
      <c r="G1256" s="291" t="inlineStr">
        <is>
          <t>MYR</t>
        </is>
      </c>
      <c r="H1256" s="292" t="n">
        <v>3462</v>
      </c>
      <c r="I1256" s="280" t="n"/>
      <c r="J1256" s="285" t="n"/>
      <c r="K1256" s="279" t="n"/>
      <c r="L1256" s="283" t="n">
        <v>34620</v>
      </c>
      <c r="M1256" s="286" t="n"/>
      <c r="N1256" s="286" t="n"/>
      <c r="O1256" s="283" t="n"/>
      <c r="P1256" s="285" t="n"/>
      <c r="Q1256" s="287" t="n"/>
      <c r="R1256" s="278" t="n"/>
      <c r="S1256" s="278" t="n"/>
      <c r="T1256" s="278" t="n"/>
      <c r="U1256" s="278" t="n"/>
      <c r="V1256" s="278" t="n"/>
      <c r="W1256" s="278" t="n"/>
      <c r="X1256" s="278" t="n"/>
      <c r="Y1256" s="278" t="n"/>
      <c r="Z1256" s="278" t="n"/>
      <c r="AA1256" s="278" t="n"/>
      <c r="AB1256" s="278" t="n"/>
      <c r="AC1256" s="278" t="n"/>
      <c r="AD1256" s="278" t="n"/>
    </row>
    <row r="1257">
      <c r="B1257" s="299" t="n"/>
      <c r="C1257" s="299" t="n"/>
      <c r="D1257" s="300" t="inlineStr">
        <is>
          <t>Elektronik &amp; Gadget</t>
        </is>
      </c>
      <c r="E1257" s="299" t="n"/>
      <c r="F1257" s="299" t="n"/>
      <c r="G1257" s="299" t="n"/>
      <c r="H1257" s="299" t="n"/>
      <c r="I1257" s="299" t="n"/>
      <c r="J1257" s="299" t="n"/>
      <c r="K1257" s="299" t="n"/>
      <c r="L1257" s="299" t="n"/>
      <c r="M1257" s="299" t="n"/>
      <c r="N1257" s="299" t="n"/>
      <c r="O1257" s="299" t="n"/>
      <c r="P1257" s="299" t="n"/>
      <c r="Q1257" s="299" t="n"/>
      <c r="R1257" s="278" t="n"/>
      <c r="S1257" s="278" t="n"/>
      <c r="T1257" s="278" t="n"/>
      <c r="U1257" s="278" t="n"/>
      <c r="V1257" s="278" t="n"/>
      <c r="W1257" s="278" t="n"/>
      <c r="X1257" s="278" t="n"/>
      <c r="Y1257" s="278" t="n"/>
      <c r="Z1257" s="278" t="n"/>
      <c r="AA1257" s="278" t="n"/>
      <c r="AB1257" s="278" t="n"/>
      <c r="AC1257" s="278" t="n"/>
      <c r="AD1257" s="278" t="n"/>
    </row>
    <row r="1258" ht="15.5" customHeight="1">
      <c r="B1258" s="288" t="n">
        <v>45483</v>
      </c>
      <c r="C1258" s="289" t="n">
        <v>138</v>
      </c>
      <c r="D1258" s="290" t="inlineStr">
        <is>
          <t>OTG Type C</t>
        </is>
      </c>
      <c r="E1258" s="287" t="inlineStr">
        <is>
          <t>-</t>
        </is>
      </c>
      <c r="F1258" s="283" t="n">
        <v>163100</v>
      </c>
      <c r="G1258" s="291" t="inlineStr">
        <is>
          <t>IDR</t>
        </is>
      </c>
      <c r="H1258" s="292" t="n">
        <v>1</v>
      </c>
      <c r="I1258" s="280" t="n"/>
      <c r="J1258" s="285" t="n"/>
      <c r="K1258" s="279" t="n"/>
      <c r="L1258" s="283" t="n"/>
      <c r="M1258" s="286" t="n"/>
      <c r="N1258" s="286" t="n">
        <v>163100</v>
      </c>
      <c r="O1258" s="283" t="n"/>
      <c r="P1258" s="285" t="n"/>
      <c r="Q1258" s="287" t="n"/>
      <c r="R1258" s="278" t="n"/>
      <c r="S1258" s="278" t="n"/>
      <c r="T1258" s="278" t="n"/>
      <c r="U1258" s="278" t="n"/>
      <c r="V1258" s="278" t="n"/>
      <c r="W1258" s="278" t="n"/>
      <c r="X1258" s="278" t="n"/>
      <c r="Y1258" s="278" t="n"/>
      <c r="Z1258" s="278" t="n"/>
      <c r="AA1258" s="278" t="n"/>
      <c r="AB1258" s="278" t="n"/>
      <c r="AC1258" s="278" t="n"/>
      <c r="AD1258" s="278" t="n"/>
    </row>
    <row r="1259">
      <c r="B1259" s="299" t="n"/>
      <c r="C1259" s="299" t="n"/>
      <c r="D1259" s="300" t="inlineStr">
        <is>
          <t>Transportation</t>
        </is>
      </c>
      <c r="E1259" s="299" t="n"/>
      <c r="F1259" s="299" t="n"/>
      <c r="G1259" s="299" t="n"/>
      <c r="H1259" s="299" t="n"/>
      <c r="I1259" s="299" t="n"/>
      <c r="J1259" s="299" t="n"/>
      <c r="K1259" s="299" t="n"/>
      <c r="L1259" s="299" t="n"/>
      <c r="M1259" s="299" t="n"/>
      <c r="N1259" s="299" t="n"/>
      <c r="O1259" s="299" t="n"/>
      <c r="P1259" s="299" t="n"/>
      <c r="Q1259" s="299" t="n"/>
      <c r="R1259" s="278" t="n"/>
      <c r="S1259" s="278" t="n"/>
      <c r="T1259" s="278" t="n"/>
      <c r="U1259" s="278" t="n"/>
      <c r="V1259" s="278" t="n"/>
      <c r="W1259" s="278" t="n"/>
      <c r="X1259" s="278" t="n"/>
      <c r="Y1259" s="278" t="n"/>
      <c r="Z1259" s="278" t="n"/>
      <c r="AA1259" s="278" t="n"/>
      <c r="AB1259" s="278" t="n"/>
      <c r="AC1259" s="278" t="n"/>
      <c r="AD1259" s="278" t="n"/>
    </row>
    <row r="1260" ht="15.5" customHeight="1">
      <c r="B1260" s="288" t="n">
        <v>45482</v>
      </c>
      <c r="C1260" s="289" t="n">
        <v>139</v>
      </c>
      <c r="D1260" s="290" t="inlineStr">
        <is>
          <t>Taxi CGK - Home</t>
        </is>
      </c>
      <c r="E1260" s="287" t="inlineStr">
        <is>
          <t>-</t>
        </is>
      </c>
      <c r="F1260" s="283" t="n">
        <v>259120</v>
      </c>
      <c r="G1260" s="291" t="inlineStr">
        <is>
          <t>IDR</t>
        </is>
      </c>
      <c r="H1260" s="292" t="n">
        <v>1</v>
      </c>
      <c r="I1260" s="280" t="n"/>
      <c r="J1260" s="285" t="n"/>
      <c r="K1260" s="279" t="n"/>
      <c r="L1260" s="283" t="n">
        <v>259120</v>
      </c>
      <c r="M1260" s="286" t="n"/>
      <c r="N1260" s="286" t="n"/>
      <c r="O1260" s="283" t="n"/>
      <c r="P1260" s="285" t="n"/>
      <c r="Q1260" s="287" t="n"/>
      <c r="R1260" s="278" t="n"/>
      <c r="S1260" s="278" t="n"/>
      <c r="T1260" s="278" t="n"/>
      <c r="U1260" s="278" t="n"/>
      <c r="V1260" s="278" t="n"/>
      <c r="W1260" s="278" t="n"/>
      <c r="X1260" s="278" t="n"/>
      <c r="Y1260" s="278" t="n"/>
      <c r="Z1260" s="278" t="n"/>
      <c r="AA1260" s="278" t="n"/>
      <c r="AB1260" s="278" t="n"/>
      <c r="AC1260" s="278" t="n"/>
      <c r="AD1260" s="278" t="n"/>
    </row>
    <row r="1261">
      <c r="B1261" s="296" t="inlineStr">
        <is>
          <t>Expense#22</t>
        </is>
      </c>
      <c r="C1261" s="297" t="inlineStr">
        <is>
          <t>:</t>
        </is>
      </c>
      <c r="D1261" s="296" t="inlineStr">
        <is>
          <t>Non project ( MCU ulang )_ IBR</t>
        </is>
      </c>
      <c r="E1261" s="298" t="n"/>
      <c r="F1261" s="298" t="n"/>
      <c r="G1261" s="298" t="n"/>
      <c r="H1261" s="298" t="n"/>
      <c r="I1261" s="298" t="n"/>
      <c r="J1261" s="298" t="n"/>
      <c r="K1261" s="298" t="n"/>
      <c r="L1261" s="298" t="n"/>
      <c r="M1261" s="298" t="n"/>
      <c r="N1261" s="298" t="n"/>
      <c r="O1261" s="298" t="n"/>
      <c r="P1261" s="298" t="n"/>
      <c r="Q1261" s="298" t="n"/>
      <c r="R1261" s="278" t="n"/>
      <c r="S1261" s="278" t="n"/>
      <c r="T1261" s="278" t="n"/>
      <c r="U1261" s="278" t="n"/>
      <c r="V1261" s="278" t="n"/>
      <c r="W1261" s="278" t="n"/>
      <c r="X1261" s="278" t="n"/>
      <c r="Y1261" s="278" t="n"/>
      <c r="Z1261" s="278" t="n"/>
      <c r="AA1261" s="278" t="n"/>
      <c r="AB1261" s="278" t="n"/>
      <c r="AC1261" s="278" t="n"/>
      <c r="AD1261" s="278" t="n"/>
    </row>
    <row r="1262">
      <c r="B1262" s="299" t="n"/>
      <c r="C1262" s="299" t="n"/>
      <c r="D1262" s="300" t="inlineStr">
        <is>
          <t>Medical</t>
        </is>
      </c>
      <c r="E1262" s="299" t="n"/>
      <c r="F1262" s="299" t="n"/>
      <c r="G1262" s="299" t="n"/>
      <c r="H1262" s="299" t="n"/>
      <c r="I1262" s="299" t="n"/>
      <c r="J1262" s="299" t="n"/>
      <c r="K1262" s="299" t="n"/>
      <c r="L1262" s="299" t="n"/>
      <c r="M1262" s="299" t="n"/>
      <c r="N1262" s="299" t="n"/>
      <c r="O1262" s="299" t="n"/>
      <c r="P1262" s="299" t="n"/>
      <c r="Q1262" s="299" t="n"/>
      <c r="R1262" s="278" t="n"/>
      <c r="S1262" s="278" t="n"/>
      <c r="T1262" s="278" t="n"/>
      <c r="U1262" s="278" t="n"/>
      <c r="V1262" s="278" t="n"/>
      <c r="W1262" s="278" t="n"/>
      <c r="X1262" s="278" t="n"/>
      <c r="Y1262" s="278" t="n"/>
      <c r="Z1262" s="278" t="n"/>
      <c r="AA1262" s="278" t="n"/>
      <c r="AB1262" s="278" t="n"/>
      <c r="AC1262" s="278" t="n"/>
      <c r="AD1262" s="278" t="n"/>
    </row>
    <row r="1263" ht="15.5" customHeight="1">
      <c r="B1263" s="288" t="n">
        <v>45453</v>
      </c>
      <c r="C1263" s="289" t="n">
        <v>140</v>
      </c>
      <c r="D1263" s="290" t="inlineStr">
        <is>
          <t>Farmasi</t>
        </is>
      </c>
      <c r="E1263" s="287" t="inlineStr">
        <is>
          <t>-</t>
        </is>
      </c>
      <c r="F1263" s="283" t="n">
        <v>109000</v>
      </c>
      <c r="G1263" s="291" t="inlineStr">
        <is>
          <t>IDR</t>
        </is>
      </c>
      <c r="H1263" s="292" t="n">
        <v>1</v>
      </c>
      <c r="I1263" s="280" t="n"/>
      <c r="J1263" s="285" t="n"/>
      <c r="K1263" s="279" t="n"/>
      <c r="L1263" s="283" t="n"/>
      <c r="M1263" s="286" t="n"/>
      <c r="N1263" s="286" t="n"/>
      <c r="O1263" s="283" t="n"/>
      <c r="P1263" s="283" t="n">
        <v>109000</v>
      </c>
      <c r="Q1263" s="287" t="n"/>
      <c r="R1263" s="278" t="n"/>
      <c r="S1263" s="278" t="n"/>
      <c r="T1263" s="278" t="n"/>
      <c r="U1263" s="278" t="n"/>
      <c r="V1263" s="278" t="n"/>
      <c r="W1263" s="278" t="n"/>
      <c r="X1263" s="278" t="n"/>
      <c r="Y1263" s="278" t="n"/>
      <c r="Z1263" s="278" t="n"/>
      <c r="AA1263" s="278" t="n"/>
      <c r="AB1263" s="278" t="n"/>
      <c r="AC1263" s="278" t="n"/>
      <c r="AD1263" s="278" t="n"/>
    </row>
    <row r="1264">
      <c r="B1264" s="296" t="inlineStr">
        <is>
          <t>Expense#23</t>
        </is>
      </c>
      <c r="C1264" s="297" t="inlineStr">
        <is>
          <t>:</t>
        </is>
      </c>
      <c r="D1264" s="296" t="inlineStr">
        <is>
          <t>ALFA job - JRK-163 (Job)_undr Sijak_ DS</t>
        </is>
      </c>
      <c r="E1264" s="298" t="n"/>
      <c r="F1264" s="298" t="n"/>
      <c r="G1264" s="298" t="n"/>
      <c r="H1264" s="298" t="n"/>
      <c r="I1264" s="298" t="n"/>
      <c r="J1264" s="298" t="n"/>
      <c r="K1264" s="298" t="n"/>
      <c r="L1264" s="298" t="n"/>
      <c r="M1264" s="298" t="n"/>
      <c r="N1264" s="298" t="n"/>
      <c r="O1264" s="298" t="n"/>
      <c r="P1264" s="298" t="n"/>
      <c r="Q1264" s="298" t="n"/>
      <c r="R1264" s="278" t="n"/>
      <c r="S1264" s="278" t="n"/>
      <c r="T1264" s="278" t="n"/>
      <c r="U1264" s="278" t="n"/>
      <c r="V1264" s="278" t="n"/>
      <c r="W1264" s="278" t="n"/>
      <c r="X1264" s="278" t="n"/>
      <c r="Y1264" s="278" t="n"/>
      <c r="Z1264" s="278" t="n"/>
      <c r="AA1264" s="278" t="n"/>
      <c r="AB1264" s="278" t="n"/>
      <c r="AC1264" s="278" t="n"/>
      <c r="AD1264" s="278" t="n"/>
    </row>
    <row r="1265">
      <c r="B1265" s="299" t="n"/>
      <c r="C1265" s="299" t="n"/>
      <c r="D1265" s="300" t="inlineStr">
        <is>
          <t>Accommodation</t>
        </is>
      </c>
      <c r="E1265" s="299" t="n"/>
      <c r="F1265" s="299" t="n"/>
      <c r="G1265" s="299" t="n"/>
      <c r="H1265" s="299" t="n"/>
      <c r="I1265" s="299" t="n"/>
      <c r="J1265" s="299" t="n"/>
      <c r="K1265" s="299" t="n"/>
      <c r="L1265" s="299" t="n"/>
      <c r="M1265" s="299" t="n"/>
      <c r="N1265" s="299" t="n"/>
      <c r="O1265" s="299" t="n"/>
      <c r="P1265" s="299" t="n"/>
      <c r="Q1265" s="299" t="n"/>
      <c r="R1265" s="278" t="n"/>
      <c r="S1265" s="278" t="n"/>
      <c r="T1265" s="278" t="n"/>
      <c r="U1265" s="278" t="n"/>
      <c r="V1265" s="278" t="n"/>
      <c r="W1265" s="278" t="n"/>
      <c r="X1265" s="278" t="n"/>
      <c r="Y1265" s="278" t="n"/>
      <c r="Z1265" s="278" t="n"/>
      <c r="AA1265" s="278" t="n"/>
      <c r="AB1265" s="278" t="n"/>
      <c r="AC1265" s="278" t="n"/>
      <c r="AD1265" s="278" t="n"/>
    </row>
    <row r="1266" ht="15.5" customHeight="1">
      <c r="B1266" s="288" t="n">
        <v>45500</v>
      </c>
      <c r="C1266" s="289" t="n">
        <v>141</v>
      </c>
      <c r="D1266" s="290" t="inlineStr">
        <is>
          <t>Lodge 21-27 Jul 2024 (3 rooms)</t>
        </is>
      </c>
      <c r="E1266" s="287" t="inlineStr">
        <is>
          <t>-</t>
        </is>
      </c>
      <c r="F1266" s="283" t="n">
        <v>2160000</v>
      </c>
      <c r="G1266" s="291" t="inlineStr">
        <is>
          <t>IDR</t>
        </is>
      </c>
      <c r="H1266" s="292" t="n">
        <v>1</v>
      </c>
      <c r="I1266" s="280" t="n"/>
      <c r="J1266" s="285" t="n"/>
      <c r="K1266" s="279" t="n"/>
      <c r="L1266" s="283" t="n">
        <v>2160000</v>
      </c>
      <c r="M1266" s="286" t="n"/>
      <c r="N1266" s="286" t="n"/>
      <c r="O1266" s="283" t="n"/>
      <c r="P1266" s="285" t="n"/>
      <c r="Q1266" s="287" t="n"/>
      <c r="R1266" s="278" t="n"/>
      <c r="S1266" s="278" t="n"/>
      <c r="T1266" s="278" t="n"/>
      <c r="U1266" s="278" t="n"/>
      <c r="V1266" s="278" t="n"/>
      <c r="W1266" s="278" t="n"/>
      <c r="X1266" s="278" t="n"/>
      <c r="Y1266" s="278" t="n"/>
      <c r="Z1266" s="278" t="n"/>
      <c r="AA1266" s="278" t="n"/>
      <c r="AB1266" s="278" t="n"/>
      <c r="AC1266" s="278" t="n"/>
      <c r="AD1266" s="278" t="n"/>
    </row>
    <row r="1267">
      <c r="B1267" s="299" t="n"/>
      <c r="C1267" s="299" t="n"/>
      <c r="D1267" s="300" t="inlineStr">
        <is>
          <t>Allowance</t>
        </is>
      </c>
      <c r="E1267" s="299" t="n"/>
      <c r="F1267" s="299" t="n"/>
      <c r="G1267" s="299" t="n"/>
      <c r="H1267" s="299" t="n"/>
      <c r="I1267" s="299" t="n"/>
      <c r="J1267" s="299" t="n"/>
      <c r="K1267" s="299" t="n"/>
      <c r="L1267" s="299" t="n"/>
      <c r="M1267" s="299" t="n"/>
      <c r="N1267" s="299" t="n"/>
      <c r="O1267" s="299" t="n"/>
      <c r="P1267" s="299" t="n"/>
      <c r="Q1267" s="299" t="n"/>
      <c r="R1267" s="278" t="n"/>
      <c r="S1267" s="278" t="n"/>
      <c r="T1267" s="278" t="n"/>
      <c r="U1267" s="278" t="n"/>
      <c r="V1267" s="278" t="n"/>
      <c r="W1267" s="278" t="n"/>
      <c r="X1267" s="278" t="n"/>
      <c r="Y1267" s="278" t="n"/>
      <c r="Z1267" s="278" t="n"/>
      <c r="AA1267" s="278" t="n"/>
      <c r="AB1267" s="278" t="n"/>
      <c r="AC1267" s="278" t="n"/>
      <c r="AD1267" s="278" t="n"/>
    </row>
    <row r="1268" ht="15.5" customHeight="1">
      <c r="B1268" s="288" t="n">
        <v>45500</v>
      </c>
      <c r="C1268" s="289" t="n">
        <v>142</v>
      </c>
      <c r="D1268" s="290" t="inlineStr">
        <is>
          <t>Tunajngan Lapangan JRK-163 (21-27 Juli 2024). 1US$=16.200</t>
        </is>
      </c>
      <c r="E1268" s="287" t="inlineStr">
        <is>
          <t>-</t>
        </is>
      </c>
      <c r="F1268" s="283" t="n">
        <v>700</v>
      </c>
      <c r="G1268" s="291" t="inlineStr">
        <is>
          <t>IDR</t>
        </is>
      </c>
      <c r="H1268" s="292" t="n">
        <v>16200</v>
      </c>
      <c r="I1268" s="280" t="n"/>
      <c r="J1268" s="285" t="n"/>
      <c r="K1268" s="279" t="n"/>
      <c r="L1268" s="283" t="n">
        <v>700</v>
      </c>
      <c r="M1268" s="286" t="n"/>
      <c r="N1268" s="286" t="n"/>
      <c r="O1268" s="283" t="n"/>
      <c r="P1268" s="285" t="n"/>
      <c r="Q1268" s="287" t="n"/>
      <c r="R1268" s="278" t="n"/>
      <c r="S1268" s="278" t="n"/>
      <c r="T1268" s="278" t="n"/>
      <c r="U1268" s="278" t="n"/>
      <c r="V1268" s="278" t="n"/>
      <c r="W1268" s="278" t="n"/>
      <c r="X1268" s="278" t="n"/>
      <c r="Y1268" s="278" t="n"/>
      <c r="Z1268" s="278" t="n"/>
      <c r="AA1268" s="278" t="n"/>
      <c r="AB1268" s="278" t="n"/>
      <c r="AC1268" s="278" t="n"/>
      <c r="AD1268" s="278" t="n"/>
    </row>
    <row r="1269">
      <c r="B1269" s="299" t="n"/>
      <c r="C1269" s="299" t="n"/>
      <c r="D1269" s="300" t="inlineStr">
        <is>
          <t>Biaya Operasi Lain-lain</t>
        </is>
      </c>
      <c r="E1269" s="299" t="n"/>
      <c r="F1269" s="299" t="n"/>
      <c r="G1269" s="299" t="n"/>
      <c r="H1269" s="299" t="n"/>
      <c r="I1269" s="299" t="n"/>
      <c r="J1269" s="299" t="n"/>
      <c r="K1269" s="299" t="n"/>
      <c r="L1269" s="299" t="n"/>
      <c r="M1269" s="299" t="n"/>
      <c r="N1269" s="299" t="n"/>
      <c r="O1269" s="299" t="n"/>
      <c r="P1269" s="299" t="n"/>
      <c r="Q1269" s="299" t="n"/>
      <c r="R1269" s="278" t="n"/>
      <c r="S1269" s="278" t="n"/>
      <c r="T1269" s="278" t="n"/>
      <c r="U1269" s="278" t="n"/>
      <c r="V1269" s="278" t="n"/>
      <c r="W1269" s="278" t="n"/>
      <c r="X1269" s="278" t="n"/>
      <c r="Y1269" s="278" t="n"/>
      <c r="Z1269" s="278" t="n"/>
      <c r="AA1269" s="278" t="n"/>
      <c r="AB1269" s="278" t="n"/>
      <c r="AC1269" s="278" t="n"/>
      <c r="AD1269" s="278" t="n"/>
    </row>
    <row r="1270" ht="15.5" customHeight="1">
      <c r="B1270" s="288" t="n">
        <v>45494</v>
      </c>
      <c r="C1270" s="289" t="n">
        <v>143</v>
      </c>
      <c r="D1270" s="290" t="inlineStr">
        <is>
          <t>Jakarta - Palembang</t>
        </is>
      </c>
      <c r="E1270" s="287" t="inlineStr">
        <is>
          <t>-</t>
        </is>
      </c>
      <c r="F1270" s="283" t="n">
        <v>400000</v>
      </c>
      <c r="G1270" s="291" t="inlineStr">
        <is>
          <t>IDR</t>
        </is>
      </c>
      <c r="H1270" s="292" t="n">
        <v>1</v>
      </c>
      <c r="I1270" s="280" t="n"/>
      <c r="J1270" s="285" t="n"/>
      <c r="K1270" s="279" t="n"/>
      <c r="L1270" s="283" t="n">
        <v>400000</v>
      </c>
      <c r="M1270" s="286" t="n"/>
      <c r="N1270" s="286" t="n"/>
      <c r="O1270" s="283" t="n"/>
      <c r="P1270" s="285" t="n"/>
      <c r="Q1270" s="287" t="n"/>
      <c r="R1270" s="278" t="n"/>
      <c r="S1270" s="278" t="n"/>
      <c r="T1270" s="278" t="n"/>
      <c r="U1270" s="278" t="n"/>
      <c r="V1270" s="278" t="n"/>
      <c r="W1270" s="278" t="n"/>
      <c r="X1270" s="278" t="n"/>
      <c r="Y1270" s="278" t="n"/>
      <c r="Z1270" s="278" t="n"/>
      <c r="AA1270" s="278" t="n"/>
      <c r="AB1270" s="278" t="n"/>
      <c r="AC1270" s="278" t="n"/>
      <c r="AD1270" s="278" t="n"/>
    </row>
    <row r="1271">
      <c r="B1271" s="299" t="n"/>
      <c r="C1271" s="299" t="n"/>
      <c r="D1271" s="300" t="inlineStr">
        <is>
          <t>Hand Tools</t>
        </is>
      </c>
      <c r="E1271" s="299" t="n"/>
      <c r="F1271" s="299" t="n"/>
      <c r="G1271" s="299" t="n"/>
      <c r="H1271" s="299" t="n"/>
      <c r="I1271" s="299" t="n"/>
      <c r="J1271" s="299" t="n"/>
      <c r="K1271" s="299" t="n"/>
      <c r="L1271" s="299" t="n"/>
      <c r="M1271" s="299" t="n"/>
      <c r="N1271" s="299" t="n"/>
      <c r="O1271" s="299" t="n"/>
      <c r="P1271" s="299" t="n"/>
      <c r="Q1271" s="299" t="n"/>
      <c r="R1271" s="278" t="n"/>
      <c r="S1271" s="278" t="n"/>
      <c r="T1271" s="278" t="n"/>
      <c r="U1271" s="278" t="n"/>
      <c r="V1271" s="278" t="n"/>
      <c r="W1271" s="278" t="n"/>
      <c r="X1271" s="278" t="n"/>
      <c r="Y1271" s="278" t="n"/>
      <c r="Z1271" s="278" t="n"/>
      <c r="AA1271" s="278" t="n"/>
      <c r="AB1271" s="278" t="n"/>
      <c r="AC1271" s="278" t="n"/>
      <c r="AD1271" s="278" t="n"/>
    </row>
    <row r="1272" ht="15.5" customHeight="1">
      <c r="B1272" s="288" t="n">
        <v>45495</v>
      </c>
      <c r="C1272" s="289" t="n">
        <v>144</v>
      </c>
      <c r="D1272" s="290" t="inlineStr">
        <is>
          <t>Rags - Gloves</t>
        </is>
      </c>
      <c r="E1272" s="287" t="inlineStr">
        <is>
          <t>-</t>
        </is>
      </c>
      <c r="F1272" s="283" t="n">
        <v>70000</v>
      </c>
      <c r="G1272" s="291" t="inlineStr">
        <is>
          <t>IDR</t>
        </is>
      </c>
      <c r="H1272" s="292" t="n">
        <v>1</v>
      </c>
      <c r="I1272" s="280" t="n"/>
      <c r="J1272" s="285" t="n"/>
      <c r="K1272" s="279" t="n"/>
      <c r="L1272" s="283" t="n"/>
      <c r="M1272" s="286" t="n"/>
      <c r="N1272" s="286" t="n">
        <v>70000</v>
      </c>
      <c r="O1272" s="283" t="n"/>
      <c r="P1272" s="285" t="n"/>
      <c r="Q1272" s="287" t="n"/>
      <c r="R1272" s="278" t="n"/>
      <c r="S1272" s="278" t="n"/>
      <c r="T1272" s="278" t="n"/>
      <c r="U1272" s="278" t="n"/>
      <c r="V1272" s="278" t="n"/>
      <c r="W1272" s="278" t="n"/>
      <c r="X1272" s="278" t="n"/>
      <c r="Y1272" s="278" t="n"/>
      <c r="Z1272" s="278" t="n"/>
      <c r="AA1272" s="278" t="n"/>
      <c r="AB1272" s="278" t="n"/>
      <c r="AC1272" s="278" t="n"/>
      <c r="AD1272" s="278" t="n"/>
    </row>
    <row r="1273">
      <c r="B1273" s="299" t="n"/>
      <c r="C1273" s="299" t="n"/>
      <c r="D1273" s="300" t="inlineStr">
        <is>
          <t>Laundry</t>
        </is>
      </c>
      <c r="E1273" s="299" t="n"/>
      <c r="F1273" s="299" t="n"/>
      <c r="G1273" s="299" t="n"/>
      <c r="H1273" s="299" t="n"/>
      <c r="I1273" s="299" t="n"/>
      <c r="J1273" s="299" t="n"/>
      <c r="K1273" s="299" t="n"/>
      <c r="L1273" s="299" t="n"/>
      <c r="M1273" s="299" t="n"/>
      <c r="N1273" s="299" t="n"/>
      <c r="O1273" s="299" t="n"/>
      <c r="P1273" s="299" t="n"/>
      <c r="Q1273" s="299" t="n"/>
      <c r="R1273" s="278" t="n"/>
      <c r="S1273" s="278" t="n"/>
      <c r="T1273" s="278" t="n"/>
      <c r="U1273" s="278" t="n"/>
      <c r="V1273" s="278" t="n"/>
      <c r="W1273" s="278" t="n"/>
      <c r="X1273" s="278" t="n"/>
      <c r="Y1273" s="278" t="n"/>
      <c r="Z1273" s="278" t="n"/>
      <c r="AA1273" s="278" t="n"/>
      <c r="AB1273" s="278" t="n"/>
      <c r="AC1273" s="278" t="n"/>
      <c r="AD1273" s="278" t="n"/>
    </row>
    <row r="1274" ht="15.5" customHeight="1">
      <c r="B1274" s="288" t="n">
        <v>45500</v>
      </c>
      <c r="C1274" s="289" t="n">
        <v>145</v>
      </c>
      <c r="D1274" s="290" t="inlineStr">
        <is>
          <t>Laundry (21 - 27 Juli 2024)</t>
        </is>
      </c>
      <c r="E1274" s="287" t="inlineStr">
        <is>
          <t>-</t>
        </is>
      </c>
      <c r="F1274" s="283" t="n">
        <v>350000</v>
      </c>
      <c r="G1274" s="291" t="inlineStr">
        <is>
          <t>IDR</t>
        </is>
      </c>
      <c r="H1274" s="292" t="n">
        <v>1</v>
      </c>
      <c r="I1274" s="280" t="n"/>
      <c r="J1274" s="285" t="n"/>
      <c r="K1274" s="279" t="n"/>
      <c r="L1274" s="283" t="n">
        <v>350000</v>
      </c>
      <c r="M1274" s="286" t="n"/>
      <c r="N1274" s="286" t="n"/>
      <c r="O1274" s="283" t="n"/>
      <c r="P1274" s="285" t="n"/>
      <c r="Q1274" s="287" t="n"/>
      <c r="R1274" s="278" t="n"/>
      <c r="S1274" s="278" t="n"/>
      <c r="T1274" s="278" t="n"/>
      <c r="U1274" s="278" t="n"/>
      <c r="V1274" s="278" t="n"/>
      <c r="W1274" s="278" t="n"/>
      <c r="X1274" s="278" t="n"/>
      <c r="Y1274" s="278" t="n"/>
      <c r="Z1274" s="278" t="n"/>
      <c r="AA1274" s="278" t="n"/>
      <c r="AB1274" s="278" t="n"/>
      <c r="AC1274" s="278" t="n"/>
      <c r="AD1274" s="278" t="n"/>
    </row>
    <row r="1275">
      <c r="B1275" s="299" t="n"/>
      <c r="C1275" s="299" t="n"/>
      <c r="D1275" s="300" t="inlineStr">
        <is>
          <t>Meal</t>
        </is>
      </c>
      <c r="E1275" s="299" t="n"/>
      <c r="F1275" s="299" t="n"/>
      <c r="G1275" s="299" t="n"/>
      <c r="H1275" s="299" t="n"/>
      <c r="I1275" s="299" t="n"/>
      <c r="J1275" s="299" t="n"/>
      <c r="K1275" s="299" t="n"/>
      <c r="L1275" s="299" t="n"/>
      <c r="M1275" s="299" t="n"/>
      <c r="N1275" s="299" t="n"/>
      <c r="O1275" s="299" t="n"/>
      <c r="P1275" s="299" t="n"/>
      <c r="Q1275" s="299" t="n"/>
      <c r="R1275" s="278" t="n"/>
      <c r="S1275" s="278" t="n"/>
      <c r="T1275" s="278" t="n"/>
      <c r="U1275" s="278" t="n"/>
      <c r="V1275" s="278" t="n"/>
      <c r="W1275" s="278" t="n"/>
      <c r="X1275" s="278" t="n"/>
      <c r="Y1275" s="278" t="n"/>
      <c r="Z1275" s="278" t="n"/>
      <c r="AA1275" s="278" t="n"/>
      <c r="AB1275" s="278" t="n"/>
      <c r="AC1275" s="278" t="n"/>
      <c r="AD1275" s="278" t="n"/>
    </row>
    <row r="1276" ht="15.5" customHeight="1">
      <c r="B1276" s="288" t="n">
        <v>45500</v>
      </c>
      <c r="C1276" s="289" t="n">
        <v>146</v>
      </c>
      <c r="D1276" s="290" t="inlineStr">
        <is>
          <t>Uang Makan (21 - 27 Juli 2024)</t>
        </is>
      </c>
      <c r="E1276" s="287" t="inlineStr">
        <is>
          <t>-</t>
        </is>
      </c>
      <c r="F1276" s="283" t="n">
        <v>1050000</v>
      </c>
      <c r="G1276" s="291" t="inlineStr">
        <is>
          <t>IDR</t>
        </is>
      </c>
      <c r="H1276" s="292" t="n">
        <v>1</v>
      </c>
      <c r="I1276" s="280" t="n"/>
      <c r="J1276" s="285" t="n"/>
      <c r="K1276" s="279" t="n"/>
      <c r="L1276" s="283" t="n">
        <v>1050000</v>
      </c>
      <c r="M1276" s="286" t="n"/>
      <c r="N1276" s="286" t="n"/>
      <c r="O1276" s="283" t="n"/>
      <c r="P1276" s="285" t="n"/>
      <c r="Q1276" s="287" t="n"/>
      <c r="R1276" s="278" t="n"/>
      <c r="S1276" s="278" t="n"/>
      <c r="T1276" s="278" t="n"/>
      <c r="U1276" s="278" t="n"/>
      <c r="V1276" s="278" t="n"/>
      <c r="W1276" s="278" t="n"/>
      <c r="X1276" s="278" t="n"/>
      <c r="Y1276" s="278" t="n"/>
      <c r="Z1276" s="278" t="n"/>
      <c r="AA1276" s="278" t="n"/>
      <c r="AB1276" s="278" t="n"/>
      <c r="AC1276" s="278" t="n"/>
      <c r="AD1276" s="278" t="n"/>
    </row>
    <row r="1277">
      <c r="B1277" s="299" t="n"/>
      <c r="C1277" s="299" t="n"/>
      <c r="D1277" s="300" t="inlineStr">
        <is>
          <t>Sparepart</t>
        </is>
      </c>
      <c r="E1277" s="299" t="n"/>
      <c r="F1277" s="299" t="n"/>
      <c r="G1277" s="299" t="n"/>
      <c r="H1277" s="299" t="n"/>
      <c r="I1277" s="299" t="n"/>
      <c r="J1277" s="299" t="n"/>
      <c r="K1277" s="299" t="n"/>
      <c r="L1277" s="299" t="n"/>
      <c r="M1277" s="299" t="n"/>
      <c r="N1277" s="299" t="n"/>
      <c r="O1277" s="299" t="n"/>
      <c r="P1277" s="299" t="n"/>
      <c r="Q1277" s="299" t="n"/>
      <c r="R1277" s="278" t="n"/>
      <c r="S1277" s="278" t="n"/>
      <c r="T1277" s="278" t="n"/>
      <c r="U1277" s="278" t="n"/>
      <c r="V1277" s="278" t="n"/>
      <c r="W1277" s="278" t="n"/>
      <c r="X1277" s="278" t="n"/>
      <c r="Y1277" s="278" t="n"/>
      <c r="Z1277" s="278" t="n"/>
      <c r="AA1277" s="278" t="n"/>
      <c r="AB1277" s="278" t="n"/>
      <c r="AC1277" s="278" t="n"/>
      <c r="AD1277" s="278" t="n"/>
    </row>
    <row r="1278" ht="15.5" customHeight="1">
      <c r="B1278" s="288" t="n">
        <v>45498</v>
      </c>
      <c r="C1278" s="289" t="n">
        <v>147</v>
      </c>
      <c r="D1278" s="290" t="inlineStr">
        <is>
          <t>Battery for DTR (Spare)</t>
        </is>
      </c>
      <c r="E1278" s="287" t="inlineStr">
        <is>
          <t>-</t>
        </is>
      </c>
      <c r="F1278" s="283" t="n">
        <v>38900</v>
      </c>
      <c r="G1278" s="291" t="inlineStr">
        <is>
          <t>IDR</t>
        </is>
      </c>
      <c r="H1278" s="292" t="n">
        <v>1</v>
      </c>
      <c r="I1278" s="280" t="n"/>
      <c r="J1278" s="285" t="n"/>
      <c r="K1278" s="279" t="n"/>
      <c r="L1278" s="283" t="n"/>
      <c r="M1278" s="286" t="n"/>
      <c r="N1278" s="286" t="n">
        <v>38900</v>
      </c>
      <c r="O1278" s="283" t="n"/>
      <c r="P1278" s="285" t="n"/>
      <c r="Q1278" s="287" t="n"/>
      <c r="R1278" s="278" t="n"/>
      <c r="S1278" s="278" t="n"/>
      <c r="T1278" s="278" t="n"/>
      <c r="U1278" s="278" t="n"/>
      <c r="V1278" s="278" t="n"/>
      <c r="W1278" s="278" t="n"/>
      <c r="X1278" s="278" t="n"/>
      <c r="Y1278" s="278" t="n"/>
      <c r="Z1278" s="278" t="n"/>
      <c r="AA1278" s="278" t="n"/>
      <c r="AB1278" s="278" t="n"/>
      <c r="AC1278" s="278" t="n"/>
      <c r="AD1278" s="278" t="n"/>
    </row>
    <row r="1279">
      <c r="B1279" s="299" t="n"/>
      <c r="C1279" s="299" t="n"/>
      <c r="D1279" s="300" t="inlineStr">
        <is>
          <t>Transportation</t>
        </is>
      </c>
      <c r="E1279" s="299" t="n"/>
      <c r="F1279" s="299" t="n"/>
      <c r="G1279" s="299" t="n"/>
      <c r="H1279" s="299" t="n"/>
      <c r="I1279" s="299" t="n"/>
      <c r="J1279" s="299" t="n"/>
      <c r="K1279" s="299" t="n"/>
      <c r="L1279" s="299" t="n"/>
      <c r="M1279" s="299" t="n"/>
      <c r="N1279" s="299" t="n"/>
      <c r="O1279" s="299" t="n"/>
      <c r="P1279" s="299" t="n"/>
      <c r="Q1279" s="299" t="n"/>
      <c r="R1279" s="278" t="n"/>
      <c r="S1279" s="278" t="n"/>
      <c r="T1279" s="278" t="n"/>
      <c r="U1279" s="278" t="n"/>
      <c r="V1279" s="278" t="n"/>
      <c r="W1279" s="278" t="n"/>
      <c r="X1279" s="278" t="n"/>
      <c r="Y1279" s="278" t="n"/>
      <c r="Z1279" s="278" t="n"/>
      <c r="AA1279" s="278" t="n"/>
      <c r="AB1279" s="278" t="n"/>
      <c r="AC1279" s="278" t="n"/>
      <c r="AD1279" s="278" t="n"/>
    </row>
    <row r="1280" ht="15.5" customHeight="1">
      <c r="B1280" s="288" t="n">
        <v>45500</v>
      </c>
      <c r="C1280" s="289" t="n">
        <v>148</v>
      </c>
      <c r="D1280" s="290" t="inlineStr">
        <is>
          <t>Car rental 21 - 27 Jul 2024</t>
        </is>
      </c>
      <c r="E1280" s="287" t="inlineStr">
        <is>
          <t>-</t>
        </is>
      </c>
      <c r="F1280" s="283" t="n">
        <v>3500000</v>
      </c>
      <c r="G1280" s="291" t="inlineStr">
        <is>
          <t>IDR</t>
        </is>
      </c>
      <c r="H1280" s="292" t="n">
        <v>1</v>
      </c>
      <c r="I1280" s="280" t="n"/>
      <c r="J1280" s="285" t="n"/>
      <c r="K1280" s="279" t="n"/>
      <c r="L1280" s="283" t="n">
        <v>3500000</v>
      </c>
      <c r="M1280" s="286" t="n"/>
      <c r="N1280" s="286" t="n"/>
      <c r="O1280" s="283" t="n"/>
      <c r="P1280" s="285" t="n"/>
      <c r="Q1280" s="287" t="n"/>
      <c r="R1280" s="278" t="n"/>
      <c r="S1280" s="278" t="n"/>
      <c r="T1280" s="278" t="n"/>
      <c r="U1280" s="278" t="n"/>
      <c r="V1280" s="278" t="n"/>
      <c r="W1280" s="278" t="n"/>
      <c r="X1280" s="278" t="n"/>
      <c r="Y1280" s="278" t="n"/>
      <c r="Z1280" s="278" t="n"/>
      <c r="AA1280" s="278" t="n"/>
      <c r="AB1280" s="278" t="n"/>
      <c r="AC1280" s="278" t="n"/>
      <c r="AD1280" s="278" t="n"/>
    </row>
    <row r="1281">
      <c r="B1281" s="296" t="inlineStr">
        <is>
          <t>Expense#24</t>
        </is>
      </c>
      <c r="C1281" s="297" t="inlineStr">
        <is>
          <t>:</t>
        </is>
      </c>
      <c r="D1281" s="296" t="inlineStr">
        <is>
          <t>ALFA JOB - JRK 163 (training 2nd_ IBR)</t>
        </is>
      </c>
      <c r="E1281" s="298" t="n"/>
      <c r="F1281" s="298" t="n"/>
      <c r="G1281" s="298" t="n"/>
      <c r="H1281" s="298" t="n"/>
      <c r="I1281" s="298" t="n"/>
      <c r="J1281" s="298" t="n"/>
      <c r="K1281" s="298" t="n"/>
      <c r="L1281" s="298" t="n"/>
      <c r="M1281" s="298" t="n"/>
      <c r="N1281" s="298" t="n"/>
      <c r="O1281" s="298" t="n"/>
      <c r="P1281" s="298" t="n"/>
      <c r="Q1281" s="298" t="n"/>
      <c r="R1281" s="278" t="n"/>
      <c r="S1281" s="278" t="n"/>
      <c r="T1281" s="278" t="n"/>
      <c r="U1281" s="278" t="n"/>
      <c r="V1281" s="278" t="n"/>
      <c r="W1281" s="278" t="n"/>
      <c r="X1281" s="278" t="n"/>
      <c r="Y1281" s="278" t="n"/>
      <c r="Z1281" s="278" t="n"/>
      <c r="AA1281" s="278" t="n"/>
      <c r="AB1281" s="278" t="n"/>
      <c r="AC1281" s="278" t="n"/>
      <c r="AD1281" s="278" t="n"/>
    </row>
    <row r="1282">
      <c r="B1282" s="299" t="n"/>
      <c r="C1282" s="299" t="n"/>
      <c r="D1282" s="300" t="inlineStr">
        <is>
          <t>Allowance</t>
        </is>
      </c>
      <c r="E1282" s="299" t="n"/>
      <c r="F1282" s="299" t="n"/>
      <c r="G1282" s="299" t="n"/>
      <c r="H1282" s="299" t="n"/>
      <c r="I1282" s="299" t="n"/>
      <c r="J1282" s="299" t="n"/>
      <c r="K1282" s="299" t="n"/>
      <c r="L1282" s="299" t="n"/>
      <c r="M1282" s="299" t="n"/>
      <c r="N1282" s="299" t="n"/>
      <c r="O1282" s="299" t="n"/>
      <c r="P1282" s="299" t="n"/>
      <c r="Q1282" s="299" t="n"/>
      <c r="R1282" s="278" t="n"/>
      <c r="S1282" s="278" t="n"/>
      <c r="T1282" s="278" t="n"/>
      <c r="U1282" s="278" t="n"/>
      <c r="V1282" s="278" t="n"/>
      <c r="W1282" s="278" t="n"/>
      <c r="X1282" s="278" t="n"/>
      <c r="Y1282" s="278" t="n"/>
      <c r="Z1282" s="278" t="n"/>
      <c r="AA1282" s="278" t="n"/>
      <c r="AB1282" s="278" t="n"/>
      <c r="AC1282" s="278" t="n"/>
      <c r="AD1282" s="278" t="n"/>
    </row>
    <row r="1283" ht="15.5" customHeight="1">
      <c r="B1283" s="288" t="n">
        <v>45501</v>
      </c>
      <c r="C1283" s="289" t="n">
        <v>149</v>
      </c>
      <c r="D1283" s="290" t="inlineStr">
        <is>
          <t>Tunjangan Lapangan JRK-163 (21 - 27 Juli 2024)</t>
        </is>
      </c>
      <c r="E1283" s="287" t="inlineStr">
        <is>
          <t>-</t>
        </is>
      </c>
      <c r="F1283" s="283" t="n">
        <v>2852500</v>
      </c>
      <c r="G1283" s="291" t="inlineStr">
        <is>
          <t>$</t>
        </is>
      </c>
      <c r="H1283" s="292" t="n">
        <v>16300</v>
      </c>
      <c r="I1283" s="280" t="n"/>
      <c r="J1283" s="285" t="n"/>
      <c r="K1283" s="279" t="n"/>
      <c r="L1283" s="283" t="n">
        <v>2852500</v>
      </c>
      <c r="M1283" s="286" t="n"/>
      <c r="N1283" s="286" t="n"/>
      <c r="O1283" s="283" t="n"/>
      <c r="P1283" s="285" t="n"/>
      <c r="Q1283" s="287" t="n"/>
      <c r="R1283" s="278" t="n"/>
      <c r="S1283" s="278" t="n"/>
      <c r="T1283" s="278" t="n"/>
      <c r="U1283" s="278" t="n"/>
      <c r="V1283" s="278" t="n"/>
      <c r="W1283" s="278" t="n"/>
      <c r="X1283" s="278" t="n"/>
      <c r="Y1283" s="278" t="n"/>
      <c r="Z1283" s="278" t="n"/>
      <c r="AA1283" s="278" t="n"/>
      <c r="AB1283" s="278" t="n"/>
      <c r="AC1283" s="278" t="n"/>
      <c r="AD1283" s="278" t="n"/>
    </row>
    <row r="1284">
      <c r="B1284" s="299" t="n"/>
      <c r="C1284" s="299" t="n"/>
      <c r="D1284" s="300" t="inlineStr">
        <is>
          <t>Laundry</t>
        </is>
      </c>
      <c r="E1284" s="299" t="n"/>
      <c r="F1284" s="299" t="n"/>
      <c r="G1284" s="299" t="n"/>
      <c r="H1284" s="299" t="n"/>
      <c r="I1284" s="299" t="n"/>
      <c r="J1284" s="299" t="n"/>
      <c r="K1284" s="299" t="n"/>
      <c r="L1284" s="299" t="n"/>
      <c r="M1284" s="299" t="n"/>
      <c r="N1284" s="299" t="n"/>
      <c r="O1284" s="299" t="n"/>
      <c r="P1284" s="299" t="n"/>
      <c r="Q1284" s="299" t="n"/>
      <c r="R1284" s="278" t="n"/>
      <c r="S1284" s="278" t="n"/>
      <c r="T1284" s="278" t="n"/>
      <c r="U1284" s="278" t="n"/>
      <c r="V1284" s="278" t="n"/>
      <c r="W1284" s="278" t="n"/>
      <c r="X1284" s="278" t="n"/>
      <c r="Y1284" s="278" t="n"/>
      <c r="Z1284" s="278" t="n"/>
      <c r="AA1284" s="278" t="n"/>
      <c r="AB1284" s="278" t="n"/>
      <c r="AC1284" s="278" t="n"/>
      <c r="AD1284" s="278" t="n"/>
    </row>
    <row r="1285" ht="15.5" customHeight="1">
      <c r="B1285" s="288" t="n">
        <v>45501</v>
      </c>
      <c r="C1285" s="289" t="n">
        <v>150</v>
      </c>
      <c r="D1285" s="290" t="inlineStr">
        <is>
          <t>Laundry (21 - 27 Juli 2024)</t>
        </is>
      </c>
      <c r="E1285" s="287" t="inlineStr">
        <is>
          <t>-</t>
        </is>
      </c>
      <c r="F1285" s="283" t="n">
        <v>350000</v>
      </c>
      <c r="G1285" s="291" t="inlineStr">
        <is>
          <t>IDR</t>
        </is>
      </c>
      <c r="H1285" s="292" t="n">
        <v>1</v>
      </c>
      <c r="I1285" s="280" t="n"/>
      <c r="J1285" s="285" t="n"/>
      <c r="K1285" s="279" t="n"/>
      <c r="L1285" s="283" t="n">
        <v>350000</v>
      </c>
      <c r="M1285" s="286" t="n"/>
      <c r="N1285" s="286" t="n"/>
      <c r="O1285" s="283" t="n"/>
      <c r="P1285" s="285" t="n"/>
      <c r="Q1285" s="287" t="n"/>
      <c r="R1285" s="278" t="n"/>
      <c r="S1285" s="278" t="n"/>
      <c r="T1285" s="278" t="n"/>
      <c r="U1285" s="278" t="n"/>
      <c r="V1285" s="278" t="n"/>
      <c r="W1285" s="278" t="n"/>
      <c r="X1285" s="278" t="n"/>
      <c r="Y1285" s="278" t="n"/>
      <c r="Z1285" s="278" t="n"/>
      <c r="AA1285" s="278" t="n"/>
      <c r="AB1285" s="278" t="n"/>
      <c r="AC1285" s="278" t="n"/>
      <c r="AD1285" s="278" t="n"/>
    </row>
    <row r="1286">
      <c r="B1286" s="299" t="n"/>
      <c r="C1286" s="299" t="n"/>
      <c r="D1286" s="300" t="inlineStr">
        <is>
          <t>Meal</t>
        </is>
      </c>
      <c r="E1286" s="299" t="n"/>
      <c r="F1286" s="299" t="n"/>
      <c r="G1286" s="299" t="n"/>
      <c r="H1286" s="299" t="n"/>
      <c r="I1286" s="299" t="n"/>
      <c r="J1286" s="299" t="n"/>
      <c r="K1286" s="299" t="n"/>
      <c r="L1286" s="299" t="n"/>
      <c r="M1286" s="299" t="n"/>
      <c r="N1286" s="299" t="n"/>
      <c r="O1286" s="299" t="n"/>
      <c r="P1286" s="299" t="n"/>
      <c r="Q1286" s="299" t="n"/>
      <c r="R1286" s="278" t="n"/>
      <c r="S1286" s="278" t="n"/>
      <c r="T1286" s="278" t="n"/>
      <c r="U1286" s="278" t="n"/>
      <c r="V1286" s="278" t="n"/>
      <c r="W1286" s="278" t="n"/>
      <c r="X1286" s="278" t="n"/>
      <c r="Y1286" s="278" t="n"/>
      <c r="Z1286" s="278" t="n"/>
      <c r="AA1286" s="278" t="n"/>
      <c r="AB1286" s="278" t="n"/>
      <c r="AC1286" s="278" t="n"/>
      <c r="AD1286" s="278" t="n"/>
    </row>
    <row r="1287" ht="15.5" customHeight="1">
      <c r="B1287" s="288" t="n">
        <v>45501</v>
      </c>
      <c r="C1287" s="289" t="n">
        <v>151</v>
      </c>
      <c r="D1287" s="290" t="inlineStr">
        <is>
          <t>Uang makan (21 - 27 Juli 2024)</t>
        </is>
      </c>
      <c r="E1287" s="287" t="inlineStr">
        <is>
          <t>-</t>
        </is>
      </c>
      <c r="F1287" s="283" t="n">
        <v>1050000</v>
      </c>
      <c r="G1287" s="291" t="inlineStr">
        <is>
          <t>IDR</t>
        </is>
      </c>
      <c r="H1287" s="292" t="n">
        <v>1</v>
      </c>
      <c r="I1287" s="280" t="n"/>
      <c r="J1287" s="285" t="n"/>
      <c r="K1287" s="279" t="n"/>
      <c r="L1287" s="283" t="n">
        <v>1050000</v>
      </c>
      <c r="M1287" s="286" t="n"/>
      <c r="N1287" s="286" t="n"/>
      <c r="O1287" s="283" t="n"/>
      <c r="P1287" s="285" t="n"/>
      <c r="Q1287" s="287" t="n"/>
      <c r="R1287" s="278" t="n"/>
      <c r="S1287" s="278" t="n"/>
      <c r="T1287" s="278" t="n"/>
      <c r="U1287" s="278" t="n"/>
      <c r="V1287" s="278" t="n"/>
      <c r="W1287" s="278" t="n"/>
      <c r="X1287" s="278" t="n"/>
      <c r="Y1287" s="278" t="n"/>
      <c r="Z1287" s="278" t="n"/>
      <c r="AA1287" s="278" t="n"/>
      <c r="AB1287" s="278" t="n"/>
      <c r="AC1287" s="278" t="n"/>
      <c r="AD1287" s="278" t="n"/>
    </row>
    <row r="1288">
      <c r="B1288" s="296" t="inlineStr">
        <is>
          <t>Expense#25</t>
        </is>
      </c>
      <c r="C1288" s="297" t="inlineStr">
        <is>
          <t>:</t>
        </is>
      </c>
      <c r="D1288" s="296" t="inlineStr">
        <is>
          <t>TIS-Blora Field-PLT ALFA BHS by BARIKIN - IC</t>
        </is>
      </c>
      <c r="E1288" s="298" t="n"/>
      <c r="F1288" s="298" t="n"/>
      <c r="G1288" s="298" t="n"/>
      <c r="H1288" s="298" t="n"/>
      <c r="I1288" s="298" t="n"/>
      <c r="J1288" s="298" t="n"/>
      <c r="K1288" s="298" t="n"/>
      <c r="L1288" s="298" t="n"/>
      <c r="M1288" s="298" t="n"/>
      <c r="N1288" s="298" t="n"/>
      <c r="O1288" s="298" t="n"/>
      <c r="P1288" s="298" t="n"/>
      <c r="Q1288" s="298" t="n"/>
      <c r="R1288" s="278" t="n"/>
      <c r="S1288" s="278" t="n"/>
      <c r="T1288" s="278" t="n"/>
      <c r="U1288" s="278" t="n"/>
      <c r="V1288" s="278" t="n"/>
      <c r="W1288" s="278" t="n"/>
      <c r="X1288" s="278" t="n"/>
      <c r="Y1288" s="278" t="n"/>
      <c r="Z1288" s="278" t="n"/>
      <c r="AA1288" s="278" t="n"/>
      <c r="AB1288" s="278" t="n"/>
      <c r="AC1288" s="278" t="n"/>
      <c r="AD1288" s="278" t="n"/>
    </row>
    <row r="1289">
      <c r="B1289" s="299" t="n"/>
      <c r="C1289" s="299" t="n"/>
      <c r="D1289" s="300" t="inlineStr">
        <is>
          <t>Allowance</t>
        </is>
      </c>
      <c r="E1289" s="299" t="n"/>
      <c r="F1289" s="299" t="n"/>
      <c r="G1289" s="299" t="n"/>
      <c r="H1289" s="299" t="n"/>
      <c r="I1289" s="299" t="n"/>
      <c r="J1289" s="299" t="n"/>
      <c r="K1289" s="299" t="n"/>
      <c r="L1289" s="299" t="n"/>
      <c r="M1289" s="299" t="n"/>
      <c r="N1289" s="299" t="n"/>
      <c r="O1289" s="299" t="n"/>
      <c r="P1289" s="299" t="n"/>
      <c r="Q1289" s="299" t="n"/>
      <c r="R1289" s="278" t="n"/>
      <c r="S1289" s="278" t="n"/>
      <c r="T1289" s="278" t="n"/>
      <c r="U1289" s="278" t="n"/>
      <c r="V1289" s="278" t="n"/>
      <c r="W1289" s="278" t="n"/>
      <c r="X1289" s="278" t="n"/>
      <c r="Y1289" s="278" t="n"/>
      <c r="Z1289" s="278" t="n"/>
      <c r="AA1289" s="278" t="n"/>
      <c r="AB1289" s="278" t="n"/>
      <c r="AC1289" s="278" t="n"/>
      <c r="AD1289" s="278" t="n"/>
    </row>
    <row r="1290" ht="15.5" customHeight="1">
      <c r="B1290" s="288" t="n">
        <v>45512</v>
      </c>
      <c r="C1290" s="289" t="n">
        <v>152</v>
      </c>
      <c r="D1290" s="290" t="inlineStr">
        <is>
          <t>Tunjangan Lapangan for 10 days</t>
        </is>
      </c>
      <c r="E1290" s="287" t="inlineStr">
        <is>
          <t>-</t>
        </is>
      </c>
      <c r="F1290" s="283" t="n">
        <v>16100000</v>
      </c>
      <c r="G1290" s="291" t="inlineStr">
        <is>
          <t>USD</t>
        </is>
      </c>
      <c r="H1290" s="292" t="n">
        <v>16100</v>
      </c>
      <c r="I1290" s="280" t="n"/>
      <c r="J1290" s="285" t="n"/>
      <c r="K1290" s="279" t="n"/>
      <c r="L1290" s="283" t="n">
        <v>16100000</v>
      </c>
      <c r="M1290" s="286" t="n"/>
      <c r="N1290" s="286" t="n"/>
      <c r="O1290" s="283" t="n"/>
      <c r="P1290" s="285" t="n"/>
      <c r="Q1290" s="287" t="n"/>
      <c r="R1290" s="278" t="n"/>
      <c r="S1290" s="278" t="n"/>
      <c r="T1290" s="278" t="n"/>
      <c r="U1290" s="278" t="n"/>
      <c r="V1290" s="278" t="n"/>
      <c r="W1290" s="278" t="n"/>
      <c r="X1290" s="278" t="n"/>
      <c r="Y1290" s="278" t="n"/>
      <c r="Z1290" s="278" t="n"/>
      <c r="AA1290" s="278" t="n"/>
      <c r="AB1290" s="278" t="n"/>
      <c r="AC1290" s="278" t="n"/>
      <c r="AD1290" s="278" t="n"/>
    </row>
    <row r="1291">
      <c r="B1291" s="299" t="n"/>
      <c r="C1291" s="299" t="n"/>
      <c r="D1291" s="300" t="inlineStr">
        <is>
          <t>Laundry</t>
        </is>
      </c>
      <c r="E1291" s="299" t="n"/>
      <c r="F1291" s="299" t="n"/>
      <c r="G1291" s="299" t="n"/>
      <c r="H1291" s="299" t="n"/>
      <c r="I1291" s="299" t="n"/>
      <c r="J1291" s="299" t="n"/>
      <c r="K1291" s="299" t="n"/>
      <c r="L1291" s="299" t="n"/>
      <c r="M1291" s="299" t="n"/>
      <c r="N1291" s="299" t="n"/>
      <c r="O1291" s="299" t="n"/>
      <c r="P1291" s="299" t="n"/>
      <c r="Q1291" s="299" t="n"/>
      <c r="R1291" s="278" t="n"/>
      <c r="S1291" s="278" t="n"/>
      <c r="T1291" s="278" t="n"/>
      <c r="U1291" s="278" t="n"/>
      <c r="V1291" s="278" t="n"/>
      <c r="W1291" s="278" t="n"/>
      <c r="X1291" s="278" t="n"/>
      <c r="Y1291" s="278" t="n"/>
      <c r="Z1291" s="278" t="n"/>
      <c r="AA1291" s="278" t="n"/>
      <c r="AB1291" s="278" t="n"/>
      <c r="AC1291" s="278" t="n"/>
      <c r="AD1291" s="278" t="n"/>
    </row>
    <row r="1292" ht="15.5" customHeight="1">
      <c r="B1292" s="288" t="n">
        <v>45511</v>
      </c>
      <c r="C1292" s="289" t="n">
        <v>153</v>
      </c>
      <c r="D1292" s="290" t="inlineStr">
        <is>
          <t>Laundry 10 days 1 Persons @ 50K IDR/day</t>
        </is>
      </c>
      <c r="E1292" s="287" t="inlineStr">
        <is>
          <t>-</t>
        </is>
      </c>
      <c r="F1292" s="283" t="n">
        <v>500000</v>
      </c>
      <c r="G1292" s="291" t="inlineStr">
        <is>
          <t>IDR</t>
        </is>
      </c>
      <c r="H1292" s="292" t="n">
        <v>1</v>
      </c>
      <c r="I1292" s="280" t="n"/>
      <c r="J1292" s="285" t="n"/>
      <c r="K1292" s="279" t="n"/>
      <c r="L1292" s="283" t="n">
        <v>500000</v>
      </c>
      <c r="M1292" s="286" t="n"/>
      <c r="N1292" s="286" t="n"/>
      <c r="O1292" s="283" t="n"/>
      <c r="P1292" s="285" t="n"/>
      <c r="Q1292" s="287" t="n"/>
      <c r="R1292" s="278" t="n"/>
      <c r="S1292" s="278" t="n"/>
      <c r="T1292" s="278" t="n"/>
      <c r="U1292" s="278" t="n"/>
      <c r="V1292" s="278" t="n"/>
      <c r="W1292" s="278" t="n"/>
      <c r="X1292" s="278" t="n"/>
      <c r="Y1292" s="278" t="n"/>
      <c r="Z1292" s="278" t="n"/>
      <c r="AA1292" s="278" t="n"/>
      <c r="AB1292" s="278" t="n"/>
      <c r="AC1292" s="278" t="n"/>
      <c r="AD1292" s="278" t="n"/>
    </row>
    <row r="1293">
      <c r="B1293" s="299" t="n"/>
      <c r="C1293" s="299" t="n"/>
      <c r="D1293" s="300" t="inlineStr">
        <is>
          <t>Meal</t>
        </is>
      </c>
      <c r="E1293" s="299" t="n"/>
      <c r="F1293" s="299" t="n"/>
      <c r="G1293" s="299" t="n"/>
      <c r="H1293" s="299" t="n"/>
      <c r="I1293" s="299" t="n"/>
      <c r="J1293" s="299" t="n"/>
      <c r="K1293" s="299" t="n"/>
      <c r="L1293" s="299" t="n"/>
      <c r="M1293" s="299" t="n"/>
      <c r="N1293" s="299" t="n"/>
      <c r="O1293" s="299" t="n"/>
      <c r="P1293" s="299" t="n"/>
      <c r="Q1293" s="299" t="n"/>
      <c r="R1293" s="278" t="n"/>
      <c r="S1293" s="278" t="n"/>
      <c r="T1293" s="278" t="n"/>
      <c r="U1293" s="278" t="n"/>
      <c r="V1293" s="278" t="n"/>
      <c r="W1293" s="278" t="n"/>
      <c r="X1293" s="278" t="n"/>
      <c r="Y1293" s="278" t="n"/>
      <c r="Z1293" s="278" t="n"/>
      <c r="AA1293" s="278" t="n"/>
      <c r="AB1293" s="278" t="n"/>
      <c r="AC1293" s="278" t="n"/>
      <c r="AD1293" s="278" t="n"/>
    </row>
    <row r="1294" ht="15.5" customHeight="1">
      <c r="B1294" s="288" t="n">
        <v>45511</v>
      </c>
      <c r="C1294" s="289" t="n">
        <v>154</v>
      </c>
      <c r="D1294" s="290" t="inlineStr">
        <is>
          <t>Meals 10 days 1 Persons @ 150K IDR/day</t>
        </is>
      </c>
      <c r="E1294" s="287" t="inlineStr">
        <is>
          <t>-</t>
        </is>
      </c>
      <c r="F1294" s="283" t="n">
        <v>1500000</v>
      </c>
      <c r="G1294" s="291" t="inlineStr">
        <is>
          <t>IDR</t>
        </is>
      </c>
      <c r="H1294" s="292" t="n">
        <v>1</v>
      </c>
      <c r="I1294" s="280" t="n"/>
      <c r="J1294" s="285" t="n"/>
      <c r="K1294" s="279" t="n"/>
      <c r="L1294" s="283" t="n">
        <v>1500000</v>
      </c>
      <c r="M1294" s="286" t="n"/>
      <c r="N1294" s="286" t="n"/>
      <c r="O1294" s="283" t="n"/>
      <c r="P1294" s="285" t="n"/>
      <c r="Q1294" s="287" t="n"/>
      <c r="R1294" s="278" t="n"/>
      <c r="S1294" s="278" t="n"/>
      <c r="T1294" s="278" t="n"/>
      <c r="U1294" s="278" t="n"/>
      <c r="V1294" s="278" t="n"/>
      <c r="W1294" s="278" t="n"/>
      <c r="X1294" s="278" t="n"/>
      <c r="Y1294" s="278" t="n"/>
      <c r="Z1294" s="278" t="n"/>
      <c r="AA1294" s="278" t="n"/>
      <c r="AB1294" s="278" t="n"/>
      <c r="AC1294" s="278" t="n"/>
      <c r="AD1294" s="278" t="n"/>
    </row>
    <row r="1295">
      <c r="B1295" s="299" t="n"/>
      <c r="C1295" s="299" t="n"/>
      <c r="D1295" s="300" t="inlineStr">
        <is>
          <t>Sparepart</t>
        </is>
      </c>
      <c r="E1295" s="299" t="n"/>
      <c r="F1295" s="299" t="n"/>
      <c r="G1295" s="299" t="n"/>
      <c r="H1295" s="299" t="n"/>
      <c r="I1295" s="299" t="n"/>
      <c r="J1295" s="299" t="n"/>
      <c r="K1295" s="299" t="n"/>
      <c r="L1295" s="299" t="n"/>
      <c r="M1295" s="299" t="n"/>
      <c r="N1295" s="299" t="n"/>
      <c r="O1295" s="299" t="n"/>
      <c r="P1295" s="299" t="n"/>
      <c r="Q1295" s="299" t="n"/>
      <c r="R1295" s="278" t="n"/>
      <c r="S1295" s="278" t="n"/>
      <c r="T1295" s="278" t="n"/>
      <c r="U1295" s="278" t="n"/>
      <c r="V1295" s="278" t="n"/>
      <c r="W1295" s="278" t="n"/>
      <c r="X1295" s="278" t="n"/>
      <c r="Y1295" s="278" t="n"/>
      <c r="Z1295" s="278" t="n"/>
      <c r="AA1295" s="278" t="n"/>
      <c r="AB1295" s="278" t="n"/>
      <c r="AC1295" s="278" t="n"/>
      <c r="AD1295" s="278" t="n"/>
    </row>
    <row r="1296" ht="15.5" customHeight="1">
      <c r="B1296" s="288" t="n">
        <v>45516</v>
      </c>
      <c r="C1296" s="289" t="n">
        <v>155</v>
      </c>
      <c r="D1296" s="290" t="inlineStr">
        <is>
          <t>Pelican Long Case 1770</t>
        </is>
      </c>
      <c r="E1296" s="287" t="inlineStr">
        <is>
          <t>-</t>
        </is>
      </c>
      <c r="F1296" s="283" t="n">
        <v>15166600</v>
      </c>
      <c r="G1296" s="291" t="inlineStr">
        <is>
          <t>IDR</t>
        </is>
      </c>
      <c r="H1296" s="292" t="n">
        <v>1</v>
      </c>
      <c r="I1296" s="280" t="n"/>
      <c r="J1296" s="285" t="n"/>
      <c r="K1296" s="279" t="n"/>
      <c r="L1296" s="283" t="n"/>
      <c r="M1296" s="286" t="n"/>
      <c r="N1296" s="286" t="n">
        <v>15166600</v>
      </c>
      <c r="O1296" s="283" t="n"/>
      <c r="P1296" s="285" t="n"/>
      <c r="Q1296" s="287" t="n"/>
      <c r="R1296" s="278" t="n"/>
      <c r="S1296" s="278" t="n"/>
      <c r="T1296" s="278" t="n"/>
      <c r="U1296" s="278" t="n"/>
      <c r="V1296" s="278" t="n"/>
      <c r="W1296" s="278" t="n"/>
      <c r="X1296" s="278" t="n"/>
      <c r="Y1296" s="278" t="n"/>
      <c r="Z1296" s="278" t="n"/>
      <c r="AA1296" s="278" t="n"/>
      <c r="AB1296" s="278" t="n"/>
      <c r="AC1296" s="278" t="n"/>
      <c r="AD1296" s="278" t="n"/>
    </row>
    <row r="1297">
      <c r="B1297" s="296" t="inlineStr">
        <is>
          <t>Expense#26</t>
        </is>
      </c>
      <c r="C1297" s="297" t="inlineStr">
        <is>
          <t>:</t>
        </is>
      </c>
      <c r="D1297" s="296" t="inlineStr">
        <is>
          <t>ALFA-MPLT-BHS_ RBG 3B PT. TIS under Barikin sakti _DS</t>
        </is>
      </c>
      <c r="E1297" s="298" t="n"/>
      <c r="F1297" s="298" t="n"/>
      <c r="G1297" s="298" t="n"/>
      <c r="H1297" s="298" t="n"/>
      <c r="I1297" s="298" t="n"/>
      <c r="J1297" s="298" t="n"/>
      <c r="K1297" s="298" t="n"/>
      <c r="L1297" s="298" t="n"/>
      <c r="M1297" s="298" t="n"/>
      <c r="N1297" s="298" t="n"/>
      <c r="O1297" s="298" t="n"/>
      <c r="P1297" s="298" t="n"/>
      <c r="Q1297" s="298" t="n"/>
      <c r="R1297" s="278" t="n"/>
      <c r="S1297" s="278" t="n"/>
      <c r="T1297" s="278" t="n"/>
      <c r="U1297" s="278" t="n"/>
      <c r="V1297" s="278" t="n"/>
      <c r="W1297" s="278" t="n"/>
      <c r="X1297" s="278" t="n"/>
      <c r="Y1297" s="278" t="n"/>
      <c r="Z1297" s="278" t="n"/>
      <c r="AA1297" s="278" t="n"/>
      <c r="AB1297" s="278" t="n"/>
      <c r="AC1297" s="278" t="n"/>
      <c r="AD1297" s="278" t="n"/>
    </row>
    <row r="1298">
      <c r="B1298" s="299" t="n"/>
      <c r="C1298" s="299" t="n"/>
      <c r="D1298" s="300" t="inlineStr">
        <is>
          <t>Accommodation</t>
        </is>
      </c>
      <c r="E1298" s="299" t="n"/>
      <c r="F1298" s="299" t="n"/>
      <c r="G1298" s="299" t="n"/>
      <c r="H1298" s="299" t="n"/>
      <c r="I1298" s="299" t="n"/>
      <c r="J1298" s="299" t="n"/>
      <c r="K1298" s="299" t="n"/>
      <c r="L1298" s="299" t="n"/>
      <c r="M1298" s="299" t="n"/>
      <c r="N1298" s="299" t="n"/>
      <c r="O1298" s="299" t="n"/>
      <c r="P1298" s="299" t="n"/>
      <c r="Q1298" s="299" t="n"/>
      <c r="R1298" s="278" t="n"/>
      <c r="S1298" s="278" t="n"/>
      <c r="T1298" s="278" t="n"/>
      <c r="U1298" s="278" t="n"/>
      <c r="V1298" s="278" t="n"/>
      <c r="W1298" s="278" t="n"/>
      <c r="X1298" s="278" t="n"/>
      <c r="Y1298" s="278" t="n"/>
      <c r="Z1298" s="278" t="n"/>
      <c r="AA1298" s="278" t="n"/>
      <c r="AB1298" s="278" t="n"/>
      <c r="AC1298" s="278" t="n"/>
      <c r="AD1298" s="278" t="n"/>
    </row>
    <row r="1299" ht="15.5" customHeight="1">
      <c r="B1299" s="288" t="n">
        <v>45509</v>
      </c>
      <c r="C1299" s="289" t="n">
        <v>156</v>
      </c>
      <c r="D1299" s="290" t="inlineStr">
        <is>
          <t>Hotel 6 Aug - 7 Aug 2024 (2 rooms)</t>
        </is>
      </c>
      <c r="E1299" s="287" t="inlineStr">
        <is>
          <t>-</t>
        </is>
      </c>
      <c r="F1299" s="283" t="n">
        <v>795600</v>
      </c>
      <c r="G1299" s="291" t="inlineStr">
        <is>
          <t>IDR</t>
        </is>
      </c>
      <c r="H1299" s="292" t="n">
        <v>1</v>
      </c>
      <c r="I1299" s="280" t="n"/>
      <c r="J1299" s="285" t="n"/>
      <c r="K1299" s="279" t="n"/>
      <c r="L1299" s="283" t="n">
        <v>795600</v>
      </c>
      <c r="M1299" s="286" t="n"/>
      <c r="N1299" s="286" t="n"/>
      <c r="O1299" s="283" t="n"/>
      <c r="P1299" s="285" t="n"/>
      <c r="Q1299" s="287" t="n"/>
      <c r="R1299" s="278" t="n"/>
      <c r="S1299" s="278" t="n"/>
      <c r="T1299" s="278" t="n"/>
      <c r="U1299" s="278" t="n"/>
      <c r="V1299" s="278" t="n"/>
      <c r="W1299" s="278" t="n"/>
      <c r="X1299" s="278" t="n"/>
      <c r="Y1299" s="278" t="n"/>
      <c r="Z1299" s="278" t="n"/>
      <c r="AA1299" s="278" t="n"/>
      <c r="AB1299" s="278" t="n"/>
      <c r="AC1299" s="278" t="n"/>
      <c r="AD1299" s="278" t="n"/>
    </row>
    <row r="1300">
      <c r="B1300" s="299" t="n"/>
      <c r="C1300" s="299" t="n"/>
      <c r="D1300" s="300" t="inlineStr">
        <is>
          <t>Allowance</t>
        </is>
      </c>
      <c r="E1300" s="299" t="n"/>
      <c r="F1300" s="299" t="n"/>
      <c r="G1300" s="299" t="n"/>
      <c r="H1300" s="299" t="n"/>
      <c r="I1300" s="299" t="n"/>
      <c r="J1300" s="299" t="n"/>
      <c r="K1300" s="299" t="n"/>
      <c r="L1300" s="299" t="n"/>
      <c r="M1300" s="299" t="n"/>
      <c r="N1300" s="299" t="n"/>
      <c r="O1300" s="299" t="n"/>
      <c r="P1300" s="299" t="n"/>
      <c r="Q1300" s="299" t="n"/>
      <c r="R1300" s="278" t="n"/>
      <c r="S1300" s="278" t="n"/>
      <c r="T1300" s="278" t="n"/>
      <c r="U1300" s="278" t="n"/>
      <c r="V1300" s="278" t="n"/>
      <c r="W1300" s="278" t="n"/>
      <c r="X1300" s="278" t="n"/>
      <c r="Y1300" s="278" t="n"/>
      <c r="Z1300" s="278" t="n"/>
      <c r="AA1300" s="278" t="n"/>
      <c r="AB1300" s="278" t="n"/>
      <c r="AC1300" s="278" t="n"/>
      <c r="AD1300" s="278" t="n"/>
    </row>
    <row r="1301" ht="15.5" customHeight="1">
      <c r="B1301" s="288" t="n">
        <v>45511</v>
      </c>
      <c r="C1301" s="289" t="n">
        <v>157</v>
      </c>
      <c r="D1301" s="290" t="inlineStr">
        <is>
          <t>Tunjangan LapanganRBG-3B PT. TIS (3-7 Aug 2024)</t>
        </is>
      </c>
      <c r="E1301" s="287" t="inlineStr">
        <is>
          <t>-</t>
        </is>
      </c>
      <c r="F1301" s="283" t="n">
        <v>500</v>
      </c>
      <c r="G1301" s="291" t="inlineStr">
        <is>
          <t>IDR</t>
        </is>
      </c>
      <c r="H1301" s="292" t="n">
        <v>15900</v>
      </c>
      <c r="I1301" s="280" t="n"/>
      <c r="J1301" s="285" t="n"/>
      <c r="K1301" s="279" t="n"/>
      <c r="L1301" s="283" t="n">
        <v>500</v>
      </c>
      <c r="M1301" s="286" t="n"/>
      <c r="N1301" s="286" t="n"/>
      <c r="O1301" s="283" t="n"/>
      <c r="P1301" s="285" t="n"/>
      <c r="Q1301" s="287" t="n"/>
      <c r="R1301" s="278" t="n"/>
      <c r="S1301" s="278" t="n"/>
      <c r="T1301" s="278" t="n"/>
      <c r="U1301" s="278" t="n"/>
      <c r="V1301" s="278" t="n"/>
      <c r="W1301" s="278" t="n"/>
      <c r="X1301" s="278" t="n"/>
      <c r="Y1301" s="278" t="n"/>
      <c r="Z1301" s="278" t="n"/>
      <c r="AA1301" s="278" t="n"/>
      <c r="AB1301" s="278" t="n"/>
      <c r="AC1301" s="278" t="n"/>
      <c r="AD1301" s="278" t="n"/>
    </row>
    <row r="1302">
      <c r="B1302" s="299" t="n"/>
      <c r="C1302" s="299" t="n"/>
      <c r="D1302" s="300" t="inlineStr">
        <is>
          <t>Biaya Operasi Lain-lain</t>
        </is>
      </c>
      <c r="E1302" s="299" t="n"/>
      <c r="F1302" s="299" t="n"/>
      <c r="G1302" s="299" t="n"/>
      <c r="H1302" s="299" t="n"/>
      <c r="I1302" s="299" t="n"/>
      <c r="J1302" s="299" t="n"/>
      <c r="K1302" s="299" t="n"/>
      <c r="L1302" s="299" t="n"/>
      <c r="M1302" s="299" t="n"/>
      <c r="N1302" s="299" t="n"/>
      <c r="O1302" s="299" t="n"/>
      <c r="P1302" s="299" t="n"/>
      <c r="Q1302" s="299" t="n"/>
      <c r="R1302" s="278" t="n"/>
      <c r="S1302" s="278" t="n"/>
      <c r="T1302" s="278" t="n"/>
      <c r="U1302" s="278" t="n"/>
      <c r="V1302" s="278" t="n"/>
      <c r="W1302" s="278" t="n"/>
      <c r="X1302" s="278" t="n"/>
      <c r="Y1302" s="278" t="n"/>
      <c r="Z1302" s="278" t="n"/>
      <c r="AA1302" s="278" t="n"/>
      <c r="AB1302" s="278" t="n"/>
      <c r="AC1302" s="278" t="n"/>
      <c r="AD1302" s="278" t="n"/>
    </row>
    <row r="1303" ht="15.5" customHeight="1">
      <c r="B1303" s="288" t="n">
        <v>45507</v>
      </c>
      <c r="C1303" s="289" t="n">
        <v>158</v>
      </c>
      <c r="D1303" s="290" t="inlineStr">
        <is>
          <t>Jakarta - Semarang</t>
        </is>
      </c>
      <c r="E1303" s="287" t="inlineStr">
        <is>
          <t>-</t>
        </is>
      </c>
      <c r="F1303" s="283" t="n">
        <v>673500</v>
      </c>
      <c r="G1303" s="291" t="inlineStr">
        <is>
          <t>IDR</t>
        </is>
      </c>
      <c r="H1303" s="292" t="n">
        <v>1</v>
      </c>
      <c r="I1303" s="280" t="n"/>
      <c r="J1303" s="285" t="n"/>
      <c r="K1303" s="279" t="n"/>
      <c r="L1303" s="283" t="n">
        <v>673500</v>
      </c>
      <c r="M1303" s="286" t="n"/>
      <c r="N1303" s="286" t="n"/>
      <c r="O1303" s="283" t="n"/>
      <c r="P1303" s="285" t="n"/>
      <c r="Q1303" s="287" t="n"/>
      <c r="R1303" s="278" t="n"/>
      <c r="S1303" s="278" t="n"/>
      <c r="T1303" s="278" t="n"/>
      <c r="U1303" s="278" t="n"/>
      <c r="V1303" s="278" t="n"/>
      <c r="W1303" s="278" t="n"/>
      <c r="X1303" s="278" t="n"/>
      <c r="Y1303" s="278" t="n"/>
      <c r="Z1303" s="278" t="n"/>
      <c r="AA1303" s="278" t="n"/>
      <c r="AB1303" s="278" t="n"/>
      <c r="AC1303" s="278" t="n"/>
      <c r="AD1303" s="278" t="n"/>
    </row>
    <row r="1304">
      <c r="B1304" s="299" t="n"/>
      <c r="C1304" s="299" t="n"/>
      <c r="D1304" s="300" t="inlineStr">
        <is>
          <t>Laundry</t>
        </is>
      </c>
      <c r="E1304" s="299" t="n"/>
      <c r="F1304" s="299" t="n"/>
      <c r="G1304" s="299" t="n"/>
      <c r="H1304" s="299" t="n"/>
      <c r="I1304" s="299" t="n"/>
      <c r="J1304" s="299" t="n"/>
      <c r="K1304" s="299" t="n"/>
      <c r="L1304" s="299" t="n"/>
      <c r="M1304" s="299" t="n"/>
      <c r="N1304" s="299" t="n"/>
      <c r="O1304" s="299" t="n"/>
      <c r="P1304" s="299" t="n"/>
      <c r="Q1304" s="299" t="n"/>
      <c r="R1304" s="278" t="n"/>
      <c r="S1304" s="278" t="n"/>
      <c r="T1304" s="278" t="n"/>
      <c r="U1304" s="278" t="n"/>
      <c r="V1304" s="278" t="n"/>
      <c r="W1304" s="278" t="n"/>
      <c r="X1304" s="278" t="n"/>
      <c r="Y1304" s="278" t="n"/>
      <c r="Z1304" s="278" t="n"/>
      <c r="AA1304" s="278" t="n"/>
      <c r="AB1304" s="278" t="n"/>
      <c r="AC1304" s="278" t="n"/>
      <c r="AD1304" s="278" t="n"/>
    </row>
    <row r="1305" ht="15.5" customHeight="1">
      <c r="B1305" s="288" t="n">
        <v>45511</v>
      </c>
      <c r="C1305" s="289" t="n">
        <v>159</v>
      </c>
      <c r="D1305" s="290" t="inlineStr">
        <is>
          <t>Laundry (3 - 7 Aug 2024)</t>
        </is>
      </c>
      <c r="E1305" s="287" t="inlineStr">
        <is>
          <t>-</t>
        </is>
      </c>
      <c r="F1305" s="283" t="n">
        <v>250000</v>
      </c>
      <c r="G1305" s="291" t="inlineStr">
        <is>
          <t>IDR</t>
        </is>
      </c>
      <c r="H1305" s="292" t="n">
        <v>1</v>
      </c>
      <c r="I1305" s="280" t="n"/>
      <c r="J1305" s="285" t="n"/>
      <c r="K1305" s="279" t="n"/>
      <c r="L1305" s="283" t="n">
        <v>250000</v>
      </c>
      <c r="M1305" s="286" t="n"/>
      <c r="N1305" s="286" t="n"/>
      <c r="O1305" s="283" t="n"/>
      <c r="P1305" s="285" t="n"/>
      <c r="Q1305" s="287" t="n"/>
      <c r="R1305" s="278" t="n"/>
      <c r="S1305" s="278" t="n"/>
      <c r="T1305" s="278" t="n"/>
      <c r="U1305" s="278" t="n"/>
      <c r="V1305" s="278" t="n"/>
      <c r="W1305" s="278" t="n"/>
      <c r="X1305" s="278" t="n"/>
      <c r="Y1305" s="278" t="n"/>
      <c r="Z1305" s="278" t="n"/>
      <c r="AA1305" s="278" t="n"/>
      <c r="AB1305" s="278" t="n"/>
      <c r="AC1305" s="278" t="n"/>
      <c r="AD1305" s="278" t="n"/>
    </row>
    <row r="1306">
      <c r="B1306" s="299" t="n"/>
      <c r="C1306" s="299" t="n"/>
      <c r="D1306" s="300" t="inlineStr">
        <is>
          <t>Meal</t>
        </is>
      </c>
      <c r="E1306" s="299" t="n"/>
      <c r="F1306" s="299" t="n"/>
      <c r="G1306" s="299" t="n"/>
      <c r="H1306" s="299" t="n"/>
      <c r="I1306" s="299" t="n"/>
      <c r="J1306" s="299" t="n"/>
      <c r="K1306" s="299" t="n"/>
      <c r="L1306" s="299" t="n"/>
      <c r="M1306" s="299" t="n"/>
      <c r="N1306" s="299" t="n"/>
      <c r="O1306" s="299" t="n"/>
      <c r="P1306" s="299" t="n"/>
      <c r="Q1306" s="299" t="n"/>
      <c r="R1306" s="278" t="n"/>
      <c r="S1306" s="278" t="n"/>
      <c r="T1306" s="278" t="n"/>
      <c r="U1306" s="278" t="n"/>
      <c r="V1306" s="278" t="n"/>
      <c r="W1306" s="278" t="n"/>
      <c r="X1306" s="278" t="n"/>
      <c r="Y1306" s="278" t="n"/>
      <c r="Z1306" s="278" t="n"/>
      <c r="AA1306" s="278" t="n"/>
      <c r="AB1306" s="278" t="n"/>
      <c r="AC1306" s="278" t="n"/>
      <c r="AD1306" s="278" t="n"/>
    </row>
    <row r="1307" ht="15.5" customHeight="1">
      <c r="B1307" s="288" t="n">
        <v>45511</v>
      </c>
      <c r="C1307" s="289" t="n">
        <v>160</v>
      </c>
      <c r="D1307" s="290" t="inlineStr">
        <is>
          <t>Uang Makan (3 - 7 Aug 2024)</t>
        </is>
      </c>
      <c r="E1307" s="287" t="inlineStr">
        <is>
          <t>-</t>
        </is>
      </c>
      <c r="F1307" s="283" t="n">
        <v>750000</v>
      </c>
      <c r="G1307" s="291" t="inlineStr">
        <is>
          <t>IDR</t>
        </is>
      </c>
      <c r="H1307" s="292" t="n">
        <v>1</v>
      </c>
      <c r="I1307" s="280" t="n"/>
      <c r="J1307" s="285" t="n"/>
      <c r="K1307" s="279" t="n"/>
      <c r="L1307" s="283" t="n">
        <v>750000</v>
      </c>
      <c r="M1307" s="286" t="n"/>
      <c r="N1307" s="286" t="n"/>
      <c r="O1307" s="283" t="n"/>
      <c r="P1307" s="285" t="n"/>
      <c r="Q1307" s="287" t="n"/>
      <c r="R1307" s="278" t="n"/>
      <c r="S1307" s="278" t="n"/>
      <c r="T1307" s="278" t="n"/>
      <c r="U1307" s="278" t="n"/>
      <c r="V1307" s="278" t="n"/>
      <c r="W1307" s="278" t="n"/>
      <c r="X1307" s="278" t="n"/>
      <c r="Y1307" s="278" t="n"/>
      <c r="Z1307" s="278" t="n"/>
      <c r="AA1307" s="278" t="n"/>
      <c r="AB1307" s="278" t="n"/>
      <c r="AC1307" s="278" t="n"/>
      <c r="AD1307" s="278" t="n"/>
    </row>
    <row r="1308">
      <c r="B1308" s="299" t="n"/>
      <c r="C1308" s="299" t="n"/>
      <c r="D1308" s="300" t="inlineStr">
        <is>
          <t>Transportation</t>
        </is>
      </c>
      <c r="E1308" s="299" t="n"/>
      <c r="F1308" s="299" t="n"/>
      <c r="G1308" s="299" t="n"/>
      <c r="H1308" s="299" t="n"/>
      <c r="I1308" s="299" t="n"/>
      <c r="J1308" s="299" t="n"/>
      <c r="K1308" s="299" t="n"/>
      <c r="L1308" s="299" t="n"/>
      <c r="M1308" s="299" t="n"/>
      <c r="N1308" s="299" t="n"/>
      <c r="O1308" s="299" t="n"/>
      <c r="P1308" s="299" t="n"/>
      <c r="Q1308" s="299" t="n"/>
      <c r="R1308" s="278" t="n"/>
      <c r="S1308" s="278" t="n"/>
      <c r="T1308" s="278" t="n"/>
      <c r="U1308" s="278" t="n"/>
      <c r="V1308" s="278" t="n"/>
      <c r="W1308" s="278" t="n"/>
      <c r="X1308" s="278" t="n"/>
      <c r="Y1308" s="278" t="n"/>
      <c r="Z1308" s="278" t="n"/>
      <c r="AA1308" s="278" t="n"/>
      <c r="AB1308" s="278" t="n"/>
      <c r="AC1308" s="278" t="n"/>
      <c r="AD1308" s="278" t="n"/>
    </row>
    <row r="1309" ht="15.5" customHeight="1">
      <c r="B1309" s="288" t="n">
        <v>45511</v>
      </c>
      <c r="C1309" s="289" t="n">
        <v>161</v>
      </c>
      <c r="D1309" s="290" t="inlineStr">
        <is>
          <t>Gocar Hotel to Tawang</t>
        </is>
      </c>
      <c r="E1309" s="287" t="inlineStr">
        <is>
          <t>-</t>
        </is>
      </c>
      <c r="F1309" s="283" t="n">
        <v>45000</v>
      </c>
      <c r="G1309" s="291" t="inlineStr">
        <is>
          <t>IDR</t>
        </is>
      </c>
      <c r="H1309" s="292" t="n">
        <v>1</v>
      </c>
      <c r="I1309" s="280" t="n"/>
      <c r="J1309" s="285" t="n"/>
      <c r="K1309" s="279" t="n"/>
      <c r="L1309" s="283" t="n">
        <v>45000</v>
      </c>
      <c r="M1309" s="286" t="n"/>
      <c r="N1309" s="286" t="n"/>
      <c r="O1309" s="283" t="n"/>
      <c r="P1309" s="285" t="n"/>
      <c r="Q1309" s="287" t="n"/>
      <c r="R1309" s="278" t="n"/>
      <c r="S1309" s="278" t="n"/>
      <c r="T1309" s="278" t="n"/>
      <c r="U1309" s="278" t="n"/>
      <c r="V1309" s="278" t="n"/>
      <c r="W1309" s="278" t="n"/>
      <c r="X1309" s="278" t="n"/>
      <c r="Y1309" s="278" t="n"/>
      <c r="Z1309" s="278" t="n"/>
      <c r="AA1309" s="278" t="n"/>
      <c r="AB1309" s="278" t="n"/>
      <c r="AC1309" s="278" t="n"/>
      <c r="AD1309" s="278" t="n"/>
    </row>
    <row r="1310">
      <c r="B1310" s="296" t="inlineStr">
        <is>
          <t>Expense#27</t>
        </is>
      </c>
      <c r="C1310" s="297" t="inlineStr">
        <is>
          <t>:</t>
        </is>
      </c>
      <c r="D1310" s="296" t="inlineStr">
        <is>
          <t>Non tripo 1st -- MCU + Pembelian barang kelengkapan pump AC</t>
        </is>
      </c>
      <c r="E1310" s="298" t="n"/>
      <c r="F1310" s="298" t="n"/>
      <c r="G1310" s="298" t="n"/>
      <c r="H1310" s="298" t="n"/>
      <c r="I1310" s="298" t="n"/>
      <c r="J1310" s="298" t="n"/>
      <c r="K1310" s="298" t="n"/>
      <c r="L1310" s="298" t="n"/>
      <c r="M1310" s="298" t="n"/>
      <c r="N1310" s="298" t="n"/>
      <c r="O1310" s="298" t="n"/>
      <c r="P1310" s="298" t="n"/>
      <c r="Q1310" s="298" t="n"/>
      <c r="R1310" s="278" t="n"/>
      <c r="S1310" s="278" t="n"/>
      <c r="T1310" s="278" t="n"/>
      <c r="U1310" s="278" t="n"/>
      <c r="V1310" s="278" t="n"/>
      <c r="W1310" s="278" t="n"/>
      <c r="X1310" s="278" t="n"/>
      <c r="Y1310" s="278" t="n"/>
      <c r="Z1310" s="278" t="n"/>
      <c r="AA1310" s="278" t="n"/>
      <c r="AB1310" s="278" t="n"/>
      <c r="AC1310" s="278" t="n"/>
      <c r="AD1310" s="278" t="n"/>
    </row>
    <row r="1311">
      <c r="B1311" s="299" t="n"/>
      <c r="C1311" s="299" t="n"/>
      <c r="D1311" s="300" t="inlineStr">
        <is>
          <t>Elektronik &amp; Gadget</t>
        </is>
      </c>
      <c r="E1311" s="299" t="n"/>
      <c r="F1311" s="299" t="n"/>
      <c r="G1311" s="299" t="n"/>
      <c r="H1311" s="299" t="n"/>
      <c r="I1311" s="299" t="n"/>
      <c r="J1311" s="299" t="n"/>
      <c r="K1311" s="299" t="n"/>
      <c r="L1311" s="299" t="n"/>
      <c r="M1311" s="299" t="n"/>
      <c r="N1311" s="299" t="n"/>
      <c r="O1311" s="299" t="n"/>
      <c r="P1311" s="299" t="n"/>
      <c r="Q1311" s="299" t="n"/>
      <c r="R1311" s="278" t="n"/>
      <c r="S1311" s="278" t="n"/>
      <c r="T1311" s="278" t="n"/>
      <c r="U1311" s="278" t="n"/>
      <c r="V1311" s="278" t="n"/>
      <c r="W1311" s="278" t="n"/>
      <c r="X1311" s="278" t="n"/>
      <c r="Y1311" s="278" t="n"/>
      <c r="Z1311" s="278" t="n"/>
      <c r="AA1311" s="278" t="n"/>
      <c r="AB1311" s="278" t="n"/>
      <c r="AC1311" s="278" t="n"/>
      <c r="AD1311" s="278" t="n"/>
    </row>
    <row r="1312" ht="15.5" customHeight="1">
      <c r="B1312" s="288" t="n">
        <v>45499</v>
      </c>
      <c r="C1312" s="289" t="n">
        <v>162</v>
      </c>
      <c r="D1312" s="290" t="inlineStr">
        <is>
          <t>buy Adapter</t>
        </is>
      </c>
      <c r="E1312" s="287" t="inlineStr">
        <is>
          <t>-</t>
        </is>
      </c>
      <c r="F1312" s="283" t="n">
        <v>20000</v>
      </c>
      <c r="G1312" s="291" t="inlineStr">
        <is>
          <t>IDR</t>
        </is>
      </c>
      <c r="H1312" s="292" t="n">
        <v>1</v>
      </c>
      <c r="I1312" s="280" t="n"/>
      <c r="J1312" s="285" t="n"/>
      <c r="K1312" s="279" t="n"/>
      <c r="L1312" s="283" t="n"/>
      <c r="M1312" s="286" t="n"/>
      <c r="N1312" s="286" t="n">
        <v>20000</v>
      </c>
      <c r="O1312" s="283" t="n"/>
      <c r="P1312" s="285" t="n"/>
      <c r="Q1312" s="287" t="n"/>
      <c r="R1312" s="278" t="n"/>
      <c r="S1312" s="278" t="n"/>
      <c r="T1312" s="278" t="n"/>
      <c r="U1312" s="278" t="n"/>
      <c r="V1312" s="278" t="n"/>
      <c r="W1312" s="278" t="n"/>
      <c r="X1312" s="278" t="n"/>
      <c r="Y1312" s="278" t="n"/>
      <c r="Z1312" s="278" t="n"/>
      <c r="AA1312" s="278" t="n"/>
      <c r="AB1312" s="278" t="n"/>
      <c r="AC1312" s="278" t="n"/>
      <c r="AD1312" s="278" t="n"/>
    </row>
    <row r="1313">
      <c r="B1313" s="299" t="n"/>
      <c r="C1313" s="299" t="n"/>
      <c r="D1313" s="300" t="inlineStr">
        <is>
          <t>Hand Tools</t>
        </is>
      </c>
      <c r="E1313" s="299" t="n"/>
      <c r="F1313" s="299" t="n"/>
      <c r="G1313" s="299" t="n"/>
      <c r="H1313" s="299" t="n"/>
      <c r="I1313" s="299" t="n"/>
      <c r="J1313" s="299" t="n"/>
      <c r="K1313" s="299" t="n"/>
      <c r="L1313" s="299" t="n"/>
      <c r="M1313" s="299" t="n"/>
      <c r="N1313" s="299" t="n"/>
      <c r="O1313" s="299" t="n"/>
      <c r="P1313" s="299" t="n"/>
      <c r="Q1313" s="299" t="n"/>
      <c r="R1313" s="278" t="n"/>
      <c r="S1313" s="278" t="n"/>
      <c r="T1313" s="278" t="n"/>
      <c r="U1313" s="278" t="n"/>
      <c r="V1313" s="278" t="n"/>
      <c r="W1313" s="278" t="n"/>
      <c r="X1313" s="278" t="n"/>
      <c r="Y1313" s="278" t="n"/>
      <c r="Z1313" s="278" t="n"/>
      <c r="AA1313" s="278" t="n"/>
      <c r="AB1313" s="278" t="n"/>
      <c r="AC1313" s="278" t="n"/>
      <c r="AD1313" s="278" t="n"/>
    </row>
    <row r="1314" ht="15.5" customHeight="1">
      <c r="B1314" s="288" t="n">
        <v>45501</v>
      </c>
      <c r="C1314" s="289" t="n">
        <v>163</v>
      </c>
      <c r="D1314" s="290" t="inlineStr">
        <is>
          <t>Buy Case for tools box dan hydraulic pump</t>
        </is>
      </c>
      <c r="E1314" s="287" t="inlineStr">
        <is>
          <t>-</t>
        </is>
      </c>
      <c r="F1314" s="283" t="n">
        <v>2636800</v>
      </c>
      <c r="G1314" s="291" t="inlineStr">
        <is>
          <t>IDR</t>
        </is>
      </c>
      <c r="H1314" s="292" t="n">
        <v>1</v>
      </c>
      <c r="I1314" s="280" t="n"/>
      <c r="J1314" s="285" t="n"/>
      <c r="K1314" s="279" t="n"/>
      <c r="L1314" s="283" t="n"/>
      <c r="M1314" s="286" t="n"/>
      <c r="N1314" s="286" t="n">
        <v>2636800</v>
      </c>
      <c r="O1314" s="283" t="n"/>
      <c r="P1314" s="285" t="n"/>
      <c r="Q1314" s="287" t="n"/>
      <c r="R1314" s="278" t="n"/>
      <c r="S1314" s="278" t="n"/>
      <c r="T1314" s="278" t="n"/>
      <c r="U1314" s="278" t="n"/>
      <c r="V1314" s="278" t="n"/>
      <c r="W1314" s="278" t="n"/>
      <c r="X1314" s="278" t="n"/>
      <c r="Y1314" s="278" t="n"/>
      <c r="Z1314" s="278" t="n"/>
      <c r="AA1314" s="278" t="n"/>
      <c r="AB1314" s="278" t="n"/>
      <c r="AC1314" s="278" t="n"/>
      <c r="AD1314" s="278" t="n"/>
    </row>
    <row r="1315">
      <c r="B1315" s="299" t="n"/>
      <c r="C1315" s="299" t="n"/>
      <c r="D1315" s="300" t="inlineStr">
        <is>
          <t>Meal</t>
        </is>
      </c>
      <c r="E1315" s="299" t="n"/>
      <c r="F1315" s="299" t="n"/>
      <c r="G1315" s="299" t="n"/>
      <c r="H1315" s="299" t="n"/>
      <c r="I1315" s="299" t="n"/>
      <c r="J1315" s="299" t="n"/>
      <c r="K1315" s="299" t="n"/>
      <c r="L1315" s="299" t="n"/>
      <c r="M1315" s="299" t="n"/>
      <c r="N1315" s="299" t="n"/>
      <c r="O1315" s="299" t="n"/>
      <c r="P1315" s="299" t="n"/>
      <c r="Q1315" s="299" t="n"/>
      <c r="R1315" s="278" t="n"/>
      <c r="S1315" s="278" t="n"/>
      <c r="T1315" s="278" t="n"/>
      <c r="U1315" s="278" t="n"/>
      <c r="V1315" s="278" t="n"/>
      <c r="W1315" s="278" t="n"/>
      <c r="X1315" s="278" t="n"/>
      <c r="Y1315" s="278" t="n"/>
      <c r="Z1315" s="278" t="n"/>
      <c r="AA1315" s="278" t="n"/>
      <c r="AB1315" s="278" t="n"/>
      <c r="AC1315" s="278" t="n"/>
      <c r="AD1315" s="278" t="n"/>
    </row>
    <row r="1316" ht="15.5" customHeight="1">
      <c r="B1316" s="288" t="n">
        <v>45484</v>
      </c>
      <c r="C1316" s="289" t="n">
        <v>164</v>
      </c>
      <c r="D1316" s="290" t="inlineStr">
        <is>
          <t>Meal lunch when visit to Lemigas (Sample Botol)</t>
        </is>
      </c>
      <c r="E1316" s="287" t="inlineStr">
        <is>
          <t>-</t>
        </is>
      </c>
      <c r="F1316" s="283" t="n">
        <v>81000</v>
      </c>
      <c r="G1316" s="291" t="inlineStr">
        <is>
          <t>IDR</t>
        </is>
      </c>
      <c r="H1316" s="292" t="n">
        <v>1</v>
      </c>
      <c r="I1316" s="280" t="n"/>
      <c r="J1316" s="285" t="n"/>
      <c r="K1316" s="279" t="n"/>
      <c r="L1316" s="283" t="n">
        <v>81000</v>
      </c>
      <c r="M1316" s="286" t="n"/>
      <c r="N1316" s="286" t="n"/>
      <c r="O1316" s="283" t="n"/>
      <c r="P1316" s="285" t="n"/>
      <c r="Q1316" s="287" t="n"/>
      <c r="R1316" s="278" t="n"/>
      <c r="S1316" s="278" t="n"/>
      <c r="T1316" s="278" t="n"/>
      <c r="U1316" s="278" t="n"/>
      <c r="V1316" s="278" t="n"/>
      <c r="W1316" s="278" t="n"/>
      <c r="X1316" s="278" t="n"/>
      <c r="Y1316" s="278" t="n"/>
      <c r="Z1316" s="278" t="n"/>
      <c r="AA1316" s="278" t="n"/>
      <c r="AB1316" s="278" t="n"/>
      <c r="AC1316" s="278" t="n"/>
      <c r="AD1316" s="278" t="n"/>
    </row>
    <row r="1317">
      <c r="B1317" s="299" t="n"/>
      <c r="C1317" s="299" t="n"/>
      <c r="D1317" s="300" t="inlineStr">
        <is>
          <t>Medical</t>
        </is>
      </c>
      <c r="E1317" s="299" t="n"/>
      <c r="F1317" s="299" t="n"/>
      <c r="G1317" s="299" t="n"/>
      <c r="H1317" s="299" t="n"/>
      <c r="I1317" s="299" t="n"/>
      <c r="J1317" s="299" t="n"/>
      <c r="K1317" s="299" t="n"/>
      <c r="L1317" s="299" t="n"/>
      <c r="M1317" s="299" t="n"/>
      <c r="N1317" s="299" t="n"/>
      <c r="O1317" s="299" t="n"/>
      <c r="P1317" s="299" t="n"/>
      <c r="Q1317" s="299" t="n"/>
      <c r="R1317" s="278" t="n"/>
      <c r="S1317" s="278" t="n"/>
      <c r="T1317" s="278" t="n"/>
      <c r="U1317" s="278" t="n"/>
      <c r="V1317" s="278" t="n"/>
      <c r="W1317" s="278" t="n"/>
      <c r="X1317" s="278" t="n"/>
      <c r="Y1317" s="278" t="n"/>
      <c r="Z1317" s="278" t="n"/>
      <c r="AA1317" s="278" t="n"/>
      <c r="AB1317" s="278" t="n"/>
      <c r="AC1317" s="278" t="n"/>
      <c r="AD1317" s="278" t="n"/>
    </row>
    <row r="1318" ht="15.5" customHeight="1">
      <c r="B1318" s="288" t="n">
        <v>45484</v>
      </c>
      <c r="C1318" s="289" t="n">
        <v>165</v>
      </c>
      <c r="D1318" s="290" t="inlineStr">
        <is>
          <t>Fisioterapi 3rd</t>
        </is>
      </c>
      <c r="E1318" s="287" t="inlineStr">
        <is>
          <t>-</t>
        </is>
      </c>
      <c r="F1318" s="283" t="n">
        <v>285000</v>
      </c>
      <c r="G1318" s="291" t="inlineStr">
        <is>
          <t>IDR</t>
        </is>
      </c>
      <c r="H1318" s="292" t="n">
        <v>1</v>
      </c>
      <c r="I1318" s="280" t="n"/>
      <c r="J1318" s="285" t="n"/>
      <c r="K1318" s="279" t="n"/>
      <c r="L1318" s="283" t="n"/>
      <c r="M1318" s="286" t="n"/>
      <c r="N1318" s="286" t="n"/>
      <c r="O1318" s="283" t="n"/>
      <c r="P1318" s="283" t="n">
        <v>285000</v>
      </c>
      <c r="Q1318" s="287" t="n"/>
      <c r="R1318" s="278" t="n"/>
      <c r="S1318" s="278" t="n"/>
      <c r="T1318" s="278" t="n"/>
      <c r="U1318" s="278" t="n"/>
      <c r="V1318" s="278" t="n"/>
      <c r="W1318" s="278" t="n"/>
      <c r="X1318" s="278" t="n"/>
      <c r="Y1318" s="278" t="n"/>
      <c r="Z1318" s="278" t="n"/>
      <c r="AA1318" s="278" t="n"/>
      <c r="AB1318" s="278" t="n"/>
      <c r="AC1318" s="278" t="n"/>
      <c r="AD1318" s="278" t="n"/>
    </row>
    <row r="1319">
      <c r="B1319" s="299" t="n"/>
      <c r="C1319" s="299" t="n"/>
      <c r="D1319" s="300" t="inlineStr">
        <is>
          <t>Sparepart</t>
        </is>
      </c>
      <c r="E1319" s="299" t="n"/>
      <c r="F1319" s="299" t="n"/>
      <c r="G1319" s="299" t="n"/>
      <c r="H1319" s="299" t="n"/>
      <c r="I1319" s="299" t="n"/>
      <c r="J1319" s="299" t="n"/>
      <c r="K1319" s="299" t="n"/>
      <c r="L1319" s="299" t="n"/>
      <c r="M1319" s="299" t="n"/>
      <c r="N1319" s="299" t="n"/>
      <c r="O1319" s="299" t="n"/>
      <c r="P1319" s="299" t="n"/>
      <c r="Q1319" s="299" t="n"/>
      <c r="R1319" s="278" t="n"/>
      <c r="S1319" s="278" t="n"/>
      <c r="T1319" s="278" t="n"/>
      <c r="U1319" s="278" t="n"/>
      <c r="V1319" s="278" t="n"/>
      <c r="W1319" s="278" t="n"/>
      <c r="X1319" s="278" t="n"/>
      <c r="Y1319" s="278" t="n"/>
      <c r="Z1319" s="278" t="n"/>
      <c r="AA1319" s="278" t="n"/>
      <c r="AB1319" s="278" t="n"/>
      <c r="AC1319" s="278" t="n"/>
      <c r="AD1319" s="278" t="n"/>
    </row>
    <row r="1320" ht="15.5" customHeight="1">
      <c r="B1320" s="288" t="n">
        <v>45500</v>
      </c>
      <c r="C1320" s="289" t="n">
        <v>166</v>
      </c>
      <c r="D1320" s="290" t="inlineStr">
        <is>
          <t>Buy Connection 1/4"</t>
        </is>
      </c>
      <c r="E1320" s="287" t="inlineStr">
        <is>
          <t>-</t>
        </is>
      </c>
      <c r="F1320" s="283" t="n">
        <v>1760000</v>
      </c>
      <c r="G1320" s="291" t="inlineStr">
        <is>
          <t>IDR</t>
        </is>
      </c>
      <c r="H1320" s="292" t="n">
        <v>1</v>
      </c>
      <c r="I1320" s="280" t="n"/>
      <c r="J1320" s="285" t="n"/>
      <c r="K1320" s="279" t="n"/>
      <c r="L1320" s="283" t="n"/>
      <c r="M1320" s="286" t="n"/>
      <c r="N1320" s="286" t="n">
        <v>1760000</v>
      </c>
      <c r="O1320" s="283" t="n"/>
      <c r="P1320" s="285" t="n"/>
      <c r="Q1320" s="287" t="n"/>
      <c r="R1320" s="278" t="n"/>
      <c r="S1320" s="278" t="n"/>
      <c r="T1320" s="278" t="n"/>
      <c r="U1320" s="278" t="n"/>
      <c r="V1320" s="278" t="n"/>
      <c r="W1320" s="278" t="n"/>
      <c r="X1320" s="278" t="n"/>
      <c r="Y1320" s="278" t="n"/>
      <c r="Z1320" s="278" t="n"/>
      <c r="AA1320" s="278" t="n"/>
      <c r="AB1320" s="278" t="n"/>
      <c r="AC1320" s="278" t="n"/>
      <c r="AD1320" s="278" t="n"/>
    </row>
    <row r="1321">
      <c r="B1321" s="299" t="n"/>
      <c r="C1321" s="299" t="n"/>
      <c r="D1321" s="300" t="inlineStr">
        <is>
          <t>Transportation</t>
        </is>
      </c>
      <c r="E1321" s="299" t="n"/>
      <c r="F1321" s="299" t="n"/>
      <c r="G1321" s="299" t="n"/>
      <c r="H1321" s="299" t="n"/>
      <c r="I1321" s="299" t="n"/>
      <c r="J1321" s="299" t="n"/>
      <c r="K1321" s="299" t="n"/>
      <c r="L1321" s="299" t="n"/>
      <c r="M1321" s="299" t="n"/>
      <c r="N1321" s="299" t="n"/>
      <c r="O1321" s="299" t="n"/>
      <c r="P1321" s="299" t="n"/>
      <c r="Q1321" s="299" t="n"/>
      <c r="R1321" s="278" t="n"/>
      <c r="S1321" s="278" t="n"/>
      <c r="T1321" s="278" t="n"/>
      <c r="U1321" s="278" t="n"/>
      <c r="V1321" s="278" t="n"/>
      <c r="W1321" s="278" t="n"/>
      <c r="X1321" s="278" t="n"/>
      <c r="Y1321" s="278" t="n"/>
      <c r="Z1321" s="278" t="n"/>
      <c r="AA1321" s="278" t="n"/>
      <c r="AB1321" s="278" t="n"/>
      <c r="AC1321" s="278" t="n"/>
      <c r="AD1321" s="278" t="n"/>
    </row>
    <row r="1322" ht="15.5" customHeight="1">
      <c r="B1322" s="288" t="n">
        <v>45501</v>
      </c>
      <c r="C1322" s="289" t="n">
        <v>167</v>
      </c>
      <c r="D1322" s="290" t="inlineStr">
        <is>
          <t>Fuel trip ke Glodok buy Hydralic pump assesories</t>
        </is>
      </c>
      <c r="E1322" s="287" t="inlineStr">
        <is>
          <t>-</t>
        </is>
      </c>
      <c r="F1322" s="283" t="n">
        <v>217350</v>
      </c>
      <c r="G1322" s="291" t="inlineStr">
        <is>
          <t>IDR</t>
        </is>
      </c>
      <c r="H1322" s="292" t="n">
        <v>1</v>
      </c>
      <c r="I1322" s="280" t="n"/>
      <c r="J1322" s="285" t="n"/>
      <c r="K1322" s="279" t="n"/>
      <c r="L1322" s="283" t="n">
        <v>217350</v>
      </c>
      <c r="M1322" s="286" t="n"/>
      <c r="N1322" s="286" t="n"/>
      <c r="O1322" s="283" t="n"/>
      <c r="P1322" s="285" t="n"/>
      <c r="Q1322" s="287" t="n"/>
      <c r="R1322" s="278" t="n"/>
      <c r="S1322" s="278" t="n"/>
      <c r="T1322" s="278" t="n"/>
      <c r="U1322" s="278" t="n"/>
      <c r="V1322" s="278" t="n"/>
      <c r="W1322" s="278" t="n"/>
      <c r="X1322" s="278" t="n"/>
      <c r="Y1322" s="278" t="n"/>
      <c r="Z1322" s="278" t="n"/>
      <c r="AA1322" s="278" t="n"/>
      <c r="AB1322" s="278" t="n"/>
      <c r="AC1322" s="278" t="n"/>
      <c r="AD1322" s="278" t="n"/>
    </row>
    <row r="1323">
      <c r="B1323" s="296" t="inlineStr">
        <is>
          <t>Expense#28</t>
        </is>
      </c>
      <c r="C1323" s="297" t="inlineStr">
        <is>
          <t>:</t>
        </is>
      </c>
      <c r="D1323" s="296" t="inlineStr">
        <is>
          <t>ALFA-MPLT-Sampler project TIS Energy Blora_well RBG-3B by Barekin Sakti- AC</t>
        </is>
      </c>
      <c r="E1323" s="298" t="n"/>
      <c r="F1323" s="298" t="n"/>
      <c r="G1323" s="298" t="n"/>
      <c r="H1323" s="298" t="n"/>
      <c r="I1323" s="298" t="n"/>
      <c r="J1323" s="298" t="n"/>
      <c r="K1323" s="298" t="n"/>
      <c r="L1323" s="298" t="n"/>
      <c r="M1323" s="298" t="n"/>
      <c r="N1323" s="298" t="n"/>
      <c r="O1323" s="298" t="n"/>
      <c r="P1323" s="298" t="n"/>
      <c r="Q1323" s="298" t="n"/>
      <c r="R1323" s="278" t="n"/>
      <c r="S1323" s="278" t="n"/>
      <c r="T1323" s="278" t="n"/>
      <c r="U1323" s="278" t="n"/>
      <c r="V1323" s="278" t="n"/>
      <c r="W1323" s="278" t="n"/>
      <c r="X1323" s="278" t="n"/>
      <c r="Y1323" s="278" t="n"/>
      <c r="Z1323" s="278" t="n"/>
      <c r="AA1323" s="278" t="n"/>
      <c r="AB1323" s="278" t="n"/>
      <c r="AC1323" s="278" t="n"/>
      <c r="AD1323" s="278" t="n"/>
    </row>
    <row r="1324">
      <c r="B1324" s="299" t="n"/>
      <c r="C1324" s="299" t="n"/>
      <c r="D1324" s="300" t="inlineStr">
        <is>
          <t>Accommodation</t>
        </is>
      </c>
      <c r="E1324" s="299" t="n"/>
      <c r="F1324" s="299" t="n"/>
      <c r="G1324" s="299" t="n"/>
      <c r="H1324" s="299" t="n"/>
      <c r="I1324" s="299" t="n"/>
      <c r="J1324" s="299" t="n"/>
      <c r="K1324" s="299" t="n"/>
      <c r="L1324" s="299" t="n"/>
      <c r="M1324" s="299" t="n"/>
      <c r="N1324" s="299" t="n"/>
      <c r="O1324" s="299" t="n"/>
      <c r="P1324" s="299" t="n"/>
      <c r="Q1324" s="299" t="n"/>
      <c r="R1324" s="278" t="n"/>
      <c r="S1324" s="278" t="n"/>
      <c r="T1324" s="278" t="n"/>
      <c r="U1324" s="278" t="n"/>
      <c r="V1324" s="278" t="n"/>
      <c r="W1324" s="278" t="n"/>
      <c r="X1324" s="278" t="n"/>
      <c r="Y1324" s="278" t="n"/>
      <c r="Z1324" s="278" t="n"/>
      <c r="AA1324" s="278" t="n"/>
      <c r="AB1324" s="278" t="n"/>
      <c r="AC1324" s="278" t="n"/>
      <c r="AD1324" s="278" t="n"/>
    </row>
    <row r="1325" ht="15.5" customHeight="1">
      <c r="B1325" s="288" t="n">
        <v>45507</v>
      </c>
      <c r="C1325" s="289" t="n">
        <v>168</v>
      </c>
      <c r="D1325" s="290" t="inlineStr">
        <is>
          <t>Hotel for 6 days ( 29 Jul - 3 aug 24)</t>
        </is>
      </c>
      <c r="E1325" s="287" t="inlineStr">
        <is>
          <t>-</t>
        </is>
      </c>
      <c r="F1325" s="283" t="n">
        <v>2700000</v>
      </c>
      <c r="G1325" s="291" t="inlineStr">
        <is>
          <t>IDR</t>
        </is>
      </c>
      <c r="H1325" s="292" t="n">
        <v>1</v>
      </c>
      <c r="I1325" s="280" t="n"/>
      <c r="J1325" s="285" t="n"/>
      <c r="K1325" s="279" t="n"/>
      <c r="L1325" s="283" t="n">
        <v>2700000</v>
      </c>
      <c r="M1325" s="286" t="n"/>
      <c r="N1325" s="286" t="n"/>
      <c r="O1325" s="283" t="n"/>
      <c r="P1325" s="285" t="n"/>
      <c r="Q1325" s="287" t="n"/>
      <c r="R1325" s="278" t="n"/>
      <c r="S1325" s="278" t="n"/>
      <c r="T1325" s="278" t="n"/>
      <c r="U1325" s="278" t="n"/>
      <c r="V1325" s="278" t="n"/>
      <c r="W1325" s="278" t="n"/>
      <c r="X1325" s="278" t="n"/>
      <c r="Y1325" s="278" t="n"/>
      <c r="Z1325" s="278" t="n"/>
      <c r="AA1325" s="278" t="n"/>
      <c r="AB1325" s="278" t="n"/>
      <c r="AC1325" s="278" t="n"/>
      <c r="AD1325" s="278" t="n"/>
    </row>
    <row r="1326">
      <c r="B1326" s="299" t="n"/>
      <c r="C1326" s="299" t="n"/>
      <c r="D1326" s="300" t="inlineStr">
        <is>
          <t>Allowance</t>
        </is>
      </c>
      <c r="E1326" s="299" t="n"/>
      <c r="F1326" s="299" t="n"/>
      <c r="G1326" s="299" t="n"/>
      <c r="H1326" s="299" t="n"/>
      <c r="I1326" s="299" t="n"/>
      <c r="J1326" s="299" t="n"/>
      <c r="K1326" s="299" t="n"/>
      <c r="L1326" s="299" t="n"/>
      <c r="M1326" s="299" t="n"/>
      <c r="N1326" s="299" t="n"/>
      <c r="O1326" s="299" t="n"/>
      <c r="P1326" s="299" t="n"/>
      <c r="Q1326" s="299" t="n"/>
      <c r="R1326" s="278" t="n"/>
      <c r="S1326" s="278" t="n"/>
      <c r="T1326" s="278" t="n"/>
      <c r="U1326" s="278" t="n"/>
      <c r="V1326" s="278" t="n"/>
      <c r="W1326" s="278" t="n"/>
      <c r="X1326" s="278" t="n"/>
      <c r="Y1326" s="278" t="n"/>
      <c r="Z1326" s="278" t="n"/>
      <c r="AA1326" s="278" t="n"/>
      <c r="AB1326" s="278" t="n"/>
      <c r="AC1326" s="278" t="n"/>
      <c r="AD1326" s="278" t="n"/>
    </row>
    <row r="1327" ht="15.5" customHeight="1">
      <c r="B1327" s="288" t="n">
        <v>45511</v>
      </c>
      <c r="C1327" s="289" t="n">
        <v>169</v>
      </c>
      <c r="D1327" s="290" t="inlineStr">
        <is>
          <t>Tunjangan lapangan for 10 days (29Jul - 07Aug24) Anevril</t>
        </is>
      </c>
      <c r="E1327" s="287" t="inlineStr">
        <is>
          <t>-</t>
        </is>
      </c>
      <c r="F1327" s="283" t="n">
        <v>16100000</v>
      </c>
      <c r="G1327" s="291" t="inlineStr">
        <is>
          <t>USD</t>
        </is>
      </c>
      <c r="H1327" s="292" t="n">
        <v>16100</v>
      </c>
      <c r="I1327" s="280" t="n"/>
      <c r="J1327" s="285" t="n"/>
      <c r="K1327" s="279" t="n"/>
      <c r="L1327" s="283" t="n">
        <v>16100000</v>
      </c>
      <c r="M1327" s="286" t="n"/>
      <c r="N1327" s="286" t="n"/>
      <c r="O1327" s="283" t="n"/>
      <c r="P1327" s="285" t="n"/>
      <c r="Q1327" s="287" t="n"/>
      <c r="R1327" s="278" t="n"/>
      <c r="S1327" s="278" t="n"/>
      <c r="T1327" s="278" t="n"/>
      <c r="U1327" s="278" t="n"/>
      <c r="V1327" s="278" t="n"/>
      <c r="W1327" s="278" t="n"/>
      <c r="X1327" s="278" t="n"/>
      <c r="Y1327" s="278" t="n"/>
      <c r="Z1327" s="278" t="n"/>
      <c r="AA1327" s="278" t="n"/>
      <c r="AB1327" s="278" t="n"/>
      <c r="AC1327" s="278" t="n"/>
      <c r="AD1327" s="278" t="n"/>
    </row>
    <row r="1328">
      <c r="B1328" s="299" t="n"/>
      <c r="C1328" s="299" t="n"/>
      <c r="D1328" s="300" t="inlineStr">
        <is>
          <t>Biaya Operasi Lain-lain</t>
        </is>
      </c>
      <c r="E1328" s="299" t="n"/>
      <c r="F1328" s="299" t="n"/>
      <c r="G1328" s="299" t="n"/>
      <c r="H1328" s="299" t="n"/>
      <c r="I1328" s="299" t="n"/>
      <c r="J1328" s="299" t="n"/>
      <c r="K1328" s="299" t="n"/>
      <c r="L1328" s="299" t="n"/>
      <c r="M1328" s="299" t="n"/>
      <c r="N1328" s="299" t="n"/>
      <c r="O1328" s="299" t="n"/>
      <c r="P1328" s="299" t="n"/>
      <c r="Q1328" s="299" t="n"/>
      <c r="R1328" s="278" t="n"/>
      <c r="S1328" s="278" t="n"/>
      <c r="T1328" s="278" t="n"/>
      <c r="U1328" s="278" t="n"/>
      <c r="V1328" s="278" t="n"/>
      <c r="W1328" s="278" t="n"/>
      <c r="X1328" s="278" t="n"/>
      <c r="Y1328" s="278" t="n"/>
      <c r="Z1328" s="278" t="n"/>
      <c r="AA1328" s="278" t="n"/>
      <c r="AB1328" s="278" t="n"/>
      <c r="AC1328" s="278" t="n"/>
      <c r="AD1328" s="278" t="n"/>
    </row>
    <row r="1329" ht="15.5" customHeight="1">
      <c r="B1329" s="288" t="n">
        <v>45507</v>
      </c>
      <c r="C1329" s="289" t="n">
        <v>170</v>
      </c>
      <c r="D1329" s="290" t="inlineStr">
        <is>
          <t>w/ TIS Petroleum Personnel</t>
        </is>
      </c>
      <c r="E1329" s="287" t="inlineStr">
        <is>
          <t>-</t>
        </is>
      </c>
      <c r="F1329" s="283" t="n">
        <v>401000</v>
      </c>
      <c r="G1329" s="291" t="inlineStr">
        <is>
          <t>IDR</t>
        </is>
      </c>
      <c r="H1329" s="292" t="n">
        <v>1</v>
      </c>
      <c r="I1329" s="280" t="n"/>
      <c r="J1329" s="285" t="n"/>
      <c r="K1329" s="279" t="n"/>
      <c r="L1329" s="283" t="n">
        <v>401000</v>
      </c>
      <c r="M1329" s="286" t="n"/>
      <c r="N1329" s="286" t="n"/>
      <c r="O1329" s="283" t="n"/>
      <c r="P1329" s="285" t="n"/>
      <c r="Q1329" s="287" t="n"/>
      <c r="R1329" s="278" t="n"/>
      <c r="S1329" s="278" t="n"/>
      <c r="T1329" s="278" t="n"/>
      <c r="U1329" s="278" t="n"/>
      <c r="V1329" s="278" t="n"/>
      <c r="W1329" s="278" t="n"/>
      <c r="X1329" s="278" t="n"/>
      <c r="Y1329" s="278" t="n"/>
      <c r="Z1329" s="278" t="n"/>
      <c r="AA1329" s="278" t="n"/>
      <c r="AB1329" s="278" t="n"/>
      <c r="AC1329" s="278" t="n"/>
      <c r="AD1329" s="278" t="n"/>
    </row>
    <row r="1330">
      <c r="B1330" s="299" t="n"/>
      <c r="C1330" s="299" t="n"/>
      <c r="D1330" s="300" t="inlineStr">
        <is>
          <t>Laundry</t>
        </is>
      </c>
      <c r="E1330" s="299" t="n"/>
      <c r="F1330" s="299" t="n"/>
      <c r="G1330" s="299" t="n"/>
      <c r="H1330" s="299" t="n"/>
      <c r="I1330" s="299" t="n"/>
      <c r="J1330" s="299" t="n"/>
      <c r="K1330" s="299" t="n"/>
      <c r="L1330" s="299" t="n"/>
      <c r="M1330" s="299" t="n"/>
      <c r="N1330" s="299" t="n"/>
      <c r="O1330" s="299" t="n"/>
      <c r="P1330" s="299" t="n"/>
      <c r="Q1330" s="299" t="n"/>
      <c r="R1330" s="278" t="n"/>
      <c r="S1330" s="278" t="n"/>
      <c r="T1330" s="278" t="n"/>
      <c r="U1330" s="278" t="n"/>
      <c r="V1330" s="278" t="n"/>
      <c r="W1330" s="278" t="n"/>
      <c r="X1330" s="278" t="n"/>
      <c r="Y1330" s="278" t="n"/>
      <c r="Z1330" s="278" t="n"/>
      <c r="AA1330" s="278" t="n"/>
      <c r="AB1330" s="278" t="n"/>
      <c r="AC1330" s="278" t="n"/>
      <c r="AD1330" s="278" t="n"/>
    </row>
    <row r="1331" ht="15.5" customHeight="1">
      <c r="B1331" s="288" t="n">
        <v>45511</v>
      </c>
      <c r="C1331" s="289" t="n">
        <v>171</v>
      </c>
      <c r="D1331" s="290" t="inlineStr">
        <is>
          <t>Laundry dor 10 days @Rp.50.000.</t>
        </is>
      </c>
      <c r="E1331" s="287" t="inlineStr">
        <is>
          <t>-</t>
        </is>
      </c>
      <c r="F1331" s="283" t="n">
        <v>500000</v>
      </c>
      <c r="G1331" s="291" t="inlineStr">
        <is>
          <t>IDR</t>
        </is>
      </c>
      <c r="H1331" s="292" t="n">
        <v>1</v>
      </c>
      <c r="I1331" s="280" t="n"/>
      <c r="J1331" s="285" t="n"/>
      <c r="K1331" s="279" t="n"/>
      <c r="L1331" s="283" t="n">
        <v>500000</v>
      </c>
      <c r="M1331" s="286" t="n"/>
      <c r="N1331" s="286" t="n"/>
      <c r="O1331" s="283" t="n"/>
      <c r="P1331" s="285" t="n"/>
      <c r="Q1331" s="287" t="n"/>
      <c r="R1331" s="278" t="n"/>
      <c r="S1331" s="278" t="n"/>
      <c r="T1331" s="278" t="n"/>
      <c r="U1331" s="278" t="n"/>
      <c r="V1331" s="278" t="n"/>
      <c r="W1331" s="278" t="n"/>
      <c r="X1331" s="278" t="n"/>
      <c r="Y1331" s="278" t="n"/>
      <c r="Z1331" s="278" t="n"/>
      <c r="AA1331" s="278" t="n"/>
      <c r="AB1331" s="278" t="n"/>
      <c r="AC1331" s="278" t="n"/>
      <c r="AD1331" s="278" t="n"/>
    </row>
    <row r="1332">
      <c r="B1332" s="299" t="n"/>
      <c r="C1332" s="299" t="n"/>
      <c r="D1332" s="300" t="inlineStr">
        <is>
          <t>Meal</t>
        </is>
      </c>
      <c r="E1332" s="299" t="n"/>
      <c r="F1332" s="299" t="n"/>
      <c r="G1332" s="299" t="n"/>
      <c r="H1332" s="299" t="n"/>
      <c r="I1332" s="299" t="n"/>
      <c r="J1332" s="299" t="n"/>
      <c r="K1332" s="299" t="n"/>
      <c r="L1332" s="299" t="n"/>
      <c r="M1332" s="299" t="n"/>
      <c r="N1332" s="299" t="n"/>
      <c r="O1332" s="299" t="n"/>
      <c r="P1332" s="299" t="n"/>
      <c r="Q1332" s="299" t="n"/>
      <c r="R1332" s="278" t="n"/>
      <c r="S1332" s="278" t="n"/>
      <c r="T1332" s="278" t="n"/>
      <c r="U1332" s="278" t="n"/>
      <c r="V1332" s="278" t="n"/>
      <c r="W1332" s="278" t="n"/>
      <c r="X1332" s="278" t="n"/>
      <c r="Y1332" s="278" t="n"/>
      <c r="Z1332" s="278" t="n"/>
      <c r="AA1332" s="278" t="n"/>
      <c r="AB1332" s="278" t="n"/>
      <c r="AC1332" s="278" t="n"/>
      <c r="AD1332" s="278" t="n"/>
    </row>
    <row r="1333" ht="15.5" customHeight="1">
      <c r="B1333" s="288" t="n">
        <v>45511</v>
      </c>
      <c r="C1333" s="289" t="n">
        <v>172</v>
      </c>
      <c r="D1333" s="290" t="inlineStr">
        <is>
          <t>Meal utk 10 hari (29 Jul -7Aug-24) @Rp. 150.000</t>
        </is>
      </c>
      <c r="E1333" s="287" t="inlineStr">
        <is>
          <t>-</t>
        </is>
      </c>
      <c r="F1333" s="283" t="n">
        <v>1500000</v>
      </c>
      <c r="G1333" s="291" t="inlineStr">
        <is>
          <t>IDR</t>
        </is>
      </c>
      <c r="H1333" s="292" t="n">
        <v>1</v>
      </c>
      <c r="I1333" s="280" t="n"/>
      <c r="J1333" s="285" t="n"/>
      <c r="K1333" s="279" t="n"/>
      <c r="L1333" s="283" t="n">
        <v>1500000</v>
      </c>
      <c r="M1333" s="286" t="n"/>
      <c r="N1333" s="286" t="n"/>
      <c r="O1333" s="283" t="n"/>
      <c r="P1333" s="285" t="n"/>
      <c r="Q1333" s="287" t="n"/>
      <c r="R1333" s="278" t="n"/>
      <c r="S1333" s="278" t="n"/>
      <c r="T1333" s="278" t="n"/>
      <c r="U1333" s="278" t="n"/>
      <c r="V1333" s="278" t="n"/>
      <c r="W1333" s="278" t="n"/>
      <c r="X1333" s="278" t="n"/>
      <c r="Y1333" s="278" t="n"/>
      <c r="Z1333" s="278" t="n"/>
      <c r="AA1333" s="278" t="n"/>
      <c r="AB1333" s="278" t="n"/>
      <c r="AC1333" s="278" t="n"/>
      <c r="AD1333" s="278" t="n"/>
    </row>
    <row r="1334">
      <c r="B1334" s="299" t="n"/>
      <c r="C1334" s="299" t="n"/>
      <c r="D1334" s="300" t="inlineStr">
        <is>
          <t>Medical</t>
        </is>
      </c>
      <c r="E1334" s="299" t="n"/>
      <c r="F1334" s="299" t="n"/>
      <c r="G1334" s="299" t="n"/>
      <c r="H1334" s="299" t="n"/>
      <c r="I1334" s="299" t="n"/>
      <c r="J1334" s="299" t="n"/>
      <c r="K1334" s="299" t="n"/>
      <c r="L1334" s="299" t="n"/>
      <c r="M1334" s="299" t="n"/>
      <c r="N1334" s="299" t="n"/>
      <c r="O1334" s="299" t="n"/>
      <c r="P1334" s="299" t="n"/>
      <c r="Q1334" s="299" t="n"/>
      <c r="R1334" s="278" t="n"/>
      <c r="S1334" s="278" t="n"/>
      <c r="T1334" s="278" t="n"/>
      <c r="U1334" s="278" t="n"/>
      <c r="V1334" s="278" t="n"/>
      <c r="W1334" s="278" t="n"/>
      <c r="X1334" s="278" t="n"/>
      <c r="Y1334" s="278" t="n"/>
      <c r="Z1334" s="278" t="n"/>
      <c r="AA1334" s="278" t="n"/>
      <c r="AB1334" s="278" t="n"/>
      <c r="AC1334" s="278" t="n"/>
      <c r="AD1334" s="278" t="n"/>
    </row>
    <row r="1335" ht="15.5" customHeight="1">
      <c r="B1335" s="288" t="n">
        <v>45502</v>
      </c>
      <c r="C1335" s="289" t="n">
        <v>173</v>
      </c>
      <c r="D1335" s="290" t="inlineStr">
        <is>
          <t>buy Zirolic</t>
        </is>
      </c>
      <c r="E1335" s="287" t="inlineStr">
        <is>
          <t>-</t>
        </is>
      </c>
      <c r="F1335" s="283" t="n">
        <v>34200</v>
      </c>
      <c r="G1335" s="291" t="inlineStr">
        <is>
          <t>IDR</t>
        </is>
      </c>
      <c r="H1335" s="292" t="n">
        <v>1</v>
      </c>
      <c r="I1335" s="280" t="n"/>
      <c r="J1335" s="285" t="n"/>
      <c r="K1335" s="279" t="n"/>
      <c r="L1335" s="283" t="n"/>
      <c r="M1335" s="286" t="n"/>
      <c r="N1335" s="286" t="n"/>
      <c r="O1335" s="283" t="n"/>
      <c r="P1335" s="283" t="n">
        <v>34200</v>
      </c>
      <c r="Q1335" s="287" t="n"/>
      <c r="R1335" s="278" t="n"/>
      <c r="S1335" s="278" t="n"/>
      <c r="T1335" s="278" t="n"/>
      <c r="U1335" s="278" t="n"/>
      <c r="V1335" s="278" t="n"/>
      <c r="W1335" s="278" t="n"/>
      <c r="X1335" s="278" t="n"/>
      <c r="Y1335" s="278" t="n"/>
      <c r="Z1335" s="278" t="n"/>
      <c r="AA1335" s="278" t="n"/>
      <c r="AB1335" s="278" t="n"/>
      <c r="AC1335" s="278" t="n"/>
      <c r="AD1335" s="278" t="n"/>
    </row>
    <row r="1336">
      <c r="B1336" s="299" t="n"/>
      <c r="C1336" s="299" t="n"/>
      <c r="D1336" s="300" t="inlineStr">
        <is>
          <t>Sparepart</t>
        </is>
      </c>
      <c r="E1336" s="299" t="n"/>
      <c r="F1336" s="299" t="n"/>
      <c r="G1336" s="299" t="n"/>
      <c r="H1336" s="299" t="n"/>
      <c r="I1336" s="299" t="n"/>
      <c r="J1336" s="299" t="n"/>
      <c r="K1336" s="299" t="n"/>
      <c r="L1336" s="299" t="n"/>
      <c r="M1336" s="299" t="n"/>
      <c r="N1336" s="299" t="n"/>
      <c r="O1336" s="299" t="n"/>
      <c r="P1336" s="299" t="n"/>
      <c r="Q1336" s="299" t="n"/>
      <c r="R1336" s="278" t="n"/>
      <c r="S1336" s="278" t="n"/>
      <c r="T1336" s="278" t="n"/>
      <c r="U1336" s="278" t="n"/>
      <c r="V1336" s="278" t="n"/>
      <c r="W1336" s="278" t="n"/>
      <c r="X1336" s="278" t="n"/>
      <c r="Y1336" s="278" t="n"/>
      <c r="Z1336" s="278" t="n"/>
      <c r="AA1336" s="278" t="n"/>
      <c r="AB1336" s="278" t="n"/>
      <c r="AC1336" s="278" t="n"/>
      <c r="AD1336" s="278" t="n"/>
    </row>
    <row r="1337" ht="15.5" customHeight="1">
      <c r="B1337" s="288" t="n">
        <v>45510</v>
      </c>
      <c r="C1337" s="289" t="n">
        <v>174</v>
      </c>
      <c r="D1337" s="290" t="inlineStr">
        <is>
          <t>Buy Paint nippon</t>
        </is>
      </c>
      <c r="E1337" s="287" t="inlineStr">
        <is>
          <t>-</t>
        </is>
      </c>
      <c r="F1337" s="283" t="n">
        <v>60000</v>
      </c>
      <c r="G1337" s="291" t="inlineStr">
        <is>
          <t>IDR</t>
        </is>
      </c>
      <c r="H1337" s="292" t="n">
        <v>1</v>
      </c>
      <c r="I1337" s="280" t="n"/>
      <c r="J1337" s="285" t="n"/>
      <c r="K1337" s="279" t="n"/>
      <c r="L1337" s="283" t="n"/>
      <c r="M1337" s="286" t="n"/>
      <c r="N1337" s="286" t="n">
        <v>60000</v>
      </c>
      <c r="O1337" s="283" t="n"/>
      <c r="P1337" s="285" t="n"/>
      <c r="Q1337" s="287" t="n"/>
      <c r="R1337" s="278" t="n"/>
      <c r="S1337" s="278" t="n"/>
      <c r="T1337" s="278" t="n"/>
      <c r="U1337" s="278" t="n"/>
      <c r="V1337" s="278" t="n"/>
      <c r="W1337" s="278" t="n"/>
      <c r="X1337" s="278" t="n"/>
      <c r="Y1337" s="278" t="n"/>
      <c r="Z1337" s="278" t="n"/>
      <c r="AA1337" s="278" t="n"/>
      <c r="AB1337" s="278" t="n"/>
      <c r="AC1337" s="278" t="n"/>
      <c r="AD1337" s="278" t="n"/>
    </row>
    <row r="1338">
      <c r="B1338" s="299" t="n"/>
      <c r="C1338" s="299" t="n"/>
      <c r="D1338" s="300" t="inlineStr">
        <is>
          <t>Transportation</t>
        </is>
      </c>
      <c r="E1338" s="299" t="n"/>
      <c r="F1338" s="299" t="n"/>
      <c r="G1338" s="299" t="n"/>
      <c r="H1338" s="299" t="n"/>
      <c r="I1338" s="299" t="n"/>
      <c r="J1338" s="299" t="n"/>
      <c r="K1338" s="299" t="n"/>
      <c r="L1338" s="299" t="n"/>
      <c r="M1338" s="299" t="n"/>
      <c r="N1338" s="299" t="n"/>
      <c r="O1338" s="299" t="n"/>
      <c r="P1338" s="299" t="n"/>
      <c r="Q1338" s="299" t="n"/>
      <c r="R1338" s="278" t="n"/>
      <c r="S1338" s="278" t="n"/>
      <c r="T1338" s="278" t="n"/>
      <c r="U1338" s="278" t="n"/>
      <c r="V1338" s="278" t="n"/>
      <c r="W1338" s="278" t="n"/>
      <c r="X1338" s="278" t="n"/>
      <c r="Y1338" s="278" t="n"/>
      <c r="Z1338" s="278" t="n"/>
      <c r="AA1338" s="278" t="n"/>
      <c r="AB1338" s="278" t="n"/>
      <c r="AC1338" s="278" t="n"/>
      <c r="AD1338" s="278" t="n"/>
    </row>
    <row r="1339" ht="15.5" customHeight="1">
      <c r="B1339" s="288" t="n">
        <v>45511</v>
      </c>
      <c r="C1339" s="289" t="n">
        <v>175</v>
      </c>
      <c r="D1339" s="290" t="inlineStr">
        <is>
          <t>Toll (Gubug - Jakarta)</t>
        </is>
      </c>
      <c r="E1339" s="287" t="inlineStr">
        <is>
          <t>-</t>
        </is>
      </c>
      <c r="F1339" s="283" t="n">
        <v>496000</v>
      </c>
      <c r="G1339" s="291" t="inlineStr">
        <is>
          <t>IDR</t>
        </is>
      </c>
      <c r="H1339" s="292" t="n">
        <v>1</v>
      </c>
      <c r="I1339" s="280" t="n"/>
      <c r="J1339" s="285" t="n"/>
      <c r="K1339" s="279" t="n"/>
      <c r="L1339" s="283" t="n">
        <v>496000</v>
      </c>
      <c r="M1339" s="286" t="n"/>
      <c r="N1339" s="286" t="n"/>
      <c r="O1339" s="283" t="n"/>
      <c r="P1339" s="285" t="n"/>
      <c r="Q1339" s="287" t="n"/>
      <c r="R1339" s="278" t="n"/>
      <c r="S1339" s="278" t="n"/>
      <c r="T1339" s="278" t="n"/>
      <c r="U1339" s="278" t="n"/>
      <c r="V1339" s="278" t="n"/>
      <c r="W1339" s="278" t="n"/>
      <c r="X1339" s="278" t="n"/>
      <c r="Y1339" s="278" t="n"/>
      <c r="Z1339" s="278" t="n"/>
      <c r="AA1339" s="278" t="n"/>
      <c r="AB1339" s="278" t="n"/>
      <c r="AC1339" s="278" t="n"/>
      <c r="AD1339" s="278" t="n"/>
    </row>
    <row r="1340">
      <c r="B1340" s="296" t="inlineStr">
        <is>
          <t>Expense#29</t>
        </is>
      </c>
      <c r="C1340" s="297" t="inlineStr">
        <is>
          <t>:</t>
        </is>
      </c>
      <c r="D1340" s="296" t="inlineStr">
        <is>
          <t>ALFA-MPLT-BHS_ RBG 3B PT. TIS under Barikin sakti _TMA</t>
        </is>
      </c>
      <c r="E1340" s="298" t="n"/>
      <c r="F1340" s="298" t="n"/>
      <c r="G1340" s="298" t="n"/>
      <c r="H1340" s="298" t="n"/>
      <c r="I1340" s="298" t="n"/>
      <c r="J1340" s="298" t="n"/>
      <c r="K1340" s="298" t="n"/>
      <c r="L1340" s="298" t="n"/>
      <c r="M1340" s="298" t="n"/>
      <c r="N1340" s="298" t="n"/>
      <c r="O1340" s="298" t="n"/>
      <c r="P1340" s="298" t="n"/>
      <c r="Q1340" s="298" t="n"/>
      <c r="R1340" s="278" t="n"/>
      <c r="S1340" s="278" t="n"/>
      <c r="T1340" s="278" t="n"/>
      <c r="U1340" s="278" t="n"/>
      <c r="V1340" s="278" t="n"/>
      <c r="W1340" s="278" t="n"/>
      <c r="X1340" s="278" t="n"/>
      <c r="Y1340" s="278" t="n"/>
      <c r="Z1340" s="278" t="n"/>
      <c r="AA1340" s="278" t="n"/>
      <c r="AB1340" s="278" t="n"/>
      <c r="AC1340" s="278" t="n"/>
      <c r="AD1340" s="278" t="n"/>
    </row>
    <row r="1341">
      <c r="B1341" s="299" t="n"/>
      <c r="C1341" s="299" t="n"/>
      <c r="D1341" s="300" t="inlineStr">
        <is>
          <t>Allowance</t>
        </is>
      </c>
      <c r="E1341" s="299" t="n"/>
      <c r="F1341" s="299" t="n"/>
      <c r="G1341" s="299" t="n"/>
      <c r="H1341" s="299" t="n"/>
      <c r="I1341" s="299" t="n"/>
      <c r="J1341" s="299" t="n"/>
      <c r="K1341" s="299" t="n"/>
      <c r="L1341" s="299" t="n"/>
      <c r="M1341" s="299" t="n"/>
      <c r="N1341" s="299" t="n"/>
      <c r="O1341" s="299" t="n"/>
      <c r="P1341" s="299" t="n"/>
      <c r="Q1341" s="299" t="n"/>
      <c r="R1341" s="278" t="n"/>
      <c r="S1341" s="278" t="n"/>
      <c r="T1341" s="278" t="n"/>
      <c r="U1341" s="278" t="n"/>
      <c r="V1341" s="278" t="n"/>
      <c r="W1341" s="278" t="n"/>
      <c r="X1341" s="278" t="n"/>
      <c r="Y1341" s="278" t="n"/>
      <c r="Z1341" s="278" t="n"/>
      <c r="AA1341" s="278" t="n"/>
      <c r="AB1341" s="278" t="n"/>
      <c r="AC1341" s="278" t="n"/>
      <c r="AD1341" s="278" t="n"/>
    </row>
    <row r="1342" ht="15.5" customHeight="1">
      <c r="B1342" s="288" t="n">
        <v>45502</v>
      </c>
      <c r="C1342" s="289" t="n">
        <v>176</v>
      </c>
      <c r="D1342" s="290" t="inlineStr">
        <is>
          <t>Tunjangan Lapangan for 10 days</t>
        </is>
      </c>
      <c r="E1342" s="287" t="inlineStr">
        <is>
          <t>-</t>
        </is>
      </c>
      <c r="F1342" s="283" t="n">
        <v>15513000</v>
      </c>
      <c r="G1342" s="291" t="inlineStr">
        <is>
          <t>USD</t>
        </is>
      </c>
      <c r="H1342" s="292" t="n">
        <v>15513</v>
      </c>
      <c r="I1342" s="280" t="n"/>
      <c r="J1342" s="285" t="n"/>
      <c r="K1342" s="279" t="n"/>
      <c r="L1342" s="283" t="n">
        <v>15513000</v>
      </c>
      <c r="M1342" s="286" t="n"/>
      <c r="N1342" s="286" t="n"/>
      <c r="O1342" s="283" t="n"/>
      <c r="P1342" s="285" t="n"/>
      <c r="Q1342" s="287" t="n"/>
      <c r="R1342" s="278" t="n"/>
      <c r="S1342" s="278" t="n"/>
      <c r="T1342" s="278" t="n"/>
      <c r="U1342" s="278" t="n"/>
      <c r="V1342" s="278" t="n"/>
      <c r="W1342" s="278" t="n"/>
      <c r="X1342" s="278" t="n"/>
      <c r="Y1342" s="278" t="n"/>
      <c r="Z1342" s="278" t="n"/>
      <c r="AA1342" s="278" t="n"/>
      <c r="AB1342" s="278" t="n"/>
      <c r="AC1342" s="278" t="n"/>
      <c r="AD1342" s="278" t="n"/>
    </row>
    <row r="1343">
      <c r="B1343" s="299" t="n"/>
      <c r="C1343" s="299" t="n"/>
      <c r="D1343" s="300" t="inlineStr">
        <is>
          <t>Biaya Operasi Lain-lain</t>
        </is>
      </c>
      <c r="E1343" s="299" t="n"/>
      <c r="F1343" s="299" t="n"/>
      <c r="G1343" s="299" t="n"/>
      <c r="H1343" s="299" t="n"/>
      <c r="I1343" s="299" t="n"/>
      <c r="J1343" s="299" t="n"/>
      <c r="K1343" s="299" t="n"/>
      <c r="L1343" s="299" t="n"/>
      <c r="M1343" s="299" t="n"/>
      <c r="N1343" s="299" t="n"/>
      <c r="O1343" s="299" t="n"/>
      <c r="P1343" s="299" t="n"/>
      <c r="Q1343" s="299" t="n"/>
      <c r="R1343" s="278" t="n"/>
      <c r="S1343" s="278" t="n"/>
      <c r="T1343" s="278" t="n"/>
      <c r="U1343" s="278" t="n"/>
      <c r="V1343" s="278" t="n"/>
      <c r="W1343" s="278" t="n"/>
      <c r="X1343" s="278" t="n"/>
      <c r="Y1343" s="278" t="n"/>
      <c r="Z1343" s="278" t="n"/>
      <c r="AA1343" s="278" t="n"/>
      <c r="AB1343" s="278" t="n"/>
      <c r="AC1343" s="278" t="n"/>
      <c r="AD1343" s="278" t="n"/>
    </row>
    <row r="1344" ht="15.5" customHeight="1">
      <c r="B1344" s="288" t="n">
        <v>45502</v>
      </c>
      <c r="C1344" s="289" t="n">
        <v>177</v>
      </c>
      <c r="D1344" s="290" t="inlineStr">
        <is>
          <t>Electrical Bill</t>
        </is>
      </c>
      <c r="E1344" s="287" t="inlineStr">
        <is>
          <t>-</t>
        </is>
      </c>
      <c r="F1344" s="283" t="n">
        <v>159682</v>
      </c>
      <c r="G1344" s="291" t="inlineStr">
        <is>
          <t>IDR</t>
        </is>
      </c>
      <c r="H1344" s="292" t="n">
        <v>1</v>
      </c>
      <c r="I1344" s="280" t="n"/>
      <c r="J1344" s="285" t="n"/>
      <c r="K1344" s="279" t="n"/>
      <c r="L1344" s="283" t="n">
        <v>159682</v>
      </c>
      <c r="M1344" s="286" t="n"/>
      <c r="N1344" s="286" t="n"/>
      <c r="O1344" s="283" t="n"/>
      <c r="P1344" s="285" t="n"/>
      <c r="Q1344" s="287" t="n"/>
      <c r="R1344" s="278" t="n"/>
      <c r="S1344" s="278" t="n"/>
      <c r="T1344" s="278" t="n"/>
      <c r="U1344" s="278" t="n"/>
      <c r="V1344" s="278" t="n"/>
      <c r="W1344" s="278" t="n"/>
      <c r="X1344" s="278" t="n"/>
      <c r="Y1344" s="278" t="n"/>
      <c r="Z1344" s="278" t="n"/>
      <c r="AA1344" s="278" t="n"/>
      <c r="AB1344" s="278" t="n"/>
      <c r="AC1344" s="278" t="n"/>
      <c r="AD1344" s="278" t="n"/>
    </row>
    <row r="1345">
      <c r="B1345" s="299" t="n"/>
      <c r="C1345" s="299" t="n"/>
      <c r="D1345" s="300" t="inlineStr">
        <is>
          <t>Laundry</t>
        </is>
      </c>
      <c r="E1345" s="299" t="n"/>
      <c r="F1345" s="299" t="n"/>
      <c r="G1345" s="299" t="n"/>
      <c r="H1345" s="299" t="n"/>
      <c r="I1345" s="299" t="n"/>
      <c r="J1345" s="299" t="n"/>
      <c r="K1345" s="299" t="n"/>
      <c r="L1345" s="299" t="n"/>
      <c r="M1345" s="299" t="n"/>
      <c r="N1345" s="299" t="n"/>
      <c r="O1345" s="299" t="n"/>
      <c r="P1345" s="299" t="n"/>
      <c r="Q1345" s="299" t="n"/>
      <c r="R1345" s="278" t="n"/>
      <c r="S1345" s="278" t="n"/>
      <c r="T1345" s="278" t="n"/>
      <c r="U1345" s="278" t="n"/>
      <c r="V1345" s="278" t="n"/>
      <c r="W1345" s="278" t="n"/>
      <c r="X1345" s="278" t="n"/>
      <c r="Y1345" s="278" t="n"/>
      <c r="Z1345" s="278" t="n"/>
      <c r="AA1345" s="278" t="n"/>
      <c r="AB1345" s="278" t="n"/>
      <c r="AC1345" s="278" t="n"/>
      <c r="AD1345" s="278" t="n"/>
    </row>
    <row r="1346" ht="15.5" customHeight="1">
      <c r="B1346" s="288" t="n">
        <v>45502</v>
      </c>
      <c r="C1346" s="289" t="n">
        <v>178</v>
      </c>
      <c r="D1346" s="290" t="inlineStr">
        <is>
          <t>Laundry 10 days 1 Persons @ 50K IDR/day</t>
        </is>
      </c>
      <c r="E1346" s="287" t="inlineStr">
        <is>
          <t>-</t>
        </is>
      </c>
      <c r="F1346" s="283" t="n">
        <v>500000</v>
      </c>
      <c r="G1346" s="291" t="inlineStr">
        <is>
          <t>IDR</t>
        </is>
      </c>
      <c r="H1346" s="292" t="n">
        <v>1</v>
      </c>
      <c r="I1346" s="280" t="n"/>
      <c r="J1346" s="285" t="n"/>
      <c r="K1346" s="279" t="n"/>
      <c r="L1346" s="283" t="n">
        <v>500000</v>
      </c>
      <c r="M1346" s="286" t="n"/>
      <c r="N1346" s="286" t="n"/>
      <c r="O1346" s="283" t="n"/>
      <c r="P1346" s="285" t="n"/>
      <c r="Q1346" s="287" t="n"/>
      <c r="R1346" s="278" t="n"/>
      <c r="S1346" s="278" t="n"/>
      <c r="T1346" s="278" t="n"/>
      <c r="U1346" s="278" t="n"/>
      <c r="V1346" s="278" t="n"/>
      <c r="W1346" s="278" t="n"/>
      <c r="X1346" s="278" t="n"/>
      <c r="Y1346" s="278" t="n"/>
      <c r="Z1346" s="278" t="n"/>
      <c r="AA1346" s="278" t="n"/>
      <c r="AB1346" s="278" t="n"/>
      <c r="AC1346" s="278" t="n"/>
      <c r="AD1346" s="278" t="n"/>
    </row>
    <row r="1347">
      <c r="B1347" s="299" t="n"/>
      <c r="C1347" s="299" t="n"/>
      <c r="D1347" s="300" t="inlineStr">
        <is>
          <t>Meal</t>
        </is>
      </c>
      <c r="E1347" s="299" t="n"/>
      <c r="F1347" s="299" t="n"/>
      <c r="G1347" s="299" t="n"/>
      <c r="H1347" s="299" t="n"/>
      <c r="I1347" s="299" t="n"/>
      <c r="J1347" s="299" t="n"/>
      <c r="K1347" s="299" t="n"/>
      <c r="L1347" s="299" t="n"/>
      <c r="M1347" s="299" t="n"/>
      <c r="N1347" s="299" t="n"/>
      <c r="O1347" s="299" t="n"/>
      <c r="P1347" s="299" t="n"/>
      <c r="Q1347" s="299" t="n"/>
      <c r="R1347" s="278" t="n"/>
      <c r="S1347" s="278" t="n"/>
      <c r="T1347" s="278" t="n"/>
      <c r="U1347" s="278" t="n"/>
      <c r="V1347" s="278" t="n"/>
      <c r="W1347" s="278" t="n"/>
      <c r="X1347" s="278" t="n"/>
      <c r="Y1347" s="278" t="n"/>
      <c r="Z1347" s="278" t="n"/>
      <c r="AA1347" s="278" t="n"/>
      <c r="AB1347" s="278" t="n"/>
      <c r="AC1347" s="278" t="n"/>
      <c r="AD1347" s="278" t="n"/>
    </row>
    <row r="1348" ht="15.5" customHeight="1">
      <c r="B1348" s="288" t="n">
        <v>45502</v>
      </c>
      <c r="C1348" s="289" t="n">
        <v>179</v>
      </c>
      <c r="D1348" s="290" t="inlineStr">
        <is>
          <t>Meals 10 days 1 Persons @ 150K IDR/day</t>
        </is>
      </c>
      <c r="E1348" s="287" t="inlineStr">
        <is>
          <t>-</t>
        </is>
      </c>
      <c r="F1348" s="283" t="n">
        <v>1500000</v>
      </c>
      <c r="G1348" s="291" t="inlineStr">
        <is>
          <t>IDR</t>
        </is>
      </c>
      <c r="H1348" s="292" t="n">
        <v>1</v>
      </c>
      <c r="I1348" s="280" t="n"/>
      <c r="J1348" s="285" t="n"/>
      <c r="K1348" s="279" t="n"/>
      <c r="L1348" s="283" t="n">
        <v>1500000</v>
      </c>
      <c r="M1348" s="286" t="n"/>
      <c r="N1348" s="286" t="n"/>
      <c r="O1348" s="283" t="n"/>
      <c r="P1348" s="285" t="n"/>
      <c r="Q1348" s="287" t="n"/>
      <c r="R1348" s="278" t="n"/>
      <c r="S1348" s="278" t="n"/>
      <c r="T1348" s="278" t="n"/>
      <c r="U1348" s="278" t="n"/>
      <c r="V1348" s="278" t="n"/>
      <c r="W1348" s="278" t="n"/>
      <c r="X1348" s="278" t="n"/>
      <c r="Y1348" s="278" t="n"/>
      <c r="Z1348" s="278" t="n"/>
      <c r="AA1348" s="278" t="n"/>
      <c r="AB1348" s="278" t="n"/>
      <c r="AC1348" s="278" t="n"/>
      <c r="AD1348" s="278" t="n"/>
    </row>
    <row r="1349">
      <c r="B1349" s="299" t="n"/>
      <c r="C1349" s="299" t="n"/>
      <c r="D1349" s="300" t="inlineStr">
        <is>
          <t>Sparepart</t>
        </is>
      </c>
      <c r="E1349" s="299" t="n"/>
      <c r="F1349" s="299" t="n"/>
      <c r="G1349" s="299" t="n"/>
      <c r="H1349" s="299" t="n"/>
      <c r="I1349" s="299" t="n"/>
      <c r="J1349" s="299" t="n"/>
      <c r="K1349" s="299" t="n"/>
      <c r="L1349" s="299" t="n"/>
      <c r="M1349" s="299" t="n"/>
      <c r="N1349" s="299" t="n"/>
      <c r="O1349" s="299" t="n"/>
      <c r="P1349" s="299" t="n"/>
      <c r="Q1349" s="299" t="n"/>
      <c r="R1349" s="278" t="n"/>
      <c r="S1349" s="278" t="n"/>
      <c r="T1349" s="278" t="n"/>
      <c r="U1349" s="278" t="n"/>
      <c r="V1349" s="278" t="n"/>
      <c r="W1349" s="278" t="n"/>
      <c r="X1349" s="278" t="n"/>
      <c r="Y1349" s="278" t="n"/>
      <c r="Z1349" s="278" t="n"/>
      <c r="AA1349" s="278" t="n"/>
      <c r="AB1349" s="278" t="n"/>
      <c r="AC1349" s="278" t="n"/>
      <c r="AD1349" s="278" t="n"/>
    </row>
    <row r="1350" ht="15.5" customHeight="1">
      <c r="B1350" s="288" t="n">
        <v>45499</v>
      </c>
      <c r="C1350" s="289" t="n">
        <v>180</v>
      </c>
      <c r="D1350" s="290" t="inlineStr">
        <is>
          <t>TOP 1 High Temp Grease</t>
        </is>
      </c>
      <c r="E1350" s="287" t="inlineStr">
        <is>
          <t>-</t>
        </is>
      </c>
      <c r="F1350" s="283" t="n">
        <v>144900</v>
      </c>
      <c r="G1350" s="291" t="inlineStr">
        <is>
          <t>IDR</t>
        </is>
      </c>
      <c r="H1350" s="292" t="n">
        <v>1</v>
      </c>
      <c r="I1350" s="280" t="n"/>
      <c r="J1350" s="285" t="n"/>
      <c r="K1350" s="279" t="n"/>
      <c r="L1350" s="283" t="n"/>
      <c r="M1350" s="286" t="n"/>
      <c r="N1350" s="286" t="n">
        <v>144900</v>
      </c>
      <c r="O1350" s="283" t="n"/>
      <c r="P1350" s="285" t="n"/>
      <c r="Q1350" s="287" t="n"/>
      <c r="R1350" s="278" t="n"/>
      <c r="S1350" s="278" t="n"/>
      <c r="T1350" s="278" t="n"/>
      <c r="U1350" s="278" t="n"/>
      <c r="V1350" s="278" t="n"/>
      <c r="W1350" s="278" t="n"/>
      <c r="X1350" s="278" t="n"/>
      <c r="Y1350" s="278" t="n"/>
      <c r="Z1350" s="278" t="n"/>
      <c r="AA1350" s="278" t="n"/>
      <c r="AB1350" s="278" t="n"/>
      <c r="AC1350" s="278" t="n"/>
      <c r="AD1350" s="278" t="n"/>
    </row>
    <row r="1351">
      <c r="B1351" s="299" t="n"/>
      <c r="C1351" s="299" t="n"/>
      <c r="D1351" s="300" t="inlineStr">
        <is>
          <t>Transportation</t>
        </is>
      </c>
      <c r="E1351" s="299" t="n"/>
      <c r="F1351" s="299" t="n"/>
      <c r="G1351" s="299" t="n"/>
      <c r="H1351" s="299" t="n"/>
      <c r="I1351" s="299" t="n"/>
      <c r="J1351" s="299" t="n"/>
      <c r="K1351" s="299" t="n"/>
      <c r="L1351" s="299" t="n"/>
      <c r="M1351" s="299" t="n"/>
      <c r="N1351" s="299" t="n"/>
      <c r="O1351" s="299" t="n"/>
      <c r="P1351" s="299" t="n"/>
      <c r="Q1351" s="299" t="n"/>
      <c r="R1351" s="278" t="n"/>
      <c r="S1351" s="278" t="n"/>
      <c r="T1351" s="278" t="n"/>
      <c r="U1351" s="278" t="n"/>
      <c r="V1351" s="278" t="n"/>
      <c r="W1351" s="278" t="n"/>
      <c r="X1351" s="278" t="n"/>
      <c r="Y1351" s="278" t="n"/>
      <c r="Z1351" s="278" t="n"/>
      <c r="AA1351" s="278" t="n"/>
      <c r="AB1351" s="278" t="n"/>
      <c r="AC1351" s="278" t="n"/>
      <c r="AD1351" s="278" t="n"/>
    </row>
    <row r="1352" ht="15.5" customHeight="1">
      <c r="B1352" s="288" t="n">
        <v>45517</v>
      </c>
      <c r="C1352" s="289" t="n">
        <v>181</v>
      </c>
      <c r="D1352" s="290" t="inlineStr">
        <is>
          <t>Lalamove Barikin to Base</t>
        </is>
      </c>
      <c r="E1352" s="287" t="inlineStr">
        <is>
          <t>-</t>
        </is>
      </c>
      <c r="F1352" s="283" t="n">
        <v>161885</v>
      </c>
      <c r="G1352" s="291" t="inlineStr">
        <is>
          <t>IDR</t>
        </is>
      </c>
      <c r="H1352" s="292" t="n">
        <v>1</v>
      </c>
      <c r="I1352" s="280" t="n"/>
      <c r="J1352" s="285" t="n"/>
      <c r="K1352" s="279" t="n"/>
      <c r="L1352" s="283" t="n">
        <v>161885</v>
      </c>
      <c r="M1352" s="286" t="n"/>
      <c r="N1352" s="286" t="n"/>
      <c r="O1352" s="283" t="n"/>
      <c r="P1352" s="285" t="n"/>
      <c r="Q1352" s="287" t="n"/>
      <c r="R1352" s="278" t="n"/>
      <c r="S1352" s="278" t="n"/>
      <c r="T1352" s="278" t="n"/>
      <c r="U1352" s="278" t="n"/>
      <c r="V1352" s="278" t="n"/>
      <c r="W1352" s="278" t="n"/>
      <c r="X1352" s="278" t="n"/>
      <c r="Y1352" s="278" t="n"/>
      <c r="Z1352" s="278" t="n"/>
      <c r="AA1352" s="278" t="n"/>
      <c r="AB1352" s="278" t="n"/>
      <c r="AC1352" s="278" t="n"/>
      <c r="AD1352" s="278" t="n"/>
    </row>
    <row r="1353">
      <c r="B1353" s="296" t="inlineStr">
        <is>
          <t>Expense#30</t>
        </is>
      </c>
      <c r="C1353" s="297" t="inlineStr">
        <is>
          <t>:</t>
        </is>
      </c>
      <c r="D1353" s="296" t="inlineStr">
        <is>
          <t>ALFA JOB - PMB 009 (cancel job) - IBR</t>
        </is>
      </c>
      <c r="E1353" s="298" t="n"/>
      <c r="F1353" s="298" t="n"/>
      <c r="G1353" s="298" t="n"/>
      <c r="H1353" s="298" t="n"/>
      <c r="I1353" s="298" t="n"/>
      <c r="J1353" s="298" t="n"/>
      <c r="K1353" s="298" t="n"/>
      <c r="L1353" s="298" t="n"/>
      <c r="M1353" s="298" t="n"/>
      <c r="N1353" s="298" t="n"/>
      <c r="O1353" s="298" t="n"/>
      <c r="P1353" s="298" t="n"/>
      <c r="Q1353" s="298" t="n"/>
      <c r="R1353" s="278" t="n"/>
      <c r="S1353" s="278" t="n"/>
      <c r="T1353" s="278" t="n"/>
      <c r="U1353" s="278" t="n"/>
      <c r="V1353" s="278" t="n"/>
      <c r="W1353" s="278" t="n"/>
      <c r="X1353" s="278" t="n"/>
      <c r="Y1353" s="278" t="n"/>
      <c r="Z1353" s="278" t="n"/>
      <c r="AA1353" s="278" t="n"/>
      <c r="AB1353" s="278" t="n"/>
      <c r="AC1353" s="278" t="n"/>
      <c r="AD1353" s="278" t="n"/>
    </row>
    <row r="1354">
      <c r="B1354" s="299" t="n"/>
      <c r="C1354" s="299" t="n"/>
      <c r="D1354" s="300" t="inlineStr">
        <is>
          <t>Allowance</t>
        </is>
      </c>
      <c r="E1354" s="299" t="n"/>
      <c r="F1354" s="299" t="n"/>
      <c r="G1354" s="299" t="n"/>
      <c r="H1354" s="299" t="n"/>
      <c r="I1354" s="299" t="n"/>
      <c r="J1354" s="299" t="n"/>
      <c r="K1354" s="299" t="n"/>
      <c r="L1354" s="299" t="n"/>
      <c r="M1354" s="299" t="n"/>
      <c r="N1354" s="299" t="n"/>
      <c r="O1354" s="299" t="n"/>
      <c r="P1354" s="299" t="n"/>
      <c r="Q1354" s="299" t="n"/>
      <c r="R1354" s="278" t="n"/>
      <c r="S1354" s="278" t="n"/>
      <c r="T1354" s="278" t="n"/>
      <c r="U1354" s="278" t="n"/>
      <c r="V1354" s="278" t="n"/>
      <c r="W1354" s="278" t="n"/>
      <c r="X1354" s="278" t="n"/>
      <c r="Y1354" s="278" t="n"/>
      <c r="Z1354" s="278" t="n"/>
      <c r="AA1354" s="278" t="n"/>
      <c r="AB1354" s="278" t="n"/>
      <c r="AC1354" s="278" t="n"/>
      <c r="AD1354" s="278" t="n"/>
    </row>
    <row r="1355" ht="15.5" customHeight="1">
      <c r="B1355" s="288" t="n">
        <v>45548</v>
      </c>
      <c r="C1355" s="289" t="n">
        <v>182</v>
      </c>
      <c r="D1355" s="290" t="inlineStr">
        <is>
          <t>Tunjangan Lapangan PBM - 009 (6 - 11 September 2024)</t>
        </is>
      </c>
      <c r="E1355" s="287" t="inlineStr">
        <is>
          <t>-</t>
        </is>
      </c>
      <c r="F1355" s="283" t="n">
        <v>2317500</v>
      </c>
      <c r="G1355" s="291" t="inlineStr">
        <is>
          <t>$</t>
        </is>
      </c>
      <c r="H1355" s="292" t="n">
        <v>15450</v>
      </c>
      <c r="I1355" s="280" t="n"/>
      <c r="J1355" s="285" t="n"/>
      <c r="K1355" s="279" t="n"/>
      <c r="L1355" s="283" t="n">
        <v>2317500</v>
      </c>
      <c r="M1355" s="286" t="n"/>
      <c r="N1355" s="286" t="n"/>
      <c r="O1355" s="283" t="n"/>
      <c r="P1355" s="285" t="n"/>
      <c r="Q1355" s="287" t="n"/>
      <c r="R1355" s="278" t="n"/>
      <c r="S1355" s="278" t="n"/>
      <c r="T1355" s="278" t="n"/>
      <c r="U1355" s="278" t="n"/>
      <c r="V1355" s="278" t="n"/>
      <c r="W1355" s="278" t="n"/>
      <c r="X1355" s="278" t="n"/>
      <c r="Y1355" s="278" t="n"/>
      <c r="Z1355" s="278" t="n"/>
      <c r="AA1355" s="278" t="n"/>
      <c r="AB1355" s="278" t="n"/>
      <c r="AC1355" s="278" t="n"/>
      <c r="AD1355" s="278" t="n"/>
    </row>
    <row r="1356">
      <c r="B1356" s="299" t="n"/>
      <c r="C1356" s="299" t="n"/>
      <c r="D1356" s="300" t="inlineStr">
        <is>
          <t>Laundry</t>
        </is>
      </c>
      <c r="E1356" s="299" t="n"/>
      <c r="F1356" s="299" t="n"/>
      <c r="G1356" s="299" t="n"/>
      <c r="H1356" s="299" t="n"/>
      <c r="I1356" s="299" t="n"/>
      <c r="J1356" s="299" t="n"/>
      <c r="K1356" s="299" t="n"/>
      <c r="L1356" s="299" t="n"/>
      <c r="M1356" s="299" t="n"/>
      <c r="N1356" s="299" t="n"/>
      <c r="O1356" s="299" t="n"/>
      <c r="P1356" s="299" t="n"/>
      <c r="Q1356" s="299" t="n"/>
      <c r="R1356" s="278" t="n"/>
      <c r="S1356" s="278" t="n"/>
      <c r="T1356" s="278" t="n"/>
      <c r="U1356" s="278" t="n"/>
      <c r="V1356" s="278" t="n"/>
      <c r="W1356" s="278" t="n"/>
      <c r="X1356" s="278" t="n"/>
      <c r="Y1356" s="278" t="n"/>
      <c r="Z1356" s="278" t="n"/>
      <c r="AA1356" s="278" t="n"/>
      <c r="AB1356" s="278" t="n"/>
      <c r="AC1356" s="278" t="n"/>
      <c r="AD1356" s="278" t="n"/>
    </row>
    <row r="1357" ht="15.5" customHeight="1">
      <c r="B1357" s="288" t="n">
        <v>45548</v>
      </c>
      <c r="C1357" s="289" t="n">
        <v>183</v>
      </c>
      <c r="D1357" s="290" t="inlineStr">
        <is>
          <t>Laundry (6 - 11 September 2024) 6 days</t>
        </is>
      </c>
      <c r="E1357" s="287" t="inlineStr">
        <is>
          <t>-</t>
        </is>
      </c>
      <c r="F1357" s="283" t="n">
        <v>300000</v>
      </c>
      <c r="G1357" s="291" t="inlineStr">
        <is>
          <t>IDR</t>
        </is>
      </c>
      <c r="H1357" s="292" t="n">
        <v>1</v>
      </c>
      <c r="I1357" s="280" t="n"/>
      <c r="J1357" s="285" t="n"/>
      <c r="K1357" s="279" t="n"/>
      <c r="L1357" s="283" t="n">
        <v>300000</v>
      </c>
      <c r="M1357" s="286" t="n"/>
      <c r="N1357" s="286" t="n"/>
      <c r="O1357" s="283" t="n"/>
      <c r="P1357" s="285" t="n"/>
      <c r="Q1357" s="287" t="n"/>
      <c r="R1357" s="278" t="n"/>
      <c r="S1357" s="278" t="n"/>
      <c r="T1357" s="278" t="n"/>
      <c r="U1357" s="278" t="n"/>
      <c r="V1357" s="278" t="n"/>
      <c r="W1357" s="278" t="n"/>
      <c r="X1357" s="278" t="n"/>
      <c r="Y1357" s="278" t="n"/>
      <c r="Z1357" s="278" t="n"/>
      <c r="AA1357" s="278" t="n"/>
      <c r="AB1357" s="278" t="n"/>
      <c r="AC1357" s="278" t="n"/>
      <c r="AD1357" s="278" t="n"/>
    </row>
    <row r="1358">
      <c r="B1358" s="299" t="n"/>
      <c r="C1358" s="299" t="n"/>
      <c r="D1358" s="300" t="inlineStr">
        <is>
          <t>Meal</t>
        </is>
      </c>
      <c r="E1358" s="299" t="n"/>
      <c r="F1358" s="299" t="n"/>
      <c r="G1358" s="299" t="n"/>
      <c r="H1358" s="299" t="n"/>
      <c r="I1358" s="299" t="n"/>
      <c r="J1358" s="299" t="n"/>
      <c r="K1358" s="299" t="n"/>
      <c r="L1358" s="299" t="n"/>
      <c r="M1358" s="299" t="n"/>
      <c r="N1358" s="299" t="n"/>
      <c r="O1358" s="299" t="n"/>
      <c r="P1358" s="299" t="n"/>
      <c r="Q1358" s="299" t="n"/>
      <c r="R1358" s="278" t="n"/>
      <c r="S1358" s="278" t="n"/>
      <c r="T1358" s="278" t="n"/>
      <c r="U1358" s="278" t="n"/>
      <c r="V1358" s="278" t="n"/>
      <c r="W1358" s="278" t="n"/>
      <c r="X1358" s="278" t="n"/>
      <c r="Y1358" s="278" t="n"/>
      <c r="Z1358" s="278" t="n"/>
      <c r="AA1358" s="278" t="n"/>
      <c r="AB1358" s="278" t="n"/>
      <c r="AC1358" s="278" t="n"/>
      <c r="AD1358" s="278" t="n"/>
    </row>
    <row r="1359" ht="15.5" customHeight="1">
      <c r="B1359" s="288" t="n">
        <v>45548</v>
      </c>
      <c r="C1359" s="289" t="n">
        <v>184</v>
      </c>
      <c r="D1359" s="290" t="inlineStr">
        <is>
          <t>Uang makan (6 - 11 September 2024) 6 days</t>
        </is>
      </c>
      <c r="E1359" s="287" t="inlineStr">
        <is>
          <t>-</t>
        </is>
      </c>
      <c r="F1359" s="283" t="n">
        <v>900000</v>
      </c>
      <c r="G1359" s="291" t="inlineStr">
        <is>
          <t>IDR</t>
        </is>
      </c>
      <c r="H1359" s="292" t="n">
        <v>1</v>
      </c>
      <c r="I1359" s="280" t="n"/>
      <c r="J1359" s="285" t="n"/>
      <c r="K1359" s="279" t="n"/>
      <c r="L1359" s="283" t="n">
        <v>900000</v>
      </c>
      <c r="M1359" s="286" t="n"/>
      <c r="N1359" s="286" t="n"/>
      <c r="O1359" s="283" t="n"/>
      <c r="P1359" s="285" t="n"/>
      <c r="Q1359" s="287" t="n"/>
      <c r="R1359" s="278" t="n"/>
      <c r="S1359" s="278" t="n"/>
      <c r="T1359" s="278" t="n"/>
      <c r="U1359" s="278" t="n"/>
      <c r="V1359" s="278" t="n"/>
      <c r="W1359" s="278" t="n"/>
      <c r="X1359" s="278" t="n"/>
      <c r="Y1359" s="278" t="n"/>
      <c r="Z1359" s="278" t="n"/>
      <c r="AA1359" s="278" t="n"/>
      <c r="AB1359" s="278" t="n"/>
      <c r="AC1359" s="278" t="n"/>
      <c r="AD1359" s="278" t="n"/>
    </row>
    <row r="1360">
      <c r="B1360" s="296" t="inlineStr">
        <is>
          <t>Expense#31</t>
        </is>
      </c>
      <c r="C1360" s="297" t="inlineStr">
        <is>
          <t>:</t>
        </is>
      </c>
      <c r="D1360" s="296" t="inlineStr">
        <is>
          <t>ALFA PMB-009 (Cancel)_ TMA</t>
        </is>
      </c>
      <c r="E1360" s="298" t="n"/>
      <c r="F1360" s="298" t="n"/>
      <c r="G1360" s="298" t="n"/>
      <c r="H1360" s="298" t="n"/>
      <c r="I1360" s="298" t="n"/>
      <c r="J1360" s="298" t="n"/>
      <c r="K1360" s="298" t="n"/>
      <c r="L1360" s="298" t="n"/>
      <c r="M1360" s="298" t="n"/>
      <c r="N1360" s="298" t="n"/>
      <c r="O1360" s="298" t="n"/>
      <c r="P1360" s="298" t="n"/>
      <c r="Q1360" s="298" t="n"/>
      <c r="R1360" s="278" t="n"/>
      <c r="S1360" s="278" t="n"/>
      <c r="T1360" s="278" t="n"/>
      <c r="U1360" s="278" t="n"/>
      <c r="V1360" s="278" t="n"/>
      <c r="W1360" s="278" t="n"/>
      <c r="X1360" s="278" t="n"/>
      <c r="Y1360" s="278" t="n"/>
      <c r="Z1360" s="278" t="n"/>
      <c r="AA1360" s="278" t="n"/>
      <c r="AB1360" s="278" t="n"/>
      <c r="AC1360" s="278" t="n"/>
      <c r="AD1360" s="278" t="n"/>
    </row>
    <row r="1361">
      <c r="B1361" s="299" t="n"/>
      <c r="C1361" s="299" t="n"/>
      <c r="D1361" s="300" t="inlineStr">
        <is>
          <t>Accommodation</t>
        </is>
      </c>
      <c r="E1361" s="299" t="n"/>
      <c r="F1361" s="299" t="n"/>
      <c r="G1361" s="299" t="n"/>
      <c r="H1361" s="299" t="n"/>
      <c r="I1361" s="299" t="n"/>
      <c r="J1361" s="299" t="n"/>
      <c r="K1361" s="299" t="n"/>
      <c r="L1361" s="299" t="n"/>
      <c r="M1361" s="299" t="n"/>
      <c r="N1361" s="299" t="n"/>
      <c r="O1361" s="299" t="n"/>
      <c r="P1361" s="299" t="n"/>
      <c r="Q1361" s="299" t="n"/>
      <c r="R1361" s="278" t="n"/>
      <c r="S1361" s="278" t="n"/>
      <c r="T1361" s="278" t="n"/>
      <c r="U1361" s="278" t="n"/>
      <c r="V1361" s="278" t="n"/>
      <c r="W1361" s="278" t="n"/>
      <c r="X1361" s="278" t="n"/>
      <c r="Y1361" s="278" t="n"/>
      <c r="Z1361" s="278" t="n"/>
      <c r="AA1361" s="278" t="n"/>
      <c r="AB1361" s="278" t="n"/>
      <c r="AC1361" s="278" t="n"/>
      <c r="AD1361" s="278" t="n"/>
    </row>
    <row r="1362" ht="15.5" customHeight="1">
      <c r="B1362" s="288" t="n">
        <v>45541</v>
      </c>
      <c r="C1362" s="289" t="n">
        <v>185</v>
      </c>
      <c r="D1362" s="290" t="inlineStr">
        <is>
          <t>Hotel 6 Sept - 11 Sept (5 days)</t>
        </is>
      </c>
      <c r="E1362" s="287" t="inlineStr">
        <is>
          <t>-</t>
        </is>
      </c>
      <c r="F1362" s="283" t="n">
        <v>1800000</v>
      </c>
      <c r="G1362" s="291" t="inlineStr">
        <is>
          <t>IDR</t>
        </is>
      </c>
      <c r="H1362" s="292" t="n">
        <v>1</v>
      </c>
      <c r="I1362" s="280" t="n"/>
      <c r="J1362" s="285" t="n"/>
      <c r="K1362" s="279" t="n"/>
      <c r="L1362" s="283" t="n">
        <v>1800000</v>
      </c>
      <c r="M1362" s="286" t="n"/>
      <c r="N1362" s="286" t="n"/>
      <c r="O1362" s="283" t="n"/>
      <c r="P1362" s="285" t="n"/>
      <c r="Q1362" s="287" t="n"/>
      <c r="R1362" s="278" t="n"/>
      <c r="S1362" s="278" t="n"/>
      <c r="T1362" s="278" t="n"/>
      <c r="U1362" s="278" t="n"/>
      <c r="V1362" s="278" t="n"/>
      <c r="W1362" s="278" t="n"/>
      <c r="X1362" s="278" t="n"/>
      <c r="Y1362" s="278" t="n"/>
      <c r="Z1362" s="278" t="n"/>
      <c r="AA1362" s="278" t="n"/>
      <c r="AB1362" s="278" t="n"/>
      <c r="AC1362" s="278" t="n"/>
      <c r="AD1362" s="278" t="n"/>
    </row>
    <row r="1363">
      <c r="B1363" s="299" t="n"/>
      <c r="C1363" s="299" t="n"/>
      <c r="D1363" s="300" t="inlineStr">
        <is>
          <t>Allowance</t>
        </is>
      </c>
      <c r="E1363" s="299" t="n"/>
      <c r="F1363" s="299" t="n"/>
      <c r="G1363" s="299" t="n"/>
      <c r="H1363" s="299" t="n"/>
      <c r="I1363" s="299" t="n"/>
      <c r="J1363" s="299" t="n"/>
      <c r="K1363" s="299" t="n"/>
      <c r="L1363" s="299" t="n"/>
      <c r="M1363" s="299" t="n"/>
      <c r="N1363" s="299" t="n"/>
      <c r="O1363" s="299" t="n"/>
      <c r="P1363" s="299" t="n"/>
      <c r="Q1363" s="299" t="n"/>
      <c r="R1363" s="278" t="n"/>
      <c r="S1363" s="278" t="n"/>
      <c r="T1363" s="278" t="n"/>
      <c r="U1363" s="278" t="n"/>
      <c r="V1363" s="278" t="n"/>
      <c r="W1363" s="278" t="n"/>
      <c r="X1363" s="278" t="n"/>
      <c r="Y1363" s="278" t="n"/>
      <c r="Z1363" s="278" t="n"/>
      <c r="AA1363" s="278" t="n"/>
      <c r="AB1363" s="278" t="n"/>
      <c r="AC1363" s="278" t="n"/>
      <c r="AD1363" s="278" t="n"/>
    </row>
    <row r="1364" ht="15.5" customHeight="1">
      <c r="B1364" s="288" t="n">
        <v>45541</v>
      </c>
      <c r="C1364" s="289" t="n">
        <v>186</v>
      </c>
      <c r="D1364" s="290" t="inlineStr">
        <is>
          <t>Field Allowance</t>
        </is>
      </c>
      <c r="E1364" s="287" t="inlineStr">
        <is>
          <t>-</t>
        </is>
      </c>
      <c r="F1364" s="283" t="n">
        <v>9262800</v>
      </c>
      <c r="G1364" s="291" t="inlineStr">
        <is>
          <t>USD</t>
        </is>
      </c>
      <c r="H1364" s="292" t="n">
        <v>15438</v>
      </c>
      <c r="I1364" s="280" t="n"/>
      <c r="J1364" s="285" t="n"/>
      <c r="K1364" s="279" t="n"/>
      <c r="L1364" s="283" t="n">
        <v>9262800</v>
      </c>
      <c r="M1364" s="286" t="n"/>
      <c r="N1364" s="286" t="n"/>
      <c r="O1364" s="283" t="n"/>
      <c r="P1364" s="285" t="n"/>
      <c r="Q1364" s="287" t="n"/>
      <c r="R1364" s="278" t="n"/>
      <c r="S1364" s="278" t="n"/>
      <c r="T1364" s="278" t="n"/>
      <c r="U1364" s="278" t="n"/>
      <c r="V1364" s="278" t="n"/>
      <c r="W1364" s="278" t="n"/>
      <c r="X1364" s="278" t="n"/>
      <c r="Y1364" s="278" t="n"/>
      <c r="Z1364" s="278" t="n"/>
      <c r="AA1364" s="278" t="n"/>
      <c r="AB1364" s="278" t="n"/>
      <c r="AC1364" s="278" t="n"/>
      <c r="AD1364" s="278" t="n"/>
    </row>
    <row r="1365">
      <c r="B1365" s="299" t="n"/>
      <c r="C1365" s="299" t="n"/>
      <c r="D1365" s="300" t="inlineStr">
        <is>
          <t>Biaya Operasi Lain-lain</t>
        </is>
      </c>
      <c r="E1365" s="299" t="n"/>
      <c r="F1365" s="299" t="n"/>
      <c r="G1365" s="299" t="n"/>
      <c r="H1365" s="299" t="n"/>
      <c r="I1365" s="299" t="n"/>
      <c r="J1365" s="299" t="n"/>
      <c r="K1365" s="299" t="n"/>
      <c r="L1365" s="299" t="n"/>
      <c r="M1365" s="299" t="n"/>
      <c r="N1365" s="299" t="n"/>
      <c r="O1365" s="299" t="n"/>
      <c r="P1365" s="299" t="n"/>
      <c r="Q1365" s="299" t="n"/>
      <c r="R1365" s="278" t="n"/>
      <c r="S1365" s="278" t="n"/>
      <c r="T1365" s="278" t="n"/>
      <c r="U1365" s="278" t="n"/>
      <c r="V1365" s="278" t="n"/>
      <c r="W1365" s="278" t="n"/>
      <c r="X1365" s="278" t="n"/>
      <c r="Y1365" s="278" t="n"/>
      <c r="Z1365" s="278" t="n"/>
      <c r="AA1365" s="278" t="n"/>
      <c r="AB1365" s="278" t="n"/>
      <c r="AC1365" s="278" t="n"/>
      <c r="AD1365" s="278" t="n"/>
    </row>
    <row r="1366" ht="15.5" customHeight="1">
      <c r="B1366" s="288" t="n">
        <v>45541</v>
      </c>
      <c r="C1366" s="289" t="n">
        <v>187</v>
      </c>
      <c r="D1366" s="290" t="inlineStr">
        <is>
          <t>Rent Car 6 Days</t>
        </is>
      </c>
      <c r="E1366" s="287" t="inlineStr">
        <is>
          <t>-</t>
        </is>
      </c>
      <c r="F1366" s="283" t="n">
        <v>3000000</v>
      </c>
      <c r="G1366" s="291" t="inlineStr">
        <is>
          <t>IDR</t>
        </is>
      </c>
      <c r="H1366" s="292" t="n">
        <v>1</v>
      </c>
      <c r="I1366" s="280" t="n"/>
      <c r="J1366" s="285" t="n"/>
      <c r="K1366" s="279" t="n"/>
      <c r="L1366" s="283" t="n">
        <v>3000000</v>
      </c>
      <c r="M1366" s="286" t="n"/>
      <c r="N1366" s="286" t="n"/>
      <c r="O1366" s="283" t="n"/>
      <c r="P1366" s="285" t="n"/>
      <c r="Q1366" s="287" t="n"/>
      <c r="R1366" s="278" t="n"/>
      <c r="S1366" s="278" t="n"/>
      <c r="T1366" s="278" t="n"/>
      <c r="U1366" s="278" t="n"/>
      <c r="V1366" s="278" t="n"/>
      <c r="W1366" s="278" t="n"/>
      <c r="X1366" s="278" t="n"/>
      <c r="Y1366" s="278" t="n"/>
      <c r="Z1366" s="278" t="n"/>
      <c r="AA1366" s="278" t="n"/>
      <c r="AB1366" s="278" t="n"/>
      <c r="AC1366" s="278" t="n"/>
      <c r="AD1366" s="278" t="n"/>
    </row>
    <row r="1367">
      <c r="B1367" s="299" t="n"/>
      <c r="C1367" s="299" t="n"/>
      <c r="D1367" s="300" t="inlineStr">
        <is>
          <t>Laundry</t>
        </is>
      </c>
      <c r="E1367" s="299" t="n"/>
      <c r="F1367" s="299" t="n"/>
      <c r="G1367" s="299" t="n"/>
      <c r="H1367" s="299" t="n"/>
      <c r="I1367" s="299" t="n"/>
      <c r="J1367" s="299" t="n"/>
      <c r="K1367" s="299" t="n"/>
      <c r="L1367" s="299" t="n"/>
      <c r="M1367" s="299" t="n"/>
      <c r="N1367" s="299" t="n"/>
      <c r="O1367" s="299" t="n"/>
      <c r="P1367" s="299" t="n"/>
      <c r="Q1367" s="299" t="n"/>
      <c r="R1367" s="278" t="n"/>
      <c r="S1367" s="278" t="n"/>
      <c r="T1367" s="278" t="n"/>
      <c r="U1367" s="278" t="n"/>
      <c r="V1367" s="278" t="n"/>
      <c r="W1367" s="278" t="n"/>
      <c r="X1367" s="278" t="n"/>
      <c r="Y1367" s="278" t="n"/>
      <c r="Z1367" s="278" t="n"/>
      <c r="AA1367" s="278" t="n"/>
      <c r="AB1367" s="278" t="n"/>
      <c r="AC1367" s="278" t="n"/>
      <c r="AD1367" s="278" t="n"/>
    </row>
    <row r="1368" ht="15.5" customHeight="1">
      <c r="B1368" s="288" t="n">
        <v>45541</v>
      </c>
      <c r="C1368" s="289" t="n">
        <v>188</v>
      </c>
      <c r="D1368" s="290" t="inlineStr">
        <is>
          <t>Laundry 6 days 1 Persons @ 50K IDR/day</t>
        </is>
      </c>
      <c r="E1368" s="287" t="inlineStr">
        <is>
          <t>-</t>
        </is>
      </c>
      <c r="F1368" s="283" t="n">
        <v>300000</v>
      </c>
      <c r="G1368" s="291" t="inlineStr">
        <is>
          <t>IDR</t>
        </is>
      </c>
      <c r="H1368" s="292" t="n">
        <v>1</v>
      </c>
      <c r="I1368" s="280" t="n"/>
      <c r="J1368" s="285" t="n"/>
      <c r="K1368" s="279" t="n"/>
      <c r="L1368" s="283" t="n">
        <v>300000</v>
      </c>
      <c r="M1368" s="286" t="n"/>
      <c r="N1368" s="286" t="n"/>
      <c r="O1368" s="283" t="n"/>
      <c r="P1368" s="285" t="n"/>
      <c r="Q1368" s="287" t="n"/>
      <c r="R1368" s="278" t="n"/>
      <c r="S1368" s="278" t="n"/>
      <c r="T1368" s="278" t="n"/>
      <c r="U1368" s="278" t="n"/>
      <c r="V1368" s="278" t="n"/>
      <c r="W1368" s="278" t="n"/>
      <c r="X1368" s="278" t="n"/>
      <c r="Y1368" s="278" t="n"/>
      <c r="Z1368" s="278" t="n"/>
      <c r="AA1368" s="278" t="n"/>
      <c r="AB1368" s="278" t="n"/>
      <c r="AC1368" s="278" t="n"/>
      <c r="AD1368" s="278" t="n"/>
    </row>
    <row r="1369">
      <c r="B1369" s="299" t="n"/>
      <c r="C1369" s="299" t="n"/>
      <c r="D1369" s="300" t="inlineStr">
        <is>
          <t>Meal</t>
        </is>
      </c>
      <c r="E1369" s="299" t="n"/>
      <c r="F1369" s="299" t="n"/>
      <c r="G1369" s="299" t="n"/>
      <c r="H1369" s="299" t="n"/>
      <c r="I1369" s="299" t="n"/>
      <c r="J1369" s="299" t="n"/>
      <c r="K1369" s="299" t="n"/>
      <c r="L1369" s="299" t="n"/>
      <c r="M1369" s="299" t="n"/>
      <c r="N1369" s="299" t="n"/>
      <c r="O1369" s="299" t="n"/>
      <c r="P1369" s="299" t="n"/>
      <c r="Q1369" s="299" t="n"/>
      <c r="R1369" s="278" t="n"/>
      <c r="S1369" s="278" t="n"/>
      <c r="T1369" s="278" t="n"/>
      <c r="U1369" s="278" t="n"/>
      <c r="V1369" s="278" t="n"/>
      <c r="W1369" s="278" t="n"/>
      <c r="X1369" s="278" t="n"/>
      <c r="Y1369" s="278" t="n"/>
      <c r="Z1369" s="278" t="n"/>
      <c r="AA1369" s="278" t="n"/>
      <c r="AB1369" s="278" t="n"/>
      <c r="AC1369" s="278" t="n"/>
      <c r="AD1369" s="278" t="n"/>
    </row>
    <row r="1370" ht="15.5" customHeight="1">
      <c r="B1370" s="288" t="n">
        <v>45541</v>
      </c>
      <c r="C1370" s="289" t="n">
        <v>189</v>
      </c>
      <c r="D1370" s="290" t="inlineStr">
        <is>
          <t>Meals</t>
        </is>
      </c>
      <c r="E1370" s="287" t="inlineStr">
        <is>
          <t>-</t>
        </is>
      </c>
      <c r="F1370" s="283" t="n">
        <v>900000</v>
      </c>
      <c r="G1370" s="291" t="inlineStr">
        <is>
          <t>IDR</t>
        </is>
      </c>
      <c r="H1370" s="292" t="n">
        <v>1</v>
      </c>
      <c r="I1370" s="280" t="n"/>
      <c r="J1370" s="285" t="n"/>
      <c r="K1370" s="279" t="n"/>
      <c r="L1370" s="283" t="n">
        <v>900000</v>
      </c>
      <c r="M1370" s="286" t="n"/>
      <c r="N1370" s="286" t="n"/>
      <c r="O1370" s="283" t="n"/>
      <c r="P1370" s="285" t="n"/>
      <c r="Q1370" s="287" t="n"/>
      <c r="R1370" s="278" t="n"/>
      <c r="S1370" s="278" t="n"/>
      <c r="T1370" s="278" t="n"/>
      <c r="U1370" s="278" t="n"/>
      <c r="V1370" s="278" t="n"/>
      <c r="W1370" s="278" t="n"/>
      <c r="X1370" s="278" t="n"/>
      <c r="Y1370" s="278" t="n"/>
      <c r="Z1370" s="278" t="n"/>
      <c r="AA1370" s="278" t="n"/>
      <c r="AB1370" s="278" t="n"/>
      <c r="AC1370" s="278" t="n"/>
      <c r="AD1370" s="278" t="n"/>
    </row>
    <row r="1371">
      <c r="B1371" s="299" t="n"/>
      <c r="C1371" s="299" t="n"/>
      <c r="D1371" s="300" t="inlineStr">
        <is>
          <t>Transportation</t>
        </is>
      </c>
      <c r="E1371" s="299" t="n"/>
      <c r="F1371" s="299" t="n"/>
      <c r="G1371" s="299" t="n"/>
      <c r="H1371" s="299" t="n"/>
      <c r="I1371" s="299" t="n"/>
      <c r="J1371" s="299" t="n"/>
      <c r="K1371" s="299" t="n"/>
      <c r="L1371" s="299" t="n"/>
      <c r="M1371" s="299" t="n"/>
      <c r="N1371" s="299" t="n"/>
      <c r="O1371" s="299" t="n"/>
      <c r="P1371" s="299" t="n"/>
      <c r="Q1371" s="299" t="n"/>
      <c r="R1371" s="278" t="n"/>
      <c r="S1371" s="278" t="n"/>
      <c r="T1371" s="278" t="n"/>
      <c r="U1371" s="278" t="n"/>
      <c r="V1371" s="278" t="n"/>
      <c r="W1371" s="278" t="n"/>
      <c r="X1371" s="278" t="n"/>
      <c r="Y1371" s="278" t="n"/>
      <c r="Z1371" s="278" t="n"/>
      <c r="AA1371" s="278" t="n"/>
      <c r="AB1371" s="278" t="n"/>
      <c r="AC1371" s="278" t="n"/>
      <c r="AD1371" s="278" t="n"/>
    </row>
    <row r="1372" ht="15.5" customHeight="1">
      <c r="B1372" s="288" t="n">
        <v>45543</v>
      </c>
      <c r="C1372" s="289" t="n">
        <v>190</v>
      </c>
      <c r="D1372" s="290" t="inlineStr">
        <is>
          <t>Airplane Ticket PLM-CGK</t>
        </is>
      </c>
      <c r="E1372" s="287" t="inlineStr">
        <is>
          <t>-</t>
        </is>
      </c>
      <c r="F1372" s="283" t="n">
        <v>836100</v>
      </c>
      <c r="G1372" s="291" t="inlineStr">
        <is>
          <t>IDR</t>
        </is>
      </c>
      <c r="H1372" s="292" t="n">
        <v>1</v>
      </c>
      <c r="I1372" s="280" t="n"/>
      <c r="J1372" s="285" t="n"/>
      <c r="K1372" s="279" t="n"/>
      <c r="L1372" s="283" t="n">
        <v>836100</v>
      </c>
      <c r="M1372" s="286" t="n"/>
      <c r="N1372" s="286" t="n"/>
      <c r="O1372" s="283" t="n"/>
      <c r="P1372" s="285" t="n"/>
      <c r="Q1372" s="287" t="n"/>
      <c r="R1372" s="278" t="n"/>
      <c r="S1372" s="278" t="n"/>
      <c r="T1372" s="278" t="n"/>
      <c r="U1372" s="278" t="n"/>
      <c r="V1372" s="278" t="n"/>
      <c r="W1372" s="278" t="n"/>
      <c r="X1372" s="278" t="n"/>
      <c r="Y1372" s="278" t="n"/>
      <c r="Z1372" s="278" t="n"/>
      <c r="AA1372" s="278" t="n"/>
      <c r="AB1372" s="278" t="n"/>
      <c r="AC1372" s="278" t="n"/>
      <c r="AD1372" s="278" t="n"/>
    </row>
    <row r="1373">
      <c r="B1373" s="296" t="inlineStr">
        <is>
          <t>Expense#32</t>
        </is>
      </c>
      <c r="C1373" s="297" t="inlineStr">
        <is>
          <t>:</t>
        </is>
      </c>
      <c r="D1373" s="296" t="inlineStr">
        <is>
          <t>ALFA PMB-009 (Cancel)_ TMA</t>
        </is>
      </c>
      <c r="E1373" s="298" t="n"/>
      <c r="F1373" s="298" t="n"/>
      <c r="G1373" s="298" t="n"/>
      <c r="H1373" s="298" t="n"/>
      <c r="I1373" s="298" t="n"/>
      <c r="J1373" s="298" t="n"/>
      <c r="K1373" s="298" t="n"/>
      <c r="L1373" s="298" t="n"/>
      <c r="M1373" s="298" t="n"/>
      <c r="N1373" s="298" t="n"/>
      <c r="O1373" s="298" t="n"/>
      <c r="P1373" s="298" t="n"/>
      <c r="Q1373" s="298" t="n"/>
      <c r="R1373" s="278" t="n"/>
      <c r="S1373" s="278" t="n"/>
      <c r="T1373" s="278" t="n"/>
      <c r="U1373" s="278" t="n"/>
      <c r="V1373" s="278" t="n"/>
      <c r="W1373" s="278" t="n"/>
      <c r="X1373" s="278" t="n"/>
      <c r="Y1373" s="278" t="n"/>
      <c r="Z1373" s="278" t="n"/>
      <c r="AA1373" s="278" t="n"/>
      <c r="AB1373" s="278" t="n"/>
      <c r="AC1373" s="278" t="n"/>
      <c r="AD1373" s="278" t="n"/>
    </row>
    <row r="1374">
      <c r="B1374" s="299" t="n"/>
      <c r="C1374" s="299" t="n"/>
      <c r="D1374" s="300" t="inlineStr">
        <is>
          <t>Allowance</t>
        </is>
      </c>
      <c r="E1374" s="299" t="n"/>
      <c r="F1374" s="299" t="n"/>
      <c r="G1374" s="299" t="n"/>
      <c r="H1374" s="299" t="n"/>
      <c r="I1374" s="299" t="n"/>
      <c r="J1374" s="299" t="n"/>
      <c r="K1374" s="299" t="n"/>
      <c r="L1374" s="299" t="n"/>
      <c r="M1374" s="299" t="n"/>
      <c r="N1374" s="299" t="n"/>
      <c r="O1374" s="299" t="n"/>
      <c r="P1374" s="299" t="n"/>
      <c r="Q1374" s="299" t="n"/>
      <c r="R1374" s="278" t="n"/>
      <c r="S1374" s="278" t="n"/>
      <c r="T1374" s="278" t="n"/>
      <c r="U1374" s="278" t="n"/>
      <c r="V1374" s="278" t="n"/>
      <c r="W1374" s="278" t="n"/>
      <c r="X1374" s="278" t="n"/>
      <c r="Y1374" s="278" t="n"/>
      <c r="Z1374" s="278" t="n"/>
      <c r="AA1374" s="278" t="n"/>
      <c r="AB1374" s="278" t="n"/>
      <c r="AC1374" s="278" t="n"/>
      <c r="AD1374" s="278" t="n"/>
    </row>
    <row r="1375" ht="15.5" customHeight="1">
      <c r="B1375" s="288" t="n">
        <v>45561</v>
      </c>
      <c r="C1375" s="289" t="n">
        <v>191</v>
      </c>
      <c r="D1375" s="290" t="inlineStr">
        <is>
          <t>Field Bonus SKW#26 (22 - 26 Sept 2024). 1US$=15.100</t>
        </is>
      </c>
      <c r="E1375" s="287" t="inlineStr">
        <is>
          <t>-</t>
        </is>
      </c>
      <c r="F1375" s="283" t="n">
        <v>500</v>
      </c>
      <c r="G1375" s="291" t="inlineStr">
        <is>
          <t>IDR</t>
        </is>
      </c>
      <c r="H1375" s="292" t="n">
        <v>15100</v>
      </c>
      <c r="I1375" s="280" t="n"/>
      <c r="J1375" s="285" t="n"/>
      <c r="K1375" s="279" t="n"/>
      <c r="L1375" s="283" t="n">
        <v>500</v>
      </c>
      <c r="M1375" s="286" t="n"/>
      <c r="N1375" s="286" t="n"/>
      <c r="O1375" s="283" t="n"/>
      <c r="P1375" s="285" t="n"/>
      <c r="Q1375" s="287" t="n"/>
      <c r="R1375" s="278" t="n"/>
      <c r="S1375" s="278" t="n"/>
      <c r="T1375" s="278" t="n"/>
      <c r="U1375" s="278" t="n"/>
      <c r="V1375" s="278" t="n"/>
      <c r="W1375" s="278" t="n"/>
      <c r="X1375" s="278" t="n"/>
      <c r="Y1375" s="278" t="n"/>
      <c r="Z1375" s="278" t="n"/>
      <c r="AA1375" s="278" t="n"/>
      <c r="AB1375" s="278" t="n"/>
      <c r="AC1375" s="278" t="n"/>
      <c r="AD1375" s="278" t="n"/>
    </row>
    <row r="1376">
      <c r="B1376" s="299" t="n"/>
      <c r="C1376" s="299" t="n"/>
      <c r="D1376" s="300" t="inlineStr">
        <is>
          <t>Laundry</t>
        </is>
      </c>
      <c r="E1376" s="299" t="n"/>
      <c r="F1376" s="299" t="n"/>
      <c r="G1376" s="299" t="n"/>
      <c r="H1376" s="299" t="n"/>
      <c r="I1376" s="299" t="n"/>
      <c r="J1376" s="299" t="n"/>
      <c r="K1376" s="299" t="n"/>
      <c r="L1376" s="299" t="n"/>
      <c r="M1376" s="299" t="n"/>
      <c r="N1376" s="299" t="n"/>
      <c r="O1376" s="299" t="n"/>
      <c r="P1376" s="299" t="n"/>
      <c r="Q1376" s="299" t="n"/>
      <c r="R1376" s="278" t="n"/>
      <c r="S1376" s="278" t="n"/>
      <c r="T1376" s="278" t="n"/>
      <c r="U1376" s="278" t="n"/>
      <c r="V1376" s="278" t="n"/>
      <c r="W1376" s="278" t="n"/>
      <c r="X1376" s="278" t="n"/>
      <c r="Y1376" s="278" t="n"/>
      <c r="Z1376" s="278" t="n"/>
      <c r="AA1376" s="278" t="n"/>
      <c r="AB1376" s="278" t="n"/>
      <c r="AC1376" s="278" t="n"/>
      <c r="AD1376" s="278" t="n"/>
    </row>
    <row r="1377" ht="15.5" customHeight="1">
      <c r="B1377" s="288" t="n">
        <v>45561</v>
      </c>
      <c r="C1377" s="289" t="n">
        <v>192</v>
      </c>
      <c r="D1377" s="290" t="inlineStr">
        <is>
          <t>Laundry (22 - 26 Sept 2024)</t>
        </is>
      </c>
      <c r="E1377" s="287" t="inlineStr">
        <is>
          <t>-</t>
        </is>
      </c>
      <c r="F1377" s="283" t="n">
        <v>250000</v>
      </c>
      <c r="G1377" s="291" t="inlineStr">
        <is>
          <t>IDR</t>
        </is>
      </c>
      <c r="H1377" s="292" t="n">
        <v>1</v>
      </c>
      <c r="I1377" s="280" t="n"/>
      <c r="J1377" s="285" t="n"/>
      <c r="K1377" s="279" t="n"/>
      <c r="L1377" s="283" t="n">
        <v>250000</v>
      </c>
      <c r="M1377" s="286" t="n"/>
      <c r="N1377" s="286" t="n"/>
      <c r="O1377" s="283" t="n"/>
      <c r="P1377" s="285" t="n"/>
      <c r="Q1377" s="287" t="n"/>
      <c r="R1377" s="278" t="n"/>
      <c r="S1377" s="278" t="n"/>
      <c r="T1377" s="278" t="n"/>
      <c r="U1377" s="278" t="n"/>
      <c r="V1377" s="278" t="n"/>
      <c r="W1377" s="278" t="n"/>
      <c r="X1377" s="278" t="n"/>
      <c r="Y1377" s="278" t="n"/>
      <c r="Z1377" s="278" t="n"/>
      <c r="AA1377" s="278" t="n"/>
      <c r="AB1377" s="278" t="n"/>
      <c r="AC1377" s="278" t="n"/>
      <c r="AD1377" s="278" t="n"/>
    </row>
    <row r="1378">
      <c r="B1378" s="299" t="n"/>
      <c r="C1378" s="299" t="n"/>
      <c r="D1378" s="300" t="inlineStr">
        <is>
          <t>Meal</t>
        </is>
      </c>
      <c r="E1378" s="299" t="n"/>
      <c r="F1378" s="299" t="n"/>
      <c r="G1378" s="299" t="n"/>
      <c r="H1378" s="299" t="n"/>
      <c r="I1378" s="299" t="n"/>
      <c r="J1378" s="299" t="n"/>
      <c r="K1378" s="299" t="n"/>
      <c r="L1378" s="299" t="n"/>
      <c r="M1378" s="299" t="n"/>
      <c r="N1378" s="299" t="n"/>
      <c r="O1378" s="299" t="n"/>
      <c r="P1378" s="299" t="n"/>
      <c r="Q1378" s="299" t="n"/>
      <c r="R1378" s="278" t="n"/>
      <c r="S1378" s="278" t="n"/>
      <c r="T1378" s="278" t="n"/>
      <c r="U1378" s="278" t="n"/>
      <c r="V1378" s="278" t="n"/>
      <c r="W1378" s="278" t="n"/>
      <c r="X1378" s="278" t="n"/>
      <c r="Y1378" s="278" t="n"/>
      <c r="Z1378" s="278" t="n"/>
      <c r="AA1378" s="278" t="n"/>
      <c r="AB1378" s="278" t="n"/>
      <c r="AC1378" s="278" t="n"/>
      <c r="AD1378" s="278" t="n"/>
    </row>
    <row r="1379" ht="15.5" customHeight="1">
      <c r="B1379" s="288" t="n">
        <v>45561</v>
      </c>
      <c r="C1379" s="289" t="n">
        <v>193</v>
      </c>
      <c r="D1379" s="290" t="inlineStr">
        <is>
          <t>Uang Makan (22 - 26 Sept 2024)</t>
        </is>
      </c>
      <c r="E1379" s="287" t="inlineStr">
        <is>
          <t>-</t>
        </is>
      </c>
      <c r="F1379" s="283" t="n">
        <v>750000</v>
      </c>
      <c r="G1379" s="291" t="inlineStr">
        <is>
          <t>IDR</t>
        </is>
      </c>
      <c r="H1379" s="292" t="n">
        <v>1</v>
      </c>
      <c r="I1379" s="280" t="n"/>
      <c r="J1379" s="285" t="n"/>
      <c r="K1379" s="279" t="n"/>
      <c r="L1379" s="283" t="n">
        <v>750000</v>
      </c>
      <c r="M1379" s="286" t="n"/>
      <c r="N1379" s="286" t="n"/>
      <c r="O1379" s="283" t="n"/>
      <c r="P1379" s="285" t="n"/>
      <c r="Q1379" s="287" t="n"/>
      <c r="R1379" s="278" t="n"/>
      <c r="S1379" s="278" t="n"/>
      <c r="T1379" s="278" t="n"/>
      <c r="U1379" s="278" t="n"/>
      <c r="V1379" s="278" t="n"/>
      <c r="W1379" s="278" t="n"/>
      <c r="X1379" s="278" t="n"/>
      <c r="Y1379" s="278" t="n"/>
      <c r="Z1379" s="278" t="n"/>
      <c r="AA1379" s="278" t="n"/>
      <c r="AB1379" s="278" t="n"/>
      <c r="AC1379" s="278" t="n"/>
      <c r="AD1379" s="278" t="n"/>
    </row>
    <row r="1380">
      <c r="B1380" s="299" t="n"/>
      <c r="C1380" s="299" t="n"/>
      <c r="D1380" s="300" t="inlineStr">
        <is>
          <t>Transportation</t>
        </is>
      </c>
      <c r="E1380" s="299" t="n"/>
      <c r="F1380" s="299" t="n"/>
      <c r="G1380" s="299" t="n"/>
      <c r="H1380" s="299" t="n"/>
      <c r="I1380" s="299" t="n"/>
      <c r="J1380" s="299" t="n"/>
      <c r="K1380" s="299" t="n"/>
      <c r="L1380" s="299" t="n"/>
      <c r="M1380" s="299" t="n"/>
      <c r="N1380" s="299" t="n"/>
      <c r="O1380" s="299" t="n"/>
      <c r="P1380" s="299" t="n"/>
      <c r="Q1380" s="299" t="n"/>
      <c r="R1380" s="278" t="n"/>
      <c r="S1380" s="278" t="n"/>
      <c r="T1380" s="278" t="n"/>
      <c r="U1380" s="278" t="n"/>
      <c r="V1380" s="278" t="n"/>
      <c r="W1380" s="278" t="n"/>
      <c r="X1380" s="278" t="n"/>
      <c r="Y1380" s="278" t="n"/>
      <c r="Z1380" s="278" t="n"/>
      <c r="AA1380" s="278" t="n"/>
      <c r="AB1380" s="278" t="n"/>
      <c r="AC1380" s="278" t="n"/>
      <c r="AD1380" s="278" t="n"/>
    </row>
    <row r="1381" ht="15.5" customHeight="1">
      <c r="B1381" s="288" t="n">
        <v>45561</v>
      </c>
      <c r="C1381" s="289" t="n">
        <v>194</v>
      </c>
      <c r="D1381" s="290" t="inlineStr">
        <is>
          <t>Taxi+Tol Gambir - Serpong</t>
        </is>
      </c>
      <c r="E1381" s="287" t="inlineStr">
        <is>
          <t>-</t>
        </is>
      </c>
      <c r="F1381" s="283" t="n">
        <v>240000</v>
      </c>
      <c r="G1381" s="291" t="inlineStr">
        <is>
          <t>IDR</t>
        </is>
      </c>
      <c r="H1381" s="292" t="n">
        <v>1</v>
      </c>
      <c r="I1381" s="280" t="n"/>
      <c r="J1381" s="285" t="n"/>
      <c r="K1381" s="279" t="n"/>
      <c r="L1381" s="283" t="n">
        <v>240000</v>
      </c>
      <c r="M1381" s="286" t="n"/>
      <c r="N1381" s="286" t="n"/>
      <c r="O1381" s="283" t="n"/>
      <c r="P1381" s="285" t="n"/>
      <c r="Q1381" s="287" t="n"/>
      <c r="R1381" s="278" t="n"/>
      <c r="S1381" s="278" t="n"/>
      <c r="T1381" s="278" t="n"/>
      <c r="U1381" s="278" t="n"/>
      <c r="V1381" s="278" t="n"/>
      <c r="W1381" s="278" t="n"/>
      <c r="X1381" s="278" t="n"/>
      <c r="Y1381" s="278" t="n"/>
      <c r="Z1381" s="278" t="n"/>
      <c r="AA1381" s="278" t="n"/>
      <c r="AB1381" s="278" t="n"/>
      <c r="AC1381" s="278" t="n"/>
      <c r="AD1381" s="278" t="n"/>
    </row>
    <row r="1382">
      <c r="B1382" s="296" t="inlineStr">
        <is>
          <t>Expense#33</t>
        </is>
      </c>
      <c r="C1382" s="297" t="inlineStr">
        <is>
          <t>:</t>
        </is>
      </c>
      <c r="D1382" s="296" t="inlineStr">
        <is>
          <t>ALFA Job JRK-095 (Jirak) - IBR</t>
        </is>
      </c>
      <c r="E1382" s="298" t="n"/>
      <c r="F1382" s="298" t="n"/>
      <c r="G1382" s="298" t="n"/>
      <c r="H1382" s="298" t="n"/>
      <c r="I1382" s="298" t="n"/>
      <c r="J1382" s="298" t="n"/>
      <c r="K1382" s="298" t="n"/>
      <c r="L1382" s="298" t="n"/>
      <c r="M1382" s="298" t="n"/>
      <c r="N1382" s="298" t="n"/>
      <c r="O1382" s="298" t="n"/>
      <c r="P1382" s="298" t="n"/>
      <c r="Q1382" s="298" t="n"/>
      <c r="R1382" s="278" t="n"/>
      <c r="S1382" s="278" t="n"/>
      <c r="T1382" s="278" t="n"/>
      <c r="U1382" s="278" t="n"/>
      <c r="V1382" s="278" t="n"/>
      <c r="W1382" s="278" t="n"/>
      <c r="X1382" s="278" t="n"/>
      <c r="Y1382" s="278" t="n"/>
      <c r="Z1382" s="278" t="n"/>
      <c r="AA1382" s="278" t="n"/>
      <c r="AB1382" s="278" t="n"/>
      <c r="AC1382" s="278" t="n"/>
      <c r="AD1382" s="278" t="n"/>
    </row>
    <row r="1383">
      <c r="B1383" s="299" t="n"/>
      <c r="C1383" s="299" t="n"/>
      <c r="D1383" s="300" t="inlineStr">
        <is>
          <t>Accommodation</t>
        </is>
      </c>
      <c r="E1383" s="299" t="n"/>
      <c r="F1383" s="299" t="n"/>
      <c r="G1383" s="299" t="n"/>
      <c r="H1383" s="299" t="n"/>
      <c r="I1383" s="299" t="n"/>
      <c r="J1383" s="299" t="n"/>
      <c r="K1383" s="299" t="n"/>
      <c r="L1383" s="299" t="n"/>
      <c r="M1383" s="299" t="n"/>
      <c r="N1383" s="299" t="n"/>
      <c r="O1383" s="299" t="n"/>
      <c r="P1383" s="299" t="n"/>
      <c r="Q1383" s="299" t="n"/>
      <c r="R1383" s="278" t="n"/>
      <c r="S1383" s="278" t="n"/>
      <c r="T1383" s="278" t="n"/>
      <c r="U1383" s="278" t="n"/>
      <c r="V1383" s="278" t="n"/>
      <c r="W1383" s="278" t="n"/>
      <c r="X1383" s="278" t="n"/>
      <c r="Y1383" s="278" t="n"/>
      <c r="Z1383" s="278" t="n"/>
      <c r="AA1383" s="278" t="n"/>
      <c r="AB1383" s="278" t="n"/>
      <c r="AC1383" s="278" t="n"/>
      <c r="AD1383" s="278" t="n"/>
    </row>
    <row r="1384" ht="15.5" customHeight="1">
      <c r="B1384" s="288" t="n">
        <v>45563</v>
      </c>
      <c r="C1384" s="289" t="n">
        <v>195</v>
      </c>
      <c r="D1384" s="290" t="inlineStr">
        <is>
          <t>Hotel 21 Sept - 27 Sept 2024 (6 days)</t>
        </is>
      </c>
      <c r="E1384" s="287" t="inlineStr">
        <is>
          <t>-</t>
        </is>
      </c>
      <c r="F1384" s="283" t="n">
        <v>1680000</v>
      </c>
      <c r="G1384" s="291" t="inlineStr">
        <is>
          <t>IDR</t>
        </is>
      </c>
      <c r="H1384" s="292" t="n">
        <v>1</v>
      </c>
      <c r="I1384" s="280" t="n"/>
      <c r="J1384" s="285" t="n"/>
      <c r="K1384" s="279" t="n"/>
      <c r="L1384" s="283" t="n">
        <v>1680000</v>
      </c>
      <c r="M1384" s="286" t="n"/>
      <c r="N1384" s="286" t="n"/>
      <c r="O1384" s="283" t="n"/>
      <c r="P1384" s="285" t="n"/>
      <c r="Q1384" s="287" t="n"/>
      <c r="R1384" s="278" t="n"/>
      <c r="S1384" s="278" t="n"/>
      <c r="T1384" s="278" t="n"/>
      <c r="U1384" s="278" t="n"/>
      <c r="V1384" s="278" t="n"/>
      <c r="W1384" s="278" t="n"/>
      <c r="X1384" s="278" t="n"/>
      <c r="Y1384" s="278" t="n"/>
      <c r="Z1384" s="278" t="n"/>
      <c r="AA1384" s="278" t="n"/>
      <c r="AB1384" s="278" t="n"/>
      <c r="AC1384" s="278" t="n"/>
      <c r="AD1384" s="278" t="n"/>
    </row>
    <row r="1385">
      <c r="B1385" s="299" t="n"/>
      <c r="C1385" s="299" t="n"/>
      <c r="D1385" s="300" t="inlineStr">
        <is>
          <t>Allowance</t>
        </is>
      </c>
      <c r="E1385" s="299" t="n"/>
      <c r="F1385" s="299" t="n"/>
      <c r="G1385" s="299" t="n"/>
      <c r="H1385" s="299" t="n"/>
      <c r="I1385" s="299" t="n"/>
      <c r="J1385" s="299" t="n"/>
      <c r="K1385" s="299" t="n"/>
      <c r="L1385" s="299" t="n"/>
      <c r="M1385" s="299" t="n"/>
      <c r="N1385" s="299" t="n"/>
      <c r="O1385" s="299" t="n"/>
      <c r="P1385" s="299" t="n"/>
      <c r="Q1385" s="299" t="n"/>
      <c r="R1385" s="278" t="n"/>
      <c r="S1385" s="278" t="n"/>
      <c r="T1385" s="278" t="n"/>
      <c r="U1385" s="278" t="n"/>
      <c r="V1385" s="278" t="n"/>
      <c r="W1385" s="278" t="n"/>
      <c r="X1385" s="278" t="n"/>
      <c r="Y1385" s="278" t="n"/>
      <c r="Z1385" s="278" t="n"/>
      <c r="AA1385" s="278" t="n"/>
      <c r="AB1385" s="278" t="n"/>
      <c r="AC1385" s="278" t="n"/>
      <c r="AD1385" s="278" t="n"/>
    </row>
    <row r="1386" ht="15.5" customHeight="1">
      <c r="B1386" s="288" t="n">
        <v>45563</v>
      </c>
      <c r="C1386" s="289" t="n">
        <v>196</v>
      </c>
      <c r="D1386" s="290" t="inlineStr">
        <is>
          <t>Field Allowance 20 Sept - 27 Sept 2024</t>
        </is>
      </c>
      <c r="E1386" s="287" t="inlineStr">
        <is>
          <t>-</t>
        </is>
      </c>
      <c r="F1386" s="283" t="n">
        <v>2668750</v>
      </c>
      <c r="G1386" s="291" t="inlineStr">
        <is>
          <t>USD</t>
        </is>
      </c>
      <c r="H1386" s="292" t="n">
        <v>15250</v>
      </c>
      <c r="I1386" s="280" t="n"/>
      <c r="J1386" s="285" t="n"/>
      <c r="K1386" s="279" t="n"/>
      <c r="L1386" s="283" t="n">
        <v>2668750</v>
      </c>
      <c r="M1386" s="286" t="n"/>
      <c r="N1386" s="286" t="n"/>
      <c r="O1386" s="283" t="n"/>
      <c r="P1386" s="285" t="n"/>
      <c r="Q1386" s="287" t="n"/>
      <c r="R1386" s="278" t="n"/>
      <c r="S1386" s="278" t="n"/>
      <c r="T1386" s="278" t="n"/>
      <c r="U1386" s="278" t="n"/>
      <c r="V1386" s="278" t="n"/>
      <c r="W1386" s="278" t="n"/>
      <c r="X1386" s="278" t="n"/>
      <c r="Y1386" s="278" t="n"/>
      <c r="Z1386" s="278" t="n"/>
      <c r="AA1386" s="278" t="n"/>
      <c r="AB1386" s="278" t="n"/>
      <c r="AC1386" s="278" t="n"/>
      <c r="AD1386" s="278" t="n"/>
    </row>
    <row r="1387">
      <c r="B1387" s="299" t="n"/>
      <c r="C1387" s="299" t="n"/>
      <c r="D1387" s="300" t="inlineStr">
        <is>
          <t>Laundry</t>
        </is>
      </c>
      <c r="E1387" s="299" t="n"/>
      <c r="F1387" s="299" t="n"/>
      <c r="G1387" s="299" t="n"/>
      <c r="H1387" s="299" t="n"/>
      <c r="I1387" s="299" t="n"/>
      <c r="J1387" s="299" t="n"/>
      <c r="K1387" s="299" t="n"/>
      <c r="L1387" s="299" t="n"/>
      <c r="M1387" s="299" t="n"/>
      <c r="N1387" s="299" t="n"/>
      <c r="O1387" s="299" t="n"/>
      <c r="P1387" s="299" t="n"/>
      <c r="Q1387" s="299" t="n"/>
      <c r="R1387" s="278" t="n"/>
      <c r="S1387" s="278" t="n"/>
      <c r="T1387" s="278" t="n"/>
      <c r="U1387" s="278" t="n"/>
      <c r="V1387" s="278" t="n"/>
      <c r="W1387" s="278" t="n"/>
      <c r="X1387" s="278" t="n"/>
      <c r="Y1387" s="278" t="n"/>
      <c r="Z1387" s="278" t="n"/>
      <c r="AA1387" s="278" t="n"/>
      <c r="AB1387" s="278" t="n"/>
      <c r="AC1387" s="278" t="n"/>
      <c r="AD1387" s="278" t="n"/>
    </row>
    <row r="1388" ht="15.5" customHeight="1">
      <c r="B1388" s="288" t="n">
        <v>45563</v>
      </c>
      <c r="C1388" s="289" t="n">
        <v>197</v>
      </c>
      <c r="D1388" s="290" t="inlineStr">
        <is>
          <t>Laundry 20 Sept - 27 Sept 2024 (7days) @ Rp. 50000</t>
        </is>
      </c>
      <c r="E1388" s="287" t="inlineStr">
        <is>
          <t>-</t>
        </is>
      </c>
      <c r="F1388" s="283" t="n">
        <v>350000</v>
      </c>
      <c r="G1388" s="291" t="inlineStr">
        <is>
          <t>IDR</t>
        </is>
      </c>
      <c r="H1388" s="292" t="n">
        <v>1</v>
      </c>
      <c r="I1388" s="280" t="n"/>
      <c r="J1388" s="285" t="n"/>
      <c r="K1388" s="279" t="n"/>
      <c r="L1388" s="283" t="n">
        <v>350000</v>
      </c>
      <c r="M1388" s="286" t="n"/>
      <c r="N1388" s="286" t="n"/>
      <c r="O1388" s="283" t="n"/>
      <c r="P1388" s="285" t="n"/>
      <c r="Q1388" s="287" t="n"/>
      <c r="R1388" s="278" t="n"/>
      <c r="S1388" s="278" t="n"/>
      <c r="T1388" s="278" t="n"/>
      <c r="U1388" s="278" t="n"/>
      <c r="V1388" s="278" t="n"/>
      <c r="W1388" s="278" t="n"/>
      <c r="X1388" s="278" t="n"/>
      <c r="Y1388" s="278" t="n"/>
      <c r="Z1388" s="278" t="n"/>
      <c r="AA1388" s="278" t="n"/>
      <c r="AB1388" s="278" t="n"/>
      <c r="AC1388" s="278" t="n"/>
      <c r="AD1388" s="278" t="n"/>
    </row>
    <row r="1389">
      <c r="B1389" s="299" t="n"/>
      <c r="C1389" s="299" t="n"/>
      <c r="D1389" s="300" t="inlineStr">
        <is>
          <t>Maintenance</t>
        </is>
      </c>
      <c r="E1389" s="299" t="n"/>
      <c r="F1389" s="299" t="n"/>
      <c r="G1389" s="299" t="n"/>
      <c r="H1389" s="299" t="n"/>
      <c r="I1389" s="299" t="n"/>
      <c r="J1389" s="299" t="n"/>
      <c r="K1389" s="299" t="n"/>
      <c r="L1389" s="299" t="n"/>
      <c r="M1389" s="299" t="n"/>
      <c r="N1389" s="299" t="n"/>
      <c r="O1389" s="299" t="n"/>
      <c r="P1389" s="299" t="n"/>
      <c r="Q1389" s="299" t="n"/>
      <c r="R1389" s="278" t="n"/>
      <c r="S1389" s="278" t="n"/>
      <c r="T1389" s="278" t="n"/>
      <c r="U1389" s="278" t="n"/>
      <c r="V1389" s="278" t="n"/>
      <c r="W1389" s="278" t="n"/>
      <c r="X1389" s="278" t="n"/>
      <c r="Y1389" s="278" t="n"/>
      <c r="Z1389" s="278" t="n"/>
      <c r="AA1389" s="278" t="n"/>
      <c r="AB1389" s="278" t="n"/>
      <c r="AC1389" s="278" t="n"/>
      <c r="AD1389" s="278" t="n"/>
    </row>
    <row r="1390" ht="15.5" customHeight="1">
      <c r="B1390" s="288" t="n">
        <v>45563</v>
      </c>
      <c r="C1390" s="289" t="n">
        <v>198</v>
      </c>
      <c r="D1390" s="290" t="inlineStr">
        <is>
          <t>Car Wash</t>
        </is>
      </c>
      <c r="E1390" s="287" t="inlineStr">
        <is>
          <t>-</t>
        </is>
      </c>
      <c r="F1390" s="283" t="n">
        <v>40000</v>
      </c>
      <c r="G1390" s="291" t="inlineStr">
        <is>
          <t>IDR</t>
        </is>
      </c>
      <c r="H1390" s="292" t="n">
        <v>1</v>
      </c>
      <c r="I1390" s="280" t="n"/>
      <c r="J1390" s="285" t="n"/>
      <c r="K1390" s="279" t="n"/>
      <c r="L1390" s="283" t="n">
        <v>40000</v>
      </c>
      <c r="M1390" s="286" t="n"/>
      <c r="N1390" s="286" t="n"/>
      <c r="O1390" s="283" t="n"/>
      <c r="P1390" s="285" t="n"/>
      <c r="Q1390" s="287" t="n"/>
      <c r="R1390" s="278" t="n"/>
      <c r="S1390" s="278" t="n"/>
      <c r="T1390" s="278" t="n"/>
      <c r="U1390" s="278" t="n"/>
      <c r="V1390" s="278" t="n"/>
      <c r="W1390" s="278" t="n"/>
      <c r="X1390" s="278" t="n"/>
      <c r="Y1390" s="278" t="n"/>
      <c r="Z1390" s="278" t="n"/>
      <c r="AA1390" s="278" t="n"/>
      <c r="AB1390" s="278" t="n"/>
      <c r="AC1390" s="278" t="n"/>
      <c r="AD1390" s="278" t="n"/>
    </row>
    <row r="1391">
      <c r="B1391" s="299" t="n"/>
      <c r="C1391" s="299" t="n"/>
      <c r="D1391" s="300" t="inlineStr">
        <is>
          <t>Meal</t>
        </is>
      </c>
      <c r="E1391" s="299" t="n"/>
      <c r="F1391" s="299" t="n"/>
      <c r="G1391" s="299" t="n"/>
      <c r="H1391" s="299" t="n"/>
      <c r="I1391" s="299" t="n"/>
      <c r="J1391" s="299" t="n"/>
      <c r="K1391" s="299" t="n"/>
      <c r="L1391" s="299" t="n"/>
      <c r="M1391" s="299" t="n"/>
      <c r="N1391" s="299" t="n"/>
      <c r="O1391" s="299" t="n"/>
      <c r="P1391" s="299" t="n"/>
      <c r="Q1391" s="299" t="n"/>
      <c r="R1391" s="278" t="n"/>
      <c r="S1391" s="278" t="n"/>
      <c r="T1391" s="278" t="n"/>
      <c r="U1391" s="278" t="n"/>
      <c r="V1391" s="278" t="n"/>
      <c r="W1391" s="278" t="n"/>
      <c r="X1391" s="278" t="n"/>
      <c r="Y1391" s="278" t="n"/>
      <c r="Z1391" s="278" t="n"/>
      <c r="AA1391" s="278" t="n"/>
      <c r="AB1391" s="278" t="n"/>
      <c r="AC1391" s="278" t="n"/>
      <c r="AD1391" s="278" t="n"/>
    </row>
    <row r="1392" ht="15.5" customHeight="1">
      <c r="B1392" s="288" t="n">
        <v>45563</v>
      </c>
      <c r="C1392" s="289" t="n">
        <v>199</v>
      </c>
      <c r="D1392" s="290" t="inlineStr">
        <is>
          <t>Meals 20 Sept - 27 Sept 2024 7 days</t>
        </is>
      </c>
      <c r="E1392" s="287" t="inlineStr">
        <is>
          <t>-</t>
        </is>
      </c>
      <c r="F1392" s="283" t="n">
        <v>1050000</v>
      </c>
      <c r="G1392" s="291" t="inlineStr">
        <is>
          <t>IDR</t>
        </is>
      </c>
      <c r="H1392" s="292" t="n">
        <v>1</v>
      </c>
      <c r="I1392" s="280" t="n"/>
      <c r="J1392" s="285" t="n"/>
      <c r="K1392" s="279" t="n"/>
      <c r="L1392" s="283" t="n">
        <v>1050000</v>
      </c>
      <c r="M1392" s="286" t="n"/>
      <c r="N1392" s="286" t="n"/>
      <c r="O1392" s="283" t="n"/>
      <c r="P1392" s="285" t="n"/>
      <c r="Q1392" s="287" t="n"/>
      <c r="R1392" s="278" t="n"/>
      <c r="S1392" s="278" t="n"/>
      <c r="T1392" s="278" t="n"/>
      <c r="U1392" s="278" t="n"/>
      <c r="V1392" s="278" t="n"/>
      <c r="W1392" s="278" t="n"/>
      <c r="X1392" s="278" t="n"/>
      <c r="Y1392" s="278" t="n"/>
      <c r="Z1392" s="278" t="n"/>
      <c r="AA1392" s="278" t="n"/>
      <c r="AB1392" s="278" t="n"/>
      <c r="AC1392" s="278" t="n"/>
      <c r="AD1392" s="278" t="n"/>
    </row>
    <row r="1393">
      <c r="B1393" s="299" t="n"/>
      <c r="C1393" s="299" t="n"/>
      <c r="D1393" s="300" t="inlineStr">
        <is>
          <t>Transportation</t>
        </is>
      </c>
      <c r="E1393" s="299" t="n"/>
      <c r="F1393" s="299" t="n"/>
      <c r="G1393" s="299" t="n"/>
      <c r="H1393" s="299" t="n"/>
      <c r="I1393" s="299" t="n"/>
      <c r="J1393" s="299" t="n"/>
      <c r="K1393" s="299" t="n"/>
      <c r="L1393" s="299" t="n"/>
      <c r="M1393" s="299" t="n"/>
      <c r="N1393" s="299" t="n"/>
      <c r="O1393" s="299" t="n"/>
      <c r="P1393" s="299" t="n"/>
      <c r="Q1393" s="299" t="n"/>
      <c r="R1393" s="278" t="n"/>
      <c r="S1393" s="278" t="n"/>
      <c r="T1393" s="278" t="n"/>
      <c r="U1393" s="278" t="n"/>
      <c r="V1393" s="278" t="n"/>
      <c r="W1393" s="278" t="n"/>
      <c r="X1393" s="278" t="n"/>
      <c r="Y1393" s="278" t="n"/>
      <c r="Z1393" s="278" t="n"/>
      <c r="AA1393" s="278" t="n"/>
      <c r="AB1393" s="278" t="n"/>
      <c r="AC1393" s="278" t="n"/>
      <c r="AD1393" s="278" t="n"/>
    </row>
    <row r="1394" ht="15.5" customHeight="1">
      <c r="B1394" s="288" t="n">
        <v>45563</v>
      </c>
      <c r="C1394" s="289" t="n">
        <v>200</v>
      </c>
      <c r="D1394" s="290" t="inlineStr">
        <is>
          <t>Toll (Prabumulih-PLM)</t>
        </is>
      </c>
      <c r="E1394" s="287" t="inlineStr">
        <is>
          <t>-</t>
        </is>
      </c>
      <c r="F1394" s="283" t="n">
        <v>117000</v>
      </c>
      <c r="G1394" s="291" t="inlineStr">
        <is>
          <t>IDR</t>
        </is>
      </c>
      <c r="H1394" s="292" t="n">
        <v>1</v>
      </c>
      <c r="I1394" s="280" t="n"/>
      <c r="J1394" s="285" t="n"/>
      <c r="K1394" s="279" t="n"/>
      <c r="L1394" s="283" t="n">
        <v>117000</v>
      </c>
      <c r="M1394" s="286" t="n"/>
      <c r="N1394" s="286" t="n"/>
      <c r="O1394" s="283" t="n"/>
      <c r="P1394" s="285" t="n"/>
      <c r="Q1394" s="287" t="n"/>
      <c r="R1394" s="278" t="n"/>
      <c r="S1394" s="278" t="n"/>
      <c r="T1394" s="278" t="n"/>
      <c r="U1394" s="278" t="n"/>
      <c r="V1394" s="278" t="n"/>
      <c r="W1394" s="278" t="n"/>
      <c r="X1394" s="278" t="n"/>
      <c r="Y1394" s="278" t="n"/>
      <c r="Z1394" s="278" t="n"/>
      <c r="AA1394" s="278" t="n"/>
      <c r="AB1394" s="278" t="n"/>
      <c r="AC1394" s="278" t="n"/>
      <c r="AD1394" s="278" t="n"/>
    </row>
    <row r="1395">
      <c r="B1395" s="296" t="inlineStr">
        <is>
          <t>Expense#34</t>
        </is>
      </c>
      <c r="C1395" s="297" t="inlineStr">
        <is>
          <t>:</t>
        </is>
      </c>
      <c r="D1395" s="296" t="inlineStr">
        <is>
          <t>ALFA_JRK-095 well (PEPZ4-PEndopo field) SI jakarta _ AC</t>
        </is>
      </c>
      <c r="E1395" s="298" t="n"/>
      <c r="F1395" s="298" t="n"/>
      <c r="G1395" s="298" t="n"/>
      <c r="H1395" s="298" t="n"/>
      <c r="I1395" s="298" t="n"/>
      <c r="J1395" s="298" t="n"/>
      <c r="K1395" s="298" t="n"/>
      <c r="L1395" s="298" t="n"/>
      <c r="M1395" s="298" t="n"/>
      <c r="N1395" s="298" t="n"/>
      <c r="O1395" s="298" t="n"/>
      <c r="P1395" s="298" t="n"/>
      <c r="Q1395" s="298" t="n"/>
      <c r="R1395" s="278" t="n"/>
      <c r="S1395" s="278" t="n"/>
      <c r="T1395" s="278" t="n"/>
      <c r="U1395" s="278" t="n"/>
      <c r="V1395" s="278" t="n"/>
      <c r="W1395" s="278" t="n"/>
      <c r="X1395" s="278" t="n"/>
      <c r="Y1395" s="278" t="n"/>
      <c r="Z1395" s="278" t="n"/>
      <c r="AA1395" s="278" t="n"/>
      <c r="AB1395" s="278" t="n"/>
      <c r="AC1395" s="278" t="n"/>
      <c r="AD1395" s="278" t="n"/>
    </row>
    <row r="1396">
      <c r="B1396" s="299" t="n"/>
      <c r="C1396" s="299" t="n"/>
      <c r="D1396" s="300" t="inlineStr">
        <is>
          <t>Allowance</t>
        </is>
      </c>
      <c r="E1396" s="299" t="n"/>
      <c r="F1396" s="299" t="n"/>
      <c r="G1396" s="299" t="n"/>
      <c r="H1396" s="299" t="n"/>
      <c r="I1396" s="299" t="n"/>
      <c r="J1396" s="299" t="n"/>
      <c r="K1396" s="299" t="n"/>
      <c r="L1396" s="299" t="n"/>
      <c r="M1396" s="299" t="n"/>
      <c r="N1396" s="299" t="n"/>
      <c r="O1396" s="299" t="n"/>
      <c r="P1396" s="299" t="n"/>
      <c r="Q1396" s="299" t="n"/>
      <c r="R1396" s="278" t="n"/>
      <c r="S1396" s="278" t="n"/>
      <c r="T1396" s="278" t="n"/>
      <c r="U1396" s="278" t="n"/>
      <c r="V1396" s="278" t="n"/>
      <c r="W1396" s="278" t="n"/>
      <c r="X1396" s="278" t="n"/>
      <c r="Y1396" s="278" t="n"/>
      <c r="Z1396" s="278" t="n"/>
      <c r="AA1396" s="278" t="n"/>
      <c r="AB1396" s="278" t="n"/>
      <c r="AC1396" s="278" t="n"/>
      <c r="AD1396" s="278" t="n"/>
    </row>
    <row r="1397" ht="15.5" customHeight="1">
      <c r="B1397" s="288" t="n">
        <v>45565</v>
      </c>
      <c r="C1397" s="289" t="n">
        <v>201</v>
      </c>
      <c r="D1397" s="290" t="inlineStr">
        <is>
          <t>Tunjangan lapaangan for 8 days- (job at JRK-095)</t>
        </is>
      </c>
      <c r="E1397" s="287" t="inlineStr">
        <is>
          <t>-</t>
        </is>
      </c>
      <c r="F1397" s="283" t="n">
        <v>12160000</v>
      </c>
      <c r="G1397" s="291" t="inlineStr">
        <is>
          <t>USD</t>
        </is>
      </c>
      <c r="H1397" s="292" t="n">
        <v>15200</v>
      </c>
      <c r="I1397" s="280" t="n"/>
      <c r="J1397" s="285" t="n"/>
      <c r="K1397" s="279" t="n"/>
      <c r="L1397" s="283" t="n">
        <v>12160000</v>
      </c>
      <c r="M1397" s="286" t="n"/>
      <c r="N1397" s="286" t="n"/>
      <c r="O1397" s="283" t="n"/>
      <c r="P1397" s="285" t="n"/>
      <c r="Q1397" s="287" t="n"/>
      <c r="R1397" s="278" t="n"/>
      <c r="S1397" s="278" t="n"/>
      <c r="T1397" s="278" t="n"/>
      <c r="U1397" s="278" t="n"/>
      <c r="V1397" s="278" t="n"/>
      <c r="W1397" s="278" t="n"/>
      <c r="X1397" s="278" t="n"/>
      <c r="Y1397" s="278" t="n"/>
      <c r="Z1397" s="278" t="n"/>
      <c r="AA1397" s="278" t="n"/>
      <c r="AB1397" s="278" t="n"/>
      <c r="AC1397" s="278" t="n"/>
      <c r="AD1397" s="278" t="n"/>
    </row>
    <row r="1398">
      <c r="B1398" s="299" t="n"/>
      <c r="C1398" s="299" t="n"/>
      <c r="D1398" s="300" t="inlineStr">
        <is>
          <t>Laundry</t>
        </is>
      </c>
      <c r="E1398" s="299" t="n"/>
      <c r="F1398" s="299" t="n"/>
      <c r="G1398" s="299" t="n"/>
      <c r="H1398" s="299" t="n"/>
      <c r="I1398" s="299" t="n"/>
      <c r="J1398" s="299" t="n"/>
      <c r="K1398" s="299" t="n"/>
      <c r="L1398" s="299" t="n"/>
      <c r="M1398" s="299" t="n"/>
      <c r="N1398" s="299" t="n"/>
      <c r="O1398" s="299" t="n"/>
      <c r="P1398" s="299" t="n"/>
      <c r="Q1398" s="299" t="n"/>
      <c r="R1398" s="278" t="n"/>
      <c r="S1398" s="278" t="n"/>
      <c r="T1398" s="278" t="n"/>
      <c r="U1398" s="278" t="n"/>
      <c r="V1398" s="278" t="n"/>
      <c r="W1398" s="278" t="n"/>
      <c r="X1398" s="278" t="n"/>
      <c r="Y1398" s="278" t="n"/>
      <c r="Z1398" s="278" t="n"/>
      <c r="AA1398" s="278" t="n"/>
      <c r="AB1398" s="278" t="n"/>
      <c r="AC1398" s="278" t="n"/>
      <c r="AD1398" s="278" t="n"/>
    </row>
    <row r="1399" ht="15.5" customHeight="1">
      <c r="B1399" s="288" t="n">
        <v>45564</v>
      </c>
      <c r="C1399" s="289" t="n">
        <v>202</v>
      </c>
      <c r="D1399" s="290" t="inlineStr">
        <is>
          <t>Laundry 8 days @ 50K IDR/day</t>
        </is>
      </c>
      <c r="E1399" s="287" t="inlineStr">
        <is>
          <t>-</t>
        </is>
      </c>
      <c r="F1399" s="283" t="n">
        <v>400000</v>
      </c>
      <c r="G1399" s="291" t="inlineStr">
        <is>
          <t>IDR</t>
        </is>
      </c>
      <c r="H1399" s="292" t="n">
        <v>1</v>
      </c>
      <c r="I1399" s="280" t="n"/>
      <c r="J1399" s="285" t="n"/>
      <c r="K1399" s="279" t="n"/>
      <c r="L1399" s="283" t="n">
        <v>400000</v>
      </c>
      <c r="M1399" s="286" t="n"/>
      <c r="N1399" s="286" t="n"/>
      <c r="O1399" s="283" t="n"/>
      <c r="P1399" s="285" t="n"/>
      <c r="Q1399" s="287" t="n"/>
      <c r="R1399" s="278" t="n"/>
      <c r="S1399" s="278" t="n"/>
      <c r="T1399" s="278" t="n"/>
      <c r="U1399" s="278" t="n"/>
      <c r="V1399" s="278" t="n"/>
      <c r="W1399" s="278" t="n"/>
      <c r="X1399" s="278" t="n"/>
      <c r="Y1399" s="278" t="n"/>
      <c r="Z1399" s="278" t="n"/>
      <c r="AA1399" s="278" t="n"/>
      <c r="AB1399" s="278" t="n"/>
      <c r="AC1399" s="278" t="n"/>
      <c r="AD1399" s="278" t="n"/>
    </row>
    <row r="1400">
      <c r="B1400" s="299" t="n"/>
      <c r="C1400" s="299" t="n"/>
      <c r="D1400" s="300" t="inlineStr">
        <is>
          <t>Meal</t>
        </is>
      </c>
      <c r="E1400" s="299" t="n"/>
      <c r="F1400" s="299" t="n"/>
      <c r="G1400" s="299" t="n"/>
      <c r="H1400" s="299" t="n"/>
      <c r="I1400" s="299" t="n"/>
      <c r="J1400" s="299" t="n"/>
      <c r="K1400" s="299" t="n"/>
      <c r="L1400" s="299" t="n"/>
      <c r="M1400" s="299" t="n"/>
      <c r="N1400" s="299" t="n"/>
      <c r="O1400" s="299" t="n"/>
      <c r="P1400" s="299" t="n"/>
      <c r="Q1400" s="299" t="n"/>
      <c r="R1400" s="278" t="n"/>
      <c r="S1400" s="278" t="n"/>
      <c r="T1400" s="278" t="n"/>
      <c r="U1400" s="278" t="n"/>
      <c r="V1400" s="278" t="n"/>
      <c r="W1400" s="278" t="n"/>
      <c r="X1400" s="278" t="n"/>
      <c r="Y1400" s="278" t="n"/>
      <c r="Z1400" s="278" t="n"/>
      <c r="AA1400" s="278" t="n"/>
      <c r="AB1400" s="278" t="n"/>
      <c r="AC1400" s="278" t="n"/>
      <c r="AD1400" s="278" t="n"/>
    </row>
    <row r="1401" ht="15.5" customHeight="1">
      <c r="B1401" s="288" t="n">
        <v>45564</v>
      </c>
      <c r="C1401" s="289" t="n">
        <v>203</v>
      </c>
      <c r="D1401" s="290" t="inlineStr">
        <is>
          <t>Meals 8 days @ 150K IDR/day</t>
        </is>
      </c>
      <c r="E1401" s="287" t="inlineStr">
        <is>
          <t>-</t>
        </is>
      </c>
      <c r="F1401" s="283" t="n">
        <v>900000</v>
      </c>
      <c r="G1401" s="291" t="inlineStr">
        <is>
          <t>IDR</t>
        </is>
      </c>
      <c r="H1401" s="292" t="n">
        <v>1</v>
      </c>
      <c r="I1401" s="280" t="n"/>
      <c r="J1401" s="285" t="n"/>
      <c r="K1401" s="279" t="n"/>
      <c r="L1401" s="283" t="n">
        <v>900000</v>
      </c>
      <c r="M1401" s="286" t="n"/>
      <c r="N1401" s="286" t="n"/>
      <c r="O1401" s="283" t="n"/>
      <c r="P1401" s="285" t="n"/>
      <c r="Q1401" s="287" t="n"/>
      <c r="R1401" s="278" t="n"/>
      <c r="S1401" s="278" t="n"/>
      <c r="T1401" s="278" t="n"/>
      <c r="U1401" s="278" t="n"/>
      <c r="V1401" s="278" t="n"/>
      <c r="W1401" s="278" t="n"/>
      <c r="X1401" s="278" t="n"/>
      <c r="Y1401" s="278" t="n"/>
      <c r="Z1401" s="278" t="n"/>
      <c r="AA1401" s="278" t="n"/>
      <c r="AB1401" s="278" t="n"/>
      <c r="AC1401" s="278" t="n"/>
      <c r="AD1401" s="278" t="n"/>
    </row>
    <row r="1402">
      <c r="B1402" s="299" t="n"/>
      <c r="C1402" s="299" t="n"/>
      <c r="D1402" s="300" t="inlineStr">
        <is>
          <t>Transportation</t>
        </is>
      </c>
      <c r="E1402" s="299" t="n"/>
      <c r="F1402" s="299" t="n"/>
      <c r="G1402" s="299" t="n"/>
      <c r="H1402" s="299" t="n"/>
      <c r="I1402" s="299" t="n"/>
      <c r="J1402" s="299" t="n"/>
      <c r="K1402" s="299" t="n"/>
      <c r="L1402" s="299" t="n"/>
      <c r="M1402" s="299" t="n"/>
      <c r="N1402" s="299" t="n"/>
      <c r="O1402" s="299" t="n"/>
      <c r="P1402" s="299" t="n"/>
      <c r="Q1402" s="299" t="n"/>
      <c r="R1402" s="278" t="n"/>
      <c r="S1402" s="278" t="n"/>
      <c r="T1402" s="278" t="n"/>
      <c r="U1402" s="278" t="n"/>
      <c r="V1402" s="278" t="n"/>
      <c r="W1402" s="278" t="n"/>
      <c r="X1402" s="278" t="n"/>
      <c r="Y1402" s="278" t="n"/>
      <c r="Z1402" s="278" t="n"/>
      <c r="AA1402" s="278" t="n"/>
      <c r="AB1402" s="278" t="n"/>
      <c r="AC1402" s="278" t="n"/>
      <c r="AD1402" s="278" t="n"/>
    </row>
    <row r="1403" ht="15.5" customHeight="1">
      <c r="B1403" s="288" t="n">
        <v>45564</v>
      </c>
      <c r="C1403" s="289" t="n">
        <v>204</v>
      </c>
      <c r="D1403" s="290" t="inlineStr">
        <is>
          <t>Sewa mobil 8 hari (21/09/24 - 29/09/24)</t>
        </is>
      </c>
      <c r="E1403" s="287" t="inlineStr">
        <is>
          <t>-</t>
        </is>
      </c>
      <c r="F1403" s="283" t="n">
        <v>4000000</v>
      </c>
      <c r="G1403" s="291" t="inlineStr">
        <is>
          <t>IDR</t>
        </is>
      </c>
      <c r="H1403" s="292" t="n">
        <v>1</v>
      </c>
      <c r="I1403" s="280" t="n"/>
      <c r="J1403" s="285" t="n"/>
      <c r="K1403" s="279" t="n"/>
      <c r="L1403" s="283" t="n">
        <v>4000000</v>
      </c>
      <c r="M1403" s="286" t="n"/>
      <c r="N1403" s="286" t="n"/>
      <c r="O1403" s="283" t="n"/>
      <c r="P1403" s="285" t="n"/>
      <c r="Q1403" s="287" t="n"/>
      <c r="R1403" s="278" t="n"/>
      <c r="S1403" s="278" t="n"/>
      <c r="T1403" s="278" t="n"/>
      <c r="U1403" s="278" t="n"/>
      <c r="V1403" s="278" t="n"/>
      <c r="W1403" s="278" t="n"/>
      <c r="X1403" s="278" t="n"/>
      <c r="Y1403" s="278" t="n"/>
      <c r="Z1403" s="278" t="n"/>
      <c r="AA1403" s="278" t="n"/>
      <c r="AB1403" s="278" t="n"/>
      <c r="AC1403" s="278" t="n"/>
      <c r="AD1403" s="278" t="n"/>
    </row>
    <row r="1404">
      <c r="B1404" s="296" t="inlineStr">
        <is>
          <t>Expense#35</t>
        </is>
      </c>
      <c r="C1404" s="297" t="inlineStr">
        <is>
          <t>:</t>
        </is>
      </c>
      <c r="D1404" s="296" t="inlineStr">
        <is>
          <t>Trip to Cirebon Meeting MTD job X-ray field with PEP Zona 7 Region2_AC</t>
        </is>
      </c>
      <c r="E1404" s="298" t="n"/>
      <c r="F1404" s="298" t="n"/>
      <c r="G1404" s="298" t="n"/>
      <c r="H1404" s="298" t="n"/>
      <c r="I1404" s="298" t="n"/>
      <c r="J1404" s="298" t="n"/>
      <c r="K1404" s="298" t="n"/>
      <c r="L1404" s="298" t="n"/>
      <c r="M1404" s="298" t="n"/>
      <c r="N1404" s="298" t="n"/>
      <c r="O1404" s="298" t="n"/>
      <c r="P1404" s="298" t="n"/>
      <c r="Q1404" s="298" t="n"/>
      <c r="R1404" s="278" t="n"/>
      <c r="S1404" s="278" t="n"/>
      <c r="T1404" s="278" t="n"/>
      <c r="U1404" s="278" t="n"/>
      <c r="V1404" s="278" t="n"/>
      <c r="W1404" s="278" t="n"/>
      <c r="X1404" s="278" t="n"/>
      <c r="Y1404" s="278" t="n"/>
      <c r="Z1404" s="278" t="n"/>
      <c r="AA1404" s="278" t="n"/>
      <c r="AB1404" s="278" t="n"/>
      <c r="AC1404" s="278" t="n"/>
      <c r="AD1404" s="278" t="n"/>
    </row>
    <row r="1405">
      <c r="B1405" s="299" t="n"/>
      <c r="C1405" s="299" t="n"/>
      <c r="D1405" s="300" t="inlineStr">
        <is>
          <t>Accommodation</t>
        </is>
      </c>
      <c r="E1405" s="299" t="n"/>
      <c r="F1405" s="299" t="n"/>
      <c r="G1405" s="299" t="n"/>
      <c r="H1405" s="299" t="n"/>
      <c r="I1405" s="299" t="n"/>
      <c r="J1405" s="299" t="n"/>
      <c r="K1405" s="299" t="n"/>
      <c r="L1405" s="299" t="n"/>
      <c r="M1405" s="299" t="n"/>
      <c r="N1405" s="299" t="n"/>
      <c r="O1405" s="299" t="n"/>
      <c r="P1405" s="299" t="n"/>
      <c r="Q1405" s="299" t="n"/>
      <c r="R1405" s="278" t="n"/>
      <c r="S1405" s="278" t="n"/>
      <c r="T1405" s="278" t="n"/>
      <c r="U1405" s="278" t="n"/>
      <c r="V1405" s="278" t="n"/>
      <c r="W1405" s="278" t="n"/>
      <c r="X1405" s="278" t="n"/>
      <c r="Y1405" s="278" t="n"/>
      <c r="Z1405" s="278" t="n"/>
      <c r="AA1405" s="278" t="n"/>
      <c r="AB1405" s="278" t="n"/>
      <c r="AC1405" s="278" t="n"/>
      <c r="AD1405" s="278" t="n"/>
    </row>
    <row r="1406" ht="15.5" customHeight="1">
      <c r="B1406" s="288" t="n">
        <v>45552</v>
      </c>
      <c r="C1406" s="289" t="n">
        <v>205</v>
      </c>
      <c r="D1406" s="290" t="inlineStr">
        <is>
          <t>Hotel</t>
        </is>
      </c>
      <c r="E1406" s="287" t="inlineStr">
        <is>
          <t>-</t>
        </is>
      </c>
      <c r="F1406" s="283" t="n">
        <v>700000</v>
      </c>
      <c r="G1406" s="291" t="inlineStr">
        <is>
          <t>IDR</t>
        </is>
      </c>
      <c r="H1406" s="292" t="n">
        <v>1</v>
      </c>
      <c r="I1406" s="280" t="n"/>
      <c r="J1406" s="285" t="n"/>
      <c r="K1406" s="279" t="n"/>
      <c r="L1406" s="283" t="n">
        <v>700000</v>
      </c>
      <c r="M1406" s="286" t="n"/>
      <c r="N1406" s="286" t="n"/>
      <c r="O1406" s="283" t="n"/>
      <c r="P1406" s="285" t="n"/>
      <c r="Q1406" s="287" t="n"/>
      <c r="R1406" s="278" t="n"/>
      <c r="S1406" s="278" t="n"/>
      <c r="T1406" s="278" t="n"/>
      <c r="U1406" s="278" t="n"/>
      <c r="V1406" s="278" t="n"/>
      <c r="W1406" s="278" t="n"/>
      <c r="X1406" s="278" t="n"/>
      <c r="Y1406" s="278" t="n"/>
      <c r="Z1406" s="278" t="n"/>
      <c r="AA1406" s="278" t="n"/>
      <c r="AB1406" s="278" t="n"/>
      <c r="AC1406" s="278" t="n"/>
      <c r="AD1406" s="278" t="n"/>
    </row>
    <row r="1407">
      <c r="B1407" s="299" t="n"/>
      <c r="C1407" s="299" t="n"/>
      <c r="D1407" s="300" t="inlineStr">
        <is>
          <t>Laundry</t>
        </is>
      </c>
      <c r="E1407" s="299" t="n"/>
      <c r="F1407" s="299" t="n"/>
      <c r="G1407" s="299" t="n"/>
      <c r="H1407" s="299" t="n"/>
      <c r="I1407" s="299" t="n"/>
      <c r="J1407" s="299" t="n"/>
      <c r="K1407" s="299" t="n"/>
      <c r="L1407" s="299" t="n"/>
      <c r="M1407" s="299" t="n"/>
      <c r="N1407" s="299" t="n"/>
      <c r="O1407" s="299" t="n"/>
      <c r="P1407" s="299" t="n"/>
      <c r="Q1407" s="299" t="n"/>
      <c r="R1407" s="278" t="n"/>
      <c r="S1407" s="278" t="n"/>
      <c r="T1407" s="278" t="n"/>
      <c r="U1407" s="278" t="n"/>
      <c r="V1407" s="278" t="n"/>
      <c r="W1407" s="278" t="n"/>
      <c r="X1407" s="278" t="n"/>
      <c r="Y1407" s="278" t="n"/>
      <c r="Z1407" s="278" t="n"/>
      <c r="AA1407" s="278" t="n"/>
      <c r="AB1407" s="278" t="n"/>
      <c r="AC1407" s="278" t="n"/>
      <c r="AD1407" s="278" t="n"/>
    </row>
    <row r="1408" ht="15.5" customHeight="1">
      <c r="B1408" s="288" t="n">
        <v>45553</v>
      </c>
      <c r="C1408" s="289" t="n">
        <v>206</v>
      </c>
      <c r="D1408" s="290" t="inlineStr">
        <is>
          <t>Loundry 2 days @Rp. 50.000</t>
        </is>
      </c>
      <c r="E1408" s="287" t="inlineStr">
        <is>
          <t>-</t>
        </is>
      </c>
      <c r="F1408" s="283" t="n">
        <v>100000</v>
      </c>
      <c r="G1408" s="291" t="inlineStr">
        <is>
          <t>IDR</t>
        </is>
      </c>
      <c r="H1408" s="292" t="n">
        <v>1</v>
      </c>
      <c r="I1408" s="280" t="n"/>
      <c r="J1408" s="285" t="n"/>
      <c r="K1408" s="279" t="n"/>
      <c r="L1408" s="283" t="n">
        <v>100000</v>
      </c>
      <c r="M1408" s="286" t="n"/>
      <c r="N1408" s="286" t="n"/>
      <c r="O1408" s="283" t="n"/>
      <c r="P1408" s="285" t="n"/>
      <c r="Q1408" s="287" t="n"/>
      <c r="R1408" s="278" t="n"/>
      <c r="S1408" s="278" t="n"/>
      <c r="T1408" s="278" t="n"/>
      <c r="U1408" s="278" t="n"/>
      <c r="V1408" s="278" t="n"/>
      <c r="W1408" s="278" t="n"/>
      <c r="X1408" s="278" t="n"/>
      <c r="Y1408" s="278" t="n"/>
      <c r="Z1408" s="278" t="n"/>
      <c r="AA1408" s="278" t="n"/>
      <c r="AB1408" s="278" t="n"/>
      <c r="AC1408" s="278" t="n"/>
      <c r="AD1408" s="278" t="n"/>
    </row>
    <row r="1409">
      <c r="B1409" s="299" t="n"/>
      <c r="C1409" s="299" t="n"/>
      <c r="D1409" s="300" t="inlineStr">
        <is>
          <t>Meal</t>
        </is>
      </c>
      <c r="E1409" s="299" t="n"/>
      <c r="F1409" s="299" t="n"/>
      <c r="G1409" s="299" t="n"/>
      <c r="H1409" s="299" t="n"/>
      <c r="I1409" s="299" t="n"/>
      <c r="J1409" s="299" t="n"/>
      <c r="K1409" s="299" t="n"/>
      <c r="L1409" s="299" t="n"/>
      <c r="M1409" s="299" t="n"/>
      <c r="N1409" s="299" t="n"/>
      <c r="O1409" s="299" t="n"/>
      <c r="P1409" s="299" t="n"/>
      <c r="Q1409" s="299" t="n"/>
      <c r="R1409" s="278" t="n"/>
      <c r="S1409" s="278" t="n"/>
      <c r="T1409" s="278" t="n"/>
      <c r="U1409" s="278" t="n"/>
      <c r="V1409" s="278" t="n"/>
      <c r="W1409" s="278" t="n"/>
      <c r="X1409" s="278" t="n"/>
      <c r="Y1409" s="278" t="n"/>
      <c r="Z1409" s="278" t="n"/>
      <c r="AA1409" s="278" t="n"/>
      <c r="AB1409" s="278" t="n"/>
      <c r="AC1409" s="278" t="n"/>
      <c r="AD1409" s="278" t="n"/>
    </row>
    <row r="1410" ht="15.5" customHeight="1">
      <c r="B1410" s="288" t="n">
        <v>45553</v>
      </c>
      <c r="C1410" s="289" t="n">
        <v>207</v>
      </c>
      <c r="D1410" s="290" t="inlineStr">
        <is>
          <t>Uang makan utk 3 hari (17-18 Sept-24) @150.000</t>
        </is>
      </c>
      <c r="E1410" s="287" t="inlineStr">
        <is>
          <t>-</t>
        </is>
      </c>
      <c r="F1410" s="283" t="n">
        <v>300000</v>
      </c>
      <c r="G1410" s="291" t="inlineStr">
        <is>
          <t>IDR</t>
        </is>
      </c>
      <c r="H1410" s="292" t="n">
        <v>1</v>
      </c>
      <c r="I1410" s="280" t="n"/>
      <c r="J1410" s="285" t="n"/>
      <c r="K1410" s="279" t="n"/>
      <c r="L1410" s="283" t="n">
        <v>300000</v>
      </c>
      <c r="M1410" s="286" t="n"/>
      <c r="N1410" s="286" t="n"/>
      <c r="O1410" s="283" t="n"/>
      <c r="P1410" s="285" t="n"/>
      <c r="Q1410" s="287" t="n"/>
      <c r="R1410" s="278" t="n"/>
      <c r="S1410" s="278" t="n"/>
      <c r="T1410" s="278" t="n"/>
      <c r="U1410" s="278" t="n"/>
      <c r="V1410" s="278" t="n"/>
      <c r="W1410" s="278" t="n"/>
      <c r="X1410" s="278" t="n"/>
      <c r="Y1410" s="278" t="n"/>
      <c r="Z1410" s="278" t="n"/>
      <c r="AA1410" s="278" t="n"/>
      <c r="AB1410" s="278" t="n"/>
      <c r="AC1410" s="278" t="n"/>
      <c r="AD1410" s="278" t="n"/>
    </row>
    <row r="1411">
      <c r="B1411" s="299" t="n"/>
      <c r="C1411" s="299" t="n"/>
      <c r="D1411" s="300" t="inlineStr">
        <is>
          <t>Transportation</t>
        </is>
      </c>
      <c r="E1411" s="299" t="n"/>
      <c r="F1411" s="299" t="n"/>
      <c r="G1411" s="299" t="n"/>
      <c r="H1411" s="299" t="n"/>
      <c r="I1411" s="299" t="n"/>
      <c r="J1411" s="299" t="n"/>
      <c r="K1411" s="299" t="n"/>
      <c r="L1411" s="299" t="n"/>
      <c r="M1411" s="299" t="n"/>
      <c r="N1411" s="299" t="n"/>
      <c r="O1411" s="299" t="n"/>
      <c r="P1411" s="299" t="n"/>
      <c r="Q1411" s="299" t="n"/>
      <c r="R1411" s="278" t="n"/>
      <c r="S1411" s="278" t="n"/>
      <c r="T1411" s="278" t="n"/>
      <c r="U1411" s="278" t="n"/>
      <c r="V1411" s="278" t="n"/>
      <c r="W1411" s="278" t="n"/>
      <c r="X1411" s="278" t="n"/>
      <c r="Y1411" s="278" t="n"/>
      <c r="Z1411" s="278" t="n"/>
      <c r="AA1411" s="278" t="n"/>
      <c r="AB1411" s="278" t="n"/>
      <c r="AC1411" s="278" t="n"/>
      <c r="AD1411" s="278" t="n"/>
    </row>
    <row r="1412" ht="15.5" customHeight="1">
      <c r="B1412" s="288" t="n">
        <v>45553</v>
      </c>
      <c r="C1412" s="289" t="n">
        <v>208</v>
      </c>
      <c r="D1412" s="290" t="inlineStr">
        <is>
          <t>Fuel</t>
        </is>
      </c>
      <c r="E1412" s="287" t="inlineStr">
        <is>
          <t>-</t>
        </is>
      </c>
      <c r="F1412" s="283" t="n">
        <v>222650</v>
      </c>
      <c r="G1412" s="291" t="inlineStr">
        <is>
          <t>IDR</t>
        </is>
      </c>
      <c r="H1412" s="292" t="n">
        <v>1</v>
      </c>
      <c r="I1412" s="280" t="n"/>
      <c r="J1412" s="285" t="n"/>
      <c r="K1412" s="279" t="n"/>
      <c r="L1412" s="283" t="n">
        <v>222650</v>
      </c>
      <c r="M1412" s="286" t="n"/>
      <c r="N1412" s="286" t="n"/>
      <c r="O1412" s="283" t="n"/>
      <c r="P1412" s="285" t="n"/>
      <c r="Q1412" s="287" t="n"/>
      <c r="R1412" s="278" t="n"/>
      <c r="S1412" s="278" t="n"/>
      <c r="T1412" s="278" t="n"/>
      <c r="U1412" s="278" t="n"/>
      <c r="V1412" s="278" t="n"/>
      <c r="W1412" s="278" t="n"/>
      <c r="X1412" s="278" t="n"/>
      <c r="Y1412" s="278" t="n"/>
      <c r="Z1412" s="278" t="n"/>
      <c r="AA1412" s="278" t="n"/>
      <c r="AB1412" s="278" t="n"/>
      <c r="AC1412" s="278" t="n"/>
      <c r="AD1412" s="278" t="n"/>
    </row>
    <row r="1413">
      <c r="B1413" s="296" t="inlineStr">
        <is>
          <t>Expense#36</t>
        </is>
      </c>
      <c r="C1413" s="297" t="inlineStr">
        <is>
          <t>:</t>
        </is>
      </c>
      <c r="D1413" s="296" t="inlineStr">
        <is>
          <t>Non project (follow up MCU concul &amp; inspection tool)_AC_ 2 nd</t>
        </is>
      </c>
      <c r="E1413" s="298" t="n"/>
      <c r="F1413" s="298" t="n"/>
      <c r="G1413" s="298" t="n"/>
      <c r="H1413" s="298" t="n"/>
      <c r="I1413" s="298" t="n"/>
      <c r="J1413" s="298" t="n"/>
      <c r="K1413" s="298" t="n"/>
      <c r="L1413" s="298" t="n"/>
      <c r="M1413" s="298" t="n"/>
      <c r="N1413" s="298" t="n"/>
      <c r="O1413" s="298" t="n"/>
      <c r="P1413" s="298" t="n"/>
      <c r="Q1413" s="298" t="n"/>
      <c r="R1413" s="278" t="n"/>
      <c r="S1413" s="278" t="n"/>
      <c r="T1413" s="278" t="n"/>
      <c r="U1413" s="278" t="n"/>
      <c r="V1413" s="278" t="n"/>
      <c r="W1413" s="278" t="n"/>
      <c r="X1413" s="278" t="n"/>
      <c r="Y1413" s="278" t="n"/>
      <c r="Z1413" s="278" t="n"/>
      <c r="AA1413" s="278" t="n"/>
      <c r="AB1413" s="278" t="n"/>
      <c r="AC1413" s="278" t="n"/>
      <c r="AD1413" s="278" t="n"/>
    </row>
    <row r="1414">
      <c r="B1414" s="299" t="n"/>
      <c r="C1414" s="299" t="n"/>
      <c r="D1414" s="300" t="inlineStr">
        <is>
          <t>Biaya Operasi Lain-lain</t>
        </is>
      </c>
      <c r="E1414" s="299" t="n"/>
      <c r="F1414" s="299" t="n"/>
      <c r="G1414" s="299" t="n"/>
      <c r="H1414" s="299" t="n"/>
      <c r="I1414" s="299" t="n"/>
      <c r="J1414" s="299" t="n"/>
      <c r="K1414" s="299" t="n"/>
      <c r="L1414" s="299" t="n"/>
      <c r="M1414" s="299" t="n"/>
      <c r="N1414" s="299" t="n"/>
      <c r="O1414" s="299" t="n"/>
      <c r="P1414" s="299" t="n"/>
      <c r="Q1414" s="299" t="n"/>
      <c r="R1414" s="278" t="n"/>
      <c r="S1414" s="278" t="n"/>
      <c r="T1414" s="278" t="n"/>
      <c r="U1414" s="278" t="n"/>
      <c r="V1414" s="278" t="n"/>
      <c r="W1414" s="278" t="n"/>
      <c r="X1414" s="278" t="n"/>
      <c r="Y1414" s="278" t="n"/>
      <c r="Z1414" s="278" t="n"/>
      <c r="AA1414" s="278" t="n"/>
      <c r="AB1414" s="278" t="n"/>
      <c r="AC1414" s="278" t="n"/>
      <c r="AD1414" s="278" t="n"/>
    </row>
    <row r="1415" ht="15.5" customHeight="1">
      <c r="B1415" s="288" t="n">
        <v>45530</v>
      </c>
      <c r="C1415" s="289" t="n">
        <v>209</v>
      </c>
      <c r="D1415" s="290" t="inlineStr">
        <is>
          <t>printing di snappy</t>
        </is>
      </c>
      <c r="E1415" s="287" t="inlineStr">
        <is>
          <t>-</t>
        </is>
      </c>
      <c r="F1415" s="283" t="n">
        <v>31000</v>
      </c>
      <c r="G1415" s="291" t="inlineStr">
        <is>
          <t>IDR</t>
        </is>
      </c>
      <c r="H1415" s="292" t="n">
        <v>1</v>
      </c>
      <c r="I1415" s="280" t="n"/>
      <c r="J1415" s="285" t="n"/>
      <c r="K1415" s="279" t="n"/>
      <c r="L1415" s="283" t="n">
        <v>31000</v>
      </c>
      <c r="M1415" s="286" t="n"/>
      <c r="N1415" s="286" t="n"/>
      <c r="O1415" s="283" t="n"/>
      <c r="P1415" s="285" t="n"/>
      <c r="Q1415" s="287" t="n"/>
      <c r="R1415" s="278" t="n"/>
      <c r="S1415" s="278" t="n"/>
      <c r="T1415" s="278" t="n"/>
      <c r="U1415" s="278" t="n"/>
      <c r="V1415" s="278" t="n"/>
      <c r="W1415" s="278" t="n"/>
      <c r="X1415" s="278" t="n"/>
      <c r="Y1415" s="278" t="n"/>
      <c r="Z1415" s="278" t="n"/>
      <c r="AA1415" s="278" t="n"/>
      <c r="AB1415" s="278" t="n"/>
      <c r="AC1415" s="278" t="n"/>
      <c r="AD1415" s="278" t="n"/>
    </row>
    <row r="1416">
      <c r="B1416" s="299" t="n"/>
      <c r="C1416" s="299" t="n"/>
      <c r="D1416" s="300" t="inlineStr">
        <is>
          <t>Medical</t>
        </is>
      </c>
      <c r="E1416" s="299" t="n"/>
      <c r="F1416" s="299" t="n"/>
      <c r="G1416" s="299" t="n"/>
      <c r="H1416" s="299" t="n"/>
      <c r="I1416" s="299" t="n"/>
      <c r="J1416" s="299" t="n"/>
      <c r="K1416" s="299" t="n"/>
      <c r="L1416" s="299" t="n"/>
      <c r="M1416" s="299" t="n"/>
      <c r="N1416" s="299" t="n"/>
      <c r="O1416" s="299" t="n"/>
      <c r="P1416" s="299" t="n"/>
      <c r="Q1416" s="299" t="n"/>
      <c r="R1416" s="278" t="n"/>
      <c r="S1416" s="278" t="n"/>
      <c r="T1416" s="278" t="n"/>
      <c r="U1416" s="278" t="n"/>
      <c r="V1416" s="278" t="n"/>
      <c r="W1416" s="278" t="n"/>
      <c r="X1416" s="278" t="n"/>
      <c r="Y1416" s="278" t="n"/>
      <c r="Z1416" s="278" t="n"/>
      <c r="AA1416" s="278" t="n"/>
      <c r="AB1416" s="278" t="n"/>
      <c r="AC1416" s="278" t="n"/>
      <c r="AD1416" s="278" t="n"/>
    </row>
    <row r="1417" ht="15.5" customHeight="1">
      <c r="B1417" s="288" t="n">
        <v>45566</v>
      </c>
      <c r="C1417" s="289" t="n">
        <v>210</v>
      </c>
      <c r="D1417" s="290" t="inlineStr">
        <is>
          <t>Biaya Konsul ke 2, Dokter Jantung</t>
        </is>
      </c>
      <c r="E1417" s="287" t="inlineStr">
        <is>
          <t>-</t>
        </is>
      </c>
      <c r="F1417" s="283" t="n">
        <v>1370000</v>
      </c>
      <c r="G1417" s="291" t="inlineStr">
        <is>
          <t>IDR</t>
        </is>
      </c>
      <c r="H1417" s="292" t="n">
        <v>1</v>
      </c>
      <c r="I1417" s="280" t="n"/>
      <c r="J1417" s="285" t="n"/>
      <c r="K1417" s="279" t="n"/>
      <c r="L1417" s="283" t="n"/>
      <c r="M1417" s="286" t="n"/>
      <c r="N1417" s="286" t="n"/>
      <c r="O1417" s="283" t="n"/>
      <c r="P1417" s="283" t="n">
        <v>1370000</v>
      </c>
      <c r="Q1417" s="287" t="n"/>
      <c r="R1417" s="278" t="n"/>
      <c r="S1417" s="278" t="n"/>
      <c r="T1417" s="278" t="n"/>
      <c r="U1417" s="278" t="n"/>
      <c r="V1417" s="278" t="n"/>
      <c r="W1417" s="278" t="n"/>
      <c r="X1417" s="278" t="n"/>
      <c r="Y1417" s="278" t="n"/>
      <c r="Z1417" s="278" t="n"/>
      <c r="AA1417" s="278" t="n"/>
      <c r="AB1417" s="278" t="n"/>
      <c r="AC1417" s="278" t="n"/>
      <c r="AD1417" s="278" t="n"/>
    </row>
    <row r="1418">
      <c r="B1418" s="299" t="n"/>
      <c r="C1418" s="299" t="n"/>
      <c r="D1418" s="300" t="inlineStr">
        <is>
          <t>Transportation</t>
        </is>
      </c>
      <c r="E1418" s="299" t="n"/>
      <c r="F1418" s="299" t="n"/>
      <c r="G1418" s="299" t="n"/>
      <c r="H1418" s="299" t="n"/>
      <c r="I1418" s="299" t="n"/>
      <c r="J1418" s="299" t="n"/>
      <c r="K1418" s="299" t="n"/>
      <c r="L1418" s="299" t="n"/>
      <c r="M1418" s="299" t="n"/>
      <c r="N1418" s="299" t="n"/>
      <c r="O1418" s="299" t="n"/>
      <c r="P1418" s="299" t="n"/>
      <c r="Q1418" s="299" t="n"/>
      <c r="R1418" s="278" t="n"/>
      <c r="S1418" s="278" t="n"/>
      <c r="T1418" s="278" t="n"/>
      <c r="U1418" s="278" t="n"/>
      <c r="V1418" s="278" t="n"/>
      <c r="W1418" s="278" t="n"/>
      <c r="X1418" s="278" t="n"/>
      <c r="Y1418" s="278" t="n"/>
      <c r="Z1418" s="278" t="n"/>
      <c r="AA1418" s="278" t="n"/>
      <c r="AB1418" s="278" t="n"/>
      <c r="AC1418" s="278" t="n"/>
      <c r="AD1418" s="278" t="n"/>
    </row>
    <row r="1419" ht="15.5" customHeight="1">
      <c r="B1419" s="288" t="n">
        <v>45537</v>
      </c>
      <c r="C1419" s="289" t="n">
        <v>211</v>
      </c>
      <c r="D1419" s="290" t="inlineStr">
        <is>
          <t>Pengiriman dokumen ke Rachmansyah-Sijak</t>
        </is>
      </c>
      <c r="E1419" s="287" t="inlineStr">
        <is>
          <t>-</t>
        </is>
      </c>
      <c r="F1419" s="283" t="n">
        <v>18000</v>
      </c>
      <c r="G1419" s="291" t="inlineStr">
        <is>
          <t>IDR</t>
        </is>
      </c>
      <c r="H1419" s="292" t="n">
        <v>1</v>
      </c>
      <c r="I1419" s="280" t="n"/>
      <c r="J1419" s="285" t="n"/>
      <c r="K1419" s="279" t="n"/>
      <c r="L1419" s="283" t="n">
        <v>18000</v>
      </c>
      <c r="M1419" s="286" t="n"/>
      <c r="N1419" s="286" t="n"/>
      <c r="O1419" s="283" t="n"/>
      <c r="P1419" s="285" t="n"/>
      <c r="Q1419" s="287" t="n"/>
      <c r="R1419" s="278" t="n"/>
      <c r="S1419" s="278" t="n"/>
      <c r="T1419" s="278" t="n"/>
      <c r="U1419" s="278" t="n"/>
      <c r="V1419" s="278" t="n"/>
      <c r="W1419" s="278" t="n"/>
      <c r="X1419" s="278" t="n"/>
      <c r="Y1419" s="278" t="n"/>
      <c r="Z1419" s="278" t="n"/>
      <c r="AA1419" s="278" t="n"/>
      <c r="AB1419" s="278" t="n"/>
      <c r="AC1419" s="278" t="n"/>
      <c r="AD1419" s="278" t="n"/>
    </row>
    <row r="1420">
      <c r="B1420" s="296" t="inlineStr">
        <is>
          <t>Expense#37</t>
        </is>
      </c>
      <c r="C1420" s="297" t="inlineStr">
        <is>
          <t>:</t>
        </is>
      </c>
      <c r="D1420" s="296" t="inlineStr">
        <is>
          <t>MTD SKW-26_sukowati_TMA</t>
        </is>
      </c>
      <c r="E1420" s="298" t="n"/>
      <c r="F1420" s="298" t="n"/>
      <c r="G1420" s="298" t="n"/>
      <c r="H1420" s="298" t="n"/>
      <c r="I1420" s="298" t="n"/>
      <c r="J1420" s="298" t="n"/>
      <c r="K1420" s="298" t="n"/>
      <c r="L1420" s="298" t="n"/>
      <c r="M1420" s="298" t="n"/>
      <c r="N1420" s="298" t="n"/>
      <c r="O1420" s="298" t="n"/>
      <c r="P1420" s="298" t="n"/>
      <c r="Q1420" s="298" t="n"/>
      <c r="R1420" s="278" t="n"/>
      <c r="S1420" s="278" t="n"/>
      <c r="T1420" s="278" t="n"/>
      <c r="U1420" s="278" t="n"/>
      <c r="V1420" s="278" t="n"/>
      <c r="W1420" s="278" t="n"/>
      <c r="X1420" s="278" t="n"/>
      <c r="Y1420" s="278" t="n"/>
      <c r="Z1420" s="278" t="n"/>
      <c r="AA1420" s="278" t="n"/>
      <c r="AB1420" s="278" t="n"/>
      <c r="AC1420" s="278" t="n"/>
      <c r="AD1420" s="278" t="n"/>
    </row>
    <row r="1421">
      <c r="B1421" s="299" t="n"/>
      <c r="C1421" s="299" t="n"/>
      <c r="D1421" s="300" t="inlineStr">
        <is>
          <t>Accommodation</t>
        </is>
      </c>
      <c r="E1421" s="299" t="n"/>
      <c r="F1421" s="299" t="n"/>
      <c r="G1421" s="299" t="n"/>
      <c r="H1421" s="299" t="n"/>
      <c r="I1421" s="299" t="n"/>
      <c r="J1421" s="299" t="n"/>
      <c r="K1421" s="299" t="n"/>
      <c r="L1421" s="299" t="n"/>
      <c r="M1421" s="299" t="n"/>
      <c r="N1421" s="299" t="n"/>
      <c r="O1421" s="299" t="n"/>
      <c r="P1421" s="299" t="n"/>
      <c r="Q1421" s="299" t="n"/>
      <c r="R1421" s="278" t="n"/>
      <c r="S1421" s="278" t="n"/>
      <c r="T1421" s="278" t="n"/>
      <c r="U1421" s="278" t="n"/>
      <c r="V1421" s="278" t="n"/>
      <c r="W1421" s="278" t="n"/>
      <c r="X1421" s="278" t="n"/>
      <c r="Y1421" s="278" t="n"/>
      <c r="Z1421" s="278" t="n"/>
      <c r="AA1421" s="278" t="n"/>
      <c r="AB1421" s="278" t="n"/>
      <c r="AC1421" s="278" t="n"/>
      <c r="AD1421" s="278" t="n"/>
    </row>
    <row r="1422" ht="15.5" customHeight="1">
      <c r="B1422" s="288" t="n">
        <v>45558</v>
      </c>
      <c r="C1422" s="289" t="n">
        <v>212</v>
      </c>
      <c r="D1422" s="290" t="inlineStr">
        <is>
          <t>Hotel 23 Sept - 26 Sept (3 days)</t>
        </is>
      </c>
      <c r="E1422" s="287" t="inlineStr">
        <is>
          <t>-</t>
        </is>
      </c>
      <c r="F1422" s="283" t="n">
        <v>1584184</v>
      </c>
      <c r="G1422" s="291" t="inlineStr">
        <is>
          <t>IDR</t>
        </is>
      </c>
      <c r="H1422" s="292" t="n">
        <v>1</v>
      </c>
      <c r="I1422" s="280" t="n"/>
      <c r="J1422" s="285" t="n"/>
      <c r="K1422" s="279" t="n"/>
      <c r="L1422" s="283" t="n">
        <v>1584184</v>
      </c>
      <c r="M1422" s="286" t="n"/>
      <c r="N1422" s="286" t="n"/>
      <c r="O1422" s="283" t="n"/>
      <c r="P1422" s="285" t="n"/>
      <c r="Q1422" s="287" t="n"/>
      <c r="R1422" s="278" t="n"/>
      <c r="S1422" s="278" t="n"/>
      <c r="T1422" s="278" t="n"/>
      <c r="U1422" s="278" t="n"/>
      <c r="V1422" s="278" t="n"/>
      <c r="W1422" s="278" t="n"/>
      <c r="X1422" s="278" t="n"/>
      <c r="Y1422" s="278" t="n"/>
      <c r="Z1422" s="278" t="n"/>
      <c r="AA1422" s="278" t="n"/>
      <c r="AB1422" s="278" t="n"/>
      <c r="AC1422" s="278" t="n"/>
      <c r="AD1422" s="278" t="n"/>
    </row>
    <row r="1423">
      <c r="B1423" s="299" t="n"/>
      <c r="C1423" s="299" t="n"/>
      <c r="D1423" s="300" t="inlineStr">
        <is>
          <t>Allowance</t>
        </is>
      </c>
      <c r="E1423" s="299" t="n"/>
      <c r="F1423" s="299" t="n"/>
      <c r="G1423" s="299" t="n"/>
      <c r="H1423" s="299" t="n"/>
      <c r="I1423" s="299" t="n"/>
      <c r="J1423" s="299" t="n"/>
      <c r="K1423" s="299" t="n"/>
      <c r="L1423" s="299" t="n"/>
      <c r="M1423" s="299" t="n"/>
      <c r="N1423" s="299" t="n"/>
      <c r="O1423" s="299" t="n"/>
      <c r="P1423" s="299" t="n"/>
      <c r="Q1423" s="299" t="n"/>
      <c r="R1423" s="278" t="n"/>
      <c r="S1423" s="278" t="n"/>
      <c r="T1423" s="278" t="n"/>
      <c r="U1423" s="278" t="n"/>
      <c r="V1423" s="278" t="n"/>
      <c r="W1423" s="278" t="n"/>
      <c r="X1423" s="278" t="n"/>
      <c r="Y1423" s="278" t="n"/>
      <c r="Z1423" s="278" t="n"/>
      <c r="AA1423" s="278" t="n"/>
      <c r="AB1423" s="278" t="n"/>
      <c r="AC1423" s="278" t="n"/>
      <c r="AD1423" s="278" t="n"/>
    </row>
    <row r="1424" ht="15.5" customHeight="1">
      <c r="B1424" s="288" t="n">
        <v>45558</v>
      </c>
      <c r="C1424" s="289" t="n">
        <v>213</v>
      </c>
      <c r="D1424" s="290" t="inlineStr">
        <is>
          <t>Field Allowance</t>
        </is>
      </c>
      <c r="E1424" s="287" t="inlineStr">
        <is>
          <t>-</t>
        </is>
      </c>
      <c r="F1424" s="283" t="n">
        <v>7615500</v>
      </c>
      <c r="G1424" s="291" t="inlineStr">
        <is>
          <t>USD</t>
        </is>
      </c>
      <c r="H1424" s="292" t="n">
        <v>15231</v>
      </c>
      <c r="I1424" s="280" t="n"/>
      <c r="J1424" s="285" t="n"/>
      <c r="K1424" s="279" t="n"/>
      <c r="L1424" s="283" t="n">
        <v>7615500</v>
      </c>
      <c r="M1424" s="286" t="n"/>
      <c r="N1424" s="286" t="n"/>
      <c r="O1424" s="283" t="n"/>
      <c r="P1424" s="285" t="n"/>
      <c r="Q1424" s="287" t="n"/>
      <c r="R1424" s="278" t="n"/>
      <c r="S1424" s="278" t="n"/>
      <c r="T1424" s="278" t="n"/>
      <c r="U1424" s="278" t="n"/>
      <c r="V1424" s="278" t="n"/>
      <c r="W1424" s="278" t="n"/>
      <c r="X1424" s="278" t="n"/>
      <c r="Y1424" s="278" t="n"/>
      <c r="Z1424" s="278" t="n"/>
      <c r="AA1424" s="278" t="n"/>
      <c r="AB1424" s="278" t="n"/>
      <c r="AC1424" s="278" t="n"/>
      <c r="AD1424" s="278" t="n"/>
    </row>
    <row r="1425">
      <c r="B1425" s="299" t="n"/>
      <c r="C1425" s="299" t="n"/>
      <c r="D1425" s="300" t="inlineStr">
        <is>
          <t>Laundry</t>
        </is>
      </c>
      <c r="E1425" s="299" t="n"/>
      <c r="F1425" s="299" t="n"/>
      <c r="G1425" s="299" t="n"/>
      <c r="H1425" s="299" t="n"/>
      <c r="I1425" s="299" t="n"/>
      <c r="J1425" s="299" t="n"/>
      <c r="K1425" s="299" t="n"/>
      <c r="L1425" s="299" t="n"/>
      <c r="M1425" s="299" t="n"/>
      <c r="N1425" s="299" t="n"/>
      <c r="O1425" s="299" t="n"/>
      <c r="P1425" s="299" t="n"/>
      <c r="Q1425" s="299" t="n"/>
      <c r="R1425" s="278" t="n"/>
      <c r="S1425" s="278" t="n"/>
      <c r="T1425" s="278" t="n"/>
      <c r="U1425" s="278" t="n"/>
      <c r="V1425" s="278" t="n"/>
      <c r="W1425" s="278" t="n"/>
      <c r="X1425" s="278" t="n"/>
      <c r="Y1425" s="278" t="n"/>
      <c r="Z1425" s="278" t="n"/>
      <c r="AA1425" s="278" t="n"/>
      <c r="AB1425" s="278" t="n"/>
      <c r="AC1425" s="278" t="n"/>
      <c r="AD1425" s="278" t="n"/>
    </row>
    <row r="1426" ht="15.5" customHeight="1">
      <c r="B1426" s="288" t="n">
        <v>45558</v>
      </c>
      <c r="C1426" s="289" t="n">
        <v>214</v>
      </c>
      <c r="D1426" s="290" t="inlineStr">
        <is>
          <t>Laundry 6 days 1 Persons @ 50K IDR/day</t>
        </is>
      </c>
      <c r="E1426" s="287" t="inlineStr">
        <is>
          <t>-</t>
        </is>
      </c>
      <c r="F1426" s="283" t="n">
        <v>250000</v>
      </c>
      <c r="G1426" s="291" t="inlineStr">
        <is>
          <t>IDR</t>
        </is>
      </c>
      <c r="H1426" s="292" t="n">
        <v>1</v>
      </c>
      <c r="I1426" s="280" t="n"/>
      <c r="J1426" s="285" t="n"/>
      <c r="K1426" s="279" t="n"/>
      <c r="L1426" s="283" t="n">
        <v>250000</v>
      </c>
      <c r="M1426" s="286" t="n"/>
      <c r="N1426" s="286" t="n"/>
      <c r="O1426" s="283" t="n"/>
      <c r="P1426" s="285" t="n"/>
      <c r="Q1426" s="287" t="n"/>
      <c r="R1426" s="278" t="n"/>
      <c r="S1426" s="278" t="n"/>
      <c r="T1426" s="278" t="n"/>
      <c r="U1426" s="278" t="n"/>
      <c r="V1426" s="278" t="n"/>
      <c r="W1426" s="278" t="n"/>
      <c r="X1426" s="278" t="n"/>
      <c r="Y1426" s="278" t="n"/>
      <c r="Z1426" s="278" t="n"/>
      <c r="AA1426" s="278" t="n"/>
      <c r="AB1426" s="278" t="n"/>
      <c r="AC1426" s="278" t="n"/>
      <c r="AD1426" s="278" t="n"/>
    </row>
    <row r="1427">
      <c r="B1427" s="299" t="n"/>
      <c r="C1427" s="299" t="n"/>
      <c r="D1427" s="300" t="inlineStr">
        <is>
          <t>Meal</t>
        </is>
      </c>
      <c r="E1427" s="299" t="n"/>
      <c r="F1427" s="299" t="n"/>
      <c r="G1427" s="299" t="n"/>
      <c r="H1427" s="299" t="n"/>
      <c r="I1427" s="299" t="n"/>
      <c r="J1427" s="299" t="n"/>
      <c r="K1427" s="299" t="n"/>
      <c r="L1427" s="299" t="n"/>
      <c r="M1427" s="299" t="n"/>
      <c r="N1427" s="299" t="n"/>
      <c r="O1427" s="299" t="n"/>
      <c r="P1427" s="299" t="n"/>
      <c r="Q1427" s="299" t="n"/>
      <c r="R1427" s="278" t="n"/>
      <c r="S1427" s="278" t="n"/>
      <c r="T1427" s="278" t="n"/>
      <c r="U1427" s="278" t="n"/>
      <c r="V1427" s="278" t="n"/>
      <c r="W1427" s="278" t="n"/>
      <c r="X1427" s="278" t="n"/>
      <c r="Y1427" s="278" t="n"/>
      <c r="Z1427" s="278" t="n"/>
      <c r="AA1427" s="278" t="n"/>
      <c r="AB1427" s="278" t="n"/>
      <c r="AC1427" s="278" t="n"/>
      <c r="AD1427" s="278" t="n"/>
    </row>
    <row r="1428" ht="15.5" customHeight="1">
      <c r="B1428" s="288" t="n">
        <v>45558</v>
      </c>
      <c r="C1428" s="289" t="n">
        <v>215</v>
      </c>
      <c r="D1428" s="290" t="inlineStr">
        <is>
          <t>Meals</t>
        </is>
      </c>
      <c r="E1428" s="287" t="inlineStr">
        <is>
          <t>-</t>
        </is>
      </c>
      <c r="F1428" s="283" t="n">
        <v>750000</v>
      </c>
      <c r="G1428" s="291" t="inlineStr">
        <is>
          <t>IDR</t>
        </is>
      </c>
      <c r="H1428" s="292" t="n">
        <v>1</v>
      </c>
      <c r="I1428" s="280" t="n"/>
      <c r="J1428" s="285" t="n"/>
      <c r="K1428" s="279" t="n"/>
      <c r="L1428" s="283" t="n">
        <v>750000</v>
      </c>
      <c r="M1428" s="286" t="n"/>
      <c r="N1428" s="286" t="n"/>
      <c r="O1428" s="283" t="n"/>
      <c r="P1428" s="285" t="n"/>
      <c r="Q1428" s="287" t="n"/>
      <c r="R1428" s="278" t="n"/>
      <c r="S1428" s="278" t="n"/>
      <c r="T1428" s="278" t="n"/>
      <c r="U1428" s="278" t="n"/>
      <c r="V1428" s="278" t="n"/>
      <c r="W1428" s="278" t="n"/>
      <c r="X1428" s="278" t="n"/>
      <c r="Y1428" s="278" t="n"/>
      <c r="Z1428" s="278" t="n"/>
      <c r="AA1428" s="278" t="n"/>
      <c r="AB1428" s="278" t="n"/>
      <c r="AC1428" s="278" t="n"/>
      <c r="AD1428" s="278" t="n"/>
    </row>
    <row r="1429">
      <c r="B1429" s="299" t="n"/>
      <c r="C1429" s="299" t="n"/>
      <c r="D1429" s="300" t="inlineStr">
        <is>
          <t>Transportation</t>
        </is>
      </c>
      <c r="E1429" s="299" t="n"/>
      <c r="F1429" s="299" t="n"/>
      <c r="G1429" s="299" t="n"/>
      <c r="H1429" s="299" t="n"/>
      <c r="I1429" s="299" t="n"/>
      <c r="J1429" s="299" t="n"/>
      <c r="K1429" s="299" t="n"/>
      <c r="L1429" s="299" t="n"/>
      <c r="M1429" s="299" t="n"/>
      <c r="N1429" s="299" t="n"/>
      <c r="O1429" s="299" t="n"/>
      <c r="P1429" s="299" t="n"/>
      <c r="Q1429" s="299" t="n"/>
      <c r="R1429" s="278" t="n"/>
      <c r="S1429" s="278" t="n"/>
      <c r="T1429" s="278" t="n"/>
      <c r="U1429" s="278" t="n"/>
      <c r="V1429" s="278" t="n"/>
      <c r="W1429" s="278" t="n"/>
      <c r="X1429" s="278" t="n"/>
      <c r="Y1429" s="278" t="n"/>
      <c r="Z1429" s="278" t="n"/>
      <c r="AA1429" s="278" t="n"/>
      <c r="AB1429" s="278" t="n"/>
      <c r="AC1429" s="278" t="n"/>
      <c r="AD1429" s="278" t="n"/>
    </row>
    <row r="1430" ht="15.5" customHeight="1">
      <c r="B1430" s="288" t="n">
        <v>45558</v>
      </c>
      <c r="C1430" s="289" t="n">
        <v>216</v>
      </c>
      <c r="D1430" s="290" t="inlineStr">
        <is>
          <t>Lalamove Kalog-Gowell</t>
        </is>
      </c>
      <c r="E1430" s="287" t="inlineStr">
        <is>
          <t>-</t>
        </is>
      </c>
      <c r="F1430" s="283" t="n">
        <v>73584</v>
      </c>
      <c r="G1430" s="291" t="inlineStr">
        <is>
          <t>IDR</t>
        </is>
      </c>
      <c r="H1430" s="292" t="n">
        <v>1</v>
      </c>
      <c r="I1430" s="280" t="n"/>
      <c r="J1430" s="285" t="n"/>
      <c r="K1430" s="279" t="n"/>
      <c r="L1430" s="283" t="n">
        <v>73584</v>
      </c>
      <c r="M1430" s="286" t="n"/>
      <c r="N1430" s="286" t="n"/>
      <c r="O1430" s="283" t="n"/>
      <c r="P1430" s="285" t="n"/>
      <c r="Q1430" s="287" t="n"/>
      <c r="R1430" s="278" t="n"/>
      <c r="S1430" s="278" t="n"/>
      <c r="T1430" s="278" t="n"/>
      <c r="U1430" s="278" t="n"/>
      <c r="V1430" s="278" t="n"/>
      <c r="W1430" s="278" t="n"/>
      <c r="X1430" s="278" t="n"/>
      <c r="Y1430" s="278" t="n"/>
      <c r="Z1430" s="278" t="n"/>
      <c r="AA1430" s="278" t="n"/>
      <c r="AB1430" s="278" t="n"/>
      <c r="AC1430" s="278" t="n"/>
      <c r="AD1430" s="278" t="n"/>
    </row>
    <row r="1431">
      <c r="B1431" s="296" t="inlineStr">
        <is>
          <t>Expense#38</t>
        </is>
      </c>
      <c r="C1431" s="297" t="inlineStr">
        <is>
          <t>:</t>
        </is>
      </c>
      <c r="D1431" s="296" t="inlineStr">
        <is>
          <t>MTD_STM_HDP 01 s/d 03 well (BHI project ndr Gowell) Sumbawa</t>
        </is>
      </c>
      <c r="E1431" s="298" t="n"/>
      <c r="F1431" s="298" t="n"/>
      <c r="G1431" s="298" t="n"/>
      <c r="H1431" s="298" t="n"/>
      <c r="I1431" s="298" t="n"/>
      <c r="J1431" s="298" t="n"/>
      <c r="K1431" s="298" t="n"/>
      <c r="L1431" s="298" t="n"/>
      <c r="M1431" s="298" t="n"/>
      <c r="N1431" s="298" t="n"/>
      <c r="O1431" s="298" t="n"/>
      <c r="P1431" s="298" t="n"/>
      <c r="Q1431" s="298" t="n"/>
      <c r="R1431" s="278" t="n"/>
      <c r="S1431" s="278" t="n"/>
      <c r="T1431" s="278" t="n"/>
      <c r="U1431" s="278" t="n"/>
      <c r="V1431" s="278" t="n"/>
      <c r="W1431" s="278" t="n"/>
      <c r="X1431" s="278" t="n"/>
      <c r="Y1431" s="278" t="n"/>
      <c r="Z1431" s="278" t="n"/>
      <c r="AA1431" s="278" t="n"/>
      <c r="AB1431" s="278" t="n"/>
      <c r="AC1431" s="278" t="n"/>
      <c r="AD1431" s="278" t="n"/>
    </row>
    <row r="1432">
      <c r="B1432" s="299" t="n"/>
      <c r="C1432" s="299" t="n"/>
      <c r="D1432" s="300" t="inlineStr">
        <is>
          <t>Allowance</t>
        </is>
      </c>
      <c r="E1432" s="299" t="n"/>
      <c r="F1432" s="299" t="n"/>
      <c r="G1432" s="299" t="n"/>
      <c r="H1432" s="299" t="n"/>
      <c r="I1432" s="299" t="n"/>
      <c r="J1432" s="299" t="n"/>
      <c r="K1432" s="299" t="n"/>
      <c r="L1432" s="299" t="n"/>
      <c r="M1432" s="299" t="n"/>
      <c r="N1432" s="299" t="n"/>
      <c r="O1432" s="299" t="n"/>
      <c r="P1432" s="299" t="n"/>
      <c r="Q1432" s="299" t="n"/>
      <c r="R1432" s="278" t="n"/>
      <c r="S1432" s="278" t="n"/>
      <c r="T1432" s="278" t="n"/>
      <c r="U1432" s="278" t="n"/>
      <c r="V1432" s="278" t="n"/>
      <c r="W1432" s="278" t="n"/>
      <c r="X1432" s="278" t="n"/>
      <c r="Y1432" s="278" t="n"/>
      <c r="Z1432" s="278" t="n"/>
      <c r="AA1432" s="278" t="n"/>
      <c r="AB1432" s="278" t="n"/>
      <c r="AC1432" s="278" t="n"/>
      <c r="AD1432" s="278" t="n"/>
    </row>
    <row r="1433" ht="15.5" customHeight="1">
      <c r="B1433" s="288" t="n">
        <v>45585</v>
      </c>
      <c r="C1433" s="289" t="n">
        <v>217</v>
      </c>
      <c r="D1433" s="290" t="inlineStr">
        <is>
          <t>Field Allowance for 18 days</t>
        </is>
      </c>
      <c r="E1433" s="287" t="inlineStr">
        <is>
          <t>-</t>
        </is>
      </c>
      <c r="F1433" s="283" t="n">
        <v>28528200</v>
      </c>
      <c r="G1433" s="291" t="inlineStr">
        <is>
          <t>USD</t>
        </is>
      </c>
      <c r="H1433" s="292" t="n">
        <v>15849</v>
      </c>
      <c r="I1433" s="280" t="n"/>
      <c r="J1433" s="285" t="n"/>
      <c r="K1433" s="279" t="n"/>
      <c r="L1433" s="283" t="n">
        <v>28528200</v>
      </c>
      <c r="M1433" s="286" t="n"/>
      <c r="N1433" s="286" t="n"/>
      <c r="O1433" s="283" t="n"/>
      <c r="P1433" s="285" t="n"/>
      <c r="Q1433" s="287" t="n"/>
      <c r="R1433" s="278" t="n"/>
      <c r="S1433" s="278" t="n"/>
      <c r="T1433" s="278" t="n"/>
      <c r="U1433" s="278" t="n"/>
      <c r="V1433" s="278" t="n"/>
      <c r="W1433" s="278" t="n"/>
      <c r="X1433" s="278" t="n"/>
      <c r="Y1433" s="278" t="n"/>
      <c r="Z1433" s="278" t="n"/>
      <c r="AA1433" s="278" t="n"/>
      <c r="AB1433" s="278" t="n"/>
      <c r="AC1433" s="278" t="n"/>
      <c r="AD1433" s="278" t="n"/>
    </row>
    <row r="1434">
      <c r="B1434" s="299" t="n"/>
      <c r="C1434" s="299" t="n"/>
      <c r="D1434" s="300" t="inlineStr">
        <is>
          <t>Laundry</t>
        </is>
      </c>
      <c r="E1434" s="299" t="n"/>
      <c r="F1434" s="299" t="n"/>
      <c r="G1434" s="299" t="n"/>
      <c r="H1434" s="299" t="n"/>
      <c r="I1434" s="299" t="n"/>
      <c r="J1434" s="299" t="n"/>
      <c r="K1434" s="299" t="n"/>
      <c r="L1434" s="299" t="n"/>
      <c r="M1434" s="299" t="n"/>
      <c r="N1434" s="299" t="n"/>
      <c r="O1434" s="299" t="n"/>
      <c r="P1434" s="299" t="n"/>
      <c r="Q1434" s="299" t="n"/>
      <c r="R1434" s="278" t="n"/>
      <c r="S1434" s="278" t="n"/>
      <c r="T1434" s="278" t="n"/>
      <c r="U1434" s="278" t="n"/>
      <c r="V1434" s="278" t="n"/>
      <c r="W1434" s="278" t="n"/>
      <c r="X1434" s="278" t="n"/>
      <c r="Y1434" s="278" t="n"/>
      <c r="Z1434" s="278" t="n"/>
      <c r="AA1434" s="278" t="n"/>
      <c r="AB1434" s="278" t="n"/>
      <c r="AC1434" s="278" t="n"/>
      <c r="AD1434" s="278" t="n"/>
    </row>
    <row r="1435" ht="15.5" customHeight="1">
      <c r="B1435" s="288" t="n">
        <v>45585</v>
      </c>
      <c r="C1435" s="289" t="n">
        <v>218</v>
      </c>
      <c r="D1435" s="290" t="inlineStr">
        <is>
          <t>Laundry 18 days @ 50K IDR/day</t>
        </is>
      </c>
      <c r="E1435" s="287" t="inlineStr">
        <is>
          <t>-</t>
        </is>
      </c>
      <c r="F1435" s="283" t="n">
        <v>900000</v>
      </c>
      <c r="G1435" s="291" t="inlineStr">
        <is>
          <t>IDR</t>
        </is>
      </c>
      <c r="H1435" s="292" t="n">
        <v>1</v>
      </c>
      <c r="I1435" s="280" t="n"/>
      <c r="J1435" s="285" t="n"/>
      <c r="K1435" s="279" t="n"/>
      <c r="L1435" s="283" t="n">
        <v>900000</v>
      </c>
      <c r="M1435" s="286" t="n"/>
      <c r="N1435" s="286" t="n"/>
      <c r="O1435" s="283" t="n"/>
      <c r="P1435" s="285" t="n"/>
      <c r="Q1435" s="287" t="n"/>
      <c r="R1435" s="278" t="n"/>
      <c r="S1435" s="278" t="n"/>
      <c r="T1435" s="278" t="n"/>
      <c r="U1435" s="278" t="n"/>
      <c r="V1435" s="278" t="n"/>
      <c r="W1435" s="278" t="n"/>
      <c r="X1435" s="278" t="n"/>
      <c r="Y1435" s="278" t="n"/>
      <c r="Z1435" s="278" t="n"/>
      <c r="AA1435" s="278" t="n"/>
      <c r="AB1435" s="278" t="n"/>
      <c r="AC1435" s="278" t="n"/>
      <c r="AD1435" s="278" t="n"/>
    </row>
    <row r="1436">
      <c r="B1436" s="299" t="n"/>
      <c r="C1436" s="299" t="n"/>
      <c r="D1436" s="300" t="inlineStr">
        <is>
          <t>Meal</t>
        </is>
      </c>
      <c r="E1436" s="299" t="n"/>
      <c r="F1436" s="299" t="n"/>
      <c r="G1436" s="299" t="n"/>
      <c r="H1436" s="299" t="n"/>
      <c r="I1436" s="299" t="n"/>
      <c r="J1436" s="299" t="n"/>
      <c r="K1436" s="299" t="n"/>
      <c r="L1436" s="299" t="n"/>
      <c r="M1436" s="299" t="n"/>
      <c r="N1436" s="299" t="n"/>
      <c r="O1436" s="299" t="n"/>
      <c r="P1436" s="299" t="n"/>
      <c r="Q1436" s="299" t="n"/>
      <c r="R1436" s="278" t="n"/>
      <c r="S1436" s="278" t="n"/>
      <c r="T1436" s="278" t="n"/>
      <c r="U1436" s="278" t="n"/>
      <c r="V1436" s="278" t="n"/>
      <c r="W1436" s="278" t="n"/>
      <c r="X1436" s="278" t="n"/>
      <c r="Y1436" s="278" t="n"/>
      <c r="Z1436" s="278" t="n"/>
      <c r="AA1436" s="278" t="n"/>
      <c r="AB1436" s="278" t="n"/>
      <c r="AC1436" s="278" t="n"/>
      <c r="AD1436" s="278" t="n"/>
    </row>
    <row r="1437" ht="15.5" customHeight="1">
      <c r="B1437" s="288" t="n">
        <v>45585</v>
      </c>
      <c r="C1437" s="289" t="n">
        <v>219</v>
      </c>
      <c r="D1437" s="290" t="inlineStr">
        <is>
          <t>Meal 18 days @ 150K IDR/day</t>
        </is>
      </c>
      <c r="E1437" s="287" t="inlineStr">
        <is>
          <t>-</t>
        </is>
      </c>
      <c r="F1437" s="283" t="n">
        <v>2700000</v>
      </c>
      <c r="G1437" s="291" t="inlineStr">
        <is>
          <t>IDR</t>
        </is>
      </c>
      <c r="H1437" s="292" t="n">
        <v>1</v>
      </c>
      <c r="I1437" s="280" t="n"/>
      <c r="J1437" s="285" t="n"/>
      <c r="K1437" s="279" t="n"/>
      <c r="L1437" s="283" t="n">
        <v>2700000</v>
      </c>
      <c r="M1437" s="286" t="n"/>
      <c r="N1437" s="286" t="n"/>
      <c r="O1437" s="283" t="n"/>
      <c r="P1437" s="285" t="n"/>
      <c r="Q1437" s="287" t="n"/>
      <c r="R1437" s="278" t="n"/>
      <c r="S1437" s="278" t="n"/>
      <c r="T1437" s="278" t="n"/>
      <c r="U1437" s="278" t="n"/>
      <c r="V1437" s="278" t="n"/>
      <c r="W1437" s="278" t="n"/>
      <c r="X1437" s="278" t="n"/>
      <c r="Y1437" s="278" t="n"/>
      <c r="Z1437" s="278" t="n"/>
      <c r="AA1437" s="278" t="n"/>
      <c r="AB1437" s="278" t="n"/>
      <c r="AC1437" s="278" t="n"/>
      <c r="AD1437" s="278" t="n"/>
    </row>
    <row r="1438">
      <c r="B1438" s="299" t="n"/>
      <c r="C1438" s="299" t="n"/>
      <c r="D1438" s="300" t="inlineStr">
        <is>
          <t>Transportation</t>
        </is>
      </c>
      <c r="E1438" s="299" t="n"/>
      <c r="F1438" s="299" t="n"/>
      <c r="G1438" s="299" t="n"/>
      <c r="H1438" s="299" t="n"/>
      <c r="I1438" s="299" t="n"/>
      <c r="J1438" s="299" t="n"/>
      <c r="K1438" s="299" t="n"/>
      <c r="L1438" s="299" t="n"/>
      <c r="M1438" s="299" t="n"/>
      <c r="N1438" s="299" t="n"/>
      <c r="O1438" s="299" t="n"/>
      <c r="P1438" s="299" t="n"/>
      <c r="Q1438" s="299" t="n"/>
      <c r="R1438" s="278" t="n"/>
      <c r="S1438" s="278" t="n"/>
      <c r="T1438" s="278" t="n"/>
      <c r="U1438" s="278" t="n"/>
      <c r="V1438" s="278" t="n"/>
      <c r="W1438" s="278" t="n"/>
      <c r="X1438" s="278" t="n"/>
      <c r="Y1438" s="278" t="n"/>
      <c r="Z1438" s="278" t="n"/>
      <c r="AA1438" s="278" t="n"/>
      <c r="AB1438" s="278" t="n"/>
      <c r="AC1438" s="278" t="n"/>
      <c r="AD1438" s="278" t="n"/>
    </row>
    <row r="1439" ht="15.5" customHeight="1">
      <c r="B1439" s="288" t="n">
        <v>45585</v>
      </c>
      <c r="C1439" s="289" t="n">
        <v>220</v>
      </c>
      <c r="D1439" s="290" t="inlineStr">
        <is>
          <t>Taxi Anevril CGK Airport - Home</t>
        </is>
      </c>
      <c r="E1439" s="287" t="inlineStr">
        <is>
          <t>-</t>
        </is>
      </c>
      <c r="F1439" s="283" t="n">
        <v>250000</v>
      </c>
      <c r="G1439" s="291" t="inlineStr">
        <is>
          <t>IDR</t>
        </is>
      </c>
      <c r="H1439" s="292" t="n">
        <v>1</v>
      </c>
      <c r="I1439" s="280" t="n"/>
      <c r="J1439" s="285" t="n"/>
      <c r="K1439" s="279" t="n"/>
      <c r="L1439" s="283" t="n">
        <v>250000</v>
      </c>
      <c r="M1439" s="286" t="n"/>
      <c r="N1439" s="286" t="n"/>
      <c r="O1439" s="283" t="n"/>
      <c r="P1439" s="285" t="n"/>
      <c r="Q1439" s="287" t="n"/>
      <c r="R1439" s="278" t="n"/>
      <c r="S1439" s="278" t="n"/>
      <c r="T1439" s="278" t="n"/>
      <c r="U1439" s="278" t="n"/>
      <c r="V1439" s="278" t="n"/>
      <c r="W1439" s="278" t="n"/>
      <c r="X1439" s="278" t="n"/>
      <c r="Y1439" s="278" t="n"/>
      <c r="Z1439" s="278" t="n"/>
      <c r="AA1439" s="278" t="n"/>
      <c r="AB1439" s="278" t="n"/>
      <c r="AC1439" s="278" t="n"/>
      <c r="AD1439" s="278" t="n"/>
    </row>
    <row r="1440">
      <c r="B1440" s="296" t="inlineStr">
        <is>
          <t>Expense#39</t>
        </is>
      </c>
      <c r="C1440" s="297" t="inlineStr">
        <is>
          <t>:</t>
        </is>
      </c>
      <c r="D1440" s="296" t="inlineStr">
        <is>
          <t>Training Basic Sea Survival_IBR</t>
        </is>
      </c>
      <c r="E1440" s="298" t="n"/>
      <c r="F1440" s="298" t="n"/>
      <c r="G1440" s="298" t="n"/>
      <c r="H1440" s="298" t="n"/>
      <c r="I1440" s="298" t="n"/>
      <c r="J1440" s="298" t="n"/>
      <c r="K1440" s="298" t="n"/>
      <c r="L1440" s="298" t="n"/>
      <c r="M1440" s="298" t="n"/>
      <c r="N1440" s="298" t="n"/>
      <c r="O1440" s="298" t="n"/>
      <c r="P1440" s="298" t="n"/>
      <c r="Q1440" s="298" t="n"/>
      <c r="R1440" s="278" t="n"/>
      <c r="S1440" s="278" t="n"/>
      <c r="T1440" s="278" t="n"/>
      <c r="U1440" s="278" t="n"/>
      <c r="V1440" s="278" t="n"/>
      <c r="W1440" s="278" t="n"/>
      <c r="X1440" s="278" t="n"/>
      <c r="Y1440" s="278" t="n"/>
      <c r="Z1440" s="278" t="n"/>
      <c r="AA1440" s="278" t="n"/>
      <c r="AB1440" s="278" t="n"/>
      <c r="AC1440" s="278" t="n"/>
      <c r="AD1440" s="278" t="n"/>
    </row>
    <row r="1441">
      <c r="B1441" s="299" t="n"/>
      <c r="C1441" s="299" t="n"/>
      <c r="D1441" s="300" t="inlineStr">
        <is>
          <t>Training</t>
        </is>
      </c>
      <c r="E1441" s="299" t="n"/>
      <c r="F1441" s="299" t="n"/>
      <c r="G1441" s="299" t="n"/>
      <c r="H1441" s="299" t="n"/>
      <c r="I1441" s="299" t="n"/>
      <c r="J1441" s="299" t="n"/>
      <c r="K1441" s="299" t="n"/>
      <c r="L1441" s="299" t="n"/>
      <c r="M1441" s="299" t="n"/>
      <c r="N1441" s="299" t="n"/>
      <c r="O1441" s="299" t="n"/>
      <c r="P1441" s="299" t="n"/>
      <c r="Q1441" s="299" t="n"/>
      <c r="R1441" s="278" t="n"/>
      <c r="S1441" s="278" t="n"/>
      <c r="T1441" s="278" t="n"/>
      <c r="U1441" s="278" t="n"/>
      <c r="V1441" s="278" t="n"/>
      <c r="W1441" s="278" t="n"/>
      <c r="X1441" s="278" t="n"/>
      <c r="Y1441" s="278" t="n"/>
      <c r="Z1441" s="278" t="n"/>
      <c r="AA1441" s="278" t="n"/>
      <c r="AB1441" s="278" t="n"/>
      <c r="AC1441" s="278" t="n"/>
      <c r="AD1441" s="278" t="n"/>
    </row>
    <row r="1442" ht="15.5" customHeight="1">
      <c r="B1442" s="288" t="n">
        <v>45622</v>
      </c>
      <c r="C1442" s="289" t="n">
        <v>221</v>
      </c>
      <c r="D1442" s="290" t="inlineStr">
        <is>
          <t>Basic Sea Survival</t>
        </is>
      </c>
      <c r="E1442" s="287" t="inlineStr">
        <is>
          <t>-</t>
        </is>
      </c>
      <c r="F1442" s="283" t="n">
        <v>2700000</v>
      </c>
      <c r="G1442" s="291" t="inlineStr">
        <is>
          <t>IDR</t>
        </is>
      </c>
      <c r="H1442" s="292" t="n">
        <v>1</v>
      </c>
      <c r="I1442" s="280" t="n"/>
      <c r="J1442" s="285" t="n"/>
      <c r="K1442" s="279" t="n"/>
      <c r="L1442" s="283" t="n">
        <v>2700000</v>
      </c>
      <c r="M1442" s="286" t="n"/>
      <c r="N1442" s="286" t="n"/>
      <c r="O1442" s="283" t="n"/>
      <c r="P1442" s="285" t="n"/>
      <c r="Q1442" s="287" t="n"/>
      <c r="R1442" s="278" t="n"/>
      <c r="S1442" s="278" t="n"/>
      <c r="T1442" s="278" t="n"/>
      <c r="U1442" s="278" t="n"/>
      <c r="V1442" s="278" t="n"/>
      <c r="W1442" s="278" t="n"/>
      <c r="X1442" s="278" t="n"/>
      <c r="Y1442" s="278" t="n"/>
      <c r="Z1442" s="278" t="n"/>
      <c r="AA1442" s="278" t="n"/>
      <c r="AB1442" s="278" t="n"/>
      <c r="AC1442" s="278" t="n"/>
      <c r="AD1442" s="278" t="n"/>
    </row>
    <row r="1443">
      <c r="B1443" s="299" t="n"/>
      <c r="C1443" s="299" t="n"/>
      <c r="D1443" s="300" t="inlineStr">
        <is>
          <t>Transportation</t>
        </is>
      </c>
      <c r="E1443" s="299" t="n"/>
      <c r="F1443" s="299" t="n"/>
      <c r="G1443" s="299" t="n"/>
      <c r="H1443" s="299" t="n"/>
      <c r="I1443" s="299" t="n"/>
      <c r="J1443" s="299" t="n"/>
      <c r="K1443" s="299" t="n"/>
      <c r="L1443" s="299" t="n"/>
      <c r="M1443" s="299" t="n"/>
      <c r="N1443" s="299" t="n"/>
      <c r="O1443" s="299" t="n"/>
      <c r="P1443" s="299" t="n"/>
      <c r="Q1443" s="299" t="n"/>
      <c r="R1443" s="278" t="n"/>
      <c r="S1443" s="278" t="n"/>
      <c r="T1443" s="278" t="n"/>
      <c r="U1443" s="278" t="n"/>
      <c r="V1443" s="278" t="n"/>
      <c r="W1443" s="278" t="n"/>
      <c r="X1443" s="278" t="n"/>
      <c r="Y1443" s="278" t="n"/>
      <c r="Z1443" s="278" t="n"/>
      <c r="AA1443" s="278" t="n"/>
      <c r="AB1443" s="278" t="n"/>
      <c r="AC1443" s="278" t="n"/>
      <c r="AD1443" s="278" t="n"/>
    </row>
    <row r="1444" ht="15.5" customHeight="1">
      <c r="B1444" s="288" t="n">
        <v>45622</v>
      </c>
      <c r="C1444" s="289" t="n">
        <v>222</v>
      </c>
      <c r="D1444" s="290" t="inlineStr">
        <is>
          <t>KRL ( Duku Atas - Sudimara )</t>
        </is>
      </c>
      <c r="E1444" s="287" t="inlineStr">
        <is>
          <t>-</t>
        </is>
      </c>
      <c r="F1444" s="283" t="n">
        <v>3000</v>
      </c>
      <c r="G1444" s="291" t="inlineStr">
        <is>
          <t>IDR</t>
        </is>
      </c>
      <c r="H1444" s="292" t="n">
        <v>1</v>
      </c>
      <c r="I1444" s="280" t="n"/>
      <c r="J1444" s="285" t="n"/>
      <c r="K1444" s="279" t="n"/>
      <c r="L1444" s="283" t="n">
        <v>3000</v>
      </c>
      <c r="M1444" s="286" t="n"/>
      <c r="N1444" s="286" t="n"/>
      <c r="O1444" s="283" t="n"/>
      <c r="P1444" s="285" t="n"/>
      <c r="Q1444" s="287" t="n"/>
      <c r="R1444" s="278" t="n"/>
      <c r="S1444" s="278" t="n"/>
      <c r="T1444" s="278" t="n"/>
      <c r="U1444" s="278" t="n"/>
      <c r="V1444" s="278" t="n"/>
      <c r="W1444" s="278" t="n"/>
      <c r="X1444" s="278" t="n"/>
      <c r="Y1444" s="278" t="n"/>
      <c r="Z1444" s="278" t="n"/>
      <c r="AA1444" s="278" t="n"/>
      <c r="AB1444" s="278" t="n"/>
      <c r="AC1444" s="278" t="n"/>
      <c r="AD1444" s="278" t="n"/>
    </row>
    <row r="1445">
      <c r="B1445" s="296" t="inlineStr">
        <is>
          <t>Expense#40</t>
        </is>
      </c>
      <c r="C1445" s="297" t="inlineStr">
        <is>
          <t>:</t>
        </is>
      </c>
      <c r="D1445" s="296" t="inlineStr">
        <is>
          <t>Non trip 1st - project _ Pety cash 1st - YY</t>
        </is>
      </c>
      <c r="E1445" s="298" t="n"/>
      <c r="F1445" s="298" t="n"/>
      <c r="G1445" s="298" t="n"/>
      <c r="H1445" s="298" t="n"/>
      <c r="I1445" s="298" t="n"/>
      <c r="J1445" s="298" t="n"/>
      <c r="K1445" s="298" t="n"/>
      <c r="L1445" s="298" t="n"/>
      <c r="M1445" s="298" t="n"/>
      <c r="N1445" s="298" t="n"/>
      <c r="O1445" s="298" t="n"/>
      <c r="P1445" s="298" t="n"/>
      <c r="Q1445" s="298" t="n"/>
      <c r="R1445" s="278" t="n"/>
      <c r="S1445" s="278" t="n"/>
      <c r="T1445" s="278" t="n"/>
      <c r="U1445" s="278" t="n"/>
      <c r="V1445" s="278" t="n"/>
      <c r="W1445" s="278" t="n"/>
      <c r="X1445" s="278" t="n"/>
      <c r="Y1445" s="278" t="n"/>
      <c r="Z1445" s="278" t="n"/>
      <c r="AA1445" s="278" t="n"/>
      <c r="AB1445" s="278" t="n"/>
      <c r="AC1445" s="278" t="n"/>
      <c r="AD1445" s="278" t="n"/>
    </row>
    <row r="1446">
      <c r="B1446" s="299" t="n"/>
      <c r="C1446" s="299" t="n"/>
      <c r="D1446" s="300" t="inlineStr">
        <is>
          <t>ATK &amp; Dokumentasi</t>
        </is>
      </c>
      <c r="E1446" s="299" t="n"/>
      <c r="F1446" s="299" t="n"/>
      <c r="G1446" s="299" t="n"/>
      <c r="H1446" s="299" t="n"/>
      <c r="I1446" s="299" t="n"/>
      <c r="J1446" s="299" t="n"/>
      <c r="K1446" s="299" t="n"/>
      <c r="L1446" s="299" t="n"/>
      <c r="M1446" s="299" t="n"/>
      <c r="N1446" s="299" t="n"/>
      <c r="O1446" s="299" t="n"/>
      <c r="P1446" s="299" t="n"/>
      <c r="Q1446" s="299" t="n"/>
      <c r="R1446" s="278" t="n"/>
      <c r="S1446" s="278" t="n"/>
      <c r="T1446" s="278" t="n"/>
      <c r="U1446" s="278" t="n"/>
      <c r="V1446" s="278" t="n"/>
      <c r="W1446" s="278" t="n"/>
      <c r="X1446" s="278" t="n"/>
      <c r="Y1446" s="278" t="n"/>
      <c r="Z1446" s="278" t="n"/>
      <c r="AA1446" s="278" t="n"/>
      <c r="AB1446" s="278" t="n"/>
      <c r="AC1446" s="278" t="n"/>
      <c r="AD1446" s="278" t="n"/>
    </row>
    <row r="1447" ht="15.5" customHeight="1">
      <c r="B1447" s="288" t="n">
        <v>45617</v>
      </c>
      <c r="C1447" s="289" t="n">
        <v>223</v>
      </c>
      <c r="D1447" s="290" t="inlineStr">
        <is>
          <t>Materai 10 pcs</t>
        </is>
      </c>
      <c r="E1447" s="287" t="inlineStr">
        <is>
          <t>-</t>
        </is>
      </c>
      <c r="F1447" s="283" t="n">
        <v>103000</v>
      </c>
      <c r="G1447" s="291" t="inlineStr">
        <is>
          <t>IDR</t>
        </is>
      </c>
      <c r="H1447" s="292" t="n">
        <v>1</v>
      </c>
      <c r="I1447" s="280" t="n"/>
      <c r="J1447" s="285" t="n"/>
      <c r="K1447" s="279" t="n"/>
      <c r="L1447" s="283" t="n"/>
      <c r="M1447" s="286" t="n">
        <v>103000</v>
      </c>
      <c r="N1447" s="286" t="n"/>
      <c r="O1447" s="283" t="n"/>
      <c r="P1447" s="285" t="n"/>
      <c r="Q1447" s="287" t="n"/>
      <c r="R1447" s="278" t="n"/>
      <c r="S1447" s="278" t="n"/>
      <c r="T1447" s="278" t="n"/>
      <c r="U1447" s="278" t="n"/>
      <c r="V1447" s="278" t="n"/>
      <c r="W1447" s="278" t="n"/>
      <c r="X1447" s="278" t="n"/>
      <c r="Y1447" s="278" t="n"/>
      <c r="Z1447" s="278" t="n"/>
      <c r="AA1447" s="278" t="n"/>
      <c r="AB1447" s="278" t="n"/>
      <c r="AC1447" s="278" t="n"/>
      <c r="AD1447" s="278" t="n"/>
    </row>
    <row r="1448">
      <c r="B1448" s="299" t="n"/>
      <c r="C1448" s="299" t="n"/>
      <c r="D1448" s="300" t="inlineStr">
        <is>
          <t>IT Services</t>
        </is>
      </c>
      <c r="E1448" s="299" t="n"/>
      <c r="F1448" s="299" t="n"/>
      <c r="G1448" s="299" t="n"/>
      <c r="H1448" s="299" t="n"/>
      <c r="I1448" s="299" t="n"/>
      <c r="J1448" s="299" t="n"/>
      <c r="K1448" s="299" t="n"/>
      <c r="L1448" s="299" t="n"/>
      <c r="M1448" s="299" t="n"/>
      <c r="N1448" s="299" t="n"/>
      <c r="O1448" s="299" t="n"/>
      <c r="P1448" s="299" t="n"/>
      <c r="Q1448" s="299" t="n"/>
      <c r="R1448" s="278" t="n"/>
      <c r="S1448" s="278" t="n"/>
      <c r="T1448" s="278" t="n"/>
      <c r="U1448" s="278" t="n"/>
      <c r="V1448" s="278" t="n"/>
      <c r="W1448" s="278" t="n"/>
      <c r="X1448" s="278" t="n"/>
      <c r="Y1448" s="278" t="n"/>
      <c r="Z1448" s="278" t="n"/>
      <c r="AA1448" s="278" t="n"/>
      <c r="AB1448" s="278" t="n"/>
      <c r="AC1448" s="278" t="n"/>
      <c r="AD1448" s="278" t="n"/>
    </row>
    <row r="1449" ht="15.5" customHeight="1">
      <c r="B1449" s="288" t="n">
        <v>45121</v>
      </c>
      <c r="C1449" s="289" t="n">
        <v>224</v>
      </c>
      <c r="D1449" s="290" t="inlineStr">
        <is>
          <t>Anvelope, Plastic map</t>
        </is>
      </c>
      <c r="E1449" s="287" t="inlineStr">
        <is>
          <t>-</t>
        </is>
      </c>
      <c r="F1449" s="283" t="n">
        <v>12000</v>
      </c>
      <c r="G1449" s="291" t="inlineStr">
        <is>
          <t>IDR</t>
        </is>
      </c>
      <c r="H1449" s="292" t="n">
        <v>1</v>
      </c>
      <c r="I1449" s="280" t="n"/>
      <c r="J1449" s="285" t="n"/>
      <c r="K1449" s="279" t="n"/>
      <c r="L1449" s="283" t="n"/>
      <c r="M1449" s="286" t="n">
        <v>12000</v>
      </c>
      <c r="N1449" s="286" t="n"/>
      <c r="O1449" s="283" t="n"/>
      <c r="P1449" s="285" t="n"/>
      <c r="Q1449" s="287" t="n"/>
      <c r="R1449" s="278" t="n"/>
      <c r="S1449" s="278" t="n"/>
      <c r="T1449" s="278" t="n"/>
      <c r="U1449" s="278" t="n"/>
      <c r="V1449" s="278" t="n"/>
      <c r="W1449" s="278" t="n"/>
      <c r="X1449" s="278" t="n"/>
      <c r="Y1449" s="278" t="n"/>
      <c r="Z1449" s="278" t="n"/>
      <c r="AA1449" s="278" t="n"/>
      <c r="AB1449" s="278" t="n"/>
      <c r="AC1449" s="278" t="n"/>
      <c r="AD1449" s="278" t="n"/>
    </row>
    <row r="1450">
      <c r="B1450" s="299" t="n"/>
      <c r="C1450" s="299" t="n"/>
      <c r="D1450" s="300" t="inlineStr">
        <is>
          <t>Transportation</t>
        </is>
      </c>
      <c r="E1450" s="299" t="n"/>
      <c r="F1450" s="299" t="n"/>
      <c r="G1450" s="299" t="n"/>
      <c r="H1450" s="299" t="n"/>
      <c r="I1450" s="299" t="n"/>
      <c r="J1450" s="299" t="n"/>
      <c r="K1450" s="299" t="n"/>
      <c r="L1450" s="299" t="n"/>
      <c r="M1450" s="299" t="n"/>
      <c r="N1450" s="299" t="n"/>
      <c r="O1450" s="299" t="n"/>
      <c r="P1450" s="299" t="n"/>
      <c r="Q1450" s="299" t="n"/>
      <c r="R1450" s="278" t="n"/>
      <c r="S1450" s="278" t="n"/>
      <c r="T1450" s="278" t="n"/>
      <c r="U1450" s="278" t="n"/>
      <c r="V1450" s="278" t="n"/>
      <c r="W1450" s="278" t="n"/>
      <c r="X1450" s="278" t="n"/>
      <c r="Y1450" s="278" t="n"/>
      <c r="Z1450" s="278" t="n"/>
      <c r="AA1450" s="278" t="n"/>
      <c r="AB1450" s="278" t="n"/>
      <c r="AC1450" s="278" t="n"/>
      <c r="AD1450" s="278" t="n"/>
    </row>
    <row r="1451" ht="15.5" customHeight="1">
      <c r="B1451" s="288" t="n">
        <v>45636</v>
      </c>
      <c r="C1451" s="289" t="n">
        <v>225</v>
      </c>
      <c r="D1451" s="290" t="inlineStr">
        <is>
          <t>Tol &amp; parking fee</t>
        </is>
      </c>
      <c r="E1451" s="287" t="inlineStr">
        <is>
          <t>-</t>
        </is>
      </c>
      <c r="F1451" s="283" t="n">
        <v>48500</v>
      </c>
      <c r="G1451" s="291" t="inlineStr">
        <is>
          <t>IDR</t>
        </is>
      </c>
      <c r="H1451" s="292" t="n">
        <v>1</v>
      </c>
      <c r="I1451" s="280" t="n"/>
      <c r="J1451" s="285" t="n"/>
      <c r="K1451" s="279" t="n"/>
      <c r="L1451" s="283" t="n">
        <v>48500</v>
      </c>
      <c r="M1451" s="286" t="n"/>
      <c r="N1451" s="286" t="n"/>
      <c r="O1451" s="283" t="n"/>
      <c r="P1451" s="285" t="n"/>
      <c r="Q1451" s="287" t="n"/>
      <c r="R1451" s="278" t="n"/>
      <c r="S1451" s="278" t="n"/>
      <c r="T1451" s="278" t="n"/>
      <c r="U1451" s="278" t="n"/>
      <c r="V1451" s="278" t="n"/>
      <c r="W1451" s="278" t="n"/>
      <c r="X1451" s="278" t="n"/>
      <c r="Y1451" s="278" t="n"/>
      <c r="Z1451" s="278" t="n"/>
      <c r="AA1451" s="278" t="n"/>
      <c r="AB1451" s="278" t="n"/>
      <c r="AC1451" s="278" t="n"/>
      <c r="AD1451" s="278" t="n"/>
    </row>
    <row r="1452">
      <c r="B1452" s="296" t="inlineStr">
        <is>
          <t>Expense#41</t>
        </is>
      </c>
      <c r="C1452" s="297" t="inlineStr">
        <is>
          <t>:</t>
        </is>
      </c>
      <c r="D1452" s="296" t="inlineStr">
        <is>
          <t>Starlink Kit_DS</t>
        </is>
      </c>
      <c r="E1452" s="298" t="n"/>
      <c r="F1452" s="298" t="n"/>
      <c r="G1452" s="298" t="n"/>
      <c r="H1452" s="298" t="n"/>
      <c r="I1452" s="298" t="n"/>
      <c r="J1452" s="298" t="n"/>
      <c r="K1452" s="298" t="n"/>
      <c r="L1452" s="298" t="n"/>
      <c r="M1452" s="298" t="n"/>
      <c r="N1452" s="298" t="n"/>
      <c r="O1452" s="298" t="n"/>
      <c r="P1452" s="298" t="n"/>
      <c r="Q1452" s="298" t="n"/>
      <c r="R1452" s="278" t="n"/>
      <c r="S1452" s="278" t="n"/>
      <c r="T1452" s="278" t="n"/>
      <c r="U1452" s="278" t="n"/>
      <c r="V1452" s="278" t="n"/>
      <c r="W1452" s="278" t="n"/>
      <c r="X1452" s="278" t="n"/>
      <c r="Y1452" s="278" t="n"/>
      <c r="Z1452" s="278" t="n"/>
      <c r="AA1452" s="278" t="n"/>
      <c r="AB1452" s="278" t="n"/>
      <c r="AC1452" s="278" t="n"/>
      <c r="AD1452" s="278" t="n"/>
    </row>
    <row r="1453">
      <c r="B1453" s="299" t="n"/>
      <c r="C1453" s="299" t="n"/>
      <c r="D1453" s="300" t="inlineStr">
        <is>
          <t>Elektronik &amp; Gadget</t>
        </is>
      </c>
      <c r="E1453" s="299" t="n"/>
      <c r="F1453" s="299" t="n"/>
      <c r="G1453" s="299" t="n"/>
      <c r="H1453" s="299" t="n"/>
      <c r="I1453" s="299" t="n"/>
      <c r="J1453" s="299" t="n"/>
      <c r="K1453" s="299" t="n"/>
      <c r="L1453" s="299" t="n"/>
      <c r="M1453" s="299" t="n"/>
      <c r="N1453" s="299" t="n"/>
      <c r="O1453" s="299" t="n"/>
      <c r="P1453" s="299" t="n"/>
      <c r="Q1453" s="299" t="n"/>
      <c r="R1453" s="278" t="n"/>
      <c r="S1453" s="278" t="n"/>
      <c r="T1453" s="278" t="n"/>
      <c r="U1453" s="278" t="n"/>
      <c r="V1453" s="278" t="n"/>
      <c r="W1453" s="278" t="n"/>
      <c r="X1453" s="278" t="n"/>
      <c r="Y1453" s="278" t="n"/>
      <c r="Z1453" s="278" t="n"/>
      <c r="AA1453" s="278" t="n"/>
      <c r="AB1453" s="278" t="n"/>
      <c r="AC1453" s="278" t="n"/>
      <c r="AD1453" s="278" t="n"/>
    </row>
    <row r="1454" ht="15.5" customHeight="1">
      <c r="B1454" s="288" t="n">
        <v>45607</v>
      </c>
      <c r="C1454" s="289" t="n">
        <v>226</v>
      </c>
      <c r="D1454" s="290" t="inlineStr">
        <is>
          <t>Starlink Kit</t>
        </is>
      </c>
      <c r="E1454" s="287" t="inlineStr">
        <is>
          <t>-</t>
        </is>
      </c>
      <c r="F1454" s="283" t="n">
        <v>5583200</v>
      </c>
      <c r="G1454" s="291" t="inlineStr">
        <is>
          <t>IDR</t>
        </is>
      </c>
      <c r="H1454" s="292" t="n">
        <v>1</v>
      </c>
      <c r="I1454" s="280" t="n"/>
      <c r="J1454" s="285" t="n"/>
      <c r="K1454" s="279" t="n"/>
      <c r="L1454" s="283" t="n"/>
      <c r="M1454" s="286" t="n"/>
      <c r="N1454" s="286" t="n">
        <v>5583200</v>
      </c>
      <c r="O1454" s="283" t="n"/>
      <c r="P1454" s="285" t="n"/>
      <c r="Q1454" s="287" t="n"/>
      <c r="R1454" s="278" t="n"/>
      <c r="S1454" s="278" t="n"/>
      <c r="T1454" s="278" t="n"/>
      <c r="U1454" s="278" t="n"/>
      <c r="V1454" s="278" t="n"/>
      <c r="W1454" s="278" t="n"/>
      <c r="X1454" s="278" t="n"/>
      <c r="Y1454" s="278" t="n"/>
      <c r="Z1454" s="278" t="n"/>
      <c r="AA1454" s="278" t="n"/>
      <c r="AB1454" s="278" t="n"/>
      <c r="AC1454" s="278" t="n"/>
      <c r="AD1454" s="278" t="n"/>
    </row>
    <row r="1455">
      <c r="B1455" s="296" t="inlineStr">
        <is>
          <t>Expense#42</t>
        </is>
      </c>
      <c r="C1455" s="297" t="inlineStr">
        <is>
          <t>:</t>
        </is>
      </c>
      <c r="D1455" s="296" t="inlineStr">
        <is>
          <t>Pelican Case 1650 TMA</t>
        </is>
      </c>
      <c r="E1455" s="298" t="n"/>
      <c r="F1455" s="298" t="n"/>
      <c r="G1455" s="298" t="n"/>
      <c r="H1455" s="298" t="n"/>
      <c r="I1455" s="298" t="n"/>
      <c r="J1455" s="298" t="n"/>
      <c r="K1455" s="298" t="n"/>
      <c r="L1455" s="298" t="n"/>
      <c r="M1455" s="298" t="n"/>
      <c r="N1455" s="298" t="n"/>
      <c r="O1455" s="298" t="n"/>
      <c r="P1455" s="298" t="n"/>
      <c r="Q1455" s="298" t="n"/>
      <c r="R1455" s="278" t="n"/>
      <c r="S1455" s="278" t="n"/>
      <c r="T1455" s="278" t="n"/>
      <c r="U1455" s="278" t="n"/>
      <c r="V1455" s="278" t="n"/>
      <c r="W1455" s="278" t="n"/>
      <c r="X1455" s="278" t="n"/>
      <c r="Y1455" s="278" t="n"/>
      <c r="Z1455" s="278" t="n"/>
      <c r="AA1455" s="278" t="n"/>
      <c r="AB1455" s="278" t="n"/>
      <c r="AC1455" s="278" t="n"/>
      <c r="AD1455" s="278" t="n"/>
    </row>
    <row r="1456">
      <c r="B1456" s="299" t="n"/>
      <c r="C1456" s="299" t="n"/>
      <c r="D1456" s="300" t="inlineStr">
        <is>
          <t>Sparepart</t>
        </is>
      </c>
      <c r="E1456" s="299" t="n"/>
      <c r="F1456" s="299" t="n"/>
      <c r="G1456" s="299" t="n"/>
      <c r="H1456" s="299" t="n"/>
      <c r="I1456" s="299" t="n"/>
      <c r="J1456" s="299" t="n"/>
      <c r="K1456" s="299" t="n"/>
      <c r="L1456" s="299" t="n"/>
      <c r="M1456" s="299" t="n"/>
      <c r="N1456" s="299" t="n"/>
      <c r="O1456" s="299" t="n"/>
      <c r="P1456" s="299" t="n"/>
      <c r="Q1456" s="299" t="n"/>
      <c r="R1456" s="278" t="n"/>
      <c r="S1456" s="278" t="n"/>
      <c r="T1456" s="278" t="n"/>
      <c r="U1456" s="278" t="n"/>
      <c r="V1456" s="278" t="n"/>
      <c r="W1456" s="278" t="n"/>
      <c r="X1456" s="278" t="n"/>
      <c r="Y1456" s="278" t="n"/>
      <c r="Z1456" s="278" t="n"/>
      <c r="AA1456" s="278" t="n"/>
      <c r="AB1456" s="278" t="n"/>
      <c r="AC1456" s="278" t="n"/>
      <c r="AD1456" s="278" t="n"/>
    </row>
    <row r="1457" ht="15.5" customHeight="1">
      <c r="B1457" s="288" t="n">
        <v>45640</v>
      </c>
      <c r="C1457" s="289" t="n">
        <v>227</v>
      </c>
      <c r="D1457" s="290" t="inlineStr">
        <is>
          <t>Pelican Case 1650</t>
        </is>
      </c>
      <c r="E1457" s="287" t="inlineStr">
        <is>
          <t>-</t>
        </is>
      </c>
      <c r="F1457" s="283" t="n">
        <v>8156000</v>
      </c>
      <c r="G1457" s="291" t="inlineStr">
        <is>
          <t>IDR</t>
        </is>
      </c>
      <c r="H1457" s="292" t="n">
        <v>1</v>
      </c>
      <c r="I1457" s="280" t="n"/>
      <c r="J1457" s="285" t="n"/>
      <c r="K1457" s="279" t="n"/>
      <c r="L1457" s="283" t="n"/>
      <c r="M1457" s="286" t="n"/>
      <c r="N1457" s="286" t="n">
        <v>8156000</v>
      </c>
      <c r="O1457" s="283" t="n"/>
      <c r="P1457" s="285" t="n"/>
      <c r="Q1457" s="287" t="n"/>
      <c r="R1457" s="278" t="n"/>
      <c r="S1457" s="278" t="n"/>
      <c r="T1457" s="278" t="n"/>
      <c r="U1457" s="278" t="n"/>
      <c r="V1457" s="278" t="n"/>
      <c r="W1457" s="278" t="n"/>
      <c r="X1457" s="278" t="n"/>
      <c r="Y1457" s="278" t="n"/>
      <c r="Z1457" s="278" t="n"/>
      <c r="AA1457" s="278" t="n"/>
      <c r="AB1457" s="278" t="n"/>
      <c r="AC1457" s="278" t="n"/>
      <c r="AD1457" s="278" t="n"/>
    </row>
    <row r="1458">
      <c r="B1458" s="296" t="inlineStr">
        <is>
          <t>Expense#43</t>
        </is>
      </c>
      <c r="C1458" s="297" t="inlineStr">
        <is>
          <t>:</t>
        </is>
      </c>
      <c r="D1458" s="296" t="inlineStr">
        <is>
          <t>Non trip 3rd (follow up MCU concul &amp; visit KPP and Graha Elnusa)_AC</t>
        </is>
      </c>
      <c r="E1458" s="298" t="n"/>
      <c r="F1458" s="298" t="n"/>
      <c r="G1458" s="298" t="n"/>
      <c r="H1458" s="298" t="n"/>
      <c r="I1458" s="298" t="n"/>
      <c r="J1458" s="298" t="n"/>
      <c r="K1458" s="298" t="n"/>
      <c r="L1458" s="298" t="n"/>
      <c r="M1458" s="298" t="n"/>
      <c r="N1458" s="298" t="n"/>
      <c r="O1458" s="298" t="n"/>
      <c r="P1458" s="298" t="n"/>
      <c r="Q1458" s="298" t="n"/>
      <c r="R1458" s="278" t="n"/>
      <c r="S1458" s="278" t="n"/>
      <c r="T1458" s="278" t="n"/>
      <c r="U1458" s="278" t="n"/>
      <c r="V1458" s="278" t="n"/>
      <c r="W1458" s="278" t="n"/>
      <c r="X1458" s="278" t="n"/>
      <c r="Y1458" s="278" t="n"/>
      <c r="Z1458" s="278" t="n"/>
      <c r="AA1458" s="278" t="n"/>
      <c r="AB1458" s="278" t="n"/>
      <c r="AC1458" s="278" t="n"/>
      <c r="AD1458" s="278" t="n"/>
    </row>
    <row r="1459">
      <c r="B1459" s="299" t="n"/>
      <c r="C1459" s="299" t="n"/>
      <c r="D1459" s="300" t="inlineStr">
        <is>
          <t>Medical</t>
        </is>
      </c>
      <c r="E1459" s="299" t="n"/>
      <c r="F1459" s="299" t="n"/>
      <c r="G1459" s="299" t="n"/>
      <c r="H1459" s="299" t="n"/>
      <c r="I1459" s="299" t="n"/>
      <c r="J1459" s="299" t="n"/>
      <c r="K1459" s="299" t="n"/>
      <c r="L1459" s="299" t="n"/>
      <c r="M1459" s="299" t="n"/>
      <c r="N1459" s="299" t="n"/>
      <c r="O1459" s="299" t="n"/>
      <c r="P1459" s="299" t="n"/>
      <c r="Q1459" s="299" t="n"/>
      <c r="R1459" s="278" t="n"/>
      <c r="S1459" s="278" t="n"/>
      <c r="T1459" s="278" t="n"/>
      <c r="U1459" s="278" t="n"/>
      <c r="V1459" s="278" t="n"/>
      <c r="W1459" s="278" t="n"/>
      <c r="X1459" s="278" t="n"/>
      <c r="Y1459" s="278" t="n"/>
      <c r="Z1459" s="278" t="n"/>
      <c r="AA1459" s="278" t="n"/>
      <c r="AB1459" s="278" t="n"/>
      <c r="AC1459" s="278" t="n"/>
      <c r="AD1459" s="278" t="n"/>
    </row>
    <row r="1460" ht="15.5" customHeight="1">
      <c r="B1460" s="288" t="n">
        <v>45637</v>
      </c>
      <c r="C1460" s="289" t="n">
        <v>228</v>
      </c>
      <c r="D1460" s="290" t="inlineStr">
        <is>
          <t>Medicine after konsul jantung 3rd</t>
        </is>
      </c>
      <c r="E1460" s="287" t="inlineStr">
        <is>
          <t>-</t>
        </is>
      </c>
      <c r="F1460" s="283" t="n">
        <v>417600</v>
      </c>
      <c r="G1460" s="291" t="inlineStr">
        <is>
          <t>IDR</t>
        </is>
      </c>
      <c r="H1460" s="292" t="n">
        <v>1</v>
      </c>
      <c r="I1460" s="280" t="n"/>
      <c r="J1460" s="285" t="n"/>
      <c r="K1460" s="279" t="n"/>
      <c r="L1460" s="283" t="n"/>
      <c r="M1460" s="286" t="n"/>
      <c r="N1460" s="286" t="n"/>
      <c r="O1460" s="283" t="n"/>
      <c r="P1460" s="283" t="n">
        <v>417600</v>
      </c>
      <c r="Q1460" s="287" t="n"/>
      <c r="R1460" s="278" t="n"/>
      <c r="S1460" s="278" t="n"/>
      <c r="T1460" s="278" t="n"/>
      <c r="U1460" s="278" t="n"/>
      <c r="V1460" s="278" t="n"/>
      <c r="W1460" s="278" t="n"/>
      <c r="X1460" s="278" t="n"/>
      <c r="Y1460" s="278" t="n"/>
      <c r="Z1460" s="278" t="n"/>
      <c r="AA1460" s="278" t="n"/>
      <c r="AB1460" s="278" t="n"/>
      <c r="AC1460" s="278" t="n"/>
      <c r="AD1460" s="278" t="n"/>
    </row>
    <row r="1461">
      <c r="B1461" s="299" t="n"/>
      <c r="C1461" s="299" t="n"/>
      <c r="D1461" s="300" t="inlineStr">
        <is>
          <t>Transportation</t>
        </is>
      </c>
      <c r="E1461" s="299" t="n"/>
      <c r="F1461" s="299" t="n"/>
      <c r="G1461" s="299" t="n"/>
      <c r="H1461" s="299" t="n"/>
      <c r="I1461" s="299" t="n"/>
      <c r="J1461" s="299" t="n"/>
      <c r="K1461" s="299" t="n"/>
      <c r="L1461" s="299" t="n"/>
      <c r="M1461" s="299" t="n"/>
      <c r="N1461" s="299" t="n"/>
      <c r="O1461" s="299" t="n"/>
      <c r="P1461" s="299" t="n"/>
      <c r="Q1461" s="299" t="n"/>
      <c r="R1461" s="278" t="n"/>
      <c r="S1461" s="278" t="n"/>
      <c r="T1461" s="278" t="n"/>
      <c r="U1461" s="278" t="n"/>
      <c r="V1461" s="278" t="n"/>
      <c r="W1461" s="278" t="n"/>
      <c r="X1461" s="278" t="n"/>
      <c r="Y1461" s="278" t="n"/>
      <c r="Z1461" s="278" t="n"/>
      <c r="AA1461" s="278" t="n"/>
      <c r="AB1461" s="278" t="n"/>
      <c r="AC1461" s="278" t="n"/>
      <c r="AD1461" s="278" t="n"/>
    </row>
    <row r="1462" ht="15.5" customHeight="1">
      <c r="B1462" s="288" t="n">
        <v>45636</v>
      </c>
      <c r="C1462" s="289" t="n">
        <v>229</v>
      </c>
      <c r="D1462" s="290" t="inlineStr">
        <is>
          <t>Parkir Graha Elnusa (antar dokemen invoice)</t>
        </is>
      </c>
      <c r="E1462" s="287" t="inlineStr">
        <is>
          <t>-</t>
        </is>
      </c>
      <c r="F1462" s="283" t="n">
        <v>17000</v>
      </c>
      <c r="G1462" s="291" t="inlineStr">
        <is>
          <t>IDR</t>
        </is>
      </c>
      <c r="H1462" s="292" t="n">
        <v>1</v>
      </c>
      <c r="I1462" s="280" t="n"/>
      <c r="J1462" s="285" t="n"/>
      <c r="K1462" s="279" t="n"/>
      <c r="L1462" s="283" t="n">
        <v>17000</v>
      </c>
      <c r="M1462" s="286" t="n"/>
      <c r="N1462" s="286" t="n"/>
      <c r="O1462" s="283" t="n"/>
      <c r="P1462" s="285" t="n"/>
      <c r="Q1462" s="287" t="n"/>
      <c r="R1462" s="278" t="n"/>
      <c r="S1462" s="278" t="n"/>
      <c r="T1462" s="278" t="n"/>
      <c r="U1462" s="278" t="n"/>
      <c r="V1462" s="278" t="n"/>
      <c r="W1462" s="278" t="n"/>
      <c r="X1462" s="278" t="n"/>
      <c r="Y1462" s="278" t="n"/>
      <c r="Z1462" s="278" t="n"/>
      <c r="AA1462" s="278" t="n"/>
      <c r="AB1462" s="278" t="n"/>
      <c r="AC1462" s="278" t="n"/>
      <c r="AD1462" s="278" t="n"/>
    </row>
    <row r="1463">
      <c r="B1463" s="296" t="inlineStr">
        <is>
          <t>Expense#44</t>
        </is>
      </c>
      <c r="C1463" s="297" t="inlineStr">
        <is>
          <t>:</t>
        </is>
      </c>
      <c r="D1463" s="296" t="inlineStr">
        <is>
          <t>Meeting presentasi With Elnusa - Bandung &amp;Pembelian Sparepart dari Pei-Genesis.</t>
        </is>
      </c>
      <c r="E1463" s="298" t="n"/>
      <c r="F1463" s="298" t="n"/>
      <c r="G1463" s="298" t="n"/>
      <c r="H1463" s="298" t="n"/>
      <c r="I1463" s="298" t="n"/>
      <c r="J1463" s="298" t="n"/>
      <c r="K1463" s="298" t="n"/>
      <c r="L1463" s="298" t="n"/>
      <c r="M1463" s="298" t="n"/>
      <c r="N1463" s="298" t="n"/>
      <c r="O1463" s="298" t="n"/>
      <c r="P1463" s="298" t="n"/>
      <c r="Q1463" s="298" t="n"/>
      <c r="R1463" s="278" t="n"/>
      <c r="S1463" s="278" t="n"/>
      <c r="T1463" s="278" t="n"/>
      <c r="U1463" s="278" t="n"/>
      <c r="V1463" s="278" t="n"/>
      <c r="W1463" s="278" t="n"/>
      <c r="X1463" s="278" t="n"/>
      <c r="Y1463" s="278" t="n"/>
      <c r="Z1463" s="278" t="n"/>
      <c r="AA1463" s="278" t="n"/>
      <c r="AB1463" s="278" t="n"/>
      <c r="AC1463" s="278" t="n"/>
      <c r="AD1463" s="278" t="n"/>
    </row>
    <row r="1464">
      <c r="B1464" s="299" t="n"/>
      <c r="C1464" s="299" t="n"/>
      <c r="D1464" s="300" t="inlineStr">
        <is>
          <t>Biaya Operasi Lain-lain</t>
        </is>
      </c>
      <c r="E1464" s="299" t="n"/>
      <c r="F1464" s="299" t="n"/>
      <c r="G1464" s="299" t="n"/>
      <c r="H1464" s="299" t="n"/>
      <c r="I1464" s="299" t="n"/>
      <c r="J1464" s="299" t="n"/>
      <c r="K1464" s="299" t="n"/>
      <c r="L1464" s="299" t="n"/>
      <c r="M1464" s="299" t="n"/>
      <c r="N1464" s="299" t="n"/>
      <c r="O1464" s="299" t="n"/>
      <c r="P1464" s="299" t="n"/>
      <c r="Q1464" s="299" t="n"/>
      <c r="R1464" s="278" t="n"/>
      <c r="S1464" s="278" t="n"/>
      <c r="T1464" s="278" t="n"/>
      <c r="U1464" s="278" t="n"/>
      <c r="V1464" s="278" t="n"/>
      <c r="W1464" s="278" t="n"/>
      <c r="X1464" s="278" t="n"/>
      <c r="Y1464" s="278" t="n"/>
      <c r="Z1464" s="278" t="n"/>
      <c r="AA1464" s="278" t="n"/>
      <c r="AB1464" s="278" t="n"/>
      <c r="AC1464" s="278" t="n"/>
      <c r="AD1464" s="278" t="n"/>
    </row>
    <row r="1465" ht="15.5" customHeight="1">
      <c r="B1465" s="288" t="n">
        <v>45647</v>
      </c>
      <c r="C1465" s="289" t="n">
        <v>230</v>
      </c>
      <c r="D1465" s="290" t="inlineStr">
        <is>
          <t>Traveling Bandung - Jakarta</t>
        </is>
      </c>
      <c r="E1465" s="287" t="inlineStr">
        <is>
          <t>-</t>
        </is>
      </c>
      <c r="F1465" s="283" t="n">
        <v>160000</v>
      </c>
      <c r="G1465" s="291" t="inlineStr">
        <is>
          <t>IDR</t>
        </is>
      </c>
      <c r="H1465" s="292" t="n">
        <v>1</v>
      </c>
      <c r="I1465" s="280" t="n"/>
      <c r="J1465" s="285" t="n"/>
      <c r="K1465" s="279" t="n"/>
      <c r="L1465" s="283" t="n">
        <v>160000</v>
      </c>
      <c r="M1465" s="286" t="n"/>
      <c r="N1465" s="286" t="n"/>
      <c r="O1465" s="283" t="n"/>
      <c r="P1465" s="285" t="n"/>
      <c r="Q1465" s="287" t="n"/>
      <c r="R1465" s="278" t="n"/>
      <c r="S1465" s="278" t="n"/>
      <c r="T1465" s="278" t="n"/>
      <c r="U1465" s="278" t="n"/>
      <c r="V1465" s="278" t="n"/>
      <c r="W1465" s="278" t="n"/>
      <c r="X1465" s="278" t="n"/>
      <c r="Y1465" s="278" t="n"/>
      <c r="Z1465" s="278" t="n"/>
      <c r="AA1465" s="278" t="n"/>
      <c r="AB1465" s="278" t="n"/>
      <c r="AC1465" s="278" t="n"/>
      <c r="AD1465" s="278" t="n"/>
    </row>
    <row r="1466">
      <c r="B1466" s="299" t="n"/>
      <c r="C1466" s="299" t="n"/>
      <c r="D1466" s="300" t="inlineStr">
        <is>
          <t>IT Services</t>
        </is>
      </c>
      <c r="E1466" s="299" t="n"/>
      <c r="F1466" s="299" t="n"/>
      <c r="G1466" s="299" t="n"/>
      <c r="H1466" s="299" t="n"/>
      <c r="I1466" s="299" t="n"/>
      <c r="J1466" s="299" t="n"/>
      <c r="K1466" s="299" t="n"/>
      <c r="L1466" s="299" t="n"/>
      <c r="M1466" s="299" t="n"/>
      <c r="N1466" s="299" t="n"/>
      <c r="O1466" s="299" t="n"/>
      <c r="P1466" s="299" t="n"/>
      <c r="Q1466" s="299" t="n"/>
      <c r="R1466" s="278" t="n"/>
      <c r="S1466" s="278" t="n"/>
      <c r="T1466" s="278" t="n"/>
      <c r="U1466" s="278" t="n"/>
      <c r="V1466" s="278" t="n"/>
      <c r="W1466" s="278" t="n"/>
      <c r="X1466" s="278" t="n"/>
      <c r="Y1466" s="278" t="n"/>
      <c r="Z1466" s="278" t="n"/>
      <c r="AA1466" s="278" t="n"/>
      <c r="AB1466" s="278" t="n"/>
      <c r="AC1466" s="278" t="n"/>
      <c r="AD1466" s="278" t="n"/>
    </row>
    <row r="1467" ht="15.5" customHeight="1">
      <c r="B1467" s="288" t="n">
        <v>45650</v>
      </c>
      <c r="C1467" s="289" t="n">
        <v>231</v>
      </c>
      <c r="D1467" s="290" t="inlineStr">
        <is>
          <t>payment for hotel Grand Dafam and</t>
        </is>
      </c>
      <c r="E1467" s="287" t="inlineStr">
        <is>
          <t>-</t>
        </is>
      </c>
      <c r="F1467" s="283" t="n">
        <v>4913283</v>
      </c>
      <c r="G1467" s="291" t="inlineStr">
        <is>
          <t>IDR</t>
        </is>
      </c>
      <c r="H1467" s="292" t="n">
        <v>1</v>
      </c>
      <c r="I1467" s="280" t="n"/>
      <c r="J1467" s="285" t="n"/>
      <c r="K1467" s="279" t="n"/>
      <c r="L1467" s="283" t="n"/>
      <c r="M1467" s="286" t="n">
        <v>4913283</v>
      </c>
      <c r="N1467" s="286" t="n"/>
      <c r="O1467" s="283" t="n"/>
      <c r="P1467" s="285" t="n"/>
      <c r="Q1467" s="287" t="n"/>
      <c r="R1467" s="278" t="n"/>
      <c r="S1467" s="278" t="n"/>
      <c r="T1467" s="278" t="n"/>
      <c r="U1467" s="278" t="n"/>
      <c r="V1467" s="278" t="n"/>
      <c r="W1467" s="278" t="n"/>
      <c r="X1467" s="278" t="n"/>
      <c r="Y1467" s="278" t="n"/>
      <c r="Z1467" s="278" t="n"/>
      <c r="AA1467" s="278" t="n"/>
      <c r="AB1467" s="278" t="n"/>
      <c r="AC1467" s="278" t="n"/>
      <c r="AD1467" s="278" t="n"/>
    </row>
    <row r="1468">
      <c r="B1468" s="299" t="n"/>
      <c r="C1468" s="299" t="n"/>
      <c r="D1468" s="300" t="inlineStr">
        <is>
          <t>Meal</t>
        </is>
      </c>
      <c r="E1468" s="299" t="n"/>
      <c r="F1468" s="299" t="n"/>
      <c r="G1468" s="299" t="n"/>
      <c r="H1468" s="299" t="n"/>
      <c r="I1468" s="299" t="n"/>
      <c r="J1468" s="299" t="n"/>
      <c r="K1468" s="299" t="n"/>
      <c r="L1468" s="299" t="n"/>
      <c r="M1468" s="299" t="n"/>
      <c r="N1468" s="299" t="n"/>
      <c r="O1468" s="299" t="n"/>
      <c r="P1468" s="299" t="n"/>
      <c r="Q1468" s="299" t="n"/>
      <c r="R1468" s="278" t="n"/>
      <c r="S1468" s="278" t="n"/>
      <c r="T1468" s="278" t="n"/>
      <c r="U1468" s="278" t="n"/>
      <c r="V1468" s="278" t="n"/>
      <c r="W1468" s="278" t="n"/>
      <c r="X1468" s="278" t="n"/>
      <c r="Y1468" s="278" t="n"/>
      <c r="Z1468" s="278" t="n"/>
      <c r="AA1468" s="278" t="n"/>
      <c r="AB1468" s="278" t="n"/>
      <c r="AC1468" s="278" t="n"/>
      <c r="AD1468" s="278" t="n"/>
    </row>
    <row r="1469" ht="15.5" customHeight="1">
      <c r="B1469" s="288" t="n">
        <v>45647</v>
      </c>
      <c r="C1469" s="289" t="n">
        <v>232</v>
      </c>
      <c r="D1469" s="290" t="inlineStr">
        <is>
          <t>Meal</t>
        </is>
      </c>
      <c r="E1469" s="287" t="inlineStr">
        <is>
          <t>-</t>
        </is>
      </c>
      <c r="F1469" s="283" t="n">
        <v>299900</v>
      </c>
      <c r="G1469" s="291" t="inlineStr">
        <is>
          <t>IDR</t>
        </is>
      </c>
      <c r="H1469" s="292" t="n">
        <v>1</v>
      </c>
      <c r="I1469" s="280" t="n"/>
      <c r="J1469" s="285" t="n"/>
      <c r="K1469" s="279" t="n"/>
      <c r="L1469" s="283" t="n">
        <v>299900</v>
      </c>
      <c r="M1469" s="286" t="n"/>
      <c r="N1469" s="286" t="n"/>
      <c r="O1469" s="283" t="n"/>
      <c r="P1469" s="285" t="n"/>
      <c r="Q1469" s="287" t="n"/>
      <c r="R1469" s="278" t="n"/>
      <c r="S1469" s="278" t="n"/>
      <c r="T1469" s="278" t="n"/>
      <c r="U1469" s="278" t="n"/>
      <c r="V1469" s="278" t="n"/>
      <c r="W1469" s="278" t="n"/>
      <c r="X1469" s="278" t="n"/>
      <c r="Y1469" s="278" t="n"/>
      <c r="Z1469" s="278" t="n"/>
      <c r="AA1469" s="278" t="n"/>
      <c r="AB1469" s="278" t="n"/>
      <c r="AC1469" s="278" t="n"/>
      <c r="AD1469" s="278" t="n"/>
    </row>
    <row r="1470">
      <c r="B1470" s="299" t="n"/>
      <c r="C1470" s="299" t="n"/>
      <c r="D1470" s="300" t="inlineStr">
        <is>
          <t>Transportation</t>
        </is>
      </c>
      <c r="E1470" s="299" t="n"/>
      <c r="F1470" s="299" t="n"/>
      <c r="G1470" s="299" t="n"/>
      <c r="H1470" s="299" t="n"/>
      <c r="I1470" s="299" t="n"/>
      <c r="J1470" s="299" t="n"/>
      <c r="K1470" s="299" t="n"/>
      <c r="L1470" s="299" t="n"/>
      <c r="M1470" s="299" t="n"/>
      <c r="N1470" s="299" t="n"/>
      <c r="O1470" s="299" t="n"/>
      <c r="P1470" s="299" t="n"/>
      <c r="Q1470" s="299" t="n"/>
      <c r="R1470" s="278" t="n"/>
      <c r="S1470" s="278" t="n"/>
      <c r="T1470" s="278" t="n"/>
      <c r="U1470" s="278" t="n"/>
      <c r="V1470" s="278" t="n"/>
      <c r="W1470" s="278" t="n"/>
      <c r="X1470" s="278" t="n"/>
      <c r="Y1470" s="278" t="n"/>
      <c r="Z1470" s="278" t="n"/>
      <c r="AA1470" s="278" t="n"/>
      <c r="AB1470" s="278" t="n"/>
      <c r="AC1470" s="278" t="n"/>
      <c r="AD1470" s="278" t="n"/>
    </row>
    <row r="1471" ht="15.5" customHeight="1">
      <c r="B1471" s="288" t="n">
        <v>45647</v>
      </c>
      <c r="C1471" s="289" t="n">
        <v>233</v>
      </c>
      <c r="D1471" s="290" t="inlineStr">
        <is>
          <t>Taksi around the Bandung city for 2 days</t>
        </is>
      </c>
      <c r="E1471" s="287" t="inlineStr">
        <is>
          <t>-</t>
        </is>
      </c>
      <c r="F1471" s="283" t="n">
        <v>200000</v>
      </c>
      <c r="G1471" s="291" t="inlineStr">
        <is>
          <t>IDR</t>
        </is>
      </c>
      <c r="H1471" s="292" t="n">
        <v>1</v>
      </c>
      <c r="I1471" s="280" t="n"/>
      <c r="J1471" s="285" t="n"/>
      <c r="K1471" s="279" t="n"/>
      <c r="L1471" s="283" t="n">
        <v>200000</v>
      </c>
      <c r="M1471" s="286" t="n"/>
      <c r="N1471" s="286" t="n"/>
      <c r="O1471" s="283" t="n"/>
      <c r="P1471" s="285" t="n"/>
      <c r="Q1471" s="287" t="n"/>
      <c r="R1471" s="278" t="n"/>
      <c r="S1471" s="278" t="n"/>
      <c r="T1471" s="278" t="n"/>
      <c r="U1471" s="278" t="n"/>
      <c r="V1471" s="278" t="n"/>
      <c r="W1471" s="278" t="n"/>
      <c r="X1471" s="278" t="n"/>
      <c r="Y1471" s="278" t="n"/>
      <c r="Z1471" s="278" t="n"/>
      <c r="AA1471" s="278" t="n"/>
      <c r="AB1471" s="278" t="n"/>
      <c r="AC1471" s="278" t="n"/>
      <c r="AD1471" s="278" t="n"/>
    </row>
    <row r="1472">
      <c r="B1472" s="296" t="inlineStr">
        <is>
          <t>Expense#45</t>
        </is>
      </c>
      <c r="C1472" s="297" t="inlineStr">
        <is>
          <t>:</t>
        </is>
      </c>
      <c r="D1472" s="296" t="inlineStr">
        <is>
          <t>General Operation_Year 2024 - AM</t>
        </is>
      </c>
      <c r="E1472" s="298" t="n"/>
      <c r="F1472" s="298" t="n"/>
      <c r="G1472" s="298" t="n"/>
      <c r="H1472" s="298" t="n"/>
      <c r="I1472" s="298" t="n"/>
      <c r="J1472" s="298" t="n"/>
      <c r="K1472" s="298" t="n"/>
      <c r="L1472" s="298" t="n"/>
      <c r="M1472" s="298" t="n"/>
      <c r="N1472" s="298" t="n"/>
      <c r="O1472" s="298" t="n"/>
      <c r="P1472" s="298" t="n"/>
      <c r="Q1472" s="298" t="n"/>
      <c r="R1472" s="278" t="n"/>
      <c r="S1472" s="278" t="n"/>
      <c r="T1472" s="278" t="n"/>
      <c r="U1472" s="278" t="n"/>
      <c r="V1472" s="278" t="n"/>
      <c r="W1472" s="278" t="n"/>
      <c r="X1472" s="278" t="n"/>
      <c r="Y1472" s="278" t="n"/>
      <c r="Z1472" s="278" t="n"/>
      <c r="AA1472" s="278" t="n"/>
      <c r="AB1472" s="278" t="n"/>
      <c r="AC1472" s="278" t="n"/>
      <c r="AD1472" s="278" t="n"/>
    </row>
    <row r="1473">
      <c r="B1473" s="299" t="n"/>
      <c r="C1473" s="299" t="n"/>
      <c r="D1473" s="300" t="inlineStr">
        <is>
          <t>Accommodation</t>
        </is>
      </c>
      <c r="E1473" s="299" t="n"/>
      <c r="F1473" s="299" t="n"/>
      <c r="G1473" s="299" t="n"/>
      <c r="H1473" s="299" t="n"/>
      <c r="I1473" s="299" t="n"/>
      <c r="J1473" s="299" t="n"/>
      <c r="K1473" s="299" t="n"/>
      <c r="L1473" s="299" t="n"/>
      <c r="M1473" s="299" t="n"/>
      <c r="N1473" s="299" t="n"/>
      <c r="O1473" s="299" t="n"/>
      <c r="P1473" s="299" t="n"/>
      <c r="Q1473" s="299" t="n"/>
      <c r="R1473" s="278" t="n"/>
      <c r="S1473" s="278" t="n"/>
      <c r="T1473" s="278" t="n"/>
      <c r="U1473" s="278" t="n"/>
      <c r="V1473" s="278" t="n"/>
      <c r="W1473" s="278" t="n"/>
      <c r="X1473" s="278" t="n"/>
      <c r="Y1473" s="278" t="n"/>
      <c r="Z1473" s="278" t="n"/>
      <c r="AA1473" s="278" t="n"/>
      <c r="AB1473" s="278" t="n"/>
      <c r="AC1473" s="278" t="n"/>
      <c r="AD1473" s="278" t="n"/>
    </row>
    <row r="1474" ht="15.5" customHeight="1">
      <c r="B1474" s="288" t="n">
        <v>45647</v>
      </c>
      <c r="C1474" s="289" t="n">
        <v>234</v>
      </c>
      <c r="D1474" s="290" t="inlineStr">
        <is>
          <t>Hotel 1 night 20 - 21 Dec 2024</t>
        </is>
      </c>
      <c r="E1474" s="287" t="inlineStr">
        <is>
          <t>-</t>
        </is>
      </c>
      <c r="F1474" s="283" t="n">
        <v>784000</v>
      </c>
      <c r="G1474" s="291" t="inlineStr">
        <is>
          <t>IDR</t>
        </is>
      </c>
      <c r="H1474" s="292" t="n">
        <v>1</v>
      </c>
      <c r="I1474" s="280" t="n"/>
      <c r="J1474" s="285" t="n"/>
      <c r="K1474" s="279" t="n"/>
      <c r="L1474" s="283" t="n">
        <v>784000</v>
      </c>
      <c r="M1474" s="286" t="n"/>
      <c r="N1474" s="286" t="n"/>
      <c r="O1474" s="283" t="n"/>
      <c r="P1474" s="285" t="n"/>
      <c r="Q1474" s="287" t="n"/>
      <c r="R1474" s="278" t="n"/>
      <c r="S1474" s="278" t="n"/>
      <c r="T1474" s="278" t="n"/>
      <c r="U1474" s="278" t="n"/>
      <c r="V1474" s="278" t="n"/>
      <c r="W1474" s="278" t="n"/>
      <c r="X1474" s="278" t="n"/>
      <c r="Y1474" s="278" t="n"/>
      <c r="Z1474" s="278" t="n"/>
      <c r="AA1474" s="278" t="n"/>
      <c r="AB1474" s="278" t="n"/>
      <c r="AC1474" s="278" t="n"/>
      <c r="AD1474" s="278" t="n"/>
    </row>
    <row r="1475">
      <c r="B1475" s="299" t="n"/>
      <c r="C1475" s="299" t="n"/>
      <c r="D1475" s="300" t="inlineStr">
        <is>
          <t>Allowance</t>
        </is>
      </c>
      <c r="E1475" s="299" t="n"/>
      <c r="F1475" s="299" t="n"/>
      <c r="G1475" s="299" t="n"/>
      <c r="H1475" s="299" t="n"/>
      <c r="I1475" s="299" t="n"/>
      <c r="J1475" s="299" t="n"/>
      <c r="K1475" s="299" t="n"/>
      <c r="L1475" s="299" t="n"/>
      <c r="M1475" s="299" t="n"/>
      <c r="N1475" s="299" t="n"/>
      <c r="O1475" s="299" t="n"/>
      <c r="P1475" s="299" t="n"/>
      <c r="Q1475" s="299" t="n"/>
      <c r="R1475" s="278" t="n"/>
      <c r="S1475" s="278" t="n"/>
      <c r="T1475" s="278" t="n"/>
      <c r="U1475" s="278" t="n"/>
      <c r="V1475" s="278" t="n"/>
      <c r="W1475" s="278" t="n"/>
      <c r="X1475" s="278" t="n"/>
      <c r="Y1475" s="278" t="n"/>
      <c r="Z1475" s="278" t="n"/>
      <c r="AA1475" s="278" t="n"/>
      <c r="AB1475" s="278" t="n"/>
      <c r="AC1475" s="278" t="n"/>
      <c r="AD1475" s="278" t="n"/>
    </row>
    <row r="1476" ht="15.5" customHeight="1">
      <c r="B1476" s="288" t="n">
        <v>45405</v>
      </c>
      <c r="C1476" s="289" t="n">
        <v>235</v>
      </c>
      <c r="D1476" s="290" t="inlineStr">
        <is>
          <t>Tunjangan Lapangan @ 1.5 juta/day x 2 days</t>
        </is>
      </c>
      <c r="E1476" s="287" t="inlineStr">
        <is>
          <t>-</t>
        </is>
      </c>
      <c r="F1476" s="283" t="n">
        <v>3000000</v>
      </c>
      <c r="G1476" s="291" t="inlineStr">
        <is>
          <t>IDR</t>
        </is>
      </c>
      <c r="H1476" s="292" t="n">
        <v>1</v>
      </c>
      <c r="I1476" s="280" t="n"/>
      <c r="J1476" s="285" t="n"/>
      <c r="K1476" s="279" t="n"/>
      <c r="L1476" s="283" t="n">
        <v>3000000</v>
      </c>
      <c r="M1476" s="286" t="n"/>
      <c r="N1476" s="286" t="n"/>
      <c r="O1476" s="283" t="n"/>
      <c r="P1476" s="285" t="n"/>
      <c r="Q1476" s="287" t="n"/>
      <c r="R1476" s="278" t="n"/>
      <c r="S1476" s="278" t="n"/>
      <c r="T1476" s="278" t="n"/>
      <c r="U1476" s="278" t="n"/>
      <c r="V1476" s="278" t="n"/>
      <c r="W1476" s="278" t="n"/>
      <c r="X1476" s="278" t="n"/>
      <c r="Y1476" s="278" t="n"/>
      <c r="Z1476" s="278" t="n"/>
      <c r="AA1476" s="278" t="n"/>
      <c r="AB1476" s="278" t="n"/>
      <c r="AC1476" s="278" t="n"/>
      <c r="AD1476" s="278" t="n"/>
    </row>
    <row r="1477">
      <c r="B1477" s="299" t="n"/>
      <c r="C1477" s="299" t="n"/>
      <c r="D1477" s="300" t="inlineStr">
        <is>
          <t>Biaya Operasi Lain-lain</t>
        </is>
      </c>
      <c r="E1477" s="299" t="n"/>
      <c r="F1477" s="299" t="n"/>
      <c r="G1477" s="299" t="n"/>
      <c r="H1477" s="299" t="n"/>
      <c r="I1477" s="299" t="n"/>
      <c r="J1477" s="299" t="n"/>
      <c r="K1477" s="299" t="n"/>
      <c r="L1477" s="299" t="n"/>
      <c r="M1477" s="299" t="n"/>
      <c r="N1477" s="299" t="n"/>
      <c r="O1477" s="299" t="n"/>
      <c r="P1477" s="299" t="n"/>
      <c r="Q1477" s="299" t="n"/>
      <c r="R1477" s="278" t="n"/>
      <c r="S1477" s="278" t="n"/>
      <c r="T1477" s="278" t="n"/>
      <c r="U1477" s="278" t="n"/>
      <c r="V1477" s="278" t="n"/>
      <c r="W1477" s="278" t="n"/>
      <c r="X1477" s="278" t="n"/>
      <c r="Y1477" s="278" t="n"/>
      <c r="Z1477" s="278" t="n"/>
      <c r="AA1477" s="278" t="n"/>
      <c r="AB1477" s="278" t="n"/>
      <c r="AC1477" s="278" t="n"/>
      <c r="AD1477" s="278" t="n"/>
    </row>
    <row r="1478" ht="15.5" customHeight="1">
      <c r="B1478" s="288" t="n">
        <v>45335</v>
      </c>
      <c r="C1478" s="289" t="n">
        <v>236</v>
      </c>
      <c r="D1478" s="290" t="inlineStr">
        <is>
          <t>Shipment Benchmark DTR to Malaysia</t>
        </is>
      </c>
      <c r="E1478" s="287" t="inlineStr">
        <is>
          <t>-</t>
        </is>
      </c>
      <c r="F1478" s="283" t="n">
        <v>13201183.322</v>
      </c>
      <c r="G1478" s="291" t="inlineStr">
        <is>
          <t>MYR</t>
        </is>
      </c>
      <c r="H1478" s="292" t="n">
        <v>3636.89</v>
      </c>
      <c r="I1478" s="280" t="n"/>
      <c r="J1478" s="285" t="n"/>
      <c r="K1478" s="279" t="n"/>
      <c r="L1478" s="283" t="n">
        <v>13201183.322</v>
      </c>
      <c r="M1478" s="286" t="n"/>
      <c r="N1478" s="286" t="n"/>
      <c r="O1478" s="283" t="n"/>
      <c r="P1478" s="285" t="n"/>
      <c r="Q1478" s="287" t="n"/>
      <c r="R1478" s="278" t="n"/>
      <c r="S1478" s="278" t="n"/>
      <c r="T1478" s="278" t="n"/>
      <c r="U1478" s="278" t="n"/>
      <c r="V1478" s="278" t="n"/>
      <c r="W1478" s="278" t="n"/>
      <c r="X1478" s="278" t="n"/>
      <c r="Y1478" s="278" t="n"/>
      <c r="Z1478" s="278" t="n"/>
      <c r="AA1478" s="278" t="n"/>
      <c r="AB1478" s="278" t="n"/>
      <c r="AC1478" s="278" t="n"/>
      <c r="AD1478" s="278" t="n"/>
    </row>
    <row r="1479">
      <c r="B1479" s="299" t="n"/>
      <c r="C1479" s="299" t="n"/>
      <c r="D1479" s="300" t="inlineStr">
        <is>
          <t>IT Services</t>
        </is>
      </c>
      <c r="E1479" s="299" t="n"/>
      <c r="F1479" s="299" t="n"/>
      <c r="G1479" s="299" t="n"/>
      <c r="H1479" s="299" t="n"/>
      <c r="I1479" s="299" t="n"/>
      <c r="J1479" s="299" t="n"/>
      <c r="K1479" s="299" t="n"/>
      <c r="L1479" s="299" t="n"/>
      <c r="M1479" s="299" t="n"/>
      <c r="N1479" s="299" t="n"/>
      <c r="O1479" s="299" t="n"/>
      <c r="P1479" s="299" t="n"/>
      <c r="Q1479" s="299" t="n"/>
      <c r="R1479" s="278" t="n"/>
      <c r="S1479" s="278" t="n"/>
      <c r="T1479" s="278" t="n"/>
      <c r="U1479" s="278" t="n"/>
      <c r="V1479" s="278" t="n"/>
      <c r="W1479" s="278" t="n"/>
      <c r="X1479" s="278" t="n"/>
      <c r="Y1479" s="278" t="n"/>
      <c r="Z1479" s="278" t="n"/>
      <c r="AA1479" s="278" t="n"/>
      <c r="AB1479" s="278" t="n"/>
      <c r="AC1479" s="278" t="n"/>
      <c r="AD1479" s="278" t="n"/>
    </row>
    <row r="1480" ht="15.5" customHeight="1">
      <c r="B1480" s="288" t="n">
        <v>45428</v>
      </c>
      <c r="C1480" s="289" t="n">
        <v>237</v>
      </c>
      <c r="D1480" s="290" t="inlineStr">
        <is>
          <t>Google Workspace PT. EWI</t>
        </is>
      </c>
      <c r="E1480" s="287" t="inlineStr">
        <is>
          <t>-</t>
        </is>
      </c>
      <c r="F1480" s="283" t="n">
        <v>306982</v>
      </c>
      <c r="G1480" s="291" t="inlineStr">
        <is>
          <t>IDR</t>
        </is>
      </c>
      <c r="H1480" s="292" t="n">
        <v>1</v>
      </c>
      <c r="I1480" s="280" t="n"/>
      <c r="J1480" s="285" t="n"/>
      <c r="K1480" s="279" t="n"/>
      <c r="L1480" s="283" t="n"/>
      <c r="M1480" s="286" t="n">
        <v>306982</v>
      </c>
      <c r="N1480" s="286" t="n"/>
      <c r="O1480" s="283" t="n"/>
      <c r="P1480" s="285" t="n"/>
      <c r="Q1480" s="287" t="n"/>
      <c r="R1480" s="278" t="n"/>
      <c r="S1480" s="278" t="n"/>
      <c r="T1480" s="278" t="n"/>
      <c r="U1480" s="278" t="n"/>
      <c r="V1480" s="278" t="n"/>
      <c r="W1480" s="278" t="n"/>
      <c r="X1480" s="278" t="n"/>
      <c r="Y1480" s="278" t="n"/>
      <c r="Z1480" s="278" t="n"/>
      <c r="AA1480" s="278" t="n"/>
      <c r="AB1480" s="278" t="n"/>
      <c r="AC1480" s="278" t="n"/>
      <c r="AD1480" s="278" t="n"/>
    </row>
    <row r="1481">
      <c r="B1481" s="299" t="n"/>
      <c r="C1481" s="299" t="n"/>
      <c r="D1481" s="300" t="inlineStr">
        <is>
          <t>Meal</t>
        </is>
      </c>
      <c r="E1481" s="299" t="n"/>
      <c r="F1481" s="299" t="n"/>
      <c r="G1481" s="299" t="n"/>
      <c r="H1481" s="299" t="n"/>
      <c r="I1481" s="299" t="n"/>
      <c r="J1481" s="299" t="n"/>
      <c r="K1481" s="299" t="n"/>
      <c r="L1481" s="299" t="n"/>
      <c r="M1481" s="299" t="n"/>
      <c r="N1481" s="299" t="n"/>
      <c r="O1481" s="299" t="n"/>
      <c r="P1481" s="299" t="n"/>
      <c r="Q1481" s="299" t="n"/>
      <c r="R1481" s="278" t="n"/>
      <c r="S1481" s="278" t="n"/>
      <c r="T1481" s="278" t="n"/>
      <c r="U1481" s="278" t="n"/>
      <c r="V1481" s="278" t="n"/>
      <c r="W1481" s="278" t="n"/>
      <c r="X1481" s="278" t="n"/>
      <c r="Y1481" s="278" t="n"/>
      <c r="Z1481" s="278" t="n"/>
      <c r="AA1481" s="278" t="n"/>
      <c r="AB1481" s="278" t="n"/>
      <c r="AC1481" s="278" t="n"/>
      <c r="AD1481" s="278" t="n"/>
    </row>
    <row r="1482" ht="15.5" customHeight="1">
      <c r="B1482" s="288" t="n">
        <v>45647</v>
      </c>
      <c r="C1482" s="289" t="n">
        <v>238</v>
      </c>
      <c r="D1482" s="290" t="inlineStr">
        <is>
          <t>Meals 2 days @ 150,000/day</t>
        </is>
      </c>
      <c r="E1482" s="287" t="inlineStr">
        <is>
          <t>-</t>
        </is>
      </c>
      <c r="F1482" s="283" t="n">
        <v>300000</v>
      </c>
      <c r="G1482" s="291" t="inlineStr">
        <is>
          <t>IDR</t>
        </is>
      </c>
      <c r="H1482" s="292" t="n">
        <v>1</v>
      </c>
      <c r="I1482" s="280" t="n"/>
      <c r="J1482" s="285" t="n"/>
      <c r="K1482" s="279" t="n"/>
      <c r="L1482" s="283" t="n">
        <v>300000</v>
      </c>
      <c r="M1482" s="286" t="n"/>
      <c r="N1482" s="286" t="n"/>
      <c r="O1482" s="283" t="n"/>
      <c r="P1482" s="285" t="n"/>
      <c r="Q1482" s="287" t="n"/>
      <c r="R1482" s="278" t="n"/>
      <c r="S1482" s="278" t="n"/>
      <c r="T1482" s="278" t="n"/>
      <c r="U1482" s="278" t="n"/>
      <c r="V1482" s="278" t="n"/>
      <c r="W1482" s="278" t="n"/>
      <c r="X1482" s="278" t="n"/>
      <c r="Y1482" s="278" t="n"/>
      <c r="Z1482" s="278" t="n"/>
      <c r="AA1482" s="278" t="n"/>
      <c r="AB1482" s="278" t="n"/>
      <c r="AC1482" s="278" t="n"/>
      <c r="AD1482" s="278" t="n"/>
    </row>
    <row r="1483">
      <c r="B1483" s="299" t="n"/>
      <c r="C1483" s="299" t="n"/>
      <c r="D1483" s="300" t="inlineStr">
        <is>
          <t>Transportation</t>
        </is>
      </c>
      <c r="E1483" s="299" t="n"/>
      <c r="F1483" s="299" t="n"/>
      <c r="G1483" s="299" t="n"/>
      <c r="H1483" s="299" t="n"/>
      <c r="I1483" s="299" t="n"/>
      <c r="J1483" s="299" t="n"/>
      <c r="K1483" s="299" t="n"/>
      <c r="L1483" s="299" t="n"/>
      <c r="M1483" s="299" t="n"/>
      <c r="N1483" s="299" t="n"/>
      <c r="O1483" s="299" t="n"/>
      <c r="P1483" s="299" t="n"/>
      <c r="Q1483" s="299" t="n"/>
      <c r="R1483" s="278" t="n"/>
      <c r="S1483" s="278" t="n"/>
      <c r="T1483" s="278" t="n"/>
      <c r="U1483" s="278" t="n"/>
      <c r="V1483" s="278" t="n"/>
      <c r="W1483" s="278" t="n"/>
      <c r="X1483" s="278" t="n"/>
      <c r="Y1483" s="278" t="n"/>
      <c r="Z1483" s="278" t="n"/>
      <c r="AA1483" s="278" t="n"/>
      <c r="AB1483" s="278" t="n"/>
      <c r="AC1483" s="278" t="n"/>
      <c r="AD1483" s="278" t="n"/>
    </row>
    <row r="1484" ht="15.5" customHeight="1">
      <c r="B1484" s="288" t="n">
        <v>45647</v>
      </c>
      <c r="C1484" s="289" t="n">
        <v>239</v>
      </c>
      <c r="D1484" s="290" t="inlineStr">
        <is>
          <t>Taxi from KCIC Stationa Halim to Home</t>
        </is>
      </c>
      <c r="E1484" s="287" t="inlineStr">
        <is>
          <t>-</t>
        </is>
      </c>
      <c r="F1484" s="283" t="n">
        <v>100000</v>
      </c>
      <c r="G1484" s="291" t="inlineStr">
        <is>
          <t>IDR</t>
        </is>
      </c>
      <c r="H1484" s="292" t="n">
        <v>1</v>
      </c>
      <c r="I1484" s="280" t="n"/>
      <c r="J1484" s="285" t="n"/>
      <c r="K1484" s="279" t="n"/>
      <c r="L1484" s="283" t="n">
        <v>100000</v>
      </c>
      <c r="M1484" s="286" t="n"/>
      <c r="N1484" s="286" t="n"/>
      <c r="O1484" s="283" t="n"/>
      <c r="P1484" s="285" t="n"/>
      <c r="Q1484" s="287" t="n"/>
      <c r="R1484" s="278" t="n"/>
      <c r="S1484" s="278" t="n"/>
      <c r="T1484" s="278" t="n"/>
      <c r="U1484" s="278" t="n"/>
      <c r="V1484" s="278" t="n"/>
      <c r="W1484" s="278" t="n"/>
      <c r="X1484" s="278" t="n"/>
      <c r="Y1484" s="278" t="n"/>
      <c r="Z1484" s="278" t="n"/>
      <c r="AA1484" s="278" t="n"/>
      <c r="AB1484" s="278" t="n"/>
      <c r="AC1484" s="278" t="n"/>
      <c r="AD1484" s="278" t="n"/>
    </row>
    <row r="1485">
      <c r="B1485" s="296" t="inlineStr">
        <is>
          <t>Expense#46</t>
        </is>
      </c>
      <c r="C1485" s="297" t="inlineStr">
        <is>
          <t>:</t>
        </is>
      </c>
      <c r="D1485" s="296" t="inlineStr">
        <is>
          <t>Non trip - Training BSS - AC</t>
        </is>
      </c>
      <c r="E1485" s="298" t="n"/>
      <c r="F1485" s="298" t="n"/>
      <c r="G1485" s="298" t="n"/>
      <c r="H1485" s="298" t="n"/>
      <c r="I1485" s="298" t="n"/>
      <c r="J1485" s="298" t="n"/>
      <c r="K1485" s="298" t="n"/>
      <c r="L1485" s="298" t="n"/>
      <c r="M1485" s="298" t="n"/>
      <c r="N1485" s="298" t="n"/>
      <c r="O1485" s="298" t="n"/>
      <c r="P1485" s="298" t="n"/>
      <c r="Q1485" s="298" t="n"/>
      <c r="R1485" s="278" t="n"/>
      <c r="S1485" s="278" t="n"/>
      <c r="T1485" s="278" t="n"/>
      <c r="U1485" s="278" t="n"/>
      <c r="V1485" s="278" t="n"/>
      <c r="W1485" s="278" t="n"/>
      <c r="X1485" s="278" t="n"/>
      <c r="Y1485" s="278" t="n"/>
      <c r="Z1485" s="278" t="n"/>
      <c r="AA1485" s="278" t="n"/>
      <c r="AB1485" s="278" t="n"/>
      <c r="AC1485" s="278" t="n"/>
      <c r="AD1485" s="278" t="n"/>
    </row>
    <row r="1486">
      <c r="B1486" s="299" t="n"/>
      <c r="C1486" s="299" t="n"/>
      <c r="D1486" s="300" t="inlineStr">
        <is>
          <t>Training</t>
        </is>
      </c>
      <c r="E1486" s="299" t="n"/>
      <c r="F1486" s="299" t="n"/>
      <c r="G1486" s="299" t="n"/>
      <c r="H1486" s="299" t="n"/>
      <c r="I1486" s="299" t="n"/>
      <c r="J1486" s="299" t="n"/>
      <c r="K1486" s="299" t="n"/>
      <c r="L1486" s="299" t="n"/>
      <c r="M1486" s="299" t="n"/>
      <c r="N1486" s="299" t="n"/>
      <c r="O1486" s="299" t="n"/>
      <c r="P1486" s="299" t="n"/>
      <c r="Q1486" s="299" t="n"/>
      <c r="R1486" s="278" t="n"/>
      <c r="S1486" s="278" t="n"/>
      <c r="T1486" s="278" t="n"/>
      <c r="U1486" s="278" t="n"/>
      <c r="V1486" s="278" t="n"/>
      <c r="W1486" s="278" t="n"/>
      <c r="X1486" s="278" t="n"/>
      <c r="Y1486" s="278" t="n"/>
      <c r="Z1486" s="278" t="n"/>
      <c r="AA1486" s="278" t="n"/>
      <c r="AB1486" s="278" t="n"/>
      <c r="AC1486" s="278" t="n"/>
      <c r="AD1486" s="278" t="n"/>
    </row>
    <row r="1487" ht="15.5" customHeight="1">
      <c r="B1487" s="288" t="n">
        <v>45636</v>
      </c>
      <c r="C1487" s="289" t="n">
        <v>240</v>
      </c>
      <c r="D1487" s="290" t="inlineStr">
        <is>
          <t>Traning Basic Sea Survival (BSS)</t>
        </is>
      </c>
      <c r="E1487" s="287" t="inlineStr">
        <is>
          <t>-</t>
        </is>
      </c>
      <c r="F1487" s="283" t="n">
        <v>2700000</v>
      </c>
      <c r="G1487" s="291" t="inlineStr">
        <is>
          <t>IDR</t>
        </is>
      </c>
      <c r="H1487" s="292" t="n">
        <v>1</v>
      </c>
      <c r="I1487" s="280" t="n"/>
      <c r="J1487" s="285" t="n"/>
      <c r="K1487" s="279" t="n"/>
      <c r="L1487" s="283" t="n">
        <v>2700000</v>
      </c>
      <c r="M1487" s="286" t="n"/>
      <c r="N1487" s="286" t="n"/>
      <c r="O1487" s="283" t="n"/>
      <c r="P1487" s="285" t="n"/>
      <c r="Q1487" s="287" t="n"/>
      <c r="R1487" s="278" t="n"/>
      <c r="S1487" s="278" t="n"/>
      <c r="T1487" s="278" t="n"/>
      <c r="U1487" s="278" t="n"/>
      <c r="V1487" s="278" t="n"/>
      <c r="W1487" s="278" t="n"/>
      <c r="X1487" s="278" t="n"/>
      <c r="Y1487" s="278" t="n"/>
      <c r="Z1487" s="278" t="n"/>
      <c r="AA1487" s="278" t="n"/>
      <c r="AB1487" s="278" t="n"/>
      <c r="AC1487" s="278" t="n"/>
      <c r="AD1487" s="278" t="n"/>
    </row>
    <row r="1488">
      <c r="B1488" s="296" t="inlineStr">
        <is>
          <t>Expense#47</t>
        </is>
      </c>
      <c r="C1488" s="297" t="inlineStr">
        <is>
          <t>:</t>
        </is>
      </c>
      <c r="D1488" s="296" t="inlineStr">
        <is>
          <t>Trip Rakan : BSTTraining at HSSE Training Center PT Pertamina EP Zone 7 Cirebon</t>
        </is>
      </c>
      <c r="E1488" s="298" t="n"/>
      <c r="F1488" s="298" t="n"/>
      <c r="G1488" s="298" t="n"/>
      <c r="H1488" s="298" t="n"/>
      <c r="I1488" s="298" t="n"/>
      <c r="J1488" s="298" t="n"/>
      <c r="K1488" s="298" t="n"/>
      <c r="L1488" s="298" t="n"/>
      <c r="M1488" s="298" t="n"/>
      <c r="N1488" s="298" t="n"/>
      <c r="O1488" s="298" t="n"/>
      <c r="P1488" s="298" t="n"/>
      <c r="Q1488" s="298" t="n"/>
      <c r="R1488" s="278" t="n"/>
      <c r="S1488" s="278" t="n"/>
      <c r="T1488" s="278" t="n"/>
      <c r="U1488" s="278" t="n"/>
      <c r="V1488" s="278" t="n"/>
      <c r="W1488" s="278" t="n"/>
      <c r="X1488" s="278" t="n"/>
      <c r="Y1488" s="278" t="n"/>
      <c r="Z1488" s="278" t="n"/>
      <c r="AA1488" s="278" t="n"/>
      <c r="AB1488" s="278" t="n"/>
      <c r="AC1488" s="278" t="n"/>
      <c r="AD1488" s="278" t="n"/>
    </row>
    <row r="1489">
      <c r="B1489" s="299" t="n"/>
      <c r="C1489" s="299" t="n"/>
      <c r="D1489" s="300" t="inlineStr">
        <is>
          <t>Accommodation</t>
        </is>
      </c>
      <c r="E1489" s="299" t="n"/>
      <c r="F1489" s="299" t="n"/>
      <c r="G1489" s="299" t="n"/>
      <c r="H1489" s="299" t="n"/>
      <c r="I1489" s="299" t="n"/>
      <c r="J1489" s="299" t="n"/>
      <c r="K1489" s="299" t="n"/>
      <c r="L1489" s="299" t="n"/>
      <c r="M1489" s="299" t="n"/>
      <c r="N1489" s="299" t="n"/>
      <c r="O1489" s="299" t="n"/>
      <c r="P1489" s="299" t="n"/>
      <c r="Q1489" s="299" t="n"/>
      <c r="R1489" s="278" t="n"/>
      <c r="S1489" s="278" t="n"/>
      <c r="T1489" s="278" t="n"/>
      <c r="U1489" s="278" t="n"/>
      <c r="V1489" s="278" t="n"/>
      <c r="W1489" s="278" t="n"/>
      <c r="X1489" s="278" t="n"/>
      <c r="Y1489" s="278" t="n"/>
      <c r="Z1489" s="278" t="n"/>
      <c r="AA1489" s="278" t="n"/>
      <c r="AB1489" s="278" t="n"/>
      <c r="AC1489" s="278" t="n"/>
      <c r="AD1489" s="278" t="n"/>
    </row>
    <row r="1490" ht="15.5" customHeight="1">
      <c r="B1490" s="288" t="n">
        <v>45655</v>
      </c>
      <c r="C1490" s="289" t="n">
        <v>241</v>
      </c>
      <c r="D1490" s="290" t="inlineStr">
        <is>
          <t>Accomodation Hotel (Pia Hotel 29 - 30 des, 1 Night)</t>
        </is>
      </c>
      <c r="E1490" s="287" t="inlineStr">
        <is>
          <t>-</t>
        </is>
      </c>
      <c r="F1490" s="283" t="n">
        <v>224000</v>
      </c>
      <c r="G1490" s="291" t="inlineStr">
        <is>
          <t>IDR</t>
        </is>
      </c>
      <c r="H1490" s="292" t="n">
        <v>1</v>
      </c>
      <c r="I1490" s="280" t="n"/>
      <c r="J1490" s="285" t="n"/>
      <c r="K1490" s="279" t="n"/>
      <c r="L1490" s="283" t="n">
        <v>224000</v>
      </c>
      <c r="M1490" s="286" t="n"/>
      <c r="N1490" s="286" t="n"/>
      <c r="O1490" s="283" t="n"/>
      <c r="P1490" s="285" t="n"/>
      <c r="Q1490" s="287" t="n"/>
      <c r="R1490" s="278" t="n"/>
      <c r="S1490" s="278" t="n"/>
      <c r="T1490" s="278" t="n"/>
      <c r="U1490" s="278" t="n"/>
      <c r="V1490" s="278" t="n"/>
      <c r="W1490" s="278" t="n"/>
      <c r="X1490" s="278" t="n"/>
      <c r="Y1490" s="278" t="n"/>
      <c r="Z1490" s="278" t="n"/>
      <c r="AA1490" s="278" t="n"/>
      <c r="AB1490" s="278" t="n"/>
      <c r="AC1490" s="278" t="n"/>
      <c r="AD1490" s="278" t="n"/>
    </row>
    <row r="1491">
      <c r="B1491" s="299" t="n"/>
      <c r="C1491" s="299" t="n"/>
      <c r="D1491" s="300" t="inlineStr">
        <is>
          <t>Allowance</t>
        </is>
      </c>
      <c r="E1491" s="299" t="n"/>
      <c r="F1491" s="299" t="n"/>
      <c r="G1491" s="299" t="n"/>
      <c r="H1491" s="299" t="n"/>
      <c r="I1491" s="299" t="n"/>
      <c r="J1491" s="299" t="n"/>
      <c r="K1491" s="299" t="n"/>
      <c r="L1491" s="299" t="n"/>
      <c r="M1491" s="299" t="n"/>
      <c r="N1491" s="299" t="n"/>
      <c r="O1491" s="299" t="n"/>
      <c r="P1491" s="299" t="n"/>
      <c r="Q1491" s="299" t="n"/>
      <c r="R1491" s="278" t="n"/>
      <c r="S1491" s="278" t="n"/>
      <c r="T1491" s="278" t="n"/>
      <c r="U1491" s="278" t="n"/>
      <c r="V1491" s="278" t="n"/>
      <c r="W1491" s="278" t="n"/>
      <c r="X1491" s="278" t="n"/>
      <c r="Y1491" s="278" t="n"/>
      <c r="Z1491" s="278" t="n"/>
      <c r="AA1491" s="278" t="n"/>
      <c r="AB1491" s="278" t="n"/>
      <c r="AC1491" s="278" t="n"/>
      <c r="AD1491" s="278" t="n"/>
    </row>
    <row r="1492" ht="15.5" customHeight="1">
      <c r="B1492" s="288" t="n">
        <v>45656</v>
      </c>
      <c r="C1492" s="289" t="n">
        <v>242</v>
      </c>
      <c r="D1492" s="290" t="inlineStr">
        <is>
          <t>Meal Allowance 2 Days (29 - 30 December 2024)@ 150 rb</t>
        </is>
      </c>
      <c r="E1492" s="287" t="inlineStr">
        <is>
          <t>-</t>
        </is>
      </c>
      <c r="F1492" s="283" t="n">
        <v>300000</v>
      </c>
      <c r="G1492" s="291" t="inlineStr">
        <is>
          <t>IDR</t>
        </is>
      </c>
      <c r="H1492" s="292" t="n">
        <v>1</v>
      </c>
      <c r="I1492" s="280" t="n"/>
      <c r="J1492" s="285" t="n"/>
      <c r="K1492" s="279" t="n"/>
      <c r="L1492" s="283" t="n">
        <v>300000</v>
      </c>
      <c r="M1492" s="286" t="n"/>
      <c r="N1492" s="286" t="n"/>
      <c r="O1492" s="283" t="n"/>
      <c r="P1492" s="285" t="n"/>
      <c r="Q1492" s="287" t="n"/>
      <c r="R1492" s="278" t="n"/>
      <c r="S1492" s="278" t="n"/>
      <c r="T1492" s="278" t="n"/>
      <c r="U1492" s="278" t="n"/>
      <c r="V1492" s="278" t="n"/>
      <c r="W1492" s="278" t="n"/>
      <c r="X1492" s="278" t="n"/>
      <c r="Y1492" s="278" t="n"/>
      <c r="Z1492" s="278" t="n"/>
      <c r="AA1492" s="278" t="n"/>
      <c r="AB1492" s="278" t="n"/>
      <c r="AC1492" s="278" t="n"/>
      <c r="AD1492" s="278" t="n"/>
    </row>
    <row r="1493">
      <c r="B1493" s="299" t="n"/>
      <c r="C1493" s="299" t="n"/>
      <c r="D1493" s="300" t="inlineStr">
        <is>
          <t>Transportation</t>
        </is>
      </c>
      <c r="E1493" s="299" t="n"/>
      <c r="F1493" s="299" t="n"/>
      <c r="G1493" s="299" t="n"/>
      <c r="H1493" s="299" t="n"/>
      <c r="I1493" s="299" t="n"/>
      <c r="J1493" s="299" t="n"/>
      <c r="K1493" s="299" t="n"/>
      <c r="L1493" s="299" t="n"/>
      <c r="M1493" s="299" t="n"/>
      <c r="N1493" s="299" t="n"/>
      <c r="O1493" s="299" t="n"/>
      <c r="P1493" s="299" t="n"/>
      <c r="Q1493" s="299" t="n"/>
      <c r="R1493" s="278" t="n"/>
      <c r="S1493" s="278" t="n"/>
      <c r="T1493" s="278" t="n"/>
      <c r="U1493" s="278" t="n"/>
      <c r="V1493" s="278" t="n"/>
      <c r="W1493" s="278" t="n"/>
      <c r="X1493" s="278" t="n"/>
      <c r="Y1493" s="278" t="n"/>
      <c r="Z1493" s="278" t="n"/>
      <c r="AA1493" s="278" t="n"/>
      <c r="AB1493" s="278" t="n"/>
      <c r="AC1493" s="278" t="n"/>
      <c r="AD1493" s="278" t="n"/>
    </row>
    <row r="1494" ht="15.5" customHeight="1">
      <c r="B1494" s="288" t="n">
        <v>45656</v>
      </c>
      <c r="C1494" s="289" t="n">
        <v>243</v>
      </c>
      <c r="D1494" s="290" t="inlineStr">
        <is>
          <t>Gojek (Gambir Station to Cirendeu)</t>
        </is>
      </c>
      <c r="E1494" s="287" t="inlineStr">
        <is>
          <t>-</t>
        </is>
      </c>
      <c r="F1494" s="283" t="n">
        <v>66000</v>
      </c>
      <c r="G1494" s="291" t="inlineStr">
        <is>
          <t>IDR</t>
        </is>
      </c>
      <c r="H1494" s="292" t="n">
        <v>1</v>
      </c>
      <c r="I1494" s="280" t="n"/>
      <c r="J1494" s="285" t="n"/>
      <c r="K1494" s="279" t="n"/>
      <c r="L1494" s="283" t="n">
        <v>66000</v>
      </c>
      <c r="M1494" s="286" t="n"/>
      <c r="N1494" s="286" t="n"/>
      <c r="O1494" s="283" t="n"/>
      <c r="P1494" s="285" t="n"/>
      <c r="Q1494" s="287" t="n"/>
      <c r="R1494" s="278" t="n"/>
      <c r="S1494" s="278" t="n"/>
      <c r="T1494" s="278" t="n"/>
      <c r="U1494" s="278" t="n"/>
      <c r="V1494" s="278" t="n"/>
      <c r="W1494" s="278" t="n"/>
      <c r="X1494" s="278" t="n"/>
      <c r="Y1494" s="278" t="n"/>
      <c r="Z1494" s="278" t="n"/>
      <c r="AA1494" s="278" t="n"/>
      <c r="AB1494" s="278" t="n"/>
      <c r="AC1494" s="278" t="n"/>
      <c r="AD1494" s="278" t="n"/>
    </row>
    <row r="1495">
      <c r="B1495" s="301" t="inlineStr">
        <is>
          <t>TOTAL</t>
        </is>
      </c>
      <c r="I1495" s="302" t="n">
        <v>356012003</v>
      </c>
      <c r="J1495" s="302" t="n">
        <v>991500000</v>
      </c>
      <c r="K1495" s="302" t="n">
        <v>367745000</v>
      </c>
      <c r="L1495" s="302" t="n">
        <v>1165473146.932</v>
      </c>
      <c r="M1495" s="302" t="n">
        <v>12904641</v>
      </c>
      <c r="N1495" s="302" t="n">
        <v>200517570</v>
      </c>
      <c r="O1495" s="302" t="n">
        <v>4995000</v>
      </c>
      <c r="P1495" s="302" t="n">
        <v>38548717.5</v>
      </c>
      <c r="Q1495" s="302" t="n">
        <v>202920000</v>
      </c>
      <c r="R1495" s="278" t="n"/>
      <c r="S1495" s="278" t="n"/>
      <c r="T1495" s="278" t="n"/>
      <c r="U1495" s="278" t="n"/>
      <c r="V1495" s="278" t="n"/>
      <c r="W1495" s="278" t="n"/>
      <c r="X1495" s="278" t="n"/>
      <c r="Y1495" s="278" t="n"/>
      <c r="Z1495" s="278" t="n"/>
      <c r="AA1495" s="278" t="n"/>
      <c r="AB1495" s="278" t="n"/>
      <c r="AC1495" s="278" t="n"/>
      <c r="AD1495" s="278" t="n"/>
    </row>
    <row r="1499">
      <c r="B1499" s="303" t="inlineStr">
        <is>
          <t>Nama Lengkap</t>
        </is>
      </c>
    </row>
    <row r="1500">
      <c r="B1500" s="304" t="inlineStr">
        <is>
          <t>Direktur</t>
        </is>
      </c>
    </row>
  </sheetData>
  <mergeCells count="1020">
    <mergeCell ref="D535:E535"/>
    <mergeCell ref="D473:E473"/>
    <mergeCell ref="D60:E60"/>
    <mergeCell ref="D644:E644"/>
    <mergeCell ref="D815:E815"/>
    <mergeCell ref="D187:E187"/>
    <mergeCell ref="D886:E886"/>
    <mergeCell ref="D942:E942"/>
    <mergeCell ref="D619:E619"/>
    <mergeCell ref="D423:E423"/>
    <mergeCell ref="D174:E174"/>
    <mergeCell ref="D472:E472"/>
    <mergeCell ref="D410:E410"/>
    <mergeCell ref="D708:E708"/>
    <mergeCell ref="D879:E879"/>
    <mergeCell ref="D45:E45"/>
    <mergeCell ref="D802:E802"/>
    <mergeCell ref="D281:E281"/>
    <mergeCell ref="D297:E297"/>
    <mergeCell ref="D568:E568"/>
    <mergeCell ref="D660:E660"/>
    <mergeCell ref="D70:E70"/>
    <mergeCell ref="D263:E263"/>
    <mergeCell ref="B6:B7"/>
    <mergeCell ref="D312:E312"/>
    <mergeCell ref="D505:E505"/>
    <mergeCell ref="D499:E499"/>
    <mergeCell ref="D766:E766"/>
    <mergeCell ref="D238:E238"/>
    <mergeCell ref="D426:E426"/>
    <mergeCell ref="D597:E597"/>
    <mergeCell ref="D486:E486"/>
    <mergeCell ref="D918:E918"/>
    <mergeCell ref="D784:E784"/>
    <mergeCell ref="D78:E78"/>
    <mergeCell ref="D134:E134"/>
    <mergeCell ref="D572:E572"/>
    <mergeCell ref="D205:E205"/>
    <mergeCell ref="D376:E376"/>
    <mergeCell ref="D563:E563"/>
    <mergeCell ref="D363:E363"/>
    <mergeCell ref="D357:E357"/>
    <mergeCell ref="D599:E599"/>
    <mergeCell ref="D71:E71"/>
    <mergeCell ref="D897:E897"/>
    <mergeCell ref="D332:E332"/>
    <mergeCell ref="D307:E307"/>
    <mergeCell ref="D574:E574"/>
    <mergeCell ref="D872:E872"/>
    <mergeCell ref="D761:E761"/>
    <mergeCell ref="D932:E932"/>
    <mergeCell ref="D98:E98"/>
    <mergeCell ref="D73:E73"/>
    <mergeCell ref="D638:E638"/>
    <mergeCell ref="D874:E874"/>
    <mergeCell ref="D861:E861"/>
    <mergeCell ref="D479:E479"/>
    <mergeCell ref="D650:E650"/>
    <mergeCell ref="D777:E777"/>
    <mergeCell ref="D948:E948"/>
    <mergeCell ref="D131:E131"/>
    <mergeCell ref="D258:E258"/>
    <mergeCell ref="D556:E556"/>
    <mergeCell ref="D494:E494"/>
    <mergeCell ref="D543:E543"/>
    <mergeCell ref="D518:E518"/>
    <mergeCell ref="D714:E714"/>
    <mergeCell ref="D124:E124"/>
    <mergeCell ref="D779:E779"/>
    <mergeCell ref="D195:E195"/>
    <mergeCell ref="D950:E950"/>
    <mergeCell ref="D610:E610"/>
    <mergeCell ref="D189:E189"/>
    <mergeCell ref="D360:E360"/>
    <mergeCell ref="D431:E431"/>
    <mergeCell ref="D493:E493"/>
    <mergeCell ref="D287:E287"/>
    <mergeCell ref="D558:E558"/>
    <mergeCell ref="D729:E729"/>
    <mergeCell ref="D877:E877"/>
    <mergeCell ref="D474:E474"/>
    <mergeCell ref="D716:E716"/>
    <mergeCell ref="D887:E887"/>
    <mergeCell ref="D66:E66"/>
    <mergeCell ref="D843:E843"/>
    <mergeCell ref="D126:E126"/>
    <mergeCell ref="D197:E197"/>
    <mergeCell ref="D253:E253"/>
    <mergeCell ref="D53:E53"/>
    <mergeCell ref="D47:E47"/>
    <mergeCell ref="D351:E351"/>
    <mergeCell ref="D289:E289"/>
    <mergeCell ref="D411:E411"/>
    <mergeCell ref="D482:E482"/>
    <mergeCell ref="D587:E587"/>
    <mergeCell ref="D780:E780"/>
    <mergeCell ref="D885:E885"/>
    <mergeCell ref="D951:E951"/>
    <mergeCell ref="G25:G26"/>
    <mergeCell ref="B1499:E1499"/>
    <mergeCell ref="D805:E805"/>
    <mergeCell ref="D15:E15"/>
    <mergeCell ref="D142:E142"/>
    <mergeCell ref="D378:E378"/>
    <mergeCell ref="D129:E129"/>
    <mergeCell ref="D742:E742"/>
    <mergeCell ref="D869:E869"/>
    <mergeCell ref="D365:E365"/>
    <mergeCell ref="D536:E536"/>
    <mergeCell ref="D807:E807"/>
    <mergeCell ref="D663:E663"/>
    <mergeCell ref="D79:E79"/>
    <mergeCell ref="D834:E834"/>
    <mergeCell ref="D961:E961"/>
    <mergeCell ref="D899:E899"/>
    <mergeCell ref="D144:E144"/>
    <mergeCell ref="D315:E315"/>
    <mergeCell ref="D442:E442"/>
    <mergeCell ref="K25:L25"/>
    <mergeCell ref="D502:E502"/>
    <mergeCell ref="D302:E302"/>
    <mergeCell ref="D613:E613"/>
    <mergeCell ref="D800:E800"/>
    <mergeCell ref="D429:E429"/>
    <mergeCell ref="D600:E600"/>
    <mergeCell ref="D880:E880"/>
    <mergeCell ref="D727:E727"/>
    <mergeCell ref="D898:E898"/>
    <mergeCell ref="D665:E665"/>
    <mergeCell ref="D81:E81"/>
    <mergeCell ref="D836:E836"/>
    <mergeCell ref="D963:E963"/>
    <mergeCell ref="D208:E208"/>
    <mergeCell ref="D379:E379"/>
    <mergeCell ref="D677:E677"/>
    <mergeCell ref="D640:E640"/>
    <mergeCell ref="D615:E615"/>
    <mergeCell ref="D366:E366"/>
    <mergeCell ref="D300:E300"/>
    <mergeCell ref="D811:E811"/>
    <mergeCell ref="D664:E664"/>
    <mergeCell ref="D882:E882"/>
    <mergeCell ref="D925:E925"/>
    <mergeCell ref="D900:E900"/>
    <mergeCell ref="D139:E139"/>
    <mergeCell ref="D406:E406"/>
    <mergeCell ref="D704:E704"/>
    <mergeCell ref="D875:E875"/>
    <mergeCell ref="M585:N585"/>
    <mergeCell ref="D666:E666"/>
    <mergeCell ref="O585:P585"/>
    <mergeCell ref="D964:E964"/>
    <mergeCell ref="D862:E862"/>
    <mergeCell ref="D470:E470"/>
    <mergeCell ref="D214:E214"/>
    <mergeCell ref="D284:E284"/>
    <mergeCell ref="D520:E520"/>
    <mergeCell ref="D259:E259"/>
    <mergeCell ref="D501:E501"/>
    <mergeCell ref="D28:E28"/>
    <mergeCell ref="D495:E495"/>
    <mergeCell ref="D326:E326"/>
    <mergeCell ref="D593:E593"/>
    <mergeCell ref="D793:E793"/>
    <mergeCell ref="D313:E313"/>
    <mergeCell ref="D584:E584"/>
    <mergeCell ref="D829:E829"/>
    <mergeCell ref="D432:E432"/>
    <mergeCell ref="D236:E236"/>
    <mergeCell ref="D117:E117"/>
    <mergeCell ref="D92:E92"/>
    <mergeCell ref="D55:E55"/>
    <mergeCell ref="D30:E30"/>
    <mergeCell ref="D559:E559"/>
    <mergeCell ref="D353:E353"/>
    <mergeCell ref="D524:E524"/>
    <mergeCell ref="D595:E595"/>
    <mergeCell ref="D651:E651"/>
    <mergeCell ref="D67:E67"/>
    <mergeCell ref="D795:E795"/>
    <mergeCell ref="D801:E801"/>
    <mergeCell ref="D782:E782"/>
    <mergeCell ref="D893:E893"/>
    <mergeCell ref="D303:E303"/>
    <mergeCell ref="D953:E953"/>
    <mergeCell ref="D496:E496"/>
    <mergeCell ref="D911:E911"/>
    <mergeCell ref="D290:E290"/>
    <mergeCell ref="D94:E94"/>
    <mergeCell ref="D361:E361"/>
    <mergeCell ref="D417:E417"/>
    <mergeCell ref="D588:E588"/>
    <mergeCell ref="D659:E659"/>
    <mergeCell ref="D732:E732"/>
    <mergeCell ref="D830:E830"/>
    <mergeCell ref="D653:E653"/>
    <mergeCell ref="D69:E69"/>
    <mergeCell ref="D824:E824"/>
    <mergeCell ref="D859:E859"/>
    <mergeCell ref="D895:E895"/>
    <mergeCell ref="D498:E498"/>
    <mergeCell ref="D603:E603"/>
    <mergeCell ref="D354:E354"/>
    <mergeCell ref="D590:E590"/>
    <mergeCell ref="H6:H7"/>
    <mergeCell ref="J6:J7"/>
    <mergeCell ref="D356:E356"/>
    <mergeCell ref="D527:E527"/>
    <mergeCell ref="D21:E21"/>
    <mergeCell ref="D798:E798"/>
    <mergeCell ref="D969:E969"/>
    <mergeCell ref="D25:E26"/>
    <mergeCell ref="D748:E748"/>
    <mergeCell ref="D735:E735"/>
    <mergeCell ref="D906:E906"/>
    <mergeCell ref="D145:E145"/>
    <mergeCell ref="D316:E316"/>
    <mergeCell ref="D387:E387"/>
    <mergeCell ref="D272:E272"/>
    <mergeCell ref="D443:E443"/>
    <mergeCell ref="D210:E210"/>
    <mergeCell ref="D381:E381"/>
    <mergeCell ref="D514:E514"/>
    <mergeCell ref="D679:E679"/>
    <mergeCell ref="D308:E308"/>
    <mergeCell ref="D685:E685"/>
    <mergeCell ref="D750:E750"/>
    <mergeCell ref="D606:E606"/>
    <mergeCell ref="D16:E16"/>
    <mergeCell ref="D908:E908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616:E616"/>
    <mergeCell ref="D687:E687"/>
    <mergeCell ref="D971:E971"/>
    <mergeCell ref="D224:E224"/>
    <mergeCell ref="D608:E608"/>
    <mergeCell ref="D730:E730"/>
    <mergeCell ref="D972:E972"/>
    <mergeCell ref="D18:E18"/>
    <mergeCell ref="D966:E966"/>
    <mergeCell ref="D211:E211"/>
    <mergeCell ref="D382:E382"/>
    <mergeCell ref="D916:E916"/>
    <mergeCell ref="B585:B586"/>
    <mergeCell ref="D82:E82"/>
    <mergeCell ref="D240:E240"/>
    <mergeCell ref="D511:E511"/>
    <mergeCell ref="D682:E682"/>
    <mergeCell ref="D334:E334"/>
    <mergeCell ref="D855:E855"/>
    <mergeCell ref="D100:E100"/>
    <mergeCell ref="D982:E982"/>
    <mergeCell ref="D803:E803"/>
    <mergeCell ref="D634:E634"/>
    <mergeCell ref="D523:E523"/>
    <mergeCell ref="D827:E827"/>
    <mergeCell ref="D821:E821"/>
    <mergeCell ref="D621:E621"/>
    <mergeCell ref="D919:E919"/>
    <mergeCell ref="D31:E31"/>
    <mergeCell ref="D740:E740"/>
    <mergeCell ref="D158:E158"/>
    <mergeCell ref="D329:E329"/>
    <mergeCell ref="D229:E229"/>
    <mergeCell ref="D400:E400"/>
    <mergeCell ref="D894:E894"/>
    <mergeCell ref="D565:E565"/>
    <mergeCell ref="D698:E698"/>
    <mergeCell ref="D77:E77"/>
    <mergeCell ref="D832:E832"/>
    <mergeCell ref="D108:E108"/>
    <mergeCell ref="D375:E375"/>
    <mergeCell ref="D369:E369"/>
    <mergeCell ref="I25:J25"/>
    <mergeCell ref="D921:E921"/>
    <mergeCell ref="D160:E160"/>
    <mergeCell ref="D598:E598"/>
    <mergeCell ref="D629:E629"/>
    <mergeCell ref="D896:E896"/>
    <mergeCell ref="D141:E141"/>
    <mergeCell ref="D135:E135"/>
    <mergeCell ref="D306:E306"/>
    <mergeCell ref="D377:E377"/>
    <mergeCell ref="D675:E675"/>
    <mergeCell ref="D662:E662"/>
    <mergeCell ref="D960:E960"/>
    <mergeCell ref="D72:E72"/>
    <mergeCell ref="D235:E235"/>
    <mergeCell ref="D421:E421"/>
    <mergeCell ref="D451:E451"/>
    <mergeCell ref="D255:E255"/>
    <mergeCell ref="D814:E814"/>
    <mergeCell ref="D24:E24"/>
    <mergeCell ref="D776:E776"/>
    <mergeCell ref="D322:E322"/>
    <mergeCell ref="D260:E260"/>
    <mergeCell ref="D453:E453"/>
    <mergeCell ref="D624:E624"/>
    <mergeCell ref="D309:E309"/>
    <mergeCell ref="I6:I7"/>
    <mergeCell ref="D113:E113"/>
    <mergeCell ref="D751:E751"/>
    <mergeCell ref="K6:K7"/>
    <mergeCell ref="D545:E545"/>
    <mergeCell ref="D987:E987"/>
    <mergeCell ref="C6:C7"/>
    <mergeCell ref="D88:E88"/>
    <mergeCell ref="D914:E914"/>
    <mergeCell ref="D148:E148"/>
    <mergeCell ref="B37:H37"/>
    <mergeCell ref="D974:E974"/>
    <mergeCell ref="D324:E324"/>
    <mergeCell ref="D517:E517"/>
    <mergeCell ref="D622:E622"/>
    <mergeCell ref="D688:E688"/>
    <mergeCell ref="D986:E986"/>
    <mergeCell ref="D311:E311"/>
    <mergeCell ref="D115:E115"/>
    <mergeCell ref="D753:E753"/>
    <mergeCell ref="D609:E609"/>
    <mergeCell ref="D924:E924"/>
    <mergeCell ref="D680:E680"/>
    <mergeCell ref="D851:E851"/>
    <mergeCell ref="D19:E19"/>
    <mergeCell ref="D845:E845"/>
    <mergeCell ref="D90:E90"/>
    <mergeCell ref="D261:E261"/>
    <mergeCell ref="D388:E388"/>
    <mergeCell ref="D448:E448"/>
    <mergeCell ref="D752:E752"/>
    <mergeCell ref="D690:E690"/>
    <mergeCell ref="D546:E546"/>
    <mergeCell ref="D817:E817"/>
    <mergeCell ref="D988:E988"/>
    <mergeCell ref="D844:E844"/>
    <mergeCell ref="D611:E611"/>
    <mergeCell ref="D909:E909"/>
    <mergeCell ref="D390:E390"/>
    <mergeCell ref="D561:E561"/>
    <mergeCell ref="D548:E548"/>
    <mergeCell ref="D846:E846"/>
    <mergeCell ref="D940:E940"/>
    <mergeCell ref="D179:E179"/>
    <mergeCell ref="D166:E166"/>
    <mergeCell ref="D337:E337"/>
    <mergeCell ref="D464:E464"/>
    <mergeCell ref="D635:E635"/>
    <mergeCell ref="D402:E402"/>
    <mergeCell ref="D573:E573"/>
    <mergeCell ref="D706:E706"/>
    <mergeCell ref="D871:E871"/>
    <mergeCell ref="D103:E103"/>
    <mergeCell ref="D230:E230"/>
    <mergeCell ref="D401:E401"/>
    <mergeCell ref="D168:E168"/>
    <mergeCell ref="D339:E339"/>
    <mergeCell ref="D643:E643"/>
    <mergeCell ref="D466:E466"/>
    <mergeCell ref="D637:E637"/>
    <mergeCell ref="D764:E764"/>
    <mergeCell ref="D9:E9"/>
    <mergeCell ref="D180:E180"/>
    <mergeCell ref="D118:E118"/>
    <mergeCell ref="D935:E935"/>
    <mergeCell ref="D922:E922"/>
    <mergeCell ref="D167:E167"/>
    <mergeCell ref="D683:E683"/>
    <mergeCell ref="D993:E993"/>
    <mergeCell ref="D161:E161"/>
    <mergeCell ref="D232:E232"/>
    <mergeCell ref="D403:E403"/>
    <mergeCell ref="D726:E726"/>
    <mergeCell ref="D530:E530"/>
    <mergeCell ref="D701:E701"/>
    <mergeCell ref="D962:E962"/>
    <mergeCell ref="D937:E937"/>
    <mergeCell ref="D38:E38"/>
    <mergeCell ref="D169:E169"/>
    <mergeCell ref="D728:E728"/>
    <mergeCell ref="D532:E532"/>
    <mergeCell ref="D703:E703"/>
    <mergeCell ref="D970:E970"/>
    <mergeCell ref="D1001:E1001"/>
    <mergeCell ref="D507:E507"/>
    <mergeCell ref="D678:E678"/>
    <mergeCell ref="D63:E63"/>
    <mergeCell ref="D330:E330"/>
    <mergeCell ref="D492:E492"/>
    <mergeCell ref="D759:E759"/>
    <mergeCell ref="D96:E96"/>
    <mergeCell ref="D630:E630"/>
    <mergeCell ref="D52:E52"/>
    <mergeCell ref="D823:E823"/>
    <mergeCell ref="D350:E350"/>
    <mergeCell ref="D617:E617"/>
    <mergeCell ref="D866:E866"/>
    <mergeCell ref="D915:E915"/>
    <mergeCell ref="D27:E27"/>
    <mergeCell ref="D890:E890"/>
    <mergeCell ref="D325:E325"/>
    <mergeCell ref="D396:E396"/>
    <mergeCell ref="D567:E567"/>
    <mergeCell ref="D456:E456"/>
    <mergeCell ref="D116:E116"/>
    <mergeCell ref="D632:E632"/>
    <mergeCell ref="D754:E754"/>
    <mergeCell ref="D414:E414"/>
    <mergeCell ref="D681:E681"/>
    <mergeCell ref="D352:E352"/>
    <mergeCell ref="D790:E790"/>
    <mergeCell ref="D930:E930"/>
    <mergeCell ref="D91:E91"/>
    <mergeCell ref="D917:E917"/>
    <mergeCell ref="D162:E162"/>
    <mergeCell ref="D938:E938"/>
    <mergeCell ref="D156:E156"/>
    <mergeCell ref="D327:E327"/>
    <mergeCell ref="D398:E398"/>
    <mergeCell ref="D454:E454"/>
    <mergeCell ref="D460:E460"/>
    <mergeCell ref="D569:E569"/>
    <mergeCell ref="D625:E625"/>
    <mergeCell ref="D631:E631"/>
    <mergeCell ref="D696:E696"/>
    <mergeCell ref="D106:E106"/>
    <mergeCell ref="D416:E416"/>
    <mergeCell ref="D612:E612"/>
    <mergeCell ref="D867:E867"/>
    <mergeCell ref="D994:E994"/>
    <mergeCell ref="D981:E981"/>
    <mergeCell ref="D93:E93"/>
    <mergeCell ref="D264:E264"/>
    <mergeCell ref="D220:E220"/>
    <mergeCell ref="D391:E391"/>
    <mergeCell ref="D991:E991"/>
    <mergeCell ref="D912:E912"/>
    <mergeCell ref="D157:E157"/>
    <mergeCell ref="D328:E328"/>
    <mergeCell ref="D251:E251"/>
    <mergeCell ref="D487:E487"/>
    <mergeCell ref="D343:E343"/>
    <mergeCell ref="D772:E772"/>
    <mergeCell ref="D943:E943"/>
    <mergeCell ref="D182:E182"/>
    <mergeCell ref="D480:E480"/>
    <mergeCell ref="D109:E109"/>
    <mergeCell ref="D280:E280"/>
    <mergeCell ref="D551:E551"/>
    <mergeCell ref="D345:E345"/>
    <mergeCell ref="D467:E467"/>
    <mergeCell ref="D538:E538"/>
    <mergeCell ref="D709:E709"/>
    <mergeCell ref="D119:E119"/>
    <mergeCell ref="D774:E774"/>
    <mergeCell ref="D190:E190"/>
    <mergeCell ref="D246:E246"/>
    <mergeCell ref="D46:E46"/>
    <mergeCell ref="D488:E488"/>
    <mergeCell ref="D945:E945"/>
    <mergeCell ref="D40:E40"/>
    <mergeCell ref="D111:E111"/>
    <mergeCell ref="D233:E233"/>
    <mergeCell ref="D282:E282"/>
    <mergeCell ref="D338:E338"/>
    <mergeCell ref="D409:E409"/>
    <mergeCell ref="D469:E469"/>
    <mergeCell ref="D580:E580"/>
    <mergeCell ref="D711:E711"/>
    <mergeCell ref="D767:E767"/>
    <mergeCell ref="D183:E183"/>
    <mergeCell ref="D773:E773"/>
    <mergeCell ref="D838:E838"/>
    <mergeCell ref="D865:E865"/>
    <mergeCell ref="D444:E444"/>
    <mergeCell ref="D248:E248"/>
    <mergeCell ref="D219:E219"/>
    <mergeCell ref="D104:E104"/>
    <mergeCell ref="D275:E275"/>
    <mergeCell ref="D419:E419"/>
    <mergeCell ref="D984:E984"/>
    <mergeCell ref="D340:E340"/>
    <mergeCell ref="D778:E778"/>
    <mergeCell ref="D533:E533"/>
    <mergeCell ref="D185:E185"/>
    <mergeCell ref="D41:E41"/>
    <mergeCell ref="D277:E277"/>
    <mergeCell ref="D719:E719"/>
    <mergeCell ref="D842:E842"/>
    <mergeCell ref="D371:E371"/>
    <mergeCell ref="D564:E564"/>
    <mergeCell ref="D43:E43"/>
    <mergeCell ref="D485:E485"/>
    <mergeCell ref="D656:E656"/>
    <mergeCell ref="D892:E892"/>
    <mergeCell ref="D137:E137"/>
    <mergeCell ref="D422:E422"/>
    <mergeCell ref="D864:E864"/>
    <mergeCell ref="D658:E658"/>
    <mergeCell ref="D74:E74"/>
    <mergeCell ref="D130:E130"/>
    <mergeCell ref="D956:E956"/>
    <mergeCell ref="D68:E68"/>
    <mergeCell ref="D201:E201"/>
    <mergeCell ref="D335:E335"/>
    <mergeCell ref="D372:E372"/>
    <mergeCell ref="D633:E633"/>
    <mergeCell ref="D188:E188"/>
    <mergeCell ref="D931:E931"/>
    <mergeCell ref="K585:L585"/>
    <mergeCell ref="D424:E424"/>
    <mergeCell ref="D722:E722"/>
    <mergeCell ref="D585:E586"/>
    <mergeCell ref="D132:E132"/>
    <mergeCell ref="D399:E399"/>
    <mergeCell ref="D59:E59"/>
    <mergeCell ref="D697:E697"/>
    <mergeCell ref="D868:E868"/>
    <mergeCell ref="D295:E295"/>
    <mergeCell ref="D178:E178"/>
    <mergeCell ref="D933:E933"/>
    <mergeCell ref="D172:E172"/>
    <mergeCell ref="D920:E920"/>
    <mergeCell ref="D724:E724"/>
    <mergeCell ref="D463:E463"/>
    <mergeCell ref="D699:E699"/>
    <mergeCell ref="D870:E870"/>
    <mergeCell ref="D555:E555"/>
    <mergeCell ref="B1:J1"/>
    <mergeCell ref="P6:P7"/>
    <mergeCell ref="D36:E36"/>
    <mergeCell ref="D978:E978"/>
    <mergeCell ref="D61:E61"/>
    <mergeCell ref="D254:E254"/>
    <mergeCell ref="D48:E48"/>
    <mergeCell ref="D490:E490"/>
    <mergeCell ref="D346:E346"/>
    <mergeCell ref="D788:E788"/>
    <mergeCell ref="D477:E477"/>
    <mergeCell ref="D775:E775"/>
    <mergeCell ref="D946:E946"/>
    <mergeCell ref="D125:E125"/>
    <mergeCell ref="D112:E112"/>
    <mergeCell ref="D283:E283"/>
    <mergeCell ref="D554:E554"/>
    <mergeCell ref="D581:E581"/>
    <mergeCell ref="D852:E852"/>
    <mergeCell ref="D348:E348"/>
    <mergeCell ref="D519:E519"/>
    <mergeCell ref="D652:E652"/>
    <mergeCell ref="D646:E646"/>
    <mergeCell ref="D62:E62"/>
    <mergeCell ref="D717:E717"/>
    <mergeCell ref="D888:E888"/>
    <mergeCell ref="D56:E56"/>
    <mergeCell ref="D193:E193"/>
    <mergeCell ref="D127:E127"/>
    <mergeCell ref="D804:E804"/>
    <mergeCell ref="D491:E491"/>
    <mergeCell ref="D944:E944"/>
    <mergeCell ref="D176:E176"/>
    <mergeCell ref="D347:E347"/>
    <mergeCell ref="D114:E114"/>
    <mergeCell ref="D285:E285"/>
    <mergeCell ref="D412:E412"/>
    <mergeCell ref="D583:E583"/>
    <mergeCell ref="D710:E710"/>
    <mergeCell ref="D881:E881"/>
    <mergeCell ref="D648:E648"/>
    <mergeCell ref="D64:E64"/>
    <mergeCell ref="D362:E362"/>
    <mergeCell ref="D51:E51"/>
    <mergeCell ref="D349:E349"/>
    <mergeCell ref="B25:B26"/>
    <mergeCell ref="D476:E476"/>
    <mergeCell ref="D647:E647"/>
    <mergeCell ref="D712:E712"/>
    <mergeCell ref="D883:E883"/>
    <mergeCell ref="D138:E138"/>
    <mergeCell ref="D203:E203"/>
    <mergeCell ref="D374:E374"/>
    <mergeCell ref="D672:E672"/>
    <mergeCell ref="D939:E939"/>
    <mergeCell ref="D743:E743"/>
    <mergeCell ref="D140:E140"/>
    <mergeCell ref="D267:E267"/>
    <mergeCell ref="D438:E438"/>
    <mergeCell ref="D509:E509"/>
    <mergeCell ref="D674:E674"/>
    <mergeCell ref="D425:E425"/>
    <mergeCell ref="D359:E359"/>
    <mergeCell ref="D941:E941"/>
    <mergeCell ref="D601:E601"/>
    <mergeCell ref="D723:E723"/>
    <mergeCell ref="D661:E661"/>
    <mergeCell ref="D794:E794"/>
    <mergeCell ref="D11:E11"/>
    <mergeCell ref="D959:E959"/>
    <mergeCell ref="D204:E204"/>
    <mergeCell ref="D965:E965"/>
    <mergeCell ref="D198:E198"/>
    <mergeCell ref="D465:E465"/>
    <mergeCell ref="D269:E269"/>
    <mergeCell ref="D440:E440"/>
    <mergeCell ref="D296:E296"/>
    <mergeCell ref="D636:E636"/>
    <mergeCell ref="D489:E489"/>
    <mergeCell ref="D707:E707"/>
    <mergeCell ref="D427:E427"/>
    <mergeCell ref="D738:E738"/>
    <mergeCell ref="D763:E763"/>
    <mergeCell ref="D725:E725"/>
    <mergeCell ref="D934:E934"/>
    <mergeCell ref="D75:E75"/>
    <mergeCell ref="D999:E999"/>
    <mergeCell ref="D206:E206"/>
    <mergeCell ref="D700:E700"/>
    <mergeCell ref="D504:E504"/>
    <mergeCell ref="D771:E771"/>
    <mergeCell ref="D298:E298"/>
    <mergeCell ref="D181:E181"/>
    <mergeCell ref="D765:E765"/>
    <mergeCell ref="D596:E596"/>
    <mergeCell ref="D789:E789"/>
    <mergeCell ref="D273:E273"/>
    <mergeCell ref="D6:E7"/>
    <mergeCell ref="D39:E39"/>
    <mergeCell ref="D627:E627"/>
    <mergeCell ref="D418:E418"/>
    <mergeCell ref="D89:E89"/>
    <mergeCell ref="D393:E393"/>
    <mergeCell ref="D654:E654"/>
    <mergeCell ref="D825:E825"/>
    <mergeCell ref="D952:E952"/>
    <mergeCell ref="D153:E153"/>
    <mergeCell ref="D420:E420"/>
    <mergeCell ref="D591:E591"/>
    <mergeCell ref="D791:E791"/>
    <mergeCell ref="D718:E718"/>
    <mergeCell ref="D889:E889"/>
    <mergeCell ref="D128:E128"/>
    <mergeCell ref="D954:E954"/>
    <mergeCell ref="D199:E199"/>
    <mergeCell ref="D364:E364"/>
    <mergeCell ref="D497:E497"/>
    <mergeCell ref="D435:E435"/>
    <mergeCell ref="D186:E186"/>
    <mergeCell ref="D413:E413"/>
    <mergeCell ref="D217:E217"/>
    <mergeCell ref="D484:E484"/>
    <mergeCell ref="I585:J585"/>
    <mergeCell ref="D655:E655"/>
    <mergeCell ref="D649:E649"/>
    <mergeCell ref="D65:E65"/>
    <mergeCell ref="D720:E720"/>
    <mergeCell ref="D820:E820"/>
    <mergeCell ref="D891:E891"/>
    <mergeCell ref="D428:E428"/>
    <mergeCell ref="D415:E415"/>
    <mergeCell ref="G6:G7"/>
    <mergeCell ref="D194:E194"/>
    <mergeCell ref="D17:E17"/>
    <mergeCell ref="D715:E715"/>
    <mergeCell ref="D446:E446"/>
    <mergeCell ref="D367:E367"/>
    <mergeCell ref="D809:E809"/>
    <mergeCell ref="D796:E796"/>
    <mergeCell ref="D212:E212"/>
    <mergeCell ref="D146:E146"/>
    <mergeCell ref="D317:E317"/>
    <mergeCell ref="D439:E439"/>
    <mergeCell ref="D510:E510"/>
    <mergeCell ref="D967:E967"/>
    <mergeCell ref="D304:E304"/>
    <mergeCell ref="D746:E746"/>
    <mergeCell ref="D602:E602"/>
    <mergeCell ref="D873:E873"/>
    <mergeCell ref="D540:E540"/>
    <mergeCell ref="D12:E12"/>
    <mergeCell ref="D667:E667"/>
    <mergeCell ref="D83:E83"/>
    <mergeCell ref="D733:E733"/>
    <mergeCell ref="D143:E143"/>
    <mergeCell ref="D319:E319"/>
    <mergeCell ref="D441:E441"/>
    <mergeCell ref="D512:E512"/>
    <mergeCell ref="D368:E368"/>
    <mergeCell ref="D506:E506"/>
    <mergeCell ref="D810:E810"/>
    <mergeCell ref="D975:E975"/>
    <mergeCell ref="D604:E604"/>
    <mergeCell ref="D797:E797"/>
    <mergeCell ref="D902:E902"/>
    <mergeCell ref="D14:E14"/>
    <mergeCell ref="D481:E481"/>
    <mergeCell ref="D85:E85"/>
    <mergeCell ref="D207:E207"/>
    <mergeCell ref="D256:E256"/>
    <mergeCell ref="D383:E383"/>
    <mergeCell ref="B1495:H1495"/>
    <mergeCell ref="D299:E299"/>
    <mergeCell ref="D741:E741"/>
    <mergeCell ref="D370:E370"/>
    <mergeCell ref="D541:E541"/>
    <mergeCell ref="D668:E668"/>
    <mergeCell ref="D839:E839"/>
    <mergeCell ref="D222:E222"/>
    <mergeCell ref="D904:E904"/>
    <mergeCell ref="D314:E314"/>
    <mergeCell ref="B1500:E1500"/>
    <mergeCell ref="D159:E159"/>
    <mergeCell ref="D80:E80"/>
    <mergeCell ref="D693:E693"/>
    <mergeCell ref="D645:E645"/>
    <mergeCell ref="D816:E816"/>
    <mergeCell ref="D288:E288"/>
    <mergeCell ref="D459:E459"/>
    <mergeCell ref="C25:C26"/>
    <mergeCell ref="D136:E136"/>
    <mergeCell ref="D434:E434"/>
    <mergeCell ref="D154:E154"/>
    <mergeCell ref="D670:E670"/>
    <mergeCell ref="D225:E225"/>
    <mergeCell ref="D980:E980"/>
    <mergeCell ref="D657:E657"/>
    <mergeCell ref="D461:E461"/>
    <mergeCell ref="D955:E955"/>
    <mergeCell ref="D200:E200"/>
    <mergeCell ref="D436:E436"/>
    <mergeCell ref="D292:E292"/>
    <mergeCell ref="D734:E734"/>
    <mergeCell ref="D534:E534"/>
    <mergeCell ref="D227:E227"/>
    <mergeCell ref="D721:E721"/>
    <mergeCell ref="D525:E525"/>
    <mergeCell ref="D792:E792"/>
    <mergeCell ref="D957:E957"/>
    <mergeCell ref="D202:E202"/>
    <mergeCell ref="D373:E373"/>
    <mergeCell ref="D58:E58"/>
    <mergeCell ref="D500:E500"/>
    <mergeCell ref="C585:C586"/>
    <mergeCell ref="D294:E294"/>
    <mergeCell ref="D736:E736"/>
    <mergeCell ref="D592:E592"/>
    <mergeCell ref="D8:E8"/>
    <mergeCell ref="D785:E785"/>
    <mergeCell ref="H25:H26"/>
    <mergeCell ref="D231:E231"/>
    <mergeCell ref="D673:E673"/>
    <mergeCell ref="D358:E358"/>
    <mergeCell ref="D529:E529"/>
    <mergeCell ref="D408:E408"/>
    <mergeCell ref="D594:E594"/>
    <mergeCell ref="D787:E787"/>
    <mergeCell ref="D958:E958"/>
    <mergeCell ref="O6:O7"/>
    <mergeCell ref="D20:E20"/>
    <mergeCell ref="D318:E318"/>
    <mergeCell ref="D973:E973"/>
    <mergeCell ref="D389:E389"/>
    <mergeCell ref="D747:E747"/>
    <mergeCell ref="D818:E818"/>
    <mergeCell ref="D812:E812"/>
    <mergeCell ref="D983:E983"/>
    <mergeCell ref="D84:E84"/>
    <mergeCell ref="D739:E739"/>
    <mergeCell ref="D22:E22"/>
    <mergeCell ref="D155:E155"/>
    <mergeCell ref="D910:E910"/>
    <mergeCell ref="D149:E149"/>
    <mergeCell ref="D320:E320"/>
    <mergeCell ref="D447:E447"/>
    <mergeCell ref="D618:E618"/>
    <mergeCell ref="D385:E385"/>
    <mergeCell ref="D689:E689"/>
    <mergeCell ref="D749:E749"/>
    <mergeCell ref="D854:E854"/>
    <mergeCell ref="D605:E605"/>
    <mergeCell ref="D676:E676"/>
    <mergeCell ref="D841:E841"/>
    <mergeCell ref="D86:E86"/>
    <mergeCell ref="D257:E257"/>
    <mergeCell ref="D968:E968"/>
    <mergeCell ref="D213:E213"/>
    <mergeCell ref="D13:E13"/>
    <mergeCell ref="D151:E151"/>
    <mergeCell ref="D384:E384"/>
    <mergeCell ref="D449:E449"/>
    <mergeCell ref="D620:E620"/>
    <mergeCell ref="D813:E813"/>
    <mergeCell ref="D607:E607"/>
    <mergeCell ref="D849:E849"/>
    <mergeCell ref="D905:E905"/>
    <mergeCell ref="D150:E150"/>
    <mergeCell ref="D321:E321"/>
    <mergeCell ref="D215:E215"/>
    <mergeCell ref="D386:E386"/>
    <mergeCell ref="D557:E557"/>
    <mergeCell ref="D513:E513"/>
    <mergeCell ref="D684:E684"/>
    <mergeCell ref="M25:N25"/>
    <mergeCell ref="O25:P25"/>
    <mergeCell ref="D671:E671"/>
    <mergeCell ref="D907:E907"/>
    <mergeCell ref="D936:E936"/>
    <mergeCell ref="D531:E531"/>
    <mergeCell ref="D702:E702"/>
    <mergeCell ref="D177:E177"/>
    <mergeCell ref="D33:E33"/>
    <mergeCell ref="D226:E226"/>
    <mergeCell ref="D164:E164"/>
    <mergeCell ref="D462:E462"/>
    <mergeCell ref="D579:E579"/>
    <mergeCell ref="D589:E589"/>
    <mergeCell ref="D560:E560"/>
    <mergeCell ref="D760:E760"/>
    <mergeCell ref="D831:E831"/>
    <mergeCell ref="D437:E437"/>
    <mergeCell ref="D241:E241"/>
    <mergeCell ref="D508:E508"/>
    <mergeCell ref="D539:E539"/>
    <mergeCell ref="D35:E35"/>
    <mergeCell ref="D806:E806"/>
    <mergeCell ref="D228:E228"/>
    <mergeCell ref="D333:E333"/>
    <mergeCell ref="D744:E744"/>
    <mergeCell ref="D404:E404"/>
    <mergeCell ref="D526:E526"/>
    <mergeCell ref="D575:E575"/>
    <mergeCell ref="D10:E10"/>
    <mergeCell ref="B997:H997"/>
    <mergeCell ref="D762:E762"/>
    <mergeCell ref="D562:E562"/>
    <mergeCell ref="D34:E34"/>
    <mergeCell ref="D305:E305"/>
    <mergeCell ref="D860:E860"/>
    <mergeCell ref="D243:E243"/>
    <mergeCell ref="D544:E544"/>
    <mergeCell ref="D99:E99"/>
    <mergeCell ref="D270:E270"/>
    <mergeCell ref="D737:E737"/>
    <mergeCell ref="D397:E397"/>
    <mergeCell ref="D808:E808"/>
    <mergeCell ref="D835:E835"/>
    <mergeCell ref="D528:E528"/>
    <mergeCell ref="D826:E826"/>
    <mergeCell ref="D310:E310"/>
    <mergeCell ref="D503:E503"/>
    <mergeCell ref="D101:E101"/>
    <mergeCell ref="D570:E570"/>
    <mergeCell ref="D837:E837"/>
    <mergeCell ref="D76:E76"/>
    <mergeCell ref="D455:E455"/>
    <mergeCell ref="D430:E430"/>
    <mergeCell ref="D626:E626"/>
    <mergeCell ref="D175:E175"/>
    <mergeCell ref="D691:E691"/>
    <mergeCell ref="D989:E989"/>
    <mergeCell ref="D976:E976"/>
    <mergeCell ref="D221:E221"/>
    <mergeCell ref="D392:E392"/>
    <mergeCell ref="D457:E457"/>
    <mergeCell ref="D628:E628"/>
    <mergeCell ref="D755:E755"/>
    <mergeCell ref="D926:E926"/>
    <mergeCell ref="D165:E165"/>
    <mergeCell ref="D475:E475"/>
    <mergeCell ref="D913:E913"/>
    <mergeCell ref="D985:E985"/>
    <mergeCell ref="D152:E152"/>
    <mergeCell ref="D323:E323"/>
    <mergeCell ref="D223:E223"/>
    <mergeCell ref="D279:E279"/>
    <mergeCell ref="D394:E394"/>
    <mergeCell ref="D450:E450"/>
    <mergeCell ref="D521:E521"/>
    <mergeCell ref="D692:E692"/>
    <mergeCell ref="D686:E686"/>
    <mergeCell ref="D819:E819"/>
    <mergeCell ref="D757:E757"/>
    <mergeCell ref="D857:E857"/>
    <mergeCell ref="D928:E928"/>
    <mergeCell ref="D29:E29"/>
    <mergeCell ref="D977:E977"/>
    <mergeCell ref="D990:E990"/>
    <mergeCell ref="D23:E23"/>
    <mergeCell ref="D216:E216"/>
    <mergeCell ref="D265:E265"/>
    <mergeCell ref="D452:E452"/>
    <mergeCell ref="D252:E252"/>
    <mergeCell ref="D623:E623"/>
    <mergeCell ref="D694:E694"/>
    <mergeCell ref="D550:E550"/>
    <mergeCell ref="D979:E979"/>
    <mergeCell ref="D218:E218"/>
    <mergeCell ref="D247:E247"/>
    <mergeCell ref="D768:E768"/>
    <mergeCell ref="D833:E833"/>
    <mergeCell ref="D249:E249"/>
    <mergeCell ref="D105:E105"/>
    <mergeCell ref="D276:E276"/>
    <mergeCell ref="D547:E547"/>
    <mergeCell ref="D170:E170"/>
    <mergeCell ref="D341:E341"/>
    <mergeCell ref="D923:E923"/>
    <mergeCell ref="D468:E468"/>
    <mergeCell ref="D639:E639"/>
    <mergeCell ref="D577:E577"/>
    <mergeCell ref="D49:E49"/>
    <mergeCell ref="D770:E770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549:E549"/>
    <mergeCell ref="D576:E576"/>
    <mergeCell ref="D745:E745"/>
    <mergeCell ref="D641:E641"/>
    <mergeCell ref="D847:E847"/>
    <mergeCell ref="D828:E828"/>
    <mergeCell ref="D244:E244"/>
    <mergeCell ref="D799:E799"/>
    <mergeCell ref="D171:E171"/>
    <mergeCell ref="D342:E342"/>
    <mergeCell ref="D336:E336"/>
    <mergeCell ref="D407:E407"/>
    <mergeCell ref="D578:E578"/>
    <mergeCell ref="D901:E901"/>
    <mergeCell ref="D705:E705"/>
    <mergeCell ref="D876:E876"/>
    <mergeCell ref="D863:E863"/>
    <mergeCell ref="D102:E102"/>
    <mergeCell ref="D196:E196"/>
    <mergeCell ref="D903:E903"/>
    <mergeCell ref="D133:E133"/>
    <mergeCell ref="D669:E669"/>
    <mergeCell ref="D54:E54"/>
    <mergeCell ref="D996:E996"/>
    <mergeCell ref="D483:E483"/>
    <mergeCell ref="D271:E271"/>
    <mergeCell ref="D781:E781"/>
    <mergeCell ref="D191:E191"/>
    <mergeCell ref="D458:E458"/>
    <mergeCell ref="D262:E262"/>
    <mergeCell ref="D433:E433"/>
    <mergeCell ref="D756:E756"/>
    <mergeCell ref="D731:E731"/>
    <mergeCell ref="D927:E927"/>
    <mergeCell ref="D998:E998"/>
    <mergeCell ref="D992:E992"/>
    <mergeCell ref="D237:E237"/>
    <mergeCell ref="D783:E783"/>
    <mergeCell ref="D522:E522"/>
    <mergeCell ref="D571:E571"/>
    <mergeCell ref="D291:E291"/>
    <mergeCell ref="D758:E758"/>
    <mergeCell ref="D614:E614"/>
    <mergeCell ref="D929:E929"/>
    <mergeCell ref="D552:E552"/>
    <mergeCell ref="D856:E856"/>
    <mergeCell ref="D239:E239"/>
    <mergeCell ref="D850:E850"/>
    <mergeCell ref="D95:E95"/>
    <mergeCell ref="D266:E266"/>
    <mergeCell ref="D537:E537"/>
    <mergeCell ref="D1000:E1000"/>
    <mergeCell ref="D331:E331"/>
    <mergeCell ref="D57:E57"/>
    <mergeCell ref="D695:E695"/>
    <mergeCell ref="D355:E355"/>
    <mergeCell ref="D822:E822"/>
    <mergeCell ref="D293:E293"/>
    <mergeCell ref="D32:E32"/>
    <mergeCell ref="D858:E858"/>
    <mergeCell ref="D97:E97"/>
    <mergeCell ref="D268:E268"/>
    <mergeCell ref="D395:E395"/>
    <mergeCell ref="D566:E566"/>
    <mergeCell ref="D553:E553"/>
    <mergeCell ref="D995:E995"/>
    <mergeCell ref="D184:E184"/>
    <mergeCell ref="B582:E582"/>
    <mergeCell ref="D853:E853"/>
    <mergeCell ref="D121:E121"/>
    <mergeCell ref="D947:E947"/>
    <mergeCell ref="D192:E192"/>
    <mergeCell ref="D42:E42"/>
    <mergeCell ref="D848:E848"/>
    <mergeCell ref="D173:E173"/>
    <mergeCell ref="D344:E344"/>
    <mergeCell ref="D515:E515"/>
    <mergeCell ref="D471:E471"/>
    <mergeCell ref="D642:E642"/>
    <mergeCell ref="D542:E542"/>
    <mergeCell ref="D713:E713"/>
    <mergeCell ref="D769:E769"/>
    <mergeCell ref="D786:E786"/>
    <mergeCell ref="D123:E123"/>
    <mergeCell ref="D840:E840"/>
    <mergeCell ref="D878:E878"/>
    <mergeCell ref="D250:E250"/>
    <mergeCell ref="D50:E50"/>
    <mergeCell ref="D884:E884"/>
    <mergeCell ref="D110:E110"/>
    <mergeCell ref="D44:E44"/>
    <mergeCell ref="D949:E949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05" t="n"/>
      <c r="B1" s="305" t="n"/>
      <c r="C1" s="305" t="n"/>
      <c r="D1" s="305" t="n"/>
      <c r="E1" s="306" t="n"/>
    </row>
    <row r="2" ht="37.25" customHeight="1">
      <c r="A2" s="305" t="n"/>
      <c r="B2" s="305" t="n"/>
      <c r="C2" s="305" t="n"/>
      <c r="D2" s="305" t="n"/>
      <c r="E2" s="306" t="n"/>
    </row>
    <row r="3" ht="33.6" customHeight="1">
      <c r="A3" s="305" t="n"/>
      <c r="B3" s="307" t="inlineStr">
        <is>
          <t>PT. EXSPAN WIRELINE INDONESIA</t>
        </is>
      </c>
      <c r="F3" s="308" t="n"/>
      <c r="G3" s="309" t="inlineStr">
        <is>
          <t>PT. EXSPAN WIRELINE INDONESIA</t>
        </is>
      </c>
      <c r="H3" s="309" t="n"/>
      <c r="I3" s="309" t="n"/>
      <c r="J3" s="309" t="n"/>
    </row>
    <row r="4" ht="20.45" customHeight="1">
      <c r="A4" s="305" t="n"/>
      <c r="B4" s="310" t="inlineStr">
        <is>
          <t>LABA RUGI | TAHUN 2024</t>
        </is>
      </c>
      <c r="F4" s="308" t="n"/>
      <c r="G4" s="311" t="inlineStr">
        <is>
          <t>NERACA |TAHUN YANG BERAKHIR, 31 DESEMBER 2024</t>
        </is>
      </c>
      <c r="H4" s="311" t="n"/>
      <c r="I4" s="311" t="n"/>
      <c r="J4" s="311" t="n"/>
    </row>
    <row r="5" ht="6" customHeight="1">
      <c r="A5" s="305" t="n"/>
      <c r="B5" s="305" t="n"/>
      <c r="C5" s="305" t="n"/>
      <c r="D5" s="305" t="n"/>
      <c r="E5" s="306" t="n"/>
      <c r="F5" s="308" t="n"/>
      <c r="G5" s="308" t="n"/>
      <c r="H5" s="312" t="n"/>
      <c r="I5" s="312" t="n"/>
      <c r="J5" s="312" t="n"/>
    </row>
    <row r="6" ht="15.4" customHeight="1">
      <c r="A6" s="305" t="n"/>
      <c r="B6" s="313" t="n"/>
      <c r="C6" s="314" t="n"/>
      <c r="D6" s="315" t="inlineStr">
        <is>
          <t>PT. Exspan Wireline Indonesia</t>
        </is>
      </c>
      <c r="E6" s="221" t="n"/>
      <c r="F6" s="308" t="n"/>
      <c r="G6" s="316" t="n"/>
      <c r="H6" s="317" t="n"/>
      <c r="I6" s="315" t="inlineStr">
        <is>
          <t>PT. Exspan Wireline Indonesia</t>
        </is>
      </c>
      <c r="J6" s="221" t="n"/>
    </row>
    <row r="7" ht="15.4" customHeight="1">
      <c r="A7" s="305" t="n"/>
      <c r="B7" s="318" t="n"/>
      <c r="C7" s="319" t="n"/>
      <c r="D7" s="320" t="inlineStr">
        <is>
          <t>(Rp)</t>
        </is>
      </c>
      <c r="E7" s="226" t="n"/>
      <c r="F7" s="308" t="n"/>
      <c r="G7" s="321" t="n"/>
      <c r="H7" s="322" t="n"/>
      <c r="I7" s="320" t="inlineStr">
        <is>
          <t>(Rp)</t>
        </is>
      </c>
      <c r="J7" s="226" t="n"/>
    </row>
    <row r="8" ht="15" customHeight="1">
      <c r="A8" s="323" t="n"/>
      <c r="B8" s="324" t="inlineStr">
        <is>
          <t>PENDAPATAN</t>
        </is>
      </c>
      <c r="C8" s="325" t="n"/>
      <c r="D8" s="326" t="n"/>
      <c r="E8" s="327" t="n"/>
      <c r="F8" s="308" t="n"/>
      <c r="G8" s="328" t="inlineStr">
        <is>
          <t>AKTIVA</t>
        </is>
      </c>
      <c r="H8" s="329" t="inlineStr">
        <is>
          <t>AKTIVA</t>
        </is>
      </c>
      <c r="I8" s="330" t="n"/>
      <c r="J8" s="327" t="n"/>
    </row>
    <row r="9" ht="15" customHeight="1">
      <c r="A9" s="323" t="n"/>
      <c r="B9" s="331" t="n"/>
      <c r="C9" s="332" t="inlineStr">
        <is>
          <t>PENDAPATAN LANGSUNG</t>
        </is>
      </c>
      <c r="D9" s="333" t="inlineStr">
        <is>
          <t>Rp</t>
        </is>
      </c>
      <c r="E9" s="334">
        <f>SUM('Revenue-Cost_2024'!F8:F540)</f>
        <v/>
      </c>
      <c r="F9" s="308" t="n"/>
      <c r="G9" s="335" t="inlineStr">
        <is>
          <t>AKTIVA LANCAR</t>
        </is>
      </c>
      <c r="H9" s="336" t="inlineStr">
        <is>
          <t>AKTIVA LANCAR</t>
        </is>
      </c>
      <c r="I9" s="337" t="n"/>
      <c r="J9" s="334" t="n"/>
    </row>
    <row r="10" ht="15" customHeight="1">
      <c r="A10" s="323" t="n"/>
      <c r="B10" s="331" t="n"/>
      <c r="C10" s="332" t="inlineStr">
        <is>
          <t>PENDAPATAN LAIN LAIN</t>
        </is>
      </c>
      <c r="D10" s="333" t="inlineStr">
        <is>
          <t>Rp</t>
        </is>
      </c>
      <c r="E10" s="334">
        <f>SUM('Revenue-Cost_2024'!F541:F581)</f>
        <v/>
      </c>
      <c r="F10" s="308" t="n"/>
      <c r="G10" s="335" t="n"/>
      <c r="H10" s="336" t="inlineStr">
        <is>
          <t xml:space="preserve">  KAS DAN SETARA KAS TAHUN SEBELUMNYA</t>
        </is>
      </c>
      <c r="I10" s="333" t="inlineStr">
        <is>
          <t>Rp</t>
        </is>
      </c>
      <c r="J10" s="334" t="n">
        <v>161401093</v>
      </c>
    </row>
    <row r="11" ht="15" customHeight="1">
      <c r="A11" s="323" t="n"/>
      <c r="B11" s="331" t="n"/>
      <c r="C11" s="332" t="n"/>
      <c r="D11" s="333" t="n"/>
      <c r="E11" s="334" t="n"/>
      <c r="F11" s="308" t="n"/>
      <c r="G11" s="335" t="n"/>
      <c r="H11" s="336" t="inlineStr">
        <is>
          <t xml:space="preserve">  KAS DAN SETARA KAS TAHUN LAPORAN</t>
        </is>
      </c>
      <c r="I11" s="333" t="inlineStr">
        <is>
          <t>Rp</t>
        </is>
      </c>
      <c r="J11" s="334">
        <f>ROUND(E41-'Business Summary'!E13, 0)</f>
        <v/>
      </c>
    </row>
    <row r="12" ht="15" customHeight="1">
      <c r="A12" s="323" t="n"/>
      <c r="B12" s="338" t="inlineStr">
        <is>
          <t>TOTAL PENDAPATAN</t>
        </is>
      </c>
      <c r="C12" s="339" t="n"/>
      <c r="D12" s="340" t="inlineStr">
        <is>
          <t>Rp</t>
        </is>
      </c>
      <c r="E12" s="341">
        <f>SUM(E9:E11)</f>
        <v/>
      </c>
      <c r="F12" s="308" t="n"/>
      <c r="G12" s="335" t="n"/>
      <c r="H12" s="336" t="inlineStr">
        <is>
          <t xml:space="preserve">  PIUTANG USAHA</t>
        </is>
      </c>
      <c r="I12" s="333" t="inlineStr">
        <is>
          <t>Rp</t>
        </is>
      </c>
      <c r="J12" s="334" t="n">
        <v>0</v>
      </c>
    </row>
    <row r="13" ht="15" customHeight="1">
      <c r="A13" s="323" t="n"/>
      <c r="B13" s="331" t="n"/>
      <c r="C13" s="332" t="n"/>
      <c r="D13" s="333" t="n"/>
      <c r="E13" s="334" t="n"/>
      <c r="F13" s="308" t="n"/>
      <c r="G13" s="335" t="n"/>
      <c r="H13" s="336" t="inlineStr">
        <is>
          <t xml:space="preserve">  PAJAK BAYAR DI MUKA (pph23)</t>
        </is>
      </c>
      <c r="I13" s="333" t="inlineStr">
        <is>
          <t>Rp</t>
        </is>
      </c>
      <c r="J13" s="334" t="n">
        <v>0</v>
      </c>
    </row>
    <row r="14" ht="15" customHeight="1">
      <c r="A14" s="323" t="n"/>
      <c r="B14" s="324" t="inlineStr">
        <is>
          <t>BEBAN LANGSUNG</t>
        </is>
      </c>
      <c r="C14" s="325" t="n"/>
      <c r="D14" s="326" t="n"/>
      <c r="E14" s="327" t="n"/>
      <c r="F14" s="308" t="n"/>
      <c r="G14" s="335" t="n"/>
      <c r="H14" s="336" t="inlineStr">
        <is>
          <t xml:space="preserve">  BIAYA BAYAR DI MUKA</t>
        </is>
      </c>
      <c r="I14" s="333" t="inlineStr">
        <is>
          <t>Rp</t>
        </is>
      </c>
      <c r="J14" s="334" t="n">
        <v>0</v>
      </c>
    </row>
    <row r="15" ht="15" customHeight="1">
      <c r="A15" s="323" t="n"/>
      <c r="B15" s="331" t="n"/>
      <c r="C15" s="332" t="inlineStr">
        <is>
          <t>BIAYA SEWA PERALATAN</t>
        </is>
      </c>
      <c r="D15" s="333" t="inlineStr">
        <is>
          <t>Rp</t>
        </is>
      </c>
      <c r="E15" s="334">
        <f>'Revenue-Cost_2024'!I1495</f>
        <v/>
      </c>
      <c r="F15" s="308" t="n"/>
      <c r="G15" s="342" t="n"/>
      <c r="H15" s="336" t="inlineStr">
        <is>
          <t xml:space="preserve">  PIUTANG LAIN LAIN</t>
        </is>
      </c>
      <c r="I15" s="333" t="inlineStr">
        <is>
          <t>Rp</t>
        </is>
      </c>
      <c r="J15" s="334" t="n">
        <v>0</v>
      </c>
    </row>
    <row r="16" ht="15" customHeight="1">
      <c r="A16" s="323" t="n"/>
      <c r="B16" s="331" t="n"/>
      <c r="C16" s="332" t="inlineStr">
        <is>
          <t>BIAYA RESEARCH (R&amp;D)</t>
        </is>
      </c>
      <c r="D16" s="333" t="inlineStr">
        <is>
          <t>Rp</t>
        </is>
      </c>
      <c r="E16" s="334">
        <f>'Revenue-Cost_2024'!J1495</f>
        <v/>
      </c>
      <c r="F16" s="308" t="n"/>
      <c r="G16" s="343" t="n"/>
      <c r="H16" s="344" t="inlineStr">
        <is>
          <t>TOTAL AKTIVA LANCAR</t>
        </is>
      </c>
      <c r="I16" s="340" t="inlineStr">
        <is>
          <t>Rp</t>
        </is>
      </c>
      <c r="J16" s="341">
        <f>SUM(J10:J15)</f>
        <v/>
      </c>
    </row>
    <row r="17" ht="15" customHeight="1">
      <c r="A17" s="323" t="n"/>
      <c r="B17" s="331" t="n"/>
      <c r="C17" s="332" t="inlineStr">
        <is>
          <t>BIAYA INTERPRETASI LOG DATA</t>
        </is>
      </c>
      <c r="D17" s="333" t="inlineStr">
        <is>
          <t>Rp</t>
        </is>
      </c>
      <c r="E17" s="334">
        <f>'Revenue-Cost_2024'!K1495</f>
        <v/>
      </c>
      <c r="F17" s="308" t="n"/>
      <c r="G17" s="328" t="n"/>
      <c r="H17" s="329" t="inlineStr">
        <is>
          <t>ACTIVA TETAP</t>
        </is>
      </c>
      <c r="I17" s="330" t="n"/>
      <c r="J17" s="327" t="n"/>
    </row>
    <row r="18" ht="15" customHeight="1">
      <c r="A18" s="323" t="n"/>
      <c r="B18" s="331" t="n"/>
      <c r="C18" s="332" t="inlineStr">
        <is>
          <t>BIAYA OPERASI</t>
        </is>
      </c>
      <c r="D18" s="333" t="inlineStr">
        <is>
          <t>Rp</t>
        </is>
      </c>
      <c r="E18" s="334">
        <f>'Revenue-Cost_2024'!L1495</f>
        <v/>
      </c>
      <c r="F18" s="308" t="n"/>
      <c r="G18" s="335" t="inlineStr">
        <is>
          <t>ACTIVA TETAP</t>
        </is>
      </c>
      <c r="H18" s="336" t="n"/>
      <c r="I18" s="337" t="n"/>
      <c r="J18" s="334" t="n"/>
    </row>
    <row r="19" ht="15" customHeight="1">
      <c r="A19" s="323" t="n"/>
      <c r="B19" s="338" t="inlineStr">
        <is>
          <t>TOTAL BIAYA LANGSUNG</t>
        </is>
      </c>
      <c r="C19" s="339" t="n"/>
      <c r="D19" s="340" t="inlineStr">
        <is>
          <t>Rp</t>
        </is>
      </c>
      <c r="E19" s="341">
        <f>SUM(E15:E18)</f>
        <v/>
      </c>
      <c r="F19" s="308" t="n"/>
      <c r="G19" s="335" t="n"/>
      <c r="H19" s="336" t="n"/>
      <c r="I19" s="337" t="n"/>
      <c r="J19" s="334" t="n"/>
    </row>
    <row r="20" ht="15" customHeight="1">
      <c r="A20" s="323" t="n"/>
      <c r="B20" s="331" t="n"/>
      <c r="C20" s="332" t="n"/>
      <c r="D20" s="333" t="n"/>
      <c r="E20" s="334" t="n"/>
      <c r="F20" s="308" t="n"/>
      <c r="G20" s="335" t="n"/>
      <c r="H20" s="336" t="inlineStr">
        <is>
          <t xml:space="preserve">  INVENTARIS KANTOR</t>
        </is>
      </c>
      <c r="I20" s="333" t="inlineStr">
        <is>
          <t>Rp</t>
        </is>
      </c>
      <c r="J20" s="334" t="n">
        <v>0</v>
      </c>
    </row>
    <row r="21" ht="15" customHeight="1">
      <c r="A21" s="323" t="n"/>
      <c r="B21" s="324" t="inlineStr">
        <is>
          <t>BEBAN TIDAK LANGSUNG</t>
        </is>
      </c>
      <c r="C21" s="325" t="n"/>
      <c r="D21" s="326" t="n"/>
      <c r="E21" s="327" t="n"/>
      <c r="F21" s="308" t="n"/>
      <c r="G21" s="335" t="n"/>
      <c r="H21" s="336" t="n"/>
      <c r="I21" s="337" t="n"/>
      <c r="J21" s="334" t="n"/>
    </row>
    <row r="22" ht="15" customHeight="1">
      <c r="A22" s="323" t="n"/>
      <c r="B22" s="331" t="n"/>
      <c r="C22" s="332" t="inlineStr">
        <is>
          <t>BISNIS DEV</t>
        </is>
      </c>
      <c r="D22" s="333" t="inlineStr">
        <is>
          <t>Rp</t>
        </is>
      </c>
      <c r="E22" s="334">
        <f>'Revenue-Cost_2024'!Q1495</f>
        <v/>
      </c>
      <c r="F22" s="308" t="n"/>
      <c r="G22" s="343" t="n"/>
      <c r="H22" s="344" t="inlineStr">
        <is>
          <t>TOTAL AKTIVA TETAP</t>
        </is>
      </c>
      <c r="I22" s="340" t="inlineStr">
        <is>
          <t>Rp</t>
        </is>
      </c>
      <c r="J22" s="341">
        <f>J20</f>
        <v/>
      </c>
    </row>
    <row r="23" ht="15" customHeight="1">
      <c r="A23" s="323" t="n"/>
      <c r="B23" s="338" t="inlineStr">
        <is>
          <t>TOTAL BIAYA TIDAK LANGSUNG</t>
        </is>
      </c>
      <c r="C23" s="339" t="n"/>
      <c r="D23" s="340" t="inlineStr">
        <is>
          <t>Rp</t>
        </is>
      </c>
      <c r="E23" s="341">
        <f>SUM(E22:E22)</f>
        <v/>
      </c>
      <c r="F23" s="308" t="n"/>
      <c r="G23" s="335" t="n"/>
      <c r="H23" s="336" t="n"/>
      <c r="I23" s="337" t="n"/>
      <c r="J23" s="334" t="n"/>
    </row>
    <row r="24" ht="15" customHeight="1">
      <c r="A24" s="323" t="n"/>
      <c r="B24" s="331" t="n"/>
      <c r="C24" s="332" t="n"/>
      <c r="D24" s="333" t="n"/>
      <c r="E24" s="334" t="n"/>
      <c r="F24" s="308" t="n"/>
      <c r="G24" s="328" t="inlineStr">
        <is>
          <t>ACTIVA LAIN LAIN</t>
        </is>
      </c>
      <c r="H24" s="329" t="inlineStr">
        <is>
          <t>ACTIVA LAIN LAIN</t>
        </is>
      </c>
      <c r="I24" s="330" t="n"/>
      <c r="J24" s="327" t="n">
        <v>0</v>
      </c>
    </row>
    <row r="25" ht="15" customHeight="1">
      <c r="A25" s="323" t="n"/>
      <c r="B25" s="324" t="inlineStr">
        <is>
          <t>BIAYA ADMINISTRASI DAN UMUM</t>
        </is>
      </c>
      <c r="C25" s="325" t="n"/>
      <c r="D25" s="326" t="n"/>
      <c r="E25" s="327" t="n"/>
      <c r="F25" s="308" t="n"/>
      <c r="G25" s="343" t="n"/>
      <c r="H25" s="344" t="inlineStr">
        <is>
          <t xml:space="preserve">  TOTAL AKTIVA LAIN LAIN</t>
        </is>
      </c>
      <c r="I25" s="345" t="inlineStr">
        <is>
          <t>Rp</t>
        </is>
      </c>
      <c r="J25" s="341" t="n">
        <v>0</v>
      </c>
    </row>
    <row r="26" ht="15" customHeight="1">
      <c r="A26" s="323" t="n"/>
      <c r="B26" s="331" t="n"/>
      <c r="C26" s="332" t="inlineStr">
        <is>
          <t>ADMINISTRASI</t>
        </is>
      </c>
      <c r="D26" s="333" t="inlineStr">
        <is>
          <t>Rp</t>
        </is>
      </c>
      <c r="E26" s="334">
        <f>'Revenue-Cost_2024'!M1495</f>
        <v/>
      </c>
      <c r="F26" s="308" t="n"/>
      <c r="G26" s="335" t="n"/>
      <c r="H26" s="336" t="inlineStr">
        <is>
          <t>TOTAL AKTIVA LAIN LAIN</t>
        </is>
      </c>
      <c r="I26" s="333" t="inlineStr">
        <is>
          <t>Rp</t>
        </is>
      </c>
      <c r="J26" s="334">
        <f>SUM(J25:J25)</f>
        <v/>
      </c>
    </row>
    <row r="27" ht="15" customHeight="1">
      <c r="A27" s="323" t="n"/>
      <c r="B27" s="331" t="n"/>
      <c r="C27" s="332" t="inlineStr">
        <is>
          <t>PEMBELIAN BARANG</t>
        </is>
      </c>
      <c r="D27" s="333" t="inlineStr">
        <is>
          <t>Rp</t>
        </is>
      </c>
      <c r="E27" s="334">
        <f>'Revenue-Cost_2024'!N1495</f>
        <v/>
      </c>
      <c r="F27" s="308" t="n"/>
      <c r="G27" s="335" t="n"/>
      <c r="H27" s="336" t="n"/>
      <c r="I27" s="337" t="n"/>
      <c r="J27" s="334" t="n"/>
    </row>
    <row r="28" ht="15" customHeight="1">
      <c r="A28" s="323" t="n"/>
      <c r="B28" s="331" t="n"/>
      <c r="C28" s="332" t="inlineStr">
        <is>
          <t>SEWA KANTOR</t>
        </is>
      </c>
      <c r="D28" s="333" t="inlineStr">
        <is>
          <t>Rp</t>
        </is>
      </c>
      <c r="E28" s="334">
        <f>'Revenue-Cost_2024'!O1495</f>
        <v/>
      </c>
      <c r="F28" s="308" t="n"/>
      <c r="G28" s="346" t="inlineStr">
        <is>
          <t>TOTAL AKTIVA</t>
        </is>
      </c>
      <c r="H28" s="339" t="inlineStr">
        <is>
          <t>TOTAL AKTIVA</t>
        </is>
      </c>
      <c r="I28" s="340" t="inlineStr">
        <is>
          <t>Rp</t>
        </is>
      </c>
      <c r="J28" s="341">
        <f>J26+J22+J16</f>
        <v/>
      </c>
    </row>
    <row r="29" ht="15" customHeight="1">
      <c r="A29" s="323" t="n"/>
      <c r="B29" s="331" t="n"/>
      <c r="C29" s="332" t="inlineStr">
        <is>
          <t>KESEHATAN</t>
        </is>
      </c>
      <c r="D29" s="333" t="inlineStr">
        <is>
          <t>Rp</t>
        </is>
      </c>
      <c r="E29" s="334">
        <f>'Revenue-Cost_2024'!P1495</f>
        <v/>
      </c>
      <c r="F29" s="308" t="n"/>
      <c r="G29" s="335" t="n"/>
      <c r="H29" s="336" t="n"/>
      <c r="I29" s="337" t="n"/>
      <c r="J29" s="334" t="n"/>
    </row>
    <row r="30" ht="15" customHeight="1">
      <c r="A30" s="323" t="n"/>
      <c r="B30" s="338" t="inlineStr">
        <is>
          <t>TOTAL BIAYA ADMINISTRASI DAN UMUM</t>
        </is>
      </c>
      <c r="C30" s="339" t="n"/>
      <c r="D30" s="340" t="inlineStr">
        <is>
          <t>Rp</t>
        </is>
      </c>
      <c r="E30" s="341">
        <f>SUM(E26:E29)</f>
        <v/>
      </c>
      <c r="F30" s="308" t="n"/>
      <c r="G30" s="328" t="inlineStr">
        <is>
          <t>HUTANG DAN MODAL</t>
        </is>
      </c>
      <c r="H30" s="329" t="inlineStr">
        <is>
          <t>HUTANG DAN MODAL</t>
        </is>
      </c>
      <c r="I30" s="330" t="n"/>
      <c r="J30" s="327" t="n"/>
    </row>
    <row r="31" ht="15" customHeight="1">
      <c r="A31" s="323" t="n"/>
      <c r="B31" s="331" t="n"/>
      <c r="C31" s="332" t="n"/>
      <c r="D31" s="333" t="n"/>
      <c r="E31" s="334" t="n"/>
      <c r="F31" s="308" t="n"/>
      <c r="G31" s="335" t="n"/>
      <c r="H31" s="336" t="n"/>
      <c r="I31" s="337" t="n"/>
      <c r="J31" s="334" t="n"/>
    </row>
    <row r="32" ht="15" customHeight="1">
      <c r="A32" s="323" t="n"/>
      <c r="B32" s="338" t="inlineStr">
        <is>
          <t>TOTAL BIAYA</t>
        </is>
      </c>
      <c r="C32" s="339" t="n"/>
      <c r="D32" s="340" t="inlineStr">
        <is>
          <t>Rp</t>
        </is>
      </c>
      <c r="E32" s="341">
        <f>E19+E23+E30</f>
        <v/>
      </c>
      <c r="F32" s="308" t="n"/>
      <c r="G32" s="328" t="inlineStr">
        <is>
          <t>HUTANG LANCAR</t>
        </is>
      </c>
      <c r="H32" s="329" t="inlineStr">
        <is>
          <t>HUTANG LANCAR</t>
        </is>
      </c>
      <c r="I32" s="330" t="n"/>
      <c r="J32" s="327" t="n"/>
    </row>
    <row r="33" ht="15" customHeight="1">
      <c r="A33" s="323" t="n"/>
      <c r="B33" s="331" t="n"/>
      <c r="C33" s="332" t="n"/>
      <c r="D33" s="333" t="n"/>
      <c r="E33" s="334" t="n"/>
      <c r="F33" s="308" t="n"/>
      <c r="G33" s="335" t="n"/>
      <c r="H33" s="336" t="inlineStr">
        <is>
          <t xml:space="preserve">  HUTANG USAHA</t>
        </is>
      </c>
      <c r="I33" s="333" t="inlineStr">
        <is>
          <t>Rp</t>
        </is>
      </c>
      <c r="J33" s="334" t="n">
        <v>0</v>
      </c>
    </row>
    <row r="34" ht="15" customHeight="1">
      <c r="A34" s="323" t="n"/>
      <c r="B34" s="324" t="inlineStr">
        <is>
          <t>PENDAPATAN/BEBAN LAIN LAIN</t>
        </is>
      </c>
      <c r="C34" s="325" t="n"/>
      <c r="D34" s="326" t="n"/>
      <c r="E34" s="327" t="n"/>
      <c r="F34" s="308" t="n"/>
      <c r="G34" s="335" t="n"/>
      <c r="H34" s="332" t="inlineStr">
        <is>
          <t xml:space="preserve">  HUTANG GAJI</t>
        </is>
      </c>
      <c r="I34" s="333" t="inlineStr">
        <is>
          <t>Rp</t>
        </is>
      </c>
      <c r="J34" s="334" t="n">
        <v>0</v>
      </c>
    </row>
    <row r="35" ht="15" customHeight="1">
      <c r="A35" s="323" t="n"/>
      <c r="B35" s="331" t="n"/>
      <c r="C35" s="332" t="inlineStr">
        <is>
          <t>PENDAPATAN LAIN LAIN</t>
        </is>
      </c>
      <c r="D35" s="333" t="inlineStr">
        <is>
          <t>Rp</t>
        </is>
      </c>
      <c r="E35" s="334" t="n">
        <v>0</v>
      </c>
      <c r="F35" s="308" t="n"/>
      <c r="G35" s="335" t="n"/>
      <c r="H35" s="336" t="inlineStr">
        <is>
          <t xml:space="preserve">  HUTANG PEMEGANG SAHAM</t>
        </is>
      </c>
      <c r="I35" s="333" t="inlineStr">
        <is>
          <t>Rp</t>
        </is>
      </c>
      <c r="J35" s="334" t="n">
        <v>0</v>
      </c>
    </row>
    <row r="36" ht="15" customHeight="1">
      <c r="A36" s="323" t="n"/>
      <c r="B36" s="331" t="n"/>
      <c r="C36" s="332" t="n"/>
      <c r="D36" s="333" t="n"/>
      <c r="E36" s="334" t="n"/>
      <c r="F36" s="308" t="n"/>
      <c r="G36" s="335" t="n"/>
      <c r="H36" s="336" t="inlineStr">
        <is>
          <t xml:space="preserve">  BIAYA YANG MASIH HARUS DI BAYAR</t>
        </is>
      </c>
      <c r="I36" s="333" t="inlineStr">
        <is>
          <t>Rp</t>
        </is>
      </c>
      <c r="J36" s="334" t="n">
        <v>0</v>
      </c>
    </row>
    <row r="37" ht="15" customHeight="1">
      <c r="A37" s="323" t="n"/>
      <c r="B37" s="338" t="inlineStr">
        <is>
          <t>LABA RUGI SEBELUM PAJAK</t>
        </is>
      </c>
      <c r="C37" s="339" t="n"/>
      <c r="D37" s="340" t="inlineStr">
        <is>
          <t>Rp</t>
        </is>
      </c>
      <c r="E37" s="341">
        <f>E12-E32</f>
        <v/>
      </c>
      <c r="F37" s="308" t="n"/>
      <c r="G37" s="331" t="n"/>
      <c r="H37" s="332" t="n"/>
      <c r="I37" s="333" t="n"/>
      <c r="J37" s="334" t="n"/>
    </row>
    <row r="38" ht="15" customHeight="1">
      <c r="A38" s="323" t="n"/>
      <c r="B38" s="331" t="n"/>
      <c r="C38" s="332" t="n"/>
      <c r="D38" s="333" t="n"/>
      <c r="E38" s="334" t="n"/>
      <c r="F38" s="308" t="n"/>
      <c r="G38" s="343" t="n"/>
      <c r="H38" s="344" t="inlineStr">
        <is>
          <t>TOTAL HUTANG LANCAR</t>
        </is>
      </c>
      <c r="I38" s="345" t="inlineStr">
        <is>
          <t>Rp</t>
        </is>
      </c>
      <c r="J38" s="341">
        <f>SUM(J33:J36)</f>
        <v/>
      </c>
    </row>
    <row r="39" ht="15" customHeight="1">
      <c r="A39" s="323" t="n"/>
      <c r="B39" s="338" t="inlineStr">
        <is>
          <t>CORPORATE TAX (PPh 29)</t>
        </is>
      </c>
      <c r="C39" s="339" t="n"/>
      <c r="D39" s="340" t="inlineStr">
        <is>
          <t>Rp</t>
        </is>
      </c>
      <c r="E39" s="341" t="n">
        <v>0</v>
      </c>
      <c r="F39" s="308" t="n"/>
      <c r="G39" s="335" t="n"/>
      <c r="H39" s="336" t="n"/>
      <c r="I39" s="337" t="n"/>
      <c r="J39" s="334" t="n"/>
    </row>
    <row r="40" ht="15" customHeight="1">
      <c r="A40" s="323" t="n"/>
      <c r="B40" s="331" t="n"/>
      <c r="C40" s="332" t="n"/>
      <c r="D40" s="333" t="n"/>
      <c r="E40" s="334" t="n"/>
      <c r="F40" s="308" t="n"/>
      <c r="G40" s="328" t="inlineStr">
        <is>
          <t>MODAL</t>
        </is>
      </c>
      <c r="H40" s="329" t="inlineStr">
        <is>
          <t>MODAL</t>
        </is>
      </c>
      <c r="I40" s="330" t="n"/>
      <c r="J40" s="327" t="n"/>
    </row>
    <row r="41" ht="15" customHeight="1">
      <c r="A41" s="323" t="n"/>
      <c r="B41" s="347" t="inlineStr">
        <is>
          <t>LABA / RUGI BERSIH</t>
        </is>
      </c>
      <c r="C41" s="348" t="n"/>
      <c r="D41" s="349" t="inlineStr">
        <is>
          <t>Rp</t>
        </is>
      </c>
      <c r="E41" s="350">
        <f>E37-E39</f>
        <v/>
      </c>
      <c r="F41" s="308" t="n"/>
      <c r="G41" s="335" t="n"/>
      <c r="H41" s="336" t="inlineStr">
        <is>
          <t xml:space="preserve">  MODAL SAHAM</t>
        </is>
      </c>
      <c r="I41" s="333" t="inlineStr">
        <is>
          <t>Rp</t>
        </is>
      </c>
      <c r="J41" s="334" t="n">
        <v>0</v>
      </c>
    </row>
    <row r="42" ht="14.25" customHeight="1">
      <c r="A42" s="323" t="n"/>
      <c r="B42" s="323" t="n"/>
      <c r="C42" s="323" t="n"/>
      <c r="D42" s="323" t="n"/>
      <c r="E42" s="323" t="n"/>
      <c r="F42" s="323" t="n"/>
      <c r="G42" s="331" t="n"/>
      <c r="H42" s="332" t="inlineStr">
        <is>
          <t xml:space="preserve">  LABA DI TAHAN</t>
        </is>
      </c>
      <c r="I42" s="333" t="inlineStr">
        <is>
          <t>Rp</t>
        </is>
      </c>
      <c r="J42" s="334" t="n">
        <v>0</v>
      </c>
    </row>
    <row r="43" ht="14.25" customHeight="1">
      <c r="A43" s="323" t="n"/>
      <c r="B43" s="323" t="n"/>
      <c r="C43" s="323" t="n"/>
      <c r="D43" s="323" t="n"/>
      <c r="E43" s="323" t="n"/>
      <c r="F43" s="323" t="n"/>
      <c r="G43" s="331" t="n"/>
      <c r="H43" s="332" t="inlineStr">
        <is>
          <t xml:space="preserve">  TOTAL LABA (RUGI) DITAHAN</t>
        </is>
      </c>
      <c r="I43" s="333" t="inlineStr">
        <is>
          <t>Rp</t>
        </is>
      </c>
      <c r="J43" s="334">
        <f>J28-J38-J41-J42</f>
        <v/>
      </c>
    </row>
    <row r="44" ht="14.25" customHeight="1">
      <c r="A44" s="323" t="n"/>
      <c r="B44" s="323" t="n"/>
      <c r="C44" s="323" t="n"/>
      <c r="D44" s="323" t="n"/>
      <c r="E44" s="323" t="n"/>
      <c r="F44" s="323" t="n"/>
      <c r="G44" s="338" t="n"/>
      <c r="H44" s="339" t="inlineStr">
        <is>
          <t>TOTAL MODAL</t>
        </is>
      </c>
      <c r="I44" s="340" t="inlineStr">
        <is>
          <t>Rp</t>
        </is>
      </c>
      <c r="J44" s="341">
        <f>SUM(J41:J43)</f>
        <v/>
      </c>
    </row>
    <row r="45" ht="14.25" customHeight="1">
      <c r="A45" s="323" t="n"/>
      <c r="B45" s="323" t="n"/>
      <c r="C45" s="323" t="n"/>
      <c r="D45" s="323" t="n"/>
      <c r="E45" s="323" t="n"/>
      <c r="F45" s="323" t="n"/>
      <c r="G45" s="331" t="n"/>
      <c r="H45" s="332" t="n"/>
      <c r="I45" s="333" t="n"/>
      <c r="J45" s="334" t="n"/>
    </row>
    <row r="46" ht="14.65" customHeight="1">
      <c r="A46" s="323" t="n"/>
      <c r="B46" s="323" t="n"/>
      <c r="C46" s="323" t="n"/>
      <c r="D46" s="323" t="n"/>
      <c r="E46" s="323" t="n"/>
      <c r="F46" s="323" t="n"/>
      <c r="G46" s="347" t="n"/>
      <c r="H46" s="348" t="inlineStr">
        <is>
          <t>TOTAL HUTANG DAN MODAL</t>
        </is>
      </c>
      <c r="I46" s="349" t="inlineStr">
        <is>
          <t>Rp</t>
        </is>
      </c>
      <c r="J46" s="350">
        <f>J44+J38</f>
        <v/>
      </c>
    </row>
    <row r="47" ht="4.5" customHeight="1">
      <c r="A47" s="323" t="n"/>
      <c r="B47" s="323" t="n"/>
      <c r="C47" s="323" t="n"/>
      <c r="D47" s="323" t="n"/>
      <c r="E47" s="323" t="n"/>
      <c r="F47" s="323" t="n"/>
      <c r="G47" s="323" t="n"/>
      <c r="H47" s="323" t="n"/>
      <c r="I47" s="323" t="n"/>
      <c r="J47" s="323" t="n"/>
    </row>
    <row r="48" ht="50.65" customHeight="1">
      <c r="A48" s="323" t="n"/>
      <c r="B48" s="323" t="n"/>
      <c r="C48" s="323" t="n"/>
      <c r="D48" s="323" t="n"/>
      <c r="E48" s="323" t="n"/>
      <c r="F48" s="323" t="n"/>
      <c r="G48" s="323" t="n"/>
      <c r="H48" s="323" t="n"/>
      <c r="I48" s="323" t="n"/>
      <c r="J48" s="323" t="n"/>
    </row>
    <row r="49" ht="16.8" customHeight="1">
      <c r="A49" s="323" t="n"/>
      <c r="B49" s="351" t="inlineStr">
        <is>
          <t>Nama Lengkap</t>
        </is>
      </c>
      <c r="F49" s="323" t="n"/>
      <c r="G49" s="351" t="inlineStr">
        <is>
          <t>Nama Lengkap</t>
        </is>
      </c>
    </row>
    <row r="50" ht="15.6" customHeight="1">
      <c r="A50" s="323" t="n"/>
      <c r="B50" s="352" t="inlineStr">
        <is>
          <t>Direktur</t>
        </is>
      </c>
      <c r="F50" s="323" t="n"/>
      <c r="G50" s="352" t="inlineStr">
        <is>
          <t>Direktur</t>
        </is>
      </c>
    </row>
    <row r="51" ht="14.25" customHeight="1">
      <c r="A51" s="323" t="n"/>
      <c r="B51" s="323" t="n"/>
      <c r="C51" s="323" t="n"/>
      <c r="D51" s="323" t="n"/>
      <c r="E51" s="323" t="n"/>
      <c r="F51" s="323" t="n"/>
      <c r="G51" s="323" t="n"/>
      <c r="H51" s="323" t="n"/>
    </row>
    <row r="52" ht="14.25" customHeight="1">
      <c r="A52" s="323" t="n"/>
      <c r="B52" s="323" t="n"/>
      <c r="C52" s="323" t="n"/>
      <c r="D52" s="323" t="n"/>
      <c r="E52" s="323" t="n"/>
      <c r="F52" s="323" t="n"/>
      <c r="G52" s="323" t="n"/>
      <c r="H52" s="323" t="n"/>
      <c r="J52" s="353" t="n"/>
    </row>
    <row r="53">
      <c r="A53" s="323" t="n"/>
      <c r="B53" s="323" t="n"/>
      <c r="C53" s="323" t="n"/>
      <c r="D53" s="323" t="n"/>
      <c r="E53" s="323" t="n"/>
      <c r="F53" s="323" t="n"/>
      <c r="G53" s="323" t="n"/>
      <c r="H53" s="323" t="n"/>
    </row>
    <row r="54">
      <c r="A54" s="323" t="n"/>
      <c r="B54" s="323" t="n"/>
      <c r="C54" s="323" t="n"/>
      <c r="D54" s="323" t="n"/>
      <c r="E54" s="323" t="n"/>
      <c r="F54" s="323" t="n"/>
      <c r="G54" s="323" t="n"/>
      <c r="H54" s="323" t="n"/>
    </row>
    <row r="55">
      <c r="A55" s="323" t="n"/>
      <c r="B55" s="323" t="n"/>
      <c r="C55" s="323" t="n"/>
      <c r="D55" s="323" t="n"/>
      <c r="E55" s="323" t="n"/>
      <c r="F55" s="323" t="n"/>
      <c r="G55" s="323" t="n"/>
      <c r="H55" s="323" t="n"/>
    </row>
    <row r="56">
      <c r="A56" s="323" t="n"/>
      <c r="B56" s="323" t="n"/>
      <c r="C56" s="323" t="n"/>
      <c r="D56" s="323" t="n"/>
      <c r="E56" s="323" t="n"/>
      <c r="F56" s="323" t="n"/>
      <c r="G56" s="323" t="n"/>
      <c r="H56" s="323" t="n"/>
    </row>
    <row r="57">
      <c r="A57" s="323" t="n"/>
      <c r="B57" s="323" t="n"/>
      <c r="C57" s="323" t="n"/>
      <c r="D57" s="323" t="n"/>
      <c r="E57" s="323" t="n"/>
      <c r="F57" s="323" t="n"/>
      <c r="G57" s="323" t="n"/>
      <c r="H57" s="323" t="n"/>
    </row>
    <row r="58">
      <c r="A58" s="323" t="n"/>
      <c r="B58" s="323" t="n"/>
      <c r="C58" s="323" t="n"/>
      <c r="D58" s="323" t="n"/>
      <c r="E58" s="323" t="n"/>
      <c r="F58" s="323" t="n"/>
      <c r="G58" s="323" t="n"/>
      <c r="H58" s="323" t="n"/>
    </row>
    <row r="59">
      <c r="A59" s="323" t="n"/>
      <c r="B59" s="323" t="n"/>
      <c r="C59" s="323" t="n"/>
      <c r="D59" s="323" t="n"/>
      <c r="E59" s="323" t="n"/>
      <c r="F59" s="323" t="n"/>
      <c r="G59" s="323" t="n"/>
      <c r="H59" s="323" t="n"/>
    </row>
    <row r="60">
      <c r="A60" s="323" t="n"/>
      <c r="B60" s="323" t="n"/>
      <c r="C60" s="323" t="n"/>
      <c r="D60" s="323" t="n"/>
      <c r="E60" s="323" t="n"/>
      <c r="F60" s="323" t="n"/>
      <c r="G60" s="323" t="n"/>
      <c r="H60" s="323" t="n"/>
    </row>
    <row r="61">
      <c r="A61" s="323" t="n"/>
      <c r="B61" s="323" t="n"/>
      <c r="C61" s="323" t="n"/>
      <c r="D61" s="323" t="n"/>
      <c r="E61" s="323" t="n"/>
      <c r="F61" s="323" t="n"/>
      <c r="G61" s="323" t="n"/>
      <c r="H61" s="323" t="n"/>
    </row>
    <row r="62">
      <c r="A62" s="323" t="n"/>
      <c r="B62" s="323" t="n"/>
      <c r="C62" s="323" t="n"/>
      <c r="D62" s="323" t="n"/>
      <c r="E62" s="323" t="n"/>
      <c r="F62" s="323" t="n"/>
      <c r="G62" s="323" t="n"/>
      <c r="H62" s="323" t="n"/>
    </row>
    <row r="63">
      <c r="A63" s="323" t="n"/>
      <c r="B63" s="323" t="n"/>
      <c r="C63" s="323" t="n"/>
      <c r="D63" s="323" t="n"/>
      <c r="E63" s="323" t="n"/>
      <c r="F63" s="323" t="n"/>
      <c r="G63" s="323" t="n"/>
      <c r="H63" s="323" t="n"/>
    </row>
    <row r="64">
      <c r="A64" s="323" t="n"/>
      <c r="B64" s="323" t="n"/>
      <c r="C64" s="323" t="n"/>
      <c r="D64" s="323" t="n"/>
      <c r="E64" s="323" t="n"/>
      <c r="F64" s="323" t="n"/>
      <c r="G64" s="323" t="n"/>
      <c r="H64" s="323" t="n"/>
    </row>
    <row r="65">
      <c r="A65" s="323" t="n"/>
      <c r="B65" s="323" t="n"/>
      <c r="C65" s="323" t="n"/>
      <c r="D65" s="323" t="n"/>
      <c r="E65" s="323" t="n"/>
      <c r="F65" s="323" t="n"/>
      <c r="G65" s="323" t="n"/>
      <c r="H65" s="323" t="n"/>
    </row>
    <row r="66">
      <c r="A66" s="323" t="n"/>
      <c r="B66" s="323" t="n"/>
      <c r="C66" s="323" t="n"/>
      <c r="D66" s="323" t="n"/>
      <c r="E66" s="323" t="n"/>
      <c r="F66" s="323" t="n"/>
      <c r="G66" s="323" t="n"/>
      <c r="H66" s="323" t="n"/>
    </row>
    <row r="67">
      <c r="A67" s="323" t="n"/>
      <c r="B67" s="323" t="n"/>
      <c r="C67" s="323" t="n"/>
      <c r="D67" s="323" t="n"/>
      <c r="E67" s="323" t="n"/>
      <c r="F67" s="323" t="n"/>
      <c r="G67" s="323" t="n"/>
      <c r="H67" s="323" t="n"/>
    </row>
    <row r="68">
      <c r="A68" s="323" t="n"/>
      <c r="B68" s="323" t="n"/>
      <c r="C68" s="323" t="n"/>
      <c r="D68" s="323" t="n"/>
      <c r="E68" s="323" t="n"/>
      <c r="F68" s="323" t="n"/>
      <c r="G68" s="323" t="n"/>
      <c r="H68" s="323" t="n"/>
    </row>
    <row r="69">
      <c r="A69" s="323" t="n"/>
      <c r="B69" s="323" t="n"/>
      <c r="C69" s="323" t="n"/>
      <c r="D69" s="323" t="n"/>
      <c r="E69" s="323" t="n"/>
      <c r="F69" s="323" t="n"/>
      <c r="G69" s="323" t="n"/>
      <c r="H69" s="323" t="n"/>
    </row>
    <row r="70">
      <c r="A70" s="323" t="n"/>
      <c r="B70" s="323" t="n"/>
      <c r="C70" s="323" t="n"/>
      <c r="D70" s="323" t="n"/>
      <c r="E70" s="323" t="n"/>
      <c r="F70" s="323" t="n"/>
      <c r="G70" s="323" t="n"/>
      <c r="H70" s="323" t="n"/>
    </row>
    <row r="71">
      <c r="A71" s="323" t="n"/>
      <c r="B71" s="323" t="n"/>
      <c r="C71" s="323" t="n"/>
      <c r="D71" s="323" t="n"/>
      <c r="E71" s="323" t="n"/>
      <c r="F71" s="323" t="n"/>
      <c r="G71" s="323" t="n"/>
      <c r="H71" s="323" t="n"/>
    </row>
    <row r="72">
      <c r="A72" s="323" t="n"/>
      <c r="B72" s="323" t="n"/>
      <c r="C72" s="323" t="n"/>
      <c r="D72" s="323" t="n"/>
      <c r="E72" s="323" t="n"/>
      <c r="F72" s="323" t="n"/>
      <c r="G72" s="323" t="n"/>
      <c r="H72" s="323" t="n"/>
    </row>
    <row r="73">
      <c r="A73" s="323" t="n"/>
      <c r="B73" s="323" t="n"/>
      <c r="C73" s="323" t="n"/>
      <c r="D73" s="323" t="n"/>
      <c r="E73" s="323" t="n"/>
      <c r="F73" s="323" t="n"/>
      <c r="G73" s="323" t="n"/>
      <c r="H73" s="323" t="n"/>
    </row>
    <row r="74">
      <c r="A74" s="323" t="n"/>
      <c r="B74" s="323" t="n"/>
      <c r="C74" s="323" t="n"/>
      <c r="D74" s="323" t="n"/>
      <c r="E74" s="323" t="n"/>
      <c r="F74" s="323" t="n"/>
      <c r="G74" s="323" t="n"/>
      <c r="H74" s="323" t="n"/>
    </row>
    <row r="75">
      <c r="A75" s="323" t="n"/>
      <c r="B75" s="323" t="n"/>
      <c r="C75" s="323" t="n"/>
      <c r="D75" s="323" t="n"/>
      <c r="E75" s="323" t="n"/>
      <c r="F75" s="323" t="n"/>
      <c r="G75" s="323" t="n"/>
      <c r="H75" s="323" t="n"/>
    </row>
    <row r="76">
      <c r="A76" s="323" t="n"/>
      <c r="B76" s="323" t="n"/>
      <c r="C76" s="323" t="n"/>
      <c r="D76" s="323" t="n"/>
      <c r="E76" s="323" t="n"/>
      <c r="F76" s="323" t="n"/>
      <c r="G76" s="323" t="n"/>
      <c r="H76" s="323" t="n"/>
    </row>
    <row r="77">
      <c r="A77" s="323" t="n"/>
      <c r="B77" s="323" t="n"/>
      <c r="C77" s="323" t="n"/>
      <c r="D77" s="323" t="n"/>
      <c r="E77" s="323" t="n"/>
      <c r="F77" s="323" t="n"/>
      <c r="G77" s="323" t="n"/>
      <c r="H77" s="323" t="n"/>
    </row>
    <row r="78">
      <c r="A78" s="323" t="n"/>
      <c r="B78" s="323" t="n"/>
      <c r="C78" s="323" t="n"/>
      <c r="D78" s="323" t="n"/>
      <c r="E78" s="323" t="n"/>
      <c r="F78" s="323" t="n"/>
      <c r="G78" s="323" t="n"/>
      <c r="H78" s="323" t="n"/>
    </row>
    <row r="79">
      <c r="A79" s="323" t="n"/>
      <c r="B79" s="323" t="n"/>
      <c r="C79" s="323" t="n"/>
      <c r="D79" s="323" t="n"/>
      <c r="E79" s="323" t="n"/>
      <c r="F79" s="323" t="n"/>
      <c r="G79" s="323" t="n"/>
      <c r="H79" s="323" t="n"/>
    </row>
    <row r="80">
      <c r="A80" s="323" t="n"/>
      <c r="B80" s="323" t="n"/>
      <c r="C80" s="323" t="n"/>
      <c r="D80" s="323" t="n"/>
      <c r="E80" s="323" t="n"/>
      <c r="F80" s="323" t="n"/>
      <c r="G80" s="323" t="n"/>
      <c r="H80" s="323" t="n"/>
    </row>
    <row r="81">
      <c r="A81" s="323" t="n"/>
      <c r="B81" s="323" t="n"/>
      <c r="C81" s="323" t="n"/>
      <c r="D81" s="323" t="n"/>
      <c r="E81" s="323" t="n"/>
      <c r="F81" s="323" t="n"/>
      <c r="G81" s="323" t="n"/>
      <c r="H81" s="323" t="n"/>
    </row>
    <row r="82">
      <c r="A82" s="323" t="n"/>
      <c r="B82" s="323" t="n"/>
      <c r="C82" s="323" t="n"/>
      <c r="D82" s="323" t="n"/>
      <c r="E82" s="323" t="n"/>
      <c r="F82" s="323" t="n"/>
      <c r="G82" s="323" t="n"/>
      <c r="H82" s="323" t="n"/>
    </row>
    <row r="83">
      <c r="A83" s="323" t="n"/>
      <c r="B83" s="323" t="n"/>
      <c r="C83" s="323" t="n"/>
      <c r="D83" s="323" t="n"/>
      <c r="E83" s="323" t="n"/>
      <c r="F83" s="323" t="n"/>
      <c r="G83" s="323" t="n"/>
      <c r="H83" s="323" t="n"/>
    </row>
    <row r="84">
      <c r="A84" s="323" t="n"/>
      <c r="B84" s="323" t="n"/>
      <c r="C84" s="323" t="n"/>
      <c r="D84" s="323" t="n"/>
      <c r="E84" s="323" t="n"/>
      <c r="F84" s="323" t="n"/>
      <c r="G84" s="323" t="n"/>
      <c r="H84" s="323" t="n"/>
    </row>
    <row r="85">
      <c r="A85" s="323" t="n"/>
      <c r="B85" s="323" t="n"/>
      <c r="C85" s="323" t="n"/>
      <c r="D85" s="323" t="n"/>
      <c r="E85" s="323" t="n"/>
      <c r="F85" s="323" t="n"/>
      <c r="G85" s="323" t="n"/>
      <c r="H85" s="323" t="n"/>
    </row>
    <row r="86">
      <c r="A86" s="323" t="n"/>
      <c r="B86" s="323" t="n"/>
      <c r="C86" s="323" t="n"/>
      <c r="D86" s="323" t="n"/>
      <c r="E86" s="323" t="n"/>
      <c r="F86" s="323" t="n"/>
      <c r="G86" s="323" t="n"/>
      <c r="H86" s="323" t="n"/>
    </row>
    <row r="87">
      <c r="A87" s="323" t="n"/>
      <c r="B87" s="323" t="n"/>
      <c r="C87" s="323" t="n"/>
      <c r="D87" s="323" t="n"/>
      <c r="E87" s="323" t="n"/>
      <c r="F87" s="323" t="n"/>
      <c r="G87" s="323" t="n"/>
      <c r="H87" s="323" t="n"/>
    </row>
    <row r="88">
      <c r="A88" s="323" t="n"/>
      <c r="B88" s="323" t="n"/>
      <c r="C88" s="323" t="n"/>
      <c r="D88" s="323" t="n"/>
      <c r="E88" s="323" t="n"/>
      <c r="F88" s="323" t="n"/>
      <c r="G88" s="323" t="n"/>
      <c r="H88" s="323" t="n"/>
    </row>
    <row r="89">
      <c r="A89" s="323" t="n"/>
      <c r="B89" s="323" t="n"/>
      <c r="C89" s="323" t="n"/>
      <c r="D89" s="323" t="n"/>
      <c r="E89" s="323" t="n"/>
      <c r="F89" s="323" t="n"/>
      <c r="G89" s="323" t="n"/>
      <c r="H89" s="323" t="n"/>
    </row>
    <row r="90">
      <c r="A90" s="323" t="n"/>
      <c r="B90" s="323" t="n"/>
      <c r="C90" s="323" t="n"/>
      <c r="D90" s="323" t="n"/>
      <c r="E90" s="323" t="n"/>
      <c r="F90" s="323" t="n"/>
      <c r="G90" s="323" t="n"/>
      <c r="H90" s="323" t="n"/>
    </row>
    <row r="91">
      <c r="A91" s="323" t="n"/>
      <c r="B91" s="323" t="n"/>
      <c r="C91" s="323" t="n"/>
      <c r="D91" s="323" t="n"/>
      <c r="E91" s="323" t="n"/>
      <c r="F91" s="323" t="n"/>
      <c r="G91" s="323" t="n"/>
      <c r="H91" s="323" t="n"/>
    </row>
    <row r="92">
      <c r="A92" s="323" t="n"/>
      <c r="B92" s="323" t="n"/>
      <c r="C92" s="323" t="n"/>
      <c r="D92" s="323" t="n"/>
      <c r="E92" s="323" t="n"/>
      <c r="F92" s="323" t="n"/>
      <c r="G92" s="323" t="n"/>
      <c r="H92" s="323" t="n"/>
    </row>
    <row r="93">
      <c r="A93" s="323" t="n"/>
      <c r="B93" s="323" t="n"/>
      <c r="C93" s="323" t="n"/>
      <c r="D93" s="323" t="n"/>
      <c r="E93" s="323" t="n"/>
      <c r="F93" s="323" t="n"/>
      <c r="G93" s="323" t="n"/>
      <c r="H93" s="323" t="n"/>
    </row>
    <row r="94">
      <c r="A94" s="323" t="n"/>
      <c r="B94" s="323" t="n"/>
      <c r="C94" s="323" t="n"/>
      <c r="D94" s="323" t="n"/>
      <c r="E94" s="323" t="n"/>
      <c r="F94" s="323" t="n"/>
      <c r="G94" s="323" t="n"/>
      <c r="H94" s="323" t="n"/>
    </row>
    <row r="95">
      <c r="A95" s="323" t="n"/>
      <c r="B95" s="323" t="n"/>
      <c r="C95" s="323" t="n"/>
      <c r="D95" s="323" t="n"/>
      <c r="E95" s="323" t="n"/>
      <c r="F95" s="323" t="n"/>
      <c r="G95" s="323" t="n"/>
      <c r="H95" s="323" t="n"/>
    </row>
    <row r="96" ht="64.5" customHeight="1">
      <c r="A96" s="323" t="n"/>
      <c r="B96" s="323" t="n"/>
      <c r="C96" s="323" t="n"/>
      <c r="D96" s="323" t="n"/>
      <c r="E96" s="323" t="n"/>
      <c r="F96" s="323" t="n"/>
      <c r="G96" s="323" t="n"/>
      <c r="H96" s="323" t="n"/>
    </row>
    <row r="97">
      <c r="A97" s="323" t="n"/>
      <c r="B97" s="323" t="n"/>
      <c r="C97" s="323" t="n"/>
      <c r="D97" s="323" t="n"/>
      <c r="E97" s="323" t="n"/>
      <c r="F97" s="323" t="n"/>
      <c r="G97" s="323" t="n"/>
      <c r="H97" s="323" t="n"/>
    </row>
    <row r="98">
      <c r="A98" s="323" t="n"/>
      <c r="B98" s="323" t="n"/>
      <c r="C98" s="323" t="n"/>
      <c r="D98" s="323" t="n"/>
      <c r="E98" s="323" t="n"/>
      <c r="F98" s="323" t="n"/>
      <c r="G98" s="323" t="n"/>
      <c r="H98" s="323" t="n"/>
    </row>
    <row r="99">
      <c r="A99" s="323" t="n"/>
      <c r="B99" s="323" t="n"/>
      <c r="C99" s="323" t="n"/>
      <c r="D99" s="323" t="n"/>
      <c r="E99" s="323" t="n"/>
      <c r="F99" s="323" t="n"/>
      <c r="G99" s="323" t="n"/>
      <c r="H99" s="323" t="n"/>
    </row>
    <row r="100">
      <c r="A100" s="323" t="n"/>
      <c r="B100" s="323" t="n"/>
      <c r="C100" s="323" t="n"/>
      <c r="D100" s="323" t="n"/>
      <c r="E100" s="323" t="n"/>
      <c r="F100" s="323" t="n"/>
      <c r="G100" s="323" t="n"/>
      <c r="H100" s="323" t="n"/>
    </row>
    <row r="101">
      <c r="A101" s="323" t="n"/>
      <c r="B101" s="323" t="n"/>
      <c r="C101" s="323" t="n"/>
      <c r="D101" s="323" t="n"/>
      <c r="E101" s="323" t="n"/>
      <c r="F101" s="323" t="n"/>
      <c r="G101" s="323" t="n"/>
      <c r="H101" s="323" t="n"/>
    </row>
    <row r="102">
      <c r="A102" s="323" t="n"/>
      <c r="B102" s="323" t="n"/>
      <c r="C102" s="323" t="n"/>
      <c r="D102" s="323" t="n"/>
      <c r="E102" s="323" t="n"/>
      <c r="F102" s="323" t="n"/>
      <c r="G102" s="323" t="n"/>
      <c r="H102" s="323" t="n"/>
    </row>
    <row r="103">
      <c r="A103" s="323" t="n"/>
      <c r="B103" s="323" t="n"/>
      <c r="C103" s="323" t="n"/>
      <c r="D103" s="323" t="n"/>
      <c r="E103" s="323" t="n"/>
      <c r="F103" s="323" t="n"/>
      <c r="G103" s="323" t="n"/>
      <c r="H103" s="323" t="n"/>
    </row>
    <row r="104">
      <c r="A104" s="323" t="n"/>
      <c r="B104" s="323" t="n"/>
      <c r="C104" s="323" t="n"/>
      <c r="D104" s="323" t="n"/>
      <c r="E104" s="323" t="n"/>
      <c r="F104" s="323" t="n"/>
      <c r="G104" s="323" t="n"/>
      <c r="H104" s="323" t="n"/>
    </row>
    <row r="105">
      <c r="A105" s="323" t="n"/>
      <c r="B105" s="323" t="n"/>
      <c r="C105" s="323" t="n"/>
      <c r="D105" s="323" t="n"/>
      <c r="E105" s="323" t="n"/>
      <c r="F105" s="323" t="n"/>
      <c r="G105" s="323" t="n"/>
      <c r="H105" s="323" t="n"/>
    </row>
    <row r="106">
      <c r="A106" s="323" t="n"/>
      <c r="B106" s="323" t="n"/>
      <c r="C106" s="323" t="n"/>
      <c r="D106" s="323" t="n"/>
      <c r="E106" s="323" t="n"/>
      <c r="F106" s="323" t="n"/>
      <c r="G106" s="323" t="n"/>
      <c r="H106" s="323" t="n"/>
    </row>
    <row r="107">
      <c r="A107" s="323" t="n"/>
      <c r="B107" s="323" t="n"/>
      <c r="C107" s="323" t="n"/>
      <c r="D107" s="323" t="n"/>
      <c r="E107" s="323" t="n"/>
      <c r="F107" s="323" t="n"/>
      <c r="G107" s="323" t="n"/>
      <c r="H107" s="323" t="n"/>
    </row>
    <row r="108">
      <c r="A108" s="323" t="n"/>
      <c r="B108" s="323" t="n"/>
      <c r="C108" s="323" t="n"/>
      <c r="D108" s="323" t="n"/>
      <c r="E108" s="323" t="n"/>
      <c r="F108" s="323" t="n"/>
      <c r="G108" s="323" t="n"/>
      <c r="H108" s="323" t="n"/>
    </row>
    <row r="109">
      <c r="A109" s="323" t="n"/>
      <c r="B109" s="323" t="n"/>
      <c r="C109" s="323" t="n"/>
      <c r="D109" s="323" t="n"/>
      <c r="E109" s="323" t="n"/>
      <c r="F109" s="323" t="n"/>
      <c r="G109" s="323" t="n"/>
      <c r="H109" s="323" t="n"/>
    </row>
    <row r="110">
      <c r="A110" s="323" t="n"/>
      <c r="B110" s="323" t="n"/>
      <c r="C110" s="323" t="n"/>
      <c r="D110" s="323" t="n"/>
      <c r="E110" s="323" t="n"/>
      <c r="F110" s="323" t="n"/>
      <c r="G110" s="323" t="n"/>
      <c r="H110" s="323" t="n"/>
    </row>
    <row r="111">
      <c r="A111" s="323" t="n"/>
      <c r="B111" s="323" t="n"/>
      <c r="C111" s="323" t="n"/>
      <c r="D111" s="323" t="n"/>
      <c r="E111" s="323" t="n"/>
      <c r="F111" s="323" t="n"/>
      <c r="G111" s="323" t="n"/>
      <c r="H111" s="323" t="n"/>
    </row>
    <row r="112">
      <c r="A112" s="323" t="n"/>
      <c r="B112" s="323" t="n"/>
      <c r="C112" s="323" t="n"/>
      <c r="D112" s="323" t="n"/>
      <c r="E112" s="323" t="n"/>
      <c r="F112" s="323" t="n"/>
      <c r="G112" s="323" t="n"/>
      <c r="H112" s="323" t="n"/>
    </row>
    <row r="113">
      <c r="A113" s="323" t="n"/>
      <c r="B113" s="323" t="n"/>
      <c r="C113" s="323" t="n"/>
      <c r="D113" s="323" t="n"/>
      <c r="E113" s="323" t="n"/>
      <c r="F113" s="323" t="n"/>
      <c r="G113" s="323" t="n"/>
      <c r="H113" s="323" t="n"/>
    </row>
    <row r="114">
      <c r="A114" s="323" t="n"/>
      <c r="B114" s="323" t="n"/>
      <c r="C114" s="323" t="n"/>
      <c r="D114" s="323" t="n"/>
      <c r="E114" s="323" t="n"/>
      <c r="F114" s="323" t="n"/>
      <c r="G114" s="323" t="n"/>
      <c r="H114" s="323" t="n"/>
    </row>
    <row r="115">
      <c r="A115" s="323" t="n"/>
      <c r="B115" s="323" t="n"/>
      <c r="C115" s="323" t="n"/>
      <c r="D115" s="323" t="n"/>
      <c r="E115" s="323" t="n"/>
      <c r="F115" s="323" t="n"/>
      <c r="G115" s="323" t="n"/>
      <c r="H115" s="323" t="n"/>
    </row>
    <row r="116">
      <c r="A116" s="323" t="n"/>
      <c r="B116" s="323" t="n"/>
      <c r="C116" s="323" t="n"/>
      <c r="D116" s="323" t="n"/>
      <c r="E116" s="323" t="n"/>
      <c r="F116" s="323" t="n"/>
      <c r="G116" s="323" t="n"/>
      <c r="H116" s="323" t="n"/>
    </row>
    <row r="117">
      <c r="A117" s="323" t="n"/>
      <c r="B117" s="323" t="n"/>
      <c r="C117" s="323" t="n"/>
      <c r="D117" s="323" t="n"/>
      <c r="E117" s="323" t="n"/>
      <c r="F117" s="323" t="n"/>
      <c r="G117" s="323" t="n"/>
      <c r="H117" s="323" t="n"/>
    </row>
    <row r="118">
      <c r="A118" s="323" t="n"/>
      <c r="B118" s="323" t="n"/>
      <c r="C118" s="323" t="n"/>
      <c r="D118" s="323" t="n"/>
      <c r="E118" s="323" t="n"/>
      <c r="F118" s="323" t="n"/>
      <c r="G118" s="323" t="n"/>
      <c r="H118" s="323" t="n"/>
    </row>
    <row r="119">
      <c r="A119" s="323" t="n"/>
      <c r="B119" s="323" t="n"/>
      <c r="C119" s="323" t="n"/>
      <c r="D119" s="323" t="n"/>
      <c r="E119" s="323" t="n"/>
      <c r="F119" s="323" t="n"/>
      <c r="G119" s="323" t="n"/>
      <c r="H119" s="323" t="n"/>
    </row>
    <row r="120">
      <c r="A120" s="323" t="n"/>
      <c r="B120" s="323" t="n"/>
      <c r="C120" s="323" t="n"/>
      <c r="D120" s="323" t="n"/>
      <c r="E120" s="323" t="n"/>
      <c r="F120" s="323" t="n"/>
      <c r="G120" s="323" t="n"/>
      <c r="H120" s="323" t="n"/>
    </row>
    <row r="121">
      <c r="A121" s="323" t="n"/>
      <c r="B121" s="323" t="n"/>
      <c r="C121" s="323" t="n"/>
      <c r="D121" s="323" t="n"/>
      <c r="E121" s="323" t="n"/>
      <c r="F121" s="323" t="n"/>
      <c r="G121" s="323" t="n"/>
      <c r="H121" s="323" t="n"/>
    </row>
    <row r="122">
      <c r="A122" s="323" t="n"/>
      <c r="B122" s="323" t="n"/>
      <c r="C122" s="323" t="n"/>
      <c r="D122" s="323" t="n"/>
      <c r="E122" s="323" t="n"/>
      <c r="F122" s="323" t="n"/>
      <c r="G122" s="323" t="n"/>
      <c r="H122" s="323" t="n"/>
    </row>
    <row r="123">
      <c r="A123" s="323" t="n"/>
      <c r="B123" s="323" t="n"/>
      <c r="C123" s="323" t="n"/>
      <c r="D123" s="323" t="n"/>
      <c r="E123" s="323" t="n"/>
      <c r="F123" s="323" t="n"/>
      <c r="G123" s="323" t="n"/>
      <c r="H123" s="323" t="n"/>
    </row>
    <row r="124">
      <c r="A124" s="323" t="n"/>
      <c r="B124" s="323" t="n"/>
      <c r="C124" s="323" t="n"/>
      <c r="D124" s="323" t="n"/>
      <c r="E124" s="323" t="n"/>
      <c r="F124" s="323" t="n"/>
      <c r="G124" s="323" t="n"/>
      <c r="H124" s="323" t="n"/>
    </row>
    <row r="125">
      <c r="A125" s="323" t="n"/>
      <c r="B125" s="323" t="n"/>
      <c r="C125" s="323" t="n"/>
      <c r="D125" s="323" t="n"/>
      <c r="E125" s="323" t="n"/>
      <c r="F125" s="323" t="n"/>
      <c r="G125" s="323" t="n"/>
      <c r="H125" s="323" t="n"/>
    </row>
    <row r="126">
      <c r="A126" s="323" t="n"/>
      <c r="B126" s="323" t="n"/>
      <c r="C126" s="323" t="n"/>
      <c r="D126" s="323" t="n"/>
      <c r="E126" s="323" t="n"/>
      <c r="F126" s="323" t="n"/>
      <c r="G126" s="323" t="n"/>
      <c r="H126" s="323" t="n"/>
    </row>
    <row r="127">
      <c r="A127" s="323" t="n"/>
      <c r="B127" s="323" t="n"/>
      <c r="C127" s="323" t="n"/>
      <c r="D127" s="323" t="n"/>
      <c r="E127" s="323" t="n"/>
      <c r="F127" s="323" t="n"/>
      <c r="G127" s="323" t="n"/>
      <c r="H127" s="323" t="n"/>
    </row>
    <row r="128">
      <c r="A128" s="323" t="n"/>
      <c r="B128" s="323" t="n"/>
      <c r="C128" s="323" t="n"/>
      <c r="D128" s="323" t="n"/>
      <c r="E128" s="323" t="n"/>
      <c r="F128" s="323" t="n"/>
      <c r="G128" s="323" t="n"/>
      <c r="H128" s="323" t="n"/>
    </row>
    <row r="129">
      <c r="A129" s="323" t="n"/>
      <c r="B129" s="323" t="n"/>
      <c r="C129" s="323" t="n"/>
      <c r="D129" s="323" t="n"/>
      <c r="E129" s="323" t="n"/>
      <c r="F129" s="323" t="n"/>
      <c r="G129" s="323" t="n"/>
      <c r="H129" s="323" t="n"/>
    </row>
    <row r="130">
      <c r="A130" s="323" t="n"/>
      <c r="B130" s="323" t="n"/>
      <c r="C130" s="323" t="n"/>
      <c r="D130" s="323" t="n"/>
      <c r="E130" s="323" t="n"/>
      <c r="F130" s="323" t="n"/>
      <c r="G130" s="323" t="n"/>
      <c r="H130" s="323" t="n"/>
    </row>
    <row r="131">
      <c r="A131" s="323" t="n"/>
      <c r="B131" s="323" t="n"/>
      <c r="C131" s="323" t="n"/>
      <c r="D131" s="323" t="n"/>
      <c r="E131" s="323" t="n"/>
      <c r="F131" s="323" t="n"/>
      <c r="G131" s="323" t="n"/>
      <c r="H131" s="323" t="n"/>
    </row>
    <row r="132">
      <c r="A132" s="323" t="n"/>
      <c r="B132" s="323" t="n"/>
      <c r="C132" s="323" t="n"/>
      <c r="D132" s="323" t="n"/>
      <c r="E132" s="323" t="n"/>
      <c r="F132" s="323" t="n"/>
      <c r="G132" s="323" t="n"/>
      <c r="H132" s="323" t="n"/>
    </row>
    <row r="133">
      <c r="A133" s="323" t="n"/>
      <c r="B133" s="323" t="n"/>
      <c r="C133" s="323" t="n"/>
      <c r="D133" s="323" t="n"/>
      <c r="E133" s="323" t="n"/>
      <c r="F133" s="323" t="n"/>
      <c r="G133" s="323" t="n"/>
      <c r="H133" s="323" t="n"/>
    </row>
    <row r="134">
      <c r="A134" s="323" t="n"/>
      <c r="B134" s="323" t="n"/>
      <c r="C134" s="323" t="n"/>
      <c r="D134" s="323" t="n"/>
      <c r="E134" s="323" t="n"/>
      <c r="F134" s="323" t="n"/>
      <c r="G134" s="323" t="n"/>
      <c r="H134" s="323" t="n"/>
    </row>
    <row r="135">
      <c r="A135" s="323" t="n"/>
      <c r="B135" s="323" t="n"/>
      <c r="C135" s="323" t="n"/>
      <c r="D135" s="323" t="n"/>
      <c r="E135" s="323" t="n"/>
      <c r="F135" s="323" t="n"/>
      <c r="G135" s="323" t="n"/>
      <c r="H135" s="323" t="n"/>
    </row>
    <row r="136">
      <c r="A136" s="323" t="n"/>
      <c r="B136" s="323" t="n"/>
      <c r="C136" s="323" t="n"/>
      <c r="D136" s="323" t="n"/>
      <c r="E136" s="323" t="n"/>
      <c r="F136" s="323" t="n"/>
      <c r="G136" s="323" t="n"/>
      <c r="H136" s="323" t="n"/>
    </row>
    <row r="137">
      <c r="A137" s="323" t="n"/>
      <c r="B137" s="323" t="n"/>
      <c r="C137" s="323" t="n"/>
      <c r="D137" s="323" t="n"/>
      <c r="E137" s="323" t="n"/>
      <c r="F137" s="323" t="n"/>
      <c r="G137" s="323" t="n"/>
      <c r="H137" s="323" t="n"/>
    </row>
    <row r="138">
      <c r="A138" s="323" t="n"/>
      <c r="B138" s="323" t="n"/>
      <c r="C138" s="323" t="n"/>
      <c r="D138" s="323" t="n"/>
      <c r="E138" s="323" t="n"/>
      <c r="F138" s="323" t="n"/>
      <c r="G138" s="323" t="n"/>
      <c r="H138" s="323" t="n"/>
    </row>
    <row r="139">
      <c r="A139" s="323" t="n"/>
      <c r="B139" s="323" t="n"/>
      <c r="C139" s="323" t="n"/>
      <c r="D139" s="323" t="n"/>
      <c r="E139" s="323" t="n"/>
      <c r="F139" s="323" t="n"/>
      <c r="G139" s="323" t="n"/>
      <c r="H139" s="323" t="n"/>
    </row>
    <row r="140">
      <c r="A140" s="323" t="n"/>
      <c r="B140" s="323" t="n"/>
      <c r="C140" s="323" t="n"/>
      <c r="D140" s="323" t="n"/>
      <c r="E140" s="323" t="n"/>
      <c r="F140" s="323" t="n"/>
      <c r="G140" s="323" t="n"/>
      <c r="H140" s="323" t="n"/>
    </row>
    <row r="141">
      <c r="A141" s="323" t="n"/>
      <c r="B141" s="323" t="n"/>
      <c r="C141" s="323" t="n"/>
      <c r="D141" s="323" t="n"/>
      <c r="E141" s="323" t="n"/>
      <c r="F141" s="323" t="n"/>
      <c r="G141" s="323" t="n"/>
      <c r="H141" s="323" t="n"/>
    </row>
    <row r="142">
      <c r="A142" s="323" t="n"/>
      <c r="B142" s="323" t="n"/>
      <c r="C142" s="323" t="n"/>
      <c r="D142" s="323" t="n"/>
      <c r="E142" s="323" t="n"/>
      <c r="F142" s="323" t="n"/>
      <c r="G142" s="323" t="n"/>
      <c r="H142" s="323" t="n"/>
    </row>
    <row r="143">
      <c r="A143" s="323" t="n"/>
      <c r="B143" s="323" t="n"/>
      <c r="C143" s="323" t="n"/>
      <c r="D143" s="323" t="n"/>
      <c r="E143" s="323" t="n"/>
      <c r="F143" s="323" t="n"/>
      <c r="G143" s="323" t="n"/>
      <c r="H143" s="323" t="n"/>
    </row>
    <row r="144">
      <c r="A144" s="323" t="n"/>
      <c r="B144" s="323" t="n"/>
      <c r="C144" s="323" t="n"/>
      <c r="D144" s="323" t="n"/>
      <c r="E144" s="323" t="n"/>
      <c r="F144" s="323" t="n"/>
      <c r="G144" s="323" t="n"/>
      <c r="H144" s="323" t="n"/>
    </row>
    <row r="145">
      <c r="A145" s="323" t="n"/>
      <c r="B145" s="323" t="n"/>
      <c r="C145" s="323" t="n"/>
      <c r="D145" s="323" t="n"/>
      <c r="E145" s="323" t="n"/>
      <c r="F145" s="323" t="n"/>
      <c r="G145" s="323" t="n"/>
      <c r="H145" s="323" t="n"/>
    </row>
    <row r="146">
      <c r="A146" s="323" t="n"/>
      <c r="B146" s="323" t="n"/>
      <c r="C146" s="323" t="n"/>
      <c r="D146" s="323" t="n"/>
      <c r="E146" s="323" t="n"/>
      <c r="F146" s="323" t="n"/>
      <c r="G146" s="323" t="n"/>
      <c r="H146" s="323" t="n"/>
    </row>
    <row r="147">
      <c r="A147" s="323" t="n"/>
      <c r="B147" s="323" t="n"/>
      <c r="C147" s="323" t="n"/>
      <c r="D147" s="323" t="n"/>
      <c r="E147" s="323" t="n"/>
      <c r="F147" s="323" t="n"/>
      <c r="G147" s="323" t="n"/>
      <c r="H147" s="323" t="n"/>
    </row>
    <row r="148">
      <c r="A148" s="323" t="n"/>
      <c r="B148" s="323" t="n"/>
      <c r="C148" s="323" t="n"/>
      <c r="D148" s="323" t="n"/>
      <c r="E148" s="323" t="n"/>
      <c r="F148" s="323" t="n"/>
      <c r="G148" s="323" t="n"/>
      <c r="H148" s="323" t="n"/>
    </row>
    <row r="149">
      <c r="A149" s="323" t="n"/>
      <c r="B149" s="323" t="n"/>
      <c r="C149" s="323" t="n"/>
      <c r="D149" s="323" t="n"/>
      <c r="E149" s="323" t="n"/>
      <c r="F149" s="323" t="n"/>
      <c r="G149" s="323" t="n"/>
      <c r="H149" s="323" t="n"/>
    </row>
    <row r="150">
      <c r="A150" s="323" t="n"/>
      <c r="B150" s="323" t="n"/>
      <c r="C150" s="323" t="n"/>
      <c r="D150" s="323" t="n"/>
      <c r="E150" s="323" t="n"/>
      <c r="F150" s="323" t="n"/>
      <c r="G150" s="323" t="n"/>
      <c r="H150" s="323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05" t="n"/>
      <c r="B1" s="305" t="n"/>
      <c r="C1" s="305" t="n"/>
      <c r="D1" s="305" t="n"/>
      <c r="E1" s="306" t="n"/>
    </row>
    <row r="2" ht="37.25" customHeight="1">
      <c r="A2" s="305" t="n"/>
      <c r="B2" s="305" t="n"/>
      <c r="C2" s="305" t="n"/>
      <c r="D2" s="305" t="n"/>
      <c r="E2" s="306" t="n"/>
    </row>
    <row r="3" ht="33.6" customHeight="1">
      <c r="A3" s="305" t="n"/>
      <c r="B3" s="307" t="inlineStr">
        <is>
          <t>PT. EXSPAN WIRELINE INDONESIA</t>
        </is>
      </c>
      <c r="F3" s="308" t="n"/>
    </row>
    <row r="4" ht="20.45" customHeight="1">
      <c r="A4" s="305" t="n"/>
      <c r="B4" s="310" t="inlineStr">
        <is>
          <t>BUSINESS SUMMARY | TAHUN 2024</t>
        </is>
      </c>
      <c r="F4" s="308" t="n"/>
    </row>
    <row r="5" ht="6" customHeight="1">
      <c r="A5" s="305" t="n"/>
      <c r="B5" s="305" t="n"/>
      <c r="C5" s="305" t="n"/>
      <c r="D5" s="305" t="n"/>
      <c r="E5" s="306" t="n"/>
      <c r="F5" s="308" t="n"/>
    </row>
    <row r="6" ht="20" customHeight="1">
      <c r="A6" s="305" t="n"/>
      <c r="B6" s="354" t="inlineStr">
        <is>
          <t>#</t>
        </is>
      </c>
      <c r="C6" s="354" t="inlineStr">
        <is>
          <t>Items</t>
        </is>
      </c>
      <c r="D6" s="355" t="inlineStr">
        <is>
          <t>Amount</t>
        </is>
      </c>
      <c r="E6" s="227" t="n"/>
      <c r="F6" s="308" t="n"/>
    </row>
    <row r="7" ht="20" customHeight="1">
      <c r="A7" s="305" t="n"/>
      <c r="B7" s="356" t="n">
        <v>1</v>
      </c>
      <c r="C7" s="357" t="inlineStr">
        <is>
          <t>Revenue</t>
        </is>
      </c>
      <c r="D7" s="358" t="inlineStr">
        <is>
          <t>Rp</t>
        </is>
      </c>
      <c r="E7" s="359">
        <f>SUM('Revenue-Cost_2024'!F8:F581)</f>
        <v/>
      </c>
      <c r="F7" s="308" t="n"/>
    </row>
    <row r="8" ht="20" customHeight="1">
      <c r="A8" s="305" t="n"/>
      <c r="B8" s="356" t="n">
        <v>2</v>
      </c>
      <c r="C8" s="357" t="inlineStr">
        <is>
          <t>Revenue Diterima (Setelah Pajak)</t>
        </is>
      </c>
      <c r="D8" s="358" t="inlineStr">
        <is>
          <t>Rp</t>
        </is>
      </c>
      <c r="E8" s="359">
        <f>E7-SUM('Revenue-Cost_2024'!N8:N581)</f>
        <v/>
      </c>
      <c r="F8" s="308" t="n"/>
    </row>
    <row r="9" ht="20" customHeight="1">
      <c r="A9" s="305" t="n"/>
      <c r="B9" s="356" t="n">
        <v>3</v>
      </c>
      <c r="C9" s="357" t="inlineStr">
        <is>
          <t>Biaya</t>
        </is>
      </c>
      <c r="D9" s="358" t="inlineStr">
        <is>
          <t>Rp</t>
        </is>
      </c>
      <c r="E9" s="359">
        <f>SUM('Revenue-Cost_2024'!I1495:Q1495)</f>
        <v/>
      </c>
      <c r="F9" s="308" t="n"/>
    </row>
    <row r="10" ht="20" customHeight="1">
      <c r="A10" s="305" t="n"/>
      <c r="B10" s="356" t="n">
        <v>4</v>
      </c>
      <c r="C10" s="357" t="inlineStr">
        <is>
          <t>Profit SebelumTax</t>
        </is>
      </c>
      <c r="D10" s="358" t="inlineStr">
        <is>
          <t>Rp</t>
        </is>
      </c>
      <c r="E10" s="359">
        <f>E7-E9</f>
        <v/>
      </c>
      <c r="F10" s="308" t="n"/>
    </row>
    <row r="11" ht="20" customHeight="1">
      <c r="A11" s="305" t="n"/>
      <c r="B11" s="356" t="n">
        <v>5</v>
      </c>
      <c r="C11" s="357" t="inlineStr">
        <is>
          <t>PPh Badan (22%*50%)</t>
        </is>
      </c>
      <c r="D11" s="358" t="inlineStr">
        <is>
          <t>Rp</t>
        </is>
      </c>
      <c r="E11" s="359">
        <f>E10*22%*50%</f>
        <v/>
      </c>
      <c r="F11" s="308" t="n"/>
    </row>
    <row r="12" ht="20" customHeight="1">
      <c r="A12" s="305" t="n"/>
      <c r="B12" s="356" t="n">
        <v>6</v>
      </c>
      <c r="C12" s="357" t="inlineStr">
        <is>
          <t>PPh 23 Dipotong oleh client</t>
        </is>
      </c>
      <c r="D12" s="358" t="inlineStr">
        <is>
          <t>Rp</t>
        </is>
      </c>
      <c r="E12" s="359">
        <f>SUM('Revenue-Cost_2024'!N8:N581)</f>
        <v/>
      </c>
      <c r="F12" s="308" t="n"/>
    </row>
    <row r="13" ht="20" customHeight="1">
      <c r="A13" s="305" t="n"/>
      <c r="B13" s="356" t="n">
        <v>7</v>
      </c>
      <c r="C13" s="357" t="inlineStr">
        <is>
          <t>Kekurangan Bayar PPh Badan</t>
        </is>
      </c>
      <c r="D13" s="358" t="inlineStr">
        <is>
          <t>Rp</t>
        </is>
      </c>
      <c r="E13" s="360">
        <f>E11-E12</f>
        <v/>
      </c>
      <c r="F13" s="308" t="n"/>
    </row>
    <row r="14" ht="20" customHeight="1">
      <c r="A14" s="305" t="n"/>
      <c r="B14" s="356" t="n">
        <v>8</v>
      </c>
      <c r="C14" s="357" t="inlineStr">
        <is>
          <t>Profit After Tax</t>
        </is>
      </c>
      <c r="D14" s="358" t="inlineStr">
        <is>
          <t>Rp</t>
        </is>
      </c>
      <c r="E14" s="359">
        <f>E10-E13</f>
        <v/>
      </c>
      <c r="F14" s="308" t="n"/>
    </row>
    <row r="15" ht="20" customHeight="1">
      <c r="A15" s="305" t="n"/>
      <c r="B15" s="356" t="n">
        <v>9</v>
      </c>
      <c r="C15" s="357" t="inlineStr">
        <is>
          <t>Deviden Dibagi</t>
        </is>
      </c>
      <c r="D15" s="358" t="inlineStr">
        <is>
          <t>Rp</t>
        </is>
      </c>
      <c r="E15" s="359">
        <f>E14-E16</f>
        <v/>
      </c>
      <c r="F15" s="308" t="n"/>
    </row>
    <row r="16" ht="20" customHeight="1">
      <c r="A16" s="305" t="n"/>
      <c r="B16" s="356" t="n">
        <v>10</v>
      </c>
      <c r="C16" s="357" t="inlineStr">
        <is>
          <t>Profit Ditahan</t>
        </is>
      </c>
      <c r="D16" s="358" t="inlineStr">
        <is>
          <t>Rp</t>
        </is>
      </c>
      <c r="E16" s="359" t="n">
        <v>53207545</v>
      </c>
      <c r="F16" s="308" t="n"/>
    </row>
    <row r="17" ht="13.9" customHeight="1">
      <c r="A17" s="305" t="n"/>
      <c r="B17" s="305" t="n"/>
      <c r="C17" s="305" t="n"/>
      <c r="D17" s="305" t="n"/>
      <c r="E17" s="306" t="n"/>
      <c r="F17" s="308" t="n"/>
    </row>
    <row r="18" ht="17.65" customHeight="1">
      <c r="A18" s="305" t="n"/>
      <c r="B18" s="361" t="inlineStr">
        <is>
          <t>DEVIDEN</t>
        </is>
      </c>
      <c r="F18" s="308" t="n"/>
    </row>
    <row r="19" ht="20" customHeight="1">
      <c r="A19" s="305" t="n"/>
      <c r="B19" s="362" t="inlineStr">
        <is>
          <t>#</t>
        </is>
      </c>
      <c r="C19" s="362" t="inlineStr">
        <is>
          <t>Nama Lengkap</t>
        </is>
      </c>
      <c r="D19" s="363" t="inlineStr">
        <is>
          <t>Rp</t>
        </is>
      </c>
      <c r="E19" s="364" t="inlineStr">
        <is>
          <t>Amount</t>
        </is>
      </c>
      <c r="F19" s="308" t="n"/>
      <c r="G19" s="365" t="inlineStr"/>
    </row>
    <row r="20" ht="20" customHeight="1">
      <c r="A20" s="305" t="n"/>
      <c r="B20" s="366" t="n">
        <v>1</v>
      </c>
      <c r="C20" s="367" t="inlineStr">
        <is>
          <t>Anevril Chairulsyah</t>
        </is>
      </c>
      <c r="D20" s="368" t="inlineStr">
        <is>
          <t>Rp</t>
        </is>
      </c>
      <c r="E20" s="369">
        <f>IF(C20="","",ROUND($E$15/COUNTA($C$20:$C$21), 0))</f>
        <v/>
      </c>
      <c r="F20" s="370" t="n"/>
      <c r="G20" s="371" t="inlineStr">
        <is>
          <t>Pajak 10%</t>
        </is>
      </c>
    </row>
    <row r="21" ht="20" customHeight="1">
      <c r="A21" s="372" t="n"/>
      <c r="B21" s="373" t="n">
        <v>2</v>
      </c>
      <c r="C21" s="374" t="inlineStr">
        <is>
          <t>Alan Muhadjir</t>
        </is>
      </c>
      <c r="D21" s="375" t="inlineStr">
        <is>
          <t>Rp</t>
        </is>
      </c>
      <c r="E21" s="376">
        <f>IF(C21="","",ROUND($E$15/COUNTA($C$20:$C$21), 0))</f>
        <v/>
      </c>
      <c r="F21" s="370" t="n"/>
      <c r="G21" s="377" t="inlineStr">
        <is>
          <t>Pajak 10%</t>
        </is>
      </c>
    </row>
    <row r="22" ht="14.25" customHeight="1">
      <c r="A22" s="372" t="n"/>
      <c r="B22" s="377" t="n"/>
      <c r="C22" s="377" t="n"/>
      <c r="D22" s="377" t="n"/>
      <c r="E22" s="377" t="n"/>
      <c r="F22" s="370" t="n"/>
      <c r="G22" s="377" t="n"/>
    </row>
    <row r="23">
      <c r="B23" s="377" t="n"/>
      <c r="C23" s="377" t="n"/>
      <c r="D23" s="377" t="n"/>
      <c r="E23" s="377" t="n"/>
      <c r="F23" s="377" t="n"/>
      <c r="G23" s="377" t="n"/>
    </row>
    <row r="24">
      <c r="B24" s="377" t="n"/>
      <c r="C24" s="377" t="n"/>
      <c r="D24" s="377" t="n"/>
      <c r="E24" s="377" t="n"/>
      <c r="F24" s="377" t="n"/>
      <c r="G24" s="377" t="n"/>
    </row>
    <row r="25">
      <c r="B25" s="377" t="n"/>
      <c r="C25" s="377" t="n"/>
      <c r="D25" s="377" t="n"/>
      <c r="E25" s="377" t="n"/>
      <c r="F25" s="377" t="n"/>
      <c r="G25" s="377" t="n"/>
    </row>
    <row r="26">
      <c r="B26" s="377" t="n"/>
      <c r="C26" s="377" t="n"/>
      <c r="D26" s="377" t="n"/>
      <c r="E26" s="377" t="n"/>
      <c r="F26" s="377" t="n"/>
      <c r="G26" s="377" t="n"/>
    </row>
    <row r="27">
      <c r="B27" s="377" t="n"/>
      <c r="C27" s="377" t="n"/>
      <c r="D27" s="377" t="n"/>
      <c r="E27" s="377" t="n"/>
      <c r="F27" s="377" t="n"/>
      <c r="G27" s="377" t="n"/>
    </row>
    <row r="28">
      <c r="B28" s="377" t="n"/>
      <c r="C28" s="377" t="n"/>
      <c r="D28" s="377" t="n"/>
      <c r="E28" s="377" t="n"/>
      <c r="F28" s="377" t="n"/>
      <c r="G28" s="377" t="n"/>
    </row>
    <row r="29">
      <c r="B29" s="377" t="n"/>
      <c r="C29" s="377" t="n"/>
      <c r="D29" s="377" t="n"/>
      <c r="E29" s="377" t="n"/>
      <c r="F29" s="377" t="n"/>
      <c r="G29" s="377" t="n"/>
    </row>
    <row r="30">
      <c r="B30" s="377" t="n"/>
      <c r="C30" s="377" t="n"/>
      <c r="D30" s="377" t="n"/>
      <c r="E30" s="377" t="n"/>
      <c r="F30" s="377" t="n"/>
      <c r="G30" s="377" t="n"/>
    </row>
    <row r="31">
      <c r="B31" s="377" t="n"/>
      <c r="C31" s="377" t="n"/>
      <c r="D31" s="377" t="n"/>
      <c r="E31" s="377" t="n"/>
      <c r="F31" s="377" t="n"/>
      <c r="G31" s="377" t="n"/>
    </row>
    <row r="32">
      <c r="B32" s="377" t="n"/>
      <c r="C32" s="377" t="n"/>
      <c r="D32" s="377" t="n"/>
      <c r="E32" s="377" t="n"/>
      <c r="F32" s="377" t="n"/>
      <c r="G32" s="377" t="n"/>
    </row>
    <row r="33">
      <c r="B33" s="377" t="n"/>
      <c r="C33" s="377" t="n"/>
      <c r="D33" s="377" t="n"/>
      <c r="E33" s="377" t="n"/>
      <c r="F33" s="377" t="n"/>
      <c r="G33" s="377" t="n"/>
    </row>
    <row r="34">
      <c r="B34" s="377" t="n"/>
      <c r="C34" s="377" t="n"/>
      <c r="D34" s="377" t="n"/>
      <c r="E34" s="377" t="n"/>
      <c r="F34" s="377" t="n"/>
      <c r="G34" s="377" t="n"/>
    </row>
    <row r="35">
      <c r="B35" s="377" t="n"/>
      <c r="C35" s="377" t="n"/>
      <c r="D35" s="377" t="n"/>
      <c r="E35" s="377" t="n"/>
      <c r="F35" s="377" t="n"/>
      <c r="G35" s="377" t="n"/>
    </row>
    <row r="36">
      <c r="B36" s="377" t="n"/>
      <c r="C36" s="377" t="n"/>
      <c r="D36" s="377" t="n"/>
      <c r="E36" s="377" t="n"/>
      <c r="F36" s="377" t="n"/>
      <c r="G36" s="377" t="n"/>
    </row>
    <row r="37">
      <c r="B37" s="377" t="n"/>
      <c r="C37" s="377" t="n"/>
      <c r="D37" s="377" t="n"/>
      <c r="E37" s="377" t="n"/>
      <c r="F37" s="377" t="n"/>
      <c r="G37" s="377" t="n"/>
    </row>
    <row r="38">
      <c r="B38" s="377" t="n"/>
      <c r="C38" s="377" t="n"/>
      <c r="D38" s="377" t="n"/>
      <c r="E38" s="377" t="n"/>
      <c r="F38" s="377" t="n"/>
      <c r="G38" s="377" t="n"/>
    </row>
    <row r="39">
      <c r="B39" s="377" t="n"/>
      <c r="C39" s="377" t="n"/>
      <c r="D39" s="377" t="n"/>
      <c r="E39" s="377" t="n"/>
      <c r="F39" s="377" t="n"/>
      <c r="G39" s="377" t="n"/>
    </row>
    <row r="40">
      <c r="B40" s="377" t="n"/>
      <c r="C40" s="377" t="n"/>
      <c r="D40" s="377" t="n"/>
      <c r="E40" s="377" t="n"/>
      <c r="F40" s="377" t="n"/>
      <c r="G40" s="377" t="n"/>
    </row>
    <row r="41">
      <c r="B41" s="377" t="n"/>
      <c r="C41" s="377" t="n"/>
      <c r="D41" s="377" t="n"/>
      <c r="E41" s="377" t="n"/>
      <c r="F41" s="377" t="n"/>
      <c r="G41" s="377" t="n"/>
    </row>
    <row r="42">
      <c r="B42" s="377" t="n"/>
      <c r="C42" s="377" t="n"/>
      <c r="D42" s="377" t="n"/>
      <c r="E42" s="377" t="n"/>
      <c r="F42" s="377" t="n"/>
      <c r="G42" s="377" t="n"/>
    </row>
    <row r="43">
      <c r="B43" s="377" t="n"/>
      <c r="C43" s="377" t="n"/>
      <c r="D43" s="377" t="n"/>
      <c r="E43" s="377" t="n"/>
      <c r="F43" s="377" t="n"/>
      <c r="G43" s="377" t="n"/>
    </row>
    <row r="44">
      <c r="B44" s="377" t="n"/>
      <c r="C44" s="377" t="n"/>
      <c r="D44" s="377" t="n"/>
      <c r="E44" s="377" t="n"/>
      <c r="F44" s="377" t="n"/>
      <c r="G44" s="377" t="n"/>
    </row>
    <row r="45">
      <c r="B45" s="377" t="n"/>
      <c r="C45" s="377" t="n"/>
      <c r="D45" s="377" t="n"/>
      <c r="E45" s="377" t="n"/>
      <c r="F45" s="377" t="n"/>
      <c r="G45" s="377" t="n"/>
    </row>
    <row r="46">
      <c r="B46" s="377" t="n"/>
      <c r="C46" s="377" t="n"/>
      <c r="D46" s="377" t="n"/>
      <c r="E46" s="377" t="n"/>
      <c r="F46" s="377" t="n"/>
      <c r="G46" s="377" t="n"/>
    </row>
    <row r="47">
      <c r="B47" s="377" t="n"/>
      <c r="C47" s="377" t="n"/>
      <c r="D47" s="377" t="n"/>
      <c r="E47" s="377" t="n"/>
      <c r="F47" s="377" t="n"/>
      <c r="G47" s="377" t="n"/>
    </row>
    <row r="48">
      <c r="B48" s="377" t="n"/>
      <c r="C48" s="377" t="n"/>
      <c r="D48" s="377" t="n"/>
      <c r="E48" s="377" t="n"/>
      <c r="F48" s="377" t="n"/>
      <c r="G48" s="377" t="n"/>
    </row>
    <row r="49">
      <c r="B49" s="377" t="n"/>
      <c r="C49" s="377" t="n"/>
      <c r="D49" s="377" t="n"/>
      <c r="E49" s="377" t="n"/>
      <c r="F49" s="377" t="n"/>
      <c r="G49" s="377" t="n"/>
    </row>
    <row r="50">
      <c r="B50" s="377" t="n"/>
      <c r="C50" s="377" t="n"/>
      <c r="D50" s="377" t="n"/>
      <c r="E50" s="377" t="n"/>
      <c r="F50" s="377" t="n"/>
      <c r="G50" s="377" t="n"/>
    </row>
    <row r="51">
      <c r="B51" s="377" t="n"/>
      <c r="C51" s="377" t="n"/>
      <c r="D51" s="377" t="n"/>
      <c r="E51" s="377" t="n"/>
      <c r="F51" s="377" t="n"/>
      <c r="G51" s="377" t="n"/>
    </row>
    <row r="52">
      <c r="B52" s="377" t="n"/>
      <c r="C52" s="377" t="n"/>
      <c r="D52" s="377" t="n"/>
      <c r="E52" s="377" t="n"/>
      <c r="F52" s="377" t="n"/>
      <c r="G52" s="377" t="n"/>
    </row>
    <row r="53">
      <c r="B53" s="377" t="n"/>
      <c r="C53" s="377" t="n"/>
      <c r="D53" s="377" t="n"/>
      <c r="E53" s="377" t="n"/>
      <c r="F53" s="377" t="n"/>
      <c r="G53" s="377" t="n"/>
    </row>
    <row r="54">
      <c r="B54" s="377" t="n"/>
      <c r="C54" s="377" t="n"/>
      <c r="D54" s="377" t="n"/>
      <c r="E54" s="377" t="n"/>
      <c r="F54" s="377" t="n"/>
      <c r="G54" s="377" t="n"/>
    </row>
    <row r="55">
      <c r="B55" s="377" t="n"/>
      <c r="C55" s="377" t="n"/>
      <c r="D55" s="377" t="n"/>
      <c r="E55" s="377" t="n"/>
      <c r="F55" s="377" t="n"/>
      <c r="G55" s="377" t="n"/>
    </row>
    <row r="56">
      <c r="B56" s="377" t="n"/>
      <c r="C56" s="377" t="n"/>
      <c r="D56" s="377" t="n"/>
      <c r="E56" s="377" t="n"/>
      <c r="F56" s="377" t="n"/>
      <c r="G56" s="377" t="n"/>
    </row>
    <row r="57">
      <c r="B57" s="377" t="n"/>
      <c r="C57" s="377" t="n"/>
      <c r="D57" s="377" t="n"/>
      <c r="E57" s="377" t="n"/>
      <c r="F57" s="377" t="n"/>
      <c r="G57" s="377" t="n"/>
    </row>
    <row r="58">
      <c r="B58" s="377" t="n"/>
      <c r="C58" s="377" t="n"/>
      <c r="D58" s="377" t="n"/>
      <c r="E58" s="377" t="n"/>
      <c r="F58" s="377" t="n"/>
      <c r="G58" s="377" t="n"/>
    </row>
    <row r="59">
      <c r="B59" s="377" t="n"/>
      <c r="C59" s="377" t="n"/>
      <c r="D59" s="377" t="n"/>
      <c r="E59" s="377" t="n"/>
      <c r="F59" s="377" t="n"/>
      <c r="G59" s="377" t="n"/>
    </row>
    <row r="60">
      <c r="B60" s="377" t="n"/>
      <c r="C60" s="377" t="n"/>
      <c r="D60" s="377" t="n"/>
      <c r="E60" s="377" t="n"/>
      <c r="F60" s="377" t="n"/>
      <c r="G60" s="377" t="n"/>
    </row>
    <row r="61">
      <c r="B61" s="377" t="n"/>
      <c r="C61" s="377" t="n"/>
      <c r="D61" s="377" t="n"/>
      <c r="E61" s="377" t="n"/>
      <c r="F61" s="377" t="n"/>
      <c r="G61" s="377" t="n"/>
    </row>
    <row r="62">
      <c r="B62" s="377" t="n"/>
      <c r="C62" s="377" t="n"/>
      <c r="D62" s="377" t="n"/>
      <c r="E62" s="377" t="n"/>
      <c r="F62" s="377" t="n"/>
      <c r="G62" s="377" t="n"/>
    </row>
    <row r="63" ht="64.5" customHeight="1">
      <c r="B63" s="377" t="n"/>
      <c r="C63" s="377" t="n"/>
      <c r="D63" s="377" t="n"/>
      <c r="E63" s="377" t="n"/>
      <c r="F63" s="377" t="n"/>
      <c r="G63" s="377" t="n"/>
    </row>
    <row r="64">
      <c r="B64" s="377" t="n"/>
      <c r="C64" s="377" t="n"/>
      <c r="D64" s="377" t="n"/>
      <c r="E64" s="377" t="n"/>
      <c r="F64" s="377" t="n"/>
      <c r="G64" s="377" t="n"/>
    </row>
    <row r="65">
      <c r="B65" s="377" t="n"/>
      <c r="C65" s="377" t="n"/>
      <c r="D65" s="377" t="n"/>
      <c r="E65" s="377" t="n"/>
      <c r="F65" s="377" t="n"/>
      <c r="G65" s="377" t="n"/>
    </row>
    <row r="66">
      <c r="B66" s="377" t="n"/>
      <c r="C66" s="377" t="n"/>
      <c r="D66" s="377" t="n"/>
      <c r="E66" s="377" t="n"/>
      <c r="F66" s="377" t="n"/>
      <c r="G66" s="377" t="n"/>
    </row>
    <row r="67">
      <c r="B67" s="377" t="n"/>
      <c r="C67" s="377" t="n"/>
      <c r="D67" s="377" t="n"/>
      <c r="E67" s="377" t="n"/>
      <c r="F67" s="377" t="n"/>
      <c r="G67" s="377" t="n"/>
    </row>
    <row r="68">
      <c r="B68" s="377" t="n"/>
      <c r="C68" s="377" t="n"/>
      <c r="D68" s="377" t="n"/>
      <c r="E68" s="377" t="n"/>
      <c r="F68" s="377" t="n"/>
      <c r="G68" s="377" t="n"/>
    </row>
    <row r="69">
      <c r="B69" s="377" t="n"/>
      <c r="C69" s="377" t="n"/>
      <c r="D69" s="377" t="n"/>
      <c r="E69" s="377" t="n"/>
      <c r="F69" s="377" t="n"/>
      <c r="G69" s="377" t="n"/>
    </row>
    <row r="70">
      <c r="B70" s="377" t="n"/>
      <c r="C70" s="377" t="n"/>
      <c r="D70" s="377" t="n"/>
      <c r="E70" s="377" t="n"/>
      <c r="F70" s="377" t="n"/>
      <c r="G70" s="377" t="n"/>
    </row>
    <row r="71">
      <c r="B71" s="377" t="n"/>
      <c r="C71" s="377" t="n"/>
      <c r="D71" s="377" t="n"/>
      <c r="E71" s="377" t="n"/>
      <c r="F71" s="377" t="n"/>
      <c r="G71" s="377" t="n"/>
    </row>
    <row r="72">
      <c r="B72" s="377" t="n"/>
      <c r="C72" s="377" t="n"/>
      <c r="D72" s="377" t="n"/>
      <c r="E72" s="377" t="n"/>
      <c r="F72" s="377" t="n"/>
      <c r="G72" s="377" t="n"/>
    </row>
    <row r="73">
      <c r="B73" s="377" t="n"/>
      <c r="C73" s="377" t="n"/>
      <c r="D73" s="377" t="n"/>
      <c r="E73" s="377" t="n"/>
      <c r="F73" s="377" t="n"/>
      <c r="G73" s="377" t="n"/>
    </row>
    <row r="74">
      <c r="B74" s="377" t="n"/>
      <c r="C74" s="377" t="n"/>
      <c r="D74" s="377" t="n"/>
      <c r="E74" s="377" t="n"/>
      <c r="F74" s="377" t="n"/>
      <c r="G74" s="377" t="n"/>
    </row>
    <row r="75">
      <c r="B75" s="377" t="n"/>
      <c r="C75" s="377" t="n"/>
      <c r="D75" s="377" t="n"/>
      <c r="E75" s="377" t="n"/>
      <c r="F75" s="377" t="n"/>
      <c r="G75" s="377" t="n"/>
    </row>
    <row r="76">
      <c r="B76" s="377" t="n"/>
      <c r="C76" s="377" t="n"/>
      <c r="D76" s="377" t="n"/>
      <c r="E76" s="377" t="n"/>
      <c r="F76" s="377" t="n"/>
      <c r="G76" s="377" t="n"/>
    </row>
    <row r="77">
      <c r="B77" s="377" t="n"/>
      <c r="C77" s="377" t="n"/>
      <c r="D77" s="377" t="n"/>
      <c r="E77" s="377" t="n"/>
      <c r="F77" s="377" t="n"/>
      <c r="G77" s="377" t="n"/>
    </row>
    <row r="78">
      <c r="B78" s="377" t="n"/>
      <c r="C78" s="377" t="n"/>
      <c r="D78" s="377" t="n"/>
      <c r="E78" s="377" t="n"/>
      <c r="F78" s="377" t="n"/>
      <c r="G78" s="377" t="n"/>
    </row>
    <row r="79">
      <c r="B79" s="377" t="n"/>
      <c r="C79" s="377" t="n"/>
      <c r="D79" s="377" t="n"/>
      <c r="E79" s="377" t="n"/>
      <c r="F79" s="377" t="n"/>
      <c r="G79" s="377" t="n"/>
    </row>
    <row r="80">
      <c r="B80" s="377" t="n"/>
      <c r="C80" s="377" t="n"/>
      <c r="D80" s="377" t="n"/>
      <c r="E80" s="377" t="n"/>
      <c r="F80" s="377" t="n"/>
      <c r="G80" s="37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2026-04-27T21:17:16Z</dcterms:modified>
  <cp:lastModifiedBy>Diofavian - Student</cp:lastModifiedBy>
</cp:coreProperties>
</file>