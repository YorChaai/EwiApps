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5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 ht="15.5" customHeight="1">
      <c r="B759" s="293" t="n">
        <v>45329</v>
      </c>
      <c r="C759" s="294" t="n">
        <v>221</v>
      </c>
      <c r="D759" s="295" t="inlineStr">
        <is>
          <t>Hotel Prabumulih 8 Feb- 7 Mar 2024 (1 Month)</t>
        </is>
      </c>
      <c r="E759" s="287" t="inlineStr">
        <is>
          <t>-</t>
        </is>
      </c>
      <c r="F759" s="296" t="n">
        <v>3300000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3300000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>
      <c r="B760" s="307" t="n"/>
      <c r="C760" s="307" t="n"/>
      <c r="D760" s="308" t="inlineStr">
        <is>
          <t>Allowance</t>
        </is>
      </c>
      <c r="E760" s="307" t="n"/>
      <c r="F760" s="307" t="n"/>
      <c r="G760" s="307" t="n"/>
      <c r="H760" s="307" t="n"/>
      <c r="I760" s="307" t="n"/>
      <c r="J760" s="307" t="n"/>
      <c r="K760" s="307" t="n"/>
      <c r="L760" s="307" t="n"/>
      <c r="M760" s="307" t="n"/>
      <c r="N760" s="307" t="n"/>
      <c r="O760" s="307" t="n"/>
      <c r="P760" s="307" t="n"/>
      <c r="Q760" s="30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 ht="15.5" customHeight="1">
      <c r="B761" s="293" t="n">
        <v>45355</v>
      </c>
      <c r="C761" s="294" t="n">
        <v>222</v>
      </c>
      <c r="D761" s="295" t="inlineStr">
        <is>
          <t>Tunjangan Lapangan for 27 days</t>
        </is>
      </c>
      <c r="E761" s="287" t="inlineStr">
        <is>
          <t>-</t>
        </is>
      </c>
      <c r="F761" s="296" t="n">
        <v>42589800</v>
      </c>
      <c r="G761" s="289" t="inlineStr">
        <is>
          <t>USD</t>
        </is>
      </c>
      <c r="H761" s="297" t="n">
        <v>15774</v>
      </c>
      <c r="I761" s="298" t="n"/>
      <c r="J761" s="298" t="n"/>
      <c r="K761" s="299" t="n"/>
      <c r="L761" s="300" t="n">
        <v>42589800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>
      <c r="B762" s="307" t="n"/>
      <c r="C762" s="307" t="n"/>
      <c r="D762" s="308" t="inlineStr">
        <is>
          <t>Hand Tools</t>
        </is>
      </c>
      <c r="E762" s="307" t="n"/>
      <c r="F762" s="307" t="n"/>
      <c r="G762" s="307" t="n"/>
      <c r="H762" s="307" t="n"/>
      <c r="I762" s="307" t="n"/>
      <c r="J762" s="307" t="n"/>
      <c r="K762" s="307" t="n"/>
      <c r="L762" s="307" t="n"/>
      <c r="M762" s="307" t="n"/>
      <c r="N762" s="307" t="n"/>
      <c r="O762" s="307" t="n"/>
      <c r="P762" s="307" t="n"/>
      <c r="Q762" s="30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 ht="15.5" customHeight="1">
      <c r="B763" s="293" t="n">
        <v>45344</v>
      </c>
      <c r="C763" s="294" t="n">
        <v>223</v>
      </c>
      <c r="D763" s="295" t="inlineStr">
        <is>
          <t>Gloves</t>
        </is>
      </c>
      <c r="E763" s="287" t="inlineStr">
        <is>
          <t>-</t>
        </is>
      </c>
      <c r="F763" s="296" t="n">
        <v>65000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287" t="n"/>
      <c r="M763" s="287" t="n"/>
      <c r="N763" s="300" t="n">
        <v>65000</v>
      </c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>
      <c r="B764" s="307" t="n"/>
      <c r="C764" s="307" t="n"/>
      <c r="D764" s="308" t="inlineStr">
        <is>
          <t>Laundry</t>
        </is>
      </c>
      <c r="E764" s="307" t="n"/>
      <c r="F764" s="307" t="n"/>
      <c r="G764" s="307" t="n"/>
      <c r="H764" s="307" t="n"/>
      <c r="I764" s="307" t="n"/>
      <c r="J764" s="307" t="n"/>
      <c r="K764" s="307" t="n"/>
      <c r="L764" s="307" t="n"/>
      <c r="M764" s="307" t="n"/>
      <c r="N764" s="307" t="n"/>
      <c r="O764" s="307" t="n"/>
      <c r="P764" s="307" t="n"/>
      <c r="Q764" s="30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 ht="15.5" customHeight="1">
      <c r="B765" s="293" t="n">
        <v>45355</v>
      </c>
      <c r="C765" s="294" t="n">
        <v>224</v>
      </c>
      <c r="D765" s="295" t="inlineStr">
        <is>
          <t>Laundry 27 days 1 Persons @ 50K IDR/day</t>
        </is>
      </c>
      <c r="E765" s="287" t="inlineStr">
        <is>
          <t>-</t>
        </is>
      </c>
      <c r="F765" s="296" t="n">
        <v>1350000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1350000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>
      <c r="B766" s="307" t="n"/>
      <c r="C766" s="307" t="n"/>
      <c r="D766" s="308" t="inlineStr">
        <is>
          <t>Meal</t>
        </is>
      </c>
      <c r="E766" s="307" t="n"/>
      <c r="F766" s="307" t="n"/>
      <c r="G766" s="307" t="n"/>
      <c r="H766" s="307" t="n"/>
      <c r="I766" s="307" t="n"/>
      <c r="J766" s="307" t="n"/>
      <c r="K766" s="307" t="n"/>
      <c r="L766" s="307" t="n"/>
      <c r="M766" s="307" t="n"/>
      <c r="N766" s="307" t="n"/>
      <c r="O766" s="307" t="n"/>
      <c r="P766" s="307" t="n"/>
      <c r="Q766" s="30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 ht="15.5" customHeight="1">
      <c r="B767" s="293" t="n">
        <v>45355</v>
      </c>
      <c r="C767" s="294" t="n">
        <v>225</v>
      </c>
      <c r="D767" s="295" t="inlineStr">
        <is>
          <t>Meals 27 days 1 Persons @ 150K IDR/day</t>
        </is>
      </c>
      <c r="E767" s="287" t="inlineStr">
        <is>
          <t>-</t>
        </is>
      </c>
      <c r="F767" s="296" t="n">
        <v>4050000</v>
      </c>
      <c r="G767" s="289" t="inlineStr">
        <is>
          <t>IDR</t>
        </is>
      </c>
      <c r="H767" s="297" t="n">
        <v>1</v>
      </c>
      <c r="I767" s="298" t="n"/>
      <c r="J767" s="298" t="n"/>
      <c r="K767" s="299" t="n"/>
      <c r="L767" s="300" t="n">
        <v>4050000</v>
      </c>
      <c r="M767" s="287" t="n"/>
      <c r="N767" s="287" t="n"/>
      <c r="O767" s="287" t="n"/>
      <c r="P767" s="287" t="n"/>
      <c r="Q767" s="28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>
      <c r="B768" s="307" t="n"/>
      <c r="C768" s="307" t="n"/>
      <c r="D768" s="308" t="inlineStr">
        <is>
          <t>Sparepart</t>
        </is>
      </c>
      <c r="E768" s="307" t="n"/>
      <c r="F768" s="307" t="n"/>
      <c r="G768" s="307" t="n"/>
      <c r="H768" s="307" t="n"/>
      <c r="I768" s="307" t="n"/>
      <c r="J768" s="307" t="n"/>
      <c r="K768" s="307" t="n"/>
      <c r="L768" s="307" t="n"/>
      <c r="M768" s="307" t="n"/>
      <c r="N768" s="307" t="n"/>
      <c r="O768" s="307" t="n"/>
      <c r="P768" s="307" t="n"/>
      <c r="Q768" s="30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 ht="15.5" customHeight="1">
      <c r="B769" s="293" t="n">
        <v>45350</v>
      </c>
      <c r="C769" s="294" t="n">
        <v>226</v>
      </c>
      <c r="D769" s="295" t="inlineStr">
        <is>
          <t>Internet Data</t>
        </is>
      </c>
      <c r="E769" s="287" t="inlineStr">
        <is>
          <t>-</t>
        </is>
      </c>
      <c r="F769" s="296" t="n">
        <v>87000</v>
      </c>
      <c r="G769" s="289" t="inlineStr">
        <is>
          <t>IDR</t>
        </is>
      </c>
      <c r="H769" s="297" t="n">
        <v>1</v>
      </c>
      <c r="I769" s="298" t="n"/>
      <c r="J769" s="298" t="n"/>
      <c r="K769" s="299" t="n"/>
      <c r="L769" s="287" t="n"/>
      <c r="M769" s="287" t="n"/>
      <c r="N769" s="300" t="n">
        <v>87000</v>
      </c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07" t="n"/>
      <c r="C770" s="307" t="n"/>
      <c r="D770" s="308" t="inlineStr">
        <is>
          <t>Transportation</t>
        </is>
      </c>
      <c r="E770" s="307" t="n"/>
      <c r="F770" s="307" t="n"/>
      <c r="G770" s="307" t="n"/>
      <c r="H770" s="307" t="n"/>
      <c r="I770" s="307" t="n"/>
      <c r="J770" s="307" t="n"/>
      <c r="K770" s="307" t="n"/>
      <c r="L770" s="307" t="n"/>
      <c r="M770" s="307" t="n"/>
      <c r="N770" s="307" t="n"/>
      <c r="O770" s="307" t="n"/>
      <c r="P770" s="307" t="n"/>
      <c r="Q770" s="30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45355</v>
      </c>
      <c r="C771" s="294" t="n">
        <v>227</v>
      </c>
      <c r="D771" s="295" t="inlineStr">
        <is>
          <t>Toll Fee</t>
        </is>
      </c>
      <c r="E771" s="287" t="inlineStr">
        <is>
          <t>-</t>
        </is>
      </c>
      <c r="F771" s="296" t="n">
        <v>378000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300" t="n">
        <v>378000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04" t="inlineStr">
        <is>
          <t>Expense#2</t>
        </is>
      </c>
      <c r="C772" s="305" t="inlineStr">
        <is>
          <t>:</t>
        </is>
      </c>
      <c r="D772" s="304" t="inlineStr">
        <is>
          <t>Training ALFA _TLJ-58 (PEPZ4-Prabumulih field_ Titis Maulana</t>
        </is>
      </c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  <c r="O772" s="306" t="n"/>
      <c r="P772" s="306" t="n"/>
      <c r="Q772" s="306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>
      <c r="B773" s="307" t="n"/>
      <c r="C773" s="307" t="n"/>
      <c r="D773" s="308" t="inlineStr">
        <is>
          <t>Hand Tools</t>
        </is>
      </c>
      <c r="E773" s="307" t="n"/>
      <c r="F773" s="307" t="n"/>
      <c r="G773" s="307" t="n"/>
      <c r="H773" s="307" t="n"/>
      <c r="I773" s="307" t="n"/>
      <c r="J773" s="307" t="n"/>
      <c r="K773" s="307" t="n"/>
      <c r="L773" s="307" t="n"/>
      <c r="M773" s="307" t="n"/>
      <c r="N773" s="307" t="n"/>
      <c r="O773" s="307" t="n"/>
      <c r="P773" s="307" t="n"/>
      <c r="Q773" s="30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 ht="15.5" customHeight="1">
      <c r="B774" s="293" t="n">
        <v>45324</v>
      </c>
      <c r="C774" s="294" t="n">
        <v>228</v>
      </c>
      <c r="D774" s="295" t="inlineStr">
        <is>
          <t>Safety Shoes</t>
        </is>
      </c>
      <c r="E774" s="287" t="inlineStr">
        <is>
          <t>-</t>
        </is>
      </c>
      <c r="F774" s="296" t="n">
        <v>499940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499940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07" t="n"/>
      <c r="C775" s="307" t="n"/>
      <c r="D775" s="308" t="inlineStr">
        <is>
          <t>Laundry</t>
        </is>
      </c>
      <c r="E775" s="307" t="n"/>
      <c r="F775" s="307" t="n"/>
      <c r="G775" s="307" t="n"/>
      <c r="H775" s="307" t="n"/>
      <c r="I775" s="307" t="n"/>
      <c r="J775" s="307" t="n"/>
      <c r="K775" s="307" t="n"/>
      <c r="L775" s="307" t="n"/>
      <c r="M775" s="307" t="n"/>
      <c r="N775" s="307" t="n"/>
      <c r="O775" s="307" t="n"/>
      <c r="P775" s="307" t="n"/>
      <c r="Q775" s="30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45358</v>
      </c>
      <c r="C776" s="294" t="n">
        <v>229</v>
      </c>
      <c r="D776" s="295" t="inlineStr">
        <is>
          <t>Laundry 30 days 1 Persons @ 50K IDR/day</t>
        </is>
      </c>
      <c r="E776" s="287" t="inlineStr">
        <is>
          <t>-</t>
        </is>
      </c>
      <c r="F776" s="296" t="n">
        <v>1500000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300" t="n">
        <v>1500000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07" t="n"/>
      <c r="C777" s="307" t="n"/>
      <c r="D777" s="308" t="inlineStr">
        <is>
          <t>Logistic</t>
        </is>
      </c>
      <c r="E777" s="307" t="n"/>
      <c r="F777" s="307" t="n"/>
      <c r="G777" s="307" t="n"/>
      <c r="H777" s="307" t="n"/>
      <c r="I777" s="307" t="n"/>
      <c r="J777" s="307" t="n"/>
      <c r="K777" s="307" t="n"/>
      <c r="L777" s="307" t="n"/>
      <c r="M777" s="307" t="n"/>
      <c r="N777" s="307" t="n"/>
      <c r="O777" s="307" t="n"/>
      <c r="P777" s="307" t="n"/>
      <c r="Q777" s="30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45358</v>
      </c>
      <c r="C778" s="294" t="n">
        <v>230</v>
      </c>
      <c r="D778" s="295" t="inlineStr">
        <is>
          <t>Extra Baggage</t>
        </is>
      </c>
      <c r="E778" s="287" t="inlineStr">
        <is>
          <t>-</t>
        </is>
      </c>
      <c r="F778" s="296" t="n">
        <v>540000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540000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07" t="n"/>
      <c r="C779" s="307" t="n"/>
      <c r="D779" s="308" t="inlineStr">
        <is>
          <t>Meal</t>
        </is>
      </c>
      <c r="E779" s="307" t="n"/>
      <c r="F779" s="307" t="n"/>
      <c r="G779" s="307" t="n"/>
      <c r="H779" s="307" t="n"/>
      <c r="I779" s="307" t="n"/>
      <c r="J779" s="307" t="n"/>
      <c r="K779" s="307" t="n"/>
      <c r="L779" s="307" t="n"/>
      <c r="M779" s="307" t="n"/>
      <c r="N779" s="307" t="n"/>
      <c r="O779" s="307" t="n"/>
      <c r="P779" s="307" t="n"/>
      <c r="Q779" s="30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45358</v>
      </c>
      <c r="C780" s="294" t="n">
        <v>231</v>
      </c>
      <c r="D780" s="295" t="inlineStr">
        <is>
          <t>Meals 30 days 1 Persons @ 150K IDR/day</t>
        </is>
      </c>
      <c r="E780" s="287" t="inlineStr">
        <is>
          <t>-</t>
        </is>
      </c>
      <c r="F780" s="296" t="n">
        <v>4500000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4500000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07" t="n"/>
      <c r="C781" s="307" t="n"/>
      <c r="D781" s="308" t="inlineStr">
        <is>
          <t>Sparepart</t>
        </is>
      </c>
      <c r="E781" s="307" t="n"/>
      <c r="F781" s="307" t="n"/>
      <c r="G781" s="307" t="n"/>
      <c r="H781" s="307" t="n"/>
      <c r="I781" s="307" t="n"/>
      <c r="J781" s="307" t="n"/>
      <c r="K781" s="307" t="n"/>
      <c r="L781" s="307" t="n"/>
      <c r="M781" s="307" t="n"/>
      <c r="N781" s="307" t="n"/>
      <c r="O781" s="307" t="n"/>
      <c r="P781" s="307" t="n"/>
      <c r="Q781" s="30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 ht="15.5" customHeight="1">
      <c r="B782" s="293" t="n">
        <v>45354</v>
      </c>
      <c r="C782" s="294" t="n">
        <v>232</v>
      </c>
      <c r="D782" s="295" t="inlineStr">
        <is>
          <t>Internet Data</t>
        </is>
      </c>
      <c r="E782" s="287" t="inlineStr">
        <is>
          <t>-</t>
        </is>
      </c>
      <c r="F782" s="296" t="n">
        <v>70000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70000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>
      <c r="B783" s="307" t="n"/>
      <c r="C783" s="307" t="n"/>
      <c r="D783" s="308" t="inlineStr">
        <is>
          <t>Transportation</t>
        </is>
      </c>
      <c r="E783" s="307" t="n"/>
      <c r="F783" s="307" t="n"/>
      <c r="G783" s="307" t="n"/>
      <c r="H783" s="307" t="n"/>
      <c r="I783" s="307" t="n"/>
      <c r="J783" s="307" t="n"/>
      <c r="K783" s="307" t="n"/>
      <c r="L783" s="307" t="n"/>
      <c r="M783" s="307" t="n"/>
      <c r="N783" s="307" t="n"/>
      <c r="O783" s="307" t="n"/>
      <c r="P783" s="307" t="n"/>
      <c r="Q783" s="30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 ht="15.5" customHeight="1">
      <c r="B784" s="293" t="n">
        <v>45358</v>
      </c>
      <c r="C784" s="294" t="n">
        <v>233</v>
      </c>
      <c r="D784" s="295" t="inlineStr">
        <is>
          <t>Tunjangan Lapangan (Training) untuk 27 days</t>
        </is>
      </c>
      <c r="E784" s="287" t="inlineStr">
        <is>
          <t>-</t>
        </is>
      </c>
      <c r="F784" s="296" t="n">
        <v>11705250</v>
      </c>
      <c r="G784" s="289" t="inlineStr">
        <is>
          <t>USD</t>
        </is>
      </c>
      <c r="H784" s="297" t="n">
        <v>15607</v>
      </c>
      <c r="I784" s="298" t="n"/>
      <c r="J784" s="298" t="n"/>
      <c r="K784" s="299" t="n"/>
      <c r="L784" s="300" t="n">
        <v>11705250</v>
      </c>
      <c r="M784" s="287" t="n"/>
      <c r="N784" s="287" t="n"/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04" t="inlineStr">
        <is>
          <t>Expense#3</t>
        </is>
      </c>
      <c r="C785" s="305" t="inlineStr">
        <is>
          <t>:</t>
        </is>
      </c>
      <c r="D785" s="304" t="inlineStr">
        <is>
          <t>MPLT (SAKA-UjungPangkah field) GOWell - TGE _IC</t>
        </is>
      </c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  <c r="O785" s="306" t="n"/>
      <c r="P785" s="306" t="n"/>
      <c r="Q785" s="306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>
      <c r="B786" s="307" t="n"/>
      <c r="C786" s="307" t="n"/>
      <c r="D786" s="308" t="inlineStr">
        <is>
          <t>Allowance</t>
        </is>
      </c>
      <c r="E786" s="307" t="n"/>
      <c r="F786" s="307" t="n"/>
      <c r="G786" s="307" t="n"/>
      <c r="H786" s="307" t="n"/>
      <c r="I786" s="307" t="n"/>
      <c r="J786" s="307" t="n"/>
      <c r="K786" s="307" t="n"/>
      <c r="L786" s="307" t="n"/>
      <c r="M786" s="307" t="n"/>
      <c r="N786" s="307" t="n"/>
      <c r="O786" s="307" t="n"/>
      <c r="P786" s="307" t="n"/>
      <c r="Q786" s="30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 ht="15.5" customHeight="1">
      <c r="B787" s="293" t="n">
        <v>45375</v>
      </c>
      <c r="C787" s="294" t="n">
        <v>234</v>
      </c>
      <c r="D787" s="295" t="inlineStr">
        <is>
          <t>Tunjangan Lapangan untuk 6 days</t>
        </is>
      </c>
      <c r="E787" s="287" t="inlineStr">
        <is>
          <t>-</t>
        </is>
      </c>
      <c r="F787" s="296" t="n">
        <v>9501000</v>
      </c>
      <c r="G787" s="289" t="inlineStr">
        <is>
          <t>USD</t>
        </is>
      </c>
      <c r="H787" s="297" t="n">
        <v>15835</v>
      </c>
      <c r="I787" s="298" t="n"/>
      <c r="J787" s="298" t="n"/>
      <c r="K787" s="299" t="n"/>
      <c r="L787" s="300" t="n">
        <v>9501000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>
      <c r="B788" s="307" t="n"/>
      <c r="C788" s="307" t="n"/>
      <c r="D788" s="308" t="inlineStr">
        <is>
          <t>Laundry</t>
        </is>
      </c>
      <c r="E788" s="307" t="n"/>
      <c r="F788" s="307" t="n"/>
      <c r="G788" s="307" t="n"/>
      <c r="H788" s="307" t="n"/>
      <c r="I788" s="307" t="n"/>
      <c r="J788" s="307" t="n"/>
      <c r="K788" s="307" t="n"/>
      <c r="L788" s="307" t="n"/>
      <c r="M788" s="307" t="n"/>
      <c r="N788" s="307" t="n"/>
      <c r="O788" s="307" t="n"/>
      <c r="P788" s="307" t="n"/>
      <c r="Q788" s="30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 ht="15.5" customHeight="1">
      <c r="B789" s="293" t="n">
        <v>45375</v>
      </c>
      <c r="C789" s="294" t="n">
        <v>235</v>
      </c>
      <c r="D789" s="295" t="inlineStr">
        <is>
          <t>Laundry 6 days 1 Persons @ 50K IDR/day</t>
        </is>
      </c>
      <c r="E789" s="287" t="inlineStr">
        <is>
          <t>-</t>
        </is>
      </c>
      <c r="F789" s="296" t="n">
        <v>300000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300000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 ht="15.5" customHeight="1">
      <c r="B791" s="293" t="n">
        <v>45375</v>
      </c>
      <c r="C791" s="294" t="n">
        <v>236</v>
      </c>
      <c r="D791" s="295" t="inlineStr">
        <is>
          <t>Meals 6 days 1 Persons @ 150K IDR/day</t>
        </is>
      </c>
      <c r="E791" s="287" t="inlineStr">
        <is>
          <t>-</t>
        </is>
      </c>
      <c r="F791" s="296" t="n">
        <v>900000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900000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>
      <c r="B792" s="307" t="n"/>
      <c r="C792" s="307" t="n"/>
      <c r="D792" s="308" t="inlineStr">
        <is>
          <t>Transportation</t>
        </is>
      </c>
      <c r="E792" s="307" t="n"/>
      <c r="F792" s="307" t="n"/>
      <c r="G792" s="307" t="n"/>
      <c r="H792" s="307" t="n"/>
      <c r="I792" s="307" t="n"/>
      <c r="J792" s="307" t="n"/>
      <c r="K792" s="307" t="n"/>
      <c r="L792" s="307" t="n"/>
      <c r="M792" s="307" t="n"/>
      <c r="N792" s="307" t="n"/>
      <c r="O792" s="307" t="n"/>
      <c r="P792" s="307" t="n"/>
      <c r="Q792" s="30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 ht="15.5" customHeight="1">
      <c r="B793" s="293" t="n">
        <v>45375</v>
      </c>
      <c r="C793" s="294" t="n">
        <v>237</v>
      </c>
      <c r="D793" s="295" t="inlineStr">
        <is>
          <t>Taxi CGK-Bintaro</t>
        </is>
      </c>
      <c r="E793" s="287" t="inlineStr">
        <is>
          <t>-</t>
        </is>
      </c>
      <c r="F793" s="296" t="n">
        <v>250000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250000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>
      <c r="B794" s="304" t="inlineStr">
        <is>
          <t>Expense#4</t>
        </is>
      </c>
      <c r="C794" s="305" t="inlineStr">
        <is>
          <t>:</t>
        </is>
      </c>
      <c r="D794" s="304" t="inlineStr">
        <is>
          <t>Non project (3rd) _ Ivan Chairulsyah</t>
        </is>
      </c>
      <c r="E794" s="306" t="n"/>
      <c r="F794" s="306" t="n"/>
      <c r="G794" s="306" t="n"/>
      <c r="H794" s="306" t="n"/>
      <c r="I794" s="306" t="n"/>
      <c r="J794" s="306" t="n"/>
      <c r="K794" s="306" t="n"/>
      <c r="L794" s="306" t="n"/>
      <c r="M794" s="306" t="n"/>
      <c r="N794" s="306" t="n"/>
      <c r="O794" s="306" t="n"/>
      <c r="P794" s="306" t="n"/>
      <c r="Q794" s="306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07" t="n"/>
      <c r="C795" s="307" t="n"/>
      <c r="D795" s="308" t="inlineStr">
        <is>
          <t>Elektronik &amp; Gadget</t>
        </is>
      </c>
      <c r="E795" s="307" t="n"/>
      <c r="F795" s="307" t="n"/>
      <c r="G795" s="307" t="n"/>
      <c r="H795" s="307" t="n"/>
      <c r="I795" s="307" t="n"/>
      <c r="J795" s="307" t="n"/>
      <c r="K795" s="307" t="n"/>
      <c r="L795" s="307" t="n"/>
      <c r="M795" s="307" t="n"/>
      <c r="N795" s="307" t="n"/>
      <c r="O795" s="307" t="n"/>
      <c r="P795" s="307" t="n"/>
      <c r="Q795" s="30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45369</v>
      </c>
      <c r="C796" s="294" t="n">
        <v>238</v>
      </c>
      <c r="D796" s="295" t="inlineStr">
        <is>
          <t>Buy Fluke-117</t>
        </is>
      </c>
      <c r="E796" s="287" t="inlineStr">
        <is>
          <t>-</t>
        </is>
      </c>
      <c r="F796" s="296" t="n">
        <v>4332000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287" t="n"/>
      <c r="M796" s="287" t="n"/>
      <c r="N796" s="300" t="n">
        <v>4332000</v>
      </c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07" t="n"/>
      <c r="C797" s="307" t="n"/>
      <c r="D797" s="308" t="inlineStr">
        <is>
          <t>Hand Tools</t>
        </is>
      </c>
      <c r="E797" s="307" t="n"/>
      <c r="F797" s="307" t="n"/>
      <c r="G797" s="307" t="n"/>
      <c r="H797" s="307" t="n"/>
      <c r="I797" s="307" t="n"/>
      <c r="J797" s="307" t="n"/>
      <c r="K797" s="307" t="n"/>
      <c r="L797" s="307" t="n"/>
      <c r="M797" s="307" t="n"/>
      <c r="N797" s="307" t="n"/>
      <c r="O797" s="307" t="n"/>
      <c r="P797" s="307" t="n"/>
      <c r="Q797" s="30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45370</v>
      </c>
      <c r="C798" s="294" t="n">
        <v>239</v>
      </c>
      <c r="D798" s="295" t="inlineStr">
        <is>
          <t>Send Tool from Gowell to TGE</t>
        </is>
      </c>
      <c r="E798" s="287" t="inlineStr">
        <is>
          <t>-</t>
        </is>
      </c>
      <c r="F798" s="296" t="n">
        <v>168732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168732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04" t="inlineStr">
        <is>
          <t>Expense#5</t>
        </is>
      </c>
      <c r="C799" s="305" t="inlineStr">
        <is>
          <t>:</t>
        </is>
      </c>
      <c r="D799" s="304" t="inlineStr">
        <is>
          <t>MCU RS PP _Titis Maulana</t>
        </is>
      </c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  <c r="O799" s="306" t="n"/>
      <c r="P799" s="306" t="n"/>
      <c r="Q799" s="306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>
      <c r="B800" s="307" t="n"/>
      <c r="C800" s="307" t="n"/>
      <c r="D800" s="308" t="inlineStr">
        <is>
          <t>Medical</t>
        </is>
      </c>
      <c r="E800" s="307" t="n"/>
      <c r="F800" s="307" t="n"/>
      <c r="G800" s="307" t="n"/>
      <c r="H800" s="307" t="n"/>
      <c r="I800" s="307" t="n"/>
      <c r="J800" s="307" t="n"/>
      <c r="K800" s="307" t="n"/>
      <c r="L800" s="307" t="n"/>
      <c r="M800" s="307" t="n"/>
      <c r="N800" s="307" t="n"/>
      <c r="O800" s="307" t="n"/>
      <c r="P800" s="307" t="n"/>
      <c r="Q800" s="30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 ht="15.5" customHeight="1">
      <c r="B801" s="293" t="n">
        <v>45384</v>
      </c>
      <c r="C801" s="294" t="n">
        <v>240</v>
      </c>
      <c r="D801" s="295" t="inlineStr">
        <is>
          <t>MCU RS PP</t>
        </is>
      </c>
      <c r="E801" s="287" t="inlineStr">
        <is>
          <t>-</t>
        </is>
      </c>
      <c r="F801" s="296" t="n">
        <v>5407000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287" t="n"/>
      <c r="O801" s="287" t="n"/>
      <c r="P801" s="300" t="n">
        <v>5407000</v>
      </c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04" t="inlineStr">
        <is>
          <t>Expense#6</t>
        </is>
      </c>
      <c r="C802" s="305" t="inlineStr">
        <is>
          <t>:</t>
        </is>
      </c>
      <c r="D802" s="304" t="inlineStr">
        <is>
          <t>MPLT (SAKA-UjungPangkah field) by TGE - GOWell project_IC</t>
        </is>
      </c>
      <c r="E802" s="306" t="n"/>
      <c r="F802" s="306" t="n"/>
      <c r="G802" s="306" t="n"/>
      <c r="H802" s="306" t="n"/>
      <c r="I802" s="306" t="n"/>
      <c r="J802" s="306" t="n"/>
      <c r="K802" s="306" t="n"/>
      <c r="L802" s="306" t="n"/>
      <c r="M802" s="306" t="n"/>
      <c r="N802" s="306" t="n"/>
      <c r="O802" s="306" t="n"/>
      <c r="P802" s="306" t="n"/>
      <c r="Q802" s="306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>
      <c r="B803" s="307" t="n"/>
      <c r="C803" s="307" t="n"/>
      <c r="D803" s="308" t="inlineStr">
        <is>
          <t>Biaya Operasi Lain-lain</t>
        </is>
      </c>
      <c r="E803" s="307" t="n"/>
      <c r="F803" s="307" t="n"/>
      <c r="G803" s="307" t="n"/>
      <c r="H803" s="307" t="n"/>
      <c r="I803" s="307" t="n"/>
      <c r="J803" s="307" t="n"/>
      <c r="K803" s="307" t="n"/>
      <c r="L803" s="307" t="n"/>
      <c r="M803" s="307" t="n"/>
      <c r="N803" s="307" t="n"/>
      <c r="O803" s="307" t="n"/>
      <c r="P803" s="307" t="n"/>
      <c r="Q803" s="30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 ht="15.5" customHeight="1">
      <c r="B804" s="293" t="n">
        <v>45407</v>
      </c>
      <c r="C804" s="294" t="n">
        <v>241</v>
      </c>
      <c r="D804" s="295" t="inlineStr">
        <is>
          <t>Send MPLT TGE - Gowell</t>
        </is>
      </c>
      <c r="E804" s="287" t="inlineStr">
        <is>
          <t>-</t>
        </is>
      </c>
      <c r="F804" s="296" t="n">
        <v>167297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300" t="n">
        <v>167297</v>
      </c>
      <c r="M804" s="287" t="n"/>
      <c r="N804" s="287" t="n"/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>
      <c r="B805" s="307" t="n"/>
      <c r="C805" s="307" t="n"/>
      <c r="D805" s="308" t="inlineStr">
        <is>
          <t>Laundry</t>
        </is>
      </c>
      <c r="E805" s="307" t="n"/>
      <c r="F805" s="307" t="n"/>
      <c r="G805" s="307" t="n"/>
      <c r="H805" s="307" t="n"/>
      <c r="I805" s="307" t="n"/>
      <c r="J805" s="307" t="n"/>
      <c r="K805" s="307" t="n"/>
      <c r="L805" s="307" t="n"/>
      <c r="M805" s="307" t="n"/>
      <c r="N805" s="307" t="n"/>
      <c r="O805" s="307" t="n"/>
      <c r="P805" s="307" t="n"/>
      <c r="Q805" s="30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 ht="15.5" customHeight="1">
      <c r="B806" s="293" t="n">
        <v>45402</v>
      </c>
      <c r="C806" s="294" t="n">
        <v>242</v>
      </c>
      <c r="D806" s="295" t="inlineStr">
        <is>
          <t>Laundry 5 days 1 Persons @ 50K IDR/day</t>
        </is>
      </c>
      <c r="E806" s="287" t="inlineStr">
        <is>
          <t>-</t>
        </is>
      </c>
      <c r="F806" s="296" t="n">
        <v>250000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300" t="n">
        <v>250000</v>
      </c>
      <c r="M806" s="287" t="n"/>
      <c r="N806" s="287" t="n"/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>
      <c r="B807" s="307" t="n"/>
      <c r="C807" s="307" t="n"/>
      <c r="D807" s="308" t="inlineStr">
        <is>
          <t>Meal</t>
        </is>
      </c>
      <c r="E807" s="307" t="n"/>
      <c r="F807" s="307" t="n"/>
      <c r="G807" s="307" t="n"/>
      <c r="H807" s="307" t="n"/>
      <c r="I807" s="307" t="n"/>
      <c r="J807" s="307" t="n"/>
      <c r="K807" s="307" t="n"/>
      <c r="L807" s="307" t="n"/>
      <c r="M807" s="307" t="n"/>
      <c r="N807" s="307" t="n"/>
      <c r="O807" s="307" t="n"/>
      <c r="P807" s="307" t="n"/>
      <c r="Q807" s="30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 ht="15.5" customHeight="1">
      <c r="B808" s="293" t="n">
        <v>45402</v>
      </c>
      <c r="C808" s="294" t="n">
        <v>243</v>
      </c>
      <c r="D808" s="295" t="inlineStr">
        <is>
          <t>Meals 5 days 1 Persons @ 150K IDR/day</t>
        </is>
      </c>
      <c r="E808" s="287" t="inlineStr">
        <is>
          <t>-</t>
        </is>
      </c>
      <c r="F808" s="296" t="n">
        <v>750000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300" t="n">
        <v>750000</v>
      </c>
      <c r="M808" s="287" t="n"/>
      <c r="N808" s="287" t="n"/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07" t="n"/>
      <c r="C809" s="307" t="n"/>
      <c r="D809" s="308" t="inlineStr">
        <is>
          <t>Transportation</t>
        </is>
      </c>
      <c r="E809" s="307" t="n"/>
      <c r="F809" s="307" t="n"/>
      <c r="G809" s="307" t="n"/>
      <c r="H809" s="307" t="n"/>
      <c r="I809" s="307" t="n"/>
      <c r="J809" s="307" t="n"/>
      <c r="K809" s="307" t="n"/>
      <c r="L809" s="307" t="n"/>
      <c r="M809" s="307" t="n"/>
      <c r="N809" s="307" t="n"/>
      <c r="O809" s="307" t="n"/>
      <c r="P809" s="307" t="n"/>
      <c r="Q809" s="30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45402</v>
      </c>
      <c r="C810" s="294" t="n">
        <v>244</v>
      </c>
      <c r="D810" s="295" t="inlineStr">
        <is>
          <t>Taxi CGK-Bintaro</t>
        </is>
      </c>
      <c r="E810" s="287" t="inlineStr">
        <is>
          <t>-</t>
        </is>
      </c>
      <c r="F810" s="296" t="n">
        <v>250000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300" t="n">
        <v>250000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04" t="inlineStr">
        <is>
          <t>Expense#7</t>
        </is>
      </c>
      <c r="C811" s="305" t="inlineStr">
        <is>
          <t>:</t>
        </is>
      </c>
      <c r="D811" s="304" t="inlineStr">
        <is>
          <t>PLT SRO_ TGB-33 (Jatibarang Field) Elnusa _ IC</t>
        </is>
      </c>
      <c r="E811" s="306" t="n"/>
      <c r="F811" s="306" t="n"/>
      <c r="G811" s="306" t="n"/>
      <c r="H811" s="306" t="n"/>
      <c r="I811" s="306" t="n"/>
      <c r="J811" s="306" t="n"/>
      <c r="K811" s="306" t="n"/>
      <c r="L811" s="306" t="n"/>
      <c r="M811" s="306" t="n"/>
      <c r="N811" s="306" t="n"/>
      <c r="O811" s="306" t="n"/>
      <c r="P811" s="306" t="n"/>
      <c r="Q811" s="306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>
      <c r="B812" s="307" t="n"/>
      <c r="C812" s="307" t="n"/>
      <c r="D812" s="308" t="inlineStr">
        <is>
          <t>Accommodation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 ht="15.5" customHeight="1">
      <c r="B813" s="293" t="n">
        <v>45410</v>
      </c>
      <c r="C813" s="294" t="n">
        <v>245</v>
      </c>
      <c r="D813" s="295" t="inlineStr">
        <is>
          <t>Hotel 2 days</t>
        </is>
      </c>
      <c r="E813" s="287" t="inlineStr">
        <is>
          <t>-</t>
        </is>
      </c>
      <c r="F813" s="296" t="n">
        <v>1357481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1357481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>
      <c r="B814" s="307" t="n"/>
      <c r="C814" s="307" t="n"/>
      <c r="D814" s="308" t="inlineStr">
        <is>
          <t>Allowance</t>
        </is>
      </c>
      <c r="E814" s="307" t="n"/>
      <c r="F814" s="307" t="n"/>
      <c r="G814" s="307" t="n"/>
      <c r="H814" s="307" t="n"/>
      <c r="I814" s="307" t="n"/>
      <c r="J814" s="307" t="n"/>
      <c r="K814" s="307" t="n"/>
      <c r="L814" s="307" t="n"/>
      <c r="M814" s="307" t="n"/>
      <c r="N814" s="307" t="n"/>
      <c r="O814" s="307" t="n"/>
      <c r="P814" s="307" t="n"/>
      <c r="Q814" s="30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 ht="15.5" customHeight="1">
      <c r="B815" s="293" t="n">
        <v>45410</v>
      </c>
      <c r="C815" s="294" t="n">
        <v>246</v>
      </c>
      <c r="D815" s="295" t="inlineStr">
        <is>
          <t>Tunjangan Lapangan for 2 days</t>
        </is>
      </c>
      <c r="E815" s="287" t="inlineStr">
        <is>
          <t>-</t>
        </is>
      </c>
      <c r="F815" s="296" t="n">
        <v>3251400</v>
      </c>
      <c r="G815" s="289" t="inlineStr">
        <is>
          <t>USD</t>
        </is>
      </c>
      <c r="H815" s="297" t="n">
        <v>16257</v>
      </c>
      <c r="I815" s="298" t="n"/>
      <c r="J815" s="298" t="n"/>
      <c r="K815" s="299" t="n"/>
      <c r="L815" s="300" t="n">
        <v>3251400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>
      <c r="B816" s="307" t="n"/>
      <c r="C816" s="307" t="n"/>
      <c r="D816" s="308" t="inlineStr">
        <is>
          <t>Laundry</t>
        </is>
      </c>
      <c r="E816" s="307" t="n"/>
      <c r="F816" s="307" t="n"/>
      <c r="G816" s="307" t="n"/>
      <c r="H816" s="307" t="n"/>
      <c r="I816" s="307" t="n"/>
      <c r="J816" s="307" t="n"/>
      <c r="K816" s="307" t="n"/>
      <c r="L816" s="307" t="n"/>
      <c r="M816" s="307" t="n"/>
      <c r="N816" s="307" t="n"/>
      <c r="O816" s="307" t="n"/>
      <c r="P816" s="307" t="n"/>
      <c r="Q816" s="30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 ht="15.5" customHeight="1">
      <c r="B817" s="293" t="n">
        <v>45410</v>
      </c>
      <c r="C817" s="294" t="n">
        <v>247</v>
      </c>
      <c r="D817" s="295" t="inlineStr">
        <is>
          <t>Laundry 2 days</t>
        </is>
      </c>
      <c r="E817" s="287" t="inlineStr">
        <is>
          <t>-</t>
        </is>
      </c>
      <c r="F817" s="296" t="n">
        <v>100000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100000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07" t="n"/>
      <c r="C818" s="307" t="n"/>
      <c r="D818" s="308" t="inlineStr">
        <is>
          <t>Meal</t>
        </is>
      </c>
      <c r="E818" s="307" t="n"/>
      <c r="F818" s="307" t="n"/>
      <c r="G818" s="307" t="n"/>
      <c r="H818" s="307" t="n"/>
      <c r="I818" s="307" t="n"/>
      <c r="J818" s="307" t="n"/>
      <c r="K818" s="307" t="n"/>
      <c r="L818" s="307" t="n"/>
      <c r="M818" s="307" t="n"/>
      <c r="N818" s="307" t="n"/>
      <c r="O818" s="307" t="n"/>
      <c r="P818" s="307" t="n"/>
      <c r="Q818" s="30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45410</v>
      </c>
      <c r="C819" s="294" t="n">
        <v>248</v>
      </c>
      <c r="D819" s="295" t="inlineStr">
        <is>
          <t>Meals 2 days 1 Persons @ 150K IDR/day</t>
        </is>
      </c>
      <c r="E819" s="287" t="inlineStr">
        <is>
          <t>-</t>
        </is>
      </c>
      <c r="F819" s="296" t="n">
        <v>300000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300000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07" t="n"/>
      <c r="C820" s="307" t="n"/>
      <c r="D820" s="308" t="inlineStr">
        <is>
          <t>Transportation</t>
        </is>
      </c>
      <c r="E820" s="307" t="n"/>
      <c r="F820" s="307" t="n"/>
      <c r="G820" s="307" t="n"/>
      <c r="H820" s="307" t="n"/>
      <c r="I820" s="307" t="n"/>
      <c r="J820" s="307" t="n"/>
      <c r="K820" s="307" t="n"/>
      <c r="L820" s="307" t="n"/>
      <c r="M820" s="307" t="n"/>
      <c r="N820" s="307" t="n"/>
      <c r="O820" s="307" t="n"/>
      <c r="P820" s="307" t="n"/>
      <c r="Q820" s="30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45410</v>
      </c>
      <c r="C821" s="294" t="n">
        <v>249</v>
      </c>
      <c r="D821" s="295" t="inlineStr">
        <is>
          <t>Toll</t>
        </is>
      </c>
      <c r="E821" s="287" t="inlineStr">
        <is>
          <t>-</t>
        </is>
      </c>
      <c r="F821" s="296" t="n">
        <v>298000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298000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04" t="inlineStr">
        <is>
          <t>Expense#8</t>
        </is>
      </c>
      <c r="C822" s="305" t="inlineStr">
        <is>
          <t>:</t>
        </is>
      </c>
      <c r="D822" s="304" t="inlineStr">
        <is>
          <t>Training BST_ PHR-zona 4 (Dwiyanto) (Dwi_Febri dan Ilham)</t>
        </is>
      </c>
      <c r="E822" s="306" t="n"/>
      <c r="F822" s="306" t="n"/>
      <c r="G822" s="306" t="n"/>
      <c r="H822" s="306" t="n"/>
      <c r="I822" s="306" t="n"/>
      <c r="J822" s="306" t="n"/>
      <c r="K822" s="306" t="n"/>
      <c r="L822" s="306" t="n"/>
      <c r="M822" s="306" t="n"/>
      <c r="N822" s="306" t="n"/>
      <c r="O822" s="306" t="n"/>
      <c r="P822" s="306" t="n"/>
      <c r="Q822" s="306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>
      <c r="B823" s="307" t="n"/>
      <c r="C823" s="307" t="n"/>
      <c r="D823" s="308" t="inlineStr">
        <is>
          <t>Accommodation</t>
        </is>
      </c>
      <c r="E823" s="307" t="n"/>
      <c r="F823" s="307" t="n"/>
      <c r="G823" s="307" t="n"/>
      <c r="H823" s="307" t="n"/>
      <c r="I823" s="307" t="n"/>
      <c r="J823" s="307" t="n"/>
      <c r="K823" s="307" t="n"/>
      <c r="L823" s="307" t="n"/>
      <c r="M823" s="307" t="n"/>
      <c r="N823" s="307" t="n"/>
      <c r="O823" s="307" t="n"/>
      <c r="P823" s="307" t="n"/>
      <c r="Q823" s="30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 ht="15.5" customHeight="1">
      <c r="B824" s="293" t="n">
        <v>45420</v>
      </c>
      <c r="C824" s="294" t="n">
        <v>250</v>
      </c>
      <c r="D824" s="295" t="inlineStr">
        <is>
          <t>Hotel</t>
        </is>
      </c>
      <c r="E824" s="287" t="inlineStr">
        <is>
          <t>-</t>
        </is>
      </c>
      <c r="F824" s="296" t="n">
        <v>360000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360000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>
      <c r="B825" s="307" t="n"/>
      <c r="C825" s="307" t="n"/>
      <c r="D825" s="308" t="inlineStr">
        <is>
          <t>Biaya Operasi Lain-lain</t>
        </is>
      </c>
      <c r="E825" s="307" t="n"/>
      <c r="F825" s="307" t="n"/>
      <c r="G825" s="307" t="n"/>
      <c r="H825" s="307" t="n"/>
      <c r="I825" s="307" t="n"/>
      <c r="J825" s="307" t="n"/>
      <c r="K825" s="307" t="n"/>
      <c r="L825" s="307" t="n"/>
      <c r="M825" s="307" t="n"/>
      <c r="N825" s="307" t="n"/>
      <c r="O825" s="307" t="n"/>
      <c r="P825" s="307" t="n"/>
      <c r="Q825" s="30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 ht="15.5" customHeight="1">
      <c r="B826" s="293" t="n">
        <v>45418</v>
      </c>
      <c r="C826" s="294" t="n">
        <v>251</v>
      </c>
      <c r="D826" s="295" t="inlineStr">
        <is>
          <t>Jakarta - Palembang - Jakarta</t>
        </is>
      </c>
      <c r="E826" s="287" t="inlineStr">
        <is>
          <t>-</t>
        </is>
      </c>
      <c r="F826" s="296" t="n">
        <v>1387800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1387800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>
      <c r="B827" s="307" t="n"/>
      <c r="C827" s="307" t="n"/>
      <c r="D827" s="308" t="inlineStr">
        <is>
          <t>Meal</t>
        </is>
      </c>
      <c r="E827" s="307" t="n"/>
      <c r="F827" s="307" t="n"/>
      <c r="G827" s="307" t="n"/>
      <c r="H827" s="307" t="n"/>
      <c r="I827" s="307" t="n"/>
      <c r="J827" s="307" t="n"/>
      <c r="K827" s="307" t="n"/>
      <c r="L827" s="307" t="n"/>
      <c r="M827" s="307" t="n"/>
      <c r="N827" s="307" t="n"/>
      <c r="O827" s="307" t="n"/>
      <c r="P827" s="307" t="n"/>
      <c r="Q827" s="30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 ht="15.5" customHeight="1">
      <c r="B828" s="293" t="n">
        <v>45419</v>
      </c>
      <c r="C828" s="294" t="n">
        <v>252</v>
      </c>
      <c r="D828" s="295" t="inlineStr">
        <is>
          <t>Dinner (Dwi, Febri, Ilham)</t>
        </is>
      </c>
      <c r="E828" s="287" t="inlineStr">
        <is>
          <t>-</t>
        </is>
      </c>
      <c r="F828" s="296" t="n">
        <v>103400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103400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>
      <c r="B829" s="307" t="n"/>
      <c r="C829" s="307" t="n"/>
      <c r="D829" s="308" t="inlineStr">
        <is>
          <t>Transportation</t>
        </is>
      </c>
      <c r="E829" s="307" t="n"/>
      <c r="F829" s="307" t="n"/>
      <c r="G829" s="307" t="n"/>
      <c r="H829" s="307" t="n"/>
      <c r="I829" s="307" t="n"/>
      <c r="J829" s="307" t="n"/>
      <c r="K829" s="307" t="n"/>
      <c r="L829" s="307" t="n"/>
      <c r="M829" s="307" t="n"/>
      <c r="N829" s="307" t="n"/>
      <c r="O829" s="307" t="n"/>
      <c r="P829" s="307" t="n"/>
      <c r="Q829" s="30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 ht="15.5" customHeight="1">
      <c r="B830" s="293" t="n">
        <v>45421</v>
      </c>
      <c r="C830" s="294" t="n">
        <v>253</v>
      </c>
      <c r="D830" s="295" t="inlineStr">
        <is>
          <t>Tol + Taxi From Airport Jakarta</t>
        </is>
      </c>
      <c r="E830" s="287" t="inlineStr">
        <is>
          <t>-</t>
        </is>
      </c>
      <c r="F830" s="296" t="n">
        <v>276900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276900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04" t="inlineStr">
        <is>
          <t>Expense#9</t>
        </is>
      </c>
      <c r="C831" s="305" t="inlineStr">
        <is>
          <t>:</t>
        </is>
      </c>
      <c r="D831" s="304" t="inlineStr">
        <is>
          <t>MFC and ALFA Memory (Jatibarang Field) TGB-033_Elnusa_ AC</t>
        </is>
      </c>
      <c r="E831" s="306" t="n"/>
      <c r="F831" s="306" t="n"/>
      <c r="G831" s="306" t="n"/>
      <c r="H831" s="306" t="n"/>
      <c r="I831" s="306" t="n"/>
      <c r="J831" s="306" t="n"/>
      <c r="K831" s="306" t="n"/>
      <c r="L831" s="306" t="n"/>
      <c r="M831" s="306" t="n"/>
      <c r="N831" s="306" t="n"/>
      <c r="O831" s="306" t="n"/>
      <c r="P831" s="306" t="n"/>
      <c r="Q831" s="306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>
      <c r="B832" s="307" t="n"/>
      <c r="C832" s="307" t="n"/>
      <c r="D832" s="308" t="inlineStr">
        <is>
          <t>Allowance</t>
        </is>
      </c>
      <c r="E832" s="307" t="n"/>
      <c r="F832" s="307" t="n"/>
      <c r="G832" s="307" t="n"/>
      <c r="H832" s="307" t="n"/>
      <c r="I832" s="307" t="n"/>
      <c r="J832" s="307" t="n"/>
      <c r="K832" s="307" t="n"/>
      <c r="L832" s="307" t="n"/>
      <c r="M832" s="307" t="n"/>
      <c r="N832" s="307" t="n"/>
      <c r="O832" s="307" t="n"/>
      <c r="P832" s="307" t="n"/>
      <c r="Q832" s="30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 ht="15.5" customHeight="1">
      <c r="B833" s="293" t="n">
        <v>45403</v>
      </c>
      <c r="C833" s="294" t="n">
        <v>254</v>
      </c>
      <c r="D833" s="295" t="inlineStr">
        <is>
          <t>Tunajngan lapangan for 3 days (19-21 apr24) Anevril</t>
        </is>
      </c>
      <c r="E833" s="287" t="inlineStr">
        <is>
          <t>-</t>
        </is>
      </c>
      <c r="F833" s="296" t="n">
        <v>4815300</v>
      </c>
      <c r="G833" s="289" t="inlineStr">
        <is>
          <t>USD</t>
        </is>
      </c>
      <c r="H833" s="297" t="n">
        <v>16051</v>
      </c>
      <c r="I833" s="298" t="n"/>
      <c r="J833" s="298" t="n"/>
      <c r="K833" s="299" t="n"/>
      <c r="L833" s="300" t="n">
        <v>4815300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>
      <c r="B834" s="307" t="n"/>
      <c r="C834" s="307" t="n"/>
      <c r="D834" s="308" t="inlineStr">
        <is>
          <t>Laundry</t>
        </is>
      </c>
      <c r="E834" s="307" t="n"/>
      <c r="F834" s="307" t="n"/>
      <c r="G834" s="307" t="n"/>
      <c r="H834" s="307" t="n"/>
      <c r="I834" s="307" t="n"/>
      <c r="J834" s="307" t="n"/>
      <c r="K834" s="307" t="n"/>
      <c r="L834" s="307" t="n"/>
      <c r="M834" s="307" t="n"/>
      <c r="N834" s="307" t="n"/>
      <c r="O834" s="307" t="n"/>
      <c r="P834" s="307" t="n"/>
      <c r="Q834" s="30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 ht="15.5" customHeight="1">
      <c r="B835" s="293" t="n">
        <v>45403</v>
      </c>
      <c r="C835" s="294" t="n">
        <v>255</v>
      </c>
      <c r="D835" s="295" t="inlineStr">
        <is>
          <t>Laundry 3 days @ Rp. 50.000</t>
        </is>
      </c>
      <c r="E835" s="287" t="inlineStr">
        <is>
          <t>-</t>
        </is>
      </c>
      <c r="F835" s="296" t="n">
        <v>150000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150000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>
      <c r="B836" s="307" t="n"/>
      <c r="C836" s="307" t="n"/>
      <c r="D836" s="308" t="inlineStr">
        <is>
          <t>Meal</t>
        </is>
      </c>
      <c r="E836" s="307" t="n"/>
      <c r="F836" s="307" t="n"/>
      <c r="G836" s="307" t="n"/>
      <c r="H836" s="307" t="n"/>
      <c r="I836" s="307" t="n"/>
      <c r="J836" s="307" t="n"/>
      <c r="K836" s="307" t="n"/>
      <c r="L836" s="307" t="n"/>
      <c r="M836" s="307" t="n"/>
      <c r="N836" s="307" t="n"/>
      <c r="O836" s="307" t="n"/>
      <c r="P836" s="307" t="n"/>
      <c r="Q836" s="30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 ht="15.5" customHeight="1">
      <c r="B837" s="293" t="n">
        <v>45420</v>
      </c>
      <c r="C837" s="294" t="n">
        <v>256</v>
      </c>
      <c r="D837" s="295" t="inlineStr">
        <is>
          <t>Dinner (Dwi, Febri, Ilham)</t>
        </is>
      </c>
      <c r="E837" s="287" t="inlineStr">
        <is>
          <t>-</t>
        </is>
      </c>
      <c r="F837" s="296" t="n">
        <v>128000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128000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>
      <c r="B838" s="307" t="n"/>
      <c r="C838" s="307" t="n"/>
      <c r="D838" s="308" t="inlineStr">
        <is>
          <t>Transportation</t>
        </is>
      </c>
      <c r="E838" s="307" t="n"/>
      <c r="F838" s="307" t="n"/>
      <c r="G838" s="307" t="n"/>
      <c r="H838" s="307" t="n"/>
      <c r="I838" s="307" t="n"/>
      <c r="J838" s="307" t="n"/>
      <c r="K838" s="307" t="n"/>
      <c r="L838" s="307" t="n"/>
      <c r="M838" s="307" t="n"/>
      <c r="N838" s="307" t="n"/>
      <c r="O838" s="307" t="n"/>
      <c r="P838" s="307" t="n"/>
      <c r="Q838" s="30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 ht="15.5" customHeight="1">
      <c r="B839" s="293" t="n">
        <v>45403</v>
      </c>
      <c r="C839" s="294" t="n">
        <v>257</v>
      </c>
      <c r="D839" s="295" t="inlineStr">
        <is>
          <t>Train (Jati barang - Jati Negara)</t>
        </is>
      </c>
      <c r="E839" s="287" t="inlineStr">
        <is>
          <t>-</t>
        </is>
      </c>
      <c r="F839" s="296" t="n">
        <v>255500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255500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>
      <c r="B840" s="304" t="inlineStr">
        <is>
          <t>Expense#10</t>
        </is>
      </c>
      <c r="C840" s="305" t="inlineStr">
        <is>
          <t>:</t>
        </is>
      </c>
      <c r="D840" s="304" t="inlineStr">
        <is>
          <t>ALFA+PLT (TGB-033 Zona 7) Elnusa_TMA</t>
        </is>
      </c>
      <c r="E840" s="306" t="n"/>
      <c r="F840" s="306" t="n"/>
      <c r="G840" s="306" t="n"/>
      <c r="H840" s="306" t="n"/>
      <c r="I840" s="306" t="n"/>
      <c r="J840" s="306" t="n"/>
      <c r="K840" s="306" t="n"/>
      <c r="L840" s="306" t="n"/>
      <c r="M840" s="306" t="n"/>
      <c r="N840" s="306" t="n"/>
      <c r="O840" s="306" t="n"/>
      <c r="P840" s="306" t="n"/>
      <c r="Q840" s="306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07" t="n"/>
      <c r="C841" s="307" t="n"/>
      <c r="D841" s="308" t="inlineStr">
        <is>
          <t>Accommodation</t>
        </is>
      </c>
      <c r="E841" s="307" t="n"/>
      <c r="F841" s="307" t="n"/>
      <c r="G841" s="307" t="n"/>
      <c r="H841" s="307" t="n"/>
      <c r="I841" s="307" t="n"/>
      <c r="J841" s="307" t="n"/>
      <c r="K841" s="307" t="n"/>
      <c r="L841" s="307" t="n"/>
      <c r="M841" s="307" t="n"/>
      <c r="N841" s="307" t="n"/>
      <c r="O841" s="307" t="n"/>
      <c r="P841" s="307" t="n"/>
      <c r="Q841" s="30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45407</v>
      </c>
      <c r="C842" s="294" t="n">
        <v>258</v>
      </c>
      <c r="D842" s="295" t="inlineStr">
        <is>
          <t>Hotel 25 Apr - 27 Apr &amp; 29 Apr- 2 May 2024 (6 days)</t>
        </is>
      </c>
      <c r="E842" s="287" t="inlineStr">
        <is>
          <t>-</t>
        </is>
      </c>
      <c r="F842" s="296" t="n">
        <v>3292802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3292802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07" t="n"/>
      <c r="C843" s="307" t="n"/>
      <c r="D843" s="308" t="inlineStr">
        <is>
          <t>Allowance</t>
        </is>
      </c>
      <c r="E843" s="307" t="n"/>
      <c r="F843" s="307" t="n"/>
      <c r="G843" s="307" t="n"/>
      <c r="H843" s="307" t="n"/>
      <c r="I843" s="307" t="n"/>
      <c r="J843" s="307" t="n"/>
      <c r="K843" s="307" t="n"/>
      <c r="L843" s="307" t="n"/>
      <c r="M843" s="307" t="n"/>
      <c r="N843" s="307" t="n"/>
      <c r="O843" s="307" t="n"/>
      <c r="P843" s="307" t="n"/>
      <c r="Q843" s="30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 ht="15.5" customHeight="1">
      <c r="B844" s="293" t="n">
        <v>45407</v>
      </c>
      <c r="C844" s="294" t="n">
        <v>259</v>
      </c>
      <c r="D844" s="295" t="inlineStr">
        <is>
          <t>Field Bonus for 4 days 29 April-2 May 2024 (100$/Day</t>
        </is>
      </c>
      <c r="E844" s="287" t="inlineStr">
        <is>
          <t>-</t>
        </is>
      </c>
      <c r="F844" s="296" t="n">
        <v>6420340</v>
      </c>
      <c r="G844" s="289" t="inlineStr">
        <is>
          <t>USD</t>
        </is>
      </c>
      <c r="H844" s="297" t="n">
        <v>16050.85</v>
      </c>
      <c r="I844" s="298" t="n"/>
      <c r="J844" s="298" t="n"/>
      <c r="K844" s="299" t="n"/>
      <c r="L844" s="300" t="n">
        <v>6420340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>
      <c r="B845" s="307" t="n"/>
      <c r="C845" s="307" t="n"/>
      <c r="D845" s="308" t="inlineStr">
        <is>
          <t>Biaya Operasi Lain-lain</t>
        </is>
      </c>
      <c r="E845" s="307" t="n"/>
      <c r="F845" s="307" t="n"/>
      <c r="G845" s="307" t="n"/>
      <c r="H845" s="307" t="n"/>
      <c r="I845" s="307" t="n"/>
      <c r="J845" s="307" t="n"/>
      <c r="K845" s="307" t="n"/>
      <c r="L845" s="307" t="n"/>
      <c r="M845" s="307" t="n"/>
      <c r="N845" s="307" t="n"/>
      <c r="O845" s="307" t="n"/>
      <c r="P845" s="307" t="n"/>
      <c r="Q845" s="30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 ht="15.5" customHeight="1">
      <c r="B846" s="293" t="n">
        <v>45411</v>
      </c>
      <c r="C846" s="294" t="n">
        <v>260</v>
      </c>
      <c r="D846" s="295" t="inlineStr">
        <is>
          <t>Internet Data</t>
        </is>
      </c>
      <c r="E846" s="287" t="inlineStr">
        <is>
          <t>-</t>
        </is>
      </c>
      <c r="F846" s="296" t="n">
        <v>75000</v>
      </c>
      <c r="G846" s="289" t="inlineStr">
        <is>
          <t>IDR</t>
        </is>
      </c>
      <c r="H846" s="297" t="n">
        <v>1</v>
      </c>
      <c r="I846" s="298" t="n"/>
      <c r="J846" s="298" t="n"/>
      <c r="K846" s="299" t="n"/>
      <c r="L846" s="300" t="n">
        <v>75000</v>
      </c>
      <c r="M846" s="287" t="n"/>
      <c r="N846" s="287" t="n"/>
      <c r="O846" s="287" t="n"/>
      <c r="P846" s="287" t="n"/>
      <c r="Q846" s="28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>
      <c r="B847" s="307" t="n"/>
      <c r="C847" s="307" t="n"/>
      <c r="D847" s="308" t="inlineStr">
        <is>
          <t>Hand Tools</t>
        </is>
      </c>
      <c r="E847" s="307" t="n"/>
      <c r="F847" s="307" t="n"/>
      <c r="G847" s="307" t="n"/>
      <c r="H847" s="307" t="n"/>
      <c r="I847" s="307" t="n"/>
      <c r="J847" s="307" t="n"/>
      <c r="K847" s="307" t="n"/>
      <c r="L847" s="307" t="n"/>
      <c r="M847" s="307" t="n"/>
      <c r="N847" s="307" t="n"/>
      <c r="O847" s="307" t="n"/>
      <c r="P847" s="307" t="n"/>
      <c r="Q847" s="30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 ht="15.5" customHeight="1">
      <c r="B848" s="293" t="n">
        <v>45401</v>
      </c>
      <c r="C848" s="294" t="n">
        <v>261</v>
      </c>
      <c r="D848" s="295" t="inlineStr">
        <is>
          <t>Tekiro Kunci L, Tekiro Tang, Obeng Set</t>
        </is>
      </c>
      <c r="E848" s="287" t="inlineStr">
        <is>
          <t>-</t>
        </is>
      </c>
      <c r="F848" s="296" t="n">
        <v>349000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349000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>
      <c r="B849" s="307" t="n"/>
      <c r="C849" s="307" t="n"/>
      <c r="D849" s="308" t="inlineStr">
        <is>
          <t>Laundry</t>
        </is>
      </c>
      <c r="E849" s="307" t="n"/>
      <c r="F849" s="307" t="n"/>
      <c r="G849" s="307" t="n"/>
      <c r="H849" s="307" t="n"/>
      <c r="I849" s="307" t="n"/>
      <c r="J849" s="307" t="n"/>
      <c r="K849" s="307" t="n"/>
      <c r="L849" s="307" t="n"/>
      <c r="M849" s="307" t="n"/>
      <c r="N849" s="307" t="n"/>
      <c r="O849" s="307" t="n"/>
      <c r="P849" s="307" t="n"/>
      <c r="Q849" s="30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 ht="15.5" customHeight="1">
      <c r="B850" s="293" t="n">
        <v>45407</v>
      </c>
      <c r="C850" s="294" t="n">
        <v>262</v>
      </c>
      <c r="D850" s="295" t="inlineStr">
        <is>
          <t>Laundry 7 days 1 Persons @ 50K IDR/day</t>
        </is>
      </c>
      <c r="E850" s="287" t="inlineStr">
        <is>
          <t>-</t>
        </is>
      </c>
      <c r="F850" s="296" t="n">
        <v>350000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300" t="n">
        <v>350000</v>
      </c>
      <c r="M850" s="287" t="n"/>
      <c r="N850" s="287" t="n"/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>
      <c r="B851" s="307" t="n"/>
      <c r="C851" s="307" t="n"/>
      <c r="D851" s="308" t="inlineStr">
        <is>
          <t>Meal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 ht="15.5" customHeight="1">
      <c r="B852" s="293" t="n">
        <v>45407</v>
      </c>
      <c r="C852" s="294" t="n">
        <v>263</v>
      </c>
      <c r="D852" s="295" t="inlineStr">
        <is>
          <t>Meals 7 days 1 Persons @ 150K IDR/day</t>
        </is>
      </c>
      <c r="E852" s="287" t="inlineStr">
        <is>
          <t>-</t>
        </is>
      </c>
      <c r="F852" s="296" t="n">
        <v>1050000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1050000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>
      <c r="B853" s="304" t="inlineStr">
        <is>
          <t>Expense#11</t>
        </is>
      </c>
      <c r="C853" s="305" t="inlineStr">
        <is>
          <t>:</t>
        </is>
      </c>
      <c r="D853" s="304" t="inlineStr">
        <is>
          <t>ALFA+MFC (TGB-033 Zona 7) Elnusa_TMA</t>
        </is>
      </c>
      <c r="E853" s="306" t="n"/>
      <c r="F853" s="306" t="n"/>
      <c r="G853" s="306" t="n"/>
      <c r="H853" s="306" t="n"/>
      <c r="I853" s="306" t="n"/>
      <c r="J853" s="306" t="n"/>
      <c r="K853" s="306" t="n"/>
      <c r="L853" s="306" t="n"/>
      <c r="M853" s="306" t="n"/>
      <c r="N853" s="306" t="n"/>
      <c r="O853" s="306" t="n"/>
      <c r="P853" s="306" t="n"/>
      <c r="Q853" s="306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07" t="n"/>
      <c r="C854" s="307" t="n"/>
      <c r="D854" s="308" t="inlineStr">
        <is>
          <t>Accommodation</t>
        </is>
      </c>
      <c r="E854" s="307" t="n"/>
      <c r="F854" s="307" t="n"/>
      <c r="G854" s="307" t="n"/>
      <c r="H854" s="307" t="n"/>
      <c r="I854" s="307" t="n"/>
      <c r="J854" s="307" t="n"/>
      <c r="K854" s="307" t="n"/>
      <c r="L854" s="307" t="n"/>
      <c r="M854" s="307" t="n"/>
      <c r="N854" s="307" t="n"/>
      <c r="O854" s="307" t="n"/>
      <c r="P854" s="307" t="n"/>
      <c r="Q854" s="30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45401</v>
      </c>
      <c r="C855" s="294" t="n">
        <v>264</v>
      </c>
      <c r="D855" s="295" t="inlineStr">
        <is>
          <t>Hotel 19 Apr-22 Apr 2024 (3 days)</t>
        </is>
      </c>
      <c r="E855" s="287" t="inlineStr">
        <is>
          <t>-</t>
        </is>
      </c>
      <c r="F855" s="296" t="n">
        <v>1950000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1950000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07" t="n"/>
      <c r="C856" s="307" t="n"/>
      <c r="D856" s="308" t="inlineStr">
        <is>
          <t>Allowance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45401</v>
      </c>
      <c r="C857" s="294" t="n">
        <v>265</v>
      </c>
      <c r="D857" s="295" t="inlineStr">
        <is>
          <t>Field Bonus for 4 days (25$/Day)</t>
        </is>
      </c>
      <c r="E857" s="287" t="inlineStr">
        <is>
          <t>-</t>
        </is>
      </c>
      <c r="F857" s="296" t="n">
        <v>1605085</v>
      </c>
      <c r="G857" s="289" t="inlineStr">
        <is>
          <t>USD</t>
        </is>
      </c>
      <c r="H857" s="297" t="n">
        <v>16050.85</v>
      </c>
      <c r="I857" s="298" t="n"/>
      <c r="J857" s="298" t="n"/>
      <c r="K857" s="299" t="n"/>
      <c r="L857" s="300" t="n">
        <v>1605085</v>
      </c>
      <c r="M857" s="287" t="n"/>
      <c r="N857" s="287" t="n"/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07" t="n"/>
      <c r="C858" s="307" t="n"/>
      <c r="D858" s="308" t="inlineStr">
        <is>
          <t>Biaya Operasi Lain-lain</t>
        </is>
      </c>
      <c r="E858" s="307" t="n"/>
      <c r="F858" s="307" t="n"/>
      <c r="G858" s="307" t="n"/>
      <c r="H858" s="307" t="n"/>
      <c r="I858" s="307" t="n"/>
      <c r="J858" s="307" t="n"/>
      <c r="K858" s="307" t="n"/>
      <c r="L858" s="307" t="n"/>
      <c r="M858" s="307" t="n"/>
      <c r="N858" s="307" t="n"/>
      <c r="O858" s="307" t="n"/>
      <c r="P858" s="307" t="n"/>
      <c r="Q858" s="30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45401</v>
      </c>
      <c r="C859" s="294" t="n">
        <v>266</v>
      </c>
      <c r="D859" s="295" t="inlineStr">
        <is>
          <t>Crew's Operational</t>
        </is>
      </c>
      <c r="E859" s="287" t="inlineStr">
        <is>
          <t>-</t>
        </is>
      </c>
      <c r="F859" s="296" t="n">
        <v>481900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481900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07" t="n"/>
      <c r="C860" s="307" t="n"/>
      <c r="D860" s="308" t="inlineStr">
        <is>
          <t>Laundry</t>
        </is>
      </c>
      <c r="E860" s="307" t="n"/>
      <c r="F860" s="307" t="n"/>
      <c r="G860" s="307" t="n"/>
      <c r="H860" s="307" t="n"/>
      <c r="I860" s="307" t="n"/>
      <c r="J860" s="307" t="n"/>
      <c r="K860" s="307" t="n"/>
      <c r="L860" s="307" t="n"/>
      <c r="M860" s="307" t="n"/>
      <c r="N860" s="307" t="n"/>
      <c r="O860" s="307" t="n"/>
      <c r="P860" s="307" t="n"/>
      <c r="Q860" s="30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 ht="15.5" customHeight="1">
      <c r="B861" s="293" t="n">
        <v>45401</v>
      </c>
      <c r="C861" s="294" t="n">
        <v>267</v>
      </c>
      <c r="D861" s="295" t="inlineStr">
        <is>
          <t>Laundry 4 days 1 Persons @ 50K IDR/day</t>
        </is>
      </c>
      <c r="E861" s="287" t="inlineStr">
        <is>
          <t>-</t>
        </is>
      </c>
      <c r="F861" s="296" t="n">
        <v>200000</v>
      </c>
      <c r="G861" s="289" t="inlineStr">
        <is>
          <t>IDR</t>
        </is>
      </c>
      <c r="H861" s="297" t="n">
        <v>1</v>
      </c>
      <c r="I861" s="298" t="n"/>
      <c r="J861" s="298" t="n"/>
      <c r="K861" s="299" t="n"/>
      <c r="L861" s="300" t="n">
        <v>200000</v>
      </c>
      <c r="M861" s="287" t="n"/>
      <c r="N861" s="287" t="n"/>
      <c r="O861" s="287" t="n"/>
      <c r="P861" s="287" t="n"/>
      <c r="Q861" s="28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>
      <c r="B862" s="307" t="n"/>
      <c r="C862" s="307" t="n"/>
      <c r="D862" s="308" t="inlineStr">
        <is>
          <t>Meal</t>
        </is>
      </c>
      <c r="E862" s="307" t="n"/>
      <c r="F862" s="307" t="n"/>
      <c r="G862" s="307" t="n"/>
      <c r="H862" s="307" t="n"/>
      <c r="I862" s="307" t="n"/>
      <c r="J862" s="307" t="n"/>
      <c r="K862" s="307" t="n"/>
      <c r="L862" s="307" t="n"/>
      <c r="M862" s="307" t="n"/>
      <c r="N862" s="307" t="n"/>
      <c r="O862" s="307" t="n"/>
      <c r="P862" s="307" t="n"/>
      <c r="Q862" s="30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 ht="15.5" customHeight="1">
      <c r="B863" s="293" t="n">
        <v>45401</v>
      </c>
      <c r="C863" s="294" t="n">
        <v>268</v>
      </c>
      <c r="D863" s="295" t="inlineStr">
        <is>
          <t>Meals 4 days 1 Persons @ 150K IDR/day</t>
        </is>
      </c>
      <c r="E863" s="287" t="inlineStr">
        <is>
          <t>-</t>
        </is>
      </c>
      <c r="F863" s="296" t="n">
        <v>600000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600000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>
      <c r="B864" s="307" t="n"/>
      <c r="C864" s="307" t="n"/>
      <c r="D864" s="308" t="inlineStr">
        <is>
          <t>Transportation</t>
        </is>
      </c>
      <c r="E864" s="307" t="n"/>
      <c r="F864" s="307" t="n"/>
      <c r="G864" s="307" t="n"/>
      <c r="H864" s="307" t="n"/>
      <c r="I864" s="307" t="n"/>
      <c r="J864" s="307" t="n"/>
      <c r="K864" s="307" t="n"/>
      <c r="L864" s="307" t="n"/>
      <c r="M864" s="307" t="n"/>
      <c r="N864" s="307" t="n"/>
      <c r="O864" s="307" t="n"/>
      <c r="P864" s="307" t="n"/>
      <c r="Q864" s="30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 ht="15.5" customHeight="1">
      <c r="B865" s="293" t="n">
        <v>45404</v>
      </c>
      <c r="C865" s="294" t="n">
        <v>269</v>
      </c>
      <c r="D865" s="295" t="inlineStr">
        <is>
          <t>Taxi Bintaro-Wisma Mas</t>
        </is>
      </c>
      <c r="E865" s="287" t="inlineStr">
        <is>
          <t>-</t>
        </is>
      </c>
      <c r="F865" s="296" t="n">
        <v>78500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78500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>
      <c r="B866" s="304" t="inlineStr">
        <is>
          <t>Expense#12</t>
        </is>
      </c>
      <c r="C866" s="305" t="inlineStr">
        <is>
          <t>:</t>
        </is>
      </c>
      <c r="D866" s="304" t="inlineStr">
        <is>
          <t>BOSIET Training -_TMA</t>
        </is>
      </c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  <c r="O866" s="306" t="n"/>
      <c r="P866" s="306" t="n"/>
      <c r="Q866" s="306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07" t="n"/>
      <c r="C867" s="307" t="n"/>
      <c r="D867" s="308" t="inlineStr">
        <is>
          <t>Transportation</t>
        </is>
      </c>
      <c r="E867" s="307" t="n"/>
      <c r="F867" s="307" t="n"/>
      <c r="G867" s="307" t="n"/>
      <c r="H867" s="307" t="n"/>
      <c r="I867" s="307" t="n"/>
      <c r="J867" s="307" t="n"/>
      <c r="K867" s="307" t="n"/>
      <c r="L867" s="307" t="n"/>
      <c r="M867" s="307" t="n"/>
      <c r="N867" s="307" t="n"/>
      <c r="O867" s="307" t="n"/>
      <c r="P867" s="307" t="n"/>
      <c r="Q867" s="30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45429</v>
      </c>
      <c r="C868" s="294" t="n">
        <v>270</v>
      </c>
      <c r="D868" s="295" t="inlineStr">
        <is>
          <t>BOSIET Training</t>
        </is>
      </c>
      <c r="E868" s="287" t="inlineStr">
        <is>
          <t>-</t>
        </is>
      </c>
      <c r="F868" s="296" t="n">
        <v>9693878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9693878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04" t="inlineStr">
        <is>
          <t>Expense#13</t>
        </is>
      </c>
      <c r="C869" s="305" t="inlineStr">
        <is>
          <t>:</t>
        </is>
      </c>
      <c r="D869" s="304" t="inlineStr">
        <is>
          <t>Non Trip MCU Dwiyanto</t>
        </is>
      </c>
      <c r="E869" s="306" t="n"/>
      <c r="F869" s="306" t="n"/>
      <c r="G869" s="306" t="n"/>
      <c r="H869" s="306" t="n"/>
      <c r="I869" s="306" t="n"/>
      <c r="J869" s="306" t="n"/>
      <c r="K869" s="306" t="n"/>
      <c r="L869" s="306" t="n"/>
      <c r="M869" s="306" t="n"/>
      <c r="N869" s="306" t="n"/>
      <c r="O869" s="306" t="n"/>
      <c r="P869" s="306" t="n"/>
      <c r="Q869" s="306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>
      <c r="B870" s="307" t="n"/>
      <c r="C870" s="307" t="n"/>
      <c r="D870" s="308" t="inlineStr">
        <is>
          <t>Hand Tools</t>
        </is>
      </c>
      <c r="E870" s="307" t="n"/>
      <c r="F870" s="307" t="n"/>
      <c r="G870" s="307" t="n"/>
      <c r="H870" s="307" t="n"/>
      <c r="I870" s="307" t="n"/>
      <c r="J870" s="307" t="n"/>
      <c r="K870" s="307" t="n"/>
      <c r="L870" s="307" t="n"/>
      <c r="M870" s="307" t="n"/>
      <c r="N870" s="307" t="n"/>
      <c r="O870" s="307" t="n"/>
      <c r="P870" s="307" t="n"/>
      <c r="Q870" s="30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 ht="15.5" customHeight="1">
      <c r="B871" s="293" t="n">
        <v>45433</v>
      </c>
      <c r="C871" s="294" t="n">
        <v>271</v>
      </c>
      <c r="D871" s="295" t="inlineStr">
        <is>
          <t>Safety shoes</t>
        </is>
      </c>
      <c r="E871" s="287" t="inlineStr">
        <is>
          <t>-</t>
        </is>
      </c>
      <c r="F871" s="296" t="n">
        <v>2402000</v>
      </c>
      <c r="G871" s="289" t="inlineStr">
        <is>
          <t>IDR</t>
        </is>
      </c>
      <c r="H871" s="297" t="n">
        <v>1</v>
      </c>
      <c r="I871" s="298" t="n"/>
      <c r="J871" s="298" t="n"/>
      <c r="K871" s="299" t="n"/>
      <c r="L871" s="287" t="n"/>
      <c r="M871" s="287" t="n"/>
      <c r="N871" s="300" t="n">
        <v>2402000</v>
      </c>
      <c r="O871" s="287" t="n"/>
      <c r="P871" s="287" t="n"/>
      <c r="Q871" s="28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>
      <c r="B872" s="307" t="n"/>
      <c r="C872" s="307" t="n"/>
      <c r="D872" s="308" t="inlineStr">
        <is>
          <t>Medical</t>
        </is>
      </c>
      <c r="E872" s="307" t="n"/>
      <c r="F872" s="307" t="n"/>
      <c r="G872" s="307" t="n"/>
      <c r="H872" s="307" t="n"/>
      <c r="I872" s="307" t="n"/>
      <c r="J872" s="307" t="n"/>
      <c r="K872" s="307" t="n"/>
      <c r="L872" s="307" t="n"/>
      <c r="M872" s="307" t="n"/>
      <c r="N872" s="307" t="n"/>
      <c r="O872" s="307" t="n"/>
      <c r="P872" s="307" t="n"/>
      <c r="Q872" s="30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 ht="15.5" customHeight="1">
      <c r="B873" s="293" t="n">
        <v>45432</v>
      </c>
      <c r="C873" s="294" t="n">
        <v>272</v>
      </c>
      <c r="D873" s="295" t="inlineStr">
        <is>
          <t>MCU Paket Umum Basic 1</t>
        </is>
      </c>
      <c r="E873" s="287" t="inlineStr">
        <is>
          <t>-</t>
        </is>
      </c>
      <c r="F873" s="296" t="n">
        <v>5322000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287" t="n"/>
      <c r="M873" s="287" t="n"/>
      <c r="N873" s="287" t="n"/>
      <c r="O873" s="287" t="n"/>
      <c r="P873" s="300" t="n">
        <v>5322000</v>
      </c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04" t="inlineStr">
        <is>
          <t>Expense#14</t>
        </is>
      </c>
      <c r="C874" s="305" t="inlineStr">
        <is>
          <t>:</t>
        </is>
      </c>
      <c r="D874" s="304" t="inlineStr">
        <is>
          <t>Non project _ MCU - Ilham BR</t>
        </is>
      </c>
      <c r="E874" s="306" t="n"/>
      <c r="F874" s="306" t="n"/>
      <c r="G874" s="306" t="n"/>
      <c r="H874" s="306" t="n"/>
      <c r="I874" s="306" t="n"/>
      <c r="J874" s="306" t="n"/>
      <c r="K874" s="306" t="n"/>
      <c r="L874" s="306" t="n"/>
      <c r="M874" s="306" t="n"/>
      <c r="N874" s="306" t="n"/>
      <c r="O874" s="306" t="n"/>
      <c r="P874" s="306" t="n"/>
      <c r="Q874" s="306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>
      <c r="B875" s="307" t="n"/>
      <c r="C875" s="307" t="n"/>
      <c r="D875" s="308" t="inlineStr">
        <is>
          <t>Medical</t>
        </is>
      </c>
      <c r="E875" s="307" t="n"/>
      <c r="F875" s="307" t="n"/>
      <c r="G875" s="307" t="n"/>
      <c r="H875" s="307" t="n"/>
      <c r="I875" s="307" t="n"/>
      <c r="J875" s="307" t="n"/>
      <c r="K875" s="307" t="n"/>
      <c r="L875" s="307" t="n"/>
      <c r="M875" s="307" t="n"/>
      <c r="N875" s="307" t="n"/>
      <c r="O875" s="307" t="n"/>
      <c r="P875" s="307" t="n"/>
      <c r="Q875" s="30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 ht="15.5" customHeight="1">
      <c r="B876" s="293" t="n">
        <v>45432</v>
      </c>
      <c r="C876" s="294" t="n">
        <v>273</v>
      </c>
      <c r="D876" s="295" t="inlineStr">
        <is>
          <t>Biaya MCU</t>
        </is>
      </c>
      <c r="E876" s="287" t="inlineStr">
        <is>
          <t>-</t>
        </is>
      </c>
      <c r="F876" s="296" t="n">
        <v>5407000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287" t="n"/>
      <c r="M876" s="287" t="n"/>
      <c r="N876" s="287" t="n"/>
      <c r="O876" s="287" t="n"/>
      <c r="P876" s="300" t="n">
        <v>5407000</v>
      </c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>
      <c r="B877" s="304" t="inlineStr">
        <is>
          <t>Expense#15</t>
        </is>
      </c>
      <c r="C877" s="305" t="inlineStr">
        <is>
          <t>:</t>
        </is>
      </c>
      <c r="D877" s="304" t="inlineStr">
        <is>
          <t>ALFA Job - Jrk-193 _ OJT_ Ilham BR</t>
        </is>
      </c>
      <c r="E877" s="306" t="n"/>
      <c r="F877" s="306" t="n"/>
      <c r="G877" s="306" t="n"/>
      <c r="H877" s="306" t="n"/>
      <c r="I877" s="306" t="n"/>
      <c r="J877" s="306" t="n"/>
      <c r="K877" s="306" t="n"/>
      <c r="L877" s="306" t="n"/>
      <c r="M877" s="306" t="n"/>
      <c r="N877" s="306" t="n"/>
      <c r="O877" s="306" t="n"/>
      <c r="P877" s="306" t="n"/>
      <c r="Q877" s="306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07" t="n"/>
      <c r="C878" s="307" t="n"/>
      <c r="D878" s="308" t="inlineStr">
        <is>
          <t>Allowance</t>
        </is>
      </c>
      <c r="E878" s="307" t="n"/>
      <c r="F878" s="307" t="n"/>
      <c r="G878" s="307" t="n"/>
      <c r="H878" s="307" t="n"/>
      <c r="I878" s="307" t="n"/>
      <c r="J878" s="307" t="n"/>
      <c r="K878" s="307" t="n"/>
      <c r="L878" s="307" t="n"/>
      <c r="M878" s="307" t="n"/>
      <c r="N878" s="307" t="n"/>
      <c r="O878" s="307" t="n"/>
      <c r="P878" s="307" t="n"/>
      <c r="Q878" s="30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45437</v>
      </c>
      <c r="C879" s="294" t="n">
        <v>274</v>
      </c>
      <c r="D879" s="295" t="inlineStr">
        <is>
          <t>Tunjangan Lapangan JRK-193 (25 - 30 May 2024)</t>
        </is>
      </c>
      <c r="E879" s="287" t="inlineStr">
        <is>
          <t>-</t>
        </is>
      </c>
      <c r="F879" s="296" t="n">
        <v>2430000</v>
      </c>
      <c r="G879" s="289" t="inlineStr">
        <is>
          <t>$</t>
        </is>
      </c>
      <c r="H879" s="297" t="n">
        <v>16200</v>
      </c>
      <c r="I879" s="298" t="n"/>
      <c r="J879" s="298" t="n"/>
      <c r="K879" s="299" t="n"/>
      <c r="L879" s="300" t="n">
        <v>2430000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07" t="n"/>
      <c r="C880" s="307" t="n"/>
      <c r="D880" s="308" t="inlineStr">
        <is>
          <t>Meal</t>
        </is>
      </c>
      <c r="E880" s="307" t="n"/>
      <c r="F880" s="307" t="n"/>
      <c r="G880" s="307" t="n"/>
      <c r="H880" s="307" t="n"/>
      <c r="I880" s="307" t="n"/>
      <c r="J880" s="307" t="n"/>
      <c r="K880" s="307" t="n"/>
      <c r="L880" s="307" t="n"/>
      <c r="M880" s="307" t="n"/>
      <c r="N880" s="307" t="n"/>
      <c r="O880" s="307" t="n"/>
      <c r="P880" s="307" t="n"/>
      <c r="Q880" s="30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 ht="15.5" customHeight="1">
      <c r="B881" s="293" t="n">
        <v>45437</v>
      </c>
      <c r="C881" s="294" t="n">
        <v>275</v>
      </c>
      <c r="D881" s="295" t="inlineStr">
        <is>
          <t>Uang makan (25 - 30 May 2024)</t>
        </is>
      </c>
      <c r="E881" s="287" t="inlineStr">
        <is>
          <t>-</t>
        </is>
      </c>
      <c r="F881" s="296" t="n">
        <v>900000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900000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>
      <c r="B882" s="307" t="n"/>
      <c r="C882" s="307" t="n"/>
      <c r="D882" s="308" t="inlineStr">
        <is>
          <t>Transportation</t>
        </is>
      </c>
      <c r="E882" s="307" t="n"/>
      <c r="F882" s="307" t="n"/>
      <c r="G882" s="307" t="n"/>
      <c r="H882" s="307" t="n"/>
      <c r="I882" s="307" t="n"/>
      <c r="J882" s="307" t="n"/>
      <c r="K882" s="307" t="n"/>
      <c r="L882" s="307" t="n"/>
      <c r="M882" s="307" t="n"/>
      <c r="N882" s="307" t="n"/>
      <c r="O882" s="307" t="n"/>
      <c r="P882" s="307" t="n"/>
      <c r="Q882" s="30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 ht="15.5" customHeight="1">
      <c r="B883" s="293" t="n">
        <v>45436</v>
      </c>
      <c r="C883" s="294" t="n">
        <v>276</v>
      </c>
      <c r="D883" s="295" t="inlineStr">
        <is>
          <t>Taxi + Tol To Airport CGK</t>
        </is>
      </c>
      <c r="E883" s="287" t="inlineStr">
        <is>
          <t>-</t>
        </is>
      </c>
      <c r="F883" s="296" t="n">
        <v>250000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250000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>
      <c r="B884" s="304" t="inlineStr">
        <is>
          <t>Expense#16</t>
        </is>
      </c>
      <c r="C884" s="305" t="inlineStr">
        <is>
          <t>:</t>
        </is>
      </c>
      <c r="D884" s="304" t="inlineStr">
        <is>
          <t>ALFA job - JRK-193 OJT - Dwiyanto S</t>
        </is>
      </c>
      <c r="E884" s="306" t="n"/>
      <c r="F884" s="306" t="n"/>
      <c r="G884" s="306" t="n"/>
      <c r="H884" s="306" t="n"/>
      <c r="I884" s="306" t="n"/>
      <c r="J884" s="306" t="n"/>
      <c r="K884" s="306" t="n"/>
      <c r="L884" s="306" t="n"/>
      <c r="M884" s="306" t="n"/>
      <c r="N884" s="306" t="n"/>
      <c r="O884" s="306" t="n"/>
      <c r="P884" s="306" t="n"/>
      <c r="Q884" s="306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07" t="n"/>
      <c r="C885" s="307" t="n"/>
      <c r="D885" s="308" t="inlineStr">
        <is>
          <t>Allowance</t>
        </is>
      </c>
      <c r="E885" s="307" t="n"/>
      <c r="F885" s="307" t="n"/>
      <c r="G885" s="307" t="n"/>
      <c r="H885" s="307" t="n"/>
      <c r="I885" s="307" t="n"/>
      <c r="J885" s="307" t="n"/>
      <c r="K885" s="307" t="n"/>
      <c r="L885" s="307" t="n"/>
      <c r="M885" s="307" t="n"/>
      <c r="N885" s="307" t="n"/>
      <c r="O885" s="307" t="n"/>
      <c r="P885" s="307" t="n"/>
      <c r="Q885" s="30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45437</v>
      </c>
      <c r="C886" s="294" t="n">
        <v>277</v>
      </c>
      <c r="D886" s="295" t="inlineStr">
        <is>
          <t>Tunjangan Lapangan JRK-193 (25 - 30 May 2024). 1US$=16.200</t>
        </is>
      </c>
      <c r="E886" s="287" t="inlineStr">
        <is>
          <t>-</t>
        </is>
      </c>
      <c r="F886" s="296" t="n">
        <v>150</v>
      </c>
      <c r="G886" s="289" t="inlineStr">
        <is>
          <t>IDR</t>
        </is>
      </c>
      <c r="H886" s="297" t="n">
        <v>16200</v>
      </c>
      <c r="I886" s="298" t="n"/>
      <c r="J886" s="298" t="n"/>
      <c r="K886" s="299" t="n"/>
      <c r="L886" s="300" t="n">
        <v>150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07" t="n"/>
      <c r="C887" s="307" t="n"/>
      <c r="D887" s="308" t="inlineStr">
        <is>
          <t>Hand Tools</t>
        </is>
      </c>
      <c r="E887" s="307" t="n"/>
      <c r="F887" s="307" t="n"/>
      <c r="G887" s="307" t="n"/>
      <c r="H887" s="307" t="n"/>
      <c r="I887" s="307" t="n"/>
      <c r="J887" s="307" t="n"/>
      <c r="K887" s="307" t="n"/>
      <c r="L887" s="307" t="n"/>
      <c r="M887" s="307" t="n"/>
      <c r="N887" s="307" t="n"/>
      <c r="O887" s="307" t="n"/>
      <c r="P887" s="307" t="n"/>
      <c r="Q887" s="30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45439</v>
      </c>
      <c r="C888" s="294" t="n">
        <v>278</v>
      </c>
      <c r="D888" s="295" t="inlineStr">
        <is>
          <t>Hand gloves</t>
        </is>
      </c>
      <c r="E888" s="287" t="inlineStr">
        <is>
          <t>-</t>
        </is>
      </c>
      <c r="F888" s="296" t="n">
        <v>21900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287" t="n"/>
      <c r="M888" s="287" t="n"/>
      <c r="N888" s="300" t="n">
        <v>21900</v>
      </c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07" t="n"/>
      <c r="C889" s="307" t="n"/>
      <c r="D889" s="308" t="inlineStr">
        <is>
          <t>Laundry</t>
        </is>
      </c>
      <c r="E889" s="307" t="n"/>
      <c r="F889" s="307" t="n"/>
      <c r="G889" s="307" t="n"/>
      <c r="H889" s="307" t="n"/>
      <c r="I889" s="307" t="n"/>
      <c r="J889" s="307" t="n"/>
      <c r="K889" s="307" t="n"/>
      <c r="L889" s="307" t="n"/>
      <c r="M889" s="307" t="n"/>
      <c r="N889" s="307" t="n"/>
      <c r="O889" s="307" t="n"/>
      <c r="P889" s="307" t="n"/>
      <c r="Q889" s="30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45437</v>
      </c>
      <c r="C890" s="294" t="n">
        <v>279</v>
      </c>
      <c r="D890" s="295" t="inlineStr">
        <is>
          <t>Laundry (25 - 30 May 2024)</t>
        </is>
      </c>
      <c r="E890" s="287" t="inlineStr">
        <is>
          <t>-</t>
        </is>
      </c>
      <c r="F890" s="296" t="n">
        <v>300000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300000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07" t="n"/>
      <c r="C891" s="307" t="n"/>
      <c r="D891" s="308" t="inlineStr">
        <is>
          <t>Logistic</t>
        </is>
      </c>
      <c r="E891" s="307" t="n"/>
      <c r="F891" s="307" t="n"/>
      <c r="G891" s="307" t="n"/>
      <c r="H891" s="307" t="n"/>
      <c r="I891" s="307" t="n"/>
      <c r="J891" s="307" t="n"/>
      <c r="K891" s="307" t="n"/>
      <c r="L891" s="307" t="n"/>
      <c r="M891" s="307" t="n"/>
      <c r="N891" s="307" t="n"/>
      <c r="O891" s="307" t="n"/>
      <c r="P891" s="307" t="n"/>
      <c r="Q891" s="30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45437</v>
      </c>
      <c r="C892" s="294" t="n">
        <v>280</v>
      </c>
      <c r="D892" s="295" t="inlineStr">
        <is>
          <t>Wrapping Alfa Box</t>
        </is>
      </c>
      <c r="E892" s="287" t="inlineStr">
        <is>
          <t>-</t>
        </is>
      </c>
      <c r="F892" s="296" t="n">
        <v>80000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287" t="n"/>
      <c r="M892" s="287" t="n"/>
      <c r="N892" s="300" t="n">
        <v>80000</v>
      </c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07" t="n"/>
      <c r="C893" s="307" t="n"/>
      <c r="D893" s="308" t="inlineStr">
        <is>
          <t>Meal</t>
        </is>
      </c>
      <c r="E893" s="307" t="n"/>
      <c r="F893" s="307" t="n"/>
      <c r="G893" s="307" t="n"/>
      <c r="H893" s="307" t="n"/>
      <c r="I893" s="307" t="n"/>
      <c r="J893" s="307" t="n"/>
      <c r="K893" s="307" t="n"/>
      <c r="L893" s="307" t="n"/>
      <c r="M893" s="307" t="n"/>
      <c r="N893" s="307" t="n"/>
      <c r="O893" s="307" t="n"/>
      <c r="P893" s="307" t="n"/>
      <c r="Q893" s="30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 ht="15.5" customHeight="1">
      <c r="B894" s="293" t="n">
        <v>45437</v>
      </c>
      <c r="C894" s="294" t="n">
        <v>281</v>
      </c>
      <c r="D894" s="295" t="inlineStr">
        <is>
          <t>Uang Makan (25 - 30 May 2024)</t>
        </is>
      </c>
      <c r="E894" s="287" t="inlineStr">
        <is>
          <t>-</t>
        </is>
      </c>
      <c r="F894" s="296" t="n">
        <v>900000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900000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>
      <c r="B895" s="307" t="n"/>
      <c r="C895" s="307" t="n"/>
      <c r="D895" s="308" t="inlineStr">
        <is>
          <t>Sparepart</t>
        </is>
      </c>
      <c r="E895" s="307" t="n"/>
      <c r="F895" s="307" t="n"/>
      <c r="G895" s="307" t="n"/>
      <c r="H895" s="307" t="n"/>
      <c r="I895" s="307" t="n"/>
      <c r="J895" s="307" t="n"/>
      <c r="K895" s="307" t="n"/>
      <c r="L895" s="307" t="n"/>
      <c r="M895" s="307" t="n"/>
      <c r="N895" s="307" t="n"/>
      <c r="O895" s="307" t="n"/>
      <c r="P895" s="307" t="n"/>
      <c r="Q895" s="30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 ht="15.5" customHeight="1">
      <c r="B896" s="293" t="n">
        <v>45443</v>
      </c>
      <c r="C896" s="294" t="n">
        <v>282</v>
      </c>
      <c r="D896" s="295" t="inlineStr">
        <is>
          <t>Allen key, pliers, screwdrivers</t>
        </is>
      </c>
      <c r="E896" s="287" t="inlineStr">
        <is>
          <t>-</t>
        </is>
      </c>
      <c r="F896" s="296" t="n">
        <v>268000</v>
      </c>
      <c r="G896" s="289" t="inlineStr">
        <is>
          <t>IDR</t>
        </is>
      </c>
      <c r="H896" s="297" t="n">
        <v>1</v>
      </c>
      <c r="I896" s="298" t="n"/>
      <c r="J896" s="298" t="n"/>
      <c r="K896" s="299" t="n"/>
      <c r="L896" s="287" t="n"/>
      <c r="M896" s="287" t="n"/>
      <c r="N896" s="300" t="n">
        <v>268000</v>
      </c>
      <c r="O896" s="287" t="n"/>
      <c r="P896" s="287" t="n"/>
      <c r="Q896" s="287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>
      <c r="B897" s="307" t="n"/>
      <c r="C897" s="307" t="n"/>
      <c r="D897" s="308" t="inlineStr">
        <is>
          <t>Transportation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 ht="15.5" customHeight="1">
      <c r="B898" s="293" t="n">
        <v>45437</v>
      </c>
      <c r="C898" s="294" t="n">
        <v>283</v>
      </c>
      <c r="D898" s="295" t="inlineStr">
        <is>
          <t>fuel + tol PLM-Prabu</t>
        </is>
      </c>
      <c r="E898" s="287" t="inlineStr">
        <is>
          <t>-</t>
        </is>
      </c>
      <c r="F898" s="296" t="n">
        <v>312000</v>
      </c>
      <c r="G898" s="289" t="inlineStr">
        <is>
          <t>IDR</t>
        </is>
      </c>
      <c r="H898" s="297" t="n">
        <v>1</v>
      </c>
      <c r="I898" s="298" t="n"/>
      <c r="J898" s="298" t="n"/>
      <c r="K898" s="299" t="n"/>
      <c r="L898" s="300" t="n">
        <v>312000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>
      <c r="B899" s="304" t="inlineStr">
        <is>
          <t>Expense#17</t>
        </is>
      </c>
      <c r="C899" s="305" t="inlineStr">
        <is>
          <t>:</t>
        </is>
      </c>
      <c r="D899" s="304" t="inlineStr">
        <is>
          <t>ALFA JRK-193 - project SI_ TMA</t>
        </is>
      </c>
      <c r="E899" s="306" t="n"/>
      <c r="F899" s="306" t="n"/>
      <c r="G899" s="306" t="n"/>
      <c r="H899" s="306" t="n"/>
      <c r="I899" s="306" t="n"/>
      <c r="J899" s="306" t="n"/>
      <c r="K899" s="306" t="n"/>
      <c r="L899" s="306" t="n"/>
      <c r="M899" s="306" t="n"/>
      <c r="N899" s="306" t="n"/>
      <c r="O899" s="306" t="n"/>
      <c r="P899" s="306" t="n"/>
      <c r="Q899" s="306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07" t="n"/>
      <c r="C900" s="307" t="n"/>
      <c r="D900" s="308" t="inlineStr">
        <is>
          <t>Accommodation</t>
        </is>
      </c>
      <c r="E900" s="307" t="n"/>
      <c r="F900" s="307" t="n"/>
      <c r="G900" s="307" t="n"/>
      <c r="H900" s="307" t="n"/>
      <c r="I900" s="307" t="n"/>
      <c r="J900" s="307" t="n"/>
      <c r="K900" s="307" t="n"/>
      <c r="L900" s="307" t="n"/>
      <c r="M900" s="307" t="n"/>
      <c r="N900" s="307" t="n"/>
      <c r="O900" s="307" t="n"/>
      <c r="P900" s="307" t="n"/>
      <c r="Q900" s="30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45437</v>
      </c>
      <c r="C901" s="294" t="n">
        <v>284</v>
      </c>
      <c r="D901" s="295" t="inlineStr">
        <is>
          <t>Hotel 24 May - 30 May (6 days)</t>
        </is>
      </c>
      <c r="E901" s="287" t="inlineStr">
        <is>
          <t>-</t>
        </is>
      </c>
      <c r="F901" s="296" t="n">
        <v>1650000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1650000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07" t="n"/>
      <c r="C902" s="307" t="n"/>
      <c r="D902" s="308" t="inlineStr">
        <is>
          <t>Allowance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 ht="15.5" customHeight="1">
      <c r="B903" s="293" t="n">
        <v>45437</v>
      </c>
      <c r="C903" s="294" t="n">
        <v>285</v>
      </c>
      <c r="D903" s="295" t="inlineStr">
        <is>
          <t>Tunjangan Lapangan for 6 days</t>
        </is>
      </c>
      <c r="E903" s="287" t="inlineStr">
        <is>
          <t>-</t>
        </is>
      </c>
      <c r="F903" s="296" t="n">
        <v>9717600</v>
      </c>
      <c r="G903" s="289" t="inlineStr">
        <is>
          <t>USD</t>
        </is>
      </c>
      <c r="H903" s="297" t="n">
        <v>16196</v>
      </c>
      <c r="I903" s="298" t="n"/>
      <c r="J903" s="298" t="n"/>
      <c r="K903" s="299" t="n"/>
      <c r="L903" s="300" t="n">
        <v>9717600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>
      <c r="B904" s="307" t="n"/>
      <c r="C904" s="307" t="n"/>
      <c r="D904" s="308" t="inlineStr">
        <is>
          <t>Biaya Operasi Lain-lain</t>
        </is>
      </c>
      <c r="E904" s="307" t="n"/>
      <c r="F904" s="307" t="n"/>
      <c r="G904" s="307" t="n"/>
      <c r="H904" s="307" t="n"/>
      <c r="I904" s="307" t="n"/>
      <c r="J904" s="307" t="n"/>
      <c r="K904" s="307" t="n"/>
      <c r="L904" s="307" t="n"/>
      <c r="M904" s="307" t="n"/>
      <c r="N904" s="307" t="n"/>
      <c r="O904" s="307" t="n"/>
      <c r="P904" s="307" t="n"/>
      <c r="Q904" s="30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 ht="15.5" customHeight="1">
      <c r="B905" s="293" t="n">
        <v>45437</v>
      </c>
      <c r="C905" s="294" t="n">
        <v>286</v>
      </c>
      <c r="D905" s="295" t="inlineStr">
        <is>
          <t>Rent Car 6 Days</t>
        </is>
      </c>
      <c r="E905" s="287" t="inlineStr">
        <is>
          <t>-</t>
        </is>
      </c>
      <c r="F905" s="296" t="n">
        <v>2900000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2900000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>
      <c r="B906" s="307" t="n"/>
      <c r="C906" s="307" t="n"/>
      <c r="D906" s="308" t="inlineStr">
        <is>
          <t>Laundry</t>
        </is>
      </c>
      <c r="E906" s="307" t="n"/>
      <c r="F906" s="307" t="n"/>
      <c r="G906" s="307" t="n"/>
      <c r="H906" s="307" t="n"/>
      <c r="I906" s="307" t="n"/>
      <c r="J906" s="307" t="n"/>
      <c r="K906" s="307" t="n"/>
      <c r="L906" s="307" t="n"/>
      <c r="M906" s="307" t="n"/>
      <c r="N906" s="307" t="n"/>
      <c r="O906" s="307" t="n"/>
      <c r="P906" s="307" t="n"/>
      <c r="Q906" s="30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 ht="15.5" customHeight="1">
      <c r="B907" s="293" t="n">
        <v>45437</v>
      </c>
      <c r="C907" s="294" t="n">
        <v>287</v>
      </c>
      <c r="D907" s="295" t="inlineStr">
        <is>
          <t>Laundry 6 days 1 Persons @ 50K IDR/day</t>
        </is>
      </c>
      <c r="E907" s="287" t="inlineStr">
        <is>
          <t>-</t>
        </is>
      </c>
      <c r="F907" s="296" t="n">
        <v>300000</v>
      </c>
      <c r="G907" s="289" t="inlineStr">
        <is>
          <t>IDR</t>
        </is>
      </c>
      <c r="H907" s="297" t="n">
        <v>1</v>
      </c>
      <c r="I907" s="298" t="n"/>
      <c r="J907" s="298" t="n"/>
      <c r="K907" s="299" t="n"/>
      <c r="L907" s="300" t="n">
        <v>300000</v>
      </c>
      <c r="M907" s="287" t="n"/>
      <c r="N907" s="287" t="n"/>
      <c r="O907" s="287" t="n"/>
      <c r="P907" s="287" t="n"/>
      <c r="Q907" s="28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>
      <c r="B908" s="307" t="n"/>
      <c r="C908" s="307" t="n"/>
      <c r="D908" s="308" t="inlineStr">
        <is>
          <t>Meal</t>
        </is>
      </c>
      <c r="E908" s="307" t="n"/>
      <c r="F908" s="307" t="n"/>
      <c r="G908" s="307" t="n"/>
      <c r="H908" s="307" t="n"/>
      <c r="I908" s="307" t="n"/>
      <c r="J908" s="307" t="n"/>
      <c r="K908" s="307" t="n"/>
      <c r="L908" s="307" t="n"/>
      <c r="M908" s="307" t="n"/>
      <c r="N908" s="307" t="n"/>
      <c r="O908" s="307" t="n"/>
      <c r="P908" s="307" t="n"/>
      <c r="Q908" s="30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 ht="15.5" customHeight="1">
      <c r="B909" s="293" t="n">
        <v>45437</v>
      </c>
      <c r="C909" s="294" t="n">
        <v>288</v>
      </c>
      <c r="D909" s="295" t="inlineStr">
        <is>
          <t>Meals 7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>
      <c r="B910" s="307" t="n"/>
      <c r="C910" s="307" t="n"/>
      <c r="D910" s="308" t="inlineStr">
        <is>
          <t>Transportation</t>
        </is>
      </c>
      <c r="E910" s="307" t="n"/>
      <c r="F910" s="307" t="n"/>
      <c r="G910" s="307" t="n"/>
      <c r="H910" s="307" t="n"/>
      <c r="I910" s="307" t="n"/>
      <c r="J910" s="307" t="n"/>
      <c r="K910" s="307" t="n"/>
      <c r="L910" s="307" t="n"/>
      <c r="M910" s="307" t="n"/>
      <c r="N910" s="307" t="n"/>
      <c r="O910" s="307" t="n"/>
      <c r="P910" s="307" t="n"/>
      <c r="Q910" s="30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 ht="15.5" customHeight="1">
      <c r="B911" s="293" t="n">
        <v>45442</v>
      </c>
      <c r="C911" s="294" t="n">
        <v>289</v>
      </c>
      <c r="D911" s="295" t="inlineStr">
        <is>
          <t>Airplane Ticket PLM-CGK (2 Person)</t>
        </is>
      </c>
      <c r="E911" s="287" t="inlineStr">
        <is>
          <t>-</t>
        </is>
      </c>
      <c r="F911" s="296" t="n">
        <v>1326410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1326410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>
      <c r="B912" s="304" t="inlineStr">
        <is>
          <t>Expense#18</t>
        </is>
      </c>
      <c r="C912" s="305" t="inlineStr">
        <is>
          <t>:</t>
        </is>
      </c>
      <c r="D912" s="304" t="inlineStr">
        <is>
          <t>Non Trip - BOSIET Training - DS</t>
        </is>
      </c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  <c r="O912" s="306" t="n"/>
      <c r="P912" s="306" t="n"/>
      <c r="Q912" s="306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07" t="n"/>
      <c r="C913" s="307" t="n"/>
      <c r="D913" s="308" t="inlineStr">
        <is>
          <t>Biaya Operasi Lain-lain</t>
        </is>
      </c>
      <c r="E913" s="307" t="n"/>
      <c r="F913" s="307" t="n"/>
      <c r="G913" s="307" t="n"/>
      <c r="H913" s="307" t="n"/>
      <c r="I913" s="307" t="n"/>
      <c r="J913" s="307" t="n"/>
      <c r="K913" s="307" t="n"/>
      <c r="L913" s="307" t="n"/>
      <c r="M913" s="307" t="n"/>
      <c r="N913" s="307" t="n"/>
      <c r="O913" s="307" t="n"/>
      <c r="P913" s="307" t="n"/>
      <c r="Q913" s="30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45448</v>
      </c>
      <c r="C914" s="294" t="n">
        <v>290</v>
      </c>
      <c r="D914" s="295" t="inlineStr">
        <is>
          <t>Personal Car from Home to PT. LTJ (converted) DAY-1</t>
        </is>
      </c>
      <c r="E914" s="287" t="inlineStr">
        <is>
          <t>-</t>
        </is>
      </c>
      <c r="F914" s="296" t="n">
        <v>233000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233000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07" t="n"/>
      <c r="C915" s="307" t="n"/>
      <c r="D915" s="308" t="inlineStr">
        <is>
          <t>Training</t>
        </is>
      </c>
      <c r="E915" s="307" t="n"/>
      <c r="F915" s="307" t="n"/>
      <c r="G915" s="307" t="n"/>
      <c r="H915" s="307" t="n"/>
      <c r="I915" s="307" t="n"/>
      <c r="J915" s="307" t="n"/>
      <c r="K915" s="307" t="n"/>
      <c r="L915" s="307" t="n"/>
      <c r="M915" s="307" t="n"/>
      <c r="N915" s="307" t="n"/>
      <c r="O915" s="307" t="n"/>
      <c r="P915" s="307" t="n"/>
      <c r="Q915" s="30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 ht="15.5" customHeight="1">
      <c r="B916" s="293" t="n">
        <v>45450</v>
      </c>
      <c r="C916" s="294" t="n">
        <v>291</v>
      </c>
      <c r="D916" s="295" t="inlineStr">
        <is>
          <t>BOSIET 5 - 7 June 2024</t>
        </is>
      </c>
      <c r="E916" s="287" t="inlineStr">
        <is>
          <t>-</t>
        </is>
      </c>
      <c r="F916" s="296" t="n">
        <v>9693878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9693878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>
      <c r="B917" s="307" t="n"/>
      <c r="C917" s="307" t="n"/>
      <c r="D917" s="308" t="inlineStr">
        <is>
          <t>Transportation</t>
        </is>
      </c>
      <c r="E917" s="307" t="n"/>
      <c r="F917" s="307" t="n"/>
      <c r="G917" s="307" t="n"/>
      <c r="H917" s="307" t="n"/>
      <c r="I917" s="307" t="n"/>
      <c r="J917" s="307" t="n"/>
      <c r="K917" s="307" t="n"/>
      <c r="L917" s="307" t="n"/>
      <c r="M917" s="307" t="n"/>
      <c r="N917" s="307" t="n"/>
      <c r="O917" s="307" t="n"/>
      <c r="P917" s="307" t="n"/>
      <c r="Q917" s="30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 ht="15.5" customHeight="1">
      <c r="B918" s="293" t="n">
        <v>45450</v>
      </c>
      <c r="C918" s="294" t="n">
        <v>292</v>
      </c>
      <c r="D918" s="295" t="inlineStr">
        <is>
          <t>Transport DAY - 3 BOSIET</t>
        </is>
      </c>
      <c r="E918" s="287" t="inlineStr">
        <is>
          <t>-</t>
        </is>
      </c>
      <c r="F918" s="296" t="n">
        <v>59000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59000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>
      <c r="B919" s="304" t="inlineStr">
        <is>
          <t>Expense#19</t>
        </is>
      </c>
      <c r="C919" s="305" t="inlineStr">
        <is>
          <t>:</t>
        </is>
      </c>
      <c r="D919" s="304" t="inlineStr">
        <is>
          <t>ALFA JRK-163 (Pending job) - TMA</t>
        </is>
      </c>
      <c r="E919" s="306" t="n"/>
      <c r="F919" s="306" t="n"/>
      <c r="G919" s="306" t="n"/>
      <c r="H919" s="306" t="n"/>
      <c r="I919" s="306" t="n"/>
      <c r="J919" s="306" t="n"/>
      <c r="K919" s="306" t="n"/>
      <c r="L919" s="306" t="n"/>
      <c r="M919" s="306" t="n"/>
      <c r="N919" s="306" t="n"/>
      <c r="O919" s="306" t="n"/>
      <c r="P919" s="306" t="n"/>
      <c r="Q919" s="306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07" t="n"/>
      <c r="C920" s="307" t="n"/>
      <c r="D920" s="308" t="inlineStr">
        <is>
          <t>Accommodation</t>
        </is>
      </c>
      <c r="E920" s="307" t="n"/>
      <c r="F920" s="307" t="n"/>
      <c r="G920" s="307" t="n"/>
      <c r="H920" s="307" t="n"/>
      <c r="I920" s="307" t="n"/>
      <c r="J920" s="307" t="n"/>
      <c r="K920" s="307" t="n"/>
      <c r="L920" s="307" t="n"/>
      <c r="M920" s="307" t="n"/>
      <c r="N920" s="307" t="n"/>
      <c r="O920" s="307" t="n"/>
      <c r="P920" s="307" t="n"/>
      <c r="Q920" s="30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45428</v>
      </c>
      <c r="C921" s="294" t="n">
        <v>293</v>
      </c>
      <c r="D921" s="295" t="inlineStr">
        <is>
          <t>Hotel 16 June - 19 June (3 days)</t>
        </is>
      </c>
      <c r="E921" s="287" t="inlineStr">
        <is>
          <t>-</t>
        </is>
      </c>
      <c r="F921" s="296" t="n">
        <v>720000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720000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07" t="n"/>
      <c r="C922" s="307" t="n"/>
      <c r="D922" s="308" t="inlineStr">
        <is>
          <t>Allowance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45428</v>
      </c>
      <c r="C923" s="294" t="n">
        <v>294</v>
      </c>
      <c r="D923" s="295" t="inlineStr">
        <is>
          <t>Tunjangan Lapangan for 4 days</t>
        </is>
      </c>
      <c r="E923" s="287" t="inlineStr">
        <is>
          <t>-</t>
        </is>
      </c>
      <c r="F923" s="296" t="n">
        <v>6551200</v>
      </c>
      <c r="G923" s="289" t="inlineStr">
        <is>
          <t>USD</t>
        </is>
      </c>
      <c r="H923" s="297" t="n">
        <v>16378</v>
      </c>
      <c r="I923" s="298" t="n"/>
      <c r="J923" s="298" t="n"/>
      <c r="K923" s="299" t="n"/>
      <c r="L923" s="300" t="n">
        <v>6551200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07" t="n"/>
      <c r="C924" s="307" t="n"/>
      <c r="D924" s="308" t="inlineStr">
        <is>
          <t>Biaya Operasi Lain-lain</t>
        </is>
      </c>
      <c r="E924" s="307" t="n"/>
      <c r="F924" s="307" t="n"/>
      <c r="G924" s="307" t="n"/>
      <c r="H924" s="307" t="n"/>
      <c r="I924" s="307" t="n"/>
      <c r="J924" s="307" t="n"/>
      <c r="K924" s="307" t="n"/>
      <c r="L924" s="307" t="n"/>
      <c r="M924" s="307" t="n"/>
      <c r="N924" s="307" t="n"/>
      <c r="O924" s="307" t="n"/>
      <c r="P924" s="307" t="n"/>
      <c r="Q924" s="30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 ht="15.5" customHeight="1">
      <c r="B925" s="293" t="n">
        <v>45428</v>
      </c>
      <c r="C925" s="294" t="n">
        <v>295</v>
      </c>
      <c r="D925" s="295" t="inlineStr">
        <is>
          <t>Rent Car 4 Days</t>
        </is>
      </c>
      <c r="E925" s="287" t="inlineStr">
        <is>
          <t>-</t>
        </is>
      </c>
      <c r="F925" s="296" t="n">
        <v>2000000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300" t="n">
        <v>2000000</v>
      </c>
      <c r="M925" s="287" t="n"/>
      <c r="N925" s="287" t="n"/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>
      <c r="B926" s="307" t="n"/>
      <c r="C926" s="307" t="n"/>
      <c r="D926" s="308" t="inlineStr">
        <is>
          <t>Elektronik &amp; Gadget</t>
        </is>
      </c>
      <c r="E926" s="307" t="n"/>
      <c r="F926" s="307" t="n"/>
      <c r="G926" s="307" t="n"/>
      <c r="H926" s="307" t="n"/>
      <c r="I926" s="307" t="n"/>
      <c r="J926" s="307" t="n"/>
      <c r="K926" s="307" t="n"/>
      <c r="L926" s="307" t="n"/>
      <c r="M926" s="307" t="n"/>
      <c r="N926" s="307" t="n"/>
      <c r="O926" s="307" t="n"/>
      <c r="P926" s="307" t="n"/>
      <c r="Q926" s="30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 ht="15.5" customHeight="1">
      <c r="B927" s="293" t="n">
        <v>45428</v>
      </c>
      <c r="C927" s="294" t="n">
        <v>296</v>
      </c>
      <c r="D927" s="295" t="inlineStr">
        <is>
          <t>Uneed Power Station</t>
        </is>
      </c>
      <c r="E927" s="287" t="inlineStr">
        <is>
          <t>-</t>
        </is>
      </c>
      <c r="F927" s="296" t="n">
        <v>2371000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2371000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>
      <c r="B928" s="307" t="n"/>
      <c r="C928" s="307" t="n"/>
      <c r="D928" s="308" t="inlineStr">
        <is>
          <t>Laundry</t>
        </is>
      </c>
      <c r="E928" s="307" t="n"/>
      <c r="F928" s="307" t="n"/>
      <c r="G928" s="307" t="n"/>
      <c r="H928" s="307" t="n"/>
      <c r="I928" s="307" t="n"/>
      <c r="J928" s="307" t="n"/>
      <c r="K928" s="307" t="n"/>
      <c r="L928" s="307" t="n"/>
      <c r="M928" s="307" t="n"/>
      <c r="N928" s="307" t="n"/>
      <c r="O928" s="307" t="n"/>
      <c r="P928" s="307" t="n"/>
      <c r="Q928" s="30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 ht="15.5" customHeight="1">
      <c r="B929" s="293" t="n">
        <v>45428</v>
      </c>
      <c r="C929" s="294" t="n">
        <v>297</v>
      </c>
      <c r="D929" s="295" t="inlineStr">
        <is>
          <t>Laundry 4 days 1 Persons @ 50K IDR/day</t>
        </is>
      </c>
      <c r="E929" s="287" t="inlineStr">
        <is>
          <t>-</t>
        </is>
      </c>
      <c r="F929" s="296" t="n">
        <v>200000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300" t="n">
        <v>200000</v>
      </c>
      <c r="M929" s="287" t="n"/>
      <c r="N929" s="287" t="n"/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>
      <c r="B930" s="307" t="n"/>
      <c r="C930" s="307" t="n"/>
      <c r="D930" s="308" t="inlineStr">
        <is>
          <t>Meal</t>
        </is>
      </c>
      <c r="E930" s="307" t="n"/>
      <c r="F930" s="307" t="n"/>
      <c r="G930" s="307" t="n"/>
      <c r="H930" s="307" t="n"/>
      <c r="I930" s="307" t="n"/>
      <c r="J930" s="307" t="n"/>
      <c r="K930" s="307" t="n"/>
      <c r="L930" s="307" t="n"/>
      <c r="M930" s="307" t="n"/>
      <c r="N930" s="307" t="n"/>
      <c r="O930" s="307" t="n"/>
      <c r="P930" s="307" t="n"/>
      <c r="Q930" s="30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 ht="15.5" customHeight="1">
      <c r="B931" s="293" t="n">
        <v>45428</v>
      </c>
      <c r="C931" s="294" t="n">
        <v>298</v>
      </c>
      <c r="D931" s="295" t="inlineStr">
        <is>
          <t>Meals 4 days 1 Persons @ 150K IDR/day</t>
        </is>
      </c>
      <c r="E931" s="287" t="inlineStr">
        <is>
          <t>-</t>
        </is>
      </c>
      <c r="F931" s="296" t="n">
        <v>600000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300" t="n">
        <v>600000</v>
      </c>
      <c r="M931" s="287" t="n"/>
      <c r="N931" s="287" t="n"/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>
      <c r="B932" s="307" t="n"/>
      <c r="C932" s="307" t="n"/>
      <c r="D932" s="308" t="inlineStr">
        <is>
          <t>Transportation</t>
        </is>
      </c>
      <c r="E932" s="307" t="n"/>
      <c r="F932" s="307" t="n"/>
      <c r="G932" s="307" t="n"/>
      <c r="H932" s="307" t="n"/>
      <c r="I932" s="307" t="n"/>
      <c r="J932" s="307" t="n"/>
      <c r="K932" s="307" t="n"/>
      <c r="L932" s="307" t="n"/>
      <c r="M932" s="307" t="n"/>
      <c r="N932" s="307" t="n"/>
      <c r="O932" s="307" t="n"/>
      <c r="P932" s="307" t="n"/>
      <c r="Q932" s="30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 ht="15.5" customHeight="1">
      <c r="B933" s="293" t="n">
        <v>45428</v>
      </c>
      <c r="C933" s="294" t="n">
        <v>299</v>
      </c>
      <c r="D933" s="295" t="inlineStr">
        <is>
          <t>Airplane Ticket PLM-HLP</t>
        </is>
      </c>
      <c r="E933" s="287" t="inlineStr">
        <is>
          <t>-</t>
        </is>
      </c>
      <c r="F933" s="296" t="n">
        <v>1004000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300" t="n">
        <v>1004000</v>
      </c>
      <c r="M933" s="287" t="n"/>
      <c r="N933" s="287" t="n"/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04" t="inlineStr">
        <is>
          <t>Expense#20</t>
        </is>
      </c>
      <c r="C934" s="305" t="inlineStr">
        <is>
          <t>:</t>
        </is>
      </c>
      <c r="D934" s="304" t="inlineStr">
        <is>
          <t>Preparation TIS Petroleum - TMA</t>
        </is>
      </c>
      <c r="E934" s="306" t="n"/>
      <c r="F934" s="306" t="n"/>
      <c r="G934" s="306" t="n"/>
      <c r="H934" s="306" t="n"/>
      <c r="I934" s="306" t="n"/>
      <c r="J934" s="306" t="n"/>
      <c r="K934" s="306" t="n"/>
      <c r="L934" s="306" t="n"/>
      <c r="M934" s="306" t="n"/>
      <c r="N934" s="306" t="n"/>
      <c r="O934" s="306" t="n"/>
      <c r="P934" s="306" t="n"/>
      <c r="Q934" s="306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>
      <c r="B935" s="307" t="n"/>
      <c r="C935" s="307" t="n"/>
      <c r="D935" s="308" t="inlineStr">
        <is>
          <t>Sparepart</t>
        </is>
      </c>
      <c r="E935" s="307" t="n"/>
      <c r="F935" s="307" t="n"/>
      <c r="G935" s="307" t="n"/>
      <c r="H935" s="307" t="n"/>
      <c r="I935" s="307" t="n"/>
      <c r="J935" s="307" t="n"/>
      <c r="K935" s="307" t="n"/>
      <c r="L935" s="307" t="n"/>
      <c r="M935" s="307" t="n"/>
      <c r="N935" s="307" t="n"/>
      <c r="O935" s="307" t="n"/>
      <c r="P935" s="307" t="n"/>
      <c r="Q935" s="30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 ht="15.5" customHeight="1">
      <c r="B936" s="293" t="n">
        <v>45483</v>
      </c>
      <c r="C936" s="294" t="n">
        <v>300</v>
      </c>
      <c r="D936" s="295" t="inlineStr">
        <is>
          <t>Hardcase Custom</t>
        </is>
      </c>
      <c r="E936" s="287" t="inlineStr">
        <is>
          <t>-</t>
        </is>
      </c>
      <c r="F936" s="296" t="n">
        <v>3595000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3595000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>
      <c r="B937" s="307" t="n"/>
      <c r="C937" s="307" t="n"/>
      <c r="D937" s="308" t="inlineStr">
        <is>
          <t>Transportation</t>
        </is>
      </c>
      <c r="E937" s="307" t="n"/>
      <c r="F937" s="307" t="n"/>
      <c r="G937" s="307" t="n"/>
      <c r="H937" s="307" t="n"/>
      <c r="I937" s="307" t="n"/>
      <c r="J937" s="307" t="n"/>
      <c r="K937" s="307" t="n"/>
      <c r="L937" s="307" t="n"/>
      <c r="M937" s="307" t="n"/>
      <c r="N937" s="307" t="n"/>
      <c r="O937" s="307" t="n"/>
      <c r="P937" s="307" t="n"/>
      <c r="Q937" s="30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 ht="15.5" customHeight="1">
      <c r="B938" s="293" t="n">
        <v>45478</v>
      </c>
      <c r="C938" s="294" t="n">
        <v>301</v>
      </c>
      <c r="D938" s="295" t="inlineStr">
        <is>
          <t>Lalamove Gowell-Bogor-Gowell</t>
        </is>
      </c>
      <c r="E938" s="287" t="inlineStr">
        <is>
          <t>-</t>
        </is>
      </c>
      <c r="F938" s="296" t="n">
        <v>594804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300" t="n">
        <v>594804</v>
      </c>
      <c r="M938" s="287" t="n"/>
      <c r="N938" s="287" t="n"/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>
      <c r="B939" s="304" t="inlineStr">
        <is>
          <t>Expense#21</t>
        </is>
      </c>
      <c r="C939" s="305" t="inlineStr">
        <is>
          <t>:</t>
        </is>
      </c>
      <c r="D939" s="304" t="inlineStr">
        <is>
          <t>Delivery Tools Sonoecho (KL) - TMA</t>
        </is>
      </c>
      <c r="E939" s="306" t="n"/>
      <c r="F939" s="306" t="n"/>
      <c r="G939" s="306" t="n"/>
      <c r="H939" s="306" t="n"/>
      <c r="I939" s="306" t="n"/>
      <c r="J939" s="306" t="n"/>
      <c r="K939" s="306" t="n"/>
      <c r="L939" s="306" t="n"/>
      <c r="M939" s="306" t="n"/>
      <c r="N939" s="306" t="n"/>
      <c r="O939" s="306" t="n"/>
      <c r="P939" s="306" t="n"/>
      <c r="Q939" s="306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07" t="n"/>
      <c r="C940" s="307" t="n"/>
      <c r="D940" s="308" t="inlineStr">
        <is>
          <t>Accommodation</t>
        </is>
      </c>
      <c r="E940" s="307" t="n"/>
      <c r="F940" s="307" t="n"/>
      <c r="G940" s="307" t="n"/>
      <c r="H940" s="307" t="n"/>
      <c r="I940" s="307" t="n"/>
      <c r="J940" s="307" t="n"/>
      <c r="K940" s="307" t="n"/>
      <c r="L940" s="307" t="n"/>
      <c r="M940" s="307" t="n"/>
      <c r="N940" s="307" t="n"/>
      <c r="O940" s="307" t="n"/>
      <c r="P940" s="307" t="n"/>
      <c r="Q940" s="30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 ht="15.5" customHeight="1">
      <c r="B941" s="293" t="n">
        <v>45481</v>
      </c>
      <c r="C941" s="294" t="n">
        <v>302</v>
      </c>
      <c r="D941" s="295" t="inlineStr">
        <is>
          <t>Hotel Tax Foreigner</t>
        </is>
      </c>
      <c r="E941" s="287" t="inlineStr">
        <is>
          <t>-</t>
        </is>
      </c>
      <c r="F941" s="296" t="n">
        <v>34620</v>
      </c>
      <c r="G941" s="289" t="inlineStr">
        <is>
          <t>MYR</t>
        </is>
      </c>
      <c r="H941" s="297" t="n">
        <v>3462</v>
      </c>
      <c r="I941" s="298" t="n"/>
      <c r="J941" s="298" t="n"/>
      <c r="K941" s="299" t="n"/>
      <c r="L941" s="300" t="n">
        <v>34620</v>
      </c>
      <c r="M941" s="287" t="n"/>
      <c r="N941" s="287" t="n"/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>
      <c r="B942" s="307" t="n"/>
      <c r="C942" s="307" t="n"/>
      <c r="D942" s="308" t="inlineStr">
        <is>
          <t>Elektronik &amp; Gadget</t>
        </is>
      </c>
      <c r="E942" s="307" t="n"/>
      <c r="F942" s="307" t="n"/>
      <c r="G942" s="307" t="n"/>
      <c r="H942" s="307" t="n"/>
      <c r="I942" s="307" t="n"/>
      <c r="J942" s="307" t="n"/>
      <c r="K942" s="307" t="n"/>
      <c r="L942" s="307" t="n"/>
      <c r="M942" s="307" t="n"/>
      <c r="N942" s="307" t="n"/>
      <c r="O942" s="307" t="n"/>
      <c r="P942" s="307" t="n"/>
      <c r="Q942" s="30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 ht="15.5" customHeight="1">
      <c r="B943" s="293" t="n">
        <v>45483</v>
      </c>
      <c r="C943" s="294" t="n">
        <v>303</v>
      </c>
      <c r="D943" s="295" t="inlineStr">
        <is>
          <t>Asus Slate 13 (tablet asus)</t>
        </is>
      </c>
      <c r="E943" s="287" t="inlineStr">
        <is>
          <t>-</t>
        </is>
      </c>
      <c r="F943" s="296" t="n">
        <v>9778400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9778400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>
      <c r="B944" s="307" t="n"/>
      <c r="C944" s="307" t="n"/>
      <c r="D944" s="308" t="inlineStr">
        <is>
          <t>Transportation</t>
        </is>
      </c>
      <c r="E944" s="307" t="n"/>
      <c r="F944" s="307" t="n"/>
      <c r="G944" s="307" t="n"/>
      <c r="H944" s="307" t="n"/>
      <c r="I944" s="307" t="n"/>
      <c r="J944" s="307" t="n"/>
      <c r="K944" s="307" t="n"/>
      <c r="L944" s="307" t="n"/>
      <c r="M944" s="307" t="n"/>
      <c r="N944" s="307" t="n"/>
      <c r="O944" s="307" t="n"/>
      <c r="P944" s="307" t="n"/>
      <c r="Q944" s="30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 ht="15.5" customHeight="1">
      <c r="B945" s="293" t="n">
        <v>45482</v>
      </c>
      <c r="C945" s="294" t="n">
        <v>304</v>
      </c>
      <c r="D945" s="295" t="inlineStr">
        <is>
          <t>Taxi CGK - Home</t>
        </is>
      </c>
      <c r="E945" s="287" t="inlineStr">
        <is>
          <t>-</t>
        </is>
      </c>
      <c r="F945" s="296" t="n">
        <v>259120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300" t="n">
        <v>259120</v>
      </c>
      <c r="M945" s="287" t="n"/>
      <c r="N945" s="287" t="n"/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>
      <c r="B946" s="304" t="inlineStr">
        <is>
          <t>Expense#22</t>
        </is>
      </c>
      <c r="C946" s="305" t="inlineStr">
        <is>
          <t>:</t>
        </is>
      </c>
      <c r="D946" s="304" t="inlineStr">
        <is>
          <t>Non project ( MCU ulang )_ IBR</t>
        </is>
      </c>
      <c r="E946" s="306" t="n"/>
      <c r="F946" s="306" t="n"/>
      <c r="G946" s="306" t="n"/>
      <c r="H946" s="306" t="n"/>
      <c r="I946" s="306" t="n"/>
      <c r="J946" s="306" t="n"/>
      <c r="K946" s="306" t="n"/>
      <c r="L946" s="306" t="n"/>
      <c r="M946" s="306" t="n"/>
      <c r="N946" s="306" t="n"/>
      <c r="O946" s="306" t="n"/>
      <c r="P946" s="306" t="n"/>
      <c r="Q946" s="306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07" t="n"/>
      <c r="C947" s="307" t="n"/>
      <c r="D947" s="308" t="inlineStr">
        <is>
          <t>Medical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45453</v>
      </c>
      <c r="C948" s="294" t="n">
        <v>305</v>
      </c>
      <c r="D948" s="295" t="inlineStr">
        <is>
          <t>Konsultasi Spesialis Penyakit Dalam</t>
        </is>
      </c>
      <c r="E948" s="287" t="inlineStr">
        <is>
          <t>-</t>
        </is>
      </c>
      <c r="F948" s="296" t="n">
        <v>206000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287" t="n"/>
      <c r="O948" s="287" t="n"/>
      <c r="P948" s="300" t="n">
        <v>206000</v>
      </c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04" t="inlineStr">
        <is>
          <t>Expense#23</t>
        </is>
      </c>
      <c r="C949" s="305" t="inlineStr">
        <is>
          <t>:</t>
        </is>
      </c>
      <c r="D949" s="304" t="inlineStr">
        <is>
          <t>ALFA job - JRK-163 (Job)_undr Sijak_ DS</t>
        </is>
      </c>
      <c r="E949" s="306" t="n"/>
      <c r="F949" s="306" t="n"/>
      <c r="G949" s="306" t="n"/>
      <c r="H949" s="306" t="n"/>
      <c r="I949" s="306" t="n"/>
      <c r="J949" s="306" t="n"/>
      <c r="K949" s="306" t="n"/>
      <c r="L949" s="306" t="n"/>
      <c r="M949" s="306" t="n"/>
      <c r="N949" s="306" t="n"/>
      <c r="O949" s="306" t="n"/>
      <c r="P949" s="306" t="n"/>
      <c r="Q949" s="306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>
      <c r="B950" s="307" t="n"/>
      <c r="C950" s="307" t="n"/>
      <c r="D950" s="308" t="inlineStr">
        <is>
          <t>Accommodation</t>
        </is>
      </c>
      <c r="E950" s="307" t="n"/>
      <c r="F950" s="307" t="n"/>
      <c r="G950" s="307" t="n"/>
      <c r="H950" s="307" t="n"/>
      <c r="I950" s="307" t="n"/>
      <c r="J950" s="307" t="n"/>
      <c r="K950" s="307" t="n"/>
      <c r="L950" s="307" t="n"/>
      <c r="M950" s="307" t="n"/>
      <c r="N950" s="307" t="n"/>
      <c r="O950" s="307" t="n"/>
      <c r="P950" s="307" t="n"/>
      <c r="Q950" s="30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 ht="15.5" customHeight="1">
      <c r="B951" s="293" t="n">
        <v>45500</v>
      </c>
      <c r="C951" s="294" t="n">
        <v>306</v>
      </c>
      <c r="D951" s="295" t="inlineStr">
        <is>
          <t>Lodge 21-27 Jul 2024 (3 rooms)</t>
        </is>
      </c>
      <c r="E951" s="287" t="inlineStr">
        <is>
          <t>-</t>
        </is>
      </c>
      <c r="F951" s="296" t="n">
        <v>2160000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300" t="n">
        <v>2160000</v>
      </c>
      <c r="M951" s="287" t="n"/>
      <c r="N951" s="287" t="n"/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07" t="n"/>
      <c r="C952" s="307" t="n"/>
      <c r="D952" s="308" t="inlineStr">
        <is>
          <t>Allowance</t>
        </is>
      </c>
      <c r="E952" s="307" t="n"/>
      <c r="F952" s="307" t="n"/>
      <c r="G952" s="307" t="n"/>
      <c r="H952" s="307" t="n"/>
      <c r="I952" s="307" t="n"/>
      <c r="J952" s="307" t="n"/>
      <c r="K952" s="307" t="n"/>
      <c r="L952" s="307" t="n"/>
      <c r="M952" s="307" t="n"/>
      <c r="N952" s="307" t="n"/>
      <c r="O952" s="307" t="n"/>
      <c r="P952" s="307" t="n"/>
      <c r="Q952" s="30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45500</v>
      </c>
      <c r="C953" s="294" t="n">
        <v>307</v>
      </c>
      <c r="D953" s="295" t="inlineStr">
        <is>
          <t>Tunajngan Lapangan JRK-163 (21-27 Juli 2024). 1US$=16.200</t>
        </is>
      </c>
      <c r="E953" s="287" t="inlineStr">
        <is>
          <t>-</t>
        </is>
      </c>
      <c r="F953" s="296" t="n">
        <v>700</v>
      </c>
      <c r="G953" s="289" t="inlineStr">
        <is>
          <t>IDR</t>
        </is>
      </c>
      <c r="H953" s="297" t="n">
        <v>16200</v>
      </c>
      <c r="I953" s="298" t="n"/>
      <c r="J953" s="298" t="n"/>
      <c r="K953" s="299" t="n"/>
      <c r="L953" s="300" t="n">
        <v>700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07" t="n"/>
      <c r="C954" s="307" t="n"/>
      <c r="D954" s="308" t="inlineStr">
        <is>
          <t>Biaya Operasi Lain-lain</t>
        </is>
      </c>
      <c r="E954" s="307" t="n"/>
      <c r="F954" s="307" t="n"/>
      <c r="G954" s="307" t="n"/>
      <c r="H954" s="307" t="n"/>
      <c r="I954" s="307" t="n"/>
      <c r="J954" s="307" t="n"/>
      <c r="K954" s="307" t="n"/>
      <c r="L954" s="307" t="n"/>
      <c r="M954" s="307" t="n"/>
      <c r="N954" s="307" t="n"/>
      <c r="O954" s="307" t="n"/>
      <c r="P954" s="307" t="n"/>
      <c r="Q954" s="30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45494</v>
      </c>
      <c r="C955" s="294" t="n">
        <v>308</v>
      </c>
      <c r="D955" s="295" t="inlineStr">
        <is>
          <t>Jakarta - Palembang</t>
        </is>
      </c>
      <c r="E955" s="287" t="inlineStr">
        <is>
          <t>-</t>
        </is>
      </c>
      <c r="F955" s="296" t="n">
        <v>400000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400000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07" t="n"/>
      <c r="C956" s="307" t="n"/>
      <c r="D956" s="308" t="inlineStr">
        <is>
          <t>Hand Tools</t>
        </is>
      </c>
      <c r="E956" s="307" t="n"/>
      <c r="F956" s="307" t="n"/>
      <c r="G956" s="307" t="n"/>
      <c r="H956" s="307" t="n"/>
      <c r="I956" s="307" t="n"/>
      <c r="J956" s="307" t="n"/>
      <c r="K956" s="307" t="n"/>
      <c r="L956" s="307" t="n"/>
      <c r="M956" s="307" t="n"/>
      <c r="N956" s="307" t="n"/>
      <c r="O956" s="307" t="n"/>
      <c r="P956" s="307" t="n"/>
      <c r="Q956" s="307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45495</v>
      </c>
      <c r="C957" s="294" t="n">
        <v>309</v>
      </c>
      <c r="D957" s="295" t="inlineStr">
        <is>
          <t>Rags - Gloves</t>
        </is>
      </c>
      <c r="E957" s="287" t="inlineStr">
        <is>
          <t>-</t>
        </is>
      </c>
      <c r="F957" s="296" t="n">
        <v>70000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287" t="n"/>
      <c r="M957" s="287" t="n"/>
      <c r="N957" s="300" t="n">
        <v>70000</v>
      </c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07" t="n"/>
      <c r="C958" s="307" t="n"/>
      <c r="D958" s="308" t="inlineStr">
        <is>
          <t>Laundry</t>
        </is>
      </c>
      <c r="E958" s="307" t="n"/>
      <c r="F958" s="307" t="n"/>
      <c r="G958" s="307" t="n"/>
      <c r="H958" s="307" t="n"/>
      <c r="I958" s="307" t="n"/>
      <c r="J958" s="307" t="n"/>
      <c r="K958" s="307" t="n"/>
      <c r="L958" s="307" t="n"/>
      <c r="M958" s="307" t="n"/>
      <c r="N958" s="307" t="n"/>
      <c r="O958" s="307" t="n"/>
      <c r="P958" s="307" t="n"/>
      <c r="Q958" s="30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45500</v>
      </c>
      <c r="C959" s="294" t="n">
        <v>310</v>
      </c>
      <c r="D959" s="295" t="inlineStr">
        <is>
          <t>Laundry (21 - 27 Juli 2024)</t>
        </is>
      </c>
      <c r="E959" s="287" t="inlineStr">
        <is>
          <t>-</t>
        </is>
      </c>
      <c r="F959" s="296" t="n">
        <v>350000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350000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07" t="n"/>
      <c r="C960" s="307" t="n"/>
      <c r="D960" s="308" t="inlineStr">
        <is>
          <t>Meal</t>
        </is>
      </c>
      <c r="E960" s="307" t="n"/>
      <c r="F960" s="307" t="n"/>
      <c r="G960" s="307" t="n"/>
      <c r="H960" s="307" t="n"/>
      <c r="I960" s="307" t="n"/>
      <c r="J960" s="307" t="n"/>
      <c r="K960" s="307" t="n"/>
      <c r="L960" s="307" t="n"/>
      <c r="M960" s="307" t="n"/>
      <c r="N960" s="307" t="n"/>
      <c r="O960" s="307" t="n"/>
      <c r="P960" s="307" t="n"/>
      <c r="Q960" s="30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 ht="15.5" customHeight="1">
      <c r="B961" s="293" t="n">
        <v>45500</v>
      </c>
      <c r="C961" s="294" t="n">
        <v>311</v>
      </c>
      <c r="D961" s="295" t="inlineStr">
        <is>
          <t>Uang Makan (21 - 27 Juli 2024)</t>
        </is>
      </c>
      <c r="E961" s="287" t="inlineStr">
        <is>
          <t>-</t>
        </is>
      </c>
      <c r="F961" s="296" t="n">
        <v>1050000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300" t="n">
        <v>1050000</v>
      </c>
      <c r="M961" s="287" t="n"/>
      <c r="N961" s="287" t="n"/>
      <c r="O961" s="287" t="n"/>
      <c r="P961" s="287" t="n"/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>
      <c r="B962" s="307" t="n"/>
      <c r="C962" s="307" t="n"/>
      <c r="D962" s="308" t="inlineStr">
        <is>
          <t>Sparepart</t>
        </is>
      </c>
      <c r="E962" s="307" t="n"/>
      <c r="F962" s="307" t="n"/>
      <c r="G962" s="307" t="n"/>
      <c r="H962" s="307" t="n"/>
      <c r="I962" s="307" t="n"/>
      <c r="J962" s="307" t="n"/>
      <c r="K962" s="307" t="n"/>
      <c r="L962" s="307" t="n"/>
      <c r="M962" s="307" t="n"/>
      <c r="N962" s="307" t="n"/>
      <c r="O962" s="307" t="n"/>
      <c r="P962" s="307" t="n"/>
      <c r="Q962" s="30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 ht="15.5" customHeight="1">
      <c r="B963" s="293" t="n">
        <v>45498</v>
      </c>
      <c r="C963" s="294" t="n">
        <v>312</v>
      </c>
      <c r="D963" s="295" t="inlineStr">
        <is>
          <t>Battery for DTR (Spare)</t>
        </is>
      </c>
      <c r="E963" s="287" t="inlineStr">
        <is>
          <t>-</t>
        </is>
      </c>
      <c r="F963" s="296" t="n">
        <v>38900</v>
      </c>
      <c r="G963" s="289" t="inlineStr">
        <is>
          <t>IDR</t>
        </is>
      </c>
      <c r="H963" s="297" t="n">
        <v>1</v>
      </c>
      <c r="I963" s="298" t="n"/>
      <c r="J963" s="298" t="n"/>
      <c r="K963" s="299" t="n"/>
      <c r="L963" s="287" t="n"/>
      <c r="M963" s="287" t="n"/>
      <c r="N963" s="300" t="n">
        <v>38900</v>
      </c>
      <c r="O963" s="287" t="n"/>
      <c r="P963" s="287" t="n"/>
      <c r="Q963" s="28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>
      <c r="B964" s="307" t="n"/>
      <c r="C964" s="307" t="n"/>
      <c r="D964" s="308" t="inlineStr">
        <is>
          <t>Transportation</t>
        </is>
      </c>
      <c r="E964" s="307" t="n"/>
      <c r="F964" s="307" t="n"/>
      <c r="G964" s="307" t="n"/>
      <c r="H964" s="307" t="n"/>
      <c r="I964" s="307" t="n"/>
      <c r="J964" s="307" t="n"/>
      <c r="K964" s="307" t="n"/>
      <c r="L964" s="307" t="n"/>
      <c r="M964" s="307" t="n"/>
      <c r="N964" s="307" t="n"/>
      <c r="O964" s="307" t="n"/>
      <c r="P964" s="307" t="n"/>
      <c r="Q964" s="30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 ht="15.5" customHeight="1">
      <c r="B965" s="293" t="n">
        <v>45500</v>
      </c>
      <c r="C965" s="294" t="n">
        <v>313</v>
      </c>
      <c r="D965" s="295" t="inlineStr">
        <is>
          <t>Car rental 21 - 27 Jul 2024</t>
        </is>
      </c>
      <c r="E965" s="287" t="inlineStr">
        <is>
          <t>-</t>
        </is>
      </c>
      <c r="F965" s="296" t="n">
        <v>3500000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3500000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04" t="inlineStr">
        <is>
          <t>Expense#24</t>
        </is>
      </c>
      <c r="C966" s="305" t="inlineStr">
        <is>
          <t>:</t>
        </is>
      </c>
      <c r="D966" s="304" t="inlineStr">
        <is>
          <t>ALFA JOB - JRK 163 (training 2nd_ IBR)</t>
        </is>
      </c>
      <c r="E966" s="306" t="n"/>
      <c r="F966" s="306" t="n"/>
      <c r="G966" s="306" t="n"/>
      <c r="H966" s="306" t="n"/>
      <c r="I966" s="306" t="n"/>
      <c r="J966" s="306" t="n"/>
      <c r="K966" s="306" t="n"/>
      <c r="L966" s="306" t="n"/>
      <c r="M966" s="306" t="n"/>
      <c r="N966" s="306" t="n"/>
      <c r="O966" s="306" t="n"/>
      <c r="P966" s="306" t="n"/>
      <c r="Q966" s="306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>
      <c r="B967" s="307" t="n"/>
      <c r="C967" s="307" t="n"/>
      <c r="D967" s="308" t="inlineStr">
        <is>
          <t>Allowance</t>
        </is>
      </c>
      <c r="E967" s="307" t="n"/>
      <c r="F967" s="307" t="n"/>
      <c r="G967" s="307" t="n"/>
      <c r="H967" s="307" t="n"/>
      <c r="I967" s="307" t="n"/>
      <c r="J967" s="307" t="n"/>
      <c r="K967" s="307" t="n"/>
      <c r="L967" s="307" t="n"/>
      <c r="M967" s="307" t="n"/>
      <c r="N967" s="307" t="n"/>
      <c r="O967" s="307" t="n"/>
      <c r="P967" s="307" t="n"/>
      <c r="Q967" s="30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 ht="15.5" customHeight="1">
      <c r="B968" s="293" t="n">
        <v>45501</v>
      </c>
      <c r="C968" s="294" t="n">
        <v>314</v>
      </c>
      <c r="D968" s="295" t="inlineStr">
        <is>
          <t>Tunjangan Lapangan JRK-163 (21 - 27 Juli 2024)</t>
        </is>
      </c>
      <c r="E968" s="287" t="inlineStr">
        <is>
          <t>-</t>
        </is>
      </c>
      <c r="F968" s="296" t="n">
        <v>2852500</v>
      </c>
      <c r="G968" s="289" t="inlineStr">
        <is>
          <t>$</t>
        </is>
      </c>
      <c r="H968" s="297" t="n">
        <v>16300</v>
      </c>
      <c r="I968" s="298" t="n"/>
      <c r="J968" s="298" t="n"/>
      <c r="K968" s="299" t="n"/>
      <c r="L968" s="300" t="n">
        <v>2852500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>
      <c r="B969" s="307" t="n"/>
      <c r="C969" s="307" t="n"/>
      <c r="D969" s="308" t="inlineStr">
        <is>
          <t>Laundry</t>
        </is>
      </c>
      <c r="E969" s="307" t="n"/>
      <c r="F969" s="307" t="n"/>
      <c r="G969" s="307" t="n"/>
      <c r="H969" s="307" t="n"/>
      <c r="I969" s="307" t="n"/>
      <c r="J969" s="307" t="n"/>
      <c r="K969" s="307" t="n"/>
      <c r="L969" s="307" t="n"/>
      <c r="M969" s="307" t="n"/>
      <c r="N969" s="307" t="n"/>
      <c r="O969" s="307" t="n"/>
      <c r="P969" s="307" t="n"/>
      <c r="Q969" s="30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 ht="15.5" customHeight="1">
      <c r="B970" s="293" t="n">
        <v>45501</v>
      </c>
      <c r="C970" s="294" t="n">
        <v>315</v>
      </c>
      <c r="D970" s="295" t="inlineStr">
        <is>
          <t>Laundry (21 - 27 Juli 2024)</t>
        </is>
      </c>
      <c r="E970" s="287" t="inlineStr">
        <is>
          <t>-</t>
        </is>
      </c>
      <c r="F970" s="296" t="n">
        <v>350000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350000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>
      <c r="B971" s="307" t="n"/>
      <c r="C971" s="307" t="n"/>
      <c r="D971" s="308" t="inlineStr">
        <is>
          <t>Meal</t>
        </is>
      </c>
      <c r="E971" s="307" t="n"/>
      <c r="F971" s="307" t="n"/>
      <c r="G971" s="307" t="n"/>
      <c r="H971" s="307" t="n"/>
      <c r="I971" s="307" t="n"/>
      <c r="J971" s="307" t="n"/>
      <c r="K971" s="307" t="n"/>
      <c r="L971" s="307" t="n"/>
      <c r="M971" s="307" t="n"/>
      <c r="N971" s="307" t="n"/>
      <c r="O971" s="307" t="n"/>
      <c r="P971" s="307" t="n"/>
      <c r="Q971" s="30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 ht="15.5" customHeight="1">
      <c r="B972" s="293" t="n">
        <v>45501</v>
      </c>
      <c r="C972" s="294" t="n">
        <v>316</v>
      </c>
      <c r="D972" s="295" t="inlineStr">
        <is>
          <t>Uang makan (21 - 27 Juli 2024)</t>
        </is>
      </c>
      <c r="E972" s="287" t="inlineStr">
        <is>
          <t>-</t>
        </is>
      </c>
      <c r="F972" s="296" t="n">
        <v>1050000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1050000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04" t="inlineStr">
        <is>
          <t>Expense#25</t>
        </is>
      </c>
      <c r="C973" s="305" t="inlineStr">
        <is>
          <t>:</t>
        </is>
      </c>
      <c r="D973" s="304" t="inlineStr">
        <is>
          <t>TIS-Blora Field-PLT ALFA BHS by BARIKIN - IC</t>
        </is>
      </c>
      <c r="E973" s="306" t="n"/>
      <c r="F973" s="306" t="n"/>
      <c r="G973" s="306" t="n"/>
      <c r="H973" s="306" t="n"/>
      <c r="I973" s="306" t="n"/>
      <c r="J973" s="306" t="n"/>
      <c r="K973" s="306" t="n"/>
      <c r="L973" s="306" t="n"/>
      <c r="M973" s="306" t="n"/>
      <c r="N973" s="306" t="n"/>
      <c r="O973" s="306" t="n"/>
      <c r="P973" s="306" t="n"/>
      <c r="Q973" s="306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>
      <c r="B974" s="307" t="n"/>
      <c r="C974" s="307" t="n"/>
      <c r="D974" s="308" t="inlineStr">
        <is>
          <t>Allowance</t>
        </is>
      </c>
      <c r="E974" s="307" t="n"/>
      <c r="F974" s="307" t="n"/>
      <c r="G974" s="307" t="n"/>
      <c r="H974" s="307" t="n"/>
      <c r="I974" s="307" t="n"/>
      <c r="J974" s="307" t="n"/>
      <c r="K974" s="307" t="n"/>
      <c r="L974" s="307" t="n"/>
      <c r="M974" s="307" t="n"/>
      <c r="N974" s="307" t="n"/>
      <c r="O974" s="307" t="n"/>
      <c r="P974" s="307" t="n"/>
      <c r="Q974" s="30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 ht="15.5" customHeight="1">
      <c r="B975" s="293" t="n">
        <v>45512</v>
      </c>
      <c r="C975" s="294" t="n">
        <v>317</v>
      </c>
      <c r="D975" s="295" t="inlineStr">
        <is>
          <t>Tunjangan Lapangan for 10 days</t>
        </is>
      </c>
      <c r="E975" s="287" t="inlineStr">
        <is>
          <t>-</t>
        </is>
      </c>
      <c r="F975" s="296" t="n">
        <v>16100000</v>
      </c>
      <c r="G975" s="289" t="inlineStr">
        <is>
          <t>USD</t>
        </is>
      </c>
      <c r="H975" s="297" t="n">
        <v>16100</v>
      </c>
      <c r="I975" s="298" t="n"/>
      <c r="J975" s="298" t="n"/>
      <c r="K975" s="299" t="n"/>
      <c r="L975" s="300" t="n">
        <v>16100000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07" t="n"/>
      <c r="C976" s="307" t="n"/>
      <c r="D976" s="308" t="inlineStr">
        <is>
          <t>Laundry</t>
        </is>
      </c>
      <c r="E976" s="307" t="n"/>
      <c r="F976" s="307" t="n"/>
      <c r="G976" s="307" t="n"/>
      <c r="H976" s="307" t="n"/>
      <c r="I976" s="307" t="n"/>
      <c r="J976" s="307" t="n"/>
      <c r="K976" s="307" t="n"/>
      <c r="L976" s="307" t="n"/>
      <c r="M976" s="307" t="n"/>
      <c r="N976" s="307" t="n"/>
      <c r="O976" s="307" t="n"/>
      <c r="P976" s="307" t="n"/>
      <c r="Q976" s="30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45511</v>
      </c>
      <c r="C977" s="294" t="n">
        <v>318</v>
      </c>
      <c r="D977" s="295" t="inlineStr">
        <is>
          <t>Laundry 10 days 1 Persons @ 50K IDR/day</t>
        </is>
      </c>
      <c r="E977" s="287" t="inlineStr">
        <is>
          <t>-</t>
        </is>
      </c>
      <c r="F977" s="296" t="n">
        <v>500000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500000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07" t="n"/>
      <c r="C978" s="307" t="n"/>
      <c r="D978" s="308" t="inlineStr">
        <is>
          <t>Meal</t>
        </is>
      </c>
      <c r="E978" s="307" t="n"/>
      <c r="F978" s="307" t="n"/>
      <c r="G978" s="307" t="n"/>
      <c r="H978" s="307" t="n"/>
      <c r="I978" s="307" t="n"/>
      <c r="J978" s="307" t="n"/>
      <c r="K978" s="307" t="n"/>
      <c r="L978" s="307" t="n"/>
      <c r="M978" s="307" t="n"/>
      <c r="N978" s="307" t="n"/>
      <c r="O978" s="307" t="n"/>
      <c r="P978" s="307" t="n"/>
      <c r="Q978" s="30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 ht="15.5" customHeight="1">
      <c r="B979" s="293" t="n">
        <v>45511</v>
      </c>
      <c r="C979" s="294" t="n">
        <v>319</v>
      </c>
      <c r="D979" s="295" t="inlineStr">
        <is>
          <t>Meals 10 days 1 Persons @ 150K IDR/day</t>
        </is>
      </c>
      <c r="E979" s="287" t="inlineStr">
        <is>
          <t>-</t>
        </is>
      </c>
      <c r="F979" s="296" t="n">
        <v>1500000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1500000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>
      <c r="B980" s="307" t="n"/>
      <c r="C980" s="307" t="n"/>
      <c r="D980" s="308" t="inlineStr">
        <is>
          <t>Sparepart</t>
        </is>
      </c>
      <c r="E980" s="307" t="n"/>
      <c r="F980" s="307" t="n"/>
      <c r="G980" s="307" t="n"/>
      <c r="H980" s="307" t="n"/>
      <c r="I980" s="307" t="n"/>
      <c r="J980" s="307" t="n"/>
      <c r="K980" s="307" t="n"/>
      <c r="L980" s="307" t="n"/>
      <c r="M980" s="307" t="n"/>
      <c r="N980" s="307" t="n"/>
      <c r="O980" s="307" t="n"/>
      <c r="P980" s="307" t="n"/>
      <c r="Q980" s="30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 ht="15.5" customHeight="1">
      <c r="B981" s="293" t="n">
        <v>45516</v>
      </c>
      <c r="C981" s="294" t="n">
        <v>320</v>
      </c>
      <c r="D981" s="295" t="inlineStr">
        <is>
          <t>Pelican Long Case 1770</t>
        </is>
      </c>
      <c r="E981" s="287" t="inlineStr">
        <is>
          <t>-</t>
        </is>
      </c>
      <c r="F981" s="296" t="n">
        <v>15166600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287" t="n"/>
      <c r="M981" s="287" t="n"/>
      <c r="N981" s="300" t="n">
        <v>15166600</v>
      </c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>
      <c r="B982" s="304" t="inlineStr">
        <is>
          <t>Expense#26</t>
        </is>
      </c>
      <c r="C982" s="305" t="inlineStr">
        <is>
          <t>:</t>
        </is>
      </c>
      <c r="D982" s="304" t="inlineStr">
        <is>
          <t>ALFA-MPLT-BHS_ RBG 3B PT. TIS under Barikin sakti _DS</t>
        </is>
      </c>
      <c r="E982" s="306" t="n"/>
      <c r="F982" s="306" t="n"/>
      <c r="G982" s="306" t="n"/>
      <c r="H982" s="306" t="n"/>
      <c r="I982" s="306" t="n"/>
      <c r="J982" s="306" t="n"/>
      <c r="K982" s="306" t="n"/>
      <c r="L982" s="306" t="n"/>
      <c r="M982" s="306" t="n"/>
      <c r="N982" s="306" t="n"/>
      <c r="O982" s="306" t="n"/>
      <c r="P982" s="306" t="n"/>
      <c r="Q982" s="306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07" t="n"/>
      <c r="C983" s="307" t="n"/>
      <c r="D983" s="308" t="inlineStr">
        <is>
          <t>Accommodation</t>
        </is>
      </c>
      <c r="E983" s="307" t="n"/>
      <c r="F983" s="307" t="n"/>
      <c r="G983" s="307" t="n"/>
      <c r="H983" s="307" t="n"/>
      <c r="I983" s="307" t="n"/>
      <c r="J983" s="307" t="n"/>
      <c r="K983" s="307" t="n"/>
      <c r="L983" s="307" t="n"/>
      <c r="M983" s="307" t="n"/>
      <c r="N983" s="307" t="n"/>
      <c r="O983" s="307" t="n"/>
      <c r="P983" s="307" t="n"/>
      <c r="Q983" s="30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 ht="15.5" customHeight="1">
      <c r="B984" s="293" t="n">
        <v>45509</v>
      </c>
      <c r="C984" s="294" t="n">
        <v>321</v>
      </c>
      <c r="D984" s="295" t="inlineStr">
        <is>
          <t>Hotel 6 Aug - 7 Aug 2024 (2 rooms)</t>
        </is>
      </c>
      <c r="E984" s="287" t="inlineStr">
        <is>
          <t>-</t>
        </is>
      </c>
      <c r="F984" s="296" t="n">
        <v>795600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795600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>
      <c r="B985" s="307" t="n"/>
      <c r="C985" s="307" t="n"/>
      <c r="D985" s="308" t="inlineStr">
        <is>
          <t>Allowance</t>
        </is>
      </c>
      <c r="E985" s="307" t="n"/>
      <c r="F985" s="307" t="n"/>
      <c r="G985" s="307" t="n"/>
      <c r="H985" s="307" t="n"/>
      <c r="I985" s="307" t="n"/>
      <c r="J985" s="307" t="n"/>
      <c r="K985" s="307" t="n"/>
      <c r="L985" s="307" t="n"/>
      <c r="M985" s="307" t="n"/>
      <c r="N985" s="307" t="n"/>
      <c r="O985" s="307" t="n"/>
      <c r="P985" s="307" t="n"/>
      <c r="Q985" s="30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 ht="15.5" customHeight="1">
      <c r="B986" s="293" t="n">
        <v>45511</v>
      </c>
      <c r="C986" s="294" t="n">
        <v>322</v>
      </c>
      <c r="D986" s="295" t="inlineStr">
        <is>
          <t>Tunjangan LapanganRBG-3B PT. TIS (3-7 Aug 2024)</t>
        </is>
      </c>
      <c r="E986" s="287" t="inlineStr">
        <is>
          <t>-</t>
        </is>
      </c>
      <c r="F986" s="296" t="n">
        <v>500</v>
      </c>
      <c r="G986" s="289" t="inlineStr">
        <is>
          <t>IDR</t>
        </is>
      </c>
      <c r="H986" s="297" t="n">
        <v>15900</v>
      </c>
      <c r="I986" s="298" t="n"/>
      <c r="J986" s="298" t="n"/>
      <c r="K986" s="299" t="n"/>
      <c r="L986" s="300" t="n">
        <v>500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>
      <c r="B987" s="307" t="n"/>
      <c r="C987" s="307" t="n"/>
      <c r="D987" s="308" t="inlineStr">
        <is>
          <t>Biaya Operasi Lain-lain</t>
        </is>
      </c>
      <c r="E987" s="307" t="n"/>
      <c r="F987" s="307" t="n"/>
      <c r="G987" s="307" t="n"/>
      <c r="H987" s="307" t="n"/>
      <c r="I987" s="307" t="n"/>
      <c r="J987" s="307" t="n"/>
      <c r="K987" s="307" t="n"/>
      <c r="L987" s="307" t="n"/>
      <c r="M987" s="307" t="n"/>
      <c r="N987" s="307" t="n"/>
      <c r="O987" s="307" t="n"/>
      <c r="P987" s="307" t="n"/>
      <c r="Q987" s="30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 ht="15.5" customHeight="1">
      <c r="B988" s="293" t="n">
        <v>45507</v>
      </c>
      <c r="C988" s="294" t="n">
        <v>323</v>
      </c>
      <c r="D988" s="295" t="inlineStr">
        <is>
          <t>Jakarta - Semarang</t>
        </is>
      </c>
      <c r="E988" s="287" t="inlineStr">
        <is>
          <t>-</t>
        </is>
      </c>
      <c r="F988" s="296" t="n">
        <v>673500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673500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>
      <c r="B989" s="307" t="n"/>
      <c r="C989" s="307" t="n"/>
      <c r="D989" s="308" t="inlineStr">
        <is>
          <t>Laundry</t>
        </is>
      </c>
      <c r="E989" s="307" t="n"/>
      <c r="F989" s="307" t="n"/>
      <c r="G989" s="307" t="n"/>
      <c r="H989" s="307" t="n"/>
      <c r="I989" s="307" t="n"/>
      <c r="J989" s="307" t="n"/>
      <c r="K989" s="307" t="n"/>
      <c r="L989" s="307" t="n"/>
      <c r="M989" s="307" t="n"/>
      <c r="N989" s="307" t="n"/>
      <c r="O989" s="307" t="n"/>
      <c r="P989" s="307" t="n"/>
      <c r="Q989" s="30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 ht="15.5" customHeight="1">
      <c r="B990" s="293" t="n">
        <v>45511</v>
      </c>
      <c r="C990" s="294" t="n">
        <v>324</v>
      </c>
      <c r="D990" s="295" t="inlineStr">
        <is>
          <t>Laundry (3 - 7 Aug 2024)</t>
        </is>
      </c>
      <c r="E990" s="287" t="inlineStr">
        <is>
          <t>-</t>
        </is>
      </c>
      <c r="F990" s="296" t="n">
        <v>250000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250000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>
      <c r="B991" s="307" t="n"/>
      <c r="C991" s="307" t="n"/>
      <c r="D991" s="308" t="inlineStr">
        <is>
          <t>Meal</t>
        </is>
      </c>
      <c r="E991" s="307" t="n"/>
      <c r="F991" s="307" t="n"/>
      <c r="G991" s="307" t="n"/>
      <c r="H991" s="307" t="n"/>
      <c r="I991" s="307" t="n"/>
      <c r="J991" s="307" t="n"/>
      <c r="K991" s="307" t="n"/>
      <c r="L991" s="307" t="n"/>
      <c r="M991" s="307" t="n"/>
      <c r="N991" s="307" t="n"/>
      <c r="O991" s="307" t="n"/>
      <c r="P991" s="307" t="n"/>
      <c r="Q991" s="30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 ht="15.5" customHeight="1">
      <c r="B992" s="293" t="n">
        <v>45511</v>
      </c>
      <c r="C992" s="294" t="n">
        <v>325</v>
      </c>
      <c r="D992" s="295" t="inlineStr">
        <is>
          <t>Uang Makan (3 - 7 Aug 2024)</t>
        </is>
      </c>
      <c r="E992" s="287" t="inlineStr">
        <is>
          <t>-</t>
        </is>
      </c>
      <c r="F992" s="296" t="n">
        <v>750000</v>
      </c>
      <c r="G992" s="289" t="inlineStr">
        <is>
          <t>IDR</t>
        </is>
      </c>
      <c r="H992" s="297" t="n">
        <v>1</v>
      </c>
      <c r="I992" s="298" t="n"/>
      <c r="J992" s="298" t="n"/>
      <c r="K992" s="299" t="n"/>
      <c r="L992" s="300" t="n">
        <v>750000</v>
      </c>
      <c r="M992" s="287" t="n"/>
      <c r="N992" s="287" t="n"/>
      <c r="O992" s="287" t="n"/>
      <c r="P992" s="287" t="n"/>
      <c r="Q992" s="28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07" t="n"/>
      <c r="C993" s="307" t="n"/>
      <c r="D993" s="308" t="inlineStr">
        <is>
          <t>Transportation</t>
        </is>
      </c>
      <c r="E993" s="307" t="n"/>
      <c r="F993" s="307" t="n"/>
      <c r="G993" s="307" t="n"/>
      <c r="H993" s="307" t="n"/>
      <c r="I993" s="307" t="n"/>
      <c r="J993" s="307" t="n"/>
      <c r="K993" s="307" t="n"/>
      <c r="L993" s="307" t="n"/>
      <c r="M993" s="307" t="n"/>
      <c r="N993" s="307" t="n"/>
      <c r="O993" s="307" t="n"/>
      <c r="P993" s="307" t="n"/>
      <c r="Q993" s="30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45511</v>
      </c>
      <c r="C994" s="294" t="n">
        <v>326</v>
      </c>
      <c r="D994" s="295" t="inlineStr">
        <is>
          <t>Gocar Hotel to Tawang</t>
        </is>
      </c>
      <c r="E994" s="287" t="inlineStr">
        <is>
          <t>-</t>
        </is>
      </c>
      <c r="F994" s="296" t="n">
        <v>45000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45000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04" t="inlineStr">
        <is>
          <t>Expense#27</t>
        </is>
      </c>
      <c r="C995" s="305" t="inlineStr">
        <is>
          <t>:</t>
        </is>
      </c>
      <c r="D995" s="304" t="inlineStr">
        <is>
          <t>Non tripo 1st -- MCU + Pembelian barang kelengkapan pump AC</t>
        </is>
      </c>
      <c r="E995" s="306" t="n"/>
      <c r="F995" s="306" t="n"/>
      <c r="G995" s="306" t="n"/>
      <c r="H995" s="306" t="n"/>
      <c r="I995" s="306" t="n"/>
      <c r="J995" s="306" t="n"/>
      <c r="K995" s="306" t="n"/>
      <c r="L995" s="306" t="n"/>
      <c r="M995" s="306" t="n"/>
      <c r="N995" s="306" t="n"/>
      <c r="O995" s="306" t="n"/>
      <c r="P995" s="306" t="n"/>
      <c r="Q995" s="306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>
      <c r="B996" s="307" t="n"/>
      <c r="C996" s="307" t="n"/>
      <c r="D996" s="308" t="inlineStr">
        <is>
          <t>Elektronik &amp; Gadget</t>
        </is>
      </c>
      <c r="E996" s="307" t="n"/>
      <c r="F996" s="307" t="n"/>
      <c r="G996" s="307" t="n"/>
      <c r="H996" s="307" t="n"/>
      <c r="I996" s="307" t="n"/>
      <c r="J996" s="307" t="n"/>
      <c r="K996" s="307" t="n"/>
      <c r="L996" s="307" t="n"/>
      <c r="M996" s="307" t="n"/>
      <c r="N996" s="307" t="n"/>
      <c r="O996" s="307" t="n"/>
      <c r="P996" s="307" t="n"/>
      <c r="Q996" s="30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 ht="15.5" customHeight="1">
      <c r="B997" s="293" t="n">
        <v>45499</v>
      </c>
      <c r="C997" s="294" t="n">
        <v>327</v>
      </c>
      <c r="D997" s="295" t="inlineStr">
        <is>
          <t>buy Adapter</t>
        </is>
      </c>
      <c r="E997" s="287" t="inlineStr">
        <is>
          <t>-</t>
        </is>
      </c>
      <c r="F997" s="296" t="n">
        <v>20000</v>
      </c>
      <c r="G997" s="289" t="inlineStr">
        <is>
          <t>IDR</t>
        </is>
      </c>
      <c r="H997" s="297" t="n">
        <v>1</v>
      </c>
      <c r="I997" s="298" t="n"/>
      <c r="J997" s="298" t="n"/>
      <c r="K997" s="299" t="n"/>
      <c r="L997" s="287" t="n"/>
      <c r="M997" s="287" t="n"/>
      <c r="N997" s="300" t="n">
        <v>20000</v>
      </c>
      <c r="O997" s="287" t="n"/>
      <c r="P997" s="287" t="n"/>
      <c r="Q997" s="28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>
      <c r="B998" s="307" t="n"/>
      <c r="C998" s="307" t="n"/>
      <c r="D998" s="308" t="inlineStr">
        <is>
          <t>Hand Tools</t>
        </is>
      </c>
      <c r="E998" s="307" t="n"/>
      <c r="F998" s="307" t="n"/>
      <c r="G998" s="307" t="n"/>
      <c r="H998" s="307" t="n"/>
      <c r="I998" s="307" t="n"/>
      <c r="J998" s="307" t="n"/>
      <c r="K998" s="307" t="n"/>
      <c r="L998" s="307" t="n"/>
      <c r="M998" s="307" t="n"/>
      <c r="N998" s="307" t="n"/>
      <c r="O998" s="307" t="n"/>
      <c r="P998" s="307" t="n"/>
      <c r="Q998" s="30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 ht="15.5" customHeight="1">
      <c r="B999" s="293" t="n">
        <v>45501</v>
      </c>
      <c r="C999" s="294" t="n">
        <v>328</v>
      </c>
      <c r="D999" s="295" t="inlineStr">
        <is>
          <t>Buy Case for tools box dan hydraulic pump</t>
        </is>
      </c>
      <c r="E999" s="287" t="inlineStr">
        <is>
          <t>-</t>
        </is>
      </c>
      <c r="F999" s="296" t="n">
        <v>2636800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287" t="n"/>
      <c r="M999" s="287" t="n"/>
      <c r="N999" s="300" t="n">
        <v>2636800</v>
      </c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>
      <c r="B1000" s="307" t="n"/>
      <c r="C1000" s="307" t="n"/>
      <c r="D1000" s="308" t="inlineStr">
        <is>
          <t>Meal</t>
        </is>
      </c>
      <c r="E1000" s="307" t="n"/>
      <c r="F1000" s="307" t="n"/>
      <c r="G1000" s="307" t="n"/>
      <c r="H1000" s="307" t="n"/>
      <c r="I1000" s="307" t="n"/>
      <c r="J1000" s="307" t="n"/>
      <c r="K1000" s="307" t="n"/>
      <c r="L1000" s="307" t="n"/>
      <c r="M1000" s="307" t="n"/>
      <c r="N1000" s="307" t="n"/>
      <c r="O1000" s="307" t="n"/>
      <c r="P1000" s="307" t="n"/>
      <c r="Q1000" s="30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 ht="15.5" customHeight="1">
      <c r="B1001" s="293" t="n">
        <v>45484</v>
      </c>
      <c r="C1001" s="294" t="n">
        <v>329</v>
      </c>
      <c r="D1001" s="295" t="inlineStr">
        <is>
          <t>Meal lunch when visit to Lemigas (Sample Botol)</t>
        </is>
      </c>
      <c r="E1001" s="287" t="inlineStr">
        <is>
          <t>-</t>
        </is>
      </c>
      <c r="F1001" s="296" t="n">
        <v>81000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81000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>
      <c r="B1002" s="307" t="n"/>
      <c r="C1002" s="307" t="n"/>
      <c r="D1002" s="308" t="inlineStr">
        <is>
          <t>Medical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 ht="15.5" customHeight="1">
      <c r="B1003" s="293" t="n">
        <v>45484</v>
      </c>
      <c r="C1003" s="294" t="n">
        <v>330</v>
      </c>
      <c r="D1003" s="295" t="inlineStr">
        <is>
          <t>Fisioterapi 3rd</t>
        </is>
      </c>
      <c r="E1003" s="287" t="inlineStr">
        <is>
          <t>-</t>
        </is>
      </c>
      <c r="F1003" s="296" t="n">
        <v>285000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287" t="n"/>
      <c r="M1003" s="287" t="n"/>
      <c r="N1003" s="287" t="n"/>
      <c r="O1003" s="287" t="n"/>
      <c r="P1003" s="300" t="n">
        <v>285000</v>
      </c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>
      <c r="B1004" s="307" t="n"/>
      <c r="C1004" s="307" t="n"/>
      <c r="D1004" s="308" t="inlineStr">
        <is>
          <t>Sparepart</t>
        </is>
      </c>
      <c r="E1004" s="307" t="n"/>
      <c r="F1004" s="307" t="n"/>
      <c r="G1004" s="307" t="n"/>
      <c r="H1004" s="307" t="n"/>
      <c r="I1004" s="307" t="n"/>
      <c r="J1004" s="307" t="n"/>
      <c r="K1004" s="307" t="n"/>
      <c r="L1004" s="307" t="n"/>
      <c r="M1004" s="307" t="n"/>
      <c r="N1004" s="307" t="n"/>
      <c r="O1004" s="307" t="n"/>
      <c r="P1004" s="307" t="n"/>
      <c r="Q1004" s="30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 ht="15.5" customHeight="1">
      <c r="B1005" s="293" t="n">
        <v>45500</v>
      </c>
      <c r="C1005" s="294" t="n">
        <v>331</v>
      </c>
      <c r="D1005" s="295" t="inlineStr">
        <is>
          <t>Buy Connection 1/4"</t>
        </is>
      </c>
      <c r="E1005" s="287" t="inlineStr">
        <is>
          <t>-</t>
        </is>
      </c>
      <c r="F1005" s="296" t="n">
        <v>1760000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287" t="n"/>
      <c r="M1005" s="287" t="n"/>
      <c r="N1005" s="300" t="n">
        <v>1760000</v>
      </c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07" t="n"/>
      <c r="C1006" s="307" t="n"/>
      <c r="D1006" s="308" t="inlineStr">
        <is>
          <t>Transportation</t>
        </is>
      </c>
      <c r="E1006" s="307" t="n"/>
      <c r="F1006" s="307" t="n"/>
      <c r="G1006" s="307" t="n"/>
      <c r="H1006" s="307" t="n"/>
      <c r="I1006" s="307" t="n"/>
      <c r="J1006" s="307" t="n"/>
      <c r="K1006" s="307" t="n"/>
      <c r="L1006" s="307" t="n"/>
      <c r="M1006" s="307" t="n"/>
      <c r="N1006" s="307" t="n"/>
      <c r="O1006" s="307" t="n"/>
      <c r="P1006" s="307" t="n"/>
      <c r="Q1006" s="30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45501</v>
      </c>
      <c r="C1007" s="294" t="n">
        <v>332</v>
      </c>
      <c r="D1007" s="295" t="inlineStr">
        <is>
          <t>Fuel trip ke Glodok buy Hydralic pump assesories</t>
        </is>
      </c>
      <c r="E1007" s="287" t="inlineStr">
        <is>
          <t>-</t>
        </is>
      </c>
      <c r="F1007" s="296" t="n">
        <v>217350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217350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04" t="inlineStr">
        <is>
          <t>Expense#28</t>
        </is>
      </c>
      <c r="C1008" s="305" t="inlineStr">
        <is>
          <t>:</t>
        </is>
      </c>
      <c r="D1008" s="304" t="inlineStr">
        <is>
          <t>ALFA-MPLT-Sampler project TIS Energy Blora_well RBG-3B by Barekin Sakti- AC</t>
        </is>
      </c>
      <c r="E1008" s="306" t="n"/>
      <c r="F1008" s="306" t="n"/>
      <c r="G1008" s="306" t="n"/>
      <c r="H1008" s="306" t="n"/>
      <c r="I1008" s="306" t="n"/>
      <c r="J1008" s="306" t="n"/>
      <c r="K1008" s="306" t="n"/>
      <c r="L1008" s="306" t="n"/>
      <c r="M1008" s="306" t="n"/>
      <c r="N1008" s="306" t="n"/>
      <c r="O1008" s="306" t="n"/>
      <c r="P1008" s="306" t="n"/>
      <c r="Q1008" s="306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07" t="n"/>
      <c r="C1009" s="307" t="n"/>
      <c r="D1009" s="308" t="inlineStr">
        <is>
          <t>Accommodation</t>
        </is>
      </c>
      <c r="E1009" s="307" t="n"/>
      <c r="F1009" s="307" t="n"/>
      <c r="G1009" s="307" t="n"/>
      <c r="H1009" s="307" t="n"/>
      <c r="I1009" s="307" t="n"/>
      <c r="J1009" s="307" t="n"/>
      <c r="K1009" s="307" t="n"/>
      <c r="L1009" s="307" t="n"/>
      <c r="M1009" s="307" t="n"/>
      <c r="N1009" s="307" t="n"/>
      <c r="O1009" s="307" t="n"/>
      <c r="P1009" s="307" t="n"/>
      <c r="Q1009" s="30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45507</v>
      </c>
      <c r="C1010" s="294" t="n">
        <v>333</v>
      </c>
      <c r="D1010" s="295" t="inlineStr">
        <is>
          <t>Hotel for 6 days ( 29 Jul - 3 aug 24)</t>
        </is>
      </c>
      <c r="E1010" s="287" t="inlineStr">
        <is>
          <t>-</t>
        </is>
      </c>
      <c r="F1010" s="296" t="n">
        <v>2700000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2700000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07" t="n"/>
      <c r="C1011" s="307" t="n"/>
      <c r="D1011" s="308" t="inlineStr">
        <is>
          <t>Allowance</t>
        </is>
      </c>
      <c r="E1011" s="307" t="n"/>
      <c r="F1011" s="307" t="n"/>
      <c r="G1011" s="307" t="n"/>
      <c r="H1011" s="307" t="n"/>
      <c r="I1011" s="307" t="n"/>
      <c r="J1011" s="307" t="n"/>
      <c r="K1011" s="307" t="n"/>
      <c r="L1011" s="307" t="n"/>
      <c r="M1011" s="307" t="n"/>
      <c r="N1011" s="307" t="n"/>
      <c r="O1011" s="307" t="n"/>
      <c r="P1011" s="307" t="n"/>
      <c r="Q1011" s="307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45511</v>
      </c>
      <c r="C1012" s="294" t="n">
        <v>334</v>
      </c>
      <c r="D1012" s="295" t="inlineStr">
        <is>
          <t>Tunjangan lapangan for 10 days (29Jul - 07Aug24) Anevril</t>
        </is>
      </c>
      <c r="E1012" s="287" t="inlineStr">
        <is>
          <t>-</t>
        </is>
      </c>
      <c r="F1012" s="296" t="n">
        <v>16100000</v>
      </c>
      <c r="G1012" s="289" t="inlineStr">
        <is>
          <t>USD</t>
        </is>
      </c>
      <c r="H1012" s="297" t="n">
        <v>16100</v>
      </c>
      <c r="I1012" s="298" t="n"/>
      <c r="J1012" s="298" t="n"/>
      <c r="K1012" s="299" t="n"/>
      <c r="L1012" s="300" t="n">
        <v>16100000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07" t="n"/>
      <c r="C1013" s="307" t="n"/>
      <c r="D1013" s="308" t="inlineStr">
        <is>
          <t>Biaya Operasi Lain-lain</t>
        </is>
      </c>
      <c r="E1013" s="307" t="n"/>
      <c r="F1013" s="307" t="n"/>
      <c r="G1013" s="307" t="n"/>
      <c r="H1013" s="307" t="n"/>
      <c r="I1013" s="307" t="n"/>
      <c r="J1013" s="307" t="n"/>
      <c r="K1013" s="307" t="n"/>
      <c r="L1013" s="307" t="n"/>
      <c r="M1013" s="307" t="n"/>
      <c r="N1013" s="307" t="n"/>
      <c r="O1013" s="307" t="n"/>
      <c r="P1013" s="307" t="n"/>
      <c r="Q1013" s="30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45507</v>
      </c>
      <c r="C1014" s="294" t="n">
        <v>335</v>
      </c>
      <c r="D1014" s="295" t="inlineStr">
        <is>
          <t>w/ TIS Petroleum Personnel</t>
        </is>
      </c>
      <c r="E1014" s="287" t="inlineStr">
        <is>
          <t>-</t>
        </is>
      </c>
      <c r="F1014" s="296" t="n">
        <v>401000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401000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07" t="n"/>
      <c r="C1015" s="307" t="n"/>
      <c r="D1015" s="308" t="inlineStr">
        <is>
          <t>Laundry</t>
        </is>
      </c>
      <c r="E1015" s="307" t="n"/>
      <c r="F1015" s="307" t="n"/>
      <c r="G1015" s="307" t="n"/>
      <c r="H1015" s="307" t="n"/>
      <c r="I1015" s="307" t="n"/>
      <c r="J1015" s="307" t="n"/>
      <c r="K1015" s="307" t="n"/>
      <c r="L1015" s="307" t="n"/>
      <c r="M1015" s="307" t="n"/>
      <c r="N1015" s="307" t="n"/>
      <c r="O1015" s="307" t="n"/>
      <c r="P1015" s="307" t="n"/>
      <c r="Q1015" s="30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6" ht="15.5" customHeight="1">
      <c r="B1016" s="293" t="n">
        <v>45511</v>
      </c>
      <c r="C1016" s="294" t="n">
        <v>336</v>
      </c>
      <c r="D1016" s="295" t="inlineStr">
        <is>
          <t>Laundry dor 10 days @Rp.50.000.</t>
        </is>
      </c>
      <c r="E1016" s="287" t="inlineStr">
        <is>
          <t>-</t>
        </is>
      </c>
      <c r="F1016" s="296" t="n">
        <v>500000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500000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</row>
    <row r="1017">
      <c r="B1017" s="307" t="n"/>
      <c r="C1017" s="307" t="n"/>
      <c r="D1017" s="308" t="inlineStr">
        <is>
          <t>Meal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</row>
    <row r="1018" ht="15.5" customHeight="1">
      <c r="B1018" s="293" t="n">
        <v>45511</v>
      </c>
      <c r="C1018" s="294" t="n">
        <v>337</v>
      </c>
      <c r="D1018" s="295" t="inlineStr">
        <is>
          <t>Meal utk 10 hari (29 Jul -7Aug-24) @Rp. 150.000</t>
        </is>
      </c>
      <c r="E1018" s="287" t="inlineStr">
        <is>
          <t>-</t>
        </is>
      </c>
      <c r="F1018" s="296" t="n">
        <v>1500000</v>
      </c>
      <c r="G1018" s="289" t="inlineStr">
        <is>
          <t>IDR</t>
        </is>
      </c>
      <c r="H1018" s="297" t="n">
        <v>1</v>
      </c>
      <c r="I1018" s="298" t="n"/>
      <c r="J1018" s="298" t="n"/>
      <c r="K1018" s="299" t="n"/>
      <c r="L1018" s="300" t="n">
        <v>1500000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</row>
    <row r="1019">
      <c r="B1019" s="307" t="n"/>
      <c r="C1019" s="307" t="n"/>
      <c r="D1019" s="308" t="inlineStr">
        <is>
          <t>Medical</t>
        </is>
      </c>
      <c r="E1019" s="307" t="n"/>
      <c r="F1019" s="307" t="n"/>
      <c r="G1019" s="307" t="n"/>
      <c r="H1019" s="307" t="n"/>
      <c r="I1019" s="307" t="n"/>
      <c r="J1019" s="307" t="n"/>
      <c r="K1019" s="307" t="n"/>
      <c r="L1019" s="307" t="n"/>
      <c r="M1019" s="307" t="n"/>
      <c r="N1019" s="307" t="n"/>
      <c r="O1019" s="307" t="n"/>
      <c r="P1019" s="307" t="n"/>
      <c r="Q1019" s="30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</row>
    <row r="1020" ht="15.5" customHeight="1">
      <c r="B1020" s="293" t="n">
        <v>45502</v>
      </c>
      <c r="C1020" s="294" t="n">
        <v>338</v>
      </c>
      <c r="D1020" s="295" t="inlineStr">
        <is>
          <t>buy Zirolic</t>
        </is>
      </c>
      <c r="E1020" s="287" t="inlineStr">
        <is>
          <t>-</t>
        </is>
      </c>
      <c r="F1020" s="296" t="n">
        <v>34200</v>
      </c>
      <c r="G1020" s="289" t="inlineStr">
        <is>
          <t>IDR</t>
        </is>
      </c>
      <c r="H1020" s="297" t="n">
        <v>1</v>
      </c>
      <c r="I1020" s="298" t="n"/>
      <c r="J1020" s="298" t="n"/>
      <c r="K1020" s="299" t="n"/>
      <c r="L1020" s="287" t="n"/>
      <c r="M1020" s="287" t="n"/>
      <c r="N1020" s="287" t="n"/>
      <c r="O1020" s="287" t="n"/>
      <c r="P1020" s="300" t="n">
        <v>34200</v>
      </c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</row>
    <row r="1021">
      <c r="B1021" s="307" t="n"/>
      <c r="C1021" s="307" t="n"/>
      <c r="D1021" s="308" t="inlineStr">
        <is>
          <t>Sparepart</t>
        </is>
      </c>
      <c r="E1021" s="307" t="n"/>
      <c r="F1021" s="307" t="n"/>
      <c r="G1021" s="307" t="n"/>
      <c r="H1021" s="307" t="n"/>
      <c r="I1021" s="307" t="n"/>
      <c r="J1021" s="307" t="n"/>
      <c r="K1021" s="307" t="n"/>
      <c r="L1021" s="307" t="n"/>
      <c r="M1021" s="307" t="n"/>
      <c r="N1021" s="307" t="n"/>
      <c r="O1021" s="307" t="n"/>
      <c r="P1021" s="307" t="n"/>
      <c r="Q1021" s="30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</row>
    <row r="1022" ht="15.5" customHeight="1">
      <c r="B1022" s="293" t="n">
        <v>45510</v>
      </c>
      <c r="C1022" s="294" t="n">
        <v>339</v>
      </c>
      <c r="D1022" s="295" t="inlineStr">
        <is>
          <t>Buy Paint nippon</t>
        </is>
      </c>
      <c r="E1022" s="287" t="inlineStr">
        <is>
          <t>-</t>
        </is>
      </c>
      <c r="F1022" s="296" t="n">
        <v>60000</v>
      </c>
      <c r="G1022" s="289" t="inlineStr">
        <is>
          <t>IDR</t>
        </is>
      </c>
      <c r="H1022" s="297" t="n">
        <v>1</v>
      </c>
      <c r="I1022" s="298" t="n"/>
      <c r="J1022" s="298" t="n"/>
      <c r="K1022" s="299" t="n"/>
      <c r="L1022" s="287" t="n"/>
      <c r="M1022" s="287" t="n"/>
      <c r="N1022" s="300" t="n">
        <v>60000</v>
      </c>
      <c r="O1022" s="287" t="n"/>
      <c r="P1022" s="287" t="n"/>
      <c r="Q1022" s="28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</row>
    <row r="1023">
      <c r="B1023" s="307" t="n"/>
      <c r="C1023" s="307" t="n"/>
      <c r="D1023" s="308" t="inlineStr">
        <is>
          <t>Transportation</t>
        </is>
      </c>
      <c r="E1023" s="307" t="n"/>
      <c r="F1023" s="307" t="n"/>
      <c r="G1023" s="307" t="n"/>
      <c r="H1023" s="307" t="n"/>
      <c r="I1023" s="307" t="n"/>
      <c r="J1023" s="307" t="n"/>
      <c r="K1023" s="307" t="n"/>
      <c r="L1023" s="307" t="n"/>
      <c r="M1023" s="307" t="n"/>
      <c r="N1023" s="307" t="n"/>
      <c r="O1023" s="307" t="n"/>
      <c r="P1023" s="307" t="n"/>
      <c r="Q1023" s="30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</row>
    <row r="1024" ht="15.5" customHeight="1">
      <c r="B1024" s="293" t="n">
        <v>45511</v>
      </c>
      <c r="C1024" s="294" t="n">
        <v>340</v>
      </c>
      <c r="D1024" s="295" t="inlineStr">
        <is>
          <t>Toll (Gubug - Jakarta)</t>
        </is>
      </c>
      <c r="E1024" s="287" t="inlineStr">
        <is>
          <t>-</t>
        </is>
      </c>
      <c r="F1024" s="296" t="n">
        <v>496000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496000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</row>
    <row r="1025">
      <c r="B1025" s="304" t="inlineStr">
        <is>
          <t>Expense#29</t>
        </is>
      </c>
      <c r="C1025" s="305" t="inlineStr">
        <is>
          <t>:</t>
        </is>
      </c>
      <c r="D1025" s="304" t="inlineStr">
        <is>
          <t>ALFA-MPLT-BHS_ RBG 3B PT. TIS under Barikin sakti _TMA</t>
        </is>
      </c>
      <c r="E1025" s="306" t="n"/>
      <c r="F1025" s="306" t="n"/>
      <c r="G1025" s="306" t="n"/>
      <c r="H1025" s="306" t="n"/>
      <c r="I1025" s="306" t="n"/>
      <c r="J1025" s="306" t="n"/>
      <c r="K1025" s="306" t="n"/>
      <c r="L1025" s="306" t="n"/>
      <c r="M1025" s="306" t="n"/>
      <c r="N1025" s="306" t="n"/>
      <c r="O1025" s="306" t="n"/>
      <c r="P1025" s="306" t="n"/>
      <c r="Q1025" s="306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</row>
    <row r="1026">
      <c r="B1026" s="307" t="n"/>
      <c r="C1026" s="307" t="n"/>
      <c r="D1026" s="308" t="inlineStr">
        <is>
          <t>Allowance</t>
        </is>
      </c>
      <c r="E1026" s="307" t="n"/>
      <c r="F1026" s="307" t="n"/>
      <c r="G1026" s="307" t="n"/>
      <c r="H1026" s="307" t="n"/>
      <c r="I1026" s="307" t="n"/>
      <c r="J1026" s="307" t="n"/>
      <c r="K1026" s="307" t="n"/>
      <c r="L1026" s="307" t="n"/>
      <c r="M1026" s="307" t="n"/>
      <c r="N1026" s="307" t="n"/>
      <c r="O1026" s="307" t="n"/>
      <c r="P1026" s="307" t="n"/>
      <c r="Q1026" s="30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</row>
    <row r="1027" ht="15.5" customHeight="1">
      <c r="B1027" s="293" t="n">
        <v>45502</v>
      </c>
      <c r="C1027" s="294" t="n">
        <v>341</v>
      </c>
      <c r="D1027" s="295" t="inlineStr">
        <is>
          <t>Tunjangan Lapangan for 10 days</t>
        </is>
      </c>
      <c r="E1027" s="287" t="inlineStr">
        <is>
          <t>-</t>
        </is>
      </c>
      <c r="F1027" s="296" t="n">
        <v>15513000</v>
      </c>
      <c r="G1027" s="289" t="inlineStr">
        <is>
          <t>USD</t>
        </is>
      </c>
      <c r="H1027" s="297" t="n">
        <v>15513</v>
      </c>
      <c r="I1027" s="298" t="n"/>
      <c r="J1027" s="298" t="n"/>
      <c r="K1027" s="299" t="n"/>
      <c r="L1027" s="300" t="n">
        <v>15513000</v>
      </c>
      <c r="M1027" s="287" t="n"/>
      <c r="N1027" s="287" t="n"/>
      <c r="O1027" s="287" t="n"/>
      <c r="P1027" s="287" t="n"/>
      <c r="Q1027" s="28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</row>
    <row r="1028">
      <c r="B1028" s="307" t="n"/>
      <c r="C1028" s="307" t="n"/>
      <c r="D1028" s="308" t="inlineStr">
        <is>
          <t>Biaya Operasi Lain-lain</t>
        </is>
      </c>
      <c r="E1028" s="307" t="n"/>
      <c r="F1028" s="307" t="n"/>
      <c r="G1028" s="307" t="n"/>
      <c r="H1028" s="307" t="n"/>
      <c r="I1028" s="307" t="n"/>
      <c r="J1028" s="307" t="n"/>
      <c r="K1028" s="307" t="n"/>
      <c r="L1028" s="307" t="n"/>
      <c r="M1028" s="307" t="n"/>
      <c r="N1028" s="307" t="n"/>
      <c r="O1028" s="307" t="n"/>
      <c r="P1028" s="307" t="n"/>
      <c r="Q1028" s="30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</row>
    <row r="1029" ht="15.5" customHeight="1">
      <c r="B1029" s="293" t="n">
        <v>45502</v>
      </c>
      <c r="C1029" s="294" t="n">
        <v>342</v>
      </c>
      <c r="D1029" s="295" t="inlineStr">
        <is>
          <t>Electrical Bill</t>
        </is>
      </c>
      <c r="E1029" s="287" t="inlineStr">
        <is>
          <t>-</t>
        </is>
      </c>
      <c r="F1029" s="296" t="n">
        <v>159682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159682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</row>
    <row r="1030">
      <c r="B1030" s="307" t="n"/>
      <c r="C1030" s="307" t="n"/>
      <c r="D1030" s="308" t="inlineStr">
        <is>
          <t>Laundry</t>
        </is>
      </c>
      <c r="E1030" s="307" t="n"/>
      <c r="F1030" s="307" t="n"/>
      <c r="G1030" s="307" t="n"/>
      <c r="H1030" s="307" t="n"/>
      <c r="I1030" s="307" t="n"/>
      <c r="J1030" s="307" t="n"/>
      <c r="K1030" s="307" t="n"/>
      <c r="L1030" s="307" t="n"/>
      <c r="M1030" s="307" t="n"/>
      <c r="N1030" s="307" t="n"/>
      <c r="O1030" s="307" t="n"/>
      <c r="P1030" s="307" t="n"/>
      <c r="Q1030" s="30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</row>
    <row r="1031" ht="15.5" customHeight="1">
      <c r="B1031" s="293" t="n">
        <v>45502</v>
      </c>
      <c r="C1031" s="294" t="n">
        <v>343</v>
      </c>
      <c r="D1031" s="295" t="inlineStr">
        <is>
          <t>Laundry 10 days 1 Persons @ 50K IDR/day</t>
        </is>
      </c>
      <c r="E1031" s="287" t="inlineStr">
        <is>
          <t>-</t>
        </is>
      </c>
      <c r="F1031" s="296" t="n">
        <v>500000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500000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</row>
    <row r="1032">
      <c r="B1032" s="307" t="n"/>
      <c r="C1032" s="307" t="n"/>
      <c r="D1032" s="308" t="inlineStr">
        <is>
          <t>Meal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</row>
    <row r="1033" ht="15.5" customHeight="1">
      <c r="B1033" s="293" t="n">
        <v>45502</v>
      </c>
      <c r="C1033" s="294" t="n">
        <v>344</v>
      </c>
      <c r="D1033" s="295" t="inlineStr">
        <is>
          <t>Meals 10 days 1 Persons @ 150K IDR/day</t>
        </is>
      </c>
      <c r="E1033" s="287" t="inlineStr">
        <is>
          <t>-</t>
        </is>
      </c>
      <c r="F1033" s="296" t="n">
        <v>1500000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1500000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</row>
    <row r="1034">
      <c r="B1034" s="307" t="n"/>
      <c r="C1034" s="307" t="n"/>
      <c r="D1034" s="308" t="inlineStr">
        <is>
          <t>Sparepart</t>
        </is>
      </c>
      <c r="E1034" s="307" t="n"/>
      <c r="F1034" s="307" t="n"/>
      <c r="G1034" s="307" t="n"/>
      <c r="H1034" s="307" t="n"/>
      <c r="I1034" s="307" t="n"/>
      <c r="J1034" s="307" t="n"/>
      <c r="K1034" s="307" t="n"/>
      <c r="L1034" s="307" t="n"/>
      <c r="M1034" s="307" t="n"/>
      <c r="N1034" s="307" t="n"/>
      <c r="O1034" s="307" t="n"/>
      <c r="P1034" s="307" t="n"/>
      <c r="Q1034" s="30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</row>
    <row r="1035" ht="15.5" customHeight="1">
      <c r="B1035" s="293" t="n">
        <v>45499</v>
      </c>
      <c r="C1035" s="294" t="n">
        <v>345</v>
      </c>
      <c r="D1035" s="295" t="inlineStr">
        <is>
          <t>TOP 1 High Temp Grease</t>
        </is>
      </c>
      <c r="E1035" s="287" t="inlineStr">
        <is>
          <t>-</t>
        </is>
      </c>
      <c r="F1035" s="296" t="n">
        <v>144900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287" t="n"/>
      <c r="M1035" s="287" t="n"/>
      <c r="N1035" s="300" t="n">
        <v>144900</v>
      </c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</row>
    <row r="1036">
      <c r="B1036" s="307" t="n"/>
      <c r="C1036" s="307" t="n"/>
      <c r="D1036" s="308" t="inlineStr">
        <is>
          <t>Transportation</t>
        </is>
      </c>
      <c r="E1036" s="307" t="n"/>
      <c r="F1036" s="307" t="n"/>
      <c r="G1036" s="307" t="n"/>
      <c r="H1036" s="307" t="n"/>
      <c r="I1036" s="307" t="n"/>
      <c r="J1036" s="307" t="n"/>
      <c r="K1036" s="307" t="n"/>
      <c r="L1036" s="307" t="n"/>
      <c r="M1036" s="307" t="n"/>
      <c r="N1036" s="307" t="n"/>
      <c r="O1036" s="307" t="n"/>
      <c r="P1036" s="307" t="n"/>
      <c r="Q1036" s="30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</row>
    <row r="1037" ht="15.5" customHeight="1">
      <c r="B1037" s="293" t="n">
        <v>45517</v>
      </c>
      <c r="C1037" s="294" t="n">
        <v>346</v>
      </c>
      <c r="D1037" s="295" t="inlineStr">
        <is>
          <t>Lalamove Barikin to Base</t>
        </is>
      </c>
      <c r="E1037" s="287" t="inlineStr">
        <is>
          <t>-</t>
        </is>
      </c>
      <c r="F1037" s="296" t="n">
        <v>161885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161885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</row>
    <row r="1038">
      <c r="B1038" s="304" t="inlineStr">
        <is>
          <t>Expense#30</t>
        </is>
      </c>
      <c r="C1038" s="305" t="inlineStr">
        <is>
          <t>:</t>
        </is>
      </c>
      <c r="D1038" s="304" t="inlineStr">
        <is>
          <t>ALFA JOB - PMB 009 (cancel job) - IBR</t>
        </is>
      </c>
      <c r="E1038" s="306" t="n"/>
      <c r="F1038" s="306" t="n"/>
      <c r="G1038" s="306" t="n"/>
      <c r="H1038" s="306" t="n"/>
      <c r="I1038" s="306" t="n"/>
      <c r="J1038" s="306" t="n"/>
      <c r="K1038" s="306" t="n"/>
      <c r="L1038" s="306" t="n"/>
      <c r="M1038" s="306" t="n"/>
      <c r="N1038" s="306" t="n"/>
      <c r="O1038" s="306" t="n"/>
      <c r="P1038" s="306" t="n"/>
      <c r="Q1038" s="306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</row>
    <row r="1039">
      <c r="B1039" s="307" t="n"/>
      <c r="C1039" s="307" t="n"/>
      <c r="D1039" s="308" t="inlineStr">
        <is>
          <t>Allowance</t>
        </is>
      </c>
      <c r="E1039" s="307" t="n"/>
      <c r="F1039" s="307" t="n"/>
      <c r="G1039" s="307" t="n"/>
      <c r="H1039" s="307" t="n"/>
      <c r="I1039" s="307" t="n"/>
      <c r="J1039" s="307" t="n"/>
      <c r="K1039" s="307" t="n"/>
      <c r="L1039" s="307" t="n"/>
      <c r="M1039" s="307" t="n"/>
      <c r="N1039" s="307" t="n"/>
      <c r="O1039" s="307" t="n"/>
      <c r="P1039" s="307" t="n"/>
      <c r="Q1039" s="30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</row>
    <row r="1040" ht="15.5" customHeight="1">
      <c r="B1040" s="293" t="n">
        <v>45548</v>
      </c>
      <c r="C1040" s="294" t="n">
        <v>347</v>
      </c>
      <c r="D1040" s="295" t="inlineStr">
        <is>
          <t>Tunjangan Lapangan PBM - 009 (6 - 11 September 2024)</t>
        </is>
      </c>
      <c r="E1040" s="287" t="inlineStr">
        <is>
          <t>-</t>
        </is>
      </c>
      <c r="F1040" s="296" t="n">
        <v>2317500</v>
      </c>
      <c r="G1040" s="289" t="inlineStr">
        <is>
          <t>$</t>
        </is>
      </c>
      <c r="H1040" s="297" t="n">
        <v>15450</v>
      </c>
      <c r="I1040" s="298" t="n"/>
      <c r="J1040" s="298" t="n"/>
      <c r="K1040" s="299" t="n"/>
      <c r="L1040" s="300" t="n">
        <v>2317500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</row>
    <row r="1041">
      <c r="B1041" s="307" t="n"/>
      <c r="C1041" s="307" t="n"/>
      <c r="D1041" s="308" t="inlineStr">
        <is>
          <t>Laundry</t>
        </is>
      </c>
      <c r="E1041" s="307" t="n"/>
      <c r="F1041" s="307" t="n"/>
      <c r="G1041" s="307" t="n"/>
      <c r="H1041" s="307" t="n"/>
      <c r="I1041" s="307" t="n"/>
      <c r="J1041" s="307" t="n"/>
      <c r="K1041" s="307" t="n"/>
      <c r="L1041" s="307" t="n"/>
      <c r="M1041" s="307" t="n"/>
      <c r="N1041" s="307" t="n"/>
      <c r="O1041" s="307" t="n"/>
      <c r="P1041" s="307" t="n"/>
      <c r="Q1041" s="307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</row>
    <row r="1042" ht="15.5" customHeight="1">
      <c r="B1042" s="293" t="n">
        <v>45548</v>
      </c>
      <c r="C1042" s="294" t="n">
        <v>348</v>
      </c>
      <c r="D1042" s="295" t="inlineStr">
        <is>
          <t>Laundry (6 - 11 September 2024) 6 days</t>
        </is>
      </c>
      <c r="E1042" s="287" t="inlineStr">
        <is>
          <t>-</t>
        </is>
      </c>
      <c r="F1042" s="296" t="n">
        <v>300000</v>
      </c>
      <c r="G1042" s="289" t="inlineStr">
        <is>
          <t>IDR</t>
        </is>
      </c>
      <c r="H1042" s="297" t="n">
        <v>1</v>
      </c>
      <c r="I1042" s="298" t="n"/>
      <c r="J1042" s="298" t="n"/>
      <c r="K1042" s="299" t="n"/>
      <c r="L1042" s="300" t="n">
        <v>300000</v>
      </c>
      <c r="M1042" s="287" t="n"/>
      <c r="N1042" s="287" t="n"/>
      <c r="O1042" s="287" t="n"/>
      <c r="P1042" s="287" t="n"/>
      <c r="Q1042" s="28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</row>
    <row r="1043">
      <c r="B1043" s="307" t="n"/>
      <c r="C1043" s="307" t="n"/>
      <c r="D1043" s="308" t="inlineStr">
        <is>
          <t>Meal</t>
        </is>
      </c>
      <c r="E1043" s="307" t="n"/>
      <c r="F1043" s="307" t="n"/>
      <c r="G1043" s="307" t="n"/>
      <c r="H1043" s="307" t="n"/>
      <c r="I1043" s="307" t="n"/>
      <c r="J1043" s="307" t="n"/>
      <c r="K1043" s="307" t="n"/>
      <c r="L1043" s="307" t="n"/>
      <c r="M1043" s="307" t="n"/>
      <c r="N1043" s="307" t="n"/>
      <c r="O1043" s="307" t="n"/>
      <c r="P1043" s="307" t="n"/>
      <c r="Q1043" s="30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</row>
    <row r="1044" ht="15.5" customHeight="1">
      <c r="B1044" s="293" t="n">
        <v>45548</v>
      </c>
      <c r="C1044" s="294" t="n">
        <v>349</v>
      </c>
      <c r="D1044" s="295" t="inlineStr">
        <is>
          <t>Uang makan (6 - 11 September 2024) 6 days</t>
        </is>
      </c>
      <c r="E1044" s="287" t="inlineStr">
        <is>
          <t>-</t>
        </is>
      </c>
      <c r="F1044" s="296" t="n">
        <v>900000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900000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</row>
    <row r="1045">
      <c r="B1045" s="304" t="inlineStr">
        <is>
          <t>Expense#31</t>
        </is>
      </c>
      <c r="C1045" s="305" t="inlineStr">
        <is>
          <t>:</t>
        </is>
      </c>
      <c r="D1045" s="304" t="inlineStr">
        <is>
          <t>ALFA PMB-009 (Cancel)_ TMA</t>
        </is>
      </c>
      <c r="E1045" s="306" t="n"/>
      <c r="F1045" s="306" t="n"/>
      <c r="G1045" s="306" t="n"/>
      <c r="H1045" s="306" t="n"/>
      <c r="I1045" s="306" t="n"/>
      <c r="J1045" s="306" t="n"/>
      <c r="K1045" s="306" t="n"/>
      <c r="L1045" s="306" t="n"/>
      <c r="M1045" s="306" t="n"/>
      <c r="N1045" s="306" t="n"/>
      <c r="O1045" s="306" t="n"/>
      <c r="P1045" s="306" t="n"/>
      <c r="Q1045" s="306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</row>
    <row r="1046">
      <c r="B1046" s="307" t="n"/>
      <c r="C1046" s="307" t="n"/>
      <c r="D1046" s="308" t="inlineStr">
        <is>
          <t>Accommodation</t>
        </is>
      </c>
      <c r="E1046" s="307" t="n"/>
      <c r="F1046" s="307" t="n"/>
      <c r="G1046" s="307" t="n"/>
      <c r="H1046" s="307" t="n"/>
      <c r="I1046" s="307" t="n"/>
      <c r="J1046" s="307" t="n"/>
      <c r="K1046" s="307" t="n"/>
      <c r="L1046" s="307" t="n"/>
      <c r="M1046" s="307" t="n"/>
      <c r="N1046" s="307" t="n"/>
      <c r="O1046" s="307" t="n"/>
      <c r="P1046" s="307" t="n"/>
      <c r="Q1046" s="30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</row>
    <row r="1047" ht="15.5" customHeight="1">
      <c r="B1047" s="293" t="n">
        <v>45541</v>
      </c>
      <c r="C1047" s="294" t="n">
        <v>350</v>
      </c>
      <c r="D1047" s="295" t="inlineStr">
        <is>
          <t>Hotel 6 Sept - 11 Sept (5 days)</t>
        </is>
      </c>
      <c r="E1047" s="287" t="inlineStr">
        <is>
          <t>-</t>
        </is>
      </c>
      <c r="F1047" s="296" t="n">
        <v>1800000</v>
      </c>
      <c r="G1047" s="289" t="inlineStr">
        <is>
          <t>IDR</t>
        </is>
      </c>
      <c r="H1047" s="297" t="n">
        <v>1</v>
      </c>
      <c r="I1047" s="298" t="n"/>
      <c r="J1047" s="298" t="n"/>
      <c r="K1047" s="299" t="n"/>
      <c r="L1047" s="300" t="n">
        <v>1800000</v>
      </c>
      <c r="M1047" s="287" t="n"/>
      <c r="N1047" s="287" t="n"/>
      <c r="O1047" s="287" t="n"/>
      <c r="P1047" s="287" t="n"/>
      <c r="Q1047" s="28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</row>
    <row r="1048">
      <c r="B1048" s="307" t="n"/>
      <c r="C1048" s="307" t="n"/>
      <c r="D1048" s="308" t="inlineStr">
        <is>
          <t>Allowance</t>
        </is>
      </c>
      <c r="E1048" s="307" t="n"/>
      <c r="F1048" s="307" t="n"/>
      <c r="G1048" s="307" t="n"/>
      <c r="H1048" s="307" t="n"/>
      <c r="I1048" s="307" t="n"/>
      <c r="J1048" s="307" t="n"/>
      <c r="K1048" s="307" t="n"/>
      <c r="L1048" s="307" t="n"/>
      <c r="M1048" s="307" t="n"/>
      <c r="N1048" s="307" t="n"/>
      <c r="O1048" s="307" t="n"/>
      <c r="P1048" s="307" t="n"/>
      <c r="Q1048" s="30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</row>
    <row r="1049" ht="15.5" customHeight="1">
      <c r="B1049" s="293" t="n">
        <v>45541</v>
      </c>
      <c r="C1049" s="294" t="n">
        <v>351</v>
      </c>
      <c r="D1049" s="295" t="inlineStr">
        <is>
          <t>Field Allowance</t>
        </is>
      </c>
      <c r="E1049" s="287" t="inlineStr">
        <is>
          <t>-</t>
        </is>
      </c>
      <c r="F1049" s="296" t="n">
        <v>9262800</v>
      </c>
      <c r="G1049" s="289" t="inlineStr">
        <is>
          <t>USD</t>
        </is>
      </c>
      <c r="H1049" s="297" t="n">
        <v>15438</v>
      </c>
      <c r="I1049" s="298" t="n"/>
      <c r="J1049" s="298" t="n"/>
      <c r="K1049" s="299" t="n"/>
      <c r="L1049" s="300" t="n">
        <v>9262800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</row>
    <row r="1050">
      <c r="B1050" s="307" t="n"/>
      <c r="C1050" s="307" t="n"/>
      <c r="D1050" s="308" t="inlineStr">
        <is>
          <t>Biaya Operasi Lain-lain</t>
        </is>
      </c>
      <c r="E1050" s="307" t="n"/>
      <c r="F1050" s="307" t="n"/>
      <c r="G1050" s="307" t="n"/>
      <c r="H1050" s="307" t="n"/>
      <c r="I1050" s="307" t="n"/>
      <c r="J1050" s="307" t="n"/>
      <c r="K1050" s="307" t="n"/>
      <c r="L1050" s="307" t="n"/>
      <c r="M1050" s="307" t="n"/>
      <c r="N1050" s="307" t="n"/>
      <c r="O1050" s="307" t="n"/>
      <c r="P1050" s="307" t="n"/>
      <c r="Q1050" s="30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</row>
    <row r="1051" ht="15.5" customHeight="1">
      <c r="B1051" s="293" t="n">
        <v>45541</v>
      </c>
      <c r="C1051" s="294" t="n">
        <v>352</v>
      </c>
      <c r="D1051" s="295" t="inlineStr">
        <is>
          <t>Rent Car 6 Days</t>
        </is>
      </c>
      <c r="E1051" s="287" t="inlineStr">
        <is>
          <t>-</t>
        </is>
      </c>
      <c r="F1051" s="296" t="n">
        <v>3000000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3000000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</row>
    <row r="1052">
      <c r="B1052" s="307" t="n"/>
      <c r="C1052" s="307" t="n"/>
      <c r="D1052" s="308" t="inlineStr">
        <is>
          <t>Laundry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</row>
    <row r="1053" ht="15.5" customHeight="1">
      <c r="B1053" s="293" t="n">
        <v>45541</v>
      </c>
      <c r="C1053" s="294" t="n">
        <v>353</v>
      </c>
      <c r="D1053" s="295" t="inlineStr">
        <is>
          <t>Laundry 6 days 1 Persons @ 50K IDR/day</t>
        </is>
      </c>
      <c r="E1053" s="287" t="inlineStr">
        <is>
          <t>-</t>
        </is>
      </c>
      <c r="F1053" s="296" t="n">
        <v>300000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300000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</row>
    <row r="1054">
      <c r="B1054" s="307" t="n"/>
      <c r="C1054" s="307" t="n"/>
      <c r="D1054" s="308" t="inlineStr">
        <is>
          <t>Meal</t>
        </is>
      </c>
      <c r="E1054" s="307" t="n"/>
      <c r="F1054" s="307" t="n"/>
      <c r="G1054" s="307" t="n"/>
      <c r="H1054" s="307" t="n"/>
      <c r="I1054" s="307" t="n"/>
      <c r="J1054" s="307" t="n"/>
      <c r="K1054" s="307" t="n"/>
      <c r="L1054" s="307" t="n"/>
      <c r="M1054" s="307" t="n"/>
      <c r="N1054" s="307" t="n"/>
      <c r="O1054" s="307" t="n"/>
      <c r="P1054" s="307" t="n"/>
      <c r="Q1054" s="30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</row>
    <row r="1055" ht="15.5" customHeight="1">
      <c r="B1055" s="293" t="n">
        <v>45541</v>
      </c>
      <c r="C1055" s="294" t="n">
        <v>354</v>
      </c>
      <c r="D1055" s="295" t="inlineStr">
        <is>
          <t>Meals</t>
        </is>
      </c>
      <c r="E1055" s="287" t="inlineStr">
        <is>
          <t>-</t>
        </is>
      </c>
      <c r="F1055" s="296" t="n">
        <v>900000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900000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</row>
    <row r="1056">
      <c r="B1056" s="307" t="n"/>
      <c r="C1056" s="307" t="n"/>
      <c r="D1056" s="308" t="inlineStr">
        <is>
          <t>Transportation</t>
        </is>
      </c>
      <c r="E1056" s="307" t="n"/>
      <c r="F1056" s="307" t="n"/>
      <c r="G1056" s="307" t="n"/>
      <c r="H1056" s="307" t="n"/>
      <c r="I1056" s="307" t="n"/>
      <c r="J1056" s="307" t="n"/>
      <c r="K1056" s="307" t="n"/>
      <c r="L1056" s="307" t="n"/>
      <c r="M1056" s="307" t="n"/>
      <c r="N1056" s="307" t="n"/>
      <c r="O1056" s="307" t="n"/>
      <c r="P1056" s="307" t="n"/>
      <c r="Q1056" s="30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</row>
    <row r="1057" ht="15.5" customHeight="1">
      <c r="B1057" s="293" t="n">
        <v>45543</v>
      </c>
      <c r="C1057" s="294" t="n">
        <v>355</v>
      </c>
      <c r="D1057" s="295" t="inlineStr">
        <is>
          <t>Airplane Ticket PLM-CGK</t>
        </is>
      </c>
      <c r="E1057" s="287" t="inlineStr">
        <is>
          <t>-</t>
        </is>
      </c>
      <c r="F1057" s="296" t="n">
        <v>836100</v>
      </c>
      <c r="G1057" s="289" t="inlineStr">
        <is>
          <t>IDR</t>
        </is>
      </c>
      <c r="H1057" s="297" t="n">
        <v>1</v>
      </c>
      <c r="I1057" s="298" t="n"/>
      <c r="J1057" s="298" t="n"/>
      <c r="K1057" s="299" t="n"/>
      <c r="L1057" s="300" t="n">
        <v>836100</v>
      </c>
      <c r="M1057" s="287" t="n"/>
      <c r="N1057" s="287" t="n"/>
      <c r="O1057" s="287" t="n"/>
      <c r="P1057" s="287" t="n"/>
      <c r="Q1057" s="28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</row>
    <row r="1058">
      <c r="B1058" s="304" t="inlineStr">
        <is>
          <t>Expense#32</t>
        </is>
      </c>
      <c r="C1058" s="305" t="inlineStr">
        <is>
          <t>:</t>
        </is>
      </c>
      <c r="D1058" s="304" t="inlineStr">
        <is>
          <t>ALFA PMB-009 (Cancel)_ TMA</t>
        </is>
      </c>
      <c r="E1058" s="306" t="n"/>
      <c r="F1058" s="306" t="n"/>
      <c r="G1058" s="306" t="n"/>
      <c r="H1058" s="306" t="n"/>
      <c r="I1058" s="306" t="n"/>
      <c r="J1058" s="306" t="n"/>
      <c r="K1058" s="306" t="n"/>
      <c r="L1058" s="306" t="n"/>
      <c r="M1058" s="306" t="n"/>
      <c r="N1058" s="306" t="n"/>
      <c r="O1058" s="306" t="n"/>
      <c r="P1058" s="306" t="n"/>
      <c r="Q1058" s="306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</row>
    <row r="1059">
      <c r="B1059" s="307" t="n"/>
      <c r="C1059" s="307" t="n"/>
      <c r="D1059" s="308" t="inlineStr">
        <is>
          <t>Allowance</t>
        </is>
      </c>
      <c r="E1059" s="307" t="n"/>
      <c r="F1059" s="307" t="n"/>
      <c r="G1059" s="307" t="n"/>
      <c r="H1059" s="307" t="n"/>
      <c r="I1059" s="307" t="n"/>
      <c r="J1059" s="307" t="n"/>
      <c r="K1059" s="307" t="n"/>
      <c r="L1059" s="307" t="n"/>
      <c r="M1059" s="307" t="n"/>
      <c r="N1059" s="307" t="n"/>
      <c r="O1059" s="307" t="n"/>
      <c r="P1059" s="307" t="n"/>
      <c r="Q1059" s="30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</row>
    <row r="1060" ht="15.5" customHeight="1">
      <c r="B1060" s="293" t="n">
        <v>45561</v>
      </c>
      <c r="C1060" s="294" t="n">
        <v>356</v>
      </c>
      <c r="D1060" s="295" t="inlineStr">
        <is>
          <t>Field Bonus SKW#26 (22 - 26 Sept 2024). 1US$=15.100</t>
        </is>
      </c>
      <c r="E1060" s="287" t="inlineStr">
        <is>
          <t>-</t>
        </is>
      </c>
      <c r="F1060" s="296" t="n">
        <v>500</v>
      </c>
      <c r="G1060" s="289" t="inlineStr">
        <is>
          <t>IDR</t>
        </is>
      </c>
      <c r="H1060" s="297" t="n">
        <v>15100</v>
      </c>
      <c r="I1060" s="298" t="n"/>
      <c r="J1060" s="298" t="n"/>
      <c r="K1060" s="299" t="n"/>
      <c r="L1060" s="300" t="n">
        <v>500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</row>
    <row r="1061">
      <c r="B1061" s="307" t="n"/>
      <c r="C1061" s="307" t="n"/>
      <c r="D1061" s="308" t="inlineStr">
        <is>
          <t>Laundry</t>
        </is>
      </c>
      <c r="E1061" s="307" t="n"/>
      <c r="F1061" s="307" t="n"/>
      <c r="G1061" s="307" t="n"/>
      <c r="H1061" s="307" t="n"/>
      <c r="I1061" s="307" t="n"/>
      <c r="J1061" s="307" t="n"/>
      <c r="K1061" s="307" t="n"/>
      <c r="L1061" s="307" t="n"/>
      <c r="M1061" s="307" t="n"/>
      <c r="N1061" s="307" t="n"/>
      <c r="O1061" s="307" t="n"/>
      <c r="P1061" s="307" t="n"/>
      <c r="Q1061" s="30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</row>
    <row r="1062" ht="15.5" customHeight="1">
      <c r="B1062" s="293" t="n">
        <v>45561</v>
      </c>
      <c r="C1062" s="294" t="n">
        <v>357</v>
      </c>
      <c r="D1062" s="295" t="inlineStr">
        <is>
          <t>Laundry (22 - 26 Sept 2024)</t>
        </is>
      </c>
      <c r="E1062" s="287" t="inlineStr">
        <is>
          <t>-</t>
        </is>
      </c>
      <c r="F1062" s="296" t="n">
        <v>250000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250000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</row>
    <row r="1063">
      <c r="B1063" s="307" t="n"/>
      <c r="C1063" s="307" t="n"/>
      <c r="D1063" s="308" t="inlineStr">
        <is>
          <t>Meal</t>
        </is>
      </c>
      <c r="E1063" s="307" t="n"/>
      <c r="F1063" s="307" t="n"/>
      <c r="G1063" s="307" t="n"/>
      <c r="H1063" s="307" t="n"/>
      <c r="I1063" s="307" t="n"/>
      <c r="J1063" s="307" t="n"/>
      <c r="K1063" s="307" t="n"/>
      <c r="L1063" s="307" t="n"/>
      <c r="M1063" s="307" t="n"/>
      <c r="N1063" s="307" t="n"/>
      <c r="O1063" s="307" t="n"/>
      <c r="P1063" s="307" t="n"/>
      <c r="Q1063" s="30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</row>
    <row r="1064" ht="15.5" customHeight="1">
      <c r="B1064" s="293" t="n">
        <v>45561</v>
      </c>
      <c r="C1064" s="294" t="n">
        <v>358</v>
      </c>
      <c r="D1064" s="295" t="inlineStr">
        <is>
          <t>Uang Makan (22 - 26 Sept 2024)</t>
        </is>
      </c>
      <c r="E1064" s="287" t="inlineStr">
        <is>
          <t>-</t>
        </is>
      </c>
      <c r="F1064" s="296" t="n">
        <v>750000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750000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</row>
    <row r="1065">
      <c r="B1065" s="307" t="n"/>
      <c r="C1065" s="307" t="n"/>
      <c r="D1065" s="308" t="inlineStr">
        <is>
          <t>Transportation</t>
        </is>
      </c>
      <c r="E1065" s="307" t="n"/>
      <c r="F1065" s="307" t="n"/>
      <c r="G1065" s="307" t="n"/>
      <c r="H1065" s="307" t="n"/>
      <c r="I1065" s="307" t="n"/>
      <c r="J1065" s="307" t="n"/>
      <c r="K1065" s="307" t="n"/>
      <c r="L1065" s="307" t="n"/>
      <c r="M1065" s="307" t="n"/>
      <c r="N1065" s="307" t="n"/>
      <c r="O1065" s="307" t="n"/>
      <c r="P1065" s="307" t="n"/>
      <c r="Q1065" s="30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</row>
    <row r="1066" ht="15.5" customHeight="1">
      <c r="B1066" s="293" t="n">
        <v>45561</v>
      </c>
      <c r="C1066" s="294" t="n">
        <v>359</v>
      </c>
      <c r="D1066" s="295" t="inlineStr">
        <is>
          <t>Taxi+Tol Gambir - Serpong</t>
        </is>
      </c>
      <c r="E1066" s="287" t="inlineStr">
        <is>
          <t>-</t>
        </is>
      </c>
      <c r="F1066" s="296" t="n">
        <v>240000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240000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</row>
    <row r="1067">
      <c r="B1067" s="304" t="inlineStr">
        <is>
          <t>Expense#33</t>
        </is>
      </c>
      <c r="C1067" s="305" t="inlineStr">
        <is>
          <t>:</t>
        </is>
      </c>
      <c r="D1067" s="304" t="inlineStr">
        <is>
          <t>ALFA Job JRK-095 (Jirak) - IBR</t>
        </is>
      </c>
      <c r="E1067" s="306" t="n"/>
      <c r="F1067" s="306" t="n"/>
      <c r="G1067" s="306" t="n"/>
      <c r="H1067" s="306" t="n"/>
      <c r="I1067" s="306" t="n"/>
      <c r="J1067" s="306" t="n"/>
      <c r="K1067" s="306" t="n"/>
      <c r="L1067" s="306" t="n"/>
      <c r="M1067" s="306" t="n"/>
      <c r="N1067" s="306" t="n"/>
      <c r="O1067" s="306" t="n"/>
      <c r="P1067" s="306" t="n"/>
      <c r="Q1067" s="306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</row>
    <row r="1068">
      <c r="B1068" s="307" t="n"/>
      <c r="C1068" s="307" t="n"/>
      <c r="D1068" s="308" t="inlineStr">
        <is>
          <t>Accommodation</t>
        </is>
      </c>
      <c r="E1068" s="307" t="n"/>
      <c r="F1068" s="307" t="n"/>
      <c r="G1068" s="307" t="n"/>
      <c r="H1068" s="307" t="n"/>
      <c r="I1068" s="307" t="n"/>
      <c r="J1068" s="307" t="n"/>
      <c r="K1068" s="307" t="n"/>
      <c r="L1068" s="307" t="n"/>
      <c r="M1068" s="307" t="n"/>
      <c r="N1068" s="307" t="n"/>
      <c r="O1068" s="307" t="n"/>
      <c r="P1068" s="307" t="n"/>
      <c r="Q1068" s="30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</row>
    <row r="1069" ht="15.5" customHeight="1">
      <c r="B1069" s="293" t="n">
        <v>45563</v>
      </c>
      <c r="C1069" s="294" t="n">
        <v>360</v>
      </c>
      <c r="D1069" s="295" t="inlineStr">
        <is>
          <t>Hotel 21 Sept - 27 Sept 2024 (6 days)</t>
        </is>
      </c>
      <c r="E1069" s="287" t="inlineStr">
        <is>
          <t>-</t>
        </is>
      </c>
      <c r="F1069" s="296" t="n">
        <v>1680000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1680000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</row>
    <row r="1070">
      <c r="B1070" s="307" t="n"/>
      <c r="C1070" s="307" t="n"/>
      <c r="D1070" s="308" t="inlineStr">
        <is>
          <t>Allowance</t>
        </is>
      </c>
      <c r="E1070" s="307" t="n"/>
      <c r="F1070" s="307" t="n"/>
      <c r="G1070" s="307" t="n"/>
      <c r="H1070" s="307" t="n"/>
      <c r="I1070" s="307" t="n"/>
      <c r="J1070" s="307" t="n"/>
      <c r="K1070" s="307" t="n"/>
      <c r="L1070" s="307" t="n"/>
      <c r="M1070" s="307" t="n"/>
      <c r="N1070" s="307" t="n"/>
      <c r="O1070" s="307" t="n"/>
      <c r="P1070" s="307" t="n"/>
      <c r="Q1070" s="30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</row>
    <row r="1071" ht="15.5" customHeight="1">
      <c r="B1071" s="293" t="n">
        <v>45563</v>
      </c>
      <c r="C1071" s="294" t="n">
        <v>361</v>
      </c>
      <c r="D1071" s="295" t="inlineStr">
        <is>
          <t>Field Allowance 20 Sept - 27 Sept 2024</t>
        </is>
      </c>
      <c r="E1071" s="287" t="inlineStr">
        <is>
          <t>-</t>
        </is>
      </c>
      <c r="F1071" s="296" t="n">
        <v>2668750</v>
      </c>
      <c r="G1071" s="289" t="inlineStr">
        <is>
          <t>USD</t>
        </is>
      </c>
      <c r="H1071" s="297" t="n">
        <v>15250</v>
      </c>
      <c r="I1071" s="298" t="n"/>
      <c r="J1071" s="298" t="n"/>
      <c r="K1071" s="299" t="n"/>
      <c r="L1071" s="300" t="n">
        <v>2668750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</row>
    <row r="1072">
      <c r="B1072" s="307" t="n"/>
      <c r="C1072" s="307" t="n"/>
      <c r="D1072" s="308" t="inlineStr">
        <is>
          <t>Laundry</t>
        </is>
      </c>
      <c r="E1072" s="307" t="n"/>
      <c r="F1072" s="307" t="n"/>
      <c r="G1072" s="307" t="n"/>
      <c r="H1072" s="307" t="n"/>
      <c r="I1072" s="307" t="n"/>
      <c r="J1072" s="307" t="n"/>
      <c r="K1072" s="307" t="n"/>
      <c r="L1072" s="307" t="n"/>
      <c r="M1072" s="307" t="n"/>
      <c r="N1072" s="307" t="n"/>
      <c r="O1072" s="307" t="n"/>
      <c r="P1072" s="307" t="n"/>
      <c r="Q1072" s="30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</row>
    <row r="1073" ht="15.5" customHeight="1">
      <c r="B1073" s="293" t="n">
        <v>45563</v>
      </c>
      <c r="C1073" s="294" t="n">
        <v>362</v>
      </c>
      <c r="D1073" s="295" t="inlineStr">
        <is>
          <t>Laundry 20 Sept - 27 Sept 2024 (7days) @ Rp. 50000</t>
        </is>
      </c>
      <c r="E1073" s="287" t="inlineStr">
        <is>
          <t>-</t>
        </is>
      </c>
      <c r="F1073" s="296" t="n">
        <v>350000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350000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</row>
    <row r="1074">
      <c r="B1074" s="307" t="n"/>
      <c r="C1074" s="307" t="n"/>
      <c r="D1074" s="308" t="inlineStr">
        <is>
          <t>Maintenance</t>
        </is>
      </c>
      <c r="E1074" s="307" t="n"/>
      <c r="F1074" s="307" t="n"/>
      <c r="G1074" s="307" t="n"/>
      <c r="H1074" s="307" t="n"/>
      <c r="I1074" s="307" t="n"/>
      <c r="J1074" s="307" t="n"/>
      <c r="K1074" s="307" t="n"/>
      <c r="L1074" s="307" t="n"/>
      <c r="M1074" s="307" t="n"/>
      <c r="N1074" s="307" t="n"/>
      <c r="O1074" s="307" t="n"/>
      <c r="P1074" s="307" t="n"/>
      <c r="Q1074" s="30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</row>
    <row r="1075" ht="15.5" customHeight="1">
      <c r="B1075" s="293" t="n">
        <v>45563</v>
      </c>
      <c r="C1075" s="294" t="n">
        <v>363</v>
      </c>
      <c r="D1075" s="295" t="inlineStr">
        <is>
          <t>Car Wash</t>
        </is>
      </c>
      <c r="E1075" s="287" t="inlineStr">
        <is>
          <t>-</t>
        </is>
      </c>
      <c r="F1075" s="296" t="n">
        <v>40000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40000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</row>
    <row r="1076">
      <c r="B1076" s="307" t="n"/>
      <c r="C1076" s="307" t="n"/>
      <c r="D1076" s="308" t="inlineStr">
        <is>
          <t>Meal</t>
        </is>
      </c>
      <c r="E1076" s="307" t="n"/>
      <c r="F1076" s="307" t="n"/>
      <c r="G1076" s="307" t="n"/>
      <c r="H1076" s="307" t="n"/>
      <c r="I1076" s="307" t="n"/>
      <c r="J1076" s="307" t="n"/>
      <c r="K1076" s="307" t="n"/>
      <c r="L1076" s="307" t="n"/>
      <c r="M1076" s="307" t="n"/>
      <c r="N1076" s="307" t="n"/>
      <c r="O1076" s="307" t="n"/>
      <c r="P1076" s="307" t="n"/>
      <c r="Q1076" s="30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</row>
    <row r="1077" ht="15.5" customHeight="1">
      <c r="B1077" s="293" t="n">
        <v>45563</v>
      </c>
      <c r="C1077" s="294" t="n">
        <v>364</v>
      </c>
      <c r="D1077" s="295" t="inlineStr">
        <is>
          <t>Meals 20 Sept - 27 Sept 2024 7 days</t>
        </is>
      </c>
      <c r="E1077" s="287" t="inlineStr">
        <is>
          <t>-</t>
        </is>
      </c>
      <c r="F1077" s="296" t="n">
        <v>1050000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1050000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</row>
    <row r="1078">
      <c r="B1078" s="307" t="n"/>
      <c r="C1078" s="307" t="n"/>
      <c r="D1078" s="308" t="inlineStr">
        <is>
          <t>Transportation</t>
        </is>
      </c>
      <c r="E1078" s="307" t="n"/>
      <c r="F1078" s="307" t="n"/>
      <c r="G1078" s="307" t="n"/>
      <c r="H1078" s="307" t="n"/>
      <c r="I1078" s="307" t="n"/>
      <c r="J1078" s="307" t="n"/>
      <c r="K1078" s="307" t="n"/>
      <c r="L1078" s="307" t="n"/>
      <c r="M1078" s="307" t="n"/>
      <c r="N1078" s="307" t="n"/>
      <c r="O1078" s="307" t="n"/>
      <c r="P1078" s="307" t="n"/>
      <c r="Q1078" s="307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</row>
    <row r="1079" ht="15.5" customHeight="1">
      <c r="B1079" s="293" t="n">
        <v>45563</v>
      </c>
      <c r="C1079" s="294" t="n">
        <v>365</v>
      </c>
      <c r="D1079" s="295" t="inlineStr">
        <is>
          <t>Toll (Prabumulih-PLM)</t>
        </is>
      </c>
      <c r="E1079" s="287" t="inlineStr">
        <is>
          <t>-</t>
        </is>
      </c>
      <c r="F1079" s="296" t="n">
        <v>117000</v>
      </c>
      <c r="G1079" s="289" t="inlineStr">
        <is>
          <t>IDR</t>
        </is>
      </c>
      <c r="H1079" s="297" t="n">
        <v>1</v>
      </c>
      <c r="I1079" s="298" t="n"/>
      <c r="J1079" s="298" t="n"/>
      <c r="K1079" s="299" t="n"/>
      <c r="L1079" s="300" t="n">
        <v>117000</v>
      </c>
      <c r="M1079" s="287" t="n"/>
      <c r="N1079" s="287" t="n"/>
      <c r="O1079" s="287" t="n"/>
      <c r="P1079" s="287" t="n"/>
      <c r="Q1079" s="28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</row>
    <row r="1080">
      <c r="B1080" s="304" t="inlineStr">
        <is>
          <t>Expense#34</t>
        </is>
      </c>
      <c r="C1080" s="305" t="inlineStr">
        <is>
          <t>:</t>
        </is>
      </c>
      <c r="D1080" s="304" t="inlineStr">
        <is>
          <t>ALFA_JRK-095 well (PEPZ4-PEndopo field) SI jakarta _ AC</t>
        </is>
      </c>
      <c r="E1080" s="306" t="n"/>
      <c r="F1080" s="306" t="n"/>
      <c r="G1080" s="306" t="n"/>
      <c r="H1080" s="306" t="n"/>
      <c r="I1080" s="306" t="n"/>
      <c r="J1080" s="306" t="n"/>
      <c r="K1080" s="306" t="n"/>
      <c r="L1080" s="306" t="n"/>
      <c r="M1080" s="306" t="n"/>
      <c r="N1080" s="306" t="n"/>
      <c r="O1080" s="306" t="n"/>
      <c r="P1080" s="306" t="n"/>
      <c r="Q1080" s="306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</row>
    <row r="1081">
      <c r="B1081" s="307" t="n"/>
      <c r="C1081" s="307" t="n"/>
      <c r="D1081" s="308" t="inlineStr">
        <is>
          <t>Allowance</t>
        </is>
      </c>
      <c r="E1081" s="307" t="n"/>
      <c r="F1081" s="307" t="n"/>
      <c r="G1081" s="307" t="n"/>
      <c r="H1081" s="307" t="n"/>
      <c r="I1081" s="307" t="n"/>
      <c r="J1081" s="307" t="n"/>
      <c r="K1081" s="307" t="n"/>
      <c r="L1081" s="307" t="n"/>
      <c r="M1081" s="307" t="n"/>
      <c r="N1081" s="307" t="n"/>
      <c r="O1081" s="307" t="n"/>
      <c r="P1081" s="307" t="n"/>
      <c r="Q1081" s="30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</row>
    <row r="1082" ht="15.5" customHeight="1">
      <c r="B1082" s="293" t="n">
        <v>45565</v>
      </c>
      <c r="C1082" s="294" t="n">
        <v>366</v>
      </c>
      <c r="D1082" s="295" t="inlineStr">
        <is>
          <t>Tunjangan lapaangan for 8 days- (job at JRK-095)</t>
        </is>
      </c>
      <c r="E1082" s="287" t="inlineStr">
        <is>
          <t>-</t>
        </is>
      </c>
      <c r="F1082" s="296" t="n">
        <v>12160000</v>
      </c>
      <c r="G1082" s="289" t="inlineStr">
        <is>
          <t>USD</t>
        </is>
      </c>
      <c r="H1082" s="297" t="n">
        <v>15200</v>
      </c>
      <c r="I1082" s="298" t="n"/>
      <c r="J1082" s="298" t="n"/>
      <c r="K1082" s="299" t="n"/>
      <c r="L1082" s="300" t="n">
        <v>12160000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</row>
    <row r="1083">
      <c r="B1083" s="307" t="n"/>
      <c r="C1083" s="307" t="n"/>
      <c r="D1083" s="308" t="inlineStr">
        <is>
          <t>Laundry</t>
        </is>
      </c>
      <c r="E1083" s="307" t="n"/>
      <c r="F1083" s="307" t="n"/>
      <c r="G1083" s="307" t="n"/>
      <c r="H1083" s="307" t="n"/>
      <c r="I1083" s="307" t="n"/>
      <c r="J1083" s="307" t="n"/>
      <c r="K1083" s="307" t="n"/>
      <c r="L1083" s="307" t="n"/>
      <c r="M1083" s="307" t="n"/>
      <c r="N1083" s="307" t="n"/>
      <c r="O1083" s="307" t="n"/>
      <c r="P1083" s="307" t="n"/>
      <c r="Q1083" s="30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</row>
    <row r="1084" ht="15.5" customHeight="1">
      <c r="B1084" s="293" t="n">
        <v>45564</v>
      </c>
      <c r="C1084" s="294" t="n">
        <v>367</v>
      </c>
      <c r="D1084" s="295" t="inlineStr">
        <is>
          <t>Laundry 8 days @ 50K IDR/day</t>
        </is>
      </c>
      <c r="E1084" s="287" t="inlineStr">
        <is>
          <t>-</t>
        </is>
      </c>
      <c r="F1084" s="296" t="n">
        <v>400000</v>
      </c>
      <c r="G1084" s="289" t="inlineStr">
        <is>
          <t>IDR</t>
        </is>
      </c>
      <c r="H1084" s="297" t="n">
        <v>1</v>
      </c>
      <c r="I1084" s="298" t="n"/>
      <c r="J1084" s="298" t="n"/>
      <c r="K1084" s="299" t="n"/>
      <c r="L1084" s="300" t="n">
        <v>400000</v>
      </c>
      <c r="M1084" s="287" t="n"/>
      <c r="N1084" s="287" t="n"/>
      <c r="O1084" s="287" t="n"/>
      <c r="P1084" s="287" t="n"/>
      <c r="Q1084" s="28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</row>
    <row r="1085">
      <c r="B1085" s="307" t="n"/>
      <c r="C1085" s="307" t="n"/>
      <c r="D1085" s="308" t="inlineStr">
        <is>
          <t>Meal</t>
        </is>
      </c>
      <c r="E1085" s="307" t="n"/>
      <c r="F1085" s="307" t="n"/>
      <c r="G1085" s="307" t="n"/>
      <c r="H1085" s="307" t="n"/>
      <c r="I1085" s="307" t="n"/>
      <c r="J1085" s="307" t="n"/>
      <c r="K1085" s="307" t="n"/>
      <c r="L1085" s="307" t="n"/>
      <c r="M1085" s="307" t="n"/>
      <c r="N1085" s="307" t="n"/>
      <c r="O1085" s="307" t="n"/>
      <c r="P1085" s="307" t="n"/>
      <c r="Q1085" s="30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</row>
    <row r="1086" ht="15.5" customHeight="1">
      <c r="B1086" s="293" t="n">
        <v>45564</v>
      </c>
      <c r="C1086" s="294" t="n">
        <v>368</v>
      </c>
      <c r="D1086" s="295" t="inlineStr">
        <is>
          <t>Meals 8 days @ 150K IDR/day</t>
        </is>
      </c>
      <c r="E1086" s="287" t="inlineStr">
        <is>
          <t>-</t>
        </is>
      </c>
      <c r="F1086" s="296" t="n">
        <v>900000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900000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</row>
    <row r="1087">
      <c r="B1087" s="307" t="n"/>
      <c r="C1087" s="307" t="n"/>
      <c r="D1087" s="308" t="inlineStr">
        <is>
          <t>Transportation</t>
        </is>
      </c>
      <c r="E1087" s="307" t="n"/>
      <c r="F1087" s="307" t="n"/>
      <c r="G1087" s="307" t="n"/>
      <c r="H1087" s="307" t="n"/>
      <c r="I1087" s="307" t="n"/>
      <c r="J1087" s="307" t="n"/>
      <c r="K1087" s="307" t="n"/>
      <c r="L1087" s="307" t="n"/>
      <c r="M1087" s="307" t="n"/>
      <c r="N1087" s="307" t="n"/>
      <c r="O1087" s="307" t="n"/>
      <c r="P1087" s="307" t="n"/>
      <c r="Q1087" s="30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</row>
    <row r="1088" ht="15.5" customHeight="1">
      <c r="B1088" s="293" t="n">
        <v>45564</v>
      </c>
      <c r="C1088" s="294" t="n">
        <v>369</v>
      </c>
      <c r="D1088" s="295" t="inlineStr">
        <is>
          <t>Sewa mobil 8 hari (21/09/24 - 29/09/24)</t>
        </is>
      </c>
      <c r="E1088" s="287" t="inlineStr">
        <is>
          <t>-</t>
        </is>
      </c>
      <c r="F1088" s="296" t="n">
        <v>4000000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4000000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</row>
    <row r="1089">
      <c r="B1089" s="304" t="inlineStr">
        <is>
          <t>Expense#35</t>
        </is>
      </c>
      <c r="C1089" s="305" t="inlineStr">
        <is>
          <t>:</t>
        </is>
      </c>
      <c r="D1089" s="304" t="inlineStr">
        <is>
          <t>Trip to Cirebon Meeting MTD job X-ray field with PEP Zona 7 Region2_AC</t>
        </is>
      </c>
      <c r="E1089" s="306" t="n"/>
      <c r="F1089" s="306" t="n"/>
      <c r="G1089" s="306" t="n"/>
      <c r="H1089" s="306" t="n"/>
      <c r="I1089" s="306" t="n"/>
      <c r="J1089" s="306" t="n"/>
      <c r="K1089" s="306" t="n"/>
      <c r="L1089" s="306" t="n"/>
      <c r="M1089" s="306" t="n"/>
      <c r="N1089" s="306" t="n"/>
      <c r="O1089" s="306" t="n"/>
      <c r="P1089" s="306" t="n"/>
      <c r="Q1089" s="306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</row>
    <row r="1090">
      <c r="B1090" s="307" t="n"/>
      <c r="C1090" s="307" t="n"/>
      <c r="D1090" s="308" t="inlineStr">
        <is>
          <t>Accommodation</t>
        </is>
      </c>
      <c r="E1090" s="307" t="n"/>
      <c r="F1090" s="307" t="n"/>
      <c r="G1090" s="307" t="n"/>
      <c r="H1090" s="307" t="n"/>
      <c r="I1090" s="307" t="n"/>
      <c r="J1090" s="307" t="n"/>
      <c r="K1090" s="307" t="n"/>
      <c r="L1090" s="307" t="n"/>
      <c r="M1090" s="307" t="n"/>
      <c r="N1090" s="307" t="n"/>
      <c r="O1090" s="307" t="n"/>
      <c r="P1090" s="307" t="n"/>
      <c r="Q1090" s="30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</row>
    <row r="1091" ht="15.5" customHeight="1">
      <c r="B1091" s="293" t="n">
        <v>45552</v>
      </c>
      <c r="C1091" s="294" t="n">
        <v>370</v>
      </c>
      <c r="D1091" s="295" t="inlineStr">
        <is>
          <t>Hotel</t>
        </is>
      </c>
      <c r="E1091" s="287" t="inlineStr">
        <is>
          <t>-</t>
        </is>
      </c>
      <c r="F1091" s="296" t="n">
        <v>700000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700000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</row>
    <row r="1092">
      <c r="B1092" s="307" t="n"/>
      <c r="C1092" s="307" t="n"/>
      <c r="D1092" s="308" t="inlineStr">
        <is>
          <t>Laundry</t>
        </is>
      </c>
      <c r="E1092" s="307" t="n"/>
      <c r="F1092" s="307" t="n"/>
      <c r="G1092" s="307" t="n"/>
      <c r="H1092" s="307" t="n"/>
      <c r="I1092" s="307" t="n"/>
      <c r="J1092" s="307" t="n"/>
      <c r="K1092" s="307" t="n"/>
      <c r="L1092" s="307" t="n"/>
      <c r="M1092" s="307" t="n"/>
      <c r="N1092" s="307" t="n"/>
      <c r="O1092" s="307" t="n"/>
      <c r="P1092" s="307" t="n"/>
      <c r="Q1092" s="30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</row>
    <row r="1093" ht="15.5" customHeight="1">
      <c r="B1093" s="293" t="n">
        <v>45553</v>
      </c>
      <c r="C1093" s="294" t="n">
        <v>371</v>
      </c>
      <c r="D1093" s="295" t="inlineStr">
        <is>
          <t>Loundry 2 days @Rp. 50.000</t>
        </is>
      </c>
      <c r="E1093" s="287" t="inlineStr">
        <is>
          <t>-</t>
        </is>
      </c>
      <c r="F1093" s="296" t="n">
        <v>100000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100000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</row>
    <row r="1094">
      <c r="B1094" s="307" t="n"/>
      <c r="C1094" s="307" t="n"/>
      <c r="D1094" s="308" t="inlineStr">
        <is>
          <t>Meal</t>
        </is>
      </c>
      <c r="E1094" s="307" t="n"/>
      <c r="F1094" s="307" t="n"/>
      <c r="G1094" s="307" t="n"/>
      <c r="H1094" s="307" t="n"/>
      <c r="I1094" s="307" t="n"/>
      <c r="J1094" s="307" t="n"/>
      <c r="K1094" s="307" t="n"/>
      <c r="L1094" s="307" t="n"/>
      <c r="M1094" s="307" t="n"/>
      <c r="N1094" s="307" t="n"/>
      <c r="O1094" s="307" t="n"/>
      <c r="P1094" s="307" t="n"/>
      <c r="Q1094" s="30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</row>
    <row r="1095" ht="15.5" customHeight="1">
      <c r="B1095" s="293" t="n">
        <v>45553</v>
      </c>
      <c r="C1095" s="294" t="n">
        <v>372</v>
      </c>
      <c r="D1095" s="295" t="inlineStr">
        <is>
          <t>Uang makan utk 3 hari (17-18 Sept-24) @150.000</t>
        </is>
      </c>
      <c r="E1095" s="287" t="inlineStr">
        <is>
          <t>-</t>
        </is>
      </c>
      <c r="F1095" s="296" t="n">
        <v>300000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300000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</row>
    <row r="1096">
      <c r="B1096" s="307" t="n"/>
      <c r="C1096" s="307" t="n"/>
      <c r="D1096" s="308" t="inlineStr">
        <is>
          <t>Transportation</t>
        </is>
      </c>
      <c r="E1096" s="307" t="n"/>
      <c r="F1096" s="307" t="n"/>
      <c r="G1096" s="307" t="n"/>
      <c r="H1096" s="307" t="n"/>
      <c r="I1096" s="307" t="n"/>
      <c r="J1096" s="307" t="n"/>
      <c r="K1096" s="307" t="n"/>
      <c r="L1096" s="307" t="n"/>
      <c r="M1096" s="307" t="n"/>
      <c r="N1096" s="307" t="n"/>
      <c r="O1096" s="307" t="n"/>
      <c r="P1096" s="307" t="n"/>
      <c r="Q1096" s="30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</row>
    <row r="1097" ht="15.5" customHeight="1">
      <c r="B1097" s="293" t="n">
        <v>45553</v>
      </c>
      <c r="C1097" s="294" t="n">
        <v>373</v>
      </c>
      <c r="D1097" s="295" t="inlineStr">
        <is>
          <t>Fuel</t>
        </is>
      </c>
      <c r="E1097" s="287" t="inlineStr">
        <is>
          <t>-</t>
        </is>
      </c>
      <c r="F1097" s="296" t="n">
        <v>222650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222650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</row>
    <row r="1098">
      <c r="B1098" s="304" t="inlineStr">
        <is>
          <t>Expense#36</t>
        </is>
      </c>
      <c r="C1098" s="305" t="inlineStr">
        <is>
          <t>:</t>
        </is>
      </c>
      <c r="D1098" s="304" t="inlineStr">
        <is>
          <t>Non project (follow up MCU concul &amp; inspection tool)_AC_ 2 nd</t>
        </is>
      </c>
      <c r="E1098" s="306" t="n"/>
      <c r="F1098" s="306" t="n"/>
      <c r="G1098" s="306" t="n"/>
      <c r="H1098" s="306" t="n"/>
      <c r="I1098" s="306" t="n"/>
      <c r="J1098" s="306" t="n"/>
      <c r="K1098" s="306" t="n"/>
      <c r="L1098" s="306" t="n"/>
      <c r="M1098" s="306" t="n"/>
      <c r="N1098" s="306" t="n"/>
      <c r="O1098" s="306" t="n"/>
      <c r="P1098" s="306" t="n"/>
      <c r="Q1098" s="306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</row>
    <row r="1099">
      <c r="B1099" s="307" t="n"/>
      <c r="C1099" s="307" t="n"/>
      <c r="D1099" s="308" t="inlineStr">
        <is>
          <t>Biaya Operasi Lain-lain</t>
        </is>
      </c>
      <c r="E1099" s="307" t="n"/>
      <c r="F1099" s="307" t="n"/>
      <c r="G1099" s="307" t="n"/>
      <c r="H1099" s="307" t="n"/>
      <c r="I1099" s="307" t="n"/>
      <c r="J1099" s="307" t="n"/>
      <c r="K1099" s="307" t="n"/>
      <c r="L1099" s="307" t="n"/>
      <c r="M1099" s="307" t="n"/>
      <c r="N1099" s="307" t="n"/>
      <c r="O1099" s="307" t="n"/>
      <c r="P1099" s="307" t="n"/>
      <c r="Q1099" s="30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</row>
    <row r="1100" ht="15.5" customHeight="1">
      <c r="B1100" s="293" t="n">
        <v>45530</v>
      </c>
      <c r="C1100" s="294" t="n">
        <v>374</v>
      </c>
      <c r="D1100" s="295" t="inlineStr">
        <is>
          <t>printing di snappy</t>
        </is>
      </c>
      <c r="E1100" s="287" t="inlineStr">
        <is>
          <t>-</t>
        </is>
      </c>
      <c r="F1100" s="296" t="n">
        <v>31000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31000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</row>
    <row r="1101">
      <c r="B1101" s="307" t="n"/>
      <c r="C1101" s="307" t="n"/>
      <c r="D1101" s="308" t="inlineStr">
        <is>
          <t>Medical</t>
        </is>
      </c>
      <c r="E1101" s="307" t="n"/>
      <c r="F1101" s="307" t="n"/>
      <c r="G1101" s="307" t="n"/>
      <c r="H1101" s="307" t="n"/>
      <c r="I1101" s="307" t="n"/>
      <c r="J1101" s="307" t="n"/>
      <c r="K1101" s="307" t="n"/>
      <c r="L1101" s="307" t="n"/>
      <c r="M1101" s="307" t="n"/>
      <c r="N1101" s="307" t="n"/>
      <c r="O1101" s="307" t="n"/>
      <c r="P1101" s="307" t="n"/>
      <c r="Q1101" s="30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</row>
    <row r="1102" ht="15.5" customHeight="1">
      <c r="B1102" s="293" t="n">
        <v>45566</v>
      </c>
      <c r="C1102" s="294" t="n">
        <v>375</v>
      </c>
      <c r="D1102" s="295" t="inlineStr">
        <is>
          <t>Biaya Konsul ke 2, Dokter Jantung</t>
        </is>
      </c>
      <c r="E1102" s="287" t="inlineStr">
        <is>
          <t>-</t>
        </is>
      </c>
      <c r="F1102" s="296" t="n">
        <v>1370000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287" t="n"/>
      <c r="M1102" s="287" t="n"/>
      <c r="N1102" s="287" t="n"/>
      <c r="O1102" s="287" t="n"/>
      <c r="P1102" s="300" t="n">
        <v>1370000</v>
      </c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</row>
    <row r="1103">
      <c r="B1103" s="307" t="n"/>
      <c r="C1103" s="307" t="n"/>
      <c r="D1103" s="308" t="inlineStr">
        <is>
          <t>Transportation</t>
        </is>
      </c>
      <c r="E1103" s="307" t="n"/>
      <c r="F1103" s="307" t="n"/>
      <c r="G1103" s="307" t="n"/>
      <c r="H1103" s="307" t="n"/>
      <c r="I1103" s="307" t="n"/>
      <c r="J1103" s="307" t="n"/>
      <c r="K1103" s="307" t="n"/>
      <c r="L1103" s="307" t="n"/>
      <c r="M1103" s="307" t="n"/>
      <c r="N1103" s="307" t="n"/>
      <c r="O1103" s="307" t="n"/>
      <c r="P1103" s="307" t="n"/>
      <c r="Q1103" s="30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</row>
    <row r="1104" ht="15.5" customHeight="1">
      <c r="B1104" s="293" t="n">
        <v>45537</v>
      </c>
      <c r="C1104" s="294" t="n">
        <v>376</v>
      </c>
      <c r="D1104" s="295" t="inlineStr">
        <is>
          <t>Pengiriman dokumen ke Rachmansyah-Sijak</t>
        </is>
      </c>
      <c r="E1104" s="287" t="inlineStr">
        <is>
          <t>-</t>
        </is>
      </c>
      <c r="F1104" s="296" t="n">
        <v>18000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18000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</row>
    <row r="1105">
      <c r="B1105" s="304" t="inlineStr">
        <is>
          <t>Expense#37</t>
        </is>
      </c>
      <c r="C1105" s="305" t="inlineStr">
        <is>
          <t>:</t>
        </is>
      </c>
      <c r="D1105" s="304" t="inlineStr">
        <is>
          <t>MTD SKW-26_sukowati_TMA</t>
        </is>
      </c>
      <c r="E1105" s="306" t="n"/>
      <c r="F1105" s="306" t="n"/>
      <c r="G1105" s="306" t="n"/>
      <c r="H1105" s="306" t="n"/>
      <c r="I1105" s="306" t="n"/>
      <c r="J1105" s="306" t="n"/>
      <c r="K1105" s="306" t="n"/>
      <c r="L1105" s="306" t="n"/>
      <c r="M1105" s="306" t="n"/>
      <c r="N1105" s="306" t="n"/>
      <c r="O1105" s="306" t="n"/>
      <c r="P1105" s="306" t="n"/>
      <c r="Q1105" s="306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</row>
    <row r="1106">
      <c r="B1106" s="307" t="n"/>
      <c r="C1106" s="307" t="n"/>
      <c r="D1106" s="308" t="inlineStr">
        <is>
          <t>Accommodation</t>
        </is>
      </c>
      <c r="E1106" s="307" t="n"/>
      <c r="F1106" s="307" t="n"/>
      <c r="G1106" s="307" t="n"/>
      <c r="H1106" s="307" t="n"/>
      <c r="I1106" s="307" t="n"/>
      <c r="J1106" s="307" t="n"/>
      <c r="K1106" s="307" t="n"/>
      <c r="L1106" s="307" t="n"/>
      <c r="M1106" s="307" t="n"/>
      <c r="N1106" s="307" t="n"/>
      <c r="O1106" s="307" t="n"/>
      <c r="P1106" s="307" t="n"/>
      <c r="Q1106" s="30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</row>
    <row r="1107" ht="15.5" customHeight="1">
      <c r="B1107" s="293" t="n">
        <v>45558</v>
      </c>
      <c r="C1107" s="294" t="n">
        <v>377</v>
      </c>
      <c r="D1107" s="295" t="inlineStr">
        <is>
          <t>Hotel 23 Sept - 26 Sept (3 days)</t>
        </is>
      </c>
      <c r="E1107" s="287" t="inlineStr">
        <is>
          <t>-</t>
        </is>
      </c>
      <c r="F1107" s="296" t="n">
        <v>1584184</v>
      </c>
      <c r="G1107" s="289" t="inlineStr">
        <is>
          <t>IDR</t>
        </is>
      </c>
      <c r="H1107" s="297" t="n">
        <v>1</v>
      </c>
      <c r="I1107" s="298" t="n"/>
      <c r="J1107" s="298" t="n"/>
      <c r="K1107" s="299" t="n"/>
      <c r="L1107" s="300" t="n">
        <v>1584184</v>
      </c>
      <c r="M1107" s="287" t="n"/>
      <c r="N1107" s="287" t="n"/>
      <c r="O1107" s="287" t="n"/>
      <c r="P1107" s="287" t="n"/>
      <c r="Q1107" s="287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</row>
    <row r="1108">
      <c r="B1108" s="307" t="n"/>
      <c r="C1108" s="307" t="n"/>
      <c r="D1108" s="308" t="inlineStr">
        <is>
          <t>Allowance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</row>
    <row r="1109" ht="15.5" customHeight="1">
      <c r="B1109" s="293" t="n">
        <v>45558</v>
      </c>
      <c r="C1109" s="294" t="n">
        <v>378</v>
      </c>
      <c r="D1109" s="295" t="inlineStr">
        <is>
          <t>Field Allowance</t>
        </is>
      </c>
      <c r="E1109" s="287" t="inlineStr">
        <is>
          <t>-</t>
        </is>
      </c>
      <c r="F1109" s="296" t="n">
        <v>7615500</v>
      </c>
      <c r="G1109" s="289" t="inlineStr">
        <is>
          <t>USD</t>
        </is>
      </c>
      <c r="H1109" s="297" t="n">
        <v>15231</v>
      </c>
      <c r="I1109" s="298" t="n"/>
      <c r="J1109" s="298" t="n"/>
      <c r="K1109" s="299" t="n"/>
      <c r="L1109" s="300" t="n">
        <v>7615500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</row>
    <row r="1110">
      <c r="B1110" s="307" t="n"/>
      <c r="C1110" s="307" t="n"/>
      <c r="D1110" s="308" t="inlineStr">
        <is>
          <t>Laundry</t>
        </is>
      </c>
      <c r="E1110" s="307" t="n"/>
      <c r="F1110" s="307" t="n"/>
      <c r="G1110" s="307" t="n"/>
      <c r="H1110" s="307" t="n"/>
      <c r="I1110" s="307" t="n"/>
      <c r="J1110" s="307" t="n"/>
      <c r="K1110" s="307" t="n"/>
      <c r="L1110" s="307" t="n"/>
      <c r="M1110" s="307" t="n"/>
      <c r="N1110" s="307" t="n"/>
      <c r="O1110" s="307" t="n"/>
      <c r="P1110" s="307" t="n"/>
      <c r="Q1110" s="30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</row>
    <row r="1111" ht="15.5" customHeight="1">
      <c r="B1111" s="293" t="n">
        <v>45558</v>
      </c>
      <c r="C1111" s="294" t="n">
        <v>379</v>
      </c>
      <c r="D1111" s="295" t="inlineStr">
        <is>
          <t>Laundry 6 days 1 Persons @ 50K IDR/day</t>
        </is>
      </c>
      <c r="E1111" s="287" t="inlineStr">
        <is>
          <t>-</t>
        </is>
      </c>
      <c r="F1111" s="296" t="n">
        <v>250000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250000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</row>
    <row r="1112">
      <c r="B1112" s="307" t="n"/>
      <c r="C1112" s="307" t="n"/>
      <c r="D1112" s="308" t="inlineStr">
        <is>
          <t>Meal</t>
        </is>
      </c>
      <c r="E1112" s="307" t="n"/>
      <c r="F1112" s="307" t="n"/>
      <c r="G1112" s="307" t="n"/>
      <c r="H1112" s="307" t="n"/>
      <c r="I1112" s="307" t="n"/>
      <c r="J1112" s="307" t="n"/>
      <c r="K1112" s="307" t="n"/>
      <c r="L1112" s="307" t="n"/>
      <c r="M1112" s="307" t="n"/>
      <c r="N1112" s="307" t="n"/>
      <c r="O1112" s="307" t="n"/>
      <c r="P1112" s="307" t="n"/>
      <c r="Q1112" s="30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</row>
    <row r="1113" ht="15.5" customHeight="1">
      <c r="B1113" s="293" t="n">
        <v>45558</v>
      </c>
      <c r="C1113" s="294" t="n">
        <v>380</v>
      </c>
      <c r="D1113" s="295" t="inlineStr">
        <is>
          <t>Meals</t>
        </is>
      </c>
      <c r="E1113" s="287" t="inlineStr">
        <is>
          <t>-</t>
        </is>
      </c>
      <c r="F1113" s="296" t="n">
        <v>750000</v>
      </c>
      <c r="G1113" s="289" t="inlineStr">
        <is>
          <t>IDR</t>
        </is>
      </c>
      <c r="H1113" s="297" t="n">
        <v>1</v>
      </c>
      <c r="I1113" s="298" t="n"/>
      <c r="J1113" s="298" t="n"/>
      <c r="K1113" s="299" t="n"/>
      <c r="L1113" s="300" t="n">
        <v>750000</v>
      </c>
      <c r="M1113" s="287" t="n"/>
      <c r="N1113" s="287" t="n"/>
      <c r="O1113" s="287" t="n"/>
      <c r="P1113" s="287" t="n"/>
      <c r="Q1113" s="28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</row>
    <row r="1114">
      <c r="B1114" s="307" t="n"/>
      <c r="C1114" s="307" t="n"/>
      <c r="D1114" s="308" t="inlineStr">
        <is>
          <t>Transportation</t>
        </is>
      </c>
      <c r="E1114" s="307" t="n"/>
      <c r="F1114" s="307" t="n"/>
      <c r="G1114" s="307" t="n"/>
      <c r="H1114" s="307" t="n"/>
      <c r="I1114" s="307" t="n"/>
      <c r="J1114" s="307" t="n"/>
      <c r="K1114" s="307" t="n"/>
      <c r="L1114" s="307" t="n"/>
      <c r="M1114" s="307" t="n"/>
      <c r="N1114" s="307" t="n"/>
      <c r="O1114" s="307" t="n"/>
      <c r="P1114" s="307" t="n"/>
      <c r="Q1114" s="30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</row>
    <row r="1115" ht="15.5" customHeight="1">
      <c r="B1115" s="293" t="n">
        <v>45558</v>
      </c>
      <c r="C1115" s="294" t="n">
        <v>381</v>
      </c>
      <c r="D1115" s="295" t="inlineStr">
        <is>
          <t>Train Ticket Bojonegoro-Gambir (2 pax)</t>
        </is>
      </c>
      <c r="E1115" s="287" t="inlineStr">
        <is>
          <t>-</t>
        </is>
      </c>
      <c r="F1115" s="296" t="n">
        <v>1653500</v>
      </c>
      <c r="G1115" s="289" t="inlineStr">
        <is>
          <t>IDR</t>
        </is>
      </c>
      <c r="H1115" s="297" t="n">
        <v>1</v>
      </c>
      <c r="I1115" s="298" t="n"/>
      <c r="J1115" s="298" t="n"/>
      <c r="K1115" s="299" t="n"/>
      <c r="L1115" s="300" t="n">
        <v>1653500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</row>
    <row r="1116">
      <c r="B1116" s="304" t="inlineStr">
        <is>
          <t>Expense#38</t>
        </is>
      </c>
      <c r="C1116" s="305" t="inlineStr">
        <is>
          <t>:</t>
        </is>
      </c>
      <c r="D1116" s="304" t="inlineStr">
        <is>
          <t>MTD_STM_HDP 01 s/d 03 well (BHI project ndr Gowell) Sumbawa</t>
        </is>
      </c>
      <c r="E1116" s="306" t="n"/>
      <c r="F1116" s="306" t="n"/>
      <c r="G1116" s="306" t="n"/>
      <c r="H1116" s="306" t="n"/>
      <c r="I1116" s="306" t="n"/>
      <c r="J1116" s="306" t="n"/>
      <c r="K1116" s="306" t="n"/>
      <c r="L1116" s="306" t="n"/>
      <c r="M1116" s="306" t="n"/>
      <c r="N1116" s="306" t="n"/>
      <c r="O1116" s="306" t="n"/>
      <c r="P1116" s="306" t="n"/>
      <c r="Q1116" s="306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</row>
    <row r="1117">
      <c r="B1117" s="307" t="n"/>
      <c r="C1117" s="307" t="n"/>
      <c r="D1117" s="308" t="inlineStr">
        <is>
          <t>Allowance</t>
        </is>
      </c>
      <c r="E1117" s="307" t="n"/>
      <c r="F1117" s="307" t="n"/>
      <c r="G1117" s="307" t="n"/>
      <c r="H1117" s="307" t="n"/>
      <c r="I1117" s="307" t="n"/>
      <c r="J1117" s="307" t="n"/>
      <c r="K1117" s="307" t="n"/>
      <c r="L1117" s="307" t="n"/>
      <c r="M1117" s="307" t="n"/>
      <c r="N1117" s="307" t="n"/>
      <c r="O1117" s="307" t="n"/>
      <c r="P1117" s="307" t="n"/>
      <c r="Q1117" s="30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</row>
    <row r="1118" ht="15.5" customHeight="1">
      <c r="B1118" s="293" t="n">
        <v>45585</v>
      </c>
      <c r="C1118" s="294" t="n">
        <v>382</v>
      </c>
      <c r="D1118" s="295" t="inlineStr">
        <is>
          <t>Field Allowance for 18 days</t>
        </is>
      </c>
      <c r="E1118" s="287" t="inlineStr">
        <is>
          <t>-</t>
        </is>
      </c>
      <c r="F1118" s="296" t="n">
        <v>28528200</v>
      </c>
      <c r="G1118" s="289" t="inlineStr">
        <is>
          <t>USD</t>
        </is>
      </c>
      <c r="H1118" s="297" t="n">
        <v>15849</v>
      </c>
      <c r="I1118" s="298" t="n"/>
      <c r="J1118" s="298" t="n"/>
      <c r="K1118" s="299" t="n"/>
      <c r="L1118" s="300" t="n">
        <v>28528200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</row>
    <row r="1119">
      <c r="B1119" s="307" t="n"/>
      <c r="C1119" s="307" t="n"/>
      <c r="D1119" s="308" t="inlineStr">
        <is>
          <t>Laundry</t>
        </is>
      </c>
      <c r="E1119" s="307" t="n"/>
      <c r="F1119" s="307" t="n"/>
      <c r="G1119" s="307" t="n"/>
      <c r="H1119" s="307" t="n"/>
      <c r="I1119" s="307" t="n"/>
      <c r="J1119" s="307" t="n"/>
      <c r="K1119" s="307" t="n"/>
      <c r="L1119" s="307" t="n"/>
      <c r="M1119" s="307" t="n"/>
      <c r="N1119" s="307" t="n"/>
      <c r="O1119" s="307" t="n"/>
      <c r="P1119" s="307" t="n"/>
      <c r="Q1119" s="30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</row>
    <row r="1120" ht="15.5" customHeight="1">
      <c r="B1120" s="293" t="n">
        <v>45585</v>
      </c>
      <c r="C1120" s="294" t="n">
        <v>383</v>
      </c>
      <c r="D1120" s="295" t="inlineStr">
        <is>
          <t>Laundry 18 days @ 50K IDR/day</t>
        </is>
      </c>
      <c r="E1120" s="287" t="inlineStr">
        <is>
          <t>-</t>
        </is>
      </c>
      <c r="F1120" s="296" t="n">
        <v>900000</v>
      </c>
      <c r="G1120" s="289" t="inlineStr">
        <is>
          <t>IDR</t>
        </is>
      </c>
      <c r="H1120" s="297" t="n">
        <v>1</v>
      </c>
      <c r="I1120" s="298" t="n"/>
      <c r="J1120" s="298" t="n"/>
      <c r="K1120" s="299" t="n"/>
      <c r="L1120" s="300" t="n">
        <v>900000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</row>
    <row r="1121">
      <c r="B1121" s="307" t="n"/>
      <c r="C1121" s="307" t="n"/>
      <c r="D1121" s="308" t="inlineStr">
        <is>
          <t>Meal</t>
        </is>
      </c>
      <c r="E1121" s="307" t="n"/>
      <c r="F1121" s="307" t="n"/>
      <c r="G1121" s="307" t="n"/>
      <c r="H1121" s="307" t="n"/>
      <c r="I1121" s="307" t="n"/>
      <c r="J1121" s="307" t="n"/>
      <c r="K1121" s="307" t="n"/>
      <c r="L1121" s="307" t="n"/>
      <c r="M1121" s="307" t="n"/>
      <c r="N1121" s="307" t="n"/>
      <c r="O1121" s="307" t="n"/>
      <c r="P1121" s="307" t="n"/>
      <c r="Q1121" s="30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</row>
    <row r="1122" ht="15.5" customHeight="1">
      <c r="B1122" s="293" t="n">
        <v>45585</v>
      </c>
      <c r="C1122" s="294" t="n">
        <v>384</v>
      </c>
      <c r="D1122" s="295" t="inlineStr">
        <is>
          <t>Meal 18 days @ 150K IDR/day</t>
        </is>
      </c>
      <c r="E1122" s="287" t="inlineStr">
        <is>
          <t>-</t>
        </is>
      </c>
      <c r="F1122" s="296" t="n">
        <v>2700000</v>
      </c>
      <c r="G1122" s="289" t="inlineStr">
        <is>
          <t>IDR</t>
        </is>
      </c>
      <c r="H1122" s="297" t="n">
        <v>1</v>
      </c>
      <c r="I1122" s="298" t="n"/>
      <c r="J1122" s="298" t="n"/>
      <c r="K1122" s="299" t="n"/>
      <c r="L1122" s="300" t="n">
        <v>2700000</v>
      </c>
      <c r="M1122" s="287" t="n"/>
      <c r="N1122" s="287" t="n"/>
      <c r="O1122" s="287" t="n"/>
      <c r="P1122" s="287" t="n"/>
      <c r="Q1122" s="28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</row>
    <row r="1123">
      <c r="B1123" s="307" t="n"/>
      <c r="C1123" s="307" t="n"/>
      <c r="D1123" s="308" t="inlineStr">
        <is>
          <t>Transportation</t>
        </is>
      </c>
      <c r="E1123" s="307" t="n"/>
      <c r="F1123" s="307" t="n"/>
      <c r="G1123" s="307" t="n"/>
      <c r="H1123" s="307" t="n"/>
      <c r="I1123" s="307" t="n"/>
      <c r="J1123" s="307" t="n"/>
      <c r="K1123" s="307" t="n"/>
      <c r="L1123" s="307" t="n"/>
      <c r="M1123" s="307" t="n"/>
      <c r="N1123" s="307" t="n"/>
      <c r="O1123" s="307" t="n"/>
      <c r="P1123" s="307" t="n"/>
      <c r="Q1123" s="30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</row>
    <row r="1124" ht="15.5" customHeight="1">
      <c r="B1124" s="293" t="n">
        <v>45585</v>
      </c>
      <c r="C1124" s="294" t="n">
        <v>385</v>
      </c>
      <c r="D1124" s="295" t="inlineStr">
        <is>
          <t>Taxi Anevril CGK Airport - Home</t>
        </is>
      </c>
      <c r="E1124" s="287" t="inlineStr">
        <is>
          <t>-</t>
        </is>
      </c>
      <c r="F1124" s="296" t="n">
        <v>250000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250000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</row>
    <row r="1125">
      <c r="B1125" s="304" t="inlineStr">
        <is>
          <t>Expense#39</t>
        </is>
      </c>
      <c r="C1125" s="305" t="inlineStr">
        <is>
          <t>:</t>
        </is>
      </c>
      <c r="D1125" s="304" t="inlineStr">
        <is>
          <t>Training Basic Sea Survival_IBR</t>
        </is>
      </c>
      <c r="E1125" s="306" t="n"/>
      <c r="F1125" s="306" t="n"/>
      <c r="G1125" s="306" t="n"/>
      <c r="H1125" s="306" t="n"/>
      <c r="I1125" s="306" t="n"/>
      <c r="J1125" s="306" t="n"/>
      <c r="K1125" s="306" t="n"/>
      <c r="L1125" s="306" t="n"/>
      <c r="M1125" s="306" t="n"/>
      <c r="N1125" s="306" t="n"/>
      <c r="O1125" s="306" t="n"/>
      <c r="P1125" s="306" t="n"/>
      <c r="Q1125" s="306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</row>
    <row r="1126">
      <c r="B1126" s="307" t="n"/>
      <c r="C1126" s="307" t="n"/>
      <c r="D1126" s="308" t="inlineStr">
        <is>
          <t>Training</t>
        </is>
      </c>
      <c r="E1126" s="307" t="n"/>
      <c r="F1126" s="307" t="n"/>
      <c r="G1126" s="307" t="n"/>
      <c r="H1126" s="307" t="n"/>
      <c r="I1126" s="307" t="n"/>
      <c r="J1126" s="307" t="n"/>
      <c r="K1126" s="307" t="n"/>
      <c r="L1126" s="307" t="n"/>
      <c r="M1126" s="307" t="n"/>
      <c r="N1126" s="307" t="n"/>
      <c r="O1126" s="307" t="n"/>
      <c r="P1126" s="307" t="n"/>
      <c r="Q1126" s="30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</row>
    <row r="1127" ht="15.5" customHeight="1">
      <c r="B1127" s="293" t="n">
        <v>45622</v>
      </c>
      <c r="C1127" s="294" t="n">
        <v>386</v>
      </c>
      <c r="D1127" s="295" t="inlineStr">
        <is>
          <t>Basic Sea Survival</t>
        </is>
      </c>
      <c r="E1127" s="287" t="inlineStr">
        <is>
          <t>-</t>
        </is>
      </c>
      <c r="F1127" s="296" t="n">
        <v>2700000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2700000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</row>
    <row r="1128">
      <c r="B1128" s="307" t="n"/>
      <c r="C1128" s="307" t="n"/>
      <c r="D1128" s="308" t="inlineStr">
        <is>
          <t>Transportation</t>
        </is>
      </c>
      <c r="E1128" s="307" t="n"/>
      <c r="F1128" s="307" t="n"/>
      <c r="G1128" s="307" t="n"/>
      <c r="H1128" s="307" t="n"/>
      <c r="I1128" s="307" t="n"/>
      <c r="J1128" s="307" t="n"/>
      <c r="K1128" s="307" t="n"/>
      <c r="L1128" s="307" t="n"/>
      <c r="M1128" s="307" t="n"/>
      <c r="N1128" s="307" t="n"/>
      <c r="O1128" s="307" t="n"/>
      <c r="P1128" s="307" t="n"/>
      <c r="Q1128" s="30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</row>
    <row r="1129" ht="15.5" customHeight="1">
      <c r="B1129" s="293" t="n">
        <v>45622</v>
      </c>
      <c r="C1129" s="294" t="n">
        <v>387</v>
      </c>
      <c r="D1129" s="295" t="inlineStr">
        <is>
          <t>Gojek ( Stasiun Sudimara - Home )</t>
        </is>
      </c>
      <c r="E1129" s="287" t="inlineStr">
        <is>
          <t>-</t>
        </is>
      </c>
      <c r="F1129" s="296" t="n">
        <v>15000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15000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</row>
    <row r="1130">
      <c r="B1130" s="304" t="inlineStr">
        <is>
          <t>Expense#40</t>
        </is>
      </c>
      <c r="C1130" s="305" t="inlineStr">
        <is>
          <t>:</t>
        </is>
      </c>
      <c r="D1130" s="304" t="inlineStr">
        <is>
          <t>Non trip 1st - project _ Pety cash 1st - YY</t>
        </is>
      </c>
      <c r="E1130" s="306" t="n"/>
      <c r="F1130" s="306" t="n"/>
      <c r="G1130" s="306" t="n"/>
      <c r="H1130" s="306" t="n"/>
      <c r="I1130" s="306" t="n"/>
      <c r="J1130" s="306" t="n"/>
      <c r="K1130" s="306" t="n"/>
      <c r="L1130" s="306" t="n"/>
      <c r="M1130" s="306" t="n"/>
      <c r="N1130" s="306" t="n"/>
      <c r="O1130" s="306" t="n"/>
      <c r="P1130" s="306" t="n"/>
      <c r="Q1130" s="306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</row>
    <row r="1131">
      <c r="B1131" s="307" t="n"/>
      <c r="C1131" s="307" t="n"/>
      <c r="D1131" s="308" t="inlineStr">
        <is>
          <t>ATK &amp; Dokumentasi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</row>
    <row r="1132" ht="15.5" customHeight="1">
      <c r="B1132" s="293" t="n">
        <v>45617</v>
      </c>
      <c r="C1132" s="294" t="n">
        <v>388</v>
      </c>
      <c r="D1132" s="295" t="inlineStr">
        <is>
          <t>Materai 10 pcs</t>
        </is>
      </c>
      <c r="E1132" s="287" t="inlineStr">
        <is>
          <t>-</t>
        </is>
      </c>
      <c r="F1132" s="296" t="n">
        <v>103000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300" t="n">
        <v>103000</v>
      </c>
      <c r="N1132" s="287" t="n"/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</row>
    <row r="1133">
      <c r="B1133" s="307" t="n"/>
      <c r="C1133" s="307" t="n"/>
      <c r="D1133" s="308" t="inlineStr">
        <is>
          <t>IT Services</t>
        </is>
      </c>
      <c r="E1133" s="307" t="n"/>
      <c r="F1133" s="307" t="n"/>
      <c r="G1133" s="307" t="n"/>
      <c r="H1133" s="307" t="n"/>
      <c r="I1133" s="307" t="n"/>
      <c r="J1133" s="307" t="n"/>
      <c r="K1133" s="307" t="n"/>
      <c r="L1133" s="307" t="n"/>
      <c r="M1133" s="307" t="n"/>
      <c r="N1133" s="307" t="n"/>
      <c r="O1133" s="307" t="n"/>
      <c r="P1133" s="307" t="n"/>
      <c r="Q1133" s="30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</row>
    <row r="1134" ht="15.5" customHeight="1">
      <c r="B1134" s="293" t="n">
        <v>45121</v>
      </c>
      <c r="C1134" s="294" t="n">
        <v>389</v>
      </c>
      <c r="D1134" s="295" t="inlineStr">
        <is>
          <t>Anvelope, Plastic map</t>
        </is>
      </c>
      <c r="E1134" s="287" t="inlineStr">
        <is>
          <t>-</t>
        </is>
      </c>
      <c r="F1134" s="296" t="n">
        <v>12000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300" t="n">
        <v>12000</v>
      </c>
      <c r="N1134" s="287" t="n"/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</row>
    <row r="1135">
      <c r="B1135" s="307" t="n"/>
      <c r="C1135" s="307" t="n"/>
      <c r="D1135" s="308" t="inlineStr">
        <is>
          <t>Transportation</t>
        </is>
      </c>
      <c r="E1135" s="307" t="n"/>
      <c r="F1135" s="307" t="n"/>
      <c r="G1135" s="307" t="n"/>
      <c r="H1135" s="307" t="n"/>
      <c r="I1135" s="307" t="n"/>
      <c r="J1135" s="307" t="n"/>
      <c r="K1135" s="307" t="n"/>
      <c r="L1135" s="307" t="n"/>
      <c r="M1135" s="307" t="n"/>
      <c r="N1135" s="307" t="n"/>
      <c r="O1135" s="307" t="n"/>
      <c r="P1135" s="307" t="n"/>
      <c r="Q1135" s="30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</row>
    <row r="1136" ht="15.5" customHeight="1">
      <c r="B1136" s="293" t="n">
        <v>45636</v>
      </c>
      <c r="C1136" s="294" t="n">
        <v>390</v>
      </c>
      <c r="D1136" s="295" t="inlineStr">
        <is>
          <t>Tol &amp; parking fee</t>
        </is>
      </c>
      <c r="E1136" s="287" t="inlineStr">
        <is>
          <t>-</t>
        </is>
      </c>
      <c r="F1136" s="296" t="n">
        <v>48500</v>
      </c>
      <c r="G1136" s="289" t="inlineStr">
        <is>
          <t>IDR</t>
        </is>
      </c>
      <c r="H1136" s="297" t="n">
        <v>1</v>
      </c>
      <c r="I1136" s="298" t="n"/>
      <c r="J1136" s="298" t="n"/>
      <c r="K1136" s="299" t="n"/>
      <c r="L1136" s="300" t="n">
        <v>48500</v>
      </c>
      <c r="M1136" s="287" t="n"/>
      <c r="N1136" s="287" t="n"/>
      <c r="O1136" s="287" t="n"/>
      <c r="P1136" s="287" t="n"/>
      <c r="Q1136" s="28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</row>
    <row r="1137">
      <c r="B1137" s="304" t="inlineStr">
        <is>
          <t>Expense#41</t>
        </is>
      </c>
      <c r="C1137" s="305" t="inlineStr">
        <is>
          <t>:</t>
        </is>
      </c>
      <c r="D1137" s="304" t="inlineStr">
        <is>
          <t>Starlink Kit_DS</t>
        </is>
      </c>
      <c r="E1137" s="306" t="n"/>
      <c r="F1137" s="306" t="n"/>
      <c r="G1137" s="306" t="n"/>
      <c r="H1137" s="306" t="n"/>
      <c r="I1137" s="306" t="n"/>
      <c r="J1137" s="306" t="n"/>
      <c r="K1137" s="306" t="n"/>
      <c r="L1137" s="306" t="n"/>
      <c r="M1137" s="306" t="n"/>
      <c r="N1137" s="306" t="n"/>
      <c r="O1137" s="306" t="n"/>
      <c r="P1137" s="306" t="n"/>
      <c r="Q1137" s="306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</row>
    <row r="1138">
      <c r="B1138" s="307" t="n"/>
      <c r="C1138" s="307" t="n"/>
      <c r="D1138" s="308" t="inlineStr">
        <is>
          <t>Elektronik &amp; Gadget</t>
        </is>
      </c>
      <c r="E1138" s="307" t="n"/>
      <c r="F1138" s="307" t="n"/>
      <c r="G1138" s="307" t="n"/>
      <c r="H1138" s="307" t="n"/>
      <c r="I1138" s="307" t="n"/>
      <c r="J1138" s="307" t="n"/>
      <c r="K1138" s="307" t="n"/>
      <c r="L1138" s="307" t="n"/>
      <c r="M1138" s="307" t="n"/>
      <c r="N1138" s="307" t="n"/>
      <c r="O1138" s="307" t="n"/>
      <c r="P1138" s="307" t="n"/>
      <c r="Q1138" s="30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</row>
    <row r="1139" ht="15.5" customHeight="1">
      <c r="B1139" s="293" t="n">
        <v>45607</v>
      </c>
      <c r="C1139" s="294" t="n">
        <v>391</v>
      </c>
      <c r="D1139" s="295" t="inlineStr">
        <is>
          <t>Starlink Kit</t>
        </is>
      </c>
      <c r="E1139" s="287" t="inlineStr">
        <is>
          <t>-</t>
        </is>
      </c>
      <c r="F1139" s="296" t="n">
        <v>5583200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287" t="n"/>
      <c r="M1139" s="287" t="n"/>
      <c r="N1139" s="300" t="n">
        <v>5583200</v>
      </c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</row>
    <row r="1140">
      <c r="B1140" s="304" t="inlineStr">
        <is>
          <t>Expense#42</t>
        </is>
      </c>
      <c r="C1140" s="305" t="inlineStr">
        <is>
          <t>:</t>
        </is>
      </c>
      <c r="D1140" s="304" t="inlineStr">
        <is>
          <t>Pelican Case 1650 TMA</t>
        </is>
      </c>
      <c r="E1140" s="306" t="n"/>
      <c r="F1140" s="306" t="n"/>
      <c r="G1140" s="306" t="n"/>
      <c r="H1140" s="306" t="n"/>
      <c r="I1140" s="306" t="n"/>
      <c r="J1140" s="306" t="n"/>
      <c r="K1140" s="306" t="n"/>
      <c r="L1140" s="306" t="n"/>
      <c r="M1140" s="306" t="n"/>
      <c r="N1140" s="306" t="n"/>
      <c r="O1140" s="306" t="n"/>
      <c r="P1140" s="306" t="n"/>
      <c r="Q1140" s="306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</row>
    <row r="1141">
      <c r="B1141" s="307" t="n"/>
      <c r="C1141" s="307" t="n"/>
      <c r="D1141" s="308" t="inlineStr">
        <is>
          <t>Sparepart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</row>
    <row r="1142" ht="15.5" customHeight="1">
      <c r="B1142" s="293" t="n">
        <v>45640</v>
      </c>
      <c r="C1142" s="294" t="n">
        <v>392</v>
      </c>
      <c r="D1142" s="295" t="inlineStr">
        <is>
          <t>Pelican Case 1650</t>
        </is>
      </c>
      <c r="E1142" s="287" t="inlineStr">
        <is>
          <t>-</t>
        </is>
      </c>
      <c r="F1142" s="296" t="n">
        <v>8156000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287" t="n"/>
      <c r="M1142" s="287" t="n"/>
      <c r="N1142" s="300" t="n">
        <v>8156000</v>
      </c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</row>
    <row r="1143">
      <c r="B1143" s="304" t="inlineStr">
        <is>
          <t>Expense#43</t>
        </is>
      </c>
      <c r="C1143" s="305" t="inlineStr">
        <is>
          <t>:</t>
        </is>
      </c>
      <c r="D1143" s="304" t="inlineStr">
        <is>
          <t>Non trip 3rd (follow up MCU concul &amp; visit KPP and Graha Elnusa)_AC</t>
        </is>
      </c>
      <c r="E1143" s="306" t="n"/>
      <c r="F1143" s="306" t="n"/>
      <c r="G1143" s="306" t="n"/>
      <c r="H1143" s="306" t="n"/>
      <c r="I1143" s="306" t="n"/>
      <c r="J1143" s="306" t="n"/>
      <c r="K1143" s="306" t="n"/>
      <c r="L1143" s="306" t="n"/>
      <c r="M1143" s="306" t="n"/>
      <c r="N1143" s="306" t="n"/>
      <c r="O1143" s="306" t="n"/>
      <c r="P1143" s="306" t="n"/>
      <c r="Q1143" s="306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</row>
    <row r="1144">
      <c r="B1144" s="307" t="n"/>
      <c r="C1144" s="307" t="n"/>
      <c r="D1144" s="308" t="inlineStr">
        <is>
          <t>Medical</t>
        </is>
      </c>
      <c r="E1144" s="307" t="n"/>
      <c r="F1144" s="307" t="n"/>
      <c r="G1144" s="307" t="n"/>
      <c r="H1144" s="307" t="n"/>
      <c r="I1144" s="307" t="n"/>
      <c r="J1144" s="307" t="n"/>
      <c r="K1144" s="307" t="n"/>
      <c r="L1144" s="307" t="n"/>
      <c r="M1144" s="307" t="n"/>
      <c r="N1144" s="307" t="n"/>
      <c r="O1144" s="307" t="n"/>
      <c r="P1144" s="307" t="n"/>
      <c r="Q1144" s="30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</row>
    <row r="1145" ht="15.5" customHeight="1">
      <c r="B1145" s="293" t="n">
        <v>45637</v>
      </c>
      <c r="C1145" s="294" t="n">
        <v>393</v>
      </c>
      <c r="D1145" s="295" t="inlineStr">
        <is>
          <t>Medicine after konsul jantung 3rd</t>
        </is>
      </c>
      <c r="E1145" s="287" t="inlineStr">
        <is>
          <t>-</t>
        </is>
      </c>
      <c r="F1145" s="296" t="n">
        <v>417600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287" t="n"/>
      <c r="M1145" s="287" t="n"/>
      <c r="N1145" s="287" t="n"/>
      <c r="O1145" s="287" t="n"/>
      <c r="P1145" s="300" t="n">
        <v>417600</v>
      </c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</row>
    <row r="1146">
      <c r="B1146" s="307" t="n"/>
      <c r="C1146" s="307" t="n"/>
      <c r="D1146" s="308" t="inlineStr">
        <is>
          <t>Transportation</t>
        </is>
      </c>
      <c r="E1146" s="307" t="n"/>
      <c r="F1146" s="307" t="n"/>
      <c r="G1146" s="307" t="n"/>
      <c r="H1146" s="307" t="n"/>
      <c r="I1146" s="307" t="n"/>
      <c r="J1146" s="307" t="n"/>
      <c r="K1146" s="307" t="n"/>
      <c r="L1146" s="307" t="n"/>
      <c r="M1146" s="307" t="n"/>
      <c r="N1146" s="307" t="n"/>
      <c r="O1146" s="307" t="n"/>
      <c r="P1146" s="307" t="n"/>
      <c r="Q1146" s="307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</row>
    <row r="1147" ht="15.5" customHeight="1">
      <c r="B1147" s="293" t="n">
        <v>45636</v>
      </c>
      <c r="C1147" s="294" t="n">
        <v>394</v>
      </c>
      <c r="D1147" s="295" t="inlineStr">
        <is>
          <t>Parkir Graha Elnusa (antar dokemen invoice)</t>
        </is>
      </c>
      <c r="E1147" s="287" t="inlineStr">
        <is>
          <t>-</t>
        </is>
      </c>
      <c r="F1147" s="296" t="n">
        <v>17000</v>
      </c>
      <c r="G1147" s="289" t="inlineStr">
        <is>
          <t>IDR</t>
        </is>
      </c>
      <c r="H1147" s="297" t="n">
        <v>1</v>
      </c>
      <c r="I1147" s="298" t="n"/>
      <c r="J1147" s="298" t="n"/>
      <c r="K1147" s="299" t="n"/>
      <c r="L1147" s="300" t="n">
        <v>17000</v>
      </c>
      <c r="M1147" s="287" t="n"/>
      <c r="N1147" s="287" t="n"/>
      <c r="O1147" s="287" t="n"/>
      <c r="P1147" s="287" t="n"/>
      <c r="Q1147" s="28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</row>
    <row r="1148">
      <c r="B1148" s="304" t="inlineStr">
        <is>
          <t>Expense#44</t>
        </is>
      </c>
      <c r="C1148" s="305" t="inlineStr">
        <is>
          <t>:</t>
        </is>
      </c>
      <c r="D1148" s="304" t="inlineStr">
        <is>
          <t>Meeting presentasi With Elnusa - Bandung &amp;Pembelian Sparepart dari Pei-Genesis.</t>
        </is>
      </c>
      <c r="E1148" s="306" t="n"/>
      <c r="F1148" s="306" t="n"/>
      <c r="G1148" s="306" t="n"/>
      <c r="H1148" s="306" t="n"/>
      <c r="I1148" s="306" t="n"/>
      <c r="J1148" s="306" t="n"/>
      <c r="K1148" s="306" t="n"/>
      <c r="L1148" s="306" t="n"/>
      <c r="M1148" s="306" t="n"/>
      <c r="N1148" s="306" t="n"/>
      <c r="O1148" s="306" t="n"/>
      <c r="P1148" s="306" t="n"/>
      <c r="Q1148" s="306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</row>
    <row r="1149">
      <c r="B1149" s="307" t="n"/>
      <c r="C1149" s="307" t="n"/>
      <c r="D1149" s="308" t="inlineStr">
        <is>
          <t>Biaya Operasi Lain-lain</t>
        </is>
      </c>
      <c r="E1149" s="307" t="n"/>
      <c r="F1149" s="307" t="n"/>
      <c r="G1149" s="307" t="n"/>
      <c r="H1149" s="307" t="n"/>
      <c r="I1149" s="307" t="n"/>
      <c r="J1149" s="307" t="n"/>
      <c r="K1149" s="307" t="n"/>
      <c r="L1149" s="307" t="n"/>
      <c r="M1149" s="307" t="n"/>
      <c r="N1149" s="307" t="n"/>
      <c r="O1149" s="307" t="n"/>
      <c r="P1149" s="307" t="n"/>
      <c r="Q1149" s="30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</row>
    <row r="1150" ht="15.5" customHeight="1">
      <c r="B1150" s="293" t="n">
        <v>45647</v>
      </c>
      <c r="C1150" s="294" t="n">
        <v>395</v>
      </c>
      <c r="D1150" s="295" t="inlineStr">
        <is>
          <t>Traveling Bandung - Jakarta</t>
        </is>
      </c>
      <c r="E1150" s="287" t="inlineStr">
        <is>
          <t>-</t>
        </is>
      </c>
      <c r="F1150" s="296" t="n">
        <v>160000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160000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</row>
    <row r="1151">
      <c r="B1151" s="307" t="n"/>
      <c r="C1151" s="307" t="n"/>
      <c r="D1151" s="308" t="inlineStr">
        <is>
          <t>IT Services</t>
        </is>
      </c>
      <c r="E1151" s="307" t="n"/>
      <c r="F1151" s="307" t="n"/>
      <c r="G1151" s="307" t="n"/>
      <c r="H1151" s="307" t="n"/>
      <c r="I1151" s="307" t="n"/>
      <c r="J1151" s="307" t="n"/>
      <c r="K1151" s="307" t="n"/>
      <c r="L1151" s="307" t="n"/>
      <c r="M1151" s="307" t="n"/>
      <c r="N1151" s="307" t="n"/>
      <c r="O1151" s="307" t="n"/>
      <c r="P1151" s="307" t="n"/>
      <c r="Q1151" s="30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</row>
    <row r="1152" ht="15.5" customHeight="1">
      <c r="B1152" s="293" t="n">
        <v>45650</v>
      </c>
      <c r="C1152" s="294" t="n">
        <v>396</v>
      </c>
      <c r="D1152" s="295" t="inlineStr">
        <is>
          <t>payment for hotel Grand Dafam and</t>
        </is>
      </c>
      <c r="E1152" s="287" t="inlineStr">
        <is>
          <t>-</t>
        </is>
      </c>
      <c r="F1152" s="296" t="n">
        <v>4913283</v>
      </c>
      <c r="G1152" s="289" t="inlineStr">
        <is>
          <t>IDR</t>
        </is>
      </c>
      <c r="H1152" s="297" t="n">
        <v>1</v>
      </c>
      <c r="I1152" s="298" t="n"/>
      <c r="J1152" s="298" t="n"/>
      <c r="K1152" s="299" t="n"/>
      <c r="L1152" s="287" t="n"/>
      <c r="M1152" s="300" t="n">
        <v>4913283</v>
      </c>
      <c r="N1152" s="287" t="n"/>
      <c r="O1152" s="287" t="n"/>
      <c r="P1152" s="287" t="n"/>
      <c r="Q1152" s="28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</row>
    <row r="1153">
      <c r="B1153" s="307" t="n"/>
      <c r="C1153" s="307" t="n"/>
      <c r="D1153" s="308" t="inlineStr">
        <is>
          <t>Meal</t>
        </is>
      </c>
      <c r="E1153" s="307" t="n"/>
      <c r="F1153" s="307" t="n"/>
      <c r="G1153" s="307" t="n"/>
      <c r="H1153" s="307" t="n"/>
      <c r="I1153" s="307" t="n"/>
      <c r="J1153" s="307" t="n"/>
      <c r="K1153" s="307" t="n"/>
      <c r="L1153" s="307" t="n"/>
      <c r="M1153" s="307" t="n"/>
      <c r="N1153" s="307" t="n"/>
      <c r="O1153" s="307" t="n"/>
      <c r="P1153" s="307" t="n"/>
      <c r="Q1153" s="30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</row>
    <row r="1154" ht="15.5" customHeight="1">
      <c r="B1154" s="293" t="n">
        <v>45647</v>
      </c>
      <c r="C1154" s="294" t="n">
        <v>397</v>
      </c>
      <c r="D1154" s="295" t="inlineStr">
        <is>
          <t>Meal</t>
        </is>
      </c>
      <c r="E1154" s="287" t="inlineStr">
        <is>
          <t>-</t>
        </is>
      </c>
      <c r="F1154" s="296" t="n">
        <v>299900</v>
      </c>
      <c r="G1154" s="289" t="inlineStr">
        <is>
          <t>IDR</t>
        </is>
      </c>
      <c r="H1154" s="297" t="n">
        <v>1</v>
      </c>
      <c r="I1154" s="298" t="n"/>
      <c r="J1154" s="298" t="n"/>
      <c r="K1154" s="299" t="n"/>
      <c r="L1154" s="300" t="n">
        <v>299900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</row>
    <row r="1155">
      <c r="B1155" s="307" t="n"/>
      <c r="C1155" s="307" t="n"/>
      <c r="D1155" s="308" t="inlineStr">
        <is>
          <t>Transportation</t>
        </is>
      </c>
      <c r="E1155" s="307" t="n"/>
      <c r="F1155" s="307" t="n"/>
      <c r="G1155" s="307" t="n"/>
      <c r="H1155" s="307" t="n"/>
      <c r="I1155" s="307" t="n"/>
      <c r="J1155" s="307" t="n"/>
      <c r="K1155" s="307" t="n"/>
      <c r="L1155" s="307" t="n"/>
      <c r="M1155" s="307" t="n"/>
      <c r="N1155" s="307" t="n"/>
      <c r="O1155" s="307" t="n"/>
      <c r="P1155" s="307" t="n"/>
      <c r="Q1155" s="30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</row>
    <row r="1156" ht="15.5" customHeight="1">
      <c r="B1156" s="293" t="n">
        <v>45647</v>
      </c>
      <c r="C1156" s="294" t="n">
        <v>398</v>
      </c>
      <c r="D1156" s="295" t="inlineStr">
        <is>
          <t>Taksi around the Bandung city for 2 days</t>
        </is>
      </c>
      <c r="E1156" s="287" t="inlineStr">
        <is>
          <t>-</t>
        </is>
      </c>
      <c r="F1156" s="296" t="n">
        <v>200000</v>
      </c>
      <c r="G1156" s="289" t="inlineStr">
        <is>
          <t>IDR</t>
        </is>
      </c>
      <c r="H1156" s="297" t="n">
        <v>1</v>
      </c>
      <c r="I1156" s="298" t="n"/>
      <c r="J1156" s="298" t="n"/>
      <c r="K1156" s="299" t="n"/>
      <c r="L1156" s="300" t="n">
        <v>200000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</row>
    <row r="1157">
      <c r="B1157" s="304" t="inlineStr">
        <is>
          <t>Expense#45</t>
        </is>
      </c>
      <c r="C1157" s="305" t="inlineStr">
        <is>
          <t>:</t>
        </is>
      </c>
      <c r="D1157" s="304" t="inlineStr">
        <is>
          <t>General Operation_Year 2024 - AM</t>
        </is>
      </c>
      <c r="E1157" s="306" t="n"/>
      <c r="F1157" s="306" t="n"/>
      <c r="G1157" s="306" t="n"/>
      <c r="H1157" s="306" t="n"/>
      <c r="I1157" s="306" t="n"/>
      <c r="J1157" s="306" t="n"/>
      <c r="K1157" s="306" t="n"/>
      <c r="L1157" s="306" t="n"/>
      <c r="M1157" s="306" t="n"/>
      <c r="N1157" s="306" t="n"/>
      <c r="O1157" s="306" t="n"/>
      <c r="P1157" s="306" t="n"/>
      <c r="Q1157" s="306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</row>
    <row r="1158">
      <c r="B1158" s="307" t="n"/>
      <c r="C1158" s="307" t="n"/>
      <c r="D1158" s="308" t="inlineStr">
        <is>
          <t>Accommodation</t>
        </is>
      </c>
      <c r="E1158" s="307" t="n"/>
      <c r="F1158" s="307" t="n"/>
      <c r="G1158" s="307" t="n"/>
      <c r="H1158" s="307" t="n"/>
      <c r="I1158" s="307" t="n"/>
      <c r="J1158" s="307" t="n"/>
      <c r="K1158" s="307" t="n"/>
      <c r="L1158" s="307" t="n"/>
      <c r="M1158" s="307" t="n"/>
      <c r="N1158" s="307" t="n"/>
      <c r="O1158" s="307" t="n"/>
      <c r="P1158" s="307" t="n"/>
      <c r="Q1158" s="30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</row>
    <row r="1159" ht="15.5" customHeight="1">
      <c r="B1159" s="293" t="n">
        <v>45647</v>
      </c>
      <c r="C1159" s="294" t="n">
        <v>399</v>
      </c>
      <c r="D1159" s="295" t="inlineStr">
        <is>
          <t>Hotel 1 night 20 - 21 Dec 2024</t>
        </is>
      </c>
      <c r="E1159" s="287" t="inlineStr">
        <is>
          <t>-</t>
        </is>
      </c>
      <c r="F1159" s="296" t="n">
        <v>784000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784000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</row>
    <row r="1160">
      <c r="B1160" s="307" t="n"/>
      <c r="C1160" s="307" t="n"/>
      <c r="D1160" s="308" t="inlineStr">
        <is>
          <t>Allowance</t>
        </is>
      </c>
      <c r="E1160" s="307" t="n"/>
      <c r="F1160" s="307" t="n"/>
      <c r="G1160" s="307" t="n"/>
      <c r="H1160" s="307" t="n"/>
      <c r="I1160" s="307" t="n"/>
      <c r="J1160" s="307" t="n"/>
      <c r="K1160" s="307" t="n"/>
      <c r="L1160" s="307" t="n"/>
      <c r="M1160" s="307" t="n"/>
      <c r="N1160" s="307" t="n"/>
      <c r="O1160" s="307" t="n"/>
      <c r="P1160" s="307" t="n"/>
      <c r="Q1160" s="30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</row>
    <row r="1161" ht="15.5" customHeight="1">
      <c r="B1161" s="293" t="n">
        <v>45405</v>
      </c>
      <c r="C1161" s="294" t="n">
        <v>400</v>
      </c>
      <c r="D1161" s="295" t="inlineStr">
        <is>
          <t>Tunjangan Lapangan @ 1.5 juta/day x 2 days</t>
        </is>
      </c>
      <c r="E1161" s="287" t="inlineStr">
        <is>
          <t>-</t>
        </is>
      </c>
      <c r="F1161" s="296" t="n">
        <v>3000000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3000000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</row>
    <row r="1162">
      <c r="B1162" s="307" t="n"/>
      <c r="C1162" s="307" t="n"/>
      <c r="D1162" s="308" t="inlineStr">
        <is>
          <t>Biaya Operasi Lain-lain</t>
        </is>
      </c>
      <c r="E1162" s="307" t="n"/>
      <c r="F1162" s="307" t="n"/>
      <c r="G1162" s="307" t="n"/>
      <c r="H1162" s="307" t="n"/>
      <c r="I1162" s="307" t="n"/>
      <c r="J1162" s="307" t="n"/>
      <c r="K1162" s="307" t="n"/>
      <c r="L1162" s="307" t="n"/>
      <c r="M1162" s="307" t="n"/>
      <c r="N1162" s="307" t="n"/>
      <c r="O1162" s="307" t="n"/>
      <c r="P1162" s="307" t="n"/>
      <c r="Q1162" s="30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</row>
    <row r="1163" ht="15.5" customHeight="1">
      <c r="B1163" s="293" t="n">
        <v>45335</v>
      </c>
      <c r="C1163" s="294" t="n">
        <v>401</v>
      </c>
      <c r="D1163" s="295" t="inlineStr">
        <is>
          <t>Shipment Benchmark DTR to Malaysia</t>
        </is>
      </c>
      <c r="E1163" s="287" t="inlineStr">
        <is>
          <t>-</t>
        </is>
      </c>
      <c r="F1163" s="296" t="n">
        <v>13201183.322</v>
      </c>
      <c r="G1163" s="289" t="inlineStr">
        <is>
          <t>MYR</t>
        </is>
      </c>
      <c r="H1163" s="297" t="n">
        <v>3636.89</v>
      </c>
      <c r="I1163" s="298" t="n"/>
      <c r="J1163" s="298" t="n"/>
      <c r="K1163" s="299" t="n"/>
      <c r="L1163" s="300" t="n">
        <v>13201183.322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</row>
    <row r="1164">
      <c r="B1164" s="307" t="n"/>
      <c r="C1164" s="307" t="n"/>
      <c r="D1164" s="308" t="inlineStr">
        <is>
          <t>IT Services</t>
        </is>
      </c>
      <c r="E1164" s="307" t="n"/>
      <c r="F1164" s="307" t="n"/>
      <c r="G1164" s="307" t="n"/>
      <c r="H1164" s="307" t="n"/>
      <c r="I1164" s="307" t="n"/>
      <c r="J1164" s="307" t="n"/>
      <c r="K1164" s="307" t="n"/>
      <c r="L1164" s="307" t="n"/>
      <c r="M1164" s="307" t="n"/>
      <c r="N1164" s="307" t="n"/>
      <c r="O1164" s="307" t="n"/>
      <c r="P1164" s="307" t="n"/>
      <c r="Q1164" s="30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</row>
    <row r="1165" ht="15.5" customHeight="1">
      <c r="B1165" s="293" t="n">
        <v>45428</v>
      </c>
      <c r="C1165" s="294" t="n">
        <v>402</v>
      </c>
      <c r="D1165" s="295" t="inlineStr">
        <is>
          <t>Google Workspace PT. EWI</t>
        </is>
      </c>
      <c r="E1165" s="287" t="inlineStr">
        <is>
          <t>-</t>
        </is>
      </c>
      <c r="F1165" s="296" t="n">
        <v>306982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287" t="n"/>
      <c r="M1165" s="300" t="n">
        <v>306982</v>
      </c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</row>
    <row r="1166">
      <c r="B1166" s="307" t="n"/>
      <c r="C1166" s="307" t="n"/>
      <c r="D1166" s="308" t="inlineStr">
        <is>
          <t>Meal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</row>
    <row r="1167" ht="15.5" customHeight="1">
      <c r="B1167" s="293" t="n">
        <v>45647</v>
      </c>
      <c r="C1167" s="294" t="n">
        <v>403</v>
      </c>
      <c r="D1167" s="295" t="inlineStr">
        <is>
          <t>Meals 2 days @ 150,000/day</t>
        </is>
      </c>
      <c r="E1167" s="287" t="inlineStr">
        <is>
          <t>-</t>
        </is>
      </c>
      <c r="F1167" s="296" t="n">
        <v>300000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300000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</row>
    <row r="1168">
      <c r="B1168" s="307" t="n"/>
      <c r="C1168" s="307" t="n"/>
      <c r="D1168" s="308" t="inlineStr">
        <is>
          <t>Transportation</t>
        </is>
      </c>
      <c r="E1168" s="307" t="n"/>
      <c r="F1168" s="307" t="n"/>
      <c r="G1168" s="307" t="n"/>
      <c r="H1168" s="307" t="n"/>
      <c r="I1168" s="307" t="n"/>
      <c r="J1168" s="307" t="n"/>
      <c r="K1168" s="307" t="n"/>
      <c r="L1168" s="307" t="n"/>
      <c r="M1168" s="307" t="n"/>
      <c r="N1168" s="307" t="n"/>
      <c r="O1168" s="307" t="n"/>
      <c r="P1168" s="307" t="n"/>
      <c r="Q1168" s="30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</row>
    <row r="1169" ht="15.5" customHeight="1">
      <c r="B1169" s="293" t="n">
        <v>45647</v>
      </c>
      <c r="C1169" s="294" t="n">
        <v>404</v>
      </c>
      <c r="D1169" s="295" t="inlineStr">
        <is>
          <t>Taxi from KCIC Stationa Halim to Home</t>
        </is>
      </c>
      <c r="E1169" s="287" t="inlineStr">
        <is>
          <t>-</t>
        </is>
      </c>
      <c r="F1169" s="296" t="n">
        <v>100000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100000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</row>
    <row r="1170">
      <c r="B1170" s="304" t="inlineStr">
        <is>
          <t>Expense#46</t>
        </is>
      </c>
      <c r="C1170" s="305" t="inlineStr">
        <is>
          <t>:</t>
        </is>
      </c>
      <c r="D1170" s="304" t="inlineStr">
        <is>
          <t>Non trip - Training BSS - AC</t>
        </is>
      </c>
      <c r="E1170" s="306" t="n"/>
      <c r="F1170" s="306" t="n"/>
      <c r="G1170" s="306" t="n"/>
      <c r="H1170" s="306" t="n"/>
      <c r="I1170" s="306" t="n"/>
      <c r="J1170" s="306" t="n"/>
      <c r="K1170" s="306" t="n"/>
      <c r="L1170" s="306" t="n"/>
      <c r="M1170" s="306" t="n"/>
      <c r="N1170" s="306" t="n"/>
      <c r="O1170" s="306" t="n"/>
      <c r="P1170" s="306" t="n"/>
      <c r="Q1170" s="306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</row>
    <row r="1171">
      <c r="B1171" s="307" t="n"/>
      <c r="C1171" s="307" t="n"/>
      <c r="D1171" s="308" t="inlineStr">
        <is>
          <t>Training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</row>
    <row r="1172" ht="15.5" customHeight="1">
      <c r="B1172" s="293" t="n">
        <v>45636</v>
      </c>
      <c r="C1172" s="294" t="n">
        <v>405</v>
      </c>
      <c r="D1172" s="295" t="inlineStr">
        <is>
          <t>Traning Basic Sea Survival (BSS)</t>
        </is>
      </c>
      <c r="E1172" s="287" t="inlineStr">
        <is>
          <t>-</t>
        </is>
      </c>
      <c r="F1172" s="296" t="n">
        <v>2700000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2700000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</row>
    <row r="1173">
      <c r="B1173" s="304" t="inlineStr">
        <is>
          <t>Expense#47</t>
        </is>
      </c>
      <c r="C1173" s="305" t="inlineStr">
        <is>
          <t>:</t>
        </is>
      </c>
      <c r="D1173" s="304" t="inlineStr">
        <is>
          <t>Trip Rakan : BSTTraining at HSSE Training Center PT Pertamina EP Zone 7 Cirebon</t>
        </is>
      </c>
      <c r="E1173" s="306" t="n"/>
      <c r="F1173" s="306" t="n"/>
      <c r="G1173" s="306" t="n"/>
      <c r="H1173" s="306" t="n"/>
      <c r="I1173" s="306" t="n"/>
      <c r="J1173" s="306" t="n"/>
      <c r="K1173" s="306" t="n"/>
      <c r="L1173" s="306" t="n"/>
      <c r="M1173" s="306" t="n"/>
      <c r="N1173" s="306" t="n"/>
      <c r="O1173" s="306" t="n"/>
      <c r="P1173" s="306" t="n"/>
      <c r="Q1173" s="306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</row>
    <row r="1174">
      <c r="B1174" s="307" t="n"/>
      <c r="C1174" s="307" t="n"/>
      <c r="D1174" s="308" t="inlineStr">
        <is>
          <t>Accommodation</t>
        </is>
      </c>
      <c r="E1174" s="307" t="n"/>
      <c r="F1174" s="307" t="n"/>
      <c r="G1174" s="307" t="n"/>
      <c r="H1174" s="307" t="n"/>
      <c r="I1174" s="307" t="n"/>
      <c r="J1174" s="307" t="n"/>
      <c r="K1174" s="307" t="n"/>
      <c r="L1174" s="307" t="n"/>
      <c r="M1174" s="307" t="n"/>
      <c r="N1174" s="307" t="n"/>
      <c r="O1174" s="307" t="n"/>
      <c r="P1174" s="307" t="n"/>
      <c r="Q1174" s="30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</row>
    <row r="1175" ht="15.5" customHeight="1">
      <c r="B1175" s="293" t="n">
        <v>45655</v>
      </c>
      <c r="C1175" s="294" t="n">
        <v>406</v>
      </c>
      <c r="D1175" s="295" t="inlineStr">
        <is>
          <t>Accomodation Hotel (Pia Hotel 29 - 30 des, 1 Night)</t>
        </is>
      </c>
      <c r="E1175" s="287" t="inlineStr">
        <is>
          <t>-</t>
        </is>
      </c>
      <c r="F1175" s="296" t="n">
        <v>224000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224000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</row>
    <row r="1176">
      <c r="B1176" s="307" t="n"/>
      <c r="C1176" s="307" t="n"/>
      <c r="D1176" s="308" t="inlineStr">
        <is>
          <t>Allowance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</row>
    <row r="1177" ht="15.5" customHeight="1">
      <c r="B1177" s="293" t="n">
        <v>45656</v>
      </c>
      <c r="C1177" s="294" t="n">
        <v>407</v>
      </c>
      <c r="D1177" s="295" t="inlineStr">
        <is>
          <t>Meal Allowance 2 Days (29 - 30 December 2024)@ 150 rb</t>
        </is>
      </c>
      <c r="E1177" s="287" t="inlineStr">
        <is>
          <t>-</t>
        </is>
      </c>
      <c r="F1177" s="296" t="n">
        <v>300000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300000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</row>
    <row r="1178">
      <c r="B1178" s="307" t="n"/>
      <c r="C1178" s="307" t="n"/>
      <c r="D1178" s="308" t="inlineStr">
        <is>
          <t>Transportation</t>
        </is>
      </c>
      <c r="E1178" s="307" t="n"/>
      <c r="F1178" s="307" t="n"/>
      <c r="G1178" s="307" t="n"/>
      <c r="H1178" s="307" t="n"/>
      <c r="I1178" s="307" t="n"/>
      <c r="J1178" s="307" t="n"/>
      <c r="K1178" s="307" t="n"/>
      <c r="L1178" s="307" t="n"/>
      <c r="M1178" s="307" t="n"/>
      <c r="N1178" s="307" t="n"/>
      <c r="O1178" s="307" t="n"/>
      <c r="P1178" s="307" t="n"/>
      <c r="Q1178" s="30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</row>
    <row r="1179" ht="15.5" customHeight="1">
      <c r="B1179" s="293" t="n">
        <v>45656</v>
      </c>
      <c r="C1179" s="294" t="n">
        <v>408</v>
      </c>
      <c r="D1179" s="295" t="inlineStr">
        <is>
          <t>Gojek (Gambir Station to Cirendeu)</t>
        </is>
      </c>
      <c r="E1179" s="287" t="inlineStr">
        <is>
          <t>-</t>
        </is>
      </c>
      <c r="F1179" s="296" t="n">
        <v>66000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66000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</row>
    <row r="1180">
      <c r="B1180" s="309" t="inlineStr">
        <is>
          <t>TOTAL</t>
        </is>
      </c>
      <c r="I1180" s="310" t="n">
        <v>1424048012</v>
      </c>
      <c r="J1180" s="310" t="n">
        <v>3966000000</v>
      </c>
      <c r="K1180" s="310" t="n">
        <v>1470980000</v>
      </c>
      <c r="L1180" s="310" t="n">
        <v>4661892587.727999</v>
      </c>
      <c r="M1180" s="310" t="n">
        <v>51618564</v>
      </c>
      <c r="N1180" s="310" t="n">
        <v>802070280</v>
      </c>
      <c r="O1180" s="310" t="n">
        <v>19980000</v>
      </c>
      <c r="P1180" s="310" t="n">
        <v>154194870</v>
      </c>
      <c r="Q1180" s="310" t="n">
        <v>811680000</v>
      </c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</row>
    <row r="1184">
      <c r="B1184" s="311" t="inlineStr">
        <is>
          <t>Nama Lengkap</t>
        </is>
      </c>
    </row>
    <row r="1185">
      <c r="B1185" s="312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B1180:H1180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B1184:E1184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B1185:E1185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  <c r="G3" s="317" t="inlineStr">
        <is>
          <t>PT. EXSPAN WIRELINE INDONESIA</t>
        </is>
      </c>
      <c r="H3" s="317" t="n"/>
      <c r="I3" s="317" t="n"/>
      <c r="J3" s="317" t="n"/>
    </row>
    <row r="4" ht="20.45" customHeight="1">
      <c r="A4" s="313" t="n"/>
      <c r="B4" s="318" t="inlineStr">
        <is>
          <t>LABA RUGI | TAHUN 2024</t>
        </is>
      </c>
      <c r="F4" s="316" t="n"/>
      <c r="G4" s="319" t="inlineStr">
        <is>
          <t>NERACA |TAHUN YANG BERAKHIR, 31 DESEMBER 2024</t>
        </is>
      </c>
      <c r="H4" s="319" t="n"/>
      <c r="I4" s="319" t="n"/>
      <c r="J4" s="319" t="n"/>
    </row>
    <row r="5" ht="6" customHeight="1">
      <c r="A5" s="313" t="n"/>
      <c r="B5" s="313" t="n"/>
      <c r="C5" s="313" t="n"/>
      <c r="D5" s="313" t="n"/>
      <c r="E5" s="314" t="n"/>
      <c r="F5" s="316" t="n"/>
      <c r="G5" s="316" t="n"/>
      <c r="H5" s="320" t="n"/>
      <c r="I5" s="320" t="n"/>
      <c r="J5" s="320" t="n"/>
    </row>
    <row r="6" ht="15.4" customHeight="1">
      <c r="A6" s="313" t="n"/>
      <c r="B6" s="321" t="n"/>
      <c r="C6" s="322" t="n"/>
      <c r="D6" s="323" t="inlineStr">
        <is>
          <t>PT. Exspan Wireline Indonesia</t>
        </is>
      </c>
      <c r="E6" s="221" t="n"/>
      <c r="F6" s="316" t="n"/>
      <c r="G6" s="324" t="n"/>
      <c r="H6" s="325" t="n"/>
      <c r="I6" s="323" t="inlineStr">
        <is>
          <t>PT. Exspan Wireline Indonesia</t>
        </is>
      </c>
      <c r="J6" s="221" t="n"/>
    </row>
    <row r="7" ht="15.4" customHeight="1">
      <c r="A7" s="313" t="n"/>
      <c r="B7" s="326" t="n"/>
      <c r="C7" s="327" t="n"/>
      <c r="D7" s="328" t="inlineStr">
        <is>
          <t>(Rp)</t>
        </is>
      </c>
      <c r="E7" s="226" t="n"/>
      <c r="F7" s="316" t="n"/>
      <c r="G7" s="329" t="n"/>
      <c r="H7" s="330" t="n"/>
      <c r="I7" s="328" t="inlineStr">
        <is>
          <t>(Rp)</t>
        </is>
      </c>
      <c r="J7" s="226" t="n"/>
    </row>
    <row r="8" ht="15" customHeight="1">
      <c r="A8" s="331" t="n"/>
      <c r="B8" s="332" t="inlineStr">
        <is>
          <t>PENDAPATAN</t>
        </is>
      </c>
      <c r="C8" s="333" t="n"/>
      <c r="D8" s="334" t="n"/>
      <c r="E8" s="335" t="n"/>
      <c r="F8" s="316" t="n"/>
      <c r="G8" s="336" t="inlineStr">
        <is>
          <t>AKTIVA</t>
        </is>
      </c>
      <c r="H8" s="337" t="inlineStr">
        <is>
          <t>AKTIVA</t>
        </is>
      </c>
      <c r="I8" s="338" t="n"/>
      <c r="J8" s="335" t="n"/>
    </row>
    <row r="9" ht="15" customHeight="1">
      <c r="A9" s="331" t="n"/>
      <c r="B9" s="339" t="n"/>
      <c r="C9" s="340" t="inlineStr">
        <is>
          <t>PENDAPATAN LANGSUNG</t>
        </is>
      </c>
      <c r="D9" s="341" t="inlineStr">
        <is>
          <t>Rp</t>
        </is>
      </c>
      <c r="E9" s="342">
        <f>SUM('Revenue-Cost_2024'!F8:F280)</f>
        <v/>
      </c>
      <c r="F9" s="316" t="n"/>
      <c r="G9" s="343" t="inlineStr">
        <is>
          <t>AKTIVA LANCAR</t>
        </is>
      </c>
      <c r="H9" s="344" t="inlineStr">
        <is>
          <t>AKTIVA LANCAR</t>
        </is>
      </c>
      <c r="I9" s="345" t="n"/>
      <c r="J9" s="342" t="n"/>
    </row>
    <row r="10" ht="15" customHeight="1">
      <c r="A10" s="331" t="n"/>
      <c r="B10" s="339" t="n"/>
      <c r="C10" s="340" t="inlineStr">
        <is>
          <t>PENDAPATAN LAIN LAIN</t>
        </is>
      </c>
      <c r="D10" s="341" t="inlineStr">
        <is>
          <t>Rp</t>
        </is>
      </c>
      <c r="E10" s="342">
        <f>SUM('Revenue-Cost_2024'!F281:F301)</f>
        <v/>
      </c>
      <c r="F10" s="316" t="n"/>
      <c r="G10" s="343" t="n"/>
      <c r="H10" s="344" t="inlineStr">
        <is>
          <t xml:space="preserve">  KAS DAN SETARA KAS TAHUN SEBELUMNYA</t>
        </is>
      </c>
      <c r="I10" s="341" t="inlineStr">
        <is>
          <t>Rp</t>
        </is>
      </c>
      <c r="J10" s="342" t="n">
        <v>161401093</v>
      </c>
    </row>
    <row r="11" ht="15" customHeight="1">
      <c r="A11" s="331" t="n"/>
      <c r="B11" s="339" t="n"/>
      <c r="C11" s="340" t="n"/>
      <c r="D11" s="341" t="n"/>
      <c r="E11" s="342" t="n"/>
      <c r="F11" s="316" t="n"/>
      <c r="G11" s="343" t="n"/>
      <c r="H11" s="344" t="inlineStr">
        <is>
          <t xml:space="preserve">  KAS DAN SETARA KAS TAHUN LAPORAN</t>
        </is>
      </c>
      <c r="I11" s="341" t="inlineStr">
        <is>
          <t>Rp</t>
        </is>
      </c>
      <c r="J11" s="342">
        <f>ROUND(E41-'Business Summary'!E13, 0)</f>
        <v/>
      </c>
    </row>
    <row r="12" ht="15" customHeight="1">
      <c r="A12" s="331" t="n"/>
      <c r="B12" s="346" t="inlineStr">
        <is>
          <t>TOTAL PENDAPATAN</t>
        </is>
      </c>
      <c r="C12" s="347" t="n"/>
      <c r="D12" s="348" t="inlineStr">
        <is>
          <t>Rp</t>
        </is>
      </c>
      <c r="E12" s="349">
        <f>SUM(E9:E11)</f>
        <v/>
      </c>
      <c r="F12" s="316" t="n"/>
      <c r="G12" s="343" t="n"/>
      <c r="H12" s="344" t="inlineStr">
        <is>
          <t xml:space="preserve">  PIUTANG USAHA</t>
        </is>
      </c>
      <c r="I12" s="341" t="inlineStr">
        <is>
          <t>Rp</t>
        </is>
      </c>
      <c r="J12" s="342" t="n">
        <v>0</v>
      </c>
    </row>
    <row r="13" ht="15" customHeight="1">
      <c r="A13" s="331" t="n"/>
      <c r="B13" s="339" t="n"/>
      <c r="C13" s="340" t="n"/>
      <c r="D13" s="341" t="n"/>
      <c r="E13" s="342" t="n"/>
      <c r="F13" s="316" t="n"/>
      <c r="G13" s="343" t="n"/>
      <c r="H13" s="344" t="inlineStr">
        <is>
          <t xml:space="preserve">  PAJAK BAYAR DI MUKA (pph23)</t>
        </is>
      </c>
      <c r="I13" s="341" t="inlineStr">
        <is>
          <t>Rp</t>
        </is>
      </c>
      <c r="J13" s="342" t="n">
        <v>0</v>
      </c>
    </row>
    <row r="14" ht="15" customHeight="1">
      <c r="A14" s="331" t="n"/>
      <c r="B14" s="332" t="inlineStr">
        <is>
          <t>BEBAN LANGSUNG</t>
        </is>
      </c>
      <c r="C14" s="333" t="n"/>
      <c r="D14" s="334" t="n"/>
      <c r="E14" s="335" t="n"/>
      <c r="F14" s="316" t="n"/>
      <c r="G14" s="343" t="n"/>
      <c r="H14" s="344" t="inlineStr">
        <is>
          <t xml:space="preserve">  BIAYA BAYAR DI MUKA</t>
        </is>
      </c>
      <c r="I14" s="341" t="inlineStr">
        <is>
          <t>Rp</t>
        </is>
      </c>
      <c r="J14" s="342" t="n">
        <v>0</v>
      </c>
    </row>
    <row r="15" ht="15" customHeight="1">
      <c r="A15" s="331" t="n"/>
      <c r="B15" s="339" t="n"/>
      <c r="C15" s="340" t="inlineStr">
        <is>
          <t>BIAYA SEWA PERALATAN</t>
        </is>
      </c>
      <c r="D15" s="341" t="inlineStr">
        <is>
          <t>Rp</t>
        </is>
      </c>
      <c r="E15" s="342">
        <f>'Revenue-Cost_2024'!I1180</f>
        <v/>
      </c>
      <c r="F15" s="316" t="n"/>
      <c r="G15" s="350" t="n"/>
      <c r="H15" s="344" t="inlineStr">
        <is>
          <t xml:space="preserve">  PIUTANG LAIN LAIN</t>
        </is>
      </c>
      <c r="I15" s="341" t="inlineStr">
        <is>
          <t>Rp</t>
        </is>
      </c>
      <c r="J15" s="342" t="n">
        <v>0</v>
      </c>
    </row>
    <row r="16" ht="15" customHeight="1">
      <c r="A16" s="331" t="n"/>
      <c r="B16" s="339" t="n"/>
      <c r="C16" s="340" t="inlineStr">
        <is>
          <t>BIAYA RESEARCH (R&amp;D)</t>
        </is>
      </c>
      <c r="D16" s="341" t="inlineStr">
        <is>
          <t>Rp</t>
        </is>
      </c>
      <c r="E16" s="342">
        <f>'Revenue-Cost_2024'!J1180</f>
        <v/>
      </c>
      <c r="F16" s="316" t="n"/>
      <c r="G16" s="351" t="n"/>
      <c r="H16" s="352" t="inlineStr">
        <is>
          <t>TOTAL AKTIVA LANCAR</t>
        </is>
      </c>
      <c r="I16" s="348" t="inlineStr">
        <is>
          <t>Rp</t>
        </is>
      </c>
      <c r="J16" s="349">
        <f>SUM(J10:J15)</f>
        <v/>
      </c>
    </row>
    <row r="17" ht="15" customHeight="1">
      <c r="A17" s="331" t="n"/>
      <c r="B17" s="339" t="n"/>
      <c r="C17" s="340" t="inlineStr">
        <is>
          <t>BIAYA INTERPRETASI LOG DATA</t>
        </is>
      </c>
      <c r="D17" s="341" t="inlineStr">
        <is>
          <t>Rp</t>
        </is>
      </c>
      <c r="E17" s="342">
        <f>'Revenue-Cost_2024'!K1180</f>
        <v/>
      </c>
      <c r="F17" s="316" t="n"/>
      <c r="G17" s="336" t="n"/>
      <c r="H17" s="337" t="inlineStr">
        <is>
          <t>ACTIVA TETAP</t>
        </is>
      </c>
      <c r="I17" s="338" t="n"/>
      <c r="J17" s="335" t="n"/>
    </row>
    <row r="18" ht="15" customHeight="1">
      <c r="A18" s="331" t="n"/>
      <c r="B18" s="339" t="n"/>
      <c r="C18" s="340" t="inlineStr">
        <is>
          <t>BIAYA OPERASI</t>
        </is>
      </c>
      <c r="D18" s="341" t="inlineStr">
        <is>
          <t>Rp</t>
        </is>
      </c>
      <c r="E18" s="342">
        <f>'Revenue-Cost_2024'!L1180</f>
        <v/>
      </c>
      <c r="F18" s="316" t="n"/>
      <c r="G18" s="343" t="inlineStr">
        <is>
          <t>ACTIVA TETAP</t>
        </is>
      </c>
      <c r="H18" s="344" t="n"/>
      <c r="I18" s="345" t="n"/>
      <c r="J18" s="342" t="n"/>
    </row>
    <row r="19" ht="15" customHeight="1">
      <c r="A19" s="331" t="n"/>
      <c r="B19" s="346" t="inlineStr">
        <is>
          <t>TOTAL BIAYA LANGSUNG</t>
        </is>
      </c>
      <c r="C19" s="347" t="n"/>
      <c r="D19" s="348" t="inlineStr">
        <is>
          <t>Rp</t>
        </is>
      </c>
      <c r="E19" s="349">
        <f>SUM(E15:E18)</f>
        <v/>
      </c>
      <c r="F19" s="316" t="n"/>
      <c r="G19" s="343" t="n"/>
      <c r="H19" s="344" t="n"/>
      <c r="I19" s="345" t="n"/>
      <c r="J19" s="342" t="n"/>
    </row>
    <row r="20" ht="15" customHeight="1">
      <c r="A20" s="331" t="n"/>
      <c r="B20" s="339" t="n"/>
      <c r="C20" s="340" t="n"/>
      <c r="D20" s="341" t="n"/>
      <c r="E20" s="342" t="n"/>
      <c r="F20" s="316" t="n"/>
      <c r="G20" s="343" t="n"/>
      <c r="H20" s="344" t="inlineStr">
        <is>
          <t xml:space="preserve">  INVENTARIS KANTOR</t>
        </is>
      </c>
      <c r="I20" s="341" t="inlineStr">
        <is>
          <t>Rp</t>
        </is>
      </c>
      <c r="J20" s="342" t="n">
        <v>0</v>
      </c>
    </row>
    <row r="21" ht="15" customHeight="1">
      <c r="A21" s="331" t="n"/>
      <c r="B21" s="332" t="inlineStr">
        <is>
          <t>BEBAN TIDAK LANGSUNG</t>
        </is>
      </c>
      <c r="C21" s="333" t="n"/>
      <c r="D21" s="334" t="n"/>
      <c r="E21" s="335" t="n"/>
      <c r="F21" s="316" t="n"/>
      <c r="G21" s="343" t="n"/>
      <c r="H21" s="344" t="n"/>
      <c r="I21" s="345" t="n"/>
      <c r="J21" s="342" t="n"/>
    </row>
    <row r="22" ht="15" customHeight="1">
      <c r="A22" s="331" t="n"/>
      <c r="B22" s="339" t="n"/>
      <c r="C22" s="340" t="inlineStr">
        <is>
          <t>BISNIS DEV</t>
        </is>
      </c>
      <c r="D22" s="341" t="inlineStr">
        <is>
          <t>Rp</t>
        </is>
      </c>
      <c r="E22" s="342">
        <f>'Revenue-Cost_2024'!Q1180</f>
        <v/>
      </c>
      <c r="F22" s="316" t="n"/>
      <c r="G22" s="351" t="n"/>
      <c r="H22" s="352" t="inlineStr">
        <is>
          <t>TOTAL AKTIVA TETAP</t>
        </is>
      </c>
      <c r="I22" s="348" t="inlineStr">
        <is>
          <t>Rp</t>
        </is>
      </c>
      <c r="J22" s="349">
        <f>J20</f>
        <v/>
      </c>
    </row>
    <row r="23" ht="15" customHeight="1">
      <c r="A23" s="331" t="n"/>
      <c r="B23" s="346" t="inlineStr">
        <is>
          <t>TOTAL BIAYA TIDAK LANGSUNG</t>
        </is>
      </c>
      <c r="C23" s="347" t="n"/>
      <c r="D23" s="348" t="inlineStr">
        <is>
          <t>Rp</t>
        </is>
      </c>
      <c r="E23" s="349">
        <f>SUM(E22:E22)</f>
        <v/>
      </c>
      <c r="F23" s="316" t="n"/>
      <c r="G23" s="343" t="n"/>
      <c r="H23" s="344" t="n"/>
      <c r="I23" s="345" t="n"/>
      <c r="J23" s="342" t="n"/>
    </row>
    <row r="24" ht="15" customHeight="1">
      <c r="A24" s="331" t="n"/>
      <c r="B24" s="339" t="n"/>
      <c r="C24" s="340" t="n"/>
      <c r="D24" s="341" t="n"/>
      <c r="E24" s="342" t="n"/>
      <c r="F24" s="316" t="n"/>
      <c r="G24" s="336" t="inlineStr">
        <is>
          <t>ACTIVA LAIN LAIN</t>
        </is>
      </c>
      <c r="H24" s="337" t="inlineStr">
        <is>
          <t>ACTIVA LAIN LAIN</t>
        </is>
      </c>
      <c r="I24" s="338" t="n"/>
      <c r="J24" s="335" t="n">
        <v>0</v>
      </c>
    </row>
    <row r="25" ht="15" customHeight="1">
      <c r="A25" s="331" t="n"/>
      <c r="B25" s="332" t="inlineStr">
        <is>
          <t>BIAYA ADMINISTRASI DAN UMUM</t>
        </is>
      </c>
      <c r="C25" s="333" t="n"/>
      <c r="D25" s="334" t="n"/>
      <c r="E25" s="335" t="n"/>
      <c r="F25" s="316" t="n"/>
      <c r="G25" s="351" t="n"/>
      <c r="H25" s="352" t="inlineStr">
        <is>
          <t xml:space="preserve">  TOTAL AKTIVA LAIN LAIN</t>
        </is>
      </c>
      <c r="I25" s="353" t="inlineStr">
        <is>
          <t>Rp</t>
        </is>
      </c>
      <c r="J25" s="349" t="n">
        <v>0</v>
      </c>
    </row>
    <row r="26" ht="15" customHeight="1">
      <c r="A26" s="331" t="n"/>
      <c r="B26" s="339" t="n"/>
      <c r="C26" s="340" t="inlineStr">
        <is>
          <t>ADMINISTRASI</t>
        </is>
      </c>
      <c r="D26" s="341" t="inlineStr">
        <is>
          <t>Rp</t>
        </is>
      </c>
      <c r="E26" s="342">
        <f>'Revenue-Cost_2024'!M1180</f>
        <v/>
      </c>
      <c r="F26" s="316" t="n"/>
      <c r="G26" s="343" t="n"/>
      <c r="H26" s="344" t="inlineStr">
        <is>
          <t>TOTAL AKTIVA LAIN LAIN</t>
        </is>
      </c>
      <c r="I26" s="341" t="inlineStr">
        <is>
          <t>Rp</t>
        </is>
      </c>
      <c r="J26" s="342">
        <f>SUM(J25:J25)</f>
        <v/>
      </c>
    </row>
    <row r="27" ht="15" customHeight="1">
      <c r="A27" s="331" t="n"/>
      <c r="B27" s="339" t="n"/>
      <c r="C27" s="340" t="inlineStr">
        <is>
          <t>PEMBELIAN BARANG</t>
        </is>
      </c>
      <c r="D27" s="341" t="inlineStr">
        <is>
          <t>Rp</t>
        </is>
      </c>
      <c r="E27" s="342">
        <f>'Revenue-Cost_2024'!N1180</f>
        <v/>
      </c>
      <c r="F27" s="316" t="n"/>
      <c r="G27" s="343" t="n"/>
      <c r="H27" s="344" t="n"/>
      <c r="I27" s="345" t="n"/>
      <c r="J27" s="342" t="n"/>
    </row>
    <row r="28" ht="15" customHeight="1">
      <c r="A28" s="331" t="n"/>
      <c r="B28" s="339" t="n"/>
      <c r="C28" s="340" t="inlineStr">
        <is>
          <t>SEWA KANTOR</t>
        </is>
      </c>
      <c r="D28" s="341" t="inlineStr">
        <is>
          <t>Rp</t>
        </is>
      </c>
      <c r="E28" s="342">
        <f>'Revenue-Cost_2024'!O1180</f>
        <v/>
      </c>
      <c r="F28" s="316" t="n"/>
      <c r="G28" s="354" t="inlineStr">
        <is>
          <t>TOTAL AKTIVA</t>
        </is>
      </c>
      <c r="H28" s="347" t="inlineStr">
        <is>
          <t>TOTAL AKTIVA</t>
        </is>
      </c>
      <c r="I28" s="348" t="inlineStr">
        <is>
          <t>Rp</t>
        </is>
      </c>
      <c r="J28" s="349">
        <f>J26+J22+J16</f>
        <v/>
      </c>
    </row>
    <row r="29" ht="15" customHeight="1">
      <c r="A29" s="331" t="n"/>
      <c r="B29" s="339" t="n"/>
      <c r="C29" s="340" t="inlineStr">
        <is>
          <t>KESEHATAN</t>
        </is>
      </c>
      <c r="D29" s="341" t="inlineStr">
        <is>
          <t>Rp</t>
        </is>
      </c>
      <c r="E29" s="342">
        <f>'Revenue-Cost_2024'!P1180</f>
        <v/>
      </c>
      <c r="F29" s="316" t="n"/>
      <c r="G29" s="343" t="n"/>
      <c r="H29" s="344" t="n"/>
      <c r="I29" s="345" t="n"/>
      <c r="J29" s="342" t="n"/>
    </row>
    <row r="30" ht="15" customHeight="1">
      <c r="A30" s="331" t="n"/>
      <c r="B30" s="346" t="inlineStr">
        <is>
          <t>TOTAL BIAYA ADMINISTRASI DAN UMUM</t>
        </is>
      </c>
      <c r="C30" s="347" t="n"/>
      <c r="D30" s="348" t="inlineStr">
        <is>
          <t>Rp</t>
        </is>
      </c>
      <c r="E30" s="349">
        <f>SUM(E26:E29)</f>
        <v/>
      </c>
      <c r="F30" s="316" t="n"/>
      <c r="G30" s="336" t="inlineStr">
        <is>
          <t>HUTANG DAN MODAL</t>
        </is>
      </c>
      <c r="H30" s="337" t="inlineStr">
        <is>
          <t>HUTANG DAN MODAL</t>
        </is>
      </c>
      <c r="I30" s="338" t="n"/>
      <c r="J30" s="335" t="n"/>
    </row>
    <row r="31" ht="15" customHeight="1">
      <c r="A31" s="331" t="n"/>
      <c r="B31" s="339" t="n"/>
      <c r="C31" s="340" t="n"/>
      <c r="D31" s="341" t="n"/>
      <c r="E31" s="342" t="n"/>
      <c r="F31" s="316" t="n"/>
      <c r="G31" s="343" t="n"/>
      <c r="H31" s="344" t="n"/>
      <c r="I31" s="345" t="n"/>
      <c r="J31" s="342" t="n"/>
    </row>
    <row r="32" ht="15" customHeight="1">
      <c r="A32" s="331" t="n"/>
      <c r="B32" s="346" t="inlineStr">
        <is>
          <t>TOTAL BIAYA</t>
        </is>
      </c>
      <c r="C32" s="347" t="n"/>
      <c r="D32" s="348" t="inlineStr">
        <is>
          <t>Rp</t>
        </is>
      </c>
      <c r="E32" s="349">
        <f>E19+E23+E30</f>
        <v/>
      </c>
      <c r="F32" s="316" t="n"/>
      <c r="G32" s="336" t="inlineStr">
        <is>
          <t>HUTANG LANCAR</t>
        </is>
      </c>
      <c r="H32" s="337" t="inlineStr">
        <is>
          <t>HUTANG LANCAR</t>
        </is>
      </c>
      <c r="I32" s="338" t="n"/>
      <c r="J32" s="335" t="n"/>
    </row>
    <row r="33" ht="15" customHeight="1">
      <c r="A33" s="331" t="n"/>
      <c r="B33" s="339" t="n"/>
      <c r="C33" s="340" t="n"/>
      <c r="D33" s="341" t="n"/>
      <c r="E33" s="342" t="n"/>
      <c r="F33" s="316" t="n"/>
      <c r="G33" s="343" t="n"/>
      <c r="H33" s="344" t="inlineStr">
        <is>
          <t xml:space="preserve">  HUTANG USAHA</t>
        </is>
      </c>
      <c r="I33" s="341" t="inlineStr">
        <is>
          <t>Rp</t>
        </is>
      </c>
      <c r="J33" s="342" t="n">
        <v>0</v>
      </c>
    </row>
    <row r="34" ht="15" customHeight="1">
      <c r="A34" s="331" t="n"/>
      <c r="B34" s="332" t="inlineStr">
        <is>
          <t>PENDAPATAN/BEBAN LAIN LAIN</t>
        </is>
      </c>
      <c r="C34" s="333" t="n"/>
      <c r="D34" s="334" t="n"/>
      <c r="E34" s="335" t="n"/>
      <c r="F34" s="316" t="n"/>
      <c r="G34" s="343" t="n"/>
      <c r="H34" s="340" t="inlineStr">
        <is>
          <t xml:space="preserve">  HUTANG GAJI</t>
        </is>
      </c>
      <c r="I34" s="341" t="inlineStr">
        <is>
          <t>Rp</t>
        </is>
      </c>
      <c r="J34" s="342" t="n">
        <v>0</v>
      </c>
    </row>
    <row r="35" ht="15" customHeight="1">
      <c r="A35" s="331" t="n"/>
      <c r="B35" s="339" t="n"/>
      <c r="C35" s="340" t="inlineStr">
        <is>
          <t>PENDAPATAN LAIN LAIN</t>
        </is>
      </c>
      <c r="D35" s="341" t="inlineStr">
        <is>
          <t>Rp</t>
        </is>
      </c>
      <c r="E35" s="342" t="n">
        <v>0</v>
      </c>
      <c r="F35" s="316" t="n"/>
      <c r="G35" s="343" t="n"/>
      <c r="H35" s="344" t="inlineStr">
        <is>
          <t xml:space="preserve">  HUTANG PEMEGANG SAHAM</t>
        </is>
      </c>
      <c r="I35" s="341" t="inlineStr">
        <is>
          <t>Rp</t>
        </is>
      </c>
      <c r="J35" s="342" t="n">
        <v>0</v>
      </c>
    </row>
    <row r="36" ht="15" customHeight="1">
      <c r="A36" s="331" t="n"/>
      <c r="B36" s="339" t="n"/>
      <c r="C36" s="340" t="n"/>
      <c r="D36" s="341" t="n"/>
      <c r="E36" s="342" t="n"/>
      <c r="F36" s="316" t="n"/>
      <c r="G36" s="343" t="n"/>
      <c r="H36" s="344" t="inlineStr">
        <is>
          <t xml:space="preserve">  BIAYA YANG MASIH HARUS DI BAYAR</t>
        </is>
      </c>
      <c r="I36" s="341" t="inlineStr">
        <is>
          <t>Rp</t>
        </is>
      </c>
      <c r="J36" s="342" t="n">
        <v>0</v>
      </c>
    </row>
    <row r="37" ht="15" customHeight="1">
      <c r="A37" s="331" t="n"/>
      <c r="B37" s="346" t="inlineStr">
        <is>
          <t>LABA RUGI SEBELUM PAJAK</t>
        </is>
      </c>
      <c r="C37" s="347" t="n"/>
      <c r="D37" s="348" t="inlineStr">
        <is>
          <t>Rp</t>
        </is>
      </c>
      <c r="E37" s="349">
        <f>E12-E32</f>
        <v/>
      </c>
      <c r="F37" s="316" t="n"/>
      <c r="G37" s="339" t="n"/>
      <c r="H37" s="340" t="n"/>
      <c r="I37" s="341" t="n"/>
      <c r="J37" s="342" t="n"/>
    </row>
    <row r="38" ht="15" customHeight="1">
      <c r="A38" s="331" t="n"/>
      <c r="B38" s="339" t="n"/>
      <c r="C38" s="340" t="n"/>
      <c r="D38" s="341" t="n"/>
      <c r="E38" s="342" t="n"/>
      <c r="F38" s="316" t="n"/>
      <c r="G38" s="351" t="n"/>
      <c r="H38" s="352" t="inlineStr">
        <is>
          <t>TOTAL HUTANG LANCAR</t>
        </is>
      </c>
      <c r="I38" s="353" t="inlineStr">
        <is>
          <t>Rp</t>
        </is>
      </c>
      <c r="J38" s="349">
        <f>SUM(J33:J36)</f>
        <v/>
      </c>
    </row>
    <row r="39" ht="15" customHeight="1">
      <c r="A39" s="331" t="n"/>
      <c r="B39" s="346" t="inlineStr">
        <is>
          <t>CORPORATE TAX (PPh 29)</t>
        </is>
      </c>
      <c r="C39" s="347" t="n"/>
      <c r="D39" s="348" t="inlineStr">
        <is>
          <t>Rp</t>
        </is>
      </c>
      <c r="E39" s="349" t="n">
        <v>0</v>
      </c>
      <c r="F39" s="316" t="n"/>
      <c r="G39" s="343" t="n"/>
      <c r="H39" s="344" t="n"/>
      <c r="I39" s="345" t="n"/>
      <c r="J39" s="342" t="n"/>
    </row>
    <row r="40" ht="15" customHeight="1">
      <c r="A40" s="331" t="n"/>
      <c r="B40" s="339" t="n"/>
      <c r="C40" s="340" t="n"/>
      <c r="D40" s="341" t="n"/>
      <c r="E40" s="342" t="n"/>
      <c r="F40" s="316" t="n"/>
      <c r="G40" s="336" t="inlineStr">
        <is>
          <t>MODAL</t>
        </is>
      </c>
      <c r="H40" s="337" t="inlineStr">
        <is>
          <t>MODAL</t>
        </is>
      </c>
      <c r="I40" s="338" t="n"/>
      <c r="J40" s="335" t="n"/>
    </row>
    <row r="41" ht="15" customHeight="1">
      <c r="A41" s="331" t="n"/>
      <c r="B41" s="355" t="inlineStr">
        <is>
          <t>LABA / RUGI BERSIH</t>
        </is>
      </c>
      <c r="C41" s="356" t="n"/>
      <c r="D41" s="357" t="inlineStr">
        <is>
          <t>Rp</t>
        </is>
      </c>
      <c r="E41" s="358">
        <f>E37-E39</f>
        <v/>
      </c>
      <c r="F41" s="316" t="n"/>
      <c r="G41" s="343" t="n"/>
      <c r="H41" s="344" t="inlineStr">
        <is>
          <t xml:space="preserve">  MODAL SAHAM</t>
        </is>
      </c>
      <c r="I41" s="341" t="inlineStr">
        <is>
          <t>Rp</t>
        </is>
      </c>
      <c r="J41" s="342" t="n">
        <v>0</v>
      </c>
    </row>
    <row r="42" ht="14.25" customHeight="1">
      <c r="A42" s="331" t="n"/>
      <c r="B42" s="331" t="n"/>
      <c r="C42" s="331" t="n"/>
      <c r="D42" s="331" t="n"/>
      <c r="E42" s="331" t="n"/>
      <c r="F42" s="331" t="n"/>
      <c r="G42" s="339" t="n"/>
      <c r="H42" s="340" t="inlineStr">
        <is>
          <t xml:space="preserve">  LABA DI TAHAN</t>
        </is>
      </c>
      <c r="I42" s="341" t="inlineStr">
        <is>
          <t>Rp</t>
        </is>
      </c>
      <c r="J42" s="342" t="n">
        <v>0</v>
      </c>
    </row>
    <row r="43" ht="14.25" customHeight="1">
      <c r="A43" s="331" t="n"/>
      <c r="B43" s="331" t="n"/>
      <c r="C43" s="331" t="n"/>
      <c r="D43" s="331" t="n"/>
      <c r="E43" s="331" t="n"/>
      <c r="F43" s="331" t="n"/>
      <c r="G43" s="339" t="n"/>
      <c r="H43" s="340" t="inlineStr">
        <is>
          <t xml:space="preserve">  TOTAL LABA (RUGI) DITAHAN</t>
        </is>
      </c>
      <c r="I43" s="341" t="inlineStr">
        <is>
          <t>Rp</t>
        </is>
      </c>
      <c r="J43" s="342">
        <f>J28-J38-J41-J42</f>
        <v/>
      </c>
    </row>
    <row r="44" ht="14.25" customHeight="1">
      <c r="A44" s="331" t="n"/>
      <c r="B44" s="331" t="n"/>
      <c r="C44" s="331" t="n"/>
      <c r="D44" s="331" t="n"/>
      <c r="E44" s="331" t="n"/>
      <c r="F44" s="331" t="n"/>
      <c r="G44" s="346" t="n"/>
      <c r="H44" s="347" t="inlineStr">
        <is>
          <t>TOTAL MODAL</t>
        </is>
      </c>
      <c r="I44" s="348" t="inlineStr">
        <is>
          <t>Rp</t>
        </is>
      </c>
      <c r="J44" s="349">
        <f>SUM(J41:J43)</f>
        <v/>
      </c>
    </row>
    <row r="45" ht="14.25" customHeight="1">
      <c r="A45" s="331" t="n"/>
      <c r="B45" s="331" t="n"/>
      <c r="C45" s="331" t="n"/>
      <c r="D45" s="331" t="n"/>
      <c r="E45" s="331" t="n"/>
      <c r="F45" s="331" t="n"/>
      <c r="G45" s="339" t="n"/>
      <c r="H45" s="340" t="n"/>
      <c r="I45" s="341" t="n"/>
      <c r="J45" s="342" t="n"/>
    </row>
    <row r="46" ht="14.65" customHeight="1">
      <c r="A46" s="331" t="n"/>
      <c r="B46" s="331" t="n"/>
      <c r="C46" s="331" t="n"/>
      <c r="D46" s="331" t="n"/>
      <c r="E46" s="331" t="n"/>
      <c r="F46" s="331" t="n"/>
      <c r="G46" s="355" t="n"/>
      <c r="H46" s="356" t="inlineStr">
        <is>
          <t>TOTAL HUTANG DAN MODAL</t>
        </is>
      </c>
      <c r="I46" s="357" t="inlineStr">
        <is>
          <t>Rp</t>
        </is>
      </c>
      <c r="J46" s="358">
        <f>J44+J38</f>
        <v/>
      </c>
    </row>
    <row r="47" ht="4.5" customHeight="1">
      <c r="A47" s="331" t="n"/>
      <c r="B47" s="331" t="n"/>
      <c r="C47" s="331" t="n"/>
      <c r="D47" s="331" t="n"/>
      <c r="E47" s="331" t="n"/>
      <c r="F47" s="331" t="n"/>
      <c r="G47" s="331" t="n"/>
      <c r="H47" s="331" t="n"/>
      <c r="I47" s="331" t="n"/>
      <c r="J47" s="331" t="n"/>
    </row>
    <row r="48" ht="50.65" customHeight="1">
      <c r="A48" s="331" t="n"/>
      <c r="B48" s="331" t="n"/>
      <c r="C48" s="331" t="n"/>
      <c r="D48" s="331" t="n"/>
      <c r="E48" s="331" t="n"/>
      <c r="F48" s="331" t="n"/>
      <c r="G48" s="331" t="n"/>
      <c r="H48" s="331" t="n"/>
      <c r="I48" s="331" t="n"/>
      <c r="J48" s="331" t="n"/>
    </row>
    <row r="49" ht="16.8" customHeight="1">
      <c r="A49" s="331" t="n"/>
      <c r="B49" s="359" t="inlineStr">
        <is>
          <t>Nama Lengkap</t>
        </is>
      </c>
      <c r="F49" s="331" t="n"/>
      <c r="G49" s="359" t="inlineStr">
        <is>
          <t>Nama Lengkap</t>
        </is>
      </c>
    </row>
    <row r="50" ht="15.6" customHeight="1">
      <c r="A50" s="331" t="n"/>
      <c r="B50" s="360" t="inlineStr">
        <is>
          <t>Direktur</t>
        </is>
      </c>
      <c r="F50" s="331" t="n"/>
      <c r="G50" s="360" t="inlineStr">
        <is>
          <t>Direktur</t>
        </is>
      </c>
    </row>
    <row r="51" ht="14.25" customHeight="1">
      <c r="A51" s="331" t="n"/>
      <c r="B51" s="331" t="n"/>
      <c r="C51" s="331" t="n"/>
      <c r="D51" s="331" t="n"/>
      <c r="E51" s="331" t="n"/>
      <c r="F51" s="331" t="n"/>
      <c r="G51" s="331" t="n"/>
      <c r="H51" s="331" t="n"/>
    </row>
    <row r="52" ht="14.25" customHeight="1">
      <c r="A52" s="331" t="n"/>
      <c r="B52" s="331" t="n"/>
      <c r="C52" s="331" t="n"/>
      <c r="D52" s="331" t="n"/>
      <c r="E52" s="331" t="n"/>
      <c r="F52" s="331" t="n"/>
      <c r="G52" s="331" t="n"/>
      <c r="H52" s="331" t="n"/>
      <c r="J52" s="361" t="n"/>
    </row>
    <row r="53">
      <c r="A53" s="331" t="n"/>
      <c r="B53" s="331" t="n"/>
      <c r="C53" s="331" t="n"/>
      <c r="D53" s="331" t="n"/>
      <c r="E53" s="331" t="n"/>
      <c r="F53" s="331" t="n"/>
      <c r="G53" s="331" t="n"/>
      <c r="H53" s="331" t="n"/>
    </row>
    <row r="54">
      <c r="A54" s="331" t="n"/>
      <c r="B54" s="331" t="n"/>
      <c r="C54" s="331" t="n"/>
      <c r="D54" s="331" t="n"/>
      <c r="E54" s="331" t="n"/>
      <c r="F54" s="331" t="n"/>
      <c r="G54" s="331" t="n"/>
      <c r="H54" s="331" t="n"/>
    </row>
    <row r="55">
      <c r="A55" s="331" t="n"/>
      <c r="B55" s="331" t="n"/>
      <c r="C55" s="331" t="n"/>
      <c r="D55" s="331" t="n"/>
      <c r="E55" s="331" t="n"/>
      <c r="F55" s="331" t="n"/>
      <c r="G55" s="331" t="n"/>
      <c r="H55" s="331" t="n"/>
    </row>
    <row r="56">
      <c r="A56" s="331" t="n"/>
      <c r="B56" s="331" t="n"/>
      <c r="C56" s="331" t="n"/>
      <c r="D56" s="331" t="n"/>
      <c r="E56" s="331" t="n"/>
      <c r="F56" s="331" t="n"/>
      <c r="G56" s="331" t="n"/>
      <c r="H56" s="331" t="n"/>
    </row>
    <row r="57">
      <c r="A57" s="331" t="n"/>
      <c r="B57" s="331" t="n"/>
      <c r="C57" s="331" t="n"/>
      <c r="D57" s="331" t="n"/>
      <c r="E57" s="331" t="n"/>
      <c r="F57" s="331" t="n"/>
      <c r="G57" s="331" t="n"/>
      <c r="H57" s="331" t="n"/>
    </row>
    <row r="58">
      <c r="A58" s="331" t="n"/>
      <c r="B58" s="331" t="n"/>
      <c r="C58" s="331" t="n"/>
      <c r="D58" s="331" t="n"/>
      <c r="E58" s="331" t="n"/>
      <c r="F58" s="331" t="n"/>
      <c r="G58" s="331" t="n"/>
      <c r="H58" s="331" t="n"/>
    </row>
    <row r="59">
      <c r="A59" s="331" t="n"/>
      <c r="B59" s="331" t="n"/>
      <c r="C59" s="331" t="n"/>
      <c r="D59" s="331" t="n"/>
      <c r="E59" s="331" t="n"/>
      <c r="F59" s="331" t="n"/>
      <c r="G59" s="331" t="n"/>
      <c r="H59" s="331" t="n"/>
    </row>
    <row r="60">
      <c r="A60" s="331" t="n"/>
      <c r="B60" s="331" t="n"/>
      <c r="C60" s="331" t="n"/>
      <c r="D60" s="331" t="n"/>
      <c r="E60" s="331" t="n"/>
      <c r="F60" s="331" t="n"/>
      <c r="G60" s="331" t="n"/>
      <c r="H60" s="331" t="n"/>
    </row>
    <row r="61">
      <c r="A61" s="331" t="n"/>
      <c r="B61" s="331" t="n"/>
      <c r="C61" s="331" t="n"/>
      <c r="D61" s="331" t="n"/>
      <c r="E61" s="331" t="n"/>
      <c r="F61" s="331" t="n"/>
      <c r="G61" s="331" t="n"/>
      <c r="H61" s="331" t="n"/>
    </row>
    <row r="62">
      <c r="A62" s="331" t="n"/>
      <c r="B62" s="331" t="n"/>
      <c r="C62" s="331" t="n"/>
      <c r="D62" s="331" t="n"/>
      <c r="E62" s="331" t="n"/>
      <c r="F62" s="331" t="n"/>
      <c r="G62" s="331" t="n"/>
      <c r="H62" s="331" t="n"/>
    </row>
    <row r="63">
      <c r="A63" s="331" t="n"/>
      <c r="B63" s="331" t="n"/>
      <c r="C63" s="331" t="n"/>
      <c r="D63" s="331" t="n"/>
      <c r="E63" s="331" t="n"/>
      <c r="F63" s="331" t="n"/>
      <c r="G63" s="331" t="n"/>
      <c r="H63" s="331" t="n"/>
    </row>
    <row r="64">
      <c r="A64" s="331" t="n"/>
      <c r="B64" s="331" t="n"/>
      <c r="C64" s="331" t="n"/>
      <c r="D64" s="331" t="n"/>
      <c r="E64" s="331" t="n"/>
      <c r="F64" s="331" t="n"/>
      <c r="G64" s="331" t="n"/>
      <c r="H64" s="331" t="n"/>
    </row>
    <row r="65">
      <c r="A65" s="331" t="n"/>
      <c r="B65" s="331" t="n"/>
      <c r="C65" s="331" t="n"/>
      <c r="D65" s="331" t="n"/>
      <c r="E65" s="331" t="n"/>
      <c r="F65" s="331" t="n"/>
      <c r="G65" s="331" t="n"/>
      <c r="H65" s="331" t="n"/>
    </row>
    <row r="66">
      <c r="A66" s="331" t="n"/>
      <c r="B66" s="331" t="n"/>
      <c r="C66" s="331" t="n"/>
      <c r="D66" s="331" t="n"/>
      <c r="E66" s="331" t="n"/>
      <c r="F66" s="331" t="n"/>
      <c r="G66" s="331" t="n"/>
      <c r="H66" s="331" t="n"/>
    </row>
    <row r="67">
      <c r="A67" s="331" t="n"/>
      <c r="B67" s="331" t="n"/>
      <c r="C67" s="331" t="n"/>
      <c r="D67" s="331" t="n"/>
      <c r="E67" s="331" t="n"/>
      <c r="F67" s="331" t="n"/>
      <c r="G67" s="331" t="n"/>
      <c r="H67" s="331" t="n"/>
    </row>
    <row r="68">
      <c r="A68" s="331" t="n"/>
      <c r="B68" s="331" t="n"/>
      <c r="C68" s="331" t="n"/>
      <c r="D68" s="331" t="n"/>
      <c r="E68" s="331" t="n"/>
      <c r="F68" s="331" t="n"/>
      <c r="G68" s="331" t="n"/>
      <c r="H68" s="331" t="n"/>
    </row>
    <row r="69">
      <c r="A69" s="331" t="n"/>
      <c r="B69" s="331" t="n"/>
      <c r="C69" s="331" t="n"/>
      <c r="D69" s="331" t="n"/>
      <c r="E69" s="331" t="n"/>
      <c r="F69" s="331" t="n"/>
      <c r="G69" s="331" t="n"/>
      <c r="H69" s="331" t="n"/>
    </row>
    <row r="70">
      <c r="A70" s="331" t="n"/>
      <c r="B70" s="331" t="n"/>
      <c r="C70" s="331" t="n"/>
      <c r="D70" s="331" t="n"/>
      <c r="E70" s="331" t="n"/>
      <c r="F70" s="331" t="n"/>
      <c r="G70" s="331" t="n"/>
      <c r="H70" s="331" t="n"/>
    </row>
    <row r="71">
      <c r="A71" s="331" t="n"/>
      <c r="B71" s="331" t="n"/>
      <c r="C71" s="331" t="n"/>
      <c r="D71" s="331" t="n"/>
      <c r="E71" s="331" t="n"/>
      <c r="F71" s="331" t="n"/>
      <c r="G71" s="331" t="n"/>
      <c r="H71" s="331" t="n"/>
    </row>
    <row r="72">
      <c r="A72" s="331" t="n"/>
      <c r="B72" s="331" t="n"/>
      <c r="C72" s="331" t="n"/>
      <c r="D72" s="331" t="n"/>
      <c r="E72" s="331" t="n"/>
      <c r="F72" s="331" t="n"/>
      <c r="G72" s="331" t="n"/>
      <c r="H72" s="331" t="n"/>
    </row>
    <row r="73">
      <c r="A73" s="331" t="n"/>
      <c r="B73" s="331" t="n"/>
      <c r="C73" s="331" t="n"/>
      <c r="D73" s="331" t="n"/>
      <c r="E73" s="331" t="n"/>
      <c r="F73" s="331" t="n"/>
      <c r="G73" s="331" t="n"/>
      <c r="H73" s="331" t="n"/>
    </row>
    <row r="74">
      <c r="A74" s="331" t="n"/>
      <c r="B74" s="331" t="n"/>
      <c r="C74" s="331" t="n"/>
      <c r="D74" s="331" t="n"/>
      <c r="E74" s="331" t="n"/>
      <c r="F74" s="331" t="n"/>
      <c r="G74" s="331" t="n"/>
      <c r="H74" s="331" t="n"/>
    </row>
    <row r="75">
      <c r="A75" s="331" t="n"/>
      <c r="B75" s="331" t="n"/>
      <c r="C75" s="331" t="n"/>
      <c r="D75" s="331" t="n"/>
      <c r="E75" s="331" t="n"/>
      <c r="F75" s="331" t="n"/>
      <c r="G75" s="331" t="n"/>
      <c r="H75" s="331" t="n"/>
    </row>
    <row r="76">
      <c r="A76" s="331" t="n"/>
      <c r="B76" s="331" t="n"/>
      <c r="C76" s="331" t="n"/>
      <c r="D76" s="331" t="n"/>
      <c r="E76" s="331" t="n"/>
      <c r="F76" s="331" t="n"/>
      <c r="G76" s="331" t="n"/>
      <c r="H76" s="331" t="n"/>
    </row>
    <row r="77">
      <c r="A77" s="331" t="n"/>
      <c r="B77" s="331" t="n"/>
      <c r="C77" s="331" t="n"/>
      <c r="D77" s="331" t="n"/>
      <c r="E77" s="331" t="n"/>
      <c r="F77" s="331" t="n"/>
      <c r="G77" s="331" t="n"/>
      <c r="H77" s="331" t="n"/>
    </row>
    <row r="78">
      <c r="A78" s="331" t="n"/>
      <c r="B78" s="331" t="n"/>
      <c r="C78" s="331" t="n"/>
      <c r="D78" s="331" t="n"/>
      <c r="E78" s="331" t="n"/>
      <c r="F78" s="331" t="n"/>
      <c r="G78" s="331" t="n"/>
      <c r="H78" s="331" t="n"/>
    </row>
    <row r="79">
      <c r="A79" s="331" t="n"/>
      <c r="B79" s="331" t="n"/>
      <c r="C79" s="331" t="n"/>
      <c r="D79" s="331" t="n"/>
      <c r="E79" s="331" t="n"/>
      <c r="F79" s="331" t="n"/>
      <c r="G79" s="331" t="n"/>
      <c r="H79" s="331" t="n"/>
    </row>
    <row r="80">
      <c r="A80" s="331" t="n"/>
      <c r="B80" s="331" t="n"/>
      <c r="C80" s="331" t="n"/>
      <c r="D80" s="331" t="n"/>
      <c r="E80" s="331" t="n"/>
      <c r="F80" s="331" t="n"/>
      <c r="G80" s="331" t="n"/>
      <c r="H80" s="331" t="n"/>
    </row>
    <row r="81">
      <c r="A81" s="331" t="n"/>
      <c r="B81" s="331" t="n"/>
      <c r="C81" s="331" t="n"/>
      <c r="D81" s="331" t="n"/>
      <c r="E81" s="331" t="n"/>
      <c r="F81" s="331" t="n"/>
      <c r="G81" s="331" t="n"/>
      <c r="H81" s="331" t="n"/>
    </row>
    <row r="82">
      <c r="A82" s="331" t="n"/>
      <c r="B82" s="331" t="n"/>
      <c r="C82" s="331" t="n"/>
      <c r="D82" s="331" t="n"/>
      <c r="E82" s="331" t="n"/>
      <c r="F82" s="331" t="n"/>
      <c r="G82" s="331" t="n"/>
      <c r="H82" s="331" t="n"/>
    </row>
    <row r="83">
      <c r="A83" s="331" t="n"/>
      <c r="B83" s="331" t="n"/>
      <c r="C83" s="331" t="n"/>
      <c r="D83" s="331" t="n"/>
      <c r="E83" s="331" t="n"/>
      <c r="F83" s="331" t="n"/>
      <c r="G83" s="331" t="n"/>
      <c r="H83" s="331" t="n"/>
    </row>
    <row r="84">
      <c r="A84" s="331" t="n"/>
      <c r="B84" s="331" t="n"/>
      <c r="C84" s="331" t="n"/>
      <c r="D84" s="331" t="n"/>
      <c r="E84" s="331" t="n"/>
      <c r="F84" s="331" t="n"/>
      <c r="G84" s="331" t="n"/>
      <c r="H84" s="331" t="n"/>
    </row>
    <row r="85">
      <c r="A85" s="331" t="n"/>
      <c r="B85" s="331" t="n"/>
      <c r="C85" s="331" t="n"/>
      <c r="D85" s="331" t="n"/>
      <c r="E85" s="331" t="n"/>
      <c r="F85" s="331" t="n"/>
      <c r="G85" s="331" t="n"/>
      <c r="H85" s="331" t="n"/>
    </row>
    <row r="86">
      <c r="A86" s="331" t="n"/>
      <c r="B86" s="331" t="n"/>
      <c r="C86" s="331" t="n"/>
      <c r="D86" s="331" t="n"/>
      <c r="E86" s="331" t="n"/>
      <c r="F86" s="331" t="n"/>
      <c r="G86" s="331" t="n"/>
      <c r="H86" s="331" t="n"/>
    </row>
    <row r="87">
      <c r="A87" s="331" t="n"/>
      <c r="B87" s="331" t="n"/>
      <c r="C87" s="331" t="n"/>
      <c r="D87" s="331" t="n"/>
      <c r="E87" s="331" t="n"/>
      <c r="F87" s="331" t="n"/>
      <c r="G87" s="331" t="n"/>
      <c r="H87" s="331" t="n"/>
    </row>
    <row r="88">
      <c r="A88" s="331" t="n"/>
      <c r="B88" s="331" t="n"/>
      <c r="C88" s="331" t="n"/>
      <c r="D88" s="331" t="n"/>
      <c r="E88" s="331" t="n"/>
      <c r="F88" s="331" t="n"/>
      <c r="G88" s="331" t="n"/>
      <c r="H88" s="331" t="n"/>
    </row>
    <row r="89">
      <c r="A89" s="331" t="n"/>
      <c r="B89" s="331" t="n"/>
      <c r="C89" s="331" t="n"/>
      <c r="D89" s="331" t="n"/>
      <c r="E89" s="331" t="n"/>
      <c r="F89" s="331" t="n"/>
      <c r="G89" s="331" t="n"/>
      <c r="H89" s="331" t="n"/>
    </row>
    <row r="90">
      <c r="A90" s="331" t="n"/>
      <c r="B90" s="331" t="n"/>
      <c r="C90" s="331" t="n"/>
      <c r="D90" s="331" t="n"/>
      <c r="E90" s="331" t="n"/>
      <c r="F90" s="331" t="n"/>
      <c r="G90" s="331" t="n"/>
      <c r="H90" s="331" t="n"/>
    </row>
    <row r="91">
      <c r="A91" s="331" t="n"/>
      <c r="B91" s="331" t="n"/>
      <c r="C91" s="331" t="n"/>
      <c r="D91" s="331" t="n"/>
      <c r="E91" s="331" t="n"/>
      <c r="F91" s="331" t="n"/>
      <c r="G91" s="331" t="n"/>
      <c r="H91" s="331" t="n"/>
    </row>
    <row r="92">
      <c r="A92" s="331" t="n"/>
      <c r="B92" s="331" t="n"/>
      <c r="C92" s="331" t="n"/>
      <c r="D92" s="331" t="n"/>
      <c r="E92" s="331" t="n"/>
      <c r="F92" s="331" t="n"/>
      <c r="G92" s="331" t="n"/>
      <c r="H92" s="331" t="n"/>
    </row>
    <row r="93">
      <c r="A93" s="331" t="n"/>
      <c r="B93" s="331" t="n"/>
      <c r="C93" s="331" t="n"/>
      <c r="D93" s="331" t="n"/>
      <c r="E93" s="331" t="n"/>
      <c r="F93" s="331" t="n"/>
      <c r="G93" s="331" t="n"/>
      <c r="H93" s="331" t="n"/>
    </row>
    <row r="94">
      <c r="A94" s="331" t="n"/>
      <c r="B94" s="331" t="n"/>
      <c r="C94" s="331" t="n"/>
      <c r="D94" s="331" t="n"/>
      <c r="E94" s="331" t="n"/>
      <c r="F94" s="331" t="n"/>
      <c r="G94" s="331" t="n"/>
      <c r="H94" s="331" t="n"/>
    </row>
    <row r="95">
      <c r="A95" s="331" t="n"/>
      <c r="B95" s="331" t="n"/>
      <c r="C95" s="331" t="n"/>
      <c r="D95" s="331" t="n"/>
      <c r="E95" s="331" t="n"/>
      <c r="F95" s="331" t="n"/>
      <c r="G95" s="331" t="n"/>
      <c r="H95" s="331" t="n"/>
    </row>
    <row r="96" ht="64.5" customHeight="1">
      <c r="A96" s="331" t="n"/>
      <c r="B96" s="331" t="n"/>
      <c r="C96" s="331" t="n"/>
      <c r="D96" s="331" t="n"/>
      <c r="E96" s="331" t="n"/>
      <c r="F96" s="331" t="n"/>
      <c r="G96" s="331" t="n"/>
      <c r="H96" s="331" t="n"/>
    </row>
    <row r="97">
      <c r="A97" s="331" t="n"/>
      <c r="B97" s="331" t="n"/>
      <c r="C97" s="331" t="n"/>
      <c r="D97" s="331" t="n"/>
      <c r="E97" s="331" t="n"/>
      <c r="F97" s="331" t="n"/>
      <c r="G97" s="331" t="n"/>
      <c r="H97" s="331" t="n"/>
    </row>
    <row r="98">
      <c r="A98" s="331" t="n"/>
      <c r="B98" s="331" t="n"/>
      <c r="C98" s="331" t="n"/>
      <c r="D98" s="331" t="n"/>
      <c r="E98" s="331" t="n"/>
      <c r="F98" s="331" t="n"/>
      <c r="G98" s="331" t="n"/>
      <c r="H98" s="331" t="n"/>
    </row>
    <row r="99">
      <c r="A99" s="331" t="n"/>
      <c r="B99" s="331" t="n"/>
      <c r="C99" s="331" t="n"/>
      <c r="D99" s="331" t="n"/>
      <c r="E99" s="331" t="n"/>
      <c r="F99" s="331" t="n"/>
      <c r="G99" s="331" t="n"/>
      <c r="H99" s="331" t="n"/>
    </row>
    <row r="100">
      <c r="A100" s="331" t="n"/>
      <c r="B100" s="331" t="n"/>
      <c r="C100" s="331" t="n"/>
      <c r="D100" s="331" t="n"/>
      <c r="E100" s="331" t="n"/>
      <c r="F100" s="331" t="n"/>
      <c r="G100" s="331" t="n"/>
      <c r="H100" s="331" t="n"/>
    </row>
    <row r="101">
      <c r="A101" s="331" t="n"/>
      <c r="B101" s="331" t="n"/>
      <c r="C101" s="331" t="n"/>
      <c r="D101" s="331" t="n"/>
      <c r="E101" s="331" t="n"/>
      <c r="F101" s="331" t="n"/>
      <c r="G101" s="331" t="n"/>
      <c r="H101" s="331" t="n"/>
    </row>
    <row r="102">
      <c r="A102" s="331" t="n"/>
      <c r="B102" s="331" t="n"/>
      <c r="C102" s="331" t="n"/>
      <c r="D102" s="331" t="n"/>
      <c r="E102" s="331" t="n"/>
      <c r="F102" s="331" t="n"/>
      <c r="G102" s="331" t="n"/>
      <c r="H102" s="331" t="n"/>
    </row>
    <row r="103">
      <c r="A103" s="331" t="n"/>
      <c r="B103" s="331" t="n"/>
      <c r="C103" s="331" t="n"/>
      <c r="D103" s="331" t="n"/>
      <c r="E103" s="331" t="n"/>
      <c r="F103" s="331" t="n"/>
      <c r="G103" s="331" t="n"/>
      <c r="H103" s="331" t="n"/>
    </row>
    <row r="104">
      <c r="A104" s="331" t="n"/>
      <c r="B104" s="331" t="n"/>
      <c r="C104" s="331" t="n"/>
      <c r="D104" s="331" t="n"/>
      <c r="E104" s="331" t="n"/>
      <c r="F104" s="331" t="n"/>
      <c r="G104" s="331" t="n"/>
      <c r="H104" s="331" t="n"/>
    </row>
    <row r="105">
      <c r="A105" s="331" t="n"/>
      <c r="B105" s="331" t="n"/>
      <c r="C105" s="331" t="n"/>
      <c r="D105" s="331" t="n"/>
      <c r="E105" s="331" t="n"/>
      <c r="F105" s="331" t="n"/>
      <c r="G105" s="331" t="n"/>
      <c r="H105" s="331" t="n"/>
    </row>
    <row r="106">
      <c r="A106" s="331" t="n"/>
      <c r="B106" s="331" t="n"/>
      <c r="C106" s="331" t="n"/>
      <c r="D106" s="331" t="n"/>
      <c r="E106" s="331" t="n"/>
      <c r="F106" s="331" t="n"/>
      <c r="G106" s="331" t="n"/>
      <c r="H106" s="331" t="n"/>
    </row>
    <row r="107">
      <c r="A107" s="331" t="n"/>
      <c r="B107" s="331" t="n"/>
      <c r="C107" s="331" t="n"/>
      <c r="D107" s="331" t="n"/>
      <c r="E107" s="331" t="n"/>
      <c r="F107" s="331" t="n"/>
      <c r="G107" s="331" t="n"/>
      <c r="H107" s="331" t="n"/>
    </row>
    <row r="108">
      <c r="A108" s="331" t="n"/>
      <c r="B108" s="331" t="n"/>
      <c r="C108" s="331" t="n"/>
      <c r="D108" s="331" t="n"/>
      <c r="E108" s="331" t="n"/>
      <c r="F108" s="331" t="n"/>
      <c r="G108" s="331" t="n"/>
      <c r="H108" s="331" t="n"/>
    </row>
    <row r="109">
      <c r="A109" s="331" t="n"/>
      <c r="B109" s="331" t="n"/>
      <c r="C109" s="331" t="n"/>
      <c r="D109" s="331" t="n"/>
      <c r="E109" s="331" t="n"/>
      <c r="F109" s="331" t="n"/>
      <c r="G109" s="331" t="n"/>
      <c r="H109" s="331" t="n"/>
    </row>
    <row r="110">
      <c r="A110" s="331" t="n"/>
      <c r="B110" s="331" t="n"/>
      <c r="C110" s="331" t="n"/>
      <c r="D110" s="331" t="n"/>
      <c r="E110" s="331" t="n"/>
      <c r="F110" s="331" t="n"/>
      <c r="G110" s="331" t="n"/>
      <c r="H110" s="331" t="n"/>
    </row>
    <row r="111">
      <c r="A111" s="331" t="n"/>
      <c r="B111" s="331" t="n"/>
      <c r="C111" s="331" t="n"/>
      <c r="D111" s="331" t="n"/>
      <c r="E111" s="331" t="n"/>
      <c r="F111" s="331" t="n"/>
      <c r="G111" s="331" t="n"/>
      <c r="H111" s="331" t="n"/>
    </row>
    <row r="112">
      <c r="A112" s="331" t="n"/>
      <c r="B112" s="331" t="n"/>
      <c r="C112" s="331" t="n"/>
      <c r="D112" s="331" t="n"/>
      <c r="E112" s="331" t="n"/>
      <c r="F112" s="331" t="n"/>
      <c r="G112" s="331" t="n"/>
      <c r="H112" s="331" t="n"/>
    </row>
    <row r="113">
      <c r="A113" s="331" t="n"/>
      <c r="B113" s="331" t="n"/>
      <c r="C113" s="331" t="n"/>
      <c r="D113" s="331" t="n"/>
      <c r="E113" s="331" t="n"/>
      <c r="F113" s="331" t="n"/>
      <c r="G113" s="331" t="n"/>
      <c r="H113" s="331" t="n"/>
    </row>
    <row r="114">
      <c r="A114" s="331" t="n"/>
      <c r="B114" s="331" t="n"/>
      <c r="C114" s="331" t="n"/>
      <c r="D114" s="331" t="n"/>
      <c r="E114" s="331" t="n"/>
      <c r="F114" s="331" t="n"/>
      <c r="G114" s="331" t="n"/>
      <c r="H114" s="331" t="n"/>
    </row>
    <row r="115">
      <c r="A115" s="331" t="n"/>
      <c r="B115" s="331" t="n"/>
      <c r="C115" s="331" t="n"/>
      <c r="D115" s="331" t="n"/>
      <c r="E115" s="331" t="n"/>
      <c r="F115" s="331" t="n"/>
      <c r="G115" s="331" t="n"/>
      <c r="H115" s="331" t="n"/>
    </row>
    <row r="116">
      <c r="A116" s="331" t="n"/>
      <c r="B116" s="331" t="n"/>
      <c r="C116" s="331" t="n"/>
      <c r="D116" s="331" t="n"/>
      <c r="E116" s="331" t="n"/>
      <c r="F116" s="331" t="n"/>
      <c r="G116" s="331" t="n"/>
      <c r="H116" s="331" t="n"/>
    </row>
    <row r="117">
      <c r="A117" s="331" t="n"/>
      <c r="B117" s="331" t="n"/>
      <c r="C117" s="331" t="n"/>
      <c r="D117" s="331" t="n"/>
      <c r="E117" s="331" t="n"/>
      <c r="F117" s="331" t="n"/>
      <c r="G117" s="331" t="n"/>
      <c r="H117" s="331" t="n"/>
    </row>
    <row r="118">
      <c r="A118" s="331" t="n"/>
      <c r="B118" s="331" t="n"/>
      <c r="C118" s="331" t="n"/>
      <c r="D118" s="331" t="n"/>
      <c r="E118" s="331" t="n"/>
      <c r="F118" s="331" t="n"/>
      <c r="G118" s="331" t="n"/>
      <c r="H118" s="331" t="n"/>
    </row>
    <row r="119">
      <c r="A119" s="331" t="n"/>
      <c r="B119" s="331" t="n"/>
      <c r="C119" s="331" t="n"/>
      <c r="D119" s="331" t="n"/>
      <c r="E119" s="331" t="n"/>
      <c r="F119" s="331" t="n"/>
      <c r="G119" s="331" t="n"/>
      <c r="H119" s="331" t="n"/>
    </row>
    <row r="120">
      <c r="A120" s="331" t="n"/>
      <c r="B120" s="331" t="n"/>
      <c r="C120" s="331" t="n"/>
      <c r="D120" s="331" t="n"/>
      <c r="E120" s="331" t="n"/>
      <c r="F120" s="331" t="n"/>
      <c r="G120" s="331" t="n"/>
      <c r="H120" s="331" t="n"/>
    </row>
    <row r="121">
      <c r="A121" s="331" t="n"/>
      <c r="B121" s="331" t="n"/>
      <c r="C121" s="331" t="n"/>
      <c r="D121" s="331" t="n"/>
      <c r="E121" s="331" t="n"/>
      <c r="F121" s="331" t="n"/>
      <c r="G121" s="331" t="n"/>
      <c r="H121" s="331" t="n"/>
    </row>
    <row r="122">
      <c r="A122" s="331" t="n"/>
      <c r="B122" s="331" t="n"/>
      <c r="C122" s="331" t="n"/>
      <c r="D122" s="331" t="n"/>
      <c r="E122" s="331" t="n"/>
      <c r="F122" s="331" t="n"/>
      <c r="G122" s="331" t="n"/>
      <c r="H122" s="331" t="n"/>
    </row>
    <row r="123">
      <c r="A123" s="331" t="n"/>
      <c r="B123" s="331" t="n"/>
      <c r="C123" s="331" t="n"/>
      <c r="D123" s="331" t="n"/>
      <c r="E123" s="331" t="n"/>
      <c r="F123" s="331" t="n"/>
      <c r="G123" s="331" t="n"/>
      <c r="H123" s="331" t="n"/>
    </row>
    <row r="124">
      <c r="A124" s="331" t="n"/>
      <c r="B124" s="331" t="n"/>
      <c r="C124" s="331" t="n"/>
      <c r="D124" s="331" t="n"/>
      <c r="E124" s="331" t="n"/>
      <c r="F124" s="331" t="n"/>
      <c r="G124" s="331" t="n"/>
      <c r="H124" s="331" t="n"/>
    </row>
    <row r="125">
      <c r="A125" s="331" t="n"/>
      <c r="B125" s="331" t="n"/>
      <c r="C125" s="331" t="n"/>
      <c r="D125" s="331" t="n"/>
      <c r="E125" s="331" t="n"/>
      <c r="F125" s="331" t="n"/>
      <c r="G125" s="331" t="n"/>
      <c r="H125" s="331" t="n"/>
    </row>
    <row r="126">
      <c r="A126" s="331" t="n"/>
      <c r="B126" s="331" t="n"/>
      <c r="C126" s="331" t="n"/>
      <c r="D126" s="331" t="n"/>
      <c r="E126" s="331" t="n"/>
      <c r="F126" s="331" t="n"/>
      <c r="G126" s="331" t="n"/>
      <c r="H126" s="331" t="n"/>
    </row>
    <row r="127">
      <c r="A127" s="331" t="n"/>
      <c r="B127" s="331" t="n"/>
      <c r="C127" s="331" t="n"/>
      <c r="D127" s="331" t="n"/>
      <c r="E127" s="331" t="n"/>
      <c r="F127" s="331" t="n"/>
      <c r="G127" s="331" t="n"/>
      <c r="H127" s="331" t="n"/>
    </row>
    <row r="128">
      <c r="A128" s="331" t="n"/>
      <c r="B128" s="331" t="n"/>
      <c r="C128" s="331" t="n"/>
      <c r="D128" s="331" t="n"/>
      <c r="E128" s="331" t="n"/>
      <c r="F128" s="331" t="n"/>
      <c r="G128" s="331" t="n"/>
      <c r="H128" s="331" t="n"/>
    </row>
    <row r="129">
      <c r="A129" s="331" t="n"/>
      <c r="B129" s="331" t="n"/>
      <c r="C129" s="331" t="n"/>
      <c r="D129" s="331" t="n"/>
      <c r="E129" s="331" t="n"/>
      <c r="F129" s="331" t="n"/>
      <c r="G129" s="331" t="n"/>
      <c r="H129" s="331" t="n"/>
    </row>
    <row r="130">
      <c r="A130" s="331" t="n"/>
      <c r="B130" s="331" t="n"/>
      <c r="C130" s="331" t="n"/>
      <c r="D130" s="331" t="n"/>
      <c r="E130" s="331" t="n"/>
      <c r="F130" s="331" t="n"/>
      <c r="G130" s="331" t="n"/>
      <c r="H130" s="331" t="n"/>
    </row>
    <row r="131">
      <c r="A131" s="331" t="n"/>
      <c r="B131" s="331" t="n"/>
      <c r="C131" s="331" t="n"/>
      <c r="D131" s="331" t="n"/>
      <c r="E131" s="331" t="n"/>
      <c r="F131" s="331" t="n"/>
      <c r="G131" s="331" t="n"/>
      <c r="H131" s="331" t="n"/>
    </row>
    <row r="132">
      <c r="A132" s="331" t="n"/>
      <c r="B132" s="331" t="n"/>
      <c r="C132" s="331" t="n"/>
      <c r="D132" s="331" t="n"/>
      <c r="E132" s="331" t="n"/>
      <c r="F132" s="331" t="n"/>
      <c r="G132" s="331" t="n"/>
      <c r="H132" s="331" t="n"/>
    </row>
    <row r="133">
      <c r="A133" s="331" t="n"/>
      <c r="B133" s="331" t="n"/>
      <c r="C133" s="331" t="n"/>
      <c r="D133" s="331" t="n"/>
      <c r="E133" s="331" t="n"/>
      <c r="F133" s="331" t="n"/>
      <c r="G133" s="331" t="n"/>
      <c r="H133" s="331" t="n"/>
    </row>
    <row r="134">
      <c r="A134" s="331" t="n"/>
      <c r="B134" s="331" t="n"/>
      <c r="C134" s="331" t="n"/>
      <c r="D134" s="331" t="n"/>
      <c r="E134" s="331" t="n"/>
      <c r="F134" s="331" t="n"/>
      <c r="G134" s="331" t="n"/>
      <c r="H134" s="331" t="n"/>
    </row>
    <row r="135">
      <c r="A135" s="331" t="n"/>
      <c r="B135" s="331" t="n"/>
      <c r="C135" s="331" t="n"/>
      <c r="D135" s="331" t="n"/>
      <c r="E135" s="331" t="n"/>
      <c r="F135" s="331" t="n"/>
      <c r="G135" s="331" t="n"/>
      <c r="H135" s="331" t="n"/>
    </row>
    <row r="136">
      <c r="A136" s="331" t="n"/>
      <c r="B136" s="331" t="n"/>
      <c r="C136" s="331" t="n"/>
      <c r="D136" s="331" t="n"/>
      <c r="E136" s="331" t="n"/>
      <c r="F136" s="331" t="n"/>
      <c r="G136" s="331" t="n"/>
      <c r="H136" s="331" t="n"/>
    </row>
    <row r="137">
      <c r="A137" s="331" t="n"/>
      <c r="B137" s="331" t="n"/>
      <c r="C137" s="331" t="n"/>
      <c r="D137" s="331" t="n"/>
      <c r="E137" s="331" t="n"/>
      <c r="F137" s="331" t="n"/>
      <c r="G137" s="331" t="n"/>
      <c r="H137" s="331" t="n"/>
    </row>
    <row r="138">
      <c r="A138" s="331" t="n"/>
      <c r="B138" s="331" t="n"/>
      <c r="C138" s="331" t="n"/>
      <c r="D138" s="331" t="n"/>
      <c r="E138" s="331" t="n"/>
      <c r="F138" s="331" t="n"/>
      <c r="G138" s="331" t="n"/>
      <c r="H138" s="331" t="n"/>
    </row>
    <row r="139">
      <c r="A139" s="331" t="n"/>
      <c r="B139" s="331" t="n"/>
      <c r="C139" s="331" t="n"/>
      <c r="D139" s="331" t="n"/>
      <c r="E139" s="331" t="n"/>
      <c r="F139" s="331" t="n"/>
      <c r="G139" s="331" t="n"/>
      <c r="H139" s="331" t="n"/>
    </row>
    <row r="140">
      <c r="A140" s="331" t="n"/>
      <c r="B140" s="331" t="n"/>
      <c r="C140" s="331" t="n"/>
      <c r="D140" s="331" t="n"/>
      <c r="E140" s="331" t="n"/>
      <c r="F140" s="331" t="n"/>
      <c r="G140" s="331" t="n"/>
      <c r="H140" s="331" t="n"/>
    </row>
    <row r="141">
      <c r="A141" s="331" t="n"/>
      <c r="B141" s="331" t="n"/>
      <c r="C141" s="331" t="n"/>
      <c r="D141" s="331" t="n"/>
      <c r="E141" s="331" t="n"/>
      <c r="F141" s="331" t="n"/>
      <c r="G141" s="331" t="n"/>
      <c r="H141" s="331" t="n"/>
    </row>
    <row r="142">
      <c r="A142" s="331" t="n"/>
      <c r="B142" s="331" t="n"/>
      <c r="C142" s="331" t="n"/>
      <c r="D142" s="331" t="n"/>
      <c r="E142" s="331" t="n"/>
      <c r="F142" s="331" t="n"/>
      <c r="G142" s="331" t="n"/>
      <c r="H142" s="331" t="n"/>
    </row>
    <row r="143">
      <c r="A143" s="331" t="n"/>
      <c r="B143" s="331" t="n"/>
      <c r="C143" s="331" t="n"/>
      <c r="D143" s="331" t="n"/>
      <c r="E143" s="331" t="n"/>
      <c r="F143" s="331" t="n"/>
      <c r="G143" s="331" t="n"/>
      <c r="H143" s="331" t="n"/>
    </row>
    <row r="144">
      <c r="A144" s="331" t="n"/>
      <c r="B144" s="331" t="n"/>
      <c r="C144" s="331" t="n"/>
      <c r="D144" s="331" t="n"/>
      <c r="E144" s="331" t="n"/>
      <c r="F144" s="331" t="n"/>
      <c r="G144" s="331" t="n"/>
      <c r="H144" s="331" t="n"/>
    </row>
    <row r="145">
      <c r="A145" s="331" t="n"/>
      <c r="B145" s="331" t="n"/>
      <c r="C145" s="331" t="n"/>
      <c r="D145" s="331" t="n"/>
      <c r="E145" s="331" t="n"/>
      <c r="F145" s="331" t="n"/>
      <c r="G145" s="331" t="n"/>
      <c r="H145" s="331" t="n"/>
    </row>
    <row r="146">
      <c r="A146" s="331" t="n"/>
      <c r="B146" s="331" t="n"/>
      <c r="C146" s="331" t="n"/>
      <c r="D146" s="331" t="n"/>
      <c r="E146" s="331" t="n"/>
      <c r="F146" s="331" t="n"/>
      <c r="G146" s="331" t="n"/>
      <c r="H146" s="331" t="n"/>
    </row>
    <row r="147">
      <c r="A147" s="331" t="n"/>
      <c r="B147" s="331" t="n"/>
      <c r="C147" s="331" t="n"/>
      <c r="D147" s="331" t="n"/>
      <c r="E147" s="331" t="n"/>
      <c r="F147" s="331" t="n"/>
      <c r="G147" s="331" t="n"/>
      <c r="H147" s="331" t="n"/>
    </row>
    <row r="148">
      <c r="A148" s="331" t="n"/>
      <c r="B148" s="331" t="n"/>
      <c r="C148" s="331" t="n"/>
      <c r="D148" s="331" t="n"/>
      <c r="E148" s="331" t="n"/>
      <c r="F148" s="331" t="n"/>
      <c r="G148" s="331" t="n"/>
      <c r="H148" s="331" t="n"/>
    </row>
    <row r="149">
      <c r="A149" s="331" t="n"/>
      <c r="B149" s="331" t="n"/>
      <c r="C149" s="331" t="n"/>
      <c r="D149" s="331" t="n"/>
      <c r="E149" s="331" t="n"/>
      <c r="F149" s="331" t="n"/>
      <c r="G149" s="331" t="n"/>
      <c r="H149" s="331" t="n"/>
    </row>
    <row r="150">
      <c r="A150" s="331" t="n"/>
      <c r="B150" s="331" t="n"/>
      <c r="C150" s="331" t="n"/>
      <c r="D150" s="331" t="n"/>
      <c r="E150" s="331" t="n"/>
      <c r="F150" s="331" t="n"/>
      <c r="G150" s="331" t="n"/>
      <c r="H150" s="33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</row>
    <row r="4" ht="20.45" customHeight="1">
      <c r="A4" s="313" t="n"/>
      <c r="B4" s="318" t="inlineStr">
        <is>
          <t>BUSINESS SUMMARY | TAHUN 2024</t>
        </is>
      </c>
      <c r="F4" s="316" t="n"/>
    </row>
    <row r="5" ht="6" customHeight="1">
      <c r="A5" s="313" t="n"/>
      <c r="B5" s="313" t="n"/>
      <c r="C5" s="313" t="n"/>
      <c r="D5" s="313" t="n"/>
      <c r="E5" s="314" t="n"/>
      <c r="F5" s="316" t="n"/>
    </row>
    <row r="6" ht="20" customHeight="1">
      <c r="A6" s="313" t="n"/>
      <c r="B6" s="362" t="inlineStr">
        <is>
          <t>#</t>
        </is>
      </c>
      <c r="C6" s="362" t="inlineStr">
        <is>
          <t>Items</t>
        </is>
      </c>
      <c r="D6" s="363" t="inlineStr">
        <is>
          <t>Amount</t>
        </is>
      </c>
      <c r="E6" s="227" t="n"/>
      <c r="F6" s="316" t="n"/>
    </row>
    <row r="7" ht="20" customHeight="1">
      <c r="A7" s="313" t="n"/>
      <c r="B7" s="364" t="n">
        <v>1</v>
      </c>
      <c r="C7" s="365" t="inlineStr">
        <is>
          <t>Revenue</t>
        </is>
      </c>
      <c r="D7" s="366" t="inlineStr">
        <is>
          <t>Rp</t>
        </is>
      </c>
      <c r="E7" s="367">
        <f>SUM('Revenue-Cost_2024'!F8:F301)</f>
        <v/>
      </c>
      <c r="F7" s="316" t="n"/>
    </row>
    <row r="8" ht="20" customHeight="1">
      <c r="A8" s="313" t="n"/>
      <c r="B8" s="364" t="n">
        <v>2</v>
      </c>
      <c r="C8" s="365" t="inlineStr">
        <is>
          <t>Revenue Diterima (Setelah Pajak)</t>
        </is>
      </c>
      <c r="D8" s="366" t="inlineStr">
        <is>
          <t>Rp</t>
        </is>
      </c>
      <c r="E8" s="367">
        <f>E7-SUM('Revenue-Cost_2024'!N8:N301)</f>
        <v/>
      </c>
      <c r="F8" s="316" t="n"/>
    </row>
    <row r="9" ht="20" customHeight="1">
      <c r="A9" s="313" t="n"/>
      <c r="B9" s="364" t="n">
        <v>3</v>
      </c>
      <c r="C9" s="365" t="inlineStr">
        <is>
          <t>Biaya</t>
        </is>
      </c>
      <c r="D9" s="366" t="inlineStr">
        <is>
          <t>Rp</t>
        </is>
      </c>
      <c r="E9" s="367">
        <f>SUM('Revenue-Cost_2024'!I1180:Q1180)</f>
        <v/>
      </c>
      <c r="F9" s="316" t="n"/>
    </row>
    <row r="10" ht="20" customHeight="1">
      <c r="A10" s="313" t="n"/>
      <c r="B10" s="364" t="n">
        <v>4</v>
      </c>
      <c r="C10" s="365" t="inlineStr">
        <is>
          <t>Profit SebelumTax</t>
        </is>
      </c>
      <c r="D10" s="366" t="inlineStr">
        <is>
          <t>Rp</t>
        </is>
      </c>
      <c r="E10" s="367">
        <f>E7-E9</f>
        <v/>
      </c>
      <c r="F10" s="316" t="n"/>
    </row>
    <row r="11" ht="20" customHeight="1">
      <c r="A11" s="313" t="n"/>
      <c r="B11" s="364" t="n">
        <v>5</v>
      </c>
      <c r="C11" s="365" t="inlineStr">
        <is>
          <t>PPh Badan (22%*50%)</t>
        </is>
      </c>
      <c r="D11" s="366" t="inlineStr">
        <is>
          <t>Rp</t>
        </is>
      </c>
      <c r="E11" s="367">
        <f>E10*22%*50%</f>
        <v/>
      </c>
      <c r="F11" s="316" t="n"/>
    </row>
    <row r="12" ht="20" customHeight="1">
      <c r="A12" s="313" t="n"/>
      <c r="B12" s="364" t="n">
        <v>6</v>
      </c>
      <c r="C12" s="365" t="inlineStr">
        <is>
          <t>PPh 23 Dipotong oleh client</t>
        </is>
      </c>
      <c r="D12" s="366" t="inlineStr">
        <is>
          <t>Rp</t>
        </is>
      </c>
      <c r="E12" s="367">
        <f>SUM('Revenue-Cost_2024'!N8:N301)</f>
        <v/>
      </c>
      <c r="F12" s="316" t="n"/>
    </row>
    <row r="13" ht="20" customHeight="1">
      <c r="A13" s="313" t="n"/>
      <c r="B13" s="364" t="n">
        <v>7</v>
      </c>
      <c r="C13" s="365" t="inlineStr">
        <is>
          <t>Kekurangan Bayar PPh Badan</t>
        </is>
      </c>
      <c r="D13" s="366" t="inlineStr">
        <is>
          <t>Rp</t>
        </is>
      </c>
      <c r="E13" s="368">
        <f>E11-E12</f>
        <v/>
      </c>
      <c r="F13" s="316" t="n"/>
    </row>
    <row r="14" ht="20" customHeight="1">
      <c r="A14" s="313" t="n"/>
      <c r="B14" s="364" t="n">
        <v>8</v>
      </c>
      <c r="C14" s="365" t="inlineStr">
        <is>
          <t>Profit After Tax</t>
        </is>
      </c>
      <c r="D14" s="366" t="inlineStr">
        <is>
          <t>Rp</t>
        </is>
      </c>
      <c r="E14" s="367">
        <f>E10-E13</f>
        <v/>
      </c>
      <c r="F14" s="316" t="n"/>
    </row>
    <row r="15" ht="20" customHeight="1">
      <c r="A15" s="313" t="n"/>
      <c r="B15" s="364" t="n">
        <v>9</v>
      </c>
      <c r="C15" s="365" t="inlineStr">
        <is>
          <t>Deviden Dibagi</t>
        </is>
      </c>
      <c r="D15" s="366" t="inlineStr">
        <is>
          <t>Rp</t>
        </is>
      </c>
      <c r="E15" s="367">
        <f>E14-E16</f>
        <v/>
      </c>
      <c r="F15" s="316" t="n"/>
    </row>
    <row r="16" ht="20" customHeight="1">
      <c r="A16" s="313" t="n"/>
      <c r="B16" s="364" t="n">
        <v>10</v>
      </c>
      <c r="C16" s="365" t="inlineStr">
        <is>
          <t>Profit Ditahan</t>
        </is>
      </c>
      <c r="D16" s="366" t="inlineStr">
        <is>
          <t>Rp</t>
        </is>
      </c>
      <c r="E16" s="367" t="n">
        <v>53207545</v>
      </c>
      <c r="F16" s="316" t="n"/>
    </row>
    <row r="17" ht="13.9" customHeight="1">
      <c r="A17" s="313" t="n"/>
      <c r="B17" s="313" t="n"/>
      <c r="C17" s="313" t="n"/>
      <c r="D17" s="313" t="n"/>
      <c r="E17" s="314" t="n"/>
      <c r="F17" s="316" t="n"/>
    </row>
    <row r="18" ht="17.65" customHeight="1">
      <c r="A18" s="313" t="n"/>
      <c r="B18" s="369" t="inlineStr">
        <is>
          <t>DEVIDEN</t>
        </is>
      </c>
      <c r="F18" s="316" t="n"/>
    </row>
    <row r="19" ht="20" customHeight="1">
      <c r="A19" s="313" t="n"/>
      <c r="B19" s="370" t="inlineStr">
        <is>
          <t>#</t>
        </is>
      </c>
      <c r="C19" s="370" t="inlineStr">
        <is>
          <t>Nama Lengkap</t>
        </is>
      </c>
      <c r="D19" s="371" t="inlineStr">
        <is>
          <t>Rp</t>
        </is>
      </c>
      <c r="E19" s="372" t="inlineStr">
        <is>
          <t>Amount</t>
        </is>
      </c>
      <c r="F19" s="316" t="n"/>
      <c r="G19" s="373" t="inlineStr"/>
    </row>
    <row r="20" ht="20" customHeight="1">
      <c r="A20" s="313" t="n"/>
      <c r="B20" s="374" t="n">
        <v>1</v>
      </c>
      <c r="C20" s="375" t="inlineStr">
        <is>
          <t>Anevril Chairulsyah</t>
        </is>
      </c>
      <c r="D20" s="376" t="inlineStr">
        <is>
          <t>Rp</t>
        </is>
      </c>
      <c r="E20" s="377">
        <f>IF(C20="","",ROUND($E$15/COUNTA($C$20:$C$21), 0))</f>
        <v/>
      </c>
      <c r="F20" s="378" t="n"/>
      <c r="G20" s="379" t="inlineStr">
        <is>
          <t>Pajak 10%</t>
        </is>
      </c>
    </row>
    <row r="21" ht="20" customHeight="1">
      <c r="A21" s="380" t="n"/>
      <c r="B21" s="381" t="n">
        <v>2</v>
      </c>
      <c r="C21" s="382" t="inlineStr">
        <is>
          <t>Alan Muhadjir</t>
        </is>
      </c>
      <c r="D21" s="383" t="inlineStr">
        <is>
          <t>Rp</t>
        </is>
      </c>
      <c r="E21" s="384">
        <f>IF(C21="","",ROUND($E$15/COUNTA($C$20:$C$21), 0))</f>
        <v/>
      </c>
      <c r="F21" s="378" t="n"/>
      <c r="G21" s="385" t="inlineStr">
        <is>
          <t>Pajak 10%</t>
        </is>
      </c>
    </row>
    <row r="22" ht="14.25" customHeight="1">
      <c r="A22" s="380" t="n"/>
      <c r="B22" s="385" t="n"/>
      <c r="C22" s="385" t="n"/>
      <c r="D22" s="385" t="n"/>
      <c r="E22" s="385" t="n"/>
      <c r="F22" s="378" t="n"/>
      <c r="G22" s="385" t="n"/>
    </row>
    <row r="23">
      <c r="B23" s="385" t="n"/>
      <c r="C23" s="385" t="n"/>
      <c r="D23" s="385" t="n"/>
      <c r="E23" s="385" t="n"/>
      <c r="F23" s="385" t="n"/>
      <c r="G23" s="385" t="n"/>
    </row>
    <row r="24">
      <c r="B24" s="385" t="n"/>
      <c r="C24" s="385" t="n"/>
      <c r="D24" s="385" t="n"/>
      <c r="E24" s="385" t="n"/>
      <c r="F24" s="385" t="n"/>
      <c r="G24" s="385" t="n"/>
    </row>
    <row r="25">
      <c r="B25" s="385" t="n"/>
      <c r="C25" s="385" t="n"/>
      <c r="D25" s="385" t="n"/>
      <c r="E25" s="385" t="n"/>
      <c r="F25" s="385" t="n"/>
      <c r="G25" s="385" t="n"/>
    </row>
    <row r="26">
      <c r="B26" s="385" t="n"/>
      <c r="C26" s="385" t="n"/>
      <c r="D26" s="385" t="n"/>
      <c r="E26" s="385" t="n"/>
      <c r="F26" s="385" t="n"/>
      <c r="G26" s="385" t="n"/>
    </row>
    <row r="27">
      <c r="B27" s="385" t="n"/>
      <c r="C27" s="385" t="n"/>
      <c r="D27" s="385" t="n"/>
      <c r="E27" s="385" t="n"/>
      <c r="F27" s="385" t="n"/>
      <c r="G27" s="385" t="n"/>
    </row>
    <row r="28">
      <c r="B28" s="385" t="n"/>
      <c r="C28" s="385" t="n"/>
      <c r="D28" s="385" t="n"/>
      <c r="E28" s="385" t="n"/>
      <c r="F28" s="385" t="n"/>
      <c r="G28" s="385" t="n"/>
    </row>
    <row r="29">
      <c r="B29" s="385" t="n"/>
      <c r="C29" s="385" t="n"/>
      <c r="D29" s="385" t="n"/>
      <c r="E29" s="385" t="n"/>
      <c r="F29" s="385" t="n"/>
      <c r="G29" s="385" t="n"/>
    </row>
    <row r="30">
      <c r="B30" s="385" t="n"/>
      <c r="C30" s="385" t="n"/>
      <c r="D30" s="385" t="n"/>
      <c r="E30" s="385" t="n"/>
      <c r="F30" s="385" t="n"/>
      <c r="G30" s="385" t="n"/>
    </row>
    <row r="31">
      <c r="B31" s="385" t="n"/>
      <c r="C31" s="385" t="n"/>
      <c r="D31" s="385" t="n"/>
      <c r="E31" s="385" t="n"/>
      <c r="F31" s="385" t="n"/>
      <c r="G31" s="385" t="n"/>
    </row>
    <row r="32">
      <c r="B32" s="385" t="n"/>
      <c r="C32" s="385" t="n"/>
      <c r="D32" s="385" t="n"/>
      <c r="E32" s="385" t="n"/>
      <c r="F32" s="385" t="n"/>
      <c r="G32" s="385" t="n"/>
    </row>
    <row r="33">
      <c r="B33" s="385" t="n"/>
      <c r="C33" s="385" t="n"/>
      <c r="D33" s="385" t="n"/>
      <c r="E33" s="385" t="n"/>
      <c r="F33" s="385" t="n"/>
      <c r="G33" s="385" t="n"/>
    </row>
    <row r="34">
      <c r="B34" s="385" t="n"/>
      <c r="C34" s="385" t="n"/>
      <c r="D34" s="385" t="n"/>
      <c r="E34" s="385" t="n"/>
      <c r="F34" s="385" t="n"/>
      <c r="G34" s="385" t="n"/>
    </row>
    <row r="35">
      <c r="B35" s="385" t="n"/>
      <c r="C35" s="385" t="n"/>
      <c r="D35" s="385" t="n"/>
      <c r="E35" s="385" t="n"/>
      <c r="F35" s="385" t="n"/>
      <c r="G35" s="385" t="n"/>
    </row>
    <row r="36">
      <c r="B36" s="385" t="n"/>
      <c r="C36" s="385" t="n"/>
      <c r="D36" s="385" t="n"/>
      <c r="E36" s="385" t="n"/>
      <c r="F36" s="385" t="n"/>
      <c r="G36" s="385" t="n"/>
    </row>
    <row r="37">
      <c r="B37" s="385" t="n"/>
      <c r="C37" s="385" t="n"/>
      <c r="D37" s="385" t="n"/>
      <c r="E37" s="385" t="n"/>
      <c r="F37" s="385" t="n"/>
      <c r="G37" s="385" t="n"/>
    </row>
    <row r="38">
      <c r="B38" s="385" t="n"/>
      <c r="C38" s="385" t="n"/>
      <c r="D38" s="385" t="n"/>
      <c r="E38" s="385" t="n"/>
      <c r="F38" s="385" t="n"/>
      <c r="G38" s="385" t="n"/>
    </row>
    <row r="39">
      <c r="B39" s="385" t="n"/>
      <c r="C39" s="385" t="n"/>
      <c r="D39" s="385" t="n"/>
      <c r="E39" s="385" t="n"/>
      <c r="F39" s="385" t="n"/>
      <c r="G39" s="385" t="n"/>
    </row>
    <row r="40">
      <c r="B40" s="385" t="n"/>
      <c r="C40" s="385" t="n"/>
      <c r="D40" s="385" t="n"/>
      <c r="E40" s="385" t="n"/>
      <c r="F40" s="385" t="n"/>
      <c r="G40" s="385" t="n"/>
    </row>
    <row r="41">
      <c r="B41" s="385" t="n"/>
      <c r="C41" s="385" t="n"/>
      <c r="D41" s="385" t="n"/>
      <c r="E41" s="385" t="n"/>
      <c r="F41" s="385" t="n"/>
      <c r="G41" s="385" t="n"/>
    </row>
    <row r="42">
      <c r="B42" s="385" t="n"/>
      <c r="C42" s="385" t="n"/>
      <c r="D42" s="385" t="n"/>
      <c r="E42" s="385" t="n"/>
      <c r="F42" s="385" t="n"/>
      <c r="G42" s="385" t="n"/>
    </row>
    <row r="43">
      <c r="B43" s="385" t="n"/>
      <c r="C43" s="385" t="n"/>
      <c r="D43" s="385" t="n"/>
      <c r="E43" s="385" t="n"/>
      <c r="F43" s="385" t="n"/>
      <c r="G43" s="385" t="n"/>
    </row>
    <row r="44">
      <c r="B44" s="385" t="n"/>
      <c r="C44" s="385" t="n"/>
      <c r="D44" s="385" t="n"/>
      <c r="E44" s="385" t="n"/>
      <c r="F44" s="385" t="n"/>
      <c r="G44" s="385" t="n"/>
    </row>
    <row r="45">
      <c r="B45" s="385" t="n"/>
      <c r="C45" s="385" t="n"/>
      <c r="D45" s="385" t="n"/>
      <c r="E45" s="385" t="n"/>
      <c r="F45" s="385" t="n"/>
      <c r="G45" s="385" t="n"/>
    </row>
    <row r="46">
      <c r="B46" s="385" t="n"/>
      <c r="C46" s="385" t="n"/>
      <c r="D46" s="385" t="n"/>
      <c r="E46" s="385" t="n"/>
      <c r="F46" s="385" t="n"/>
      <c r="G46" s="385" t="n"/>
    </row>
    <row r="47">
      <c r="B47" s="385" t="n"/>
      <c r="C47" s="385" t="n"/>
      <c r="D47" s="385" t="n"/>
      <c r="E47" s="385" t="n"/>
      <c r="F47" s="385" t="n"/>
      <c r="G47" s="385" t="n"/>
    </row>
    <row r="48">
      <c r="B48" s="385" t="n"/>
      <c r="C48" s="385" t="n"/>
      <c r="D48" s="385" t="n"/>
      <c r="E48" s="385" t="n"/>
      <c r="F48" s="385" t="n"/>
      <c r="G48" s="385" t="n"/>
    </row>
    <row r="49">
      <c r="B49" s="385" t="n"/>
      <c r="C49" s="385" t="n"/>
      <c r="D49" s="385" t="n"/>
      <c r="E49" s="385" t="n"/>
      <c r="F49" s="385" t="n"/>
      <c r="G49" s="385" t="n"/>
    </row>
    <row r="50">
      <c r="B50" s="385" t="n"/>
      <c r="C50" s="385" t="n"/>
      <c r="D50" s="385" t="n"/>
      <c r="E50" s="385" t="n"/>
      <c r="F50" s="385" t="n"/>
      <c r="G50" s="385" t="n"/>
    </row>
    <row r="51">
      <c r="B51" s="385" t="n"/>
      <c r="C51" s="385" t="n"/>
      <c r="D51" s="385" t="n"/>
      <c r="E51" s="385" t="n"/>
      <c r="F51" s="385" t="n"/>
      <c r="G51" s="385" t="n"/>
    </row>
    <row r="52">
      <c r="B52" s="385" t="n"/>
      <c r="C52" s="385" t="n"/>
      <c r="D52" s="385" t="n"/>
      <c r="E52" s="385" t="n"/>
      <c r="F52" s="385" t="n"/>
      <c r="G52" s="385" t="n"/>
    </row>
    <row r="53">
      <c r="B53" s="385" t="n"/>
      <c r="C53" s="385" t="n"/>
      <c r="D53" s="385" t="n"/>
      <c r="E53" s="385" t="n"/>
      <c r="F53" s="385" t="n"/>
      <c r="G53" s="385" t="n"/>
    </row>
    <row r="54">
      <c r="B54" s="385" t="n"/>
      <c r="C54" s="385" t="n"/>
      <c r="D54" s="385" t="n"/>
      <c r="E54" s="385" t="n"/>
      <c r="F54" s="385" t="n"/>
      <c r="G54" s="385" t="n"/>
    </row>
    <row r="55">
      <c r="B55" s="385" t="n"/>
      <c r="C55" s="385" t="n"/>
      <c r="D55" s="385" t="n"/>
      <c r="E55" s="385" t="n"/>
      <c r="F55" s="385" t="n"/>
      <c r="G55" s="385" t="n"/>
    </row>
    <row r="56">
      <c r="B56" s="385" t="n"/>
      <c r="C56" s="385" t="n"/>
      <c r="D56" s="385" t="n"/>
      <c r="E56" s="385" t="n"/>
      <c r="F56" s="385" t="n"/>
      <c r="G56" s="385" t="n"/>
    </row>
    <row r="57">
      <c r="B57" s="385" t="n"/>
      <c r="C57" s="385" t="n"/>
      <c r="D57" s="385" t="n"/>
      <c r="E57" s="385" t="n"/>
      <c r="F57" s="385" t="n"/>
      <c r="G57" s="385" t="n"/>
    </row>
    <row r="58">
      <c r="B58" s="385" t="n"/>
      <c r="C58" s="385" t="n"/>
      <c r="D58" s="385" t="n"/>
      <c r="E58" s="385" t="n"/>
      <c r="F58" s="385" t="n"/>
      <c r="G58" s="385" t="n"/>
    </row>
    <row r="59">
      <c r="B59" s="385" t="n"/>
      <c r="C59" s="385" t="n"/>
      <c r="D59" s="385" t="n"/>
      <c r="E59" s="385" t="n"/>
      <c r="F59" s="385" t="n"/>
      <c r="G59" s="385" t="n"/>
    </row>
    <row r="60">
      <c r="B60" s="385" t="n"/>
      <c r="C60" s="385" t="n"/>
      <c r="D60" s="385" t="n"/>
      <c r="E60" s="385" t="n"/>
      <c r="F60" s="385" t="n"/>
      <c r="G60" s="385" t="n"/>
    </row>
    <row r="61">
      <c r="B61" s="385" t="n"/>
      <c r="C61" s="385" t="n"/>
      <c r="D61" s="385" t="n"/>
      <c r="E61" s="385" t="n"/>
      <c r="F61" s="385" t="n"/>
      <c r="G61" s="385" t="n"/>
    </row>
    <row r="62">
      <c r="B62" s="385" t="n"/>
      <c r="C62" s="385" t="n"/>
      <c r="D62" s="385" t="n"/>
      <c r="E62" s="385" t="n"/>
      <c r="F62" s="385" t="n"/>
      <c r="G62" s="385" t="n"/>
    </row>
    <row r="63" ht="64.5" customHeight="1">
      <c r="B63" s="385" t="n"/>
      <c r="C63" s="385" t="n"/>
      <c r="D63" s="385" t="n"/>
      <c r="E63" s="385" t="n"/>
      <c r="F63" s="385" t="n"/>
      <c r="G63" s="385" t="n"/>
    </row>
    <row r="64">
      <c r="B64" s="385" t="n"/>
      <c r="C64" s="385" t="n"/>
      <c r="D64" s="385" t="n"/>
      <c r="E64" s="385" t="n"/>
      <c r="F64" s="385" t="n"/>
      <c r="G64" s="385" t="n"/>
    </row>
    <row r="65">
      <c r="B65" s="385" t="n"/>
      <c r="C65" s="385" t="n"/>
      <c r="D65" s="385" t="n"/>
      <c r="E65" s="385" t="n"/>
      <c r="F65" s="385" t="n"/>
      <c r="G65" s="385" t="n"/>
    </row>
    <row r="66">
      <c r="B66" s="385" t="n"/>
      <c r="C66" s="385" t="n"/>
      <c r="D66" s="385" t="n"/>
      <c r="E66" s="385" t="n"/>
      <c r="F66" s="385" t="n"/>
      <c r="G66" s="385" t="n"/>
    </row>
    <row r="67">
      <c r="B67" s="385" t="n"/>
      <c r="C67" s="385" t="n"/>
      <c r="D67" s="385" t="n"/>
      <c r="E67" s="385" t="n"/>
      <c r="F67" s="385" t="n"/>
      <c r="G67" s="385" t="n"/>
    </row>
    <row r="68">
      <c r="B68" s="385" t="n"/>
      <c r="C68" s="385" t="n"/>
      <c r="D68" s="385" t="n"/>
      <c r="E68" s="385" t="n"/>
      <c r="F68" s="385" t="n"/>
      <c r="G68" s="385" t="n"/>
    </row>
    <row r="69">
      <c r="B69" s="385" t="n"/>
      <c r="C69" s="385" t="n"/>
      <c r="D69" s="385" t="n"/>
      <c r="E69" s="385" t="n"/>
      <c r="F69" s="385" t="n"/>
      <c r="G69" s="385" t="n"/>
    </row>
    <row r="70">
      <c r="B70" s="385" t="n"/>
      <c r="C70" s="385" t="n"/>
      <c r="D70" s="385" t="n"/>
      <c r="E70" s="385" t="n"/>
      <c r="F70" s="385" t="n"/>
      <c r="G70" s="385" t="n"/>
    </row>
    <row r="71">
      <c r="B71" s="385" t="n"/>
      <c r="C71" s="385" t="n"/>
      <c r="D71" s="385" t="n"/>
      <c r="E71" s="385" t="n"/>
      <c r="F71" s="385" t="n"/>
      <c r="G71" s="385" t="n"/>
    </row>
    <row r="72">
      <c r="B72" s="385" t="n"/>
      <c r="C72" s="385" t="n"/>
      <c r="D72" s="385" t="n"/>
      <c r="E72" s="385" t="n"/>
      <c r="F72" s="385" t="n"/>
      <c r="G72" s="385" t="n"/>
    </row>
    <row r="73">
      <c r="B73" s="385" t="n"/>
      <c r="C73" s="385" t="n"/>
      <c r="D73" s="385" t="n"/>
      <c r="E73" s="385" t="n"/>
      <c r="F73" s="385" t="n"/>
      <c r="G73" s="385" t="n"/>
    </row>
    <row r="74">
      <c r="B74" s="385" t="n"/>
      <c r="C74" s="385" t="n"/>
      <c r="D74" s="385" t="n"/>
      <c r="E74" s="385" t="n"/>
      <c r="F74" s="385" t="n"/>
      <c r="G74" s="385" t="n"/>
    </row>
    <row r="75">
      <c r="B75" s="385" t="n"/>
      <c r="C75" s="385" t="n"/>
      <c r="D75" s="385" t="n"/>
      <c r="E75" s="385" t="n"/>
      <c r="F75" s="385" t="n"/>
      <c r="G75" s="385" t="n"/>
    </row>
    <row r="76">
      <c r="B76" s="385" t="n"/>
      <c r="C76" s="385" t="n"/>
      <c r="D76" s="385" t="n"/>
      <c r="E76" s="385" t="n"/>
      <c r="F76" s="385" t="n"/>
      <c r="G76" s="385" t="n"/>
    </row>
    <row r="77">
      <c r="B77" s="385" t="n"/>
      <c r="C77" s="385" t="n"/>
      <c r="D77" s="385" t="n"/>
      <c r="E77" s="385" t="n"/>
      <c r="F77" s="385" t="n"/>
      <c r="G77" s="385" t="n"/>
    </row>
    <row r="78">
      <c r="B78" s="385" t="n"/>
      <c r="C78" s="385" t="n"/>
      <c r="D78" s="385" t="n"/>
      <c r="E78" s="385" t="n"/>
      <c r="F78" s="385" t="n"/>
      <c r="G78" s="385" t="n"/>
    </row>
    <row r="79">
      <c r="B79" s="385" t="n"/>
      <c r="C79" s="385" t="n"/>
      <c r="D79" s="385" t="n"/>
      <c r="E79" s="385" t="n"/>
      <c r="F79" s="385" t="n"/>
      <c r="G79" s="385" t="n"/>
    </row>
    <row r="80">
      <c r="B80" s="385" t="n"/>
      <c r="C80" s="385" t="n"/>
      <c r="D80" s="385" t="n"/>
      <c r="E80" s="385" t="n"/>
      <c r="F80" s="385" t="n"/>
      <c r="G80" s="385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2026-04-27T22:39:48Z</dcterms:modified>
  <cp:lastModifiedBy>Diofavian - Student</cp:lastModifiedBy>
</cp:coreProperties>
</file>