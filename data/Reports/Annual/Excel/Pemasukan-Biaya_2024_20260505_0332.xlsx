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15" fontId="10" fillId="11" borderId="16" applyAlignment="1" pivotButton="0" quotePrefix="0" xfId="0">
      <alignment horizontal="center" vertical="center"/>
    </xf>
    <xf numFmtId="0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1">
      <alignment horizontal="center" vertical="center"/>
    </xf>
    <xf numFmtId="165" fontId="8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1">
      <alignment horizontal="center" vertical="center"/>
    </xf>
    <xf numFmtId="165" fontId="29" fillId="11" borderId="16" applyAlignment="1" pivotButton="0" quotePrefix="0" xfId="0">
      <alignment vertical="top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9" fillId="11" borderId="16" pivotButton="0" quotePrefix="0" xfId="0"/>
    <xf numFmtId="3" fontId="29" fillId="11" borderId="16" pivotButton="0" quotePrefix="0" xfId="0"/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Data Processing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Pembuatan Alat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Rental Tool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Allowance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45388</v>
      </c>
      <c r="C65" s="286" t="n">
        <v>21</v>
      </c>
      <c r="D65" s="287" t="inlineStr">
        <is>
          <t>THR 2024_Yufitri</t>
        </is>
      </c>
      <c r="E65" s="288" t="inlineStr">
        <is>
          <t>BCA</t>
        </is>
      </c>
      <c r="F65" s="289" t="n">
        <v>3000000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.5" customFormat="1" customHeight="1" s="66">
      <c r="B66" s="281" t="n"/>
      <c r="C66" s="281" t="n"/>
      <c r="D66" s="282" t="inlineStr">
        <is>
          <t>Gaji</t>
        </is>
      </c>
      <c r="E66" s="281" t="n"/>
      <c r="F66" s="281" t="n"/>
      <c r="G66" s="281" t="n"/>
      <c r="H66" s="281" t="n"/>
      <c r="I66" s="281" t="n"/>
      <c r="J66" s="283" t="n"/>
      <c r="K66" s="281" t="n"/>
      <c r="L66" s="283" t="n"/>
      <c r="M66" s="281" t="n"/>
      <c r="N66" s="283" t="n"/>
      <c r="O66" s="281" t="n"/>
      <c r="P66" s="283" t="n"/>
      <c r="Q66" s="283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45323</v>
      </c>
      <c r="C67" s="286" t="n">
        <v>22</v>
      </c>
      <c r="D67" s="287" t="inlineStr">
        <is>
          <t>Gaji Januari 2024 _Yufitri</t>
        </is>
      </c>
      <c r="E67" s="288" t="inlineStr">
        <is>
          <t>BCA</t>
        </is>
      </c>
      <c r="F67" s="289" t="n">
        <v>2500000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45356</v>
      </c>
      <c r="C68" s="286" t="n">
        <v>23</v>
      </c>
      <c r="D68" s="287" t="inlineStr">
        <is>
          <t>Gaji Februari 2024 + raple gaji Januari 2024_Yufitri</t>
        </is>
      </c>
      <c r="E68" s="288" t="inlineStr">
        <is>
          <t>BCA</t>
        </is>
      </c>
      <c r="F68" s="289" t="n">
        <v>3500000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45379</v>
      </c>
      <c r="C69" s="286" t="n">
        <v>24</v>
      </c>
      <c r="D69" s="287" t="inlineStr">
        <is>
          <t>Gaji Maret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25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45446</v>
      </c>
      <c r="C71" s="286" t="n">
        <v>26</v>
      </c>
      <c r="D71" s="287" t="inlineStr">
        <is>
          <t>Gaji Mei_Yufitri</t>
        </is>
      </c>
      <c r="E71" s="288" t="inlineStr">
        <is>
          <t>BCA</t>
        </is>
      </c>
      <c r="F71" s="289" t="n">
        <v>3000000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45473</v>
      </c>
      <c r="C72" s="286" t="n">
        <v>27</v>
      </c>
      <c r="D72" s="287" t="inlineStr">
        <is>
          <t>Gaji Juni 2024_Yufitri</t>
        </is>
      </c>
      <c r="E72" s="288" t="inlineStr">
        <is>
          <t>BCA</t>
        </is>
      </c>
      <c r="F72" s="289" t="n">
        <v>3000000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45501</v>
      </c>
      <c r="C73" s="286" t="n">
        <v>28</v>
      </c>
      <c r="D73" s="287" t="inlineStr">
        <is>
          <t>Gaji Juli 2024_Yufitri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45535</v>
      </c>
      <c r="C74" s="286" t="n">
        <v>29</v>
      </c>
      <c r="D74" s="287" t="inlineStr">
        <is>
          <t>Gaji Agustus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45568</v>
      </c>
      <c r="C75" s="286" t="n">
        <v>30</v>
      </c>
      <c r="D75" s="287" t="inlineStr">
        <is>
          <t>Gaji fitri bulan september 2024</t>
        </is>
      </c>
      <c r="E75" s="288" t="inlineStr">
        <is>
          <t>BRI</t>
        </is>
      </c>
      <c r="F75" s="289" t="n">
        <v>3000000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45568</v>
      </c>
      <c r="C76" s="286" t="n">
        <v>31</v>
      </c>
      <c r="D76" s="287" t="inlineStr">
        <is>
          <t>Gaji fitri bulan October 2024</t>
        </is>
      </c>
      <c r="E76" s="288" t="inlineStr">
        <is>
          <t>BRI</t>
        </is>
      </c>
      <c r="F76" s="289" t="n">
        <v>3000000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45625</v>
      </c>
      <c r="C77" s="286" t="n">
        <v>32</v>
      </c>
      <c r="D77" s="287" t="inlineStr">
        <is>
          <t>Gaji fitri bulan November 2024</t>
        </is>
      </c>
      <c r="E77" s="288" t="inlineStr">
        <is>
          <t>BRI</t>
        </is>
      </c>
      <c r="F77" s="289" t="n">
        <v>3000000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45651</v>
      </c>
      <c r="C78" s="286" t="n">
        <v>33</v>
      </c>
      <c r="D78" s="287" t="inlineStr">
        <is>
          <t>Gaji Desember 2024 + Bomnus akhir tahun - 4 bulan_Yufitri</t>
        </is>
      </c>
      <c r="E78" s="288" t="inlineStr">
        <is>
          <t>BCA</t>
        </is>
      </c>
      <c r="F78" s="289" t="n">
        <v>15000000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.5" customHeight="1">
      <c r="B79" s="281" t="n"/>
      <c r="C79" s="281" t="n"/>
      <c r="D79" s="282" t="inlineStr">
        <is>
          <t>Meal</t>
        </is>
      </c>
      <c r="E79" s="281" t="n"/>
      <c r="F79" s="281" t="n"/>
      <c r="G79" s="281" t="n"/>
      <c r="H79" s="281" t="n"/>
      <c r="I79" s="281" t="n"/>
      <c r="J79" s="283" t="n"/>
      <c r="K79" s="281" t="n"/>
      <c r="L79" s="283" t="n"/>
      <c r="M79" s="281" t="n"/>
      <c r="N79" s="283" t="n"/>
      <c r="O79" s="281" t="n"/>
      <c r="P79" s="283" t="n"/>
      <c r="Q79" s="283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45644</v>
      </c>
      <c r="C80" s="286" t="n">
        <v>34</v>
      </c>
      <c r="D80" s="287" t="inlineStr">
        <is>
          <t>Team building EWI dengan team Well Intervention PEP Reg. 2</t>
        </is>
      </c>
      <c r="E80" s="288" t="inlineStr">
        <is>
          <t>BCA</t>
        </is>
      </c>
      <c r="F80" s="289" t="n">
        <v>39201350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.5" customHeight="1">
      <c r="B81" s="281" t="n"/>
      <c r="C81" s="281" t="n"/>
      <c r="D81" s="282" t="inlineStr">
        <is>
          <t>Project Operation</t>
        </is>
      </c>
      <c r="E81" s="281" t="n"/>
      <c r="F81" s="281" t="n"/>
      <c r="G81" s="281" t="n"/>
      <c r="H81" s="281" t="n"/>
      <c r="I81" s="281" t="n"/>
      <c r="J81" s="283" t="n"/>
      <c r="K81" s="281" t="n"/>
      <c r="L81" s="283" t="n"/>
      <c r="M81" s="281" t="n"/>
      <c r="N81" s="283" t="n"/>
      <c r="O81" s="281" t="n"/>
      <c r="P81" s="283" t="n"/>
      <c r="Q81" s="283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45446</v>
      </c>
      <c r="C82" s="286" t="n">
        <v>35</v>
      </c>
      <c r="D82" s="287" t="inlineStr">
        <is>
          <t>PT Laka Indonesia |  Wastafel for WIKA Anantara Ubud Bali</t>
        </is>
      </c>
      <c r="E82" s="288" t="inlineStr">
        <is>
          <t>BCA</t>
        </is>
      </c>
      <c r="F82" s="289" t="n">
        <v>300000000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45478</v>
      </c>
      <c r="C83" s="286" t="n">
        <v>36</v>
      </c>
      <c r="D83" s="287" t="inlineStr">
        <is>
          <t>Repair ESOR panel &amp; Fabricate dummy test load, Payment#2</t>
        </is>
      </c>
      <c r="E83" s="288" t="inlineStr">
        <is>
          <t>BRI</t>
        </is>
      </c>
      <c r="F83" s="289" t="n">
        <v>25000000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45480</v>
      </c>
      <c r="C84" s="286" t="n">
        <v>37</v>
      </c>
      <c r="D84" s="287" t="inlineStr">
        <is>
          <t>PT Laka Indonesia |  Wastafel for WIKA Anantara Ubud Bali</t>
        </is>
      </c>
      <c r="E84" s="288" t="inlineStr">
        <is>
          <t>BCA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45492</v>
      </c>
      <c r="C85" s="286" t="n">
        <v>38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45493</v>
      </c>
      <c r="C86" s="286" t="n">
        <v>39</v>
      </c>
      <c r="D86" s="287" t="inlineStr">
        <is>
          <t>Repair ESOR panel &amp; Fabricate dummy test load, Payment#1</t>
        </is>
      </c>
      <c r="E86" s="288" t="inlineStr">
        <is>
          <t>BCA</t>
        </is>
      </c>
      <c r="F86" s="289" t="n">
        <v>20000000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45581</v>
      </c>
      <c r="C87" s="286" t="n">
        <v>40</v>
      </c>
      <c r="D87" s="287" t="inlineStr">
        <is>
          <t>PT Laka Indonesia | Project Lampu Taman Istana Negara Jakarta</t>
        </is>
      </c>
      <c r="E87" s="288" t="inlineStr">
        <is>
          <t>BRI</t>
        </is>
      </c>
      <c r="F87" s="289" t="n">
        <v>100000000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Sales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45304</v>
      </c>
      <c r="C89" s="286" t="n">
        <v>41</v>
      </c>
      <c r="D89" s="287" t="inlineStr">
        <is>
          <t>Sales cost 4 Well Integrity Pertamina Z.4</t>
        </is>
      </c>
      <c r="E89" s="288" t="inlineStr">
        <is>
          <t>BRI</t>
        </is>
      </c>
      <c r="F89" s="289" t="n">
        <v>77672400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2">
        <f>$F89*$H89</f>
        <v/>
      </c>
      <c r="M89" s="288" t="n"/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Transportation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45422</v>
      </c>
      <c r="C91" s="286" t="n">
        <v>42</v>
      </c>
      <c r="D91" s="287" t="inlineStr">
        <is>
          <t>Aro Energy | Moving slickline dari Duri (Toni Supriadi) ke Sungai lilin</t>
        </is>
      </c>
      <c r="E91" s="288" t="inlineStr">
        <is>
          <t>BCA</t>
        </is>
      </c>
      <c r="F91" s="289" t="n">
        <v>18000000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2">
        <f>$F91*$H91</f>
        <v/>
      </c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45601</v>
      </c>
      <c r="C92" s="286" t="n">
        <v>43</v>
      </c>
      <c r="D92" s="287" t="inlineStr">
        <is>
          <t>Sales fee 2 Well Integrity Pertamina Z.4</t>
        </is>
      </c>
      <c r="E92" s="288" t="inlineStr">
        <is>
          <t>BRI</t>
        </is>
      </c>
      <c r="F92" s="289" t="n">
        <v>38838700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2">
        <f>$F92*$H92</f>
        <v/>
      </c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.5" customHeight="1">
      <c r="B93" s="281" t="n"/>
      <c r="C93" s="281" t="n"/>
      <c r="D93" s="282" t="inlineStr">
        <is>
          <t>Biaya Bank</t>
        </is>
      </c>
      <c r="E93" s="281" t="n"/>
      <c r="F93" s="281" t="n"/>
      <c r="G93" s="281" t="n"/>
      <c r="H93" s="281" t="n"/>
      <c r="I93" s="281" t="n"/>
      <c r="J93" s="283" t="n"/>
      <c r="K93" s="281" t="n"/>
      <c r="L93" s="283" t="n"/>
      <c r="M93" s="281" t="n"/>
      <c r="N93" s="283" t="n"/>
      <c r="O93" s="281" t="n"/>
      <c r="P93" s="283" t="n"/>
      <c r="Q93" s="283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45657</v>
      </c>
      <c r="C94" s="286" t="n">
        <v>44</v>
      </c>
      <c r="D94" s="287" t="inlineStr">
        <is>
          <t>Total Biaya Transaksi Bank selama 1 tahun</t>
        </is>
      </c>
      <c r="E94" s="288" t="inlineStr">
        <is>
          <t>-</t>
        </is>
      </c>
      <c r="F94" s="289" t="n">
        <v>1998587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9">
        <f>$F94*$H94</f>
        <v/>
      </c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.5" customHeight="1">
      <c r="B95" s="281" t="n"/>
      <c r="C95" s="281" t="n"/>
      <c r="D95" s="282" t="inlineStr">
        <is>
          <t>Elektronik &amp; Gadget</t>
        </is>
      </c>
      <c r="E95" s="281" t="n"/>
      <c r="F95" s="281" t="n"/>
      <c r="G95" s="281" t="n"/>
      <c r="H95" s="281" t="n"/>
      <c r="I95" s="281" t="n"/>
      <c r="J95" s="283" t="n"/>
      <c r="K95" s="281" t="n"/>
      <c r="L95" s="283" t="n"/>
      <c r="M95" s="281" t="n"/>
      <c r="N95" s="283" t="n"/>
      <c r="O95" s="281" t="n"/>
      <c r="P95" s="283" t="n"/>
      <c r="Q95" s="283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45501</v>
      </c>
      <c r="C96" s="286" t="n">
        <v>45</v>
      </c>
      <c r="D96" s="287" t="inlineStr">
        <is>
          <t>Handphone Operational untuk Secretary (Yufitri)</t>
        </is>
      </c>
      <c r="E96" s="288" t="inlineStr">
        <is>
          <t>BCA</t>
        </is>
      </c>
      <c r="F96" s="289" t="n">
        <v>2600000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Hand Tools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45473</v>
      </c>
      <c r="C98" s="286" t="n">
        <v>46</v>
      </c>
      <c r="D98" s="287" t="inlineStr">
        <is>
          <t>Downhole Sampling tool #1-1 GARINDO SARANA BARU</t>
        </is>
      </c>
      <c r="E98" s="288" t="inlineStr">
        <is>
          <t>BCA</t>
        </is>
      </c>
      <c r="F98" s="289" t="n">
        <v>39800000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2">
        <f>$F98*$H98</f>
        <v/>
      </c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45519</v>
      </c>
      <c r="C99" s="286" t="n">
        <v>47</v>
      </c>
      <c r="D99" s="287" t="inlineStr">
        <is>
          <t>Downhole Sampling tool #1-2 GARINDO SARANA BARU</t>
        </is>
      </c>
      <c r="E99" s="288" t="inlineStr">
        <is>
          <t>BCA</t>
        </is>
      </c>
      <c r="F99" s="289" t="n">
        <v>53835000</v>
      </c>
      <c r="G99" s="286" t="inlineStr">
        <is>
          <t>IDR</t>
        </is>
      </c>
      <c r="H99" s="290" t="n">
        <v>1</v>
      </c>
      <c r="I99" s="288" t="n"/>
      <c r="J99" s="291" t="n"/>
      <c r="K99" s="288" t="n"/>
      <c r="L99" s="291" t="n"/>
      <c r="M99" s="288" t="n"/>
      <c r="N99" s="292">
        <f>$F99*$H99</f>
        <v/>
      </c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45556</v>
      </c>
      <c r="C100" s="286" t="n">
        <v>48</v>
      </c>
      <c r="D100" s="287" t="inlineStr">
        <is>
          <t>Downhole Sampling tool #2 GARINDO SARANA BARU</t>
        </is>
      </c>
      <c r="E100" s="288" t="inlineStr">
        <is>
          <t>BCA</t>
        </is>
      </c>
      <c r="F100" s="289" t="n">
        <v>34299000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2">
        <f>$F100*$H100</f>
        <v/>
      </c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Sparepart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45476</v>
      </c>
      <c r="C102" s="286" t="n">
        <v>49</v>
      </c>
      <c r="D102" s="287" t="inlineStr">
        <is>
          <t>Kekurangan (PPN ) ke PT Garindo sarana Baru (Downhole Sampling)</t>
        </is>
      </c>
      <c r="E102" s="288" t="inlineStr">
        <is>
          <t>BCA</t>
        </is>
      </c>
      <c r="F102" s="289" t="n">
        <v>3582000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2">
        <f>$F102*$H102</f>
        <v/>
      </c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45630</v>
      </c>
      <c r="C103" s="286" t="n">
        <v>50</v>
      </c>
      <c r="D103" s="287" t="inlineStr">
        <is>
          <t>Payment ke UPS Biaya Import pembelian sparepart dari Pei-Genesis</t>
        </is>
      </c>
      <c r="E103" s="288" t="inlineStr">
        <is>
          <t>BRI</t>
        </is>
      </c>
      <c r="F103" s="289" t="n">
        <v>777246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2">
        <f>$F103*$H103</f>
        <v/>
      </c>
      <c r="O103" s="288" t="n"/>
      <c r="P103" s="291" t="n"/>
      <c r="Q103" s="291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81" t="n"/>
      <c r="C104" s="281" t="n"/>
      <c r="D104" s="282" t="inlineStr">
        <is>
          <t>Sewa Ruangan</t>
        </is>
      </c>
      <c r="E104" s="281" t="n"/>
      <c r="F104" s="281" t="n"/>
      <c r="G104" s="281" t="n"/>
      <c r="H104" s="281" t="n"/>
      <c r="I104" s="281" t="n"/>
      <c r="J104" s="283" t="n"/>
      <c r="K104" s="281" t="n"/>
      <c r="L104" s="283" t="n"/>
      <c r="M104" s="281" t="n"/>
      <c r="N104" s="283" t="n"/>
      <c r="O104" s="281" t="n"/>
      <c r="P104" s="283" t="n"/>
      <c r="Q104" s="283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" customHeight="1">
      <c r="B105" s="285" t="n">
        <v>45632</v>
      </c>
      <c r="C105" s="286" t="n">
        <v>51</v>
      </c>
      <c r="D105" s="287" t="inlineStr">
        <is>
          <t>Sewa Virtual Office 1th, 1jan25 - 31des25_BBC_ Ganesha Dwipaya B</t>
        </is>
      </c>
      <c r="E105" s="288" t="inlineStr">
        <is>
          <t>BCA</t>
        </is>
      </c>
      <c r="F105" s="289" t="n">
        <v>4995000</v>
      </c>
      <c r="G105" s="286" t="inlineStr">
        <is>
          <t>IDR</t>
        </is>
      </c>
      <c r="H105" s="290" t="n">
        <v>1</v>
      </c>
      <c r="I105" s="288" t="n"/>
      <c r="J105" s="291" t="n"/>
      <c r="K105" s="288" t="n"/>
      <c r="L105" s="291" t="n"/>
      <c r="M105" s="288" t="n"/>
      <c r="N105" s="291" t="n"/>
      <c r="O105" s="289">
        <f>$F105*$H105</f>
        <v/>
      </c>
      <c r="P105" s="291" t="n"/>
      <c r="Q105" s="291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81" t="n"/>
      <c r="C106" s="281" t="n"/>
      <c r="D106" s="282" t="inlineStr">
        <is>
          <t>Modal Kerja</t>
        </is>
      </c>
      <c r="E106" s="281" t="n"/>
      <c r="F106" s="281" t="n"/>
      <c r="G106" s="281" t="n"/>
      <c r="H106" s="281" t="n"/>
      <c r="I106" s="281" t="n"/>
      <c r="J106" s="283" t="n"/>
      <c r="K106" s="281" t="n"/>
      <c r="L106" s="283" t="n"/>
      <c r="M106" s="281" t="n"/>
      <c r="N106" s="283" t="n"/>
      <c r="O106" s="281" t="n"/>
      <c r="P106" s="283" t="n"/>
      <c r="Q106" s="283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45483</v>
      </c>
      <c r="C107" s="286" t="n">
        <v>52</v>
      </c>
      <c r="D107" s="287" t="inlineStr">
        <is>
          <t>Pembelian Lisence Sonoechometer to PT Weebz Mandiri</t>
        </is>
      </c>
      <c r="E107" s="288" t="inlineStr">
        <is>
          <t>BCA</t>
        </is>
      </c>
      <c r="F107" s="289" t="n">
        <v>16650000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1" t="n"/>
      <c r="O107" s="288" t="n"/>
      <c r="P107" s="291" t="n"/>
      <c r="Q107" s="292">
        <f>$F107*$H107</f>
        <v/>
      </c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45519</v>
      </c>
      <c r="C108" s="286" t="n">
        <v>53</v>
      </c>
      <c r="D108" s="287" t="inlineStr">
        <is>
          <t>MUTRI | Sewa ruangan kantor BBC 2 bulan</t>
        </is>
      </c>
      <c r="E108" s="288" t="inlineStr">
        <is>
          <t>BCA</t>
        </is>
      </c>
      <c r="F108" s="289" t="n">
        <v>11270000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1" t="n"/>
      <c r="M108" s="288" t="n"/>
      <c r="N108" s="291" t="n"/>
      <c r="O108" s="288" t="n"/>
      <c r="P108" s="291" t="n"/>
      <c r="Q108" s="292">
        <f>$F108*$H108</f>
        <v/>
      </c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45539</v>
      </c>
      <c r="C109" s="286" t="n">
        <v>54</v>
      </c>
      <c r="D109" s="287" t="inlineStr">
        <is>
          <t>MUTRI | Penambahan modal biaya kerja</t>
        </is>
      </c>
      <c r="E109" s="288" t="inlineStr">
        <is>
          <t>BRI</t>
        </is>
      </c>
      <c r="F109" s="289" t="n">
        <v>100000000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1" t="n"/>
      <c r="M109" s="288" t="n"/>
      <c r="N109" s="291" t="n"/>
      <c r="O109" s="288" t="n"/>
      <c r="P109" s="291" t="n"/>
      <c r="Q109" s="292">
        <f>$F109*$H109</f>
        <v/>
      </c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45625</v>
      </c>
      <c r="C110" s="286" t="n">
        <v>55</v>
      </c>
      <c r="D110" s="287" t="inlineStr">
        <is>
          <t>MUTRI | Penambahan modal biaya kerja 3rd</t>
        </is>
      </c>
      <c r="E110" s="288" t="inlineStr">
        <is>
          <t>BRI</t>
        </is>
      </c>
      <c r="F110" s="289" t="n">
        <v>75000000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1" t="n"/>
      <c r="M110" s="288" t="n"/>
      <c r="N110" s="291" t="n"/>
      <c r="O110" s="288" t="n"/>
      <c r="P110" s="291" t="n"/>
      <c r="Q110" s="292">
        <f>$F110*$H110</f>
        <v/>
      </c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Laundry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45355</v>
      </c>
      <c r="C119" s="286" t="n">
        <v>59</v>
      </c>
      <c r="D119" s="287" t="inlineStr">
        <is>
          <t>Laundry 27 days 1 Persons @ 50K IDR/day</t>
        </is>
      </c>
      <c r="E119" s="288" t="inlineStr">
        <is>
          <t>-</t>
        </is>
      </c>
      <c r="F119" s="289" t="n">
        <v>1350000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.5" customHeight="1">
      <c r="B120" s="299" t="n"/>
      <c r="C120" s="299" t="n"/>
      <c r="D120" s="282" t="inlineStr">
        <is>
          <t>Meal</t>
        </is>
      </c>
      <c r="E120" s="299" t="n"/>
      <c r="F120" s="299" t="n"/>
      <c r="G120" s="299" t="n"/>
      <c r="H120" s="299" t="n"/>
      <c r="I120" s="299" t="n"/>
      <c r="J120" s="300" t="n"/>
      <c r="K120" s="299" t="n"/>
      <c r="L120" s="300" t="n"/>
      <c r="M120" s="299" t="n"/>
      <c r="N120" s="300" t="n"/>
      <c r="O120" s="299" t="n"/>
      <c r="P120" s="300" t="n"/>
      <c r="Q120" s="300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45355</v>
      </c>
      <c r="C121" s="286" t="n">
        <v>60</v>
      </c>
      <c r="D121" s="287" t="inlineStr">
        <is>
          <t>Meal Crew's Operational</t>
        </is>
      </c>
      <c r="E121" s="288" t="inlineStr">
        <is>
          <t>-</t>
        </is>
      </c>
      <c r="F121" s="289" t="n">
        <v>1966300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2">
        <f>$F121*$H121</f>
        <v/>
      </c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61</v>
      </c>
      <c r="D122" s="287" t="inlineStr">
        <is>
          <t>Meals 27 days 1 Persons @ 150K IDR/day</t>
        </is>
      </c>
      <c r="E122" s="288" t="inlineStr">
        <is>
          <t>-</t>
        </is>
      </c>
      <c r="F122" s="289" t="n">
        <v>4050000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2">
        <f>$F122*$H122</f>
        <v/>
      </c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.5" customHeight="1">
      <c r="B123" s="299" t="n"/>
      <c r="C123" s="299" t="n"/>
      <c r="D123" s="282" t="inlineStr">
        <is>
          <t>Transportation</t>
        </is>
      </c>
      <c r="E123" s="299" t="n"/>
      <c r="F123" s="299" t="n"/>
      <c r="G123" s="299" t="n"/>
      <c r="H123" s="299" t="n"/>
      <c r="I123" s="299" t="n"/>
      <c r="J123" s="300" t="n"/>
      <c r="K123" s="299" t="n"/>
      <c r="L123" s="300" t="n"/>
      <c r="M123" s="299" t="n"/>
      <c r="N123" s="300" t="n"/>
      <c r="O123" s="299" t="n"/>
      <c r="P123" s="300" t="n"/>
      <c r="Q123" s="300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45329</v>
      </c>
      <c r="C124" s="286" t="n">
        <v>62</v>
      </c>
      <c r="D124" s="287" t="inlineStr">
        <is>
          <t>Airplane Ticket CGK-PLM</t>
        </is>
      </c>
      <c r="E124" s="288" t="inlineStr">
        <is>
          <t>-</t>
        </is>
      </c>
      <c r="F124" s="289" t="n">
        <v>1608000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2">
        <f>$F124*$H124</f>
        <v/>
      </c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45329</v>
      </c>
      <c r="C125" s="286" t="n">
        <v>63</v>
      </c>
      <c r="D125" s="287" t="inlineStr">
        <is>
          <t>Taxi Bintaro-CGK</t>
        </is>
      </c>
      <c r="E125" s="288" t="inlineStr">
        <is>
          <t>-</t>
        </is>
      </c>
      <c r="F125" s="289" t="n">
        <v>250000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45330</v>
      </c>
      <c r="C126" s="286" t="n">
        <v>64</v>
      </c>
      <c r="D126" s="287" t="inlineStr">
        <is>
          <t>Rental Mobil Pajero 1 Hari</t>
        </is>
      </c>
      <c r="E126" s="288" t="inlineStr">
        <is>
          <t>-</t>
        </is>
      </c>
      <c r="F126" s="289" t="n">
        <v>900000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45330</v>
      </c>
      <c r="C127" s="286" t="n">
        <v>65</v>
      </c>
      <c r="D127" s="287" t="inlineStr">
        <is>
          <t>Rental Mobil Pajero Sebulan</t>
        </is>
      </c>
      <c r="E127" s="288" t="inlineStr">
        <is>
          <t>-</t>
        </is>
      </c>
      <c r="F127" s="289" t="n">
        <v>18000000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9">
        <f>$F127*$H127</f>
        <v/>
      </c>
      <c r="M127" s="288" t="n"/>
      <c r="N127" s="288" t="n"/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45355</v>
      </c>
      <c r="C128" s="286" t="n">
        <v>66</v>
      </c>
      <c r="D128" s="287" t="inlineStr">
        <is>
          <t>Airplane Ticket PLM-CGK</t>
        </is>
      </c>
      <c r="E128" s="288" t="inlineStr">
        <is>
          <t>-</t>
        </is>
      </c>
      <c r="F128" s="301" t="n">
        <v>1119500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9">
        <f>$F128*$H128</f>
        <v/>
      </c>
      <c r="M128" s="288" t="n"/>
      <c r="N128" s="288" t="n"/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45355</v>
      </c>
      <c r="C129" s="286" t="n">
        <v>67</v>
      </c>
      <c r="D129" s="287" t="inlineStr">
        <is>
          <t>Taxi CGK-Bintaro</t>
        </is>
      </c>
      <c r="E129" s="288" t="inlineStr">
        <is>
          <t>-</t>
        </is>
      </c>
      <c r="F129" s="301" t="n">
        <v>250000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9">
        <f>$F129*$H129</f>
        <v/>
      </c>
      <c r="M129" s="288" t="n"/>
      <c r="N129" s="288" t="n"/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45355</v>
      </c>
      <c r="C130" s="286" t="n">
        <v>68</v>
      </c>
      <c r="D130" s="287" t="inlineStr">
        <is>
          <t>Fuel</t>
        </is>
      </c>
      <c r="E130" s="288" t="inlineStr">
        <is>
          <t>-</t>
        </is>
      </c>
      <c r="F130" s="301" t="n">
        <v>1498484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9">
        <f>$F130*$H130</f>
        <v/>
      </c>
      <c r="M130" s="288" t="n"/>
      <c r="N130" s="288" t="n"/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45355</v>
      </c>
      <c r="C131" s="286" t="n">
        <v>69</v>
      </c>
      <c r="D131" s="287" t="inlineStr">
        <is>
          <t>Toll Fee</t>
        </is>
      </c>
      <c r="E131" s="288" t="inlineStr">
        <is>
          <t>-</t>
        </is>
      </c>
      <c r="F131" s="301" t="n">
        <v>378000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9">
        <f>$F131*$H131</f>
        <v/>
      </c>
      <c r="M131" s="288" t="n"/>
      <c r="N131" s="288" t="n"/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.5" customHeight="1">
      <c r="B132" s="299" t="n"/>
      <c r="C132" s="299" t="n"/>
      <c r="D132" s="282" t="inlineStr">
        <is>
          <t>Hand Tools</t>
        </is>
      </c>
      <c r="E132" s="299" t="n"/>
      <c r="F132" s="302" t="n"/>
      <c r="G132" s="299" t="n"/>
      <c r="H132" s="299" t="n"/>
      <c r="I132" s="299" t="n"/>
      <c r="J132" s="299" t="n"/>
      <c r="K132" s="299" t="n"/>
      <c r="L132" s="299" t="n"/>
      <c r="M132" s="299" t="n"/>
      <c r="N132" s="299" t="n"/>
      <c r="O132" s="299" t="n"/>
      <c r="P132" s="299" t="n"/>
      <c r="Q132" s="299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70</v>
      </c>
      <c r="D133" s="287" t="inlineStr">
        <is>
          <t>Gloves</t>
        </is>
      </c>
      <c r="E133" s="288" t="inlineStr">
        <is>
          <t>-</t>
        </is>
      </c>
      <c r="F133" s="301" t="n">
        <v>58500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8" t="n"/>
      <c r="M133" s="288" t="n"/>
      <c r="N133" s="289">
        <f>$F133*$H133</f>
        <v/>
      </c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45341</v>
      </c>
      <c r="C134" s="286" t="n">
        <v>71</v>
      </c>
      <c r="D134" s="287" t="inlineStr">
        <is>
          <t>Steker</t>
        </is>
      </c>
      <c r="E134" s="288" t="inlineStr">
        <is>
          <t>-</t>
        </is>
      </c>
      <c r="F134" s="301" t="n">
        <v>14000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8" t="n"/>
      <c r="M134" s="288" t="n"/>
      <c r="N134" s="289">
        <f>$F134*$H134</f>
        <v/>
      </c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45344</v>
      </c>
      <c r="C135" s="286" t="n">
        <v>72</v>
      </c>
      <c r="D135" s="287" t="inlineStr">
        <is>
          <t>Gloves</t>
        </is>
      </c>
      <c r="E135" s="288" t="inlineStr">
        <is>
          <t>-</t>
        </is>
      </c>
      <c r="F135" s="301" t="n">
        <v>65000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8" t="n"/>
      <c r="M135" s="288" t="n"/>
      <c r="N135" s="289">
        <f>$F135*$H135</f>
        <v/>
      </c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.5" customHeight="1">
      <c r="B136" s="299" t="n"/>
      <c r="C136" s="299" t="n"/>
      <c r="D136" s="282" t="inlineStr">
        <is>
          <t>Sparepart</t>
        </is>
      </c>
      <c r="E136" s="299" t="n"/>
      <c r="F136" s="302" t="n"/>
      <c r="G136" s="299" t="n"/>
      <c r="H136" s="299" t="n"/>
      <c r="I136" s="299" t="n"/>
      <c r="J136" s="299" t="n"/>
      <c r="K136" s="299" t="n"/>
      <c r="L136" s="299" t="n"/>
      <c r="M136" s="299" t="n"/>
      <c r="N136" s="299" t="n"/>
      <c r="O136" s="299" t="n"/>
      <c r="P136" s="299" t="n"/>
      <c r="Q136" s="299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45341</v>
      </c>
      <c r="C137" s="286" t="n">
        <v>73</v>
      </c>
      <c r="D137" s="287" t="inlineStr">
        <is>
          <t>Battery A3</t>
        </is>
      </c>
      <c r="E137" s="288" t="inlineStr">
        <is>
          <t>-</t>
        </is>
      </c>
      <c r="F137" s="301" t="n">
        <v>82100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8" t="n"/>
      <c r="M137" s="288" t="n"/>
      <c r="N137" s="289">
        <f>$F137*$H137</f>
        <v/>
      </c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45347</v>
      </c>
      <c r="C138" s="286" t="n">
        <v>74</v>
      </c>
      <c r="D138" s="287" t="inlineStr">
        <is>
          <t>White Marker</t>
        </is>
      </c>
      <c r="E138" s="288" t="inlineStr">
        <is>
          <t>-</t>
        </is>
      </c>
      <c r="F138" s="301" t="n">
        <v>19000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8" t="n"/>
      <c r="M138" s="288" t="n"/>
      <c r="N138" s="289">
        <f>$F138*$H138</f>
        <v/>
      </c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45350</v>
      </c>
      <c r="C139" s="286" t="n">
        <v>75</v>
      </c>
      <c r="D139" s="287" t="inlineStr">
        <is>
          <t>Internet Data</t>
        </is>
      </c>
      <c r="E139" s="288" t="inlineStr">
        <is>
          <t>-</t>
        </is>
      </c>
      <c r="F139" s="301" t="n">
        <v>87000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8" t="n"/>
      <c r="M139" s="288" t="n"/>
      <c r="N139" s="289">
        <f>$F139*$H139</f>
        <v/>
      </c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Laundry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45358</v>
      </c>
      <c r="C142" s="286" t="n">
        <v>76</v>
      </c>
      <c r="D142" s="287" t="inlineStr">
        <is>
          <t>Laundry 30 days 1 Persons @ 50K IDR/day</t>
        </is>
      </c>
      <c r="E142" s="288" t="inlineStr">
        <is>
          <t>-</t>
        </is>
      </c>
      <c r="F142" s="301" t="n">
        <v>1500000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9">
        <f>$F142*$H142</f>
        <v/>
      </c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Meal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Meals 30 days 1 Persons @ 150K IDR/day</t>
        </is>
      </c>
      <c r="E144" s="288" t="inlineStr">
        <is>
          <t>-</t>
        </is>
      </c>
      <c r="F144" s="301" t="n">
        <v>4500000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Transportation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45329</v>
      </c>
      <c r="C146" s="286" t="n">
        <v>78</v>
      </c>
      <c r="D146" s="287" t="inlineStr">
        <is>
          <t>Taxi Pondok Cabe-CGK</t>
        </is>
      </c>
      <c r="E146" s="288" t="inlineStr">
        <is>
          <t>-</t>
        </is>
      </c>
      <c r="F146" s="301" t="n">
        <v>250000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9">
        <f>$F146*$H146</f>
        <v/>
      </c>
      <c r="M146" s="288" t="n"/>
      <c r="N146" s="288" t="n"/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45355</v>
      </c>
      <c r="C147" s="286" t="n">
        <v>79</v>
      </c>
      <c r="D147" s="287" t="inlineStr">
        <is>
          <t>Fuel</t>
        </is>
      </c>
      <c r="E147" s="288" t="inlineStr">
        <is>
          <t>-</t>
        </is>
      </c>
      <c r="F147" s="301" t="n">
        <v>200000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9">
        <f>$F147*$H147</f>
        <v/>
      </c>
      <c r="M147" s="288" t="n"/>
      <c r="N147" s="288" t="n"/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45357</v>
      </c>
      <c r="C148" s="286" t="n">
        <v>80</v>
      </c>
      <c r="D148" s="287" t="inlineStr">
        <is>
          <t>Airplane Ticket PLM-CGK</t>
        </is>
      </c>
      <c r="E148" s="288" t="inlineStr">
        <is>
          <t>-</t>
        </is>
      </c>
      <c r="F148" s="301" t="n">
        <v>1000106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" customHeight="1">
      <c r="B149" s="285" t="n">
        <v>45358</v>
      </c>
      <c r="C149" s="286" t="n">
        <v>81</v>
      </c>
      <c r="D149" s="287" t="inlineStr">
        <is>
          <t>Taxi CGK-Pondok Cabe</t>
        </is>
      </c>
      <c r="E149" s="288" t="inlineStr">
        <is>
          <t>-</t>
        </is>
      </c>
      <c r="F149" s="301" t="n">
        <v>250000</v>
      </c>
      <c r="G149" s="286" t="inlineStr">
        <is>
          <t>IDR</t>
        </is>
      </c>
      <c r="H149" s="290" t="n">
        <v>1</v>
      </c>
      <c r="I149" s="288" t="n"/>
      <c r="J149" s="288" t="n"/>
      <c r="K149" s="288" t="n"/>
      <c r="L149" s="289">
        <f>$F149*$H149</f>
        <v/>
      </c>
      <c r="M149" s="288" t="n"/>
      <c r="N149" s="288" t="n"/>
      <c r="O149" s="288" t="n"/>
      <c r="P149" s="288" t="n"/>
      <c r="Q149" s="288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45358</v>
      </c>
      <c r="C150" s="286" t="n">
        <v>82</v>
      </c>
      <c r="D150" s="287" t="inlineStr">
        <is>
          <t>Toll Fee</t>
        </is>
      </c>
      <c r="E150" s="288" t="inlineStr">
        <is>
          <t>-</t>
        </is>
      </c>
      <c r="F150" s="301" t="n">
        <v>105000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9">
        <f>$F150*$H150</f>
        <v/>
      </c>
      <c r="M150" s="288" t="n"/>
      <c r="N150" s="288" t="n"/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" customHeight="1">
      <c r="B151" s="285" t="n">
        <v>45358</v>
      </c>
      <c r="C151" s="286" t="n">
        <v>83</v>
      </c>
      <c r="D151" s="287" t="inlineStr">
        <is>
          <t>Tunjangan Lapangan (Training) untuk 27 days</t>
        </is>
      </c>
      <c r="E151" s="288" t="inlineStr">
        <is>
          <t>-</t>
        </is>
      </c>
      <c r="F151" s="301" t="n">
        <v>750</v>
      </c>
      <c r="G151" s="286" t="inlineStr">
        <is>
          <t>USD</t>
        </is>
      </c>
      <c r="H151" s="290" t="n">
        <v>15607</v>
      </c>
      <c r="I151" s="288" t="n"/>
      <c r="J151" s="288" t="n"/>
      <c r="K151" s="288" t="n"/>
      <c r="L151" s="289">
        <f>$F151*$H151</f>
        <v/>
      </c>
      <c r="M151" s="288" t="n"/>
      <c r="N151" s="288" t="n"/>
      <c r="O151" s="288" t="n"/>
      <c r="P151" s="288" t="n"/>
      <c r="Q151" s="288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.5" customHeight="1">
      <c r="B152" s="299" t="n"/>
      <c r="C152" s="299" t="n"/>
      <c r="D152" s="282" t="inlineStr">
        <is>
          <t>Hand Tools</t>
        </is>
      </c>
      <c r="E152" s="299" t="n"/>
      <c r="F152" s="302" t="n"/>
      <c r="G152" s="299" t="n"/>
      <c r="H152" s="299" t="n"/>
      <c r="I152" s="299" t="n"/>
      <c r="J152" s="299" t="n"/>
      <c r="K152" s="299" t="n"/>
      <c r="L152" s="299" t="n"/>
      <c r="M152" s="299" t="n"/>
      <c r="N152" s="299" t="n"/>
      <c r="O152" s="299" t="n"/>
      <c r="P152" s="299" t="n"/>
      <c r="Q152" s="299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45324</v>
      </c>
      <c r="C153" s="286" t="n">
        <v>84</v>
      </c>
      <c r="D153" s="287" t="inlineStr">
        <is>
          <t>Safety Shoes</t>
        </is>
      </c>
      <c r="E153" s="288" t="inlineStr">
        <is>
          <t>-</t>
        </is>
      </c>
      <c r="F153" s="301" t="n">
        <v>499940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8" t="n"/>
      <c r="M153" s="288" t="n"/>
      <c r="N153" s="289">
        <f>$F153*$H153</f>
        <v/>
      </c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.5" customHeight="1">
      <c r="B154" s="299" t="n"/>
      <c r="C154" s="299" t="n"/>
      <c r="D154" s="282" t="inlineStr">
        <is>
          <t>Logistic</t>
        </is>
      </c>
      <c r="E154" s="299" t="n"/>
      <c r="F154" s="302" t="n"/>
      <c r="G154" s="299" t="n"/>
      <c r="H154" s="299" t="n"/>
      <c r="I154" s="299" t="n"/>
      <c r="J154" s="299" t="n"/>
      <c r="K154" s="299" t="n"/>
      <c r="L154" s="299" t="n"/>
      <c r="M154" s="299" t="n"/>
      <c r="N154" s="299" t="n"/>
      <c r="O154" s="299" t="n"/>
      <c r="P154" s="299" t="n"/>
      <c r="Q154" s="299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85</v>
      </c>
      <c r="D155" s="287" t="inlineStr">
        <is>
          <t>Extra Baggage</t>
        </is>
      </c>
      <c r="E155" s="288" t="inlineStr">
        <is>
          <t>-</t>
        </is>
      </c>
      <c r="F155" s="289" t="n">
        <v>540000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8" t="n"/>
      <c r="M155" s="288" t="n"/>
      <c r="N155" s="289">
        <f>$F155*$H155</f>
        <v/>
      </c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.5" customHeight="1">
      <c r="B156" s="299" t="n"/>
      <c r="C156" s="299" t="n"/>
      <c r="D156" s="282" t="inlineStr">
        <is>
          <t>Sparepart</t>
        </is>
      </c>
      <c r="E156" s="299" t="n"/>
      <c r="F156" s="302" t="n"/>
      <c r="G156" s="299" t="n"/>
      <c r="H156" s="299" t="n"/>
      <c r="I156" s="299" t="n"/>
      <c r="J156" s="299" t="n"/>
      <c r="K156" s="299" t="n"/>
      <c r="L156" s="299" t="n"/>
      <c r="M156" s="299" t="n"/>
      <c r="N156" s="299" t="n"/>
      <c r="O156" s="299" t="n"/>
      <c r="P156" s="299" t="n"/>
      <c r="Q156" s="299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45354</v>
      </c>
      <c r="C157" s="286" t="n">
        <v>86</v>
      </c>
      <c r="D157" s="287" t="inlineStr">
        <is>
          <t>Internet Data</t>
        </is>
      </c>
      <c r="E157" s="288" t="inlineStr">
        <is>
          <t>-</t>
        </is>
      </c>
      <c r="F157" s="301" t="n">
        <v>70000</v>
      </c>
      <c r="G157" s="286" t="inlineStr">
        <is>
          <t>IDR</t>
        </is>
      </c>
      <c r="H157" s="290" t="n">
        <v>1</v>
      </c>
      <c r="I157" s="288" t="n"/>
      <c r="J157" s="288" t="n"/>
      <c r="K157" s="288" t="n"/>
      <c r="L157" s="288" t="n"/>
      <c r="M157" s="288" t="n"/>
      <c r="N157" s="289">
        <f>$F157*$H157</f>
        <v/>
      </c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Laundry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45407</v>
      </c>
      <c r="C244" s="286" t="n">
        <v>137</v>
      </c>
      <c r="D244" s="287" t="inlineStr">
        <is>
          <t>Laundry 7 days 1 Persons @ 50K IDR/day</t>
        </is>
      </c>
      <c r="E244" s="288" t="inlineStr">
        <is>
          <t>-</t>
        </is>
      </c>
      <c r="F244" s="292" t="n">
        <v>350000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Meal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Meals 7 days 1 Persons @ 150K IDR/day</t>
        </is>
      </c>
      <c r="E246" s="288" t="inlineStr">
        <is>
          <t>-</t>
        </is>
      </c>
      <c r="F246" s="292" t="n">
        <v>1050000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Hand Tools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45401</v>
      </c>
      <c r="C248" s="286" t="n">
        <v>139</v>
      </c>
      <c r="D248" s="287" t="inlineStr">
        <is>
          <t>Tekiro Kunci L, Tekiro Tang, Obeng Set</t>
        </is>
      </c>
      <c r="E248" s="288" t="inlineStr">
        <is>
          <t>-</t>
        </is>
      </c>
      <c r="F248" s="289" t="n">
        <v>349000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8" t="n"/>
      <c r="M248" s="288" t="n"/>
      <c r="N248" s="289">
        <f>$F248*$H248</f>
        <v/>
      </c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Laundry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45437</v>
      </c>
      <c r="C287" s="286" t="n">
        <v>157</v>
      </c>
      <c r="D287" s="287" t="inlineStr">
        <is>
          <t>Laundry (25 - 30 May 2024)</t>
        </is>
      </c>
      <c r="E287" s="288" t="inlineStr">
        <is>
          <t>-</t>
        </is>
      </c>
      <c r="F287" s="301" t="n">
        <v>300000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9">
        <f>$F287*$H287</f>
        <v/>
      </c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Meal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Uang Makan (25 - 30 May 2024)</t>
        </is>
      </c>
      <c r="E289" s="288" t="inlineStr">
        <is>
          <t>-</t>
        </is>
      </c>
      <c r="F289" s="301" t="n">
        <v>900000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Transportation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Taxi + Tol to Airport Jakarta</t>
        </is>
      </c>
      <c r="E291" s="288" t="inlineStr">
        <is>
          <t>-</t>
        </is>
      </c>
      <c r="F291" s="301" t="n">
        <v>232520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9">
        <f>$F291*$H291</f>
        <v/>
      </c>
      <c r="M291" s="288" t="n"/>
      <c r="N291" s="288" t="n"/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45437</v>
      </c>
      <c r="C292" s="286" t="n">
        <v>160</v>
      </c>
      <c r="D292" s="287" t="inlineStr">
        <is>
          <t>fuel + tol PLM-Prabu</t>
        </is>
      </c>
      <c r="E292" s="288" t="inlineStr">
        <is>
          <t>-</t>
        </is>
      </c>
      <c r="F292" s="301" t="n">
        <v>312000</v>
      </c>
      <c r="G292" s="286" t="inlineStr">
        <is>
          <t>IDR</t>
        </is>
      </c>
      <c r="H292" s="290" t="n">
        <v>1</v>
      </c>
      <c r="I292" s="288" t="n"/>
      <c r="J292" s="288" t="n"/>
      <c r="K292" s="288" t="n"/>
      <c r="L292" s="289">
        <f>$F292*$H292</f>
        <v/>
      </c>
      <c r="M292" s="288" t="n"/>
      <c r="N292" s="288" t="n"/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.5" customHeight="1">
      <c r="B293" s="299" t="n"/>
      <c r="C293" s="299" t="n"/>
      <c r="D293" s="282" t="inlineStr">
        <is>
          <t>Hand Tools</t>
        </is>
      </c>
      <c r="E293" s="299" t="n"/>
      <c r="F293" s="299" t="n"/>
      <c r="G293" s="299" t="n"/>
      <c r="H293" s="299" t="n"/>
      <c r="I293" s="299" t="n"/>
      <c r="J293" s="299" t="n"/>
      <c r="K293" s="299" t="n"/>
      <c r="L293" s="299" t="n"/>
      <c r="M293" s="299" t="n"/>
      <c r="N293" s="299" t="n"/>
      <c r="O293" s="299" t="n"/>
      <c r="P293" s="299" t="n"/>
      <c r="Q293" s="299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45439</v>
      </c>
      <c r="C294" s="286" t="n">
        <v>161</v>
      </c>
      <c r="D294" s="287" t="inlineStr">
        <is>
          <t>Hand gloves</t>
        </is>
      </c>
      <c r="E294" s="288" t="inlineStr">
        <is>
          <t>-</t>
        </is>
      </c>
      <c r="F294" s="301" t="n">
        <v>21900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8" t="n"/>
      <c r="M294" s="288" t="n"/>
      <c r="N294" s="289">
        <f>$F294*$H294</f>
        <v/>
      </c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.5" customHeight="1">
      <c r="B295" s="299" t="n"/>
      <c r="C295" s="299" t="n"/>
      <c r="D295" s="282" t="inlineStr">
        <is>
          <t>Logistic</t>
        </is>
      </c>
      <c r="E295" s="299" t="n"/>
      <c r="F295" s="302" t="n"/>
      <c r="G295" s="299" t="n"/>
      <c r="H295" s="299" t="n"/>
      <c r="I295" s="299" t="n"/>
      <c r="J295" s="299" t="n"/>
      <c r="K295" s="299" t="n"/>
      <c r="L295" s="299" t="n"/>
      <c r="M295" s="299" t="n"/>
      <c r="N295" s="299" t="n"/>
      <c r="O295" s="299" t="n"/>
      <c r="P295" s="299" t="n"/>
      <c r="Q295" s="299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45437</v>
      </c>
      <c r="C296" s="286" t="n">
        <v>162</v>
      </c>
      <c r="D296" s="287" t="inlineStr">
        <is>
          <t>Wrapping Alfa Box</t>
        </is>
      </c>
      <c r="E296" s="288" t="inlineStr">
        <is>
          <t>-</t>
        </is>
      </c>
      <c r="F296" s="301" t="n">
        <v>80000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8" t="n"/>
      <c r="M296" s="288" t="n"/>
      <c r="N296" s="289">
        <f>$F296*$H296</f>
        <v/>
      </c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.5" customHeight="1">
      <c r="B297" s="299" t="n"/>
      <c r="C297" s="299" t="n"/>
      <c r="D297" s="282" t="inlineStr">
        <is>
          <t>Sparepart</t>
        </is>
      </c>
      <c r="E297" s="299" t="n"/>
      <c r="F297" s="302" t="n"/>
      <c r="G297" s="299" t="n"/>
      <c r="H297" s="299" t="n"/>
      <c r="I297" s="299" t="n"/>
      <c r="J297" s="299" t="n"/>
      <c r="K297" s="299" t="n"/>
      <c r="L297" s="299" t="n"/>
      <c r="M297" s="299" t="n"/>
      <c r="N297" s="299" t="n"/>
      <c r="O297" s="299" t="n"/>
      <c r="P297" s="299" t="n"/>
      <c r="Q297" s="299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45443</v>
      </c>
      <c r="C298" s="286" t="n">
        <v>163</v>
      </c>
      <c r="D298" s="287" t="inlineStr">
        <is>
          <t>Allen key, pliers, screwdrivers</t>
        </is>
      </c>
      <c r="E298" s="288" t="inlineStr">
        <is>
          <t>-</t>
        </is>
      </c>
      <c r="F298" s="289" t="n">
        <v>268000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8" t="n"/>
      <c r="M298" s="288" t="n"/>
      <c r="N298" s="289">
        <f>$F298*$H298</f>
        <v/>
      </c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Laundry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Laundry 4 days 1 Persons @ 50K IDR/day</t>
        </is>
      </c>
      <c r="E334" s="288" t="inlineStr">
        <is>
          <t>-</t>
        </is>
      </c>
      <c r="F334" s="301" t="n">
        <v>200000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Meal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Meals 4 days 1 Persons @ 150K IDR/day</t>
        </is>
      </c>
      <c r="E336" s="288" t="inlineStr">
        <is>
          <t>-</t>
        </is>
      </c>
      <c r="F336" s="301" t="n">
        <v>600000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Transportation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Airplane Ticket CGK-PLM</t>
        </is>
      </c>
      <c r="E338" s="288" t="inlineStr">
        <is>
          <t>-</t>
        </is>
      </c>
      <c r="F338" s="301" t="n">
        <v>995500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" customHeight="1">
      <c r="B339" s="285" t="n">
        <v>45428</v>
      </c>
      <c r="C339" s="286" t="n">
        <v>186</v>
      </c>
      <c r="D339" s="287" t="inlineStr">
        <is>
          <t>Taxi Pondok Cabe-CGK</t>
        </is>
      </c>
      <c r="E339" s="288" t="inlineStr">
        <is>
          <t>-</t>
        </is>
      </c>
      <c r="F339" s="301" t="n">
        <v>273500</v>
      </c>
      <c r="G339" s="286" t="inlineStr">
        <is>
          <t>IDR</t>
        </is>
      </c>
      <c r="H339" s="290" t="n">
        <v>1</v>
      </c>
      <c r="I339" s="288" t="n"/>
      <c r="J339" s="288" t="n"/>
      <c r="K339" s="288" t="n"/>
      <c r="L339" s="289">
        <f>$F339*$H339</f>
        <v/>
      </c>
      <c r="M339" s="288" t="n"/>
      <c r="N339" s="288" t="n"/>
      <c r="O339" s="288" t="n"/>
      <c r="P339" s="288" t="n"/>
      <c r="Q339" s="288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187</v>
      </c>
      <c r="D340" s="287" t="inlineStr">
        <is>
          <t>Toll Prabumulih (PP)</t>
        </is>
      </c>
      <c r="E340" s="288" t="inlineStr">
        <is>
          <t>-</t>
        </is>
      </c>
      <c r="F340" s="301" t="n">
        <v>224000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188</v>
      </c>
      <c r="D341" s="287" t="inlineStr">
        <is>
          <t>Gasoline</t>
        </is>
      </c>
      <c r="E341" s="288" t="inlineStr">
        <is>
          <t>-</t>
        </is>
      </c>
      <c r="F341" s="301" t="n">
        <v>330000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189</v>
      </c>
      <c r="D342" s="287" t="inlineStr">
        <is>
          <t>Taxi HLP-Pondok Cabe (inc Toll+Parking)</t>
        </is>
      </c>
      <c r="E342" s="288" t="inlineStr">
        <is>
          <t>-</t>
        </is>
      </c>
      <c r="F342" s="301" t="n">
        <v>270000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190</v>
      </c>
      <c r="D343" s="287" t="inlineStr">
        <is>
          <t>Airplane Ticket PLM-HLP</t>
        </is>
      </c>
      <c r="E343" s="288" t="inlineStr">
        <is>
          <t>-</t>
        </is>
      </c>
      <c r="F343" s="289" t="n">
        <v>1004000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.5" customHeight="1">
      <c r="B344" s="299" t="n"/>
      <c r="C344" s="299" t="n"/>
      <c r="D344" s="282" t="inlineStr">
        <is>
          <t>Elektronik &amp; Gadget</t>
        </is>
      </c>
      <c r="E344" s="299" t="n"/>
      <c r="F344" s="300" t="n"/>
      <c r="G344" s="299" t="n"/>
      <c r="H344" s="299" t="n"/>
      <c r="I344" s="299" t="n"/>
      <c r="J344" s="299" t="n"/>
      <c r="K344" s="299" t="n"/>
      <c r="L344" s="299" t="n"/>
      <c r="M344" s="299" t="n"/>
      <c r="N344" s="299" t="n"/>
      <c r="O344" s="299" t="n"/>
      <c r="P344" s="299" t="n"/>
      <c r="Q344" s="299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Uneed Power Station</t>
        </is>
      </c>
      <c r="E345" s="288" t="inlineStr">
        <is>
          <t>-</t>
        </is>
      </c>
      <c r="F345" s="292" t="n">
        <v>2371000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8" t="n"/>
      <c r="M345" s="288" t="n"/>
      <c r="N345" s="289">
        <f>$F345*$H345</f>
        <v/>
      </c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Transportation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45478</v>
      </c>
      <c r="C348" s="286" t="n">
        <v>192</v>
      </c>
      <c r="D348" s="287" t="inlineStr">
        <is>
          <t>Lalamove Gowell-Bogor-Gowell</t>
        </is>
      </c>
      <c r="E348" s="288" t="inlineStr">
        <is>
          <t>-</t>
        </is>
      </c>
      <c r="F348" s="292" t="n">
        <v>594804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.5" customHeight="1">
      <c r="B349" s="299" t="n"/>
      <c r="C349" s="299" t="n"/>
      <c r="D349" s="282" t="inlineStr">
        <is>
          <t>Sparepart</t>
        </is>
      </c>
      <c r="E349" s="299" t="n"/>
      <c r="F349" s="299" t="n"/>
      <c r="G349" s="299" t="n"/>
      <c r="H349" s="299" t="n"/>
      <c r="I349" s="299" t="n"/>
      <c r="J349" s="299" t="n"/>
      <c r="K349" s="299" t="n"/>
      <c r="L349" s="299" t="n"/>
      <c r="M349" s="299" t="n"/>
      <c r="N349" s="299" t="n"/>
      <c r="O349" s="299" t="n"/>
      <c r="P349" s="299" t="n"/>
      <c r="Q349" s="299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45483</v>
      </c>
      <c r="C350" s="286" t="n">
        <v>193</v>
      </c>
      <c r="D350" s="287" t="inlineStr">
        <is>
          <t>Pin Punch</t>
        </is>
      </c>
      <c r="E350" s="288" t="inlineStr">
        <is>
          <t>-</t>
        </is>
      </c>
      <c r="F350" s="292" t="n">
        <v>381960</v>
      </c>
      <c r="G350" s="286" t="inlineStr">
        <is>
          <t>IDR</t>
        </is>
      </c>
      <c r="H350" s="290" t="n">
        <v>1</v>
      </c>
      <c r="I350" s="288" t="n"/>
      <c r="J350" s="288" t="n"/>
      <c r="K350" s="288" t="n"/>
      <c r="L350" s="288" t="n"/>
      <c r="M350" s="288" t="n"/>
      <c r="N350" s="289">
        <f>$F350*$H350</f>
        <v/>
      </c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45483</v>
      </c>
      <c r="C351" s="286" t="n">
        <v>194</v>
      </c>
      <c r="D351" s="287" t="inlineStr">
        <is>
          <t>Hardcase Custom</t>
        </is>
      </c>
      <c r="E351" s="288" t="inlineStr">
        <is>
          <t>-</t>
        </is>
      </c>
      <c r="F351" s="292" t="n">
        <v>3595000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8" t="n"/>
      <c r="M351" s="288" t="n"/>
      <c r="N351" s="289">
        <f>$F351*$H351</f>
        <v/>
      </c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Transportation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45481</v>
      </c>
      <c r="C357" s="286" t="n">
        <v>197</v>
      </c>
      <c r="D357" s="287" t="inlineStr">
        <is>
          <t>Airplane Ticket CGK-KLIA</t>
        </is>
      </c>
      <c r="E357" s="288" t="inlineStr">
        <is>
          <t>-</t>
        </is>
      </c>
      <c r="F357" s="292" t="n">
        <v>4912100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9">
        <f>$F357*$H357</f>
        <v/>
      </c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45481</v>
      </c>
      <c r="C358" s="286" t="n">
        <v>198</v>
      </c>
      <c r="D358" s="287" t="inlineStr">
        <is>
          <t>Taxi Home - CGK</t>
        </is>
      </c>
      <c r="E358" s="288" t="inlineStr">
        <is>
          <t>-</t>
        </is>
      </c>
      <c r="F358" s="292" t="n">
        <v>250000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45481</v>
      </c>
      <c r="C359" s="286" t="n">
        <v>199</v>
      </c>
      <c r="D359" s="287" t="inlineStr">
        <is>
          <t>Taxi KLIA - Hotel</t>
        </is>
      </c>
      <c r="E359" s="288" t="inlineStr">
        <is>
          <t>-</t>
        </is>
      </c>
      <c r="F359" s="292" t="n">
        <v>72</v>
      </c>
      <c r="G359" s="286" t="inlineStr">
        <is>
          <t>MYR</t>
        </is>
      </c>
      <c r="H359" s="290" t="n">
        <v>3462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45482</v>
      </c>
      <c r="C360" s="286" t="n">
        <v>200</v>
      </c>
      <c r="D360" s="287" t="inlineStr">
        <is>
          <t>Taxi Hyperseal - Hotel</t>
        </is>
      </c>
      <c r="E360" s="288" t="inlineStr">
        <is>
          <t>-</t>
        </is>
      </c>
      <c r="F360" s="292" t="n">
        <v>8</v>
      </c>
      <c r="G360" s="286" t="inlineStr">
        <is>
          <t>MYR</t>
        </is>
      </c>
      <c r="H360" s="290" t="n">
        <v>3462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45482</v>
      </c>
      <c r="C361" s="286" t="n">
        <v>201</v>
      </c>
      <c r="D361" s="287" t="inlineStr">
        <is>
          <t>Taxi Hotel - KLIA</t>
        </is>
      </c>
      <c r="E361" s="288" t="inlineStr">
        <is>
          <t>-</t>
        </is>
      </c>
      <c r="F361" s="292" t="n">
        <v>82.03</v>
      </c>
      <c r="G361" s="286" t="inlineStr">
        <is>
          <t>MYR</t>
        </is>
      </c>
      <c r="H361" s="290" t="n">
        <v>3462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45482</v>
      </c>
      <c r="C362" s="286" t="n">
        <v>202</v>
      </c>
      <c r="D362" s="287" t="inlineStr">
        <is>
          <t>Taxi CGK - Home</t>
        </is>
      </c>
      <c r="E362" s="288" t="inlineStr">
        <is>
          <t>-</t>
        </is>
      </c>
      <c r="F362" s="292" t="n">
        <v>259120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.5" customHeight="1">
      <c r="B363" s="299" t="n"/>
      <c r="C363" s="299" t="n"/>
      <c r="D363" s="282" t="inlineStr">
        <is>
          <t>Elektronik &amp; Gadget</t>
        </is>
      </c>
      <c r="E363" s="299" t="n"/>
      <c r="F363" s="300" t="n"/>
      <c r="G363" s="299" t="n"/>
      <c r="H363" s="299" t="n"/>
      <c r="I363" s="299" t="n"/>
      <c r="J363" s="299" t="n"/>
      <c r="K363" s="299" t="n"/>
      <c r="L363" s="299" t="n"/>
      <c r="M363" s="299" t="n"/>
      <c r="N363" s="299" t="n"/>
      <c r="O363" s="299" t="n"/>
      <c r="P363" s="299" t="n"/>
      <c r="Q363" s="299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45483</v>
      </c>
      <c r="C364" s="286" t="n">
        <v>203</v>
      </c>
      <c r="D364" s="287" t="inlineStr">
        <is>
          <t>Asus Slate 13 (tablet asus)</t>
        </is>
      </c>
      <c r="E364" s="288" t="inlineStr">
        <is>
          <t>-</t>
        </is>
      </c>
      <c r="F364" s="292" t="n">
        <v>9778400</v>
      </c>
      <c r="G364" s="286" t="inlineStr">
        <is>
          <t>IDR</t>
        </is>
      </c>
      <c r="H364" s="290" t="n">
        <v>1</v>
      </c>
      <c r="I364" s="288" t="n"/>
      <c r="J364" s="288" t="n"/>
      <c r="K364" s="288" t="n"/>
      <c r="L364" s="288" t="n"/>
      <c r="M364" s="288" t="n"/>
      <c r="N364" s="289">
        <f>$F364*$H364</f>
        <v/>
      </c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45483</v>
      </c>
      <c r="C365" s="286" t="n">
        <v>204</v>
      </c>
      <c r="D365" s="287" t="inlineStr">
        <is>
          <t>OTG Type C</t>
        </is>
      </c>
      <c r="E365" s="288" t="inlineStr">
        <is>
          <t>-</t>
        </is>
      </c>
      <c r="F365" s="292" t="n">
        <v>163100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8" t="n"/>
      <c r="M365" s="288" t="n"/>
      <c r="N365" s="289">
        <f>$F365*$H365</f>
        <v/>
      </c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Laundry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45500</v>
      </c>
      <c r="C381" s="286" t="n">
        <v>213</v>
      </c>
      <c r="D381" s="287" t="inlineStr">
        <is>
          <t>Laundry (21 - 27 Juli 2024)</t>
        </is>
      </c>
      <c r="E381" s="288" t="inlineStr">
        <is>
          <t>-</t>
        </is>
      </c>
      <c r="F381" s="292" t="n">
        <v>350000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9">
        <f>$F381*$H381</f>
        <v/>
      </c>
      <c r="M381" s="288" t="n"/>
      <c r="N381" s="288" t="n"/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Meal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Uang Makan (21 - 27 Juli 2024)</t>
        </is>
      </c>
      <c r="E383" s="288" t="inlineStr">
        <is>
          <t>-</t>
        </is>
      </c>
      <c r="F383" s="301" t="n">
        <v>1050000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Transportation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45494</v>
      </c>
      <c r="C385" s="286" t="n">
        <v>215</v>
      </c>
      <c r="D385" s="287" t="inlineStr">
        <is>
          <t>Taxi + Tol to Airport Jakarta</t>
        </is>
      </c>
      <c r="E385" s="288" t="inlineStr">
        <is>
          <t>-</t>
        </is>
      </c>
      <c r="F385" s="301" t="n">
        <v>225520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" customHeight="1">
      <c r="B386" s="285" t="n">
        <v>45494</v>
      </c>
      <c r="C386" s="286" t="n">
        <v>216</v>
      </c>
      <c r="D386" s="287" t="inlineStr">
        <is>
          <t>fuel + tol PLM-Prabu</t>
        </is>
      </c>
      <c r="E386" s="288" t="inlineStr">
        <is>
          <t>-</t>
        </is>
      </c>
      <c r="F386" s="301" t="n">
        <v>292060</v>
      </c>
      <c r="G386" s="286" t="inlineStr">
        <is>
          <t>IDR</t>
        </is>
      </c>
      <c r="H386" s="290" t="n">
        <v>1</v>
      </c>
      <c r="I386" s="288" t="n"/>
      <c r="J386" s="288" t="n"/>
      <c r="K386" s="288" t="n"/>
      <c r="L386" s="289">
        <f>$F386*$H386</f>
        <v/>
      </c>
      <c r="M386" s="288" t="n"/>
      <c r="N386" s="288" t="n"/>
      <c r="O386" s="288" t="n"/>
      <c r="P386" s="288" t="n"/>
      <c r="Q386" s="288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45497</v>
      </c>
      <c r="C387" s="286" t="n">
        <v>217</v>
      </c>
      <c r="D387" s="287" t="inlineStr">
        <is>
          <t>fuel</t>
        </is>
      </c>
      <c r="E387" s="288" t="inlineStr">
        <is>
          <t>-</t>
        </is>
      </c>
      <c r="F387" s="301" t="n">
        <v>190430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45500</v>
      </c>
      <c r="C388" s="286" t="n">
        <v>218</v>
      </c>
      <c r="D388" s="287" t="inlineStr">
        <is>
          <t>Palembang - Jakarta + Extra Bagage</t>
        </is>
      </c>
      <c r="E388" s="288" t="inlineStr">
        <is>
          <t>-</t>
        </is>
      </c>
      <c r="F388" s="301" t="n">
        <v>1175717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45500</v>
      </c>
      <c r="C389" s="286" t="n">
        <v>219</v>
      </c>
      <c r="D389" s="287" t="inlineStr">
        <is>
          <t>Tol Prabu - PLM + Fuel</t>
        </is>
      </c>
      <c r="E389" s="288" t="inlineStr">
        <is>
          <t>-</t>
        </is>
      </c>
      <c r="F389" s="301" t="n">
        <v>262000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45500</v>
      </c>
      <c r="C390" s="286" t="n">
        <v>220</v>
      </c>
      <c r="D390" s="287" t="inlineStr">
        <is>
          <t>Tol + Taxi From Airport Jakarta</t>
        </is>
      </c>
      <c r="E390" s="288" t="inlineStr">
        <is>
          <t>-</t>
        </is>
      </c>
      <c r="F390" s="301" t="n">
        <v>235000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45500</v>
      </c>
      <c r="C391" s="286" t="n">
        <v>221</v>
      </c>
      <c r="D391" s="287" t="inlineStr">
        <is>
          <t>Car rental 21 - 27 Jul 2024</t>
        </is>
      </c>
      <c r="E391" s="288" t="inlineStr">
        <is>
          <t>-</t>
        </is>
      </c>
      <c r="F391" s="301" t="n">
        <v>3500000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Hand Tools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45495</v>
      </c>
      <c r="C393" s="286" t="n">
        <v>222</v>
      </c>
      <c r="D393" s="287" t="inlineStr">
        <is>
          <t>Rags - Gloves</t>
        </is>
      </c>
      <c r="E393" s="288" t="inlineStr">
        <is>
          <t>-</t>
        </is>
      </c>
      <c r="F393" s="301" t="n">
        <v>70000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8" t="n"/>
      <c r="M393" s="288" t="n"/>
      <c r="N393" s="289">
        <f>$F393*$H393</f>
        <v/>
      </c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.5" customHeight="1">
      <c r="B394" s="299" t="n"/>
      <c r="C394" s="299" t="n"/>
      <c r="D394" s="282" t="inlineStr">
        <is>
          <t>Sparepart</t>
        </is>
      </c>
      <c r="E394" s="299" t="n"/>
      <c r="F394" s="302" t="n"/>
      <c r="G394" s="299" t="n"/>
      <c r="H394" s="299" t="n"/>
      <c r="I394" s="299" t="n"/>
      <c r="J394" s="299" t="n"/>
      <c r="K394" s="299" t="n"/>
      <c r="L394" s="299" t="n"/>
      <c r="M394" s="299" t="n"/>
      <c r="N394" s="299" t="n"/>
      <c r="O394" s="299" t="n"/>
      <c r="P394" s="299" t="n"/>
      <c r="Q394" s="299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45498</v>
      </c>
      <c r="C395" s="286" t="n">
        <v>223</v>
      </c>
      <c r="D395" s="287" t="inlineStr">
        <is>
          <t>Snacks</t>
        </is>
      </c>
      <c r="E395" s="288" t="inlineStr">
        <is>
          <t>-</t>
        </is>
      </c>
      <c r="F395" s="301" t="n">
        <v>195000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8" t="n"/>
      <c r="M395" s="288" t="n"/>
      <c r="N395" s="289">
        <f>$F395*$H395</f>
        <v/>
      </c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45498</v>
      </c>
      <c r="C396" s="286" t="n">
        <v>224</v>
      </c>
      <c r="D396" s="287" t="inlineStr">
        <is>
          <t>Battery for DTR (Spare)</t>
        </is>
      </c>
      <c r="E396" s="288" t="inlineStr">
        <is>
          <t>-</t>
        </is>
      </c>
      <c r="F396" s="301" t="n">
        <v>38900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8" t="n"/>
      <c r="M396" s="288" t="n"/>
      <c r="N396" s="289">
        <f>$F396*$H396</f>
        <v/>
      </c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Meal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45476</v>
      </c>
      <c r="C434" s="286" t="n">
        <v>244</v>
      </c>
      <c r="D434" s="287" t="inlineStr">
        <is>
          <t>Coffe drink visit to MEPI Jakarta ( Bondan)</t>
        </is>
      </c>
      <c r="E434" s="288" t="inlineStr">
        <is>
          <t>-</t>
        </is>
      </c>
      <c r="F434" s="292" t="n">
        <v>144100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9">
        <f>$F434*$H434</f>
        <v/>
      </c>
      <c r="M434" s="288" t="n"/>
      <c r="N434" s="288" t="n"/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45477</v>
      </c>
      <c r="C435" s="286" t="n">
        <v>245</v>
      </c>
      <c r="D435" s="287" t="inlineStr">
        <is>
          <t>Meal lunch when inspect Sample tool</t>
        </is>
      </c>
      <c r="E435" s="288" t="inlineStr">
        <is>
          <t>-</t>
        </is>
      </c>
      <c r="F435" s="292" t="n">
        <v>157000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45484</v>
      </c>
      <c r="C436" s="286" t="n">
        <v>246</v>
      </c>
      <c r="D436" s="287" t="inlineStr">
        <is>
          <t>Meal lunch when visit to Lemigas (Sample Botol)</t>
        </is>
      </c>
      <c r="E436" s="288" t="inlineStr">
        <is>
          <t>-</t>
        </is>
      </c>
      <c r="F436" s="292" t="n">
        <v>81000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.5" customHeight="1">
      <c r="B437" s="299" t="n"/>
      <c r="C437" s="299" t="n"/>
      <c r="D437" s="282" t="inlineStr">
        <is>
          <t>Transportation</t>
        </is>
      </c>
      <c r="E437" s="299" t="n"/>
      <c r="F437" s="300" t="n"/>
      <c r="G437" s="299" t="n"/>
      <c r="H437" s="299" t="n"/>
      <c r="I437" s="299" t="n"/>
      <c r="J437" s="299" t="n"/>
      <c r="K437" s="299" t="n"/>
      <c r="L437" s="299" t="n"/>
      <c r="M437" s="299" t="n"/>
      <c r="N437" s="299" t="n"/>
      <c r="O437" s="299" t="n"/>
      <c r="P437" s="299" t="n"/>
      <c r="Q437" s="299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45110</v>
      </c>
      <c r="C438" s="286" t="n">
        <v>247</v>
      </c>
      <c r="D438" s="287" t="inlineStr">
        <is>
          <t>Pengiriman dokumen ke Rachmansyah-Sijak</t>
        </is>
      </c>
      <c r="E438" s="288" t="inlineStr">
        <is>
          <t>-</t>
        </is>
      </c>
      <c r="F438" s="289" t="n">
        <v>106000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45484</v>
      </c>
      <c r="C439" s="286" t="n">
        <v>248</v>
      </c>
      <c r="D439" s="287" t="inlineStr">
        <is>
          <t>Fuel ( trip ambil tool Sampler and to Andara )</t>
        </is>
      </c>
      <c r="E439" s="288" t="inlineStr">
        <is>
          <t>-</t>
        </is>
      </c>
      <c r="F439" s="292" t="n">
        <v>164100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45484</v>
      </c>
      <c r="C440" s="286" t="n">
        <v>249</v>
      </c>
      <c r="D440" s="287" t="inlineStr">
        <is>
          <t>Fuel ( trip ke Lemigas and Workshop sampler)</t>
        </is>
      </c>
      <c r="E440" s="288" t="inlineStr">
        <is>
          <t>-</t>
        </is>
      </c>
      <c r="F440" s="292" t="n">
        <v>291000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45490</v>
      </c>
      <c r="C441" s="286" t="n">
        <v>250</v>
      </c>
      <c r="D441" s="287" t="inlineStr">
        <is>
          <t>Fuel ( trip ke Lemigas and Workshop sampler)</t>
        </is>
      </c>
      <c r="E441" s="288" t="inlineStr">
        <is>
          <t>-</t>
        </is>
      </c>
      <c r="F441" s="292" t="n">
        <v>177350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45498</v>
      </c>
      <c r="C442" s="286" t="n">
        <v>251</v>
      </c>
      <c r="D442" s="287" t="inlineStr">
        <is>
          <t>Fuel ( trip ke Barekin Bogor, inspeksi tool)</t>
        </is>
      </c>
      <c r="E442" s="288" t="inlineStr">
        <is>
          <t>-</t>
        </is>
      </c>
      <c r="F442" s="292" t="n">
        <v>319700</v>
      </c>
      <c r="G442" s="286" t="inlineStr">
        <is>
          <t>IDR</t>
        </is>
      </c>
      <c r="H442" s="290" t="n">
        <v>1</v>
      </c>
      <c r="I442" s="288" t="n"/>
      <c r="J442" s="288" t="n"/>
      <c r="K442" s="288" t="n"/>
      <c r="L442" s="289">
        <f>$F442*$H442</f>
        <v/>
      </c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45501</v>
      </c>
      <c r="C443" s="286" t="n">
        <v>252</v>
      </c>
      <c r="D443" s="287" t="inlineStr">
        <is>
          <t>Fuel trip ke Glodok buy Hydralic pump assesories</t>
        </is>
      </c>
      <c r="E443" s="288" t="inlineStr">
        <is>
          <t>-</t>
        </is>
      </c>
      <c r="F443" s="292" t="n">
        <v>217350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9">
        <f>$F443*$H443</f>
        <v/>
      </c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.5" customHeight="1">
      <c r="B444" s="299" t="n"/>
      <c r="C444" s="299" t="n"/>
      <c r="D444" s="282" t="inlineStr">
        <is>
          <t>Elektronik &amp; Gadget</t>
        </is>
      </c>
      <c r="E444" s="299" t="n"/>
      <c r="F444" s="300" t="n"/>
      <c r="G444" s="299" t="n"/>
      <c r="H444" s="299" t="n"/>
      <c r="I444" s="299" t="n"/>
      <c r="J444" s="299" t="n"/>
      <c r="K444" s="299" t="n"/>
      <c r="L444" s="299" t="n"/>
      <c r="M444" s="299" t="n"/>
      <c r="N444" s="299" t="n"/>
      <c r="O444" s="299" t="n"/>
      <c r="P444" s="299" t="n"/>
      <c r="Q444" s="299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45499</v>
      </c>
      <c r="C445" s="286" t="n">
        <v>253</v>
      </c>
      <c r="D445" s="287" t="inlineStr">
        <is>
          <t>buy Adapter</t>
        </is>
      </c>
      <c r="E445" s="288" t="inlineStr">
        <is>
          <t>-</t>
        </is>
      </c>
      <c r="F445" s="292" t="n">
        <v>20000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9">
        <f>$F445*$H445</f>
        <v/>
      </c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.5" customHeight="1">
      <c r="B446" s="299" t="n"/>
      <c r="C446" s="299" t="n"/>
      <c r="D446" s="282" t="inlineStr">
        <is>
          <t>Hand Tools</t>
        </is>
      </c>
      <c r="E446" s="299" t="n"/>
      <c r="F446" s="300" t="n"/>
      <c r="G446" s="299" t="n"/>
      <c r="H446" s="299" t="n"/>
      <c r="I446" s="299" t="n"/>
      <c r="J446" s="299" t="n"/>
      <c r="K446" s="299" t="n"/>
      <c r="L446" s="299" t="n"/>
      <c r="M446" s="299" t="n"/>
      <c r="N446" s="299" t="n"/>
      <c r="O446" s="299" t="n"/>
      <c r="P446" s="299" t="n"/>
      <c r="Q446" s="299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45497</v>
      </c>
      <c r="C447" s="286" t="n">
        <v>254</v>
      </c>
      <c r="D447" s="287" t="inlineStr">
        <is>
          <t>Buy Tang Bnegkok (Tekiro)</t>
        </is>
      </c>
      <c r="E447" s="288" t="inlineStr">
        <is>
          <t>-</t>
        </is>
      </c>
      <c r="F447" s="292" t="n">
        <v>75000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9">
        <f>$F447*$H447</f>
        <v/>
      </c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45501</v>
      </c>
      <c r="C448" s="286" t="n">
        <v>255</v>
      </c>
      <c r="D448" s="287" t="inlineStr">
        <is>
          <t>Buy Case for tools box dan hydraulic pump</t>
        </is>
      </c>
      <c r="E448" s="288" t="inlineStr">
        <is>
          <t>-</t>
        </is>
      </c>
      <c r="F448" s="292" t="n">
        <v>2636800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9">
        <f>$F448*$H448</f>
        <v/>
      </c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.5" customHeight="1">
      <c r="B449" s="299" t="n"/>
      <c r="C449" s="299" t="n"/>
      <c r="D449" s="282" t="inlineStr">
        <is>
          <t>Sparepart</t>
        </is>
      </c>
      <c r="E449" s="299" t="n"/>
      <c r="F449" s="300" t="n"/>
      <c r="G449" s="299" t="n"/>
      <c r="H449" s="299" t="n"/>
      <c r="I449" s="299" t="n"/>
      <c r="J449" s="299" t="n"/>
      <c r="K449" s="299" t="n"/>
      <c r="L449" s="299" t="n"/>
      <c r="M449" s="299" t="n"/>
      <c r="N449" s="299" t="n"/>
      <c r="O449" s="299" t="n"/>
      <c r="P449" s="299" t="n"/>
      <c r="Q449" s="299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" customHeight="1">
      <c r="B450" s="285" t="n">
        <v>45498</v>
      </c>
      <c r="C450" s="286" t="n">
        <v>256</v>
      </c>
      <c r="D450" s="287" t="inlineStr">
        <is>
          <t>Buy Hose 1/4"</t>
        </is>
      </c>
      <c r="E450" s="288" t="inlineStr">
        <is>
          <t>-</t>
        </is>
      </c>
      <c r="F450" s="292" t="n">
        <v>133000</v>
      </c>
      <c r="G450" s="286" t="inlineStr">
        <is>
          <t>IDR</t>
        </is>
      </c>
      <c r="H450" s="290" t="n">
        <v>1</v>
      </c>
      <c r="I450" s="288" t="n"/>
      <c r="J450" s="288" t="n"/>
      <c r="K450" s="288" t="n"/>
      <c r="L450" s="288" t="n"/>
      <c r="M450" s="288" t="n"/>
      <c r="N450" s="289">
        <f>$F450*$H450</f>
        <v/>
      </c>
      <c r="O450" s="288" t="n"/>
      <c r="P450" s="288" t="n"/>
      <c r="Q450" s="288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Needle Neple</t>
        </is>
      </c>
      <c r="E451" s="288" t="inlineStr">
        <is>
          <t>-</t>
        </is>
      </c>
      <c r="F451" s="292" t="n">
        <v>700000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45500</v>
      </c>
      <c r="C452" s="286" t="n">
        <v>258</v>
      </c>
      <c r="D452" s="287" t="inlineStr">
        <is>
          <t>Buy Hose 1/4"</t>
        </is>
      </c>
      <c r="E452" s="288" t="inlineStr">
        <is>
          <t>-</t>
        </is>
      </c>
      <c r="F452" s="292" t="n">
        <v>155000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Needle Neple</t>
        </is>
      </c>
      <c r="E453" s="288" t="inlineStr">
        <is>
          <t>-</t>
        </is>
      </c>
      <c r="F453" s="292" t="n">
        <v>660000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Connection 1/4"</t>
        </is>
      </c>
      <c r="E454" s="288" t="inlineStr">
        <is>
          <t>-</t>
        </is>
      </c>
      <c r="F454" s="292" t="n">
        <v>1760000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.5" customHeight="1">
      <c r="B455" s="299" t="n"/>
      <c r="C455" s="299" t="n"/>
      <c r="D455" s="282" t="inlineStr">
        <is>
          <t>Medical</t>
        </is>
      </c>
      <c r="E455" s="299" t="n"/>
      <c r="F455" s="300" t="n"/>
      <c r="G455" s="299" t="n"/>
      <c r="H455" s="299" t="n"/>
      <c r="I455" s="299" t="n"/>
      <c r="J455" s="299" t="n"/>
      <c r="K455" s="299" t="n"/>
      <c r="L455" s="299" t="n"/>
      <c r="M455" s="299" t="n"/>
      <c r="N455" s="299" t="n"/>
      <c r="O455" s="299" t="n"/>
      <c r="P455" s="299" t="n"/>
      <c r="Q455" s="299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45474</v>
      </c>
      <c r="C456" s="286" t="n">
        <v>261</v>
      </c>
      <c r="D456" s="287" t="inlineStr">
        <is>
          <t>Biaya MCU di RSPP</t>
        </is>
      </c>
      <c r="E456" s="288" t="inlineStr">
        <is>
          <t>-</t>
        </is>
      </c>
      <c r="F456" s="292" t="n">
        <v>5630000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8" t="n"/>
      <c r="M456" s="288" t="n"/>
      <c r="N456" s="288" t="n"/>
      <c r="O456" s="288" t="n"/>
      <c r="P456" s="289">
        <f>$F456*$H456</f>
        <v/>
      </c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45476</v>
      </c>
      <c r="C457" s="286" t="n">
        <v>262</v>
      </c>
      <c r="D457" s="287" t="inlineStr">
        <is>
          <t>Biaya Konsul Dokter Jantung</t>
        </is>
      </c>
      <c r="E457" s="288" t="inlineStr">
        <is>
          <t>-</t>
        </is>
      </c>
      <c r="F457" s="292" t="n">
        <v>460000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8" t="n"/>
      <c r="M457" s="288" t="n"/>
      <c r="N457" s="288" t="n"/>
      <c r="O457" s="288" t="n"/>
      <c r="P457" s="289">
        <f>$F457*$H457</f>
        <v/>
      </c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45476</v>
      </c>
      <c r="C458" s="286" t="n">
        <v>263</v>
      </c>
      <c r="D458" s="287" t="inlineStr">
        <is>
          <t>Biaya Echo_ kardio non Invasif</t>
        </is>
      </c>
      <c r="E458" s="288" t="inlineStr">
        <is>
          <t>-</t>
        </is>
      </c>
      <c r="F458" s="292" t="n">
        <v>2108000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8" t="n"/>
      <c r="M458" s="288" t="n"/>
      <c r="N458" s="288" t="n"/>
      <c r="O458" s="288" t="n"/>
      <c r="P458" s="289">
        <f>$F458*$H458</f>
        <v/>
      </c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45482</v>
      </c>
      <c r="C459" s="286" t="n">
        <v>264</v>
      </c>
      <c r="D459" s="287" t="inlineStr">
        <is>
          <t>Fisioterapi 1st</t>
        </is>
      </c>
      <c r="E459" s="288" t="inlineStr">
        <is>
          <t>-</t>
        </is>
      </c>
      <c r="F459" s="292" t="n">
        <v>285000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8" t="n"/>
      <c r="M459" s="288" t="n"/>
      <c r="N459" s="288" t="n"/>
      <c r="O459" s="288" t="n"/>
      <c r="P459" s="289">
        <f>$F459*$H459</f>
        <v/>
      </c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45483</v>
      </c>
      <c r="C460" s="286" t="n">
        <v>265</v>
      </c>
      <c r="D460" s="287" t="inlineStr">
        <is>
          <t>Biaya Obat Candesartan</t>
        </is>
      </c>
      <c r="E460" s="288" t="inlineStr">
        <is>
          <t>-</t>
        </is>
      </c>
      <c r="F460" s="292" t="n">
        <v>149850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8" t="n"/>
      <c r="M460" s="288" t="n"/>
      <c r="N460" s="288" t="n"/>
      <c r="O460" s="288" t="n"/>
      <c r="P460" s="289">
        <f>$F460*$H460</f>
        <v/>
      </c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45483</v>
      </c>
      <c r="C461" s="286" t="n">
        <v>266</v>
      </c>
      <c r="D461" s="287" t="inlineStr">
        <is>
          <t>Fisioterapi 2nd</t>
        </is>
      </c>
      <c r="E461" s="288" t="inlineStr">
        <is>
          <t>-</t>
        </is>
      </c>
      <c r="F461" s="292" t="n">
        <v>285000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8" t="n"/>
      <c r="M461" s="288" t="n"/>
      <c r="N461" s="288" t="n"/>
      <c r="O461" s="288" t="n"/>
      <c r="P461" s="289">
        <f>$F461*$H461</f>
        <v/>
      </c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45484</v>
      </c>
      <c r="C462" s="286" t="n">
        <v>267</v>
      </c>
      <c r="D462" s="287" t="inlineStr">
        <is>
          <t>Fisioterapi 3rd</t>
        </is>
      </c>
      <c r="E462" s="288" t="inlineStr">
        <is>
          <t>-</t>
        </is>
      </c>
      <c r="F462" s="292" t="n">
        <v>285000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8" t="n"/>
      <c r="M462" s="288" t="n"/>
      <c r="N462" s="288" t="n"/>
      <c r="O462" s="288" t="n"/>
      <c r="P462" s="289">
        <f>$F462*$H462</f>
        <v/>
      </c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Transportation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Toll (Jkt Blora - PP)</t>
        </is>
      </c>
      <c r="E486" s="288" t="inlineStr">
        <is>
          <t>-</t>
        </is>
      </c>
      <c r="F486" s="292" t="n">
        <v>483000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9">
        <f>$F486*$H486</f>
        <v/>
      </c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45511</v>
      </c>
      <c r="C487" s="286" t="n">
        <v>285</v>
      </c>
      <c r="D487" s="287" t="inlineStr">
        <is>
          <t>Rental car (include Fuel ) 10 days, @Rp1.100.000</t>
        </is>
      </c>
      <c r="E487" s="288" t="inlineStr">
        <is>
          <t>-</t>
        </is>
      </c>
      <c r="F487" s="292" t="n">
        <v>11000000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45511</v>
      </c>
      <c r="C488" s="286" t="n">
        <v>286</v>
      </c>
      <c r="D488" s="287" t="inlineStr">
        <is>
          <t>Toll (Gubug - Jakarta)</t>
        </is>
      </c>
      <c r="E488" s="288" t="inlineStr">
        <is>
          <t>-</t>
        </is>
      </c>
      <c r="F488" s="292" t="n">
        <v>496000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.5" customHeight="1">
      <c r="B489" s="299" t="n"/>
      <c r="C489" s="299" t="n"/>
      <c r="D489" s="282" t="inlineStr">
        <is>
          <t>Sparepart</t>
        </is>
      </c>
      <c r="E489" s="299" t="n"/>
      <c r="F489" s="300" t="n"/>
      <c r="G489" s="299" t="n"/>
      <c r="H489" s="299" t="n"/>
      <c r="I489" s="299" t="n"/>
      <c r="J489" s="299" t="n"/>
      <c r="K489" s="299" t="n"/>
      <c r="L489" s="299" t="n"/>
      <c r="M489" s="299" t="n"/>
      <c r="N489" s="299" t="n"/>
      <c r="O489" s="299" t="n"/>
      <c r="P489" s="299" t="n"/>
      <c r="Q489" s="299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45505</v>
      </c>
      <c r="C490" s="286" t="n">
        <v>287</v>
      </c>
      <c r="D490" s="287" t="inlineStr">
        <is>
          <t>Buy WD 40</t>
        </is>
      </c>
      <c r="E490" s="288" t="inlineStr">
        <is>
          <t>-</t>
        </is>
      </c>
      <c r="F490" s="292" t="n">
        <v>65000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45509</v>
      </c>
      <c r="C491" s="286" t="n">
        <v>288</v>
      </c>
      <c r="D491" s="287" t="inlineStr">
        <is>
          <t>Buy connection T dan nipple</t>
        </is>
      </c>
      <c r="E491" s="288" t="inlineStr">
        <is>
          <t>-</t>
        </is>
      </c>
      <c r="F491" s="289" t="n">
        <v>72500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45509</v>
      </c>
      <c r="C492" s="286" t="n">
        <v>289</v>
      </c>
      <c r="D492" s="287" t="inlineStr">
        <is>
          <t>Buy Quick connection</t>
        </is>
      </c>
      <c r="E492" s="288" t="inlineStr">
        <is>
          <t>-</t>
        </is>
      </c>
      <c r="F492" s="301" t="n">
        <v>400000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8" t="n"/>
      <c r="M492" s="288" t="n"/>
      <c r="N492" s="289">
        <f>$F492*$H492</f>
        <v/>
      </c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45510</v>
      </c>
      <c r="C493" s="286" t="n">
        <v>290</v>
      </c>
      <c r="D493" s="287" t="inlineStr">
        <is>
          <t>Buy Paint nippon</t>
        </is>
      </c>
      <c r="E493" s="288" t="inlineStr">
        <is>
          <t>-</t>
        </is>
      </c>
      <c r="F493" s="301" t="n">
        <v>60000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8" t="n"/>
      <c r="M493" s="288" t="n"/>
      <c r="N493" s="289">
        <f>$F493*$H493</f>
        <v/>
      </c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.5" customHeight="1">
      <c r="B494" s="299" t="n"/>
      <c r="C494" s="299" t="n"/>
      <c r="D494" s="282" t="inlineStr">
        <is>
          <t>Medical</t>
        </is>
      </c>
      <c r="E494" s="299" t="n"/>
      <c r="F494" s="302" t="n"/>
      <c r="G494" s="299" t="n"/>
      <c r="H494" s="299" t="n"/>
      <c r="I494" s="299" t="n"/>
      <c r="J494" s="299" t="n"/>
      <c r="K494" s="299" t="n"/>
      <c r="L494" s="299" t="n"/>
      <c r="M494" s="299" t="n"/>
      <c r="N494" s="299" t="n"/>
      <c r="O494" s="299" t="n"/>
      <c r="P494" s="299" t="n"/>
      <c r="Q494" s="299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45502</v>
      </c>
      <c r="C495" s="286" t="n">
        <v>291</v>
      </c>
      <c r="D495" s="287" t="inlineStr">
        <is>
          <t>buy Zirolic</t>
        </is>
      </c>
      <c r="E495" s="288" t="inlineStr">
        <is>
          <t>-</t>
        </is>
      </c>
      <c r="F495" s="301" t="n">
        <v>34200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8" t="n"/>
      <c r="M495" s="288" t="n"/>
      <c r="N495" s="288" t="n"/>
      <c r="O495" s="288" t="n"/>
      <c r="P495" s="289">
        <f>$F495*$H495</f>
        <v/>
      </c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Transportation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Lalamove Base to Barikin</t>
        </is>
      </c>
      <c r="E507" s="288" t="inlineStr">
        <is>
          <t>-</t>
        </is>
      </c>
      <c r="F507" s="292" t="n">
        <v>276500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9">
        <f>$F507*$H507</f>
        <v/>
      </c>
      <c r="M507" s="288" t="n"/>
      <c r="N507" s="288" t="n"/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45499</v>
      </c>
      <c r="C508" s="286" t="n">
        <v>298</v>
      </c>
      <c r="D508" s="287" t="inlineStr">
        <is>
          <t>Lalamove Pak Subi to Base</t>
        </is>
      </c>
      <c r="E508" s="288" t="inlineStr">
        <is>
          <t>-</t>
        </is>
      </c>
      <c r="F508" s="292" t="n">
        <v>63568</v>
      </c>
      <c r="G508" s="286" t="inlineStr">
        <is>
          <t>IDR</t>
        </is>
      </c>
      <c r="H508" s="290" t="n">
        <v>1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45517</v>
      </c>
      <c r="C509" s="286" t="n">
        <v>299</v>
      </c>
      <c r="D509" s="287" t="inlineStr">
        <is>
          <t>Lalamove Barikin to Base</t>
        </is>
      </c>
      <c r="E509" s="288" t="inlineStr">
        <is>
          <t>-</t>
        </is>
      </c>
      <c r="F509" s="292" t="n">
        <v>161885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.5" customHeight="1">
      <c r="B510" s="299" t="n"/>
      <c r="C510" s="299" t="n"/>
      <c r="D510" s="282" t="inlineStr">
        <is>
          <t>Sparepart</t>
        </is>
      </c>
      <c r="E510" s="299" t="n"/>
      <c r="F510" s="300" t="n"/>
      <c r="G510" s="299" t="n"/>
      <c r="H510" s="299" t="n"/>
      <c r="I510" s="299" t="n"/>
      <c r="J510" s="299" t="n"/>
      <c r="K510" s="299" t="n"/>
      <c r="L510" s="299" t="n"/>
      <c r="M510" s="299" t="n"/>
      <c r="N510" s="299" t="n"/>
      <c r="O510" s="299" t="n"/>
      <c r="P510" s="299" t="n"/>
      <c r="Q510" s="299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45499</v>
      </c>
      <c r="C511" s="286" t="n">
        <v>300</v>
      </c>
      <c r="D511" s="287" t="inlineStr">
        <is>
          <t>TOP 1 High Temp Grease</t>
        </is>
      </c>
      <c r="E511" s="288" t="inlineStr">
        <is>
          <t>-</t>
        </is>
      </c>
      <c r="F511" s="292" t="n">
        <v>144900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8" t="n"/>
      <c r="M511" s="288" t="n"/>
      <c r="N511" s="289">
        <f>$F511*$H511</f>
        <v/>
      </c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Transportation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45520</v>
      </c>
      <c r="C619" s="286" t="n">
        <v>372</v>
      </c>
      <c r="D619" s="287" t="inlineStr">
        <is>
          <t>Pengiriman dokumen ke Yulia - LBU</t>
        </is>
      </c>
      <c r="E619" s="288" t="inlineStr">
        <is>
          <t>-</t>
        </is>
      </c>
      <c r="F619" s="292" t="n">
        <v>18000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45537</v>
      </c>
      <c r="C620" s="286" t="n">
        <v>373</v>
      </c>
      <c r="D620" s="287" t="inlineStr">
        <is>
          <t>Pengiriman dokumen ke Yufitri</t>
        </is>
      </c>
      <c r="E620" s="288" t="inlineStr">
        <is>
          <t>-</t>
        </is>
      </c>
      <c r="F620" s="292" t="n">
        <v>10000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45537</v>
      </c>
      <c r="C621" s="286" t="n">
        <v>374</v>
      </c>
      <c r="D621" s="287" t="inlineStr">
        <is>
          <t>Pengiriman dokumen ke Rachmansyah-Sijak</t>
        </is>
      </c>
      <c r="E621" s="288" t="inlineStr">
        <is>
          <t>-</t>
        </is>
      </c>
      <c r="F621" s="292" t="n">
        <v>18000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.5" customHeight="1">
      <c r="B622" s="299" t="n"/>
      <c r="C622" s="299" t="n"/>
      <c r="D622" s="282" t="inlineStr">
        <is>
          <t>Medical</t>
        </is>
      </c>
      <c r="E622" s="299" t="n"/>
      <c r="F622" s="300" t="n"/>
      <c r="G622" s="299" t="n"/>
      <c r="H622" s="299" t="n"/>
      <c r="I622" s="299" t="n"/>
      <c r="J622" s="299" t="n"/>
      <c r="K622" s="299" t="n"/>
      <c r="L622" s="299" t="n"/>
      <c r="M622" s="299" t="n"/>
      <c r="N622" s="299" t="n"/>
      <c r="O622" s="299" t="n"/>
      <c r="P622" s="299" t="n"/>
      <c r="Q622" s="299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45528</v>
      </c>
      <c r="C623" s="286" t="n">
        <v>375</v>
      </c>
      <c r="D623" s="287" t="inlineStr">
        <is>
          <t>Medicine</t>
        </is>
      </c>
      <c r="E623" s="288" t="inlineStr">
        <is>
          <t>-</t>
        </is>
      </c>
      <c r="F623" s="292" t="n">
        <v>36000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45530</v>
      </c>
      <c r="C624" s="286" t="n">
        <v>376</v>
      </c>
      <c r="D624" s="287" t="inlineStr">
        <is>
          <t>Biaya Konsul Dokter Penyakit dalam</t>
        </is>
      </c>
      <c r="E624" s="288" t="inlineStr">
        <is>
          <t>-</t>
        </is>
      </c>
      <c r="F624" s="292" t="n">
        <v>854100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45532</v>
      </c>
      <c r="C625" s="286" t="n">
        <v>377</v>
      </c>
      <c r="D625" s="287" t="inlineStr">
        <is>
          <t>Fisioterapi 1st</t>
        </is>
      </c>
      <c r="E625" s="288" t="inlineStr">
        <is>
          <t>-</t>
        </is>
      </c>
      <c r="F625" s="292" t="n">
        <v>285000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45533</v>
      </c>
      <c r="C626" s="286" t="n">
        <v>378</v>
      </c>
      <c r="D626" s="287" t="inlineStr">
        <is>
          <t>Fisioterapi 2nd</t>
        </is>
      </c>
      <c r="E626" s="288" t="inlineStr">
        <is>
          <t>-</t>
        </is>
      </c>
      <c r="F626" s="292" t="n">
        <v>285000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45534</v>
      </c>
      <c r="C627" s="286" t="n">
        <v>379</v>
      </c>
      <c r="D627" s="287" t="inlineStr">
        <is>
          <t>Fisioterapi 3rd</t>
        </is>
      </c>
      <c r="E627" s="288" t="inlineStr">
        <is>
          <t>-</t>
        </is>
      </c>
      <c r="F627" s="289" t="n">
        <v>285000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45536</v>
      </c>
      <c r="C628" s="286" t="n">
        <v>380</v>
      </c>
      <c r="D628" s="287" t="inlineStr">
        <is>
          <t>medicine</t>
        </is>
      </c>
      <c r="E628" s="288" t="inlineStr">
        <is>
          <t>-</t>
        </is>
      </c>
      <c r="F628" s="292" t="n">
        <v>45000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8" t="n"/>
      <c r="M628" s="288" t="n"/>
      <c r="N628" s="288" t="n"/>
      <c r="O628" s="288" t="n"/>
      <c r="P628" s="289">
        <f>$F628*$H628</f>
        <v/>
      </c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45537</v>
      </c>
      <c r="C629" s="286" t="n">
        <v>381</v>
      </c>
      <c r="D629" s="287" t="inlineStr">
        <is>
          <t>Biaya Konsul Dokter Syaraf</t>
        </is>
      </c>
      <c r="E629" s="288" t="inlineStr">
        <is>
          <t>-</t>
        </is>
      </c>
      <c r="F629" s="292" t="n">
        <v>2906650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8" t="n"/>
      <c r="M629" s="288" t="n"/>
      <c r="N629" s="288" t="n"/>
      <c r="O629" s="288" t="n"/>
      <c r="P629" s="289">
        <f>$F629*$H629</f>
        <v/>
      </c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45547</v>
      </c>
      <c r="C630" s="286" t="n">
        <v>382</v>
      </c>
      <c r="D630" s="287" t="inlineStr">
        <is>
          <t>Medicine</t>
        </is>
      </c>
      <c r="E630" s="288" t="inlineStr">
        <is>
          <t>-</t>
        </is>
      </c>
      <c r="F630" s="292" t="n">
        <v>241100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8" t="n"/>
      <c r="M630" s="288" t="n"/>
      <c r="N630" s="288" t="n"/>
      <c r="O630" s="288" t="n"/>
      <c r="P630" s="289">
        <f>$F630*$H630</f>
        <v/>
      </c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45566</v>
      </c>
      <c r="C631" s="286" t="n">
        <v>383</v>
      </c>
      <c r="D631" s="287" t="inlineStr">
        <is>
          <t>Biaya Konsul ke 2, Dokter Jantung</t>
        </is>
      </c>
      <c r="E631" s="288" t="inlineStr">
        <is>
          <t>-</t>
        </is>
      </c>
      <c r="F631" s="292" t="n">
        <v>1370000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8" t="n"/>
      <c r="M631" s="288" t="n"/>
      <c r="N631" s="288" t="n"/>
      <c r="O631" s="288" t="n"/>
      <c r="P631" s="289">
        <f>$F631*$H631</f>
        <v/>
      </c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Transportation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45076</v>
      </c>
      <c r="C670" s="286" t="n">
        <v>406</v>
      </c>
      <c r="D670" s="287" t="inlineStr">
        <is>
          <t>Lala Move courier</t>
        </is>
      </c>
      <c r="E670" s="288" t="inlineStr">
        <is>
          <t>-</t>
        </is>
      </c>
      <c r="F670" s="292" t="n">
        <v>100000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9">
        <f>$F670*$H670</f>
        <v/>
      </c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45261</v>
      </c>
      <c r="C671" s="286" t="n">
        <v>407</v>
      </c>
      <c r="D671" s="287" t="inlineStr">
        <is>
          <t>JNE courier</t>
        </is>
      </c>
      <c r="E671" s="288" t="inlineStr">
        <is>
          <t>-</t>
        </is>
      </c>
      <c r="F671" s="292" t="n">
        <v>44000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9">
        <f>$F671*$H671</f>
        <v/>
      </c>
      <c r="M671" s="288" t="n"/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45555</v>
      </c>
      <c r="C672" s="286" t="n">
        <v>408</v>
      </c>
      <c r="D672" s="287" t="inlineStr">
        <is>
          <t>JNE courier</t>
        </is>
      </c>
      <c r="E672" s="288" t="inlineStr">
        <is>
          <t>-</t>
        </is>
      </c>
      <c r="F672" s="292" t="n">
        <v>18000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9">
        <f>$F672*$H672</f>
        <v/>
      </c>
      <c r="M672" s="288" t="n"/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45560</v>
      </c>
      <c r="C673" s="286" t="n">
        <v>409</v>
      </c>
      <c r="D673" s="287" t="inlineStr">
        <is>
          <t>POS courier</t>
        </is>
      </c>
      <c r="E673" s="288" t="inlineStr">
        <is>
          <t>-</t>
        </is>
      </c>
      <c r="F673" s="292" t="n">
        <v>8000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9">
        <f>$F673*$H673</f>
        <v/>
      </c>
      <c r="M673" s="288" t="n"/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45574</v>
      </c>
      <c r="C674" s="286" t="n">
        <v>410</v>
      </c>
      <c r="D674" s="287" t="inlineStr">
        <is>
          <t>POS courier</t>
        </is>
      </c>
      <c r="E674" s="288" t="inlineStr">
        <is>
          <t>-</t>
        </is>
      </c>
      <c r="F674" s="292" t="n">
        <v>15000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9">
        <f>$F674*$H674</f>
        <v/>
      </c>
      <c r="M674" s="288" t="n"/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" customHeight="1">
      <c r="B675" s="285" t="n">
        <v>45579</v>
      </c>
      <c r="C675" s="286" t="n">
        <v>411</v>
      </c>
      <c r="D675" s="287" t="inlineStr">
        <is>
          <t>JNE courier</t>
        </is>
      </c>
      <c r="E675" s="288" t="inlineStr">
        <is>
          <t>-</t>
        </is>
      </c>
      <c r="F675" s="292" t="n">
        <v>10000</v>
      </c>
      <c r="G675" s="286" t="inlineStr">
        <is>
          <t>IDR</t>
        </is>
      </c>
      <c r="H675" s="290" t="n">
        <v>1</v>
      </c>
      <c r="I675" s="288" t="n"/>
      <c r="J675" s="288" t="n"/>
      <c r="K675" s="288" t="n"/>
      <c r="L675" s="289">
        <f>$F675*$H675</f>
        <v/>
      </c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45579</v>
      </c>
      <c r="C676" s="286" t="n">
        <v>412</v>
      </c>
      <c r="D676" s="287" t="inlineStr">
        <is>
          <t>GoCar to Elnusa PP</t>
        </is>
      </c>
      <c r="E676" s="288" t="inlineStr">
        <is>
          <t>-</t>
        </is>
      </c>
      <c r="F676" s="292" t="n">
        <v>275000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9">
        <f>$F676*$H676</f>
        <v/>
      </c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45579</v>
      </c>
      <c r="C677" s="286" t="n">
        <v>413</v>
      </c>
      <c r="D677" s="287" t="inlineStr">
        <is>
          <t>Tol &amp; parking fee</t>
        </is>
      </c>
      <c r="E677" s="288" t="inlineStr">
        <is>
          <t>-</t>
        </is>
      </c>
      <c r="F677" s="292" t="n">
        <v>31500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9">
        <f>$F677*$H677</f>
        <v/>
      </c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" customHeight="1">
      <c r="B678" s="285" t="n">
        <v>45582</v>
      </c>
      <c r="C678" s="286" t="n">
        <v>414</v>
      </c>
      <c r="D678" s="287" t="inlineStr">
        <is>
          <t>GoCar to Elnusa PP</t>
        </is>
      </c>
      <c r="E678" s="288" t="inlineStr">
        <is>
          <t>-</t>
        </is>
      </c>
      <c r="F678" s="292" t="n">
        <v>266000</v>
      </c>
      <c r="G678" s="286" t="inlineStr">
        <is>
          <t>IDR</t>
        </is>
      </c>
      <c r="H678" s="290" t="n">
        <v>1</v>
      </c>
      <c r="I678" s="288" t="n"/>
      <c r="J678" s="288" t="n"/>
      <c r="K678" s="288" t="n"/>
      <c r="L678" s="289">
        <f>$F678*$H678</f>
        <v/>
      </c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45582</v>
      </c>
      <c r="C679" s="286" t="n">
        <v>415</v>
      </c>
      <c r="D679" s="287" t="inlineStr">
        <is>
          <t>Tol &amp; parking fee</t>
        </is>
      </c>
      <c r="E679" s="288" t="inlineStr">
        <is>
          <t>-</t>
        </is>
      </c>
      <c r="F679" s="292" t="n">
        <v>53500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45617</v>
      </c>
      <c r="C680" s="286" t="n">
        <v>416</v>
      </c>
      <c r="D680" s="287" t="inlineStr">
        <is>
          <t>GoCar to Elnusa PP</t>
        </is>
      </c>
      <c r="E680" s="288" t="inlineStr">
        <is>
          <t>-</t>
        </is>
      </c>
      <c r="F680" s="292" t="n">
        <v>269000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45617</v>
      </c>
      <c r="C681" s="286" t="n">
        <v>417</v>
      </c>
      <c r="D681" s="287" t="inlineStr">
        <is>
          <t>Tol &amp; parking fee</t>
        </is>
      </c>
      <c r="E681" s="288" t="inlineStr">
        <is>
          <t>-</t>
        </is>
      </c>
      <c r="F681" s="292" t="n">
        <v>43450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45636</v>
      </c>
      <c r="C682" s="286" t="n">
        <v>418</v>
      </c>
      <c r="D682" s="287" t="inlineStr">
        <is>
          <t>GoCar to Elnusa PP</t>
        </is>
      </c>
      <c r="E682" s="288" t="inlineStr">
        <is>
          <t>-</t>
        </is>
      </c>
      <c r="F682" s="289" t="n">
        <v>290000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45636</v>
      </c>
      <c r="C683" s="286" t="n">
        <v>419</v>
      </c>
      <c r="D683" s="287" t="inlineStr">
        <is>
          <t>Tol &amp; parking fee</t>
        </is>
      </c>
      <c r="E683" s="288" t="inlineStr">
        <is>
          <t>-</t>
        </is>
      </c>
      <c r="F683" s="292" t="n">
        <v>48500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.5" customHeight="1">
      <c r="B684" s="299" t="n"/>
      <c r="C684" s="299" t="n"/>
      <c r="D684" s="282" t="inlineStr">
        <is>
          <t>ATK &amp; Dokumentasi</t>
        </is>
      </c>
      <c r="E684" s="299" t="n"/>
      <c r="F684" s="300" t="n"/>
      <c r="G684" s="299" t="n"/>
      <c r="H684" s="299" t="n"/>
      <c r="I684" s="299" t="n"/>
      <c r="J684" s="299" t="n"/>
      <c r="K684" s="299" t="n"/>
      <c r="L684" s="299" t="n"/>
      <c r="M684" s="299" t="n"/>
      <c r="N684" s="299" t="n"/>
      <c r="O684" s="299" t="n"/>
      <c r="P684" s="299" t="n"/>
      <c r="Q684" s="299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45071</v>
      </c>
      <c r="C685" s="286" t="n">
        <v>420</v>
      </c>
      <c r="D685" s="287" t="inlineStr">
        <is>
          <t>Materai 15 pcs</t>
        </is>
      </c>
      <c r="E685" s="288" t="inlineStr">
        <is>
          <t>-</t>
        </is>
      </c>
      <c r="F685" s="292" t="n">
        <v>150000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8" t="n"/>
      <c r="M685" s="289">
        <f>$F685*$H685</f>
        <v/>
      </c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45572</v>
      </c>
      <c r="C686" s="286" t="n">
        <v>421</v>
      </c>
      <c r="D686" s="287" t="inlineStr">
        <is>
          <t>Materai 6 pcs</t>
        </is>
      </c>
      <c r="E686" s="288" t="inlineStr">
        <is>
          <t>-</t>
        </is>
      </c>
      <c r="F686" s="292" t="n">
        <v>62000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8" t="n"/>
      <c r="M686" s="289">
        <f>$F686*$H686</f>
        <v/>
      </c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45579</v>
      </c>
      <c r="C687" s="286" t="n">
        <v>422</v>
      </c>
      <c r="D687" s="287" t="inlineStr">
        <is>
          <t>Materai 10 pcs</t>
        </is>
      </c>
      <c r="E687" s="288" t="inlineStr">
        <is>
          <t>-</t>
        </is>
      </c>
      <c r="F687" s="292" t="n">
        <v>103000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8" t="n"/>
      <c r="M687" s="289">
        <f>$F687*$H687</f>
        <v/>
      </c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423</v>
      </c>
      <c r="D688" s="287" t="inlineStr">
        <is>
          <t>Materai 5 pcs</t>
        </is>
      </c>
      <c r="E688" s="288" t="inlineStr">
        <is>
          <t>-</t>
        </is>
      </c>
      <c r="F688" s="292" t="n">
        <v>55000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8" t="n"/>
      <c r="M688" s="289">
        <f>$F688*$H688</f>
        <v/>
      </c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424</v>
      </c>
      <c r="D689" s="287" t="inlineStr">
        <is>
          <t>Materai 10 pcs</t>
        </is>
      </c>
      <c r="E689" s="288" t="inlineStr">
        <is>
          <t>-</t>
        </is>
      </c>
      <c r="F689" s="292" t="n">
        <v>103000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8" t="n"/>
      <c r="M689" s="289">
        <f>$F689*$H689</f>
        <v/>
      </c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.5" customHeight="1">
      <c r="B690" s="299" t="n"/>
      <c r="C690" s="299" t="n"/>
      <c r="D690" s="282" t="inlineStr">
        <is>
          <t>IT Services</t>
        </is>
      </c>
      <c r="E690" s="299" t="n"/>
      <c r="F690" s="300" t="n"/>
      <c r="G690" s="299" t="n"/>
      <c r="H690" s="299" t="n"/>
      <c r="I690" s="299" t="n"/>
      <c r="J690" s="299" t="n"/>
      <c r="K690" s="299" t="n"/>
      <c r="L690" s="299" t="n"/>
      <c r="M690" s="299" t="n"/>
      <c r="N690" s="299" t="n"/>
      <c r="O690" s="299" t="n"/>
      <c r="P690" s="299" t="n"/>
      <c r="Q690" s="299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45085</v>
      </c>
      <c r="C691" s="286" t="n">
        <v>425</v>
      </c>
      <c r="D691" s="287" t="inlineStr">
        <is>
          <t>Plastic folder 3 pcs</t>
        </is>
      </c>
      <c r="E691" s="288" t="inlineStr">
        <is>
          <t>-</t>
        </is>
      </c>
      <c r="F691" s="292" t="n">
        <v>35000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8" t="n"/>
      <c r="M691" s="289">
        <f>$F691*$H691</f>
        <v/>
      </c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45121</v>
      </c>
      <c r="C692" s="286" t="n">
        <v>426</v>
      </c>
      <c r="D692" s="287" t="inlineStr">
        <is>
          <t>Anvelope, Plastic map</t>
        </is>
      </c>
      <c r="E692" s="288" t="inlineStr">
        <is>
          <t>-</t>
        </is>
      </c>
      <c r="F692" s="292" t="n">
        <v>12000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8" t="n"/>
      <c r="M692" s="289">
        <f>$F692*$H692</f>
        <v/>
      </c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Transportation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45607</v>
      </c>
      <c r="C701" s="286" t="n">
        <v>429</v>
      </c>
      <c r="D701" s="287" t="inlineStr">
        <is>
          <t>Fuel diesel visit consul to KPP pajak</t>
        </is>
      </c>
      <c r="E701" s="288" t="inlineStr">
        <is>
          <t>-</t>
        </is>
      </c>
      <c r="F701" s="292" t="n">
        <v>276216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9">
        <f>$F701*$H701</f>
        <v/>
      </c>
      <c r="M701" s="288" t="n"/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45607</v>
      </c>
      <c r="C702" s="286" t="n">
        <v>430</v>
      </c>
      <c r="D702" s="287" t="inlineStr">
        <is>
          <t>toll gate</t>
        </is>
      </c>
      <c r="E702" s="288" t="inlineStr">
        <is>
          <t>-</t>
        </is>
      </c>
      <c r="F702" s="292" t="n">
        <v>79500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9">
        <f>$F702*$H702</f>
        <v/>
      </c>
      <c r="M702" s="288" t="n"/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45622</v>
      </c>
      <c r="C703" s="286" t="n">
        <v>431</v>
      </c>
      <c r="D703" s="287" t="inlineStr">
        <is>
          <t>Parkir Graha Elnusa (HSE tool hall meeting) at Elnusa (graha Elnusa)</t>
        </is>
      </c>
      <c r="E703" s="288" t="inlineStr">
        <is>
          <t>-</t>
        </is>
      </c>
      <c r="F703" s="292" t="n">
        <v>29000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9">
        <f>$F703*$H703</f>
        <v/>
      </c>
      <c r="M703" s="288" t="n"/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45622</v>
      </c>
      <c r="C704" s="286" t="n">
        <v>432</v>
      </c>
      <c r="D704" s="287" t="inlineStr">
        <is>
          <t>toll gate</t>
        </is>
      </c>
      <c r="E704" s="288" t="inlineStr">
        <is>
          <t>-</t>
        </is>
      </c>
      <c r="F704" s="292" t="n">
        <v>17000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9">
        <f>$F704*$H704</f>
        <v/>
      </c>
      <c r="M704" s="288" t="n"/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45636</v>
      </c>
      <c r="C705" s="286" t="n">
        <v>433</v>
      </c>
      <c r="D705" s="287" t="inlineStr">
        <is>
          <t>Taksi,take Document from Loket Graha Elnusa</t>
        </is>
      </c>
      <c r="E705" s="288" t="inlineStr">
        <is>
          <t>-</t>
        </is>
      </c>
      <c r="F705" s="292" t="n">
        <v>155680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9">
        <f>$F705*$H705</f>
        <v/>
      </c>
      <c r="M705" s="288" t="n"/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45636</v>
      </c>
      <c r="C706" s="286" t="n">
        <v>434</v>
      </c>
      <c r="D706" s="287" t="inlineStr">
        <is>
          <t>Parkir Graha Elnusa (antar dokemen invoice)</t>
        </is>
      </c>
      <c r="E706" s="288" t="inlineStr">
        <is>
          <t>-</t>
        </is>
      </c>
      <c r="F706" s="292" t="n">
        <v>17000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9">
        <f>$F706*$H706</f>
        <v/>
      </c>
      <c r="M706" s="288" t="n"/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.5" customHeight="1">
      <c r="B707" s="299" t="n"/>
      <c r="C707" s="299" t="n"/>
      <c r="D707" s="282" t="inlineStr">
        <is>
          <t>Medical</t>
        </is>
      </c>
      <c r="E707" s="299" t="n"/>
      <c r="F707" s="300" t="n"/>
      <c r="G707" s="299" t="n"/>
      <c r="H707" s="299" t="n"/>
      <c r="I707" s="299" t="n"/>
      <c r="J707" s="299" t="n"/>
      <c r="K707" s="299" t="n"/>
      <c r="L707" s="299" t="n"/>
      <c r="M707" s="299" t="n"/>
      <c r="N707" s="299" t="n"/>
      <c r="O707" s="299" t="n"/>
      <c r="P707" s="299" t="n"/>
      <c r="Q707" s="299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45596</v>
      </c>
      <c r="C708" s="286" t="n">
        <v>435</v>
      </c>
      <c r="D708" s="287" t="inlineStr">
        <is>
          <t>Medicine lanjutan</t>
        </is>
      </c>
      <c r="E708" s="288" t="inlineStr">
        <is>
          <t>-</t>
        </is>
      </c>
      <c r="F708" s="292" t="n">
        <v>604000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" customHeight="1">
      <c r="B709" s="285" t="n">
        <v>45627</v>
      </c>
      <c r="C709" s="286" t="n">
        <v>436</v>
      </c>
      <c r="D709" s="287" t="inlineStr">
        <is>
          <t>Biaya Konsul dokter Kulit a/n Diofavian</t>
        </is>
      </c>
      <c r="E709" s="288" t="inlineStr">
        <is>
          <t>-</t>
        </is>
      </c>
      <c r="F709" s="292" t="n">
        <v>1582141</v>
      </c>
      <c r="G709" s="286" t="inlineStr">
        <is>
          <t>IDR</t>
        </is>
      </c>
      <c r="H709" s="290" t="n">
        <v>1</v>
      </c>
      <c r="I709" s="288" t="n"/>
      <c r="J709" s="288" t="n"/>
      <c r="K709" s="288" t="n"/>
      <c r="L709" s="288" t="n"/>
      <c r="M709" s="288" t="n"/>
      <c r="N709" s="288" t="n"/>
      <c r="O709" s="288" t="n"/>
      <c r="P709" s="289">
        <f>$F709*$H709</f>
        <v/>
      </c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45627</v>
      </c>
      <c r="C710" s="286" t="n">
        <v>437</v>
      </c>
      <c r="D710" s="287" t="inlineStr">
        <is>
          <t>Biaya Konsul Dokter mata a/n Eva linda</t>
        </is>
      </c>
      <c r="E710" s="288" t="inlineStr">
        <is>
          <t>-</t>
        </is>
      </c>
      <c r="F710" s="292" t="n">
        <v>970767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8" t="n"/>
      <c r="M710" s="288" t="n"/>
      <c r="N710" s="288" t="n"/>
      <c r="O710" s="288" t="n"/>
      <c r="P710" s="289">
        <f>$F710*$H710</f>
        <v/>
      </c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45627</v>
      </c>
      <c r="C711" s="286" t="n">
        <v>438</v>
      </c>
      <c r="D711" s="287" t="inlineStr">
        <is>
          <t>Medicine lanjutan</t>
        </is>
      </c>
      <c r="E711" s="288" t="inlineStr">
        <is>
          <t>-</t>
        </is>
      </c>
      <c r="F711" s="292" t="n">
        <v>157000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8" t="n"/>
      <c r="M711" s="288" t="n"/>
      <c r="N711" s="288" t="n"/>
      <c r="O711" s="288" t="n"/>
      <c r="P711" s="289">
        <f>$F711*$H711</f>
        <v/>
      </c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45627</v>
      </c>
      <c r="C712" s="286" t="n">
        <v>439</v>
      </c>
      <c r="D712" s="287" t="inlineStr">
        <is>
          <t>Medicine lanjutan</t>
        </is>
      </c>
      <c r="E712" s="288" t="inlineStr">
        <is>
          <t>-</t>
        </is>
      </c>
      <c r="F712" s="292" t="n">
        <v>152000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8" t="n"/>
      <c r="M712" s="288" t="n"/>
      <c r="N712" s="288" t="n"/>
      <c r="O712" s="288" t="n"/>
      <c r="P712" s="289">
        <f>$F712*$H712</f>
        <v/>
      </c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45628</v>
      </c>
      <c r="C713" s="286" t="n">
        <v>440</v>
      </c>
      <c r="D713" s="287" t="inlineStr">
        <is>
          <t>Biaya Konsul Dokter Jantung 3rdPenyakit dalam</t>
        </is>
      </c>
      <c r="E713" s="288" t="inlineStr">
        <is>
          <t>-</t>
        </is>
      </c>
      <c r="F713" s="292" t="n">
        <v>799000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8" t="n"/>
      <c r="M713" s="288" t="n"/>
      <c r="N713" s="288" t="n"/>
      <c r="O713" s="288" t="n"/>
      <c r="P713" s="289">
        <f>$F713*$H713</f>
        <v/>
      </c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45628</v>
      </c>
      <c r="C714" s="286" t="n">
        <v>441</v>
      </c>
      <c r="D714" s="287" t="inlineStr">
        <is>
          <t>Medicine after konsul jantung 3rd</t>
        </is>
      </c>
      <c r="E714" s="288" t="inlineStr">
        <is>
          <t>-</t>
        </is>
      </c>
      <c r="F714" s="292" t="n">
        <v>190309.5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8" t="n"/>
      <c r="M714" s="288" t="n"/>
      <c r="N714" s="288" t="n"/>
      <c r="O714" s="288" t="n"/>
      <c r="P714" s="289">
        <f>$F714*$H714</f>
        <v/>
      </c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45637</v>
      </c>
      <c r="C715" s="286" t="n">
        <v>442</v>
      </c>
      <c r="D715" s="287" t="inlineStr">
        <is>
          <t>Medicine after konsul jantung 3rd</t>
        </is>
      </c>
      <c r="E715" s="288" t="inlineStr">
        <is>
          <t>-</t>
        </is>
      </c>
      <c r="F715" s="292" t="n">
        <v>417600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8" t="n"/>
      <c r="M715" s="288" t="n"/>
      <c r="N715" s="288" t="n"/>
      <c r="O715" s="288" t="n"/>
      <c r="P715" s="289">
        <f>$F715*$H715</f>
        <v/>
      </c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Meal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45646</v>
      </c>
      <c r="C721" s="286" t="n">
        <v>445</v>
      </c>
      <c r="D721" s="287" t="inlineStr">
        <is>
          <t>Meal</t>
        </is>
      </c>
      <c r="E721" s="288" t="inlineStr">
        <is>
          <t>-</t>
        </is>
      </c>
      <c r="F721" s="292" t="n">
        <v>195585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9">
        <f>$F721*$H721</f>
        <v/>
      </c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" customHeight="1">
      <c r="B722" s="285" t="n">
        <v>45647</v>
      </c>
      <c r="C722" s="286" t="n">
        <v>446</v>
      </c>
      <c r="D722" s="287" t="inlineStr">
        <is>
          <t>Meal</t>
        </is>
      </c>
      <c r="E722" s="288" t="inlineStr">
        <is>
          <t>-</t>
        </is>
      </c>
      <c r="F722" s="292" t="n">
        <v>299900</v>
      </c>
      <c r="G722" s="286" t="inlineStr">
        <is>
          <t>IDR</t>
        </is>
      </c>
      <c r="H722" s="290" t="n">
        <v>1</v>
      </c>
      <c r="I722" s="288" t="n"/>
      <c r="J722" s="288" t="n"/>
      <c r="K722" s="288" t="n"/>
      <c r="L722" s="289">
        <f>$F722*$H722</f>
        <v/>
      </c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.5" customHeight="1">
      <c r="B723" s="299" t="n"/>
      <c r="C723" s="299" t="n"/>
      <c r="D723" s="282" t="inlineStr">
        <is>
          <t>Transportation</t>
        </is>
      </c>
      <c r="E723" s="299" t="n"/>
      <c r="F723" s="300" t="n"/>
      <c r="G723" s="299" t="n"/>
      <c r="H723" s="299" t="n"/>
      <c r="I723" s="299" t="n"/>
      <c r="J723" s="299" t="n"/>
      <c r="K723" s="299" t="n"/>
      <c r="L723" s="299" t="n"/>
      <c r="M723" s="299" t="n"/>
      <c r="N723" s="299" t="n"/>
      <c r="O723" s="299" t="n"/>
      <c r="P723" s="299" t="n"/>
      <c r="Q723" s="299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Taksi around the Bandung city for 2 days</t>
        </is>
      </c>
      <c r="E724" s="288" t="inlineStr">
        <is>
          <t>-</t>
        </is>
      </c>
      <c r="F724" s="292" t="n">
        <v>200000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IT Services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45650</v>
      </c>
      <c r="C726" s="286" t="n">
        <v>448</v>
      </c>
      <c r="D726" s="287" t="inlineStr">
        <is>
          <t>payment for hotel Grand Dafam and</t>
        </is>
      </c>
      <c r="E726" s="288" t="inlineStr">
        <is>
          <t>-</t>
        </is>
      </c>
      <c r="F726" s="292" t="n">
        <v>4913283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8" t="n"/>
      <c r="M726" s="289">
        <f>$F726*$H726</f>
        <v/>
      </c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Meal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45363</v>
      </c>
      <c r="C736" s="286" t="n">
        <v>453</v>
      </c>
      <c r="D736" s="287" t="inlineStr">
        <is>
          <t>Meals 2 days @ 300,000/day</t>
        </is>
      </c>
      <c r="E736" s="288" t="inlineStr">
        <is>
          <t>-</t>
        </is>
      </c>
      <c r="F736" s="292" t="n">
        <v>600000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9">
        <f>$F736*$H736</f>
        <v/>
      </c>
      <c r="M736" s="288" t="n"/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45405</v>
      </c>
      <c r="C737" s="286" t="n">
        <v>454</v>
      </c>
      <c r="D737" s="287" t="inlineStr">
        <is>
          <t>Meals 2 days @ 150,000/day</t>
        </is>
      </c>
      <c r="E737" s="288" t="inlineStr">
        <is>
          <t>-</t>
        </is>
      </c>
      <c r="F737" s="292" t="n">
        <v>300000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9">
        <f>$F737*$H737</f>
        <v/>
      </c>
      <c r="M737" s="288" t="n"/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45647</v>
      </c>
      <c r="C738" s="286" t="n">
        <v>455</v>
      </c>
      <c r="D738" s="287" t="inlineStr">
        <is>
          <t>Meals 2 days @ 150,000/day</t>
        </is>
      </c>
      <c r="E738" s="288" t="inlineStr">
        <is>
          <t>-</t>
        </is>
      </c>
      <c r="F738" s="289" t="n">
        <v>300000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9">
        <f>$F738*$H738</f>
        <v/>
      </c>
      <c r="M738" s="288" t="n"/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.5" customHeight="1">
      <c r="B739" s="315" t="n"/>
      <c r="C739" s="316" t="n"/>
      <c r="D739" s="282" t="inlineStr">
        <is>
          <t>Transportation</t>
        </is>
      </c>
      <c r="E739" s="316" t="n"/>
      <c r="F739" s="317" t="n"/>
      <c r="G739" s="316" t="n"/>
      <c r="H739" s="316" t="n"/>
      <c r="I739" s="318" t="n"/>
      <c r="J739" s="318" t="n"/>
      <c r="K739" s="318" t="n"/>
      <c r="L739" s="318" t="n"/>
      <c r="M739" s="318" t="n"/>
      <c r="N739" s="318" t="n"/>
      <c r="O739" s="318" t="n"/>
      <c r="P739" s="318" t="n"/>
      <c r="Q739" s="318" t="n"/>
    </row>
    <row r="740" ht="15" customHeight="1">
      <c r="B740" s="285" t="n">
        <v>45362</v>
      </c>
      <c r="C740" s="319" t="n">
        <v>456</v>
      </c>
      <c r="D740" s="320" t="inlineStr">
        <is>
          <t>Taxi Home - CGK Airport</t>
        </is>
      </c>
      <c r="E740" s="321" t="inlineStr">
        <is>
          <t>-</t>
        </is>
      </c>
      <c r="F740" s="322" t="n">
        <v>200000</v>
      </c>
      <c r="G740" s="319" t="inlineStr">
        <is>
          <t>IDR</t>
        </is>
      </c>
      <c r="H740" s="290" t="n">
        <v>1</v>
      </c>
      <c r="I740" s="323" t="n"/>
      <c r="J740" s="323" t="n"/>
      <c r="K740" s="323" t="n"/>
      <c r="L740" s="322">
        <f>$F740*$H740</f>
        <v/>
      </c>
      <c r="M740" s="323" t="n"/>
      <c r="N740" s="323" t="n"/>
      <c r="O740" s="323" t="n"/>
      <c r="P740" s="324" t="n"/>
      <c r="Q740" s="324" t="n"/>
    </row>
    <row r="741" ht="15" customHeight="1">
      <c r="B741" s="285" t="n">
        <v>45362</v>
      </c>
      <c r="C741" s="286" t="n">
        <v>457</v>
      </c>
      <c r="D741" s="320" t="inlineStr">
        <is>
          <t>Train KLIA Airport to Hyperseal</t>
        </is>
      </c>
      <c r="E741" s="323" t="inlineStr">
        <is>
          <t>-</t>
        </is>
      </c>
      <c r="F741" s="325" t="n">
        <v>50</v>
      </c>
      <c r="G741" s="286" t="inlineStr">
        <is>
          <t>MYR</t>
        </is>
      </c>
      <c r="H741" s="290" t="n">
        <v>3636.89</v>
      </c>
      <c r="I741" s="326" t="n"/>
      <c r="J741" s="327" t="n"/>
      <c r="K741" s="327" t="n"/>
      <c r="L741" s="290">
        <f>$F741*$H741</f>
        <v/>
      </c>
      <c r="M741" s="327" t="n"/>
      <c r="N741" s="327" t="n"/>
      <c r="O741" s="327" t="n"/>
      <c r="P741" s="324" t="n"/>
      <c r="Q741" s="324" t="n"/>
    </row>
    <row r="742" ht="15" customHeight="1">
      <c r="B742" s="285" t="n">
        <v>45363</v>
      </c>
      <c r="C742" s="286" t="n">
        <v>458</v>
      </c>
      <c r="D742" s="320" t="inlineStr">
        <is>
          <t>Flight KUL- CGK</t>
        </is>
      </c>
      <c r="E742" s="323" t="inlineStr">
        <is>
          <t>-</t>
        </is>
      </c>
      <c r="F742" s="328" t="n">
        <v>1897983</v>
      </c>
      <c r="G742" s="286" t="inlineStr">
        <is>
          <t>IDR</t>
        </is>
      </c>
      <c r="H742" s="290" t="n">
        <v>1</v>
      </c>
      <c r="I742" s="326" t="n"/>
      <c r="J742" s="329" t="n"/>
      <c r="K742" s="329" t="n"/>
      <c r="L742" s="290">
        <f>$F742*$H742</f>
        <v/>
      </c>
      <c r="M742" s="329" t="n"/>
      <c r="N742" s="329" t="n"/>
      <c r="O742" s="327" t="n"/>
      <c r="P742" s="324" t="n"/>
      <c r="Q742" s="324" t="n"/>
    </row>
    <row r="743" ht="15" customHeight="1">
      <c r="B743" s="285" t="n">
        <v>45363</v>
      </c>
      <c r="C743" s="286" t="n">
        <v>459</v>
      </c>
      <c r="D743" s="320" t="inlineStr">
        <is>
          <t>Train Hyperseal to KLIA Airport</t>
        </is>
      </c>
      <c r="E743" s="323" t="inlineStr">
        <is>
          <t>-</t>
        </is>
      </c>
      <c r="F743" s="328" t="n">
        <v>50</v>
      </c>
      <c r="G743" s="286" t="inlineStr">
        <is>
          <t>MYR</t>
        </is>
      </c>
      <c r="H743" s="290" t="n">
        <v>3636.89</v>
      </c>
      <c r="I743" s="326" t="n"/>
      <c r="J743" s="329" t="n"/>
      <c r="K743" s="329" t="n"/>
      <c r="L743" s="290">
        <f>$F743*$H743</f>
        <v/>
      </c>
      <c r="M743" s="329" t="n"/>
      <c r="N743" s="329" t="n"/>
      <c r="O743" s="327" t="n"/>
      <c r="P743" s="324" t="n"/>
      <c r="Q743" s="324" t="n"/>
    </row>
    <row r="744" ht="15" customHeight="1">
      <c r="B744" s="285" t="n">
        <v>45363</v>
      </c>
      <c r="C744" s="286" t="n">
        <v>460</v>
      </c>
      <c r="D744" s="320" t="inlineStr">
        <is>
          <t>Taxi CGK Airport to Home</t>
        </is>
      </c>
      <c r="E744" s="323" t="inlineStr">
        <is>
          <t>-</t>
        </is>
      </c>
      <c r="F744" s="328" t="n">
        <v>200000</v>
      </c>
      <c r="G744" s="286" t="inlineStr">
        <is>
          <t>IDR</t>
        </is>
      </c>
      <c r="H744" s="290" t="n">
        <v>1</v>
      </c>
      <c r="I744" s="326" t="n"/>
      <c r="J744" s="329" t="n"/>
      <c r="K744" s="329" t="n"/>
      <c r="L744" s="290">
        <f>$F744*$H744</f>
        <v/>
      </c>
      <c r="M744" s="329" t="n"/>
      <c r="N744" s="329" t="n"/>
      <c r="O744" s="327" t="n"/>
      <c r="P744" s="324" t="n"/>
      <c r="Q744" s="324" t="n"/>
    </row>
    <row r="745" ht="15" customHeight="1">
      <c r="B745" s="285" t="n">
        <v>45404</v>
      </c>
      <c r="C745" s="286" t="n">
        <v>461</v>
      </c>
      <c r="D745" s="320" t="inlineStr">
        <is>
          <t>Car 22-23 Apr 2024 (2 days) incl. Fuel &amp; Tol</t>
        </is>
      </c>
      <c r="E745" s="323" t="inlineStr">
        <is>
          <t>-</t>
        </is>
      </c>
      <c r="F745" s="328" t="n">
        <v>3000000</v>
      </c>
      <c r="G745" s="286" t="inlineStr">
        <is>
          <t>IDR</t>
        </is>
      </c>
      <c r="H745" s="290" t="n">
        <v>1</v>
      </c>
      <c r="I745" s="326" t="n"/>
      <c r="J745" s="329" t="n"/>
      <c r="K745" s="329" t="n"/>
      <c r="L745" s="290">
        <f>$F745*$H745</f>
        <v/>
      </c>
      <c r="M745" s="329" t="n"/>
      <c r="N745" s="329" t="n"/>
      <c r="O745" s="327" t="n"/>
      <c r="P745" s="324" t="n"/>
      <c r="Q745" s="324" t="n"/>
    </row>
    <row r="746" ht="15" customHeight="1">
      <c r="B746" s="285" t="n">
        <v>45412</v>
      </c>
      <c r="C746" s="286" t="n">
        <v>462</v>
      </c>
      <c r="D746" s="320" t="inlineStr">
        <is>
          <t>Car 30 Apr-01 May 2024 (2 days) incl. Fuel &amp; Tol</t>
        </is>
      </c>
      <c r="E746" s="323" t="inlineStr">
        <is>
          <t>-</t>
        </is>
      </c>
      <c r="F746" s="328" t="n">
        <v>3000000</v>
      </c>
      <c r="G746" s="286" t="inlineStr">
        <is>
          <t>IDR</t>
        </is>
      </c>
      <c r="H746" s="290" t="n">
        <v>1</v>
      </c>
      <c r="I746" s="326" t="n"/>
      <c r="J746" s="329" t="n"/>
      <c r="K746" s="329" t="n"/>
      <c r="L746" s="290">
        <f>$F746*$H746</f>
        <v/>
      </c>
      <c r="M746" s="329" t="n"/>
      <c r="N746" s="329" t="n"/>
      <c r="O746" s="327" t="n"/>
      <c r="P746" s="324" t="n"/>
      <c r="Q746" s="324" t="n"/>
    </row>
    <row r="747" ht="15" customHeight="1">
      <c r="B747" s="285" t="n">
        <v>45646</v>
      </c>
      <c r="C747" s="286" t="n">
        <v>463</v>
      </c>
      <c r="D747" s="320" t="inlineStr">
        <is>
          <t>Taxi Home to KCIC Train station</t>
        </is>
      </c>
      <c r="E747" s="323" t="inlineStr">
        <is>
          <t>-</t>
        </is>
      </c>
      <c r="F747" s="328" t="n">
        <v>100000</v>
      </c>
      <c r="G747" s="286" t="inlineStr">
        <is>
          <t>IDR</t>
        </is>
      </c>
      <c r="H747" s="290" t="n">
        <v>1</v>
      </c>
      <c r="I747" s="326" t="n"/>
      <c r="J747" s="329" t="n"/>
      <c r="K747" s="329" t="n"/>
      <c r="L747" s="290">
        <f>$F747*$H747</f>
        <v/>
      </c>
      <c r="M747" s="329" t="n"/>
      <c r="N747" s="329" t="n"/>
      <c r="O747" s="327" t="n"/>
      <c r="P747" s="324" t="n"/>
      <c r="Q747" s="324" t="n"/>
    </row>
    <row r="748" ht="15" customHeight="1">
      <c r="B748" s="285" t="n">
        <v>45646</v>
      </c>
      <c r="C748" s="286" t="n">
        <v>464</v>
      </c>
      <c r="D748" s="320" t="inlineStr">
        <is>
          <t>Train Round trip Jakarta - Bandung @200K/trip</t>
        </is>
      </c>
      <c r="E748" s="323" t="inlineStr">
        <is>
          <t>-</t>
        </is>
      </c>
      <c r="F748" s="328" t="n">
        <v>400000</v>
      </c>
      <c r="G748" s="286" t="inlineStr">
        <is>
          <t>IDR</t>
        </is>
      </c>
      <c r="H748" s="290" t="n">
        <v>1</v>
      </c>
      <c r="I748" s="326" t="n"/>
      <c r="J748" s="329" t="n"/>
      <c r="K748" s="329" t="n"/>
      <c r="L748" s="290">
        <f>$F748*$H748</f>
        <v/>
      </c>
      <c r="M748" s="329" t="n"/>
      <c r="N748" s="329" t="n"/>
      <c r="O748" s="327" t="n"/>
      <c r="P748" s="324" t="n"/>
      <c r="Q748" s="324" t="n"/>
    </row>
    <row r="749" ht="15" customHeight="1">
      <c r="B749" s="285" t="n">
        <v>45647</v>
      </c>
      <c r="C749" s="286" t="n">
        <v>465</v>
      </c>
      <c r="D749" s="320" t="inlineStr">
        <is>
          <t>Taxi from KCIC Stationa Halim to Home</t>
        </is>
      </c>
      <c r="E749" s="323" t="inlineStr">
        <is>
          <t>-</t>
        </is>
      </c>
      <c r="F749" s="328" t="n">
        <v>100000</v>
      </c>
      <c r="G749" s="286" t="inlineStr">
        <is>
          <t>IDR</t>
        </is>
      </c>
      <c r="H749" s="290" t="n">
        <v>1</v>
      </c>
      <c r="I749" s="326" t="n"/>
      <c r="J749" s="329" t="n"/>
      <c r="K749" s="329" t="n"/>
      <c r="L749" s="330">
        <f>$F749*$H749</f>
        <v/>
      </c>
      <c r="M749" s="329" t="n"/>
      <c r="N749" s="329" t="n"/>
      <c r="O749" s="327" t="n"/>
      <c r="P749" s="324" t="n"/>
      <c r="Q749" s="324" t="n"/>
    </row>
    <row r="750" ht="15.5" customHeight="1">
      <c r="B750" s="315" t="n"/>
      <c r="C750" s="331" t="n"/>
      <c r="D750" s="282" t="inlineStr">
        <is>
          <t>IT Services</t>
        </is>
      </c>
      <c r="E750" s="332" t="n"/>
      <c r="F750" s="332" t="n"/>
      <c r="G750" s="332" t="n"/>
      <c r="H750" s="332" t="n"/>
      <c r="I750" s="318" t="n"/>
      <c r="J750" s="318" t="n"/>
      <c r="K750" s="318" t="n"/>
      <c r="L750" s="318" t="n"/>
      <c r="M750" s="318" t="n"/>
      <c r="N750" s="318" t="n"/>
      <c r="O750" s="318" t="n"/>
      <c r="P750" s="318" t="n"/>
      <c r="Q750" s="318" t="n"/>
    </row>
    <row r="751" ht="15" customHeight="1">
      <c r="B751" s="285" t="n">
        <v>44789</v>
      </c>
      <c r="C751" s="286" t="n">
        <v>466</v>
      </c>
      <c r="D751" s="287" t="inlineStr">
        <is>
          <t>Domain PT. Exspan Wireline Indonesia</t>
        </is>
      </c>
      <c r="E751" s="333" t="inlineStr">
        <is>
          <t>-</t>
        </is>
      </c>
      <c r="F751" s="334" t="n">
        <v>184182</v>
      </c>
      <c r="G751" s="286" t="inlineStr">
        <is>
          <t>IDR</t>
        </is>
      </c>
      <c r="H751" s="290" t="n">
        <v>1</v>
      </c>
      <c r="I751" s="333" t="n"/>
      <c r="J751" s="333" t="n"/>
      <c r="K751" s="333" t="n"/>
      <c r="L751" s="333" t="n"/>
      <c r="M751" s="334">
        <f>$F751*$H751</f>
        <v/>
      </c>
      <c r="N751" s="333" t="n"/>
      <c r="O751" s="333" t="n"/>
      <c r="P751" s="333" t="n"/>
      <c r="Q751" s="333" t="n"/>
    </row>
    <row r="752" ht="15" customHeight="1">
      <c r="B752" s="285" t="n">
        <v>44820</v>
      </c>
      <c r="C752" s="286" t="n">
        <v>467</v>
      </c>
      <c r="D752" s="287" t="inlineStr">
        <is>
          <t>Google Workspace PT. EWI</t>
        </is>
      </c>
      <c r="E752" s="333" t="inlineStr">
        <is>
          <t>-</t>
        </is>
      </c>
      <c r="F752" s="334" t="n">
        <v>107437</v>
      </c>
      <c r="G752" s="286" t="inlineStr">
        <is>
          <t>IDR</t>
        </is>
      </c>
      <c r="H752" s="290" t="n">
        <v>1</v>
      </c>
      <c r="I752" s="333" t="n"/>
      <c r="J752" s="333" t="n"/>
      <c r="K752" s="333" t="n"/>
      <c r="L752" s="333" t="n"/>
      <c r="M752" s="334">
        <f>$F752*$H752</f>
        <v/>
      </c>
      <c r="N752" s="333" t="n"/>
      <c r="O752" s="333" t="n"/>
      <c r="P752" s="333" t="n"/>
      <c r="Q752" s="333" t="n"/>
    </row>
    <row r="753" ht="15" customHeight="1">
      <c r="B753" s="285" t="n">
        <v>44850</v>
      </c>
      <c r="C753" s="286" t="n">
        <v>468</v>
      </c>
      <c r="D753" s="287" t="inlineStr">
        <is>
          <t>Google Workspace PT. EWI</t>
        </is>
      </c>
      <c r="E753" s="333" t="inlineStr">
        <is>
          <t>-</t>
        </is>
      </c>
      <c r="F753" s="334" t="n">
        <v>177258</v>
      </c>
      <c r="G753" s="286" t="inlineStr">
        <is>
          <t>IDR</t>
        </is>
      </c>
      <c r="H753" s="290" t="n">
        <v>1</v>
      </c>
      <c r="I753" s="333" t="n"/>
      <c r="J753" s="333" t="n"/>
      <c r="K753" s="333" t="n"/>
      <c r="L753" s="333" t="n"/>
      <c r="M753" s="334">
        <f>$F753*$H753</f>
        <v/>
      </c>
      <c r="N753" s="333" t="n"/>
      <c r="O753" s="333" t="n"/>
      <c r="P753" s="333" t="n"/>
      <c r="Q753" s="333" t="n"/>
    </row>
    <row r="754" ht="15" customHeight="1">
      <c r="B754" s="285" t="n">
        <v>44881</v>
      </c>
      <c r="C754" s="286" t="n">
        <v>469</v>
      </c>
      <c r="D754" s="287" t="inlineStr">
        <is>
          <t>Google Workspace PT. EWI</t>
        </is>
      </c>
      <c r="E754" s="333" t="inlineStr">
        <is>
          <t>-</t>
        </is>
      </c>
      <c r="F754" s="334" t="n">
        <v>214896</v>
      </c>
      <c r="G754" s="286" t="inlineStr">
        <is>
          <t>IDR</t>
        </is>
      </c>
      <c r="H754" s="290" t="n">
        <v>1</v>
      </c>
      <c r="I754" s="333" t="n"/>
      <c r="J754" s="333" t="n"/>
      <c r="K754" s="333" t="n"/>
      <c r="L754" s="333" t="n"/>
      <c r="M754" s="334">
        <f>$F754*$H754</f>
        <v/>
      </c>
      <c r="N754" s="333" t="n"/>
      <c r="O754" s="333" t="n"/>
      <c r="P754" s="333" t="n"/>
      <c r="Q754" s="333" t="n"/>
    </row>
    <row r="755" ht="15" customHeight="1">
      <c r="B755" s="285" t="n">
        <v>44911</v>
      </c>
      <c r="C755" s="286" t="n">
        <v>470</v>
      </c>
      <c r="D755" s="287" t="inlineStr">
        <is>
          <t>Google Workspace PT. EWI</t>
        </is>
      </c>
      <c r="E755" s="333" t="inlineStr">
        <is>
          <t>-</t>
        </is>
      </c>
      <c r="F755" s="334" t="n">
        <v>214896</v>
      </c>
      <c r="G755" s="286" t="inlineStr">
        <is>
          <t>IDR</t>
        </is>
      </c>
      <c r="H755" s="290" t="n">
        <v>1</v>
      </c>
      <c r="I755" s="333" t="n"/>
      <c r="J755" s="333" t="n"/>
      <c r="K755" s="333" t="n"/>
      <c r="L755" s="333" t="n"/>
      <c r="M755" s="334">
        <f>$F755*$H755</f>
        <v/>
      </c>
      <c r="N755" s="333" t="n"/>
      <c r="O755" s="333" t="n"/>
      <c r="P755" s="333" t="n"/>
      <c r="Q755" s="333" t="n"/>
    </row>
    <row r="756" ht="15" customHeight="1">
      <c r="B756" s="285" t="n">
        <v>44942</v>
      </c>
      <c r="C756" s="286" t="n">
        <v>471</v>
      </c>
      <c r="D756" s="287" t="inlineStr">
        <is>
          <t>Google Workspace PT. EWI</t>
        </is>
      </c>
      <c r="E756" s="333" t="inlineStr">
        <is>
          <t>-</t>
        </is>
      </c>
      <c r="F756" s="334" t="n">
        <v>214896</v>
      </c>
      <c r="G756" s="286" t="inlineStr">
        <is>
          <t>IDR</t>
        </is>
      </c>
      <c r="H756" s="290" t="n">
        <v>1</v>
      </c>
      <c r="I756" s="333" t="n"/>
      <c r="J756" s="333" t="n"/>
      <c r="K756" s="333" t="n"/>
      <c r="L756" s="333" t="n"/>
      <c r="M756" s="334">
        <f>$F756*$H756</f>
        <v/>
      </c>
      <c r="N756" s="333" t="n"/>
      <c r="O756" s="333" t="n"/>
      <c r="P756" s="333" t="n"/>
      <c r="Q756" s="333" t="n"/>
    </row>
    <row r="757" ht="15" customHeight="1">
      <c r="B757" s="285" t="n">
        <v>44973</v>
      </c>
      <c r="C757" s="286" t="n">
        <v>472</v>
      </c>
      <c r="D757" s="287" t="inlineStr">
        <is>
          <t>Google Workspace PT. EWI</t>
        </is>
      </c>
      <c r="E757" s="333" t="inlineStr">
        <is>
          <t>-</t>
        </is>
      </c>
      <c r="F757" s="334" t="n">
        <v>214896</v>
      </c>
      <c r="G757" s="286" t="inlineStr">
        <is>
          <t>IDR</t>
        </is>
      </c>
      <c r="H757" s="290" t="n">
        <v>1</v>
      </c>
      <c r="I757" s="333" t="n"/>
      <c r="J757" s="333" t="n"/>
      <c r="K757" s="333" t="n"/>
      <c r="L757" s="333" t="n"/>
      <c r="M757" s="334">
        <f>$F757*$H757</f>
        <v/>
      </c>
      <c r="N757" s="333" t="n"/>
      <c r="O757" s="333" t="n"/>
      <c r="P757" s="333" t="n"/>
      <c r="Q757" s="333" t="n"/>
    </row>
    <row r="758" ht="15" customHeight="1">
      <c r="B758" s="285" t="n">
        <v>45001</v>
      </c>
      <c r="C758" s="286" t="n">
        <v>473</v>
      </c>
      <c r="D758" s="287" t="inlineStr">
        <is>
          <t>Google Workspace PT. EWI</t>
        </is>
      </c>
      <c r="E758" s="333" t="inlineStr">
        <is>
          <t>-</t>
        </is>
      </c>
      <c r="F758" s="334" t="n">
        <v>214896</v>
      </c>
      <c r="G758" s="286" t="inlineStr">
        <is>
          <t>IDR</t>
        </is>
      </c>
      <c r="H758" s="290" t="n">
        <v>1</v>
      </c>
      <c r="I758" s="333" t="n"/>
      <c r="J758" s="333" t="n"/>
      <c r="K758" s="333" t="n"/>
      <c r="L758" s="333" t="n"/>
      <c r="M758" s="334">
        <f>$F758*$H758</f>
        <v/>
      </c>
      <c r="N758" s="333" t="n"/>
      <c r="O758" s="333" t="n"/>
      <c r="P758" s="333" t="n"/>
      <c r="Q758" s="333" t="n"/>
    </row>
    <row r="759" ht="15" customHeight="1">
      <c r="B759" s="285" t="n">
        <v>45032</v>
      </c>
      <c r="C759" s="286" t="n">
        <v>474</v>
      </c>
      <c r="D759" s="287" t="inlineStr">
        <is>
          <t>Google Workspace PT. EWI</t>
        </is>
      </c>
      <c r="E759" s="333" t="inlineStr">
        <is>
          <t>-</t>
        </is>
      </c>
      <c r="F759" s="334" t="n">
        <v>214896</v>
      </c>
      <c r="G759" s="286" t="inlineStr">
        <is>
          <t>IDR</t>
        </is>
      </c>
      <c r="H759" s="290" t="n">
        <v>1</v>
      </c>
      <c r="I759" s="333" t="n"/>
      <c r="J759" s="333" t="n"/>
      <c r="K759" s="333" t="n"/>
      <c r="L759" s="333" t="n"/>
      <c r="M759" s="334">
        <f>$F759*$H759</f>
        <v/>
      </c>
      <c r="N759" s="333" t="n"/>
      <c r="O759" s="333" t="n"/>
      <c r="P759" s="333" t="n"/>
      <c r="Q759" s="333" t="n"/>
    </row>
    <row r="760" ht="15" customHeight="1">
      <c r="B760" s="285" t="n">
        <v>45062</v>
      </c>
      <c r="C760" s="286" t="n">
        <v>475</v>
      </c>
      <c r="D760" s="287" t="inlineStr">
        <is>
          <t>Google Workspace PT. EWI</t>
        </is>
      </c>
      <c r="E760" s="333" t="inlineStr">
        <is>
          <t>-</t>
        </is>
      </c>
      <c r="F760" s="334" t="n">
        <v>214896</v>
      </c>
      <c r="G760" s="286" t="inlineStr">
        <is>
          <t>IDR</t>
        </is>
      </c>
      <c r="H760" s="290" t="n">
        <v>1</v>
      </c>
      <c r="I760" s="333" t="n"/>
      <c r="J760" s="333" t="n"/>
      <c r="K760" s="333" t="n"/>
      <c r="L760" s="333" t="n"/>
      <c r="M760" s="334">
        <f>$F760*$H760</f>
        <v/>
      </c>
      <c r="N760" s="333" t="n"/>
      <c r="O760" s="333" t="n"/>
      <c r="P760" s="333" t="n"/>
      <c r="Q760" s="333" t="n"/>
    </row>
    <row r="761" ht="15" customHeight="1">
      <c r="B761" s="285" t="n">
        <v>45093</v>
      </c>
      <c r="C761" s="286" t="n">
        <v>476</v>
      </c>
      <c r="D761" s="287" t="inlineStr">
        <is>
          <t>Google Workspace PT. EWI</t>
        </is>
      </c>
      <c r="E761" s="333" t="inlineStr">
        <is>
          <t>-</t>
        </is>
      </c>
      <c r="F761" s="334" t="n">
        <v>214896</v>
      </c>
      <c r="G761" s="286" t="inlineStr">
        <is>
          <t>IDR</t>
        </is>
      </c>
      <c r="H761" s="290" t="n">
        <v>1</v>
      </c>
      <c r="I761" s="333" t="n"/>
      <c r="J761" s="333" t="n"/>
      <c r="K761" s="333" t="n"/>
      <c r="L761" s="333" t="n"/>
      <c r="M761" s="334">
        <f>$F761*$H761</f>
        <v/>
      </c>
      <c r="N761" s="333" t="n"/>
      <c r="O761" s="333" t="n"/>
      <c r="P761" s="333" t="n"/>
      <c r="Q761" s="333" t="n"/>
    </row>
    <row r="762" ht="15" customHeight="1">
      <c r="B762" s="285" t="n">
        <v>45123</v>
      </c>
      <c r="C762" s="286" t="n">
        <v>477</v>
      </c>
      <c r="D762" s="287" t="inlineStr">
        <is>
          <t>Google Workspace PT. EWI</t>
        </is>
      </c>
      <c r="E762" s="333" t="inlineStr">
        <is>
          <t>-</t>
        </is>
      </c>
      <c r="F762" s="334" t="n">
        <v>214896</v>
      </c>
      <c r="G762" s="286" t="inlineStr">
        <is>
          <t>IDR</t>
        </is>
      </c>
      <c r="H762" s="290" t="n">
        <v>1</v>
      </c>
      <c r="I762" s="333" t="n"/>
      <c r="J762" s="333" t="n"/>
      <c r="K762" s="333" t="n"/>
      <c r="L762" s="333" t="n"/>
      <c r="M762" s="334">
        <f>$F762*$H762</f>
        <v/>
      </c>
      <c r="N762" s="333" t="n"/>
      <c r="O762" s="333" t="n"/>
      <c r="P762" s="333" t="n"/>
      <c r="Q762" s="333" t="n"/>
    </row>
    <row r="763" ht="15" customHeight="1">
      <c r="B763" s="285" t="n">
        <v>45154</v>
      </c>
      <c r="C763" s="286" t="n">
        <v>478</v>
      </c>
      <c r="D763" s="287" t="inlineStr">
        <is>
          <t>Domain + Google Workspace PT. EWI</t>
        </is>
      </c>
      <c r="E763" s="333" t="inlineStr">
        <is>
          <t>-</t>
        </is>
      </c>
      <c r="F763" s="334" t="n">
        <v>399078</v>
      </c>
      <c r="G763" s="286" t="inlineStr">
        <is>
          <t>IDR</t>
        </is>
      </c>
      <c r="H763" s="290" t="n">
        <v>1</v>
      </c>
      <c r="I763" s="333" t="n"/>
      <c r="J763" s="333" t="n"/>
      <c r="K763" s="333" t="n"/>
      <c r="L763" s="333" t="n"/>
      <c r="M763" s="334">
        <f>$F763*$H763</f>
        <v/>
      </c>
      <c r="N763" s="333" t="n"/>
      <c r="O763" s="333" t="n"/>
      <c r="P763" s="333" t="n"/>
      <c r="Q763" s="333" t="n"/>
    </row>
    <row r="764" ht="15" customHeight="1">
      <c r="B764" s="285" t="n">
        <v>45185</v>
      </c>
      <c r="C764" s="286" t="n">
        <v>479</v>
      </c>
      <c r="D764" s="287" t="inlineStr">
        <is>
          <t>Google Workspace PT. EWI</t>
        </is>
      </c>
      <c r="E764" s="333" t="inlineStr">
        <is>
          <t>-</t>
        </is>
      </c>
      <c r="F764" s="334" t="n">
        <v>214896</v>
      </c>
      <c r="G764" s="286" t="inlineStr">
        <is>
          <t>IDR</t>
        </is>
      </c>
      <c r="H764" s="290" t="n">
        <v>1</v>
      </c>
      <c r="I764" s="333" t="n"/>
      <c r="J764" s="333" t="n"/>
      <c r="K764" s="333" t="n"/>
      <c r="L764" s="333" t="n"/>
      <c r="M764" s="334">
        <f>$F764*$H764</f>
        <v/>
      </c>
      <c r="N764" s="333" t="n"/>
      <c r="O764" s="333" t="n"/>
      <c r="P764" s="333" t="n"/>
      <c r="Q764" s="333" t="n"/>
    </row>
    <row r="765" ht="15" customHeight="1">
      <c r="B765" s="285" t="n">
        <v>45215</v>
      </c>
      <c r="C765" s="286" t="n">
        <v>480</v>
      </c>
      <c r="D765" s="287" t="inlineStr">
        <is>
          <t>Google Workspace PT. EWI</t>
        </is>
      </c>
      <c r="E765" s="333" t="inlineStr">
        <is>
          <t>-</t>
        </is>
      </c>
      <c r="F765" s="334" t="n">
        <v>306982</v>
      </c>
      <c r="G765" s="286" t="inlineStr">
        <is>
          <t>IDR</t>
        </is>
      </c>
      <c r="H765" s="290" t="n">
        <v>1</v>
      </c>
      <c r="I765" s="333" t="n"/>
      <c r="J765" s="333" t="n"/>
      <c r="K765" s="333" t="n"/>
      <c r="L765" s="333" t="n"/>
      <c r="M765" s="334">
        <f>$F765*$H765</f>
        <v/>
      </c>
      <c r="N765" s="333" t="n"/>
      <c r="O765" s="333" t="n"/>
      <c r="P765" s="333" t="n"/>
      <c r="Q765" s="333" t="n"/>
    </row>
    <row r="766" ht="15" customHeight="1">
      <c r="B766" s="285" t="n">
        <v>45246</v>
      </c>
      <c r="C766" s="286" t="n">
        <v>481</v>
      </c>
      <c r="D766" s="287" t="inlineStr">
        <is>
          <t>Google Workspace PT. EWI</t>
        </is>
      </c>
      <c r="E766" s="333" t="inlineStr">
        <is>
          <t>-</t>
        </is>
      </c>
      <c r="F766" s="334" t="n">
        <v>306982</v>
      </c>
      <c r="G766" s="286" t="inlineStr">
        <is>
          <t>IDR</t>
        </is>
      </c>
      <c r="H766" s="290" t="n">
        <v>1</v>
      </c>
      <c r="I766" s="333" t="n"/>
      <c r="J766" s="333" t="n"/>
      <c r="K766" s="333" t="n"/>
      <c r="L766" s="333" t="n"/>
      <c r="M766" s="334">
        <f>$F766*$H766</f>
        <v/>
      </c>
      <c r="N766" s="333" t="n"/>
      <c r="O766" s="333" t="n"/>
      <c r="P766" s="333" t="n"/>
      <c r="Q766" s="333" t="n"/>
    </row>
    <row r="767" ht="15" customHeight="1">
      <c r="B767" s="285" t="n">
        <v>45276</v>
      </c>
      <c r="C767" s="286" t="n">
        <v>482</v>
      </c>
      <c r="D767" s="287" t="inlineStr">
        <is>
          <t>Google Workspace PT. EWI</t>
        </is>
      </c>
      <c r="E767" s="333" t="inlineStr">
        <is>
          <t>-</t>
        </is>
      </c>
      <c r="F767" s="334" t="n">
        <v>306982</v>
      </c>
      <c r="G767" s="286" t="inlineStr">
        <is>
          <t>IDR</t>
        </is>
      </c>
      <c r="H767" s="290" t="n">
        <v>1</v>
      </c>
      <c r="I767" s="333" t="n"/>
      <c r="J767" s="333" t="n"/>
      <c r="K767" s="333" t="n"/>
      <c r="L767" s="333" t="n"/>
      <c r="M767" s="334">
        <f>$F767*$H767</f>
        <v/>
      </c>
      <c r="N767" s="333" t="n"/>
      <c r="O767" s="333" t="n"/>
      <c r="P767" s="333" t="n"/>
      <c r="Q767" s="333" t="n"/>
    </row>
    <row r="768" ht="15" customHeight="1">
      <c r="B768" s="285" t="n">
        <v>45307</v>
      </c>
      <c r="C768" s="286" t="n">
        <v>483</v>
      </c>
      <c r="D768" s="287" t="inlineStr">
        <is>
          <t>Google Workspace PT. EWI</t>
        </is>
      </c>
      <c r="E768" s="333" t="inlineStr">
        <is>
          <t>-</t>
        </is>
      </c>
      <c r="F768" s="334" t="n">
        <v>306982</v>
      </c>
      <c r="G768" s="286" t="inlineStr">
        <is>
          <t>IDR</t>
        </is>
      </c>
      <c r="H768" s="290" t="n">
        <v>1</v>
      </c>
      <c r="I768" s="333" t="n"/>
      <c r="J768" s="333" t="n"/>
      <c r="K768" s="333" t="n"/>
      <c r="L768" s="333" t="n"/>
      <c r="M768" s="334">
        <f>$F768*$H768</f>
        <v/>
      </c>
      <c r="N768" s="333" t="n"/>
      <c r="O768" s="333" t="n"/>
      <c r="P768" s="333" t="n"/>
      <c r="Q768" s="333" t="n"/>
    </row>
    <row r="769" ht="15" customHeight="1">
      <c r="B769" s="285" t="n">
        <v>45338</v>
      </c>
      <c r="C769" s="286" t="n">
        <v>484</v>
      </c>
      <c r="D769" s="287" t="inlineStr">
        <is>
          <t>Google Workspace PT. EWI</t>
        </is>
      </c>
      <c r="E769" s="333" t="inlineStr">
        <is>
          <t>-</t>
        </is>
      </c>
      <c r="F769" s="334" t="n">
        <v>306982</v>
      </c>
      <c r="G769" s="286" t="inlineStr">
        <is>
          <t>IDR</t>
        </is>
      </c>
      <c r="H769" s="290" t="n">
        <v>1</v>
      </c>
      <c r="I769" s="333" t="n"/>
      <c r="J769" s="333" t="n"/>
      <c r="K769" s="333" t="n"/>
      <c r="L769" s="333" t="n"/>
      <c r="M769" s="334">
        <f>$F769*$H769</f>
        <v/>
      </c>
      <c r="N769" s="333" t="n"/>
      <c r="O769" s="333" t="n"/>
      <c r="P769" s="333" t="n"/>
      <c r="Q769" s="333" t="n"/>
    </row>
    <row r="770" ht="15" customHeight="1">
      <c r="B770" s="285" t="n">
        <v>45367</v>
      </c>
      <c r="C770" s="286" t="n">
        <v>485</v>
      </c>
      <c r="D770" s="287" t="inlineStr">
        <is>
          <t>Google Workspace PT. EWI</t>
        </is>
      </c>
      <c r="E770" s="333" t="inlineStr">
        <is>
          <t>-</t>
        </is>
      </c>
      <c r="F770" s="334" t="n">
        <v>306982</v>
      </c>
      <c r="G770" s="286" t="inlineStr">
        <is>
          <t>IDR</t>
        </is>
      </c>
      <c r="H770" s="290" t="n">
        <v>1</v>
      </c>
      <c r="I770" s="333" t="n"/>
      <c r="J770" s="333" t="n"/>
      <c r="K770" s="333" t="n"/>
      <c r="L770" s="333" t="n"/>
      <c r="M770" s="334">
        <f>$F770*$H770</f>
        <v/>
      </c>
      <c r="N770" s="333" t="n"/>
      <c r="O770" s="333" t="n"/>
      <c r="P770" s="333" t="n"/>
      <c r="Q770" s="333" t="n"/>
    </row>
    <row r="771" ht="15" customHeight="1">
      <c r="B771" s="285" t="n">
        <v>45398</v>
      </c>
      <c r="C771" s="286" t="n">
        <v>486</v>
      </c>
      <c r="D771" s="287" t="inlineStr">
        <is>
          <t>Google Workspace PT. EWI</t>
        </is>
      </c>
      <c r="E771" s="333" t="inlineStr">
        <is>
          <t>-</t>
        </is>
      </c>
      <c r="F771" s="334" t="n">
        <v>306982</v>
      </c>
      <c r="G771" s="286" t="inlineStr">
        <is>
          <t>IDR</t>
        </is>
      </c>
      <c r="H771" s="290" t="n">
        <v>1</v>
      </c>
      <c r="I771" s="333" t="n"/>
      <c r="J771" s="333" t="n"/>
      <c r="K771" s="333" t="n"/>
      <c r="L771" s="333" t="n"/>
      <c r="M771" s="334">
        <f>$F771*$H771</f>
        <v/>
      </c>
      <c r="N771" s="333" t="n"/>
      <c r="O771" s="333" t="n"/>
      <c r="P771" s="333" t="n"/>
      <c r="Q771" s="333" t="n"/>
    </row>
    <row r="772" ht="15" customHeight="1">
      <c r="B772" s="285" t="n">
        <v>45428</v>
      </c>
      <c r="C772" s="286" t="n">
        <v>487</v>
      </c>
      <c r="D772" s="287" t="inlineStr">
        <is>
          <t>Google Workspace PT. EWI</t>
        </is>
      </c>
      <c r="E772" s="333" t="inlineStr">
        <is>
          <t>-</t>
        </is>
      </c>
      <c r="F772" s="334" t="n">
        <v>306982</v>
      </c>
      <c r="G772" s="286" t="inlineStr">
        <is>
          <t>IDR</t>
        </is>
      </c>
      <c r="H772" s="290" t="n">
        <v>1</v>
      </c>
      <c r="I772" s="333" t="n"/>
      <c r="J772" s="333" t="n"/>
      <c r="K772" s="333" t="n"/>
      <c r="L772" s="333" t="n"/>
      <c r="M772" s="334">
        <f>$F772*$H772</f>
        <v/>
      </c>
      <c r="N772" s="333" t="n"/>
      <c r="O772" s="333" t="n"/>
      <c r="P772" s="333" t="n"/>
      <c r="Q772" s="333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2" t="n"/>
      <c r="C774" s="332" t="n"/>
      <c r="D774" s="282" t="inlineStr">
        <is>
          <t>Training</t>
        </is>
      </c>
      <c r="E774" s="332" t="n"/>
      <c r="F774" s="332" t="n"/>
      <c r="G774" s="332" t="n"/>
      <c r="H774" s="332" t="n"/>
      <c r="I774" s="332" t="n"/>
      <c r="J774" s="332" t="n"/>
      <c r="K774" s="332" t="n"/>
      <c r="L774" s="332" t="n"/>
      <c r="M774" s="332" t="n"/>
      <c r="N774" s="332" t="n"/>
      <c r="O774" s="332" t="n"/>
      <c r="P774" s="332" t="n"/>
      <c r="Q774" s="332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33" t="inlineStr">
        <is>
          <t>-</t>
        </is>
      </c>
      <c r="F775" s="334" t="n">
        <v>2700000</v>
      </c>
      <c r="G775" s="286" t="inlineStr">
        <is>
          <t>IDR</t>
        </is>
      </c>
      <c r="H775" s="290" t="n">
        <v>1</v>
      </c>
      <c r="I775" s="333" t="n"/>
      <c r="J775" s="333" t="n"/>
      <c r="K775" s="333" t="n"/>
      <c r="L775" s="334">
        <f>$F775*$H775</f>
        <v/>
      </c>
      <c r="M775" s="333" t="n"/>
      <c r="N775" s="333" t="n"/>
      <c r="O775" s="333" t="n"/>
      <c r="P775" s="333" t="n"/>
      <c r="Q775" s="333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2" t="n"/>
      <c r="C777" s="332" t="n"/>
      <c r="D777" s="282" t="inlineStr">
        <is>
          <t>Accommodation</t>
        </is>
      </c>
      <c r="E777" s="332" t="n"/>
      <c r="F777" s="332" t="n"/>
      <c r="G777" s="332" t="n"/>
      <c r="H777" s="332" t="n"/>
      <c r="I777" s="332" t="n"/>
      <c r="J777" s="332" t="n"/>
      <c r="K777" s="332" t="n"/>
      <c r="L777" s="332" t="n"/>
      <c r="M777" s="332" t="n"/>
      <c r="N777" s="332" t="n"/>
      <c r="O777" s="332" t="n"/>
      <c r="P777" s="332" t="n"/>
      <c r="Q777" s="332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33" t="inlineStr">
        <is>
          <t>-</t>
        </is>
      </c>
      <c r="F778" s="334" t="n">
        <v>224000</v>
      </c>
      <c r="G778" s="286" t="inlineStr">
        <is>
          <t>IDR</t>
        </is>
      </c>
      <c r="H778" s="290" t="n">
        <v>1</v>
      </c>
      <c r="I778" s="333" t="n"/>
      <c r="J778" s="333" t="n"/>
      <c r="K778" s="333" t="n"/>
      <c r="L778" s="334">
        <f>$F778*$H778</f>
        <v/>
      </c>
      <c r="M778" s="333" t="n"/>
      <c r="N778" s="333" t="n"/>
      <c r="O778" s="333" t="n"/>
      <c r="P778" s="333" t="n"/>
      <c r="Q778" s="333" t="n"/>
    </row>
    <row r="779">
      <c r="B779" s="332" t="n"/>
      <c r="C779" s="332" t="n"/>
      <c r="D779" s="282" t="inlineStr">
        <is>
          <t>Allowance</t>
        </is>
      </c>
      <c r="E779" s="332" t="n"/>
      <c r="F779" s="332" t="n"/>
      <c r="G779" s="332" t="n"/>
      <c r="H779" s="332" t="n"/>
      <c r="I779" s="332" t="n"/>
      <c r="J779" s="332" t="n"/>
      <c r="K779" s="332" t="n"/>
      <c r="L779" s="332" t="n"/>
      <c r="M779" s="332" t="n"/>
      <c r="N779" s="332" t="n"/>
      <c r="O779" s="332" t="n"/>
      <c r="P779" s="332" t="n"/>
      <c r="Q779" s="332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33" t="inlineStr">
        <is>
          <t>-</t>
        </is>
      </c>
      <c r="F780" s="334" t="n">
        <v>300000</v>
      </c>
      <c r="G780" s="286" t="inlineStr">
        <is>
          <t>IDR</t>
        </is>
      </c>
      <c r="H780" s="290" t="n">
        <v>1</v>
      </c>
      <c r="I780" s="333" t="n"/>
      <c r="J780" s="333" t="n"/>
      <c r="K780" s="333" t="n"/>
      <c r="L780" s="334">
        <f>$F780*$H780</f>
        <v/>
      </c>
      <c r="M780" s="333" t="n"/>
      <c r="N780" s="333" t="n"/>
      <c r="O780" s="333" t="n"/>
      <c r="P780" s="333" t="n"/>
      <c r="Q780" s="333" t="n"/>
    </row>
    <row r="781">
      <c r="B781" s="332" t="n"/>
      <c r="C781" s="332" t="n"/>
      <c r="D781" s="282" t="inlineStr">
        <is>
          <t>Transportation</t>
        </is>
      </c>
      <c r="E781" s="332" t="n"/>
      <c r="F781" s="332" t="n"/>
      <c r="G781" s="332" t="n"/>
      <c r="H781" s="332" t="n"/>
      <c r="I781" s="332" t="n"/>
      <c r="J781" s="332" t="n"/>
      <c r="K781" s="332" t="n"/>
      <c r="L781" s="332" t="n"/>
      <c r="M781" s="332" t="n"/>
      <c r="N781" s="332" t="n"/>
      <c r="O781" s="332" t="n"/>
      <c r="P781" s="332" t="n"/>
      <c r="Q781" s="332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33" t="inlineStr">
        <is>
          <t>-</t>
        </is>
      </c>
      <c r="F782" s="334" t="n">
        <v>200000</v>
      </c>
      <c r="G782" s="286" t="inlineStr">
        <is>
          <t>IDR</t>
        </is>
      </c>
      <c r="H782" s="290" t="n">
        <v>1</v>
      </c>
      <c r="I782" s="333" t="n"/>
      <c r="J782" s="333" t="n"/>
      <c r="K782" s="333" t="n"/>
      <c r="L782" s="334">
        <f>$F782*$H782</f>
        <v/>
      </c>
      <c r="M782" s="333" t="n"/>
      <c r="N782" s="333" t="n"/>
      <c r="O782" s="333" t="n"/>
      <c r="P782" s="333" t="n"/>
      <c r="Q782" s="333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33" t="inlineStr">
        <is>
          <t>-</t>
        </is>
      </c>
      <c r="F783" s="334" t="n">
        <v>61500</v>
      </c>
      <c r="G783" s="286" t="inlineStr">
        <is>
          <t>IDR</t>
        </is>
      </c>
      <c r="H783" s="290" t="n">
        <v>1</v>
      </c>
      <c r="I783" s="333" t="n"/>
      <c r="J783" s="333" t="n"/>
      <c r="K783" s="333" t="n"/>
      <c r="L783" s="334">
        <f>$F783*$H783</f>
        <v/>
      </c>
      <c r="M783" s="333" t="n"/>
      <c r="N783" s="333" t="n"/>
      <c r="O783" s="333" t="n"/>
      <c r="P783" s="333" t="n"/>
      <c r="Q783" s="333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33" t="inlineStr">
        <is>
          <t>-</t>
        </is>
      </c>
      <c r="F784" s="334" t="n">
        <v>12500</v>
      </c>
      <c r="G784" s="286" t="inlineStr">
        <is>
          <t>IDR</t>
        </is>
      </c>
      <c r="H784" s="290" t="n">
        <v>1</v>
      </c>
      <c r="I784" s="333" t="n"/>
      <c r="J784" s="333" t="n"/>
      <c r="K784" s="333" t="n"/>
      <c r="L784" s="334">
        <f>$F784*$H784</f>
        <v/>
      </c>
      <c r="M784" s="333" t="n"/>
      <c r="N784" s="333" t="n"/>
      <c r="O784" s="333" t="n"/>
      <c r="P784" s="333" t="n"/>
      <c r="Q784" s="333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33" t="inlineStr">
        <is>
          <t>-</t>
        </is>
      </c>
      <c r="F785" s="334" t="n">
        <v>140000</v>
      </c>
      <c r="G785" s="286" t="inlineStr">
        <is>
          <t>IDR</t>
        </is>
      </c>
      <c r="H785" s="290" t="n">
        <v>1</v>
      </c>
      <c r="I785" s="333" t="n"/>
      <c r="J785" s="333" t="n"/>
      <c r="K785" s="333" t="n"/>
      <c r="L785" s="334">
        <f>$F785*$H785</f>
        <v/>
      </c>
      <c r="M785" s="333" t="n"/>
      <c r="N785" s="333" t="n"/>
      <c r="O785" s="333" t="n"/>
      <c r="P785" s="333" t="n"/>
      <c r="Q785" s="333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33" t="inlineStr">
        <is>
          <t>-</t>
        </is>
      </c>
      <c r="F786" s="334" t="n">
        <v>11000</v>
      </c>
      <c r="G786" s="286" t="inlineStr">
        <is>
          <t>IDR</t>
        </is>
      </c>
      <c r="H786" s="290" t="n">
        <v>1</v>
      </c>
      <c r="I786" s="333" t="n"/>
      <c r="J786" s="333" t="n"/>
      <c r="K786" s="333" t="n"/>
      <c r="L786" s="334">
        <f>$F786*$H786</f>
        <v/>
      </c>
      <c r="M786" s="333" t="n"/>
      <c r="N786" s="333" t="n"/>
      <c r="O786" s="333" t="n"/>
      <c r="P786" s="333" t="n"/>
      <c r="Q786" s="333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33" t="inlineStr">
        <is>
          <t>-</t>
        </is>
      </c>
      <c r="F787" s="334" t="n">
        <v>11000</v>
      </c>
      <c r="G787" s="286" t="inlineStr">
        <is>
          <t>IDR</t>
        </is>
      </c>
      <c r="H787" s="290" t="n">
        <v>1</v>
      </c>
      <c r="I787" s="333" t="n"/>
      <c r="J787" s="333" t="n"/>
      <c r="K787" s="333" t="n"/>
      <c r="L787" s="334">
        <f>$F787*$H787</f>
        <v/>
      </c>
      <c r="M787" s="333" t="n"/>
      <c r="N787" s="333" t="n"/>
      <c r="O787" s="333" t="n"/>
      <c r="P787" s="333" t="n"/>
      <c r="Q787" s="333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33" t="inlineStr">
        <is>
          <t>-</t>
        </is>
      </c>
      <c r="F788" s="334" t="n">
        <v>66000</v>
      </c>
      <c r="G788" s="286" t="inlineStr">
        <is>
          <t>IDR</t>
        </is>
      </c>
      <c r="H788" s="290" t="n">
        <v>1</v>
      </c>
      <c r="I788" s="333" t="n"/>
      <c r="J788" s="333" t="n"/>
      <c r="K788" s="333" t="n"/>
      <c r="L788" s="334">
        <f>$F788*$H788</f>
        <v/>
      </c>
      <c r="M788" s="333" t="n"/>
      <c r="N788" s="333" t="n"/>
      <c r="O788" s="333" t="n"/>
      <c r="P788" s="333" t="n"/>
      <c r="Q788" s="333" t="n"/>
    </row>
    <row r="789">
      <c r="B789" s="335" t="inlineStr">
        <is>
          <t>TOTAL</t>
        </is>
      </c>
      <c r="C789" s="336" t="n"/>
      <c r="D789" s="336" t="n"/>
      <c r="E789" s="336" t="n"/>
      <c r="F789" s="336" t="n"/>
      <c r="G789" s="336" t="n"/>
      <c r="H789" s="336" t="n"/>
      <c r="I789" s="337">
        <f>SUM(I41:I788)</f>
        <v/>
      </c>
      <c r="J789" s="337">
        <f>SUM(J41:J788)</f>
        <v/>
      </c>
      <c r="K789" s="337">
        <f>SUM(K41:K788)</f>
        <v/>
      </c>
      <c r="L789" s="337">
        <f>SUM(L41:L788)</f>
        <v/>
      </c>
      <c r="M789" s="337">
        <f>SUM(M41:M788)</f>
        <v/>
      </c>
      <c r="N789" s="337">
        <f>SUM(N41:N788)</f>
        <v/>
      </c>
      <c r="O789" s="337">
        <f>SUM(O41:O788)</f>
        <v/>
      </c>
      <c r="P789" s="337">
        <f>SUM(P41:P788)</f>
        <v/>
      </c>
      <c r="Q789" s="337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8" t="inlineStr">
        <is>
          <t>No</t>
        </is>
      </c>
      <c r="C792" s="339" t="inlineStr">
        <is>
          <t>Tanggal</t>
        </is>
      </c>
      <c r="D792" s="339" t="inlineStr">
        <is>
          <t>Deskripsi / Keterangan</t>
        </is>
      </c>
      <c r="E792" s="52" t="inlineStr">
        <is>
          <t>Source</t>
        </is>
      </c>
      <c r="F792" s="340" t="inlineStr">
        <is>
          <t>Nominal (IDR)</t>
        </is>
      </c>
      <c r="G792" s="339" t="inlineStr">
        <is>
          <t>Tipe</t>
        </is>
      </c>
      <c r="H792" s="339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8" t="inlineStr">
        <is>
          <t>No</t>
        </is>
      </c>
      <c r="C796" s="339" t="inlineStr">
        <is>
          <t>Tgl Beli</t>
        </is>
      </c>
      <c r="D796" s="339" t="inlineStr">
        <is>
          <t>Nama Aset</t>
        </is>
      </c>
      <c r="E796" s="52" t="inlineStr">
        <is>
          <t>Source</t>
        </is>
      </c>
      <c r="F796" s="340" t="inlineStr">
        <is>
          <t>Harga Perolehan</t>
        </is>
      </c>
      <c r="G796" s="339" t="inlineStr">
        <is>
          <t>Masa Manfaat</t>
        </is>
      </c>
      <c r="H796" s="339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367745000</v>
      </c>
      <c r="J797" t="n">
        <v>991500000</v>
      </c>
      <c r="K797" t="n">
        <v>356012003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" customHeight="1">
      <c r="A3" s="341" t="n"/>
      <c r="B3" s="343" t="inlineStr">
        <is>
          <t>PT. EXSPAN WIRELINE INDONESIA</t>
        </is>
      </c>
      <c r="F3" s="344" t="n"/>
      <c r="G3" s="345" t="inlineStr">
        <is>
          <t>PT. EXSPAN WIRELINE INDONESIA</t>
        </is>
      </c>
      <c r="H3" s="345" t="n"/>
      <c r="I3" s="345" t="n"/>
      <c r="J3" s="345" t="n"/>
    </row>
    <row r="4" ht="20.45" customHeight="1">
      <c r="A4" s="341" t="n"/>
      <c r="B4" s="346" t="inlineStr">
        <is>
          <t>LABA RUGI | TAHUN 2024</t>
        </is>
      </c>
      <c r="F4" s="344" t="n"/>
      <c r="G4" s="347" t="inlineStr">
        <is>
          <t>NERACA |TAHUN YANG BERAKHIR, 31 DESEMBER 2024</t>
        </is>
      </c>
      <c r="H4" s="347" t="n"/>
      <c r="I4" s="347" t="n"/>
      <c r="J4" s="347" t="n"/>
    </row>
    <row r="5" ht="6" customHeight="1">
      <c r="A5" s="341" t="n"/>
      <c r="B5" s="341" t="n"/>
      <c r="C5" s="341" t="n"/>
      <c r="D5" s="341" t="n"/>
      <c r="E5" s="342" t="n"/>
      <c r="F5" s="344" t="n"/>
      <c r="G5" s="344" t="n"/>
      <c r="H5" s="348" t="n"/>
      <c r="I5" s="348" t="n"/>
      <c r="J5" s="348" t="n"/>
    </row>
    <row r="6" ht="15.4" customHeight="1">
      <c r="A6" s="341" t="n"/>
      <c r="B6" s="349" t="n"/>
      <c r="C6" s="350" t="n"/>
      <c r="D6" s="351" t="inlineStr">
        <is>
          <t>PT. Exspan Wireline Indonesia</t>
        </is>
      </c>
      <c r="E6" s="221" t="n"/>
      <c r="F6" s="344" t="n"/>
      <c r="G6" s="352" t="n"/>
      <c r="H6" s="353" t="n"/>
      <c r="I6" s="351" t="inlineStr">
        <is>
          <t>PT. Exspan Wireline Indonesia</t>
        </is>
      </c>
      <c r="J6" s="221" t="n"/>
    </row>
    <row r="7" ht="15.4" customHeight="1">
      <c r="A7" s="341" t="n"/>
      <c r="B7" s="354" t="n"/>
      <c r="C7" s="355" t="n"/>
      <c r="D7" s="356" t="inlineStr">
        <is>
          <t>(Rp)</t>
        </is>
      </c>
      <c r="E7" s="226" t="n"/>
      <c r="F7" s="344" t="n"/>
      <c r="G7" s="357" t="n"/>
      <c r="H7" s="358" t="n"/>
      <c r="I7" s="356" t="inlineStr">
        <is>
          <t>(Rp)</t>
        </is>
      </c>
      <c r="J7" s="226" t="n"/>
    </row>
    <row r="8" ht="15" customHeight="1">
      <c r="A8" s="284" t="n"/>
      <c r="B8" s="359" t="inlineStr">
        <is>
          <t>PENDAPATAN</t>
        </is>
      </c>
      <c r="C8" s="360" t="n"/>
      <c r="D8" s="361" t="n"/>
      <c r="E8" s="362" t="n"/>
      <c r="F8" s="344" t="n"/>
      <c r="G8" s="363" t="inlineStr">
        <is>
          <t>AKTIVA</t>
        </is>
      </c>
      <c r="H8" s="364" t="inlineStr">
        <is>
          <t>AKTIVA</t>
        </is>
      </c>
      <c r="I8" s="365" t="n"/>
      <c r="J8" s="362" t="n"/>
    </row>
    <row r="9" ht="15" customHeight="1">
      <c r="A9" s="284" t="n"/>
      <c r="B9" s="366" t="n"/>
      <c r="C9" s="367" t="inlineStr">
        <is>
          <t>PENDAPATAN LANGSUNG</t>
        </is>
      </c>
      <c r="D9" s="368" t="inlineStr">
        <is>
          <t>Rp</t>
        </is>
      </c>
      <c r="E9" s="369">
        <f>SUM('Revenue-Cost_2024'!F8:F20)</f>
        <v/>
      </c>
      <c r="F9" s="344" t="n"/>
      <c r="G9" s="370" t="inlineStr">
        <is>
          <t>AKTIVA LANCAR</t>
        </is>
      </c>
      <c r="H9" s="371" t="inlineStr">
        <is>
          <t>AKTIVA LANCAR</t>
        </is>
      </c>
      <c r="I9" s="372" t="n"/>
      <c r="J9" s="369" t="n"/>
    </row>
    <row r="10" ht="15" customHeight="1">
      <c r="A10" s="284" t="n"/>
      <c r="B10" s="366" t="n"/>
      <c r="C10" s="367" t="inlineStr">
        <is>
          <t>PENDAPATAN LAIN LAIN</t>
        </is>
      </c>
      <c r="D10" s="368" t="inlineStr">
        <is>
          <t>Rp</t>
        </is>
      </c>
      <c r="E10" s="369">
        <f>SUM('Revenue-Cost_2024'!F21:F21)</f>
        <v/>
      </c>
      <c r="F10" s="344" t="n"/>
      <c r="G10" s="370" t="n"/>
      <c r="H10" s="371" t="inlineStr">
        <is>
          <t xml:space="preserve">  KAS DAN SETARA KAS TAHUN SEBELUMNYA</t>
        </is>
      </c>
      <c r="I10" s="368" t="inlineStr">
        <is>
          <t>Rp</t>
        </is>
      </c>
      <c r="J10" s="369" t="n">
        <v>161401093</v>
      </c>
    </row>
    <row r="11" ht="15" customHeight="1">
      <c r="A11" s="284" t="n"/>
      <c r="B11" s="366" t="n"/>
      <c r="C11" s="367" t="n"/>
      <c r="D11" s="368" t="n"/>
      <c r="E11" s="369" t="n"/>
      <c r="F11" s="344" t="n"/>
      <c r="G11" s="370" t="n"/>
      <c r="H11" s="371" t="inlineStr">
        <is>
          <t xml:space="preserve">  KAS DAN SETARA KAS TAHUN LAPORAN</t>
        </is>
      </c>
      <c r="I11" s="368" t="inlineStr">
        <is>
          <t>Rp</t>
        </is>
      </c>
      <c r="J11" s="369">
        <f>ROUND(E41-'Business Summary'!E13, 0)</f>
        <v/>
      </c>
    </row>
    <row r="12" ht="15" customHeight="1">
      <c r="A12" s="284" t="n"/>
      <c r="B12" s="373" t="inlineStr">
        <is>
          <t>TOTAL PENDAPATAN</t>
        </is>
      </c>
      <c r="C12" s="374" t="n"/>
      <c r="D12" s="375" t="inlineStr">
        <is>
          <t>Rp</t>
        </is>
      </c>
      <c r="E12" s="376">
        <f>SUM(E9:E11)</f>
        <v/>
      </c>
      <c r="F12" s="344" t="n"/>
      <c r="G12" s="370" t="n"/>
      <c r="H12" s="371" t="inlineStr">
        <is>
          <t xml:space="preserve">  PIUTANG USAHA</t>
        </is>
      </c>
      <c r="I12" s="368" t="inlineStr">
        <is>
          <t>Rp</t>
        </is>
      </c>
      <c r="J12" s="369" t="n">
        <v>0</v>
      </c>
    </row>
    <row r="13" ht="15" customHeight="1">
      <c r="A13" s="284" t="n"/>
      <c r="B13" s="366" t="n"/>
      <c r="C13" s="367" t="n"/>
      <c r="D13" s="368" t="n"/>
      <c r="E13" s="369" t="n"/>
      <c r="F13" s="344" t="n"/>
      <c r="G13" s="370" t="n"/>
      <c r="H13" s="371" t="inlineStr">
        <is>
          <t xml:space="preserve">  PAJAK BAYAR DI MUKA (pph23)</t>
        </is>
      </c>
      <c r="I13" s="368" t="inlineStr">
        <is>
          <t>Rp</t>
        </is>
      </c>
      <c r="J13" s="369" t="n">
        <v>0</v>
      </c>
    </row>
    <row r="14" ht="15" customHeight="1">
      <c r="A14" s="284" t="n"/>
      <c r="B14" s="359" t="inlineStr">
        <is>
          <t>BEBAN LANGSUNG</t>
        </is>
      </c>
      <c r="C14" s="360" t="n"/>
      <c r="D14" s="361" t="n"/>
      <c r="E14" s="362" t="n"/>
      <c r="F14" s="344" t="n"/>
      <c r="G14" s="370" t="n"/>
      <c r="H14" s="371" t="inlineStr">
        <is>
          <t xml:space="preserve">  BIAYA BAYAR DI MUKA</t>
        </is>
      </c>
      <c r="I14" s="368" t="inlineStr">
        <is>
          <t>Rp</t>
        </is>
      </c>
      <c r="J14" s="369" t="n">
        <v>0</v>
      </c>
    </row>
    <row r="15" ht="15" customHeight="1">
      <c r="A15" s="284" t="n"/>
      <c r="B15" s="366" t="n"/>
      <c r="C15" s="367" t="inlineStr">
        <is>
          <t>BIAYA INTERPRETASI LOG DATA</t>
        </is>
      </c>
      <c r="D15" s="368" t="inlineStr">
        <is>
          <t>Rp</t>
        </is>
      </c>
      <c r="E15" s="369">
        <f>'Revenue-Cost_2024'!I797</f>
        <v/>
      </c>
      <c r="F15" s="344" t="n"/>
      <c r="G15" s="377" t="n"/>
      <c r="H15" s="371" t="inlineStr">
        <is>
          <t xml:space="preserve">  PIUTANG LAIN LAIN</t>
        </is>
      </c>
      <c r="I15" s="368" t="inlineStr">
        <is>
          <t>Rp</t>
        </is>
      </c>
      <c r="J15" s="369" t="n">
        <v>0</v>
      </c>
    </row>
    <row r="16" ht="15" customHeight="1">
      <c r="A16" s="284" t="n"/>
      <c r="B16" s="366" t="n"/>
      <c r="C16" s="367" t="inlineStr">
        <is>
          <t>BIAYA RESEARCH (R&amp;D)</t>
        </is>
      </c>
      <c r="D16" s="368" t="inlineStr">
        <is>
          <t>Rp</t>
        </is>
      </c>
      <c r="E16" s="369">
        <f>'Revenue-Cost_2024'!J797</f>
        <v/>
      </c>
      <c r="F16" s="344" t="n"/>
      <c r="G16" s="378" t="n"/>
      <c r="H16" s="379" t="inlineStr">
        <is>
          <t>TOTAL AKTIVA LANCAR</t>
        </is>
      </c>
      <c r="I16" s="375" t="inlineStr">
        <is>
          <t>Rp</t>
        </is>
      </c>
      <c r="J16" s="376">
        <f>SUM(J10:J15)</f>
        <v/>
      </c>
    </row>
    <row r="17" ht="15" customHeight="1">
      <c r="A17" s="284" t="n"/>
      <c r="B17" s="366" t="n"/>
      <c r="C17" s="367" t="inlineStr">
        <is>
          <t>BIAYA SEWA PERALATAN</t>
        </is>
      </c>
      <c r="D17" s="368" t="inlineStr">
        <is>
          <t>Rp</t>
        </is>
      </c>
      <c r="E17" s="369">
        <f>'Revenue-Cost_2024'!K797</f>
        <v/>
      </c>
      <c r="F17" s="344" t="n"/>
      <c r="G17" s="363" t="n"/>
      <c r="H17" s="364" t="inlineStr">
        <is>
          <t>ACTIVA TETAP</t>
        </is>
      </c>
      <c r="I17" s="365" t="n"/>
      <c r="J17" s="362" t="n"/>
    </row>
    <row r="18" ht="15" customHeight="1">
      <c r="A18" s="284" t="n"/>
      <c r="B18" s="366" t="n"/>
      <c r="C18" s="367" t="inlineStr">
        <is>
          <t>BIAYA OPERASI</t>
        </is>
      </c>
      <c r="D18" s="368" t="inlineStr">
        <is>
          <t>Rp</t>
        </is>
      </c>
      <c r="E18" s="369">
        <f>'Revenue-Cost_2024'!L797</f>
        <v/>
      </c>
      <c r="F18" s="344" t="n"/>
      <c r="G18" s="370" t="inlineStr">
        <is>
          <t>ACTIVA TETAP</t>
        </is>
      </c>
      <c r="H18" s="371" t="n"/>
      <c r="I18" s="372" t="n"/>
      <c r="J18" s="369" t="n"/>
    </row>
    <row r="19" ht="15" customHeight="1">
      <c r="A19" s="284" t="n"/>
      <c r="B19" s="373" t="inlineStr">
        <is>
          <t>TOTAL BIAYA LANGSUNG</t>
        </is>
      </c>
      <c r="C19" s="374" t="n"/>
      <c r="D19" s="375" t="inlineStr">
        <is>
          <t>Rp</t>
        </is>
      </c>
      <c r="E19" s="376">
        <f>SUM(E15:E18)</f>
        <v/>
      </c>
      <c r="F19" s="344" t="n"/>
      <c r="G19" s="370" t="n"/>
      <c r="H19" s="371" t="n"/>
      <c r="I19" s="372" t="n"/>
      <c r="J19" s="369" t="n"/>
    </row>
    <row r="20" ht="15" customHeight="1">
      <c r="A20" s="284" t="n"/>
      <c r="B20" s="366" t="n"/>
      <c r="C20" s="367" t="n"/>
      <c r="D20" s="368" t="n"/>
      <c r="E20" s="369" t="n"/>
      <c r="F20" s="344" t="n"/>
      <c r="G20" s="370" t="n"/>
      <c r="H20" s="371" t="inlineStr">
        <is>
          <t xml:space="preserve">  INVENTARIS KANTOR</t>
        </is>
      </c>
      <c r="I20" s="368" t="inlineStr">
        <is>
          <t>Rp</t>
        </is>
      </c>
      <c r="J20" s="369" t="n">
        <v>0</v>
      </c>
    </row>
    <row r="21" ht="15" customHeight="1">
      <c r="A21" s="284" t="n"/>
      <c r="B21" s="359" t="inlineStr">
        <is>
          <t>BEBAN TIDAK LANGSUNG</t>
        </is>
      </c>
      <c r="C21" s="360" t="n"/>
      <c r="D21" s="361" t="n"/>
      <c r="E21" s="362" t="n"/>
      <c r="F21" s="344" t="n"/>
      <c r="G21" s="370" t="n"/>
      <c r="H21" s="371" t="n"/>
      <c r="I21" s="372" t="n"/>
      <c r="J21" s="369" t="n"/>
    </row>
    <row r="22" ht="15" customHeight="1">
      <c r="A22" s="284" t="n"/>
      <c r="B22" s="366" t="n"/>
      <c r="C22" s="367" t="inlineStr">
        <is>
          <t>BISNIS DEV</t>
        </is>
      </c>
      <c r="D22" s="368" t="inlineStr">
        <is>
          <t>Rp</t>
        </is>
      </c>
      <c r="E22" s="369">
        <f>'Revenue-Cost_2024'!Q797</f>
        <v/>
      </c>
      <c r="F22" s="344" t="n"/>
      <c r="G22" s="378" t="n"/>
      <c r="H22" s="379" t="inlineStr">
        <is>
          <t>TOTAL AKTIVA TETAP</t>
        </is>
      </c>
      <c r="I22" s="375" t="inlineStr">
        <is>
          <t>Rp</t>
        </is>
      </c>
      <c r="J22" s="376">
        <f>J20</f>
        <v/>
      </c>
    </row>
    <row r="23" ht="15" customHeight="1">
      <c r="A23" s="284" t="n"/>
      <c r="B23" s="373" t="inlineStr">
        <is>
          <t>TOTAL BIAYA TIDAK LANGSUNG</t>
        </is>
      </c>
      <c r="C23" s="374" t="n"/>
      <c r="D23" s="375" t="inlineStr">
        <is>
          <t>Rp</t>
        </is>
      </c>
      <c r="E23" s="376">
        <f>SUM(E22:E22)</f>
        <v/>
      </c>
      <c r="F23" s="344" t="n"/>
      <c r="G23" s="370" t="n"/>
      <c r="H23" s="371" t="n"/>
      <c r="I23" s="372" t="n"/>
      <c r="J23" s="369" t="n"/>
    </row>
    <row r="24" ht="15" customHeight="1">
      <c r="A24" s="284" t="n"/>
      <c r="B24" s="366" t="n"/>
      <c r="C24" s="367" t="n"/>
      <c r="D24" s="368" t="n"/>
      <c r="E24" s="369" t="n"/>
      <c r="F24" s="344" t="n"/>
      <c r="G24" s="363" t="inlineStr">
        <is>
          <t>ACTIVA LAIN LAIN</t>
        </is>
      </c>
      <c r="H24" s="364" t="inlineStr">
        <is>
          <t>ACTIVA LAIN LAIN</t>
        </is>
      </c>
      <c r="I24" s="365" t="n"/>
      <c r="J24" s="362" t="n">
        <v>0</v>
      </c>
    </row>
    <row r="25" ht="15" customHeight="1">
      <c r="A25" s="284" t="n"/>
      <c r="B25" s="359" t="inlineStr">
        <is>
          <t>BIAYA ADMINISTRASI DAN UMUM</t>
        </is>
      </c>
      <c r="C25" s="360" t="n"/>
      <c r="D25" s="361" t="n"/>
      <c r="E25" s="362" t="n"/>
      <c r="F25" s="344" t="n"/>
      <c r="G25" s="378" t="n"/>
      <c r="H25" s="379" t="inlineStr">
        <is>
          <t xml:space="preserve">  TOTAL AKTIVA LAIN LAIN</t>
        </is>
      </c>
      <c r="I25" s="380" t="inlineStr">
        <is>
          <t>Rp</t>
        </is>
      </c>
      <c r="J25" s="376" t="n">
        <v>0</v>
      </c>
    </row>
    <row r="26" ht="15" customHeight="1">
      <c r="A26" s="284" t="n"/>
      <c r="B26" s="366" t="n"/>
      <c r="C26" s="367" t="inlineStr">
        <is>
          <t>ADMINISTRASI</t>
        </is>
      </c>
      <c r="D26" s="368" t="inlineStr">
        <is>
          <t>Rp</t>
        </is>
      </c>
      <c r="E26" s="369">
        <f>'Revenue-Cost_2024'!M797</f>
        <v/>
      </c>
      <c r="F26" s="344" t="n"/>
      <c r="G26" s="370" t="n"/>
      <c r="H26" s="371" t="inlineStr">
        <is>
          <t>TOTAL AKTIVA LAIN LAIN</t>
        </is>
      </c>
      <c r="I26" s="368" t="inlineStr">
        <is>
          <t>Rp</t>
        </is>
      </c>
      <c r="J26" s="369">
        <f>SUM(J25:J25)</f>
        <v/>
      </c>
    </row>
    <row r="27" ht="15" customHeight="1">
      <c r="A27" s="284" t="n"/>
      <c r="B27" s="366" t="n"/>
      <c r="C27" s="367" t="inlineStr">
        <is>
          <t>PEMBELIAN BARANG</t>
        </is>
      </c>
      <c r="D27" s="368" t="inlineStr">
        <is>
          <t>Rp</t>
        </is>
      </c>
      <c r="E27" s="369">
        <f>'Revenue-Cost_2024'!N797</f>
        <v/>
      </c>
      <c r="F27" s="344" t="n"/>
      <c r="G27" s="370" t="n"/>
      <c r="H27" s="371" t="n"/>
      <c r="I27" s="372" t="n"/>
      <c r="J27" s="369" t="n"/>
    </row>
    <row r="28" ht="15" customHeight="1">
      <c r="A28" s="284" t="n"/>
      <c r="B28" s="366" t="n"/>
      <c r="C28" s="367" t="inlineStr">
        <is>
          <t>SEWA KANTOR</t>
        </is>
      </c>
      <c r="D28" s="368" t="inlineStr">
        <is>
          <t>Rp</t>
        </is>
      </c>
      <c r="E28" s="369">
        <f>'Revenue-Cost_2024'!O797</f>
        <v/>
      </c>
      <c r="F28" s="344" t="n"/>
      <c r="G28" s="381" t="inlineStr">
        <is>
          <t>TOTAL AKTIVA</t>
        </is>
      </c>
      <c r="H28" s="374" t="inlineStr">
        <is>
          <t>TOTAL AKTIVA</t>
        </is>
      </c>
      <c r="I28" s="375" t="inlineStr">
        <is>
          <t>Rp</t>
        </is>
      </c>
      <c r="J28" s="376">
        <f>J26+J22+J16</f>
        <v/>
      </c>
    </row>
    <row r="29" ht="15" customHeight="1">
      <c r="A29" s="284" t="n"/>
      <c r="B29" s="366" t="n"/>
      <c r="C29" s="367" t="inlineStr">
        <is>
          <t>KESEHATAN</t>
        </is>
      </c>
      <c r="D29" s="368" t="inlineStr">
        <is>
          <t>Rp</t>
        </is>
      </c>
      <c r="E29" s="369">
        <f>'Revenue-Cost_2024'!P797</f>
        <v/>
      </c>
      <c r="F29" s="344" t="n"/>
      <c r="G29" s="370" t="n"/>
      <c r="H29" s="371" t="n"/>
      <c r="I29" s="372" t="n"/>
      <c r="J29" s="369" t="n"/>
    </row>
    <row r="30" ht="15" customHeight="1">
      <c r="A30" s="284" t="n"/>
      <c r="B30" s="373" t="inlineStr">
        <is>
          <t>TOTAL BIAYA ADMINISTRASI DAN UMUM</t>
        </is>
      </c>
      <c r="C30" s="374" t="n"/>
      <c r="D30" s="375" t="inlineStr">
        <is>
          <t>Rp</t>
        </is>
      </c>
      <c r="E30" s="376">
        <f>SUM(E26:E29)</f>
        <v/>
      </c>
      <c r="F30" s="344" t="n"/>
      <c r="G30" s="363" t="inlineStr">
        <is>
          <t>HUTANG DAN MODAL</t>
        </is>
      </c>
      <c r="H30" s="364" t="inlineStr">
        <is>
          <t>HUTANG DAN MODAL</t>
        </is>
      </c>
      <c r="I30" s="365" t="n"/>
      <c r="J30" s="362" t="n"/>
    </row>
    <row r="31" ht="15" customHeight="1">
      <c r="A31" s="284" t="n"/>
      <c r="B31" s="366" t="n"/>
      <c r="C31" s="367" t="n"/>
      <c r="D31" s="368" t="n"/>
      <c r="E31" s="369" t="n"/>
      <c r="F31" s="344" t="n"/>
      <c r="G31" s="370" t="n"/>
      <c r="H31" s="371" t="n"/>
      <c r="I31" s="372" t="n"/>
      <c r="J31" s="369" t="n"/>
    </row>
    <row r="32" ht="15" customHeight="1">
      <c r="A32" s="284" t="n"/>
      <c r="B32" s="373" t="inlineStr">
        <is>
          <t>TOTAL BIAYA</t>
        </is>
      </c>
      <c r="C32" s="374" t="n"/>
      <c r="D32" s="375" t="inlineStr">
        <is>
          <t>Rp</t>
        </is>
      </c>
      <c r="E32" s="376">
        <f>E19+E23+E30</f>
        <v/>
      </c>
      <c r="F32" s="344" t="n"/>
      <c r="G32" s="363" t="inlineStr">
        <is>
          <t>HUTANG LANCAR</t>
        </is>
      </c>
      <c r="H32" s="364" t="inlineStr">
        <is>
          <t>HUTANG LANCAR</t>
        </is>
      </c>
      <c r="I32" s="365" t="n"/>
      <c r="J32" s="362" t="n"/>
    </row>
    <row r="33" ht="15" customHeight="1">
      <c r="A33" s="284" t="n"/>
      <c r="B33" s="366" t="n"/>
      <c r="C33" s="367" t="n"/>
      <c r="D33" s="368" t="n"/>
      <c r="E33" s="369" t="n"/>
      <c r="F33" s="344" t="n"/>
      <c r="G33" s="370" t="n"/>
      <c r="H33" s="371" t="inlineStr">
        <is>
          <t xml:space="preserve">  HUTANG USAHA</t>
        </is>
      </c>
      <c r="I33" s="368" t="inlineStr">
        <is>
          <t>Rp</t>
        </is>
      </c>
      <c r="J33" s="369" t="n">
        <v>0</v>
      </c>
    </row>
    <row r="34" ht="15" customHeight="1">
      <c r="A34" s="284" t="n"/>
      <c r="B34" s="359" t="inlineStr">
        <is>
          <t>PENDAPATAN/BEBAN LAIN LAIN</t>
        </is>
      </c>
      <c r="C34" s="360" t="n"/>
      <c r="D34" s="361" t="n"/>
      <c r="E34" s="362" t="n"/>
      <c r="F34" s="344" t="n"/>
      <c r="G34" s="370" t="n"/>
      <c r="H34" s="367" t="inlineStr">
        <is>
          <t xml:space="preserve">  HUTANG GAJI</t>
        </is>
      </c>
      <c r="I34" s="368" t="inlineStr">
        <is>
          <t>Rp</t>
        </is>
      </c>
      <c r="J34" s="369" t="n">
        <v>0</v>
      </c>
    </row>
    <row r="35" ht="15" customHeight="1">
      <c r="A35" s="284" t="n"/>
      <c r="B35" s="366" t="n"/>
      <c r="C35" s="367" t="inlineStr">
        <is>
          <t>PENDAPATAN LAIN LAIN</t>
        </is>
      </c>
      <c r="D35" s="368" t="inlineStr">
        <is>
          <t>Rp</t>
        </is>
      </c>
      <c r="E35" s="369" t="n">
        <v>0</v>
      </c>
      <c r="F35" s="344" t="n"/>
      <c r="G35" s="370" t="n"/>
      <c r="H35" s="371" t="inlineStr">
        <is>
          <t xml:space="preserve">  HUTANG PEMEGANG SAHAM</t>
        </is>
      </c>
      <c r="I35" s="368" t="inlineStr">
        <is>
          <t>Rp</t>
        </is>
      </c>
      <c r="J35" s="369" t="n">
        <v>0</v>
      </c>
    </row>
    <row r="36" ht="15" customHeight="1">
      <c r="A36" s="284" t="n"/>
      <c r="B36" s="366" t="n"/>
      <c r="C36" s="367" t="n"/>
      <c r="D36" s="368" t="n"/>
      <c r="E36" s="369" t="n"/>
      <c r="F36" s="344" t="n"/>
      <c r="G36" s="370" t="n"/>
      <c r="H36" s="371" t="inlineStr">
        <is>
          <t xml:space="preserve">  BIAYA YANG MASIH HARUS DI BAYAR</t>
        </is>
      </c>
      <c r="I36" s="368" t="inlineStr">
        <is>
          <t>Rp</t>
        </is>
      </c>
      <c r="J36" s="369" t="n">
        <v>0</v>
      </c>
    </row>
    <row r="37" ht="15" customHeight="1">
      <c r="A37" s="284" t="n"/>
      <c r="B37" s="373" t="inlineStr">
        <is>
          <t>LABA RUGI SEBELUM PAJAK</t>
        </is>
      </c>
      <c r="C37" s="374" t="n"/>
      <c r="D37" s="375" t="inlineStr">
        <is>
          <t>Rp</t>
        </is>
      </c>
      <c r="E37" s="376">
        <f>E12-E32</f>
        <v/>
      </c>
      <c r="F37" s="344" t="n"/>
      <c r="G37" s="366" t="n"/>
      <c r="H37" s="367" t="n"/>
      <c r="I37" s="368" t="n"/>
      <c r="J37" s="369" t="n"/>
    </row>
    <row r="38" ht="15" customHeight="1">
      <c r="A38" s="284" t="n"/>
      <c r="B38" s="366" t="n"/>
      <c r="C38" s="367" t="n"/>
      <c r="D38" s="368" t="n"/>
      <c r="E38" s="369" t="n"/>
      <c r="F38" s="344" t="n"/>
      <c r="G38" s="378" t="n"/>
      <c r="H38" s="379" t="inlineStr">
        <is>
          <t>TOTAL HUTANG LANCAR</t>
        </is>
      </c>
      <c r="I38" s="380" t="inlineStr">
        <is>
          <t>Rp</t>
        </is>
      </c>
      <c r="J38" s="376">
        <f>SUM(J33:J36)</f>
        <v/>
      </c>
    </row>
    <row r="39" ht="15" customHeight="1">
      <c r="A39" s="284" t="n"/>
      <c r="B39" s="373" t="inlineStr">
        <is>
          <t>CORPORATE TAX (PPh 29)</t>
        </is>
      </c>
      <c r="C39" s="374" t="n"/>
      <c r="D39" s="375" t="inlineStr">
        <is>
          <t>Rp</t>
        </is>
      </c>
      <c r="E39" s="376" t="n">
        <v>0</v>
      </c>
      <c r="F39" s="344" t="n"/>
      <c r="G39" s="370" t="n"/>
      <c r="H39" s="371" t="n"/>
      <c r="I39" s="372" t="n"/>
      <c r="J39" s="369" t="n"/>
    </row>
    <row r="40" ht="15" customHeight="1">
      <c r="A40" s="284" t="n"/>
      <c r="B40" s="366" t="n"/>
      <c r="C40" s="367" t="n"/>
      <c r="D40" s="368" t="n"/>
      <c r="E40" s="369" t="n"/>
      <c r="F40" s="344" t="n"/>
      <c r="G40" s="363" t="inlineStr">
        <is>
          <t>MODAL</t>
        </is>
      </c>
      <c r="H40" s="364" t="inlineStr">
        <is>
          <t>MODAL</t>
        </is>
      </c>
      <c r="I40" s="365" t="n"/>
      <c r="J40" s="362" t="n"/>
    </row>
    <row r="41" ht="15" customHeight="1">
      <c r="A41" s="284" t="n"/>
      <c r="B41" s="382" t="inlineStr">
        <is>
          <t>LABA / RUGI BERSIH</t>
        </is>
      </c>
      <c r="C41" s="383" t="n"/>
      <c r="D41" s="384" t="inlineStr">
        <is>
          <t>Rp</t>
        </is>
      </c>
      <c r="E41" s="385">
        <f>E37-E39</f>
        <v/>
      </c>
      <c r="F41" s="344" t="n"/>
      <c r="G41" s="370" t="n"/>
      <c r="H41" s="371" t="inlineStr">
        <is>
          <t xml:space="preserve">  MODAL SAHAM</t>
        </is>
      </c>
      <c r="I41" s="368" t="inlineStr">
        <is>
          <t>Rp</t>
        </is>
      </c>
      <c r="J41" s="369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6" t="n"/>
      <c r="H42" s="367" t="inlineStr">
        <is>
          <t xml:space="preserve">  LABA DI TAHAN</t>
        </is>
      </c>
      <c r="I42" s="368" t="inlineStr">
        <is>
          <t>Rp</t>
        </is>
      </c>
      <c r="J42" s="369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6" t="n"/>
      <c r="H43" s="367" t="inlineStr">
        <is>
          <t xml:space="preserve">  TOTAL LABA (RUGI) DITAHAN</t>
        </is>
      </c>
      <c r="I43" s="368" t="inlineStr">
        <is>
          <t>Rp</t>
        </is>
      </c>
      <c r="J43" s="369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3" t="n"/>
      <c r="H44" s="374" t="inlineStr">
        <is>
          <t>TOTAL MODAL</t>
        </is>
      </c>
      <c r="I44" s="375" t="inlineStr">
        <is>
          <t>Rp</t>
        </is>
      </c>
      <c r="J44" s="376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6" t="n"/>
      <c r="H45" s="367" t="n"/>
      <c r="I45" s="368" t="n"/>
      <c r="J45" s="369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82" t="n"/>
      <c r="H46" s="383" t="inlineStr">
        <is>
          <t>TOTAL HUTANG DAN MODAL</t>
        </is>
      </c>
      <c r="I46" s="384" t="inlineStr">
        <is>
          <t>Rp</t>
        </is>
      </c>
      <c r="J46" s="385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6" t="inlineStr">
        <is>
          <t>Nama Lengkap</t>
        </is>
      </c>
      <c r="F49" s="284" t="n"/>
      <c r="G49" s="386" t="inlineStr">
        <is>
          <t>Nama Lengkap</t>
        </is>
      </c>
    </row>
    <row r="50" ht="15.6" customHeight="1">
      <c r="A50" s="284" t="n"/>
      <c r="B50" s="387" t="inlineStr">
        <is>
          <t>Direktur</t>
        </is>
      </c>
      <c r="F50" s="284" t="n"/>
      <c r="G50" s="387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8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" customHeight="1">
      <c r="A3" s="341" t="n"/>
      <c r="B3" s="343" t="inlineStr">
        <is>
          <t>PT. EXSPAN WIRELINE INDONESIA</t>
        </is>
      </c>
      <c r="F3" s="344" t="n"/>
    </row>
    <row r="4" ht="20.45" customHeight="1">
      <c r="A4" s="341" t="n"/>
      <c r="B4" s="346" t="inlineStr">
        <is>
          <t>BUSINESS SUMMARY | TAHUN 2024</t>
        </is>
      </c>
      <c r="F4" s="344" t="n"/>
    </row>
    <row r="5" ht="6" customHeight="1">
      <c r="A5" s="341" t="n"/>
      <c r="B5" s="341" t="n"/>
      <c r="C5" s="341" t="n"/>
      <c r="D5" s="341" t="n"/>
      <c r="E5" s="342" t="n"/>
      <c r="F5" s="344" t="n"/>
    </row>
    <row r="6" ht="20" customHeight="1">
      <c r="A6" s="341" t="n"/>
      <c r="B6" s="389" t="inlineStr">
        <is>
          <t>#</t>
        </is>
      </c>
      <c r="C6" s="389" t="inlineStr">
        <is>
          <t>Items</t>
        </is>
      </c>
      <c r="D6" s="390" t="inlineStr">
        <is>
          <t>Amount</t>
        </is>
      </c>
      <c r="E6" s="227" t="n"/>
      <c r="F6" s="344" t="n"/>
    </row>
    <row r="7" ht="20" customHeight="1">
      <c r="A7" s="341" t="n"/>
      <c r="B7" s="391" t="n">
        <v>1</v>
      </c>
      <c r="C7" s="392" t="inlineStr">
        <is>
          <t>Revenue</t>
        </is>
      </c>
      <c r="D7" s="393" t="inlineStr">
        <is>
          <t>Rp</t>
        </is>
      </c>
      <c r="E7" s="394">
        <f>SUM('Revenue-Cost_2024'!F8:F21)</f>
        <v/>
      </c>
      <c r="F7" s="344" t="n"/>
    </row>
    <row r="8" ht="20" customHeight="1">
      <c r="A8" s="341" t="n"/>
      <c r="B8" s="391" t="n">
        <v>2</v>
      </c>
      <c r="C8" s="392" t="inlineStr">
        <is>
          <t>Revenue Diterima (Setelah Pajak)</t>
        </is>
      </c>
      <c r="D8" s="393" t="inlineStr">
        <is>
          <t>Rp</t>
        </is>
      </c>
      <c r="E8" s="394">
        <f>E7-SUM('Revenue-Cost_2024'!N8:N21)</f>
        <v/>
      </c>
      <c r="F8" s="344" t="n"/>
    </row>
    <row r="9" ht="20" customHeight="1">
      <c r="A9" s="341" t="n"/>
      <c r="B9" s="391" t="n">
        <v>3</v>
      </c>
      <c r="C9" s="392" t="inlineStr">
        <is>
          <t>Biaya</t>
        </is>
      </c>
      <c r="D9" s="393" t="inlineStr">
        <is>
          <t>Rp</t>
        </is>
      </c>
      <c r="E9" s="394">
        <f>SUM('Revenue-Cost_2024'!I797:Q797)</f>
        <v/>
      </c>
      <c r="F9" s="344" t="n"/>
    </row>
    <row r="10" ht="20" customHeight="1">
      <c r="A10" s="341" t="n"/>
      <c r="B10" s="391" t="n">
        <v>4</v>
      </c>
      <c r="C10" s="392" t="inlineStr">
        <is>
          <t>Profit SebelumTax</t>
        </is>
      </c>
      <c r="D10" s="393" t="inlineStr">
        <is>
          <t>Rp</t>
        </is>
      </c>
      <c r="E10" s="394">
        <f>E7-E9</f>
        <v/>
      </c>
      <c r="F10" s="344" t="n"/>
    </row>
    <row r="11" ht="20" customHeight="1">
      <c r="A11" s="341" t="n"/>
      <c r="B11" s="391" t="n">
        <v>5</v>
      </c>
      <c r="C11" s="392" t="inlineStr">
        <is>
          <t>PPh Badan (22%*50%)</t>
        </is>
      </c>
      <c r="D11" s="393" t="inlineStr">
        <is>
          <t>Rp</t>
        </is>
      </c>
      <c r="E11" s="394">
        <f>E10*22%*50%</f>
        <v/>
      </c>
      <c r="F11" s="344" t="n"/>
    </row>
    <row r="12" ht="20" customHeight="1">
      <c r="A12" s="341" t="n"/>
      <c r="B12" s="391" t="n">
        <v>6</v>
      </c>
      <c r="C12" s="392" t="inlineStr">
        <is>
          <t>PPh 23 Dipotong oleh client</t>
        </is>
      </c>
      <c r="D12" s="393" t="inlineStr">
        <is>
          <t>Rp</t>
        </is>
      </c>
      <c r="E12" s="394">
        <f>SUM('Revenue-Cost_2024'!N8:N21)</f>
        <v/>
      </c>
      <c r="F12" s="344" t="n"/>
    </row>
    <row r="13" ht="20" customHeight="1">
      <c r="A13" s="341" t="n"/>
      <c r="B13" s="391" t="n">
        <v>7</v>
      </c>
      <c r="C13" s="392" t="inlineStr">
        <is>
          <t>Kekurangan Bayar PPh Badan</t>
        </is>
      </c>
      <c r="D13" s="393" t="inlineStr">
        <is>
          <t>Rp</t>
        </is>
      </c>
      <c r="E13" s="395">
        <f>E11-E12</f>
        <v/>
      </c>
      <c r="F13" s="344" t="n"/>
    </row>
    <row r="14" ht="20" customHeight="1">
      <c r="A14" s="341" t="n"/>
      <c r="B14" s="391" t="n">
        <v>8</v>
      </c>
      <c r="C14" s="392" t="inlineStr">
        <is>
          <t>Profit After Tax</t>
        </is>
      </c>
      <c r="D14" s="393" t="inlineStr">
        <is>
          <t>Rp</t>
        </is>
      </c>
      <c r="E14" s="394">
        <f>E10-E13</f>
        <v/>
      </c>
      <c r="F14" s="344" t="n"/>
    </row>
    <row r="15" ht="20" customHeight="1">
      <c r="A15" s="341" t="n"/>
      <c r="B15" s="391" t="n">
        <v>9</v>
      </c>
      <c r="C15" s="392" t="inlineStr">
        <is>
          <t>Deviden Dibagi</t>
        </is>
      </c>
      <c r="D15" s="393" t="inlineStr">
        <is>
          <t>Rp</t>
        </is>
      </c>
      <c r="E15" s="394">
        <f>E14-E16</f>
        <v/>
      </c>
      <c r="F15" s="344" t="n"/>
    </row>
    <row r="16" ht="20" customHeight="1">
      <c r="A16" s="341" t="n"/>
      <c r="B16" s="391" t="n">
        <v>10</v>
      </c>
      <c r="C16" s="392" t="inlineStr">
        <is>
          <t>Profit Ditahan</t>
        </is>
      </c>
      <c r="D16" s="393" t="inlineStr">
        <is>
          <t>Rp</t>
        </is>
      </c>
      <c r="E16" s="394" t="n">
        <v>49305018</v>
      </c>
      <c r="F16" s="344" t="n"/>
    </row>
    <row r="17" ht="13.9" customHeight="1">
      <c r="A17" s="341" t="n"/>
      <c r="B17" s="341" t="n"/>
      <c r="C17" s="341" t="n"/>
      <c r="D17" s="341" t="n"/>
      <c r="E17" s="342" t="n"/>
      <c r="F17" s="344" t="n"/>
    </row>
    <row r="18" ht="17.65" customHeight="1">
      <c r="A18" s="341" t="n"/>
      <c r="B18" s="396" t="inlineStr">
        <is>
          <t>DEVIDEN</t>
        </is>
      </c>
      <c r="F18" s="344" t="n"/>
    </row>
    <row r="19" ht="20" customHeight="1">
      <c r="A19" s="341" t="n"/>
      <c r="B19" s="397" t="inlineStr">
        <is>
          <t>#</t>
        </is>
      </c>
      <c r="C19" s="397" t="inlineStr">
        <is>
          <t>Nama Lengkap</t>
        </is>
      </c>
      <c r="D19" s="398" t="inlineStr">
        <is>
          <t>Rp</t>
        </is>
      </c>
      <c r="E19" s="399" t="inlineStr">
        <is>
          <t>Amount</t>
        </is>
      </c>
      <c r="F19" s="344" t="n"/>
      <c r="G19" s="400" t="inlineStr"/>
    </row>
    <row r="20" ht="20" customHeight="1">
      <c r="A20" s="341" t="n"/>
      <c r="B20" s="401" t="n">
        <v>1</v>
      </c>
      <c r="C20" s="402" t="inlineStr">
        <is>
          <t>Anevril Chairulsyah</t>
        </is>
      </c>
      <c r="D20" s="403" t="inlineStr">
        <is>
          <t>Rp</t>
        </is>
      </c>
      <c r="E20" s="404">
        <f>IF(C20="","",ROUND($E$15/COUNTA($C$20:$C$21), 0))</f>
        <v/>
      </c>
      <c r="F20" s="405" t="n"/>
      <c r="G20" s="406" t="inlineStr">
        <is>
          <t>Pajak 10%</t>
        </is>
      </c>
    </row>
    <row r="21" ht="20" customHeight="1">
      <c r="A21" s="407" t="n"/>
      <c r="B21" s="408" t="n">
        <v>2</v>
      </c>
      <c r="C21" s="409" t="inlineStr">
        <is>
          <t>Alan Muhadjir</t>
        </is>
      </c>
      <c r="D21" s="410" t="inlineStr">
        <is>
          <t>Rp</t>
        </is>
      </c>
      <c r="E21" s="411">
        <f>IF(C21="","",ROUND($E$15/COUNTA($C$20:$C$21), 0))</f>
        <v/>
      </c>
      <c r="F21" s="405" t="n"/>
      <c r="G21" s="412" t="inlineStr">
        <is>
          <t>Pajak 10%</t>
        </is>
      </c>
    </row>
    <row r="22" ht="14.25" customHeight="1">
      <c r="A22" s="407" t="n"/>
      <c r="B22" s="412" t="n"/>
      <c r="C22" s="412" t="n"/>
      <c r="D22" s="412" t="n"/>
      <c r="E22" s="412" t="n"/>
      <c r="F22" s="405" t="n"/>
      <c r="G22" s="412" t="n"/>
    </row>
    <row r="23">
      <c r="B23" s="412" t="n"/>
      <c r="C23" s="412" t="n"/>
      <c r="D23" s="412" t="n"/>
      <c r="E23" s="412" t="n"/>
      <c r="F23" s="412" t="n"/>
      <c r="G23" s="412" t="n"/>
    </row>
    <row r="24">
      <c r="B24" s="412" t="n"/>
      <c r="C24" s="412" t="n"/>
      <c r="D24" s="412" t="n"/>
      <c r="E24" s="412" t="n"/>
      <c r="F24" s="412" t="n"/>
      <c r="G24" s="412" t="n"/>
    </row>
    <row r="25">
      <c r="B25" s="412" t="n"/>
      <c r="C25" s="412" t="n"/>
      <c r="D25" s="412" t="n"/>
      <c r="E25" s="412" t="n"/>
      <c r="F25" s="412" t="n"/>
      <c r="G25" s="412" t="n"/>
    </row>
    <row r="26">
      <c r="B26" s="412" t="n"/>
      <c r="C26" s="412" t="n"/>
      <c r="D26" s="412" t="n"/>
      <c r="E26" s="412" t="n"/>
      <c r="F26" s="412" t="n"/>
      <c r="G26" s="412" t="n"/>
    </row>
    <row r="27">
      <c r="B27" s="412" t="n"/>
      <c r="C27" s="412" t="n"/>
      <c r="D27" s="412" t="n"/>
      <c r="E27" s="412" t="n"/>
      <c r="F27" s="412" t="n"/>
      <c r="G27" s="412" t="n"/>
    </row>
    <row r="28">
      <c r="B28" s="412" t="n"/>
      <c r="C28" s="412" t="n"/>
      <c r="D28" s="412" t="n"/>
      <c r="E28" s="412" t="n"/>
      <c r="F28" s="412" t="n"/>
      <c r="G28" s="412" t="n"/>
    </row>
    <row r="29">
      <c r="B29" s="412" t="n"/>
      <c r="C29" s="412" t="n"/>
      <c r="D29" s="412" t="n"/>
      <c r="E29" s="412" t="n"/>
      <c r="F29" s="412" t="n"/>
      <c r="G29" s="412" t="n"/>
    </row>
    <row r="30">
      <c r="B30" s="412" t="n"/>
      <c r="C30" s="412" t="n"/>
      <c r="D30" s="412" t="n"/>
      <c r="E30" s="412" t="n"/>
      <c r="F30" s="412" t="n"/>
      <c r="G30" s="412" t="n"/>
    </row>
    <row r="31">
      <c r="B31" s="412" t="n"/>
      <c r="C31" s="412" t="n"/>
      <c r="D31" s="412" t="n"/>
      <c r="E31" s="412" t="n"/>
      <c r="F31" s="412" t="n"/>
      <c r="G31" s="412" t="n"/>
    </row>
    <row r="32">
      <c r="B32" s="412" t="n"/>
      <c r="C32" s="412" t="n"/>
      <c r="D32" s="412" t="n"/>
      <c r="E32" s="412" t="n"/>
      <c r="F32" s="412" t="n"/>
      <c r="G32" s="412" t="n"/>
    </row>
    <row r="33">
      <c r="B33" s="412" t="n"/>
      <c r="C33" s="412" t="n"/>
      <c r="D33" s="412" t="n"/>
      <c r="E33" s="412" t="n"/>
      <c r="F33" s="412" t="n"/>
      <c r="G33" s="412" t="n"/>
    </row>
    <row r="34">
      <c r="B34" s="412" t="n"/>
      <c r="C34" s="412" t="n"/>
      <c r="D34" s="412" t="n"/>
      <c r="E34" s="412" t="n"/>
      <c r="F34" s="412" t="n"/>
      <c r="G34" s="412" t="n"/>
    </row>
    <row r="35">
      <c r="B35" s="412" t="n"/>
      <c r="C35" s="412" t="n"/>
      <c r="D35" s="412" t="n"/>
      <c r="E35" s="412" t="n"/>
      <c r="F35" s="412" t="n"/>
      <c r="G35" s="412" t="n"/>
    </row>
    <row r="36">
      <c r="B36" s="412" t="n"/>
      <c r="C36" s="412" t="n"/>
      <c r="D36" s="412" t="n"/>
      <c r="E36" s="412" t="n"/>
      <c r="F36" s="412" t="n"/>
      <c r="G36" s="412" t="n"/>
    </row>
    <row r="37">
      <c r="B37" s="412" t="n"/>
      <c r="C37" s="412" t="n"/>
      <c r="D37" s="412" t="n"/>
      <c r="E37" s="412" t="n"/>
      <c r="F37" s="412" t="n"/>
      <c r="G37" s="412" t="n"/>
    </row>
    <row r="38">
      <c r="B38" s="412" t="n"/>
      <c r="C38" s="412" t="n"/>
      <c r="D38" s="412" t="n"/>
      <c r="E38" s="412" t="n"/>
      <c r="F38" s="412" t="n"/>
      <c r="G38" s="412" t="n"/>
    </row>
    <row r="39">
      <c r="B39" s="412" t="n"/>
      <c r="C39" s="412" t="n"/>
      <c r="D39" s="412" t="n"/>
      <c r="E39" s="412" t="n"/>
      <c r="F39" s="412" t="n"/>
      <c r="G39" s="412" t="n"/>
    </row>
    <row r="40">
      <c r="B40" s="412" t="n"/>
      <c r="C40" s="412" t="n"/>
      <c r="D40" s="412" t="n"/>
      <c r="E40" s="412" t="n"/>
      <c r="F40" s="412" t="n"/>
      <c r="G40" s="412" t="n"/>
    </row>
    <row r="41">
      <c r="B41" s="412" t="n"/>
      <c r="C41" s="412" t="n"/>
      <c r="D41" s="412" t="n"/>
      <c r="E41" s="412" t="n"/>
      <c r="F41" s="412" t="n"/>
      <c r="G41" s="412" t="n"/>
    </row>
    <row r="42">
      <c r="B42" s="412" t="n"/>
      <c r="C42" s="412" t="n"/>
      <c r="D42" s="412" t="n"/>
      <c r="E42" s="412" t="n"/>
      <c r="F42" s="412" t="n"/>
      <c r="G42" s="412" t="n"/>
    </row>
    <row r="43">
      <c r="B43" s="412" t="n"/>
      <c r="C43" s="412" t="n"/>
      <c r="D43" s="412" t="n"/>
      <c r="E43" s="412" t="n"/>
      <c r="F43" s="412" t="n"/>
      <c r="G43" s="412" t="n"/>
    </row>
    <row r="44">
      <c r="B44" s="412" t="n"/>
      <c r="C44" s="412" t="n"/>
      <c r="D44" s="412" t="n"/>
      <c r="E44" s="412" t="n"/>
      <c r="F44" s="412" t="n"/>
      <c r="G44" s="412" t="n"/>
    </row>
    <row r="45">
      <c r="B45" s="412" t="n"/>
      <c r="C45" s="412" t="n"/>
      <c r="D45" s="412" t="n"/>
      <c r="E45" s="412" t="n"/>
      <c r="F45" s="412" t="n"/>
      <c r="G45" s="412" t="n"/>
    </row>
    <row r="46">
      <c r="B46" s="412" t="n"/>
      <c r="C46" s="412" t="n"/>
      <c r="D46" s="412" t="n"/>
      <c r="E46" s="412" t="n"/>
      <c r="F46" s="412" t="n"/>
      <c r="G46" s="412" t="n"/>
    </row>
    <row r="47">
      <c r="B47" s="412" t="n"/>
      <c r="C47" s="412" t="n"/>
      <c r="D47" s="412" t="n"/>
      <c r="E47" s="412" t="n"/>
      <c r="F47" s="412" t="n"/>
      <c r="G47" s="412" t="n"/>
    </row>
    <row r="48">
      <c r="B48" s="412" t="n"/>
      <c r="C48" s="412" t="n"/>
      <c r="D48" s="412" t="n"/>
      <c r="E48" s="412" t="n"/>
      <c r="F48" s="412" t="n"/>
      <c r="G48" s="412" t="n"/>
    </row>
    <row r="49">
      <c r="B49" s="412" t="n"/>
      <c r="C49" s="412" t="n"/>
      <c r="D49" s="412" t="n"/>
      <c r="E49" s="412" t="n"/>
      <c r="F49" s="412" t="n"/>
      <c r="G49" s="412" t="n"/>
    </row>
    <row r="50">
      <c r="B50" s="412" t="n"/>
      <c r="C50" s="412" t="n"/>
      <c r="D50" s="412" t="n"/>
      <c r="E50" s="412" t="n"/>
      <c r="F50" s="412" t="n"/>
      <c r="G50" s="412" t="n"/>
    </row>
    <row r="51">
      <c r="B51" s="412" t="n"/>
      <c r="C51" s="412" t="n"/>
      <c r="D51" s="412" t="n"/>
      <c r="E51" s="412" t="n"/>
      <c r="F51" s="412" t="n"/>
      <c r="G51" s="412" t="n"/>
    </row>
    <row r="52">
      <c r="B52" s="412" t="n"/>
      <c r="C52" s="412" t="n"/>
      <c r="D52" s="412" t="n"/>
      <c r="E52" s="412" t="n"/>
      <c r="F52" s="412" t="n"/>
      <c r="G52" s="412" t="n"/>
    </row>
    <row r="53">
      <c r="B53" s="412" t="n"/>
      <c r="C53" s="412" t="n"/>
      <c r="D53" s="412" t="n"/>
      <c r="E53" s="412" t="n"/>
      <c r="F53" s="412" t="n"/>
      <c r="G53" s="412" t="n"/>
    </row>
    <row r="54">
      <c r="B54" s="412" t="n"/>
      <c r="C54" s="412" t="n"/>
      <c r="D54" s="412" t="n"/>
      <c r="E54" s="412" t="n"/>
      <c r="F54" s="412" t="n"/>
      <c r="G54" s="412" t="n"/>
    </row>
    <row r="55">
      <c r="B55" s="412" t="n"/>
      <c r="C55" s="412" t="n"/>
      <c r="D55" s="412" t="n"/>
      <c r="E55" s="412" t="n"/>
      <c r="F55" s="412" t="n"/>
      <c r="G55" s="412" t="n"/>
    </row>
    <row r="56">
      <c r="B56" s="412" t="n"/>
      <c r="C56" s="412" t="n"/>
      <c r="D56" s="412" t="n"/>
      <c r="E56" s="412" t="n"/>
      <c r="F56" s="412" t="n"/>
      <c r="G56" s="412" t="n"/>
    </row>
    <row r="57">
      <c r="B57" s="412" t="n"/>
      <c r="C57" s="412" t="n"/>
      <c r="D57" s="412" t="n"/>
      <c r="E57" s="412" t="n"/>
      <c r="F57" s="412" t="n"/>
      <c r="G57" s="412" t="n"/>
    </row>
    <row r="58">
      <c r="B58" s="412" t="n"/>
      <c r="C58" s="412" t="n"/>
      <c r="D58" s="412" t="n"/>
      <c r="E58" s="412" t="n"/>
      <c r="F58" s="412" t="n"/>
      <c r="G58" s="412" t="n"/>
    </row>
    <row r="59">
      <c r="B59" s="412" t="n"/>
      <c r="C59" s="412" t="n"/>
      <c r="D59" s="412" t="n"/>
      <c r="E59" s="412" t="n"/>
      <c r="F59" s="412" t="n"/>
      <c r="G59" s="412" t="n"/>
    </row>
    <row r="60">
      <c r="B60" s="412" t="n"/>
      <c r="C60" s="412" t="n"/>
      <c r="D60" s="412" t="n"/>
      <c r="E60" s="412" t="n"/>
      <c r="F60" s="412" t="n"/>
      <c r="G60" s="412" t="n"/>
    </row>
    <row r="61">
      <c r="B61" s="412" t="n"/>
      <c r="C61" s="412" t="n"/>
      <c r="D61" s="412" t="n"/>
      <c r="E61" s="412" t="n"/>
      <c r="F61" s="412" t="n"/>
      <c r="G61" s="412" t="n"/>
    </row>
    <row r="62">
      <c r="B62" s="412" t="n"/>
      <c r="C62" s="412" t="n"/>
      <c r="D62" s="412" t="n"/>
      <c r="E62" s="412" t="n"/>
      <c r="F62" s="412" t="n"/>
      <c r="G62" s="412" t="n"/>
    </row>
    <row r="63" ht="64.5" customHeight="1">
      <c r="B63" s="412" t="n"/>
      <c r="C63" s="412" t="n"/>
      <c r="D63" s="412" t="n"/>
      <c r="E63" s="412" t="n"/>
      <c r="F63" s="412" t="n"/>
      <c r="G63" s="412" t="n"/>
    </row>
    <row r="64">
      <c r="B64" s="412" t="n"/>
      <c r="C64" s="412" t="n"/>
      <c r="D64" s="412" t="n"/>
      <c r="E64" s="412" t="n"/>
      <c r="F64" s="412" t="n"/>
      <c r="G64" s="412" t="n"/>
    </row>
    <row r="65">
      <c r="B65" s="412" t="n"/>
      <c r="C65" s="412" t="n"/>
      <c r="D65" s="412" t="n"/>
      <c r="E65" s="412" t="n"/>
      <c r="F65" s="412" t="n"/>
      <c r="G65" s="412" t="n"/>
    </row>
    <row r="66">
      <c r="B66" s="412" t="n"/>
      <c r="C66" s="412" t="n"/>
      <c r="D66" s="412" t="n"/>
      <c r="E66" s="412" t="n"/>
      <c r="F66" s="412" t="n"/>
      <c r="G66" s="412" t="n"/>
    </row>
    <row r="67">
      <c r="B67" s="412" t="n"/>
      <c r="C67" s="412" t="n"/>
      <c r="D67" s="412" t="n"/>
      <c r="E67" s="412" t="n"/>
      <c r="F67" s="412" t="n"/>
      <c r="G67" s="412" t="n"/>
    </row>
    <row r="68">
      <c r="B68" s="412" t="n"/>
      <c r="C68" s="412" t="n"/>
      <c r="D68" s="412" t="n"/>
      <c r="E68" s="412" t="n"/>
      <c r="F68" s="412" t="n"/>
      <c r="G68" s="412" t="n"/>
    </row>
    <row r="69">
      <c r="B69" s="412" t="n"/>
      <c r="C69" s="412" t="n"/>
      <c r="D69" s="412" t="n"/>
      <c r="E69" s="412" t="n"/>
      <c r="F69" s="412" t="n"/>
      <c r="G69" s="412" t="n"/>
    </row>
    <row r="70">
      <c r="B70" s="412" t="n"/>
      <c r="C70" s="412" t="n"/>
      <c r="D70" s="412" t="n"/>
      <c r="E70" s="412" t="n"/>
      <c r="F70" s="412" t="n"/>
      <c r="G70" s="412" t="n"/>
    </row>
    <row r="71">
      <c r="B71" s="412" t="n"/>
      <c r="C71" s="412" t="n"/>
      <c r="D71" s="412" t="n"/>
      <c r="E71" s="412" t="n"/>
      <c r="F71" s="412" t="n"/>
      <c r="G71" s="412" t="n"/>
    </row>
    <row r="72">
      <c r="B72" s="412" t="n"/>
      <c r="C72" s="412" t="n"/>
      <c r="D72" s="412" t="n"/>
      <c r="E72" s="412" t="n"/>
      <c r="F72" s="412" t="n"/>
      <c r="G72" s="412" t="n"/>
    </row>
    <row r="73">
      <c r="B73" s="412" t="n"/>
      <c r="C73" s="412" t="n"/>
      <c r="D73" s="412" t="n"/>
      <c r="E73" s="412" t="n"/>
      <c r="F73" s="412" t="n"/>
      <c r="G73" s="412" t="n"/>
    </row>
    <row r="74">
      <c r="B74" s="412" t="n"/>
      <c r="C74" s="412" t="n"/>
      <c r="D74" s="412" t="n"/>
      <c r="E74" s="412" t="n"/>
      <c r="F74" s="412" t="n"/>
      <c r="G74" s="412" t="n"/>
    </row>
    <row r="75">
      <c r="B75" s="412" t="n"/>
      <c r="C75" s="412" t="n"/>
      <c r="D75" s="412" t="n"/>
      <c r="E75" s="412" t="n"/>
      <c r="F75" s="412" t="n"/>
      <c r="G75" s="412" t="n"/>
    </row>
    <row r="76">
      <c r="B76" s="412" t="n"/>
      <c r="C76" s="412" t="n"/>
      <c r="D76" s="412" t="n"/>
      <c r="E76" s="412" t="n"/>
      <c r="F76" s="412" t="n"/>
      <c r="G76" s="412" t="n"/>
    </row>
    <row r="77">
      <c r="B77" s="412" t="n"/>
      <c r="C77" s="412" t="n"/>
      <c r="D77" s="412" t="n"/>
      <c r="E77" s="412" t="n"/>
      <c r="F77" s="412" t="n"/>
      <c r="G77" s="412" t="n"/>
    </row>
    <row r="78">
      <c r="B78" s="412" t="n"/>
      <c r="C78" s="412" t="n"/>
      <c r="D78" s="412" t="n"/>
      <c r="E78" s="412" t="n"/>
      <c r="F78" s="412" t="n"/>
      <c r="G78" s="412" t="n"/>
    </row>
    <row r="79">
      <c r="B79" s="412" t="n"/>
      <c r="C79" s="412" t="n"/>
      <c r="D79" s="412" t="n"/>
      <c r="E79" s="412" t="n"/>
      <c r="F79" s="412" t="n"/>
      <c r="G79" s="412" t="n"/>
    </row>
    <row r="80">
      <c r="B80" s="412" t="n"/>
      <c r="C80" s="412" t="n"/>
      <c r="D80" s="412" t="n"/>
      <c r="E80" s="412" t="n"/>
      <c r="F80" s="412" t="n"/>
      <c r="G80" s="412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2026-05-04T20:32:31Z</dcterms:modified>
  <cp:lastModifiedBy>Diofavian - Student</cp:lastModifiedBy>
</cp:coreProperties>
</file>