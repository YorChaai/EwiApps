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30" fillId="12" borderId="16" applyAlignment="1" pivotButton="0" quotePrefix="0" xfId="2">
      <alignment horizontal="center" vertical="center"/>
    </xf>
    <xf numFmtId="0" fontId="27" fillId="11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5" fillId="0" borderId="16" applyAlignment="1" pivotButton="0" quotePrefix="0" xfId="0">
      <alignment horizontal="general" vertical="bottom"/>
    </xf>
    <xf numFmtId="0" fontId="0" fillId="0" borderId="16" pivotButton="0" quotePrefix="0" xfId="0"/>
    <xf numFmtId="0" fontId="0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27" fillId="0" borderId="15" applyAlignment="1" pivotButton="0" quotePrefix="0" xfId="1">
      <alignment horizontal="general" vertical="bottom"/>
    </xf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165" fontId="26" fillId="2" borderId="4" applyAlignment="1" pivotButton="0" quotePrefix="0" xfId="2">
      <alignment horizontal="center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45539</v>
      </c>
      <c r="C14" s="15" t="n">
        <v>7</v>
      </c>
      <c r="D14" s="113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>
        <is>
          <t>Pemungut</t>
        </is>
      </c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>
        <v>45653</v>
      </c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0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0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0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Interpretasi Log Data</t>
        </is>
      </c>
      <c r="J40" s="277" t="inlineStr">
        <is>
          <t>Biaya Research (R&amp;D)</t>
        </is>
      </c>
      <c r="K40" s="278" t="inlineStr">
        <is>
          <t>Biaya Sewa Peralatan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Biaya Interpretasi Log Data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45413</v>
      </c>
      <c r="C42" s="286" t="n">
        <v>1</v>
      </c>
      <c r="D42" s="287" t="inlineStr">
        <is>
          <t>Data proccesing MTD 4 well, project Tomori-Alan</t>
        </is>
      </c>
      <c r="E42" s="288" t="inlineStr">
        <is>
          <t>BCA</t>
        </is>
      </c>
      <c r="F42" s="289" t="n">
        <v>122625000</v>
      </c>
      <c r="G42" s="286" t="inlineStr">
        <is>
          <t>IDR</t>
        </is>
      </c>
      <c r="H42" s="290" t="n">
        <v>1</v>
      </c>
      <c r="I42" s="289">
        <f>$F42*$H42</f>
        <v/>
      </c>
      <c r="J42" s="291" t="n"/>
      <c r="K42" s="288" t="n"/>
      <c r="L42" s="291" t="n"/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" customHeight="1">
      <c r="B43" s="285" t="n">
        <v>45525</v>
      </c>
      <c r="C43" s="286" t="n">
        <v>2</v>
      </c>
      <c r="D43" s="287" t="inlineStr">
        <is>
          <t>Data proccesing TGB-33 DAN TIS (RBG-3b)-Alan</t>
        </is>
      </c>
      <c r="E43" s="288" t="inlineStr">
        <is>
          <t>BCA</t>
        </is>
      </c>
      <c r="F43" s="289" t="n">
        <v>101120000</v>
      </c>
      <c r="G43" s="286" t="inlineStr">
        <is>
          <t>IDR</t>
        </is>
      </c>
      <c r="H43" s="290" t="n">
        <v>1</v>
      </c>
      <c r="I43" s="289">
        <f>$F43*$H43</f>
        <v/>
      </c>
      <c r="J43" s="291" t="n"/>
      <c r="K43" s="288" t="n"/>
      <c r="L43" s="291" t="n"/>
      <c r="M43" s="288" t="n"/>
      <c r="N43" s="291" t="n"/>
      <c r="O43" s="288" t="n"/>
      <c r="P43" s="291" t="n"/>
      <c r="Q43" s="291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45589</v>
      </c>
      <c r="C44" s="286" t="n">
        <v>3</v>
      </c>
      <c r="D44" s="287" t="inlineStr">
        <is>
          <t>Data Processing 8 Well Alan Project SIJAK</t>
        </is>
      </c>
      <c r="E44" s="288" t="inlineStr">
        <is>
          <t>BRI</t>
        </is>
      </c>
      <c r="F44" s="289" t="n">
        <v>144000000</v>
      </c>
      <c r="G44" s="286" t="inlineStr">
        <is>
          <t>IDR</t>
        </is>
      </c>
      <c r="H44" s="290" t="n">
        <v>1</v>
      </c>
      <c r="I44" s="289">
        <f>$F44*$H44</f>
        <v/>
      </c>
      <c r="J44" s="291" t="n"/>
      <c r="K44" s="288" t="n"/>
      <c r="L44" s="291" t="n"/>
      <c r="M44" s="288" t="n"/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Biaya Research (R&amp;D)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45364</v>
      </c>
      <c r="C46" s="286" t="n">
        <v>4</v>
      </c>
      <c r="D46" s="287" t="inlineStr">
        <is>
          <t>Ralika Jaya Utama | Permbuatan alat Downhole Wireless Telemetry</t>
        </is>
      </c>
      <c r="E46" s="288" t="inlineStr">
        <is>
          <t>BCA</t>
        </is>
      </c>
      <c r="F46" s="289" t="n">
        <v>100000000</v>
      </c>
      <c r="G46" s="286" t="inlineStr">
        <is>
          <t>IDR</t>
        </is>
      </c>
      <c r="H46" s="290" t="n">
        <v>1</v>
      </c>
      <c r="I46" s="288" t="n"/>
      <c r="J46" s="292">
        <f>$F46*$H46</f>
        <v/>
      </c>
      <c r="K46" s="288" t="n"/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45418</v>
      </c>
      <c r="C47" s="286" t="n">
        <v>5</v>
      </c>
      <c r="D47" s="287" t="inlineStr">
        <is>
          <t>Ralika Jaya Utama | Permbuatan alat Downhole Wireless Telemetry</t>
        </is>
      </c>
      <c r="E47" s="288" t="inlineStr">
        <is>
          <t>BRI</t>
        </is>
      </c>
      <c r="F47" s="289" t="n">
        <v>100000000</v>
      </c>
      <c r="G47" s="286" t="inlineStr">
        <is>
          <t>IDR</t>
        </is>
      </c>
      <c r="H47" s="290" t="n">
        <v>1</v>
      </c>
      <c r="I47" s="288" t="n"/>
      <c r="J47" s="292">
        <f>$F47*$H47</f>
        <v/>
      </c>
      <c r="K47" s="288" t="n"/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45502</v>
      </c>
      <c r="C48" s="286" t="n">
        <v>6</v>
      </c>
      <c r="D48" s="287" t="inlineStr">
        <is>
          <t>Ralika Jaya Utama | Permbuatan alat injeksi listrik (EAS)</t>
        </is>
      </c>
      <c r="E48" s="288" t="inlineStr">
        <is>
          <t>BRI</t>
        </is>
      </c>
      <c r="F48" s="289" t="n">
        <v>100000000</v>
      </c>
      <c r="G48" s="286" t="inlineStr">
        <is>
          <t>IDR</t>
        </is>
      </c>
      <c r="H48" s="290" t="n">
        <v>1</v>
      </c>
      <c r="I48" s="288" t="n"/>
      <c r="J48" s="292">
        <f>$F48*$H48</f>
        <v/>
      </c>
      <c r="K48" s="288" t="n"/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" customHeight="1">
      <c r="B49" s="285" t="n">
        <v>45548</v>
      </c>
      <c r="C49" s="286" t="n">
        <v>7</v>
      </c>
      <c r="D49" s="287" t="inlineStr">
        <is>
          <t>Ralika Jaya Utama | Permbuatan alat EMR</t>
        </is>
      </c>
      <c r="E49" s="288" t="inlineStr">
        <is>
          <t>BRI</t>
        </is>
      </c>
      <c r="F49" s="289" t="n">
        <v>150000000</v>
      </c>
      <c r="G49" s="286" t="inlineStr">
        <is>
          <t>IDR</t>
        </is>
      </c>
      <c r="H49" s="290" t="n">
        <v>1</v>
      </c>
      <c r="I49" s="288" t="n"/>
      <c r="J49" s="292">
        <f>$F49*$H49</f>
        <v/>
      </c>
      <c r="K49" s="288" t="n"/>
      <c r="L49" s="291" t="n"/>
      <c r="M49" s="288" t="n"/>
      <c r="N49" s="291" t="n"/>
      <c r="O49" s="288" t="n"/>
      <c r="P49" s="291" t="n"/>
      <c r="Q49" s="291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45631</v>
      </c>
      <c r="C50" s="286" t="n">
        <v>8</v>
      </c>
      <c r="D50" s="287" t="inlineStr">
        <is>
          <t>Ralika Jaya Utama | Permbuatan alat injeksi listrik (EAS)</t>
        </is>
      </c>
      <c r="E50" s="288" t="inlineStr">
        <is>
          <t>BRI</t>
        </is>
      </c>
      <c r="F50" s="289" t="n">
        <v>400000000</v>
      </c>
      <c r="G50" s="286" t="inlineStr">
        <is>
          <t>IDR</t>
        </is>
      </c>
      <c r="H50" s="290" t="n">
        <v>1</v>
      </c>
      <c r="I50" s="288" t="n"/>
      <c r="J50" s="292">
        <f>$F50*$H50</f>
        <v/>
      </c>
      <c r="K50" s="288" t="n"/>
      <c r="L50" s="291" t="n"/>
      <c r="M50" s="288" t="n"/>
      <c r="N50" s="291" t="n"/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" customHeight="1">
      <c r="B51" s="285" t="n">
        <v>45653</v>
      </c>
      <c r="C51" s="286" t="n">
        <v>9</v>
      </c>
      <c r="D51" s="287" t="inlineStr">
        <is>
          <t>KUPA | Pembelian Mesin Retort Horizontal 500 Lt Automatic Control</t>
        </is>
      </c>
      <c r="E51" s="288" t="inlineStr">
        <is>
          <t>BCA</t>
        </is>
      </c>
      <c r="F51" s="289" t="n">
        <v>141500000</v>
      </c>
      <c r="G51" s="286" t="inlineStr">
        <is>
          <t>IDR</t>
        </is>
      </c>
      <c r="H51" s="290" t="n">
        <v>1</v>
      </c>
      <c r="I51" s="288" t="n"/>
      <c r="J51" s="292">
        <f>$F51*$H51</f>
        <v/>
      </c>
      <c r="K51" s="288" t="n"/>
      <c r="L51" s="291" t="n"/>
      <c r="M51" s="288" t="n"/>
      <c r="N51" s="291" t="n"/>
      <c r="O51" s="288" t="n"/>
      <c r="P51" s="291" t="n"/>
      <c r="Q51" s="291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.5" customFormat="1" customHeight="1" s="66">
      <c r="B52" s="281" t="n"/>
      <c r="C52" s="281" t="n"/>
      <c r="D52" s="282" t="inlineStr">
        <is>
          <t>Biaya Sewa Peralatan</t>
        </is>
      </c>
      <c r="E52" s="281" t="n"/>
      <c r="F52" s="281" t="n"/>
      <c r="G52" s="281" t="n"/>
      <c r="H52" s="281" t="n"/>
      <c r="I52" s="281" t="n"/>
      <c r="J52" s="283" t="n"/>
      <c r="K52" s="281" t="n"/>
      <c r="L52" s="283" t="n"/>
      <c r="M52" s="281" t="n"/>
      <c r="N52" s="283" t="n"/>
      <c r="O52" s="281" t="n"/>
      <c r="P52" s="283" t="n"/>
      <c r="Q52" s="283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45302</v>
      </c>
      <c r="C53" s="286" t="n">
        <v>10</v>
      </c>
      <c r="D53" s="287" t="inlineStr">
        <is>
          <t>ALFA Service PDP-075 Pertamina Zona#4 - Rental Tool</t>
        </is>
      </c>
      <c r="E53" s="288" t="inlineStr">
        <is>
          <t>BCA</t>
        </is>
      </c>
      <c r="F53" s="289" t="n">
        <v>29640916</v>
      </c>
      <c r="G53" s="286" t="inlineStr">
        <is>
          <t>IDR</t>
        </is>
      </c>
      <c r="H53" s="290" t="n">
        <v>1</v>
      </c>
      <c r="I53" s="288" t="n"/>
      <c r="J53" s="291" t="n"/>
      <c r="K53" s="289">
        <f>$F53*$H53</f>
        <v/>
      </c>
      <c r="L53" s="291" t="n"/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45302</v>
      </c>
      <c r="C54" s="286" t="n">
        <v>11</v>
      </c>
      <c r="D54" s="287" t="inlineStr">
        <is>
          <t>ALFA Service PDS-01ST Pertamina Zona#4 - Rental Tool</t>
        </is>
      </c>
      <c r="E54" s="288" t="inlineStr">
        <is>
          <t>BCA</t>
        </is>
      </c>
      <c r="F54" s="289" t="n">
        <v>29640916</v>
      </c>
      <c r="G54" s="286" t="inlineStr">
        <is>
          <t>IDR</t>
        </is>
      </c>
      <c r="H54" s="290" t="n">
        <v>1</v>
      </c>
      <c r="I54" s="288" t="n"/>
      <c r="J54" s="291" t="n"/>
      <c r="K54" s="289">
        <f>$F54*$H54</f>
        <v/>
      </c>
      <c r="L54" s="291" t="n"/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45302</v>
      </c>
      <c r="C55" s="286" t="n">
        <v>12</v>
      </c>
      <c r="D55" s="287" t="inlineStr">
        <is>
          <t>ALFA Service JRK-254 Pertamina Zona#4 - Rental Tool</t>
        </is>
      </c>
      <c r="E55" s="288" t="inlineStr">
        <is>
          <t>BCA</t>
        </is>
      </c>
      <c r="F55" s="289" t="n">
        <v>29640916</v>
      </c>
      <c r="G55" s="286" t="inlineStr">
        <is>
          <t>IDR</t>
        </is>
      </c>
      <c r="H55" s="290" t="n">
        <v>1</v>
      </c>
      <c r="I55" s="288" t="n"/>
      <c r="J55" s="291" t="n"/>
      <c r="K55" s="289">
        <f>$F55*$H55</f>
        <v/>
      </c>
      <c r="L55" s="291" t="n"/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13</v>
      </c>
      <c r="D56" s="287" t="inlineStr">
        <is>
          <t>ALFA Service TLJ-58 Pertamina Zona#4 - Rental Tool</t>
        </is>
      </c>
      <c r="E56" s="288" t="inlineStr">
        <is>
          <t>BCA</t>
        </is>
      </c>
      <c r="F56" s="289" t="n">
        <v>29640916</v>
      </c>
      <c r="G56" s="286" t="inlineStr">
        <is>
          <t>IDR</t>
        </is>
      </c>
      <c r="H56" s="290" t="n">
        <v>1</v>
      </c>
      <c r="I56" s="288" t="n"/>
      <c r="J56" s="291" t="n"/>
      <c r="K56" s="289">
        <f>$F56*$H56</f>
        <v/>
      </c>
      <c r="L56" s="291" t="n"/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45447</v>
      </c>
      <c r="C57" s="286" t="n">
        <v>14</v>
      </c>
      <c r="D57" s="287" t="inlineStr">
        <is>
          <t>ALFA Service JRK-193 Pertamina Zona#4 - Rental Tool</t>
        </is>
      </c>
      <c r="E57" s="288" t="inlineStr">
        <is>
          <t>BCA</t>
        </is>
      </c>
      <c r="F57" s="289" t="n">
        <v>29640916</v>
      </c>
      <c r="G57" s="286" t="inlineStr">
        <is>
          <t>IDR</t>
        </is>
      </c>
      <c r="H57" s="290" t="n">
        <v>1</v>
      </c>
      <c r="I57" s="288" t="n"/>
      <c r="J57" s="291" t="n"/>
      <c r="K57" s="289">
        <f>$F57*$H57</f>
        <v/>
      </c>
      <c r="L57" s="291" t="n"/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45537</v>
      </c>
      <c r="C58" s="286" t="n">
        <v>15</v>
      </c>
      <c r="D58" s="287" t="inlineStr">
        <is>
          <t>ALFA Service JRK-163 Pertamina Zona#4 - Rental Tool</t>
        </is>
      </c>
      <c r="E58" s="288" t="inlineStr">
        <is>
          <t>BCA</t>
        </is>
      </c>
      <c r="F58" s="289" t="n">
        <v>29640916</v>
      </c>
      <c r="G58" s="286" t="inlineStr">
        <is>
          <t>IDR</t>
        </is>
      </c>
      <c r="H58" s="290" t="n">
        <v>1</v>
      </c>
      <c r="I58" s="288" t="n"/>
      <c r="J58" s="291" t="n"/>
      <c r="K58" s="289">
        <f>$F58*$H58</f>
        <v/>
      </c>
      <c r="L58" s="291" t="n"/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45569</v>
      </c>
      <c r="C59" s="286" t="n">
        <v>16</v>
      </c>
      <c r="D59" s="287" t="inlineStr">
        <is>
          <t>PLT Service TGB-033 Pertamina Cirebon - Rental Tool</t>
        </is>
      </c>
      <c r="E59" s="288" t="inlineStr">
        <is>
          <t>BCA</t>
        </is>
      </c>
      <c r="F59" s="289" t="n">
        <v>16165271</v>
      </c>
      <c r="G59" s="286" t="inlineStr">
        <is>
          <t>IDR</t>
        </is>
      </c>
      <c r="H59" s="290" t="n">
        <v>1</v>
      </c>
      <c r="I59" s="288" t="n"/>
      <c r="J59" s="291" t="n"/>
      <c r="K59" s="289">
        <f>$F59*$H59</f>
        <v/>
      </c>
      <c r="L59" s="291" t="n"/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45569</v>
      </c>
      <c r="C60" s="286" t="n">
        <v>17</v>
      </c>
      <c r="D60" s="287" t="inlineStr">
        <is>
          <t>ALFA Service TGB-033 Pertamina Cirebon - Rental Tool</t>
        </is>
      </c>
      <c r="E60" s="288" t="inlineStr">
        <is>
          <t>BCA</t>
        </is>
      </c>
      <c r="F60" s="289" t="n">
        <v>25967616</v>
      </c>
      <c r="G60" s="286" t="inlineStr">
        <is>
          <t>IDR</t>
        </is>
      </c>
      <c r="H60" s="290" t="n">
        <v>1</v>
      </c>
      <c r="I60" s="288" t="n"/>
      <c r="J60" s="291" t="n"/>
      <c r="K60" s="289">
        <f>$F60*$H60</f>
        <v/>
      </c>
      <c r="L60" s="291" t="n"/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45569</v>
      </c>
      <c r="C61" s="286" t="n">
        <v>18</v>
      </c>
      <c r="D61" s="287" t="inlineStr">
        <is>
          <t>MFC Service TGB-033 Pertamina Cirebon - Rental Tool</t>
        </is>
      </c>
      <c r="E61" s="288" t="inlineStr">
        <is>
          <t>BCA</t>
        </is>
      </c>
      <c r="F61" s="289" t="n">
        <v>32101247</v>
      </c>
      <c r="G61" s="286" t="inlineStr">
        <is>
          <t>IDR</t>
        </is>
      </c>
      <c r="H61" s="290" t="n">
        <v>1</v>
      </c>
      <c r="I61" s="288" t="n"/>
      <c r="J61" s="291" t="n"/>
      <c r="K61" s="289">
        <f>$F61*$H61</f>
        <v/>
      </c>
      <c r="L61" s="291" t="n"/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45572</v>
      </c>
      <c r="C62" s="286" t="n">
        <v>19</v>
      </c>
      <c r="D62" s="287" t="inlineStr">
        <is>
          <t>ALFA Service JRK-095 Pertamina Zona#4 - Rental Tool</t>
        </is>
      </c>
      <c r="E62" s="288" t="inlineStr">
        <is>
          <t>BCA</t>
        </is>
      </c>
      <c r="F62" s="289" t="n">
        <v>29640916</v>
      </c>
      <c r="G62" s="286" t="inlineStr">
        <is>
          <t>IDR</t>
        </is>
      </c>
      <c r="H62" s="290" t="n">
        <v>1</v>
      </c>
      <c r="I62" s="288" t="n"/>
      <c r="J62" s="291" t="n"/>
      <c r="K62" s="289">
        <f>$F62*$H62</f>
        <v/>
      </c>
      <c r="L62" s="291" t="n"/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45576</v>
      </c>
      <c r="C63" s="286" t="n">
        <v>20</v>
      </c>
      <c r="D63" s="287" t="inlineStr">
        <is>
          <t>MPLT/GR-CCL/ALFA TIS - Rental Tool</t>
        </is>
      </c>
      <c r="E63" s="288" t="inlineStr">
        <is>
          <t>BCA</t>
        </is>
      </c>
      <c r="F63" s="289" t="n">
        <v>74291457</v>
      </c>
      <c r="G63" s="286" t="inlineStr">
        <is>
          <t>IDR</t>
        </is>
      </c>
      <c r="H63" s="290" t="n">
        <v>1</v>
      </c>
      <c r="I63" s="288" t="n"/>
      <c r="J63" s="291" t="n"/>
      <c r="K63" s="289">
        <f>$F63*$H63</f>
        <v/>
      </c>
      <c r="L63" s="291" t="n"/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Biaya Operasi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45304</v>
      </c>
      <c r="C65" s="286" t="n">
        <v>21</v>
      </c>
      <c r="D65" s="287" t="inlineStr">
        <is>
          <t>Sales cost 4 Well Integrity Pertamina Z.4</t>
        </is>
      </c>
      <c r="E65" s="288" t="inlineStr">
        <is>
          <t>BRI</t>
        </is>
      </c>
      <c r="F65" s="289" t="n">
        <v>77672400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2">
        <f>$F65*$H65</f>
        <v/>
      </c>
      <c r="M65" s="288" t="n"/>
      <c r="N65" s="291" t="n"/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45323</v>
      </c>
      <c r="C66" s="286" t="n">
        <v>22</v>
      </c>
      <c r="D66" s="287" t="inlineStr">
        <is>
          <t>Gaji Januari 2024 _Yufitri</t>
        </is>
      </c>
      <c r="E66" s="288" t="inlineStr">
        <is>
          <t>BCA</t>
        </is>
      </c>
      <c r="F66" s="289" t="n">
        <v>2500000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2">
        <f>$F66*$H66</f>
        <v/>
      </c>
      <c r="M66" s="288" t="n"/>
      <c r="N66" s="291" t="n"/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45356</v>
      </c>
      <c r="C67" s="286" t="n">
        <v>23</v>
      </c>
      <c r="D67" s="287" t="inlineStr">
        <is>
          <t>Gaji Februari 2024 + raple gaji Januari 2024_Yufitri</t>
        </is>
      </c>
      <c r="E67" s="288" t="inlineStr">
        <is>
          <t>BCA</t>
        </is>
      </c>
      <c r="F67" s="289" t="n">
        <v>3500000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2">
        <f>$F67*$H67</f>
        <v/>
      </c>
      <c r="M67" s="288" t="n"/>
      <c r="N67" s="291" t="n"/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" customHeight="1">
      <c r="A68" s="66" t="n"/>
      <c r="B68" s="285" t="n">
        <v>45379</v>
      </c>
      <c r="C68" s="286" t="n">
        <v>24</v>
      </c>
      <c r="D68" s="287" t="inlineStr">
        <is>
          <t>Gaji Maret 2024_Yufitri</t>
        </is>
      </c>
      <c r="E68" s="288" t="inlineStr">
        <is>
          <t>BCA</t>
        </is>
      </c>
      <c r="F68" s="289" t="n">
        <v>3000000</v>
      </c>
      <c r="G68" s="286" t="inlineStr">
        <is>
          <t>IDR</t>
        </is>
      </c>
      <c r="H68" s="290" t="n">
        <v>1</v>
      </c>
      <c r="I68" s="288" t="n"/>
      <c r="J68" s="291" t="n"/>
      <c r="K68" s="288" t="n"/>
      <c r="L68" s="292">
        <f>$F68*$H68</f>
        <v/>
      </c>
      <c r="M68" s="288" t="n"/>
      <c r="N68" s="291" t="n"/>
      <c r="O68" s="288" t="n"/>
      <c r="P68" s="291" t="n"/>
      <c r="Q68" s="291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45388</v>
      </c>
      <c r="C69" s="286" t="n">
        <v>25</v>
      </c>
      <c r="D69" s="287" t="inlineStr">
        <is>
          <t>THR 2024_Yufitri</t>
        </is>
      </c>
      <c r="E69" s="288" t="inlineStr">
        <is>
          <t>BCA</t>
        </is>
      </c>
      <c r="F69" s="289" t="n">
        <v>3000000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" customHeight="1">
      <c r="B70" s="285" t="n">
        <v>45416</v>
      </c>
      <c r="C70" s="286" t="n">
        <v>26</v>
      </c>
      <c r="D70" s="287" t="inlineStr">
        <is>
          <t>Gaji April_Yufitri</t>
        </is>
      </c>
      <c r="E70" s="288" t="inlineStr">
        <is>
          <t>BCA</t>
        </is>
      </c>
      <c r="F70" s="289" t="n">
        <v>3000000</v>
      </c>
      <c r="G70" s="286" t="inlineStr">
        <is>
          <t>IDR</t>
        </is>
      </c>
      <c r="H70" s="290" t="n">
        <v>1</v>
      </c>
      <c r="I70" s="288" t="n"/>
      <c r="J70" s="291" t="n"/>
      <c r="K70" s="288" t="n"/>
      <c r="L70" s="292">
        <f>$F70*$H70</f>
        <v/>
      </c>
      <c r="M70" s="288" t="n"/>
      <c r="N70" s="291" t="n"/>
      <c r="O70" s="288" t="n"/>
      <c r="P70" s="291" t="n"/>
      <c r="Q70" s="291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45422</v>
      </c>
      <c r="C71" s="286" t="n">
        <v>27</v>
      </c>
      <c r="D71" s="287" t="inlineStr">
        <is>
          <t>Aro Energy | Moving slickline dari Duri (Toni Supriadi) ke Sungai lilin</t>
        </is>
      </c>
      <c r="E71" s="288" t="inlineStr">
        <is>
          <t>BCA</t>
        </is>
      </c>
      <c r="F71" s="289" t="n">
        <v>18000000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2">
        <f>$F71*$H71</f>
        <v/>
      </c>
      <c r="M71" s="288" t="n"/>
      <c r="N71" s="291" t="n"/>
      <c r="O71" s="288" t="n"/>
      <c r="P71" s="291" t="n"/>
      <c r="Q71" s="291" t="n"/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45446</v>
      </c>
      <c r="C72" s="286" t="n">
        <v>28</v>
      </c>
      <c r="D72" s="287" t="inlineStr">
        <is>
          <t>PT Laka Indonesia |  Wastafel for WIKA Anantara Ubud Bali</t>
        </is>
      </c>
      <c r="E72" s="288" t="inlineStr">
        <is>
          <t>BCA</t>
        </is>
      </c>
      <c r="F72" s="289" t="n">
        <v>300000000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2">
        <f>$F72*$H72</f>
        <v/>
      </c>
      <c r="M72" s="288" t="n"/>
      <c r="N72" s="291" t="n"/>
      <c r="O72" s="288" t="n"/>
      <c r="P72" s="291" t="n"/>
      <c r="Q72" s="291" t="n"/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45446</v>
      </c>
      <c r="C73" s="286" t="n">
        <v>29</v>
      </c>
      <c r="D73" s="287" t="inlineStr">
        <is>
          <t>Gaji Mei_Yufitri</t>
        </is>
      </c>
      <c r="E73" s="288" t="inlineStr">
        <is>
          <t>BCA</t>
        </is>
      </c>
      <c r="F73" s="289" t="n">
        <v>3000000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2">
        <f>$F73*$H73</f>
        <v/>
      </c>
      <c r="M73" s="288" t="n"/>
      <c r="N73" s="291" t="n"/>
      <c r="O73" s="288" t="n"/>
      <c r="P73" s="291" t="n"/>
      <c r="Q73" s="291" t="n"/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45473</v>
      </c>
      <c r="C74" s="286" t="n">
        <v>30</v>
      </c>
      <c r="D74" s="287" t="inlineStr">
        <is>
          <t>Gaji Juni 2024_Yufitri</t>
        </is>
      </c>
      <c r="E74" s="288" t="inlineStr">
        <is>
          <t>BCA</t>
        </is>
      </c>
      <c r="F74" s="289" t="n">
        <v>3000000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2">
        <f>$F74*$H74</f>
        <v/>
      </c>
      <c r="M74" s="288" t="n"/>
      <c r="N74" s="291" t="n"/>
      <c r="O74" s="288" t="n"/>
      <c r="P74" s="291" t="n"/>
      <c r="Q74" s="291" t="n"/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" customHeight="1">
      <c r="A75" s="66" t="n"/>
      <c r="B75" s="285" t="n">
        <v>45478</v>
      </c>
      <c r="C75" s="286" t="n">
        <v>31</v>
      </c>
      <c r="D75" s="287" t="inlineStr">
        <is>
          <t>Repair ESOR panel &amp; Fabricate dummy test load, Payment#2</t>
        </is>
      </c>
      <c r="E75" s="288" t="inlineStr">
        <is>
          <t>BRI</t>
        </is>
      </c>
      <c r="F75" s="289" t="n">
        <v>25000000</v>
      </c>
      <c r="G75" s="286" t="inlineStr">
        <is>
          <t>IDR</t>
        </is>
      </c>
      <c r="H75" s="290" t="n">
        <v>1</v>
      </c>
      <c r="I75" s="288" t="n"/>
      <c r="J75" s="291" t="n"/>
      <c r="K75" s="288" t="n"/>
      <c r="L75" s="292">
        <f>$F75*$H75</f>
        <v/>
      </c>
      <c r="M75" s="288" t="n"/>
      <c r="N75" s="291" t="n"/>
      <c r="O75" s="288" t="n"/>
      <c r="P75" s="291" t="n"/>
      <c r="Q75" s="291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45480</v>
      </c>
      <c r="C76" s="286" t="n">
        <v>32</v>
      </c>
      <c r="D76" s="287" t="inlineStr">
        <is>
          <t>PT Laka Indonesia |  Wastafel for WIKA Anantara Ubud Bali</t>
        </is>
      </c>
      <c r="E76" s="288" t="inlineStr">
        <is>
          <t>BCA</t>
        </is>
      </c>
      <c r="F76" s="289" t="n">
        <v>25000000</v>
      </c>
      <c r="G76" s="286" t="inlineStr">
        <is>
          <t>IDR</t>
        </is>
      </c>
      <c r="H76" s="290" t="n">
        <v>1</v>
      </c>
      <c r="I76" s="288" t="n"/>
      <c r="J76" s="291" t="n"/>
      <c r="K76" s="288" t="n"/>
      <c r="L76" s="292">
        <f>$F76*$H76</f>
        <v/>
      </c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45492</v>
      </c>
      <c r="C77" s="286" t="n">
        <v>33</v>
      </c>
      <c r="D77" s="287" t="inlineStr">
        <is>
          <t>PT Laka Indonesia |  Wastafel for WIKA Anantara Ubud Bali</t>
        </is>
      </c>
      <c r="E77" s="288" t="inlineStr">
        <is>
          <t>BCA</t>
        </is>
      </c>
      <c r="F77" s="289" t="n">
        <v>25000000</v>
      </c>
      <c r="G77" s="286" t="inlineStr">
        <is>
          <t>IDR</t>
        </is>
      </c>
      <c r="H77" s="290" t="n">
        <v>1</v>
      </c>
      <c r="I77" s="288" t="n"/>
      <c r="J77" s="291" t="n"/>
      <c r="K77" s="288" t="n"/>
      <c r="L77" s="292">
        <f>$F77*$H77</f>
        <v/>
      </c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45493</v>
      </c>
      <c r="C78" s="286" t="n">
        <v>34</v>
      </c>
      <c r="D78" s="287" t="inlineStr">
        <is>
          <t>Repair ESOR panel &amp; Fabricate dummy test load, Payment#1</t>
        </is>
      </c>
      <c r="E78" s="288" t="inlineStr">
        <is>
          <t>BCA</t>
        </is>
      </c>
      <c r="F78" s="289" t="n">
        <v>20000000</v>
      </c>
      <c r="G78" s="286" t="inlineStr">
        <is>
          <t>IDR</t>
        </is>
      </c>
      <c r="H78" s="290" t="n">
        <v>1</v>
      </c>
      <c r="I78" s="288" t="n"/>
      <c r="J78" s="291" t="n"/>
      <c r="K78" s="288" t="n"/>
      <c r="L78" s="292">
        <f>$F78*$H78</f>
        <v/>
      </c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45501</v>
      </c>
      <c r="C79" s="286" t="n">
        <v>35</v>
      </c>
      <c r="D79" s="287" t="inlineStr">
        <is>
          <t>Gaji Juli 2024_Yufitri</t>
        </is>
      </c>
      <c r="E79" s="288" t="inlineStr">
        <is>
          <t>BCA</t>
        </is>
      </c>
      <c r="F79" s="289" t="n">
        <v>3000000</v>
      </c>
      <c r="G79" s="286" t="inlineStr">
        <is>
          <t>IDR</t>
        </is>
      </c>
      <c r="H79" s="290" t="n">
        <v>1</v>
      </c>
      <c r="I79" s="288" t="n"/>
      <c r="J79" s="291" t="n"/>
      <c r="K79" s="288" t="n"/>
      <c r="L79" s="292">
        <f>$F79*$H79</f>
        <v/>
      </c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45535</v>
      </c>
      <c r="C80" s="286" t="n">
        <v>36</v>
      </c>
      <c r="D80" s="287" t="inlineStr">
        <is>
          <t>Gaji Agustus 2024_Yufitri</t>
        </is>
      </c>
      <c r="E80" s="288" t="inlineStr">
        <is>
          <t>BCA</t>
        </is>
      </c>
      <c r="F80" s="289" t="n">
        <v>3000000</v>
      </c>
      <c r="G80" s="286" t="inlineStr">
        <is>
          <t>IDR</t>
        </is>
      </c>
      <c r="H80" s="290" t="n">
        <v>1</v>
      </c>
      <c r="I80" s="288" t="n"/>
      <c r="J80" s="291" t="n"/>
      <c r="K80" s="288" t="n"/>
      <c r="L80" s="292">
        <f>$F80*$H80</f>
        <v/>
      </c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45568</v>
      </c>
      <c r="C81" s="286" t="n">
        <v>37</v>
      </c>
      <c r="D81" s="287" t="inlineStr">
        <is>
          <t>Gaji fitri bulan september 2024</t>
        </is>
      </c>
      <c r="E81" s="288" t="inlineStr">
        <is>
          <t>BRI</t>
        </is>
      </c>
      <c r="F81" s="289" t="n">
        <v>3000000</v>
      </c>
      <c r="G81" s="286" t="inlineStr">
        <is>
          <t>IDR</t>
        </is>
      </c>
      <c r="H81" s="290" t="n">
        <v>1</v>
      </c>
      <c r="I81" s="288" t="n"/>
      <c r="J81" s="291" t="n"/>
      <c r="K81" s="288" t="n"/>
      <c r="L81" s="292">
        <f>$F81*$H81</f>
        <v/>
      </c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" customHeight="1">
      <c r="B82" s="285" t="n">
        <v>45568</v>
      </c>
      <c r="C82" s="286" t="n">
        <v>38</v>
      </c>
      <c r="D82" s="287" t="inlineStr">
        <is>
          <t>Gaji fitri bulan October 2024</t>
        </is>
      </c>
      <c r="E82" s="288" t="inlineStr">
        <is>
          <t>BRI</t>
        </is>
      </c>
      <c r="F82" s="289" t="n">
        <v>3000000</v>
      </c>
      <c r="G82" s="286" t="inlineStr">
        <is>
          <t>IDR</t>
        </is>
      </c>
      <c r="H82" s="290" t="n">
        <v>1</v>
      </c>
      <c r="I82" s="288" t="n"/>
      <c r="J82" s="291" t="n"/>
      <c r="K82" s="288" t="n"/>
      <c r="L82" s="292">
        <f>$F82*$H82</f>
        <v/>
      </c>
      <c r="M82" s="288" t="n"/>
      <c r="N82" s="291" t="n"/>
      <c r="O82" s="288" t="n"/>
      <c r="P82" s="291" t="n"/>
      <c r="Q82" s="291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45581</v>
      </c>
      <c r="C83" s="286" t="n">
        <v>39</v>
      </c>
      <c r="D83" s="287" t="inlineStr">
        <is>
          <t>PT Laka Indonesia | Project Lampu Taman Istana Negara Jakarta</t>
        </is>
      </c>
      <c r="E83" s="288" t="inlineStr">
        <is>
          <t>BRI</t>
        </is>
      </c>
      <c r="F83" s="289" t="n">
        <v>100000000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45601</v>
      </c>
      <c r="C84" s="286" t="n">
        <v>40</v>
      </c>
      <c r="D84" s="287" t="inlineStr">
        <is>
          <t>Sales fee 2 Well Integrity Pertamina Z.4</t>
        </is>
      </c>
      <c r="E84" s="288" t="inlineStr">
        <is>
          <t>BRI</t>
        </is>
      </c>
      <c r="F84" s="289" t="n">
        <v>38838700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45625</v>
      </c>
      <c r="C85" s="286" t="n">
        <v>41</v>
      </c>
      <c r="D85" s="287" t="inlineStr">
        <is>
          <t>Gaji fitri bulan November 2024</t>
        </is>
      </c>
      <c r="E85" s="288" t="inlineStr">
        <is>
          <t>BRI</t>
        </is>
      </c>
      <c r="F85" s="289" t="n">
        <v>3000000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45644</v>
      </c>
      <c r="C86" s="286" t="n">
        <v>42</v>
      </c>
      <c r="D86" s="287" t="inlineStr">
        <is>
          <t>Team building EWI dengan team Well Intervention PEP Reg. 2</t>
        </is>
      </c>
      <c r="E86" s="288" t="inlineStr">
        <is>
          <t>BCA</t>
        </is>
      </c>
      <c r="F86" s="289" t="n">
        <v>39201350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45651</v>
      </c>
      <c r="C87" s="286" t="n">
        <v>43</v>
      </c>
      <c r="D87" s="287" t="inlineStr">
        <is>
          <t>Gaji Desember 2024 + Bomnus akhir tahun - 4 bulan_Yufitri</t>
        </is>
      </c>
      <c r="E87" s="288" t="inlineStr">
        <is>
          <t>BCA</t>
        </is>
      </c>
      <c r="F87" s="289" t="n">
        <v>15000000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.5" customHeight="1">
      <c r="B88" s="281" t="n"/>
      <c r="C88" s="281" t="n"/>
      <c r="D88" s="282" t="inlineStr">
        <is>
          <t>Biaya Bank</t>
        </is>
      </c>
      <c r="E88" s="281" t="n"/>
      <c r="F88" s="281" t="n"/>
      <c r="G88" s="281" t="n"/>
      <c r="H88" s="281" t="n"/>
      <c r="I88" s="281" t="n"/>
      <c r="J88" s="283" t="n"/>
      <c r="K88" s="281" t="n"/>
      <c r="L88" s="283" t="n"/>
      <c r="M88" s="281" t="n"/>
      <c r="N88" s="283" t="n"/>
      <c r="O88" s="281" t="n"/>
      <c r="P88" s="283" t="n"/>
      <c r="Q88" s="283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" customHeight="1">
      <c r="B89" s="285" t="n">
        <v>45657</v>
      </c>
      <c r="C89" s="286" t="n">
        <v>44</v>
      </c>
      <c r="D89" s="287" t="inlineStr">
        <is>
          <t>Total Biaya Transaksi Bank selama 1 tahun</t>
        </is>
      </c>
      <c r="E89" s="288" t="inlineStr">
        <is>
          <t>-</t>
        </is>
      </c>
      <c r="F89" s="289" t="n">
        <v>1998587</v>
      </c>
      <c r="G89" s="286" t="inlineStr">
        <is>
          <t>IDR</t>
        </is>
      </c>
      <c r="H89" s="290" t="n">
        <v>1</v>
      </c>
      <c r="I89" s="288" t="n"/>
      <c r="J89" s="291" t="n"/>
      <c r="K89" s="288" t="n"/>
      <c r="L89" s="291" t="n"/>
      <c r="M89" s="289">
        <f>$F89*$H89</f>
        <v/>
      </c>
      <c r="N89" s="291" t="n"/>
      <c r="O89" s="288" t="n"/>
      <c r="P89" s="291" t="n"/>
      <c r="Q89" s="291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.5" customHeight="1">
      <c r="A90" s="66" t="n"/>
      <c r="B90" s="281" t="n"/>
      <c r="C90" s="281" t="n"/>
      <c r="D90" s="282" t="inlineStr">
        <is>
          <t>Pembelian Barang</t>
        </is>
      </c>
      <c r="E90" s="281" t="n"/>
      <c r="F90" s="281" t="n"/>
      <c r="G90" s="281" t="n"/>
      <c r="H90" s="281" t="n"/>
      <c r="I90" s="281" t="n"/>
      <c r="J90" s="283" t="n"/>
      <c r="K90" s="281" t="n"/>
      <c r="L90" s="283" t="n"/>
      <c r="M90" s="281" t="n"/>
      <c r="N90" s="283" t="n"/>
      <c r="O90" s="281" t="n"/>
      <c r="P90" s="283" t="n"/>
      <c r="Q90" s="283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45473</v>
      </c>
      <c r="C91" s="286" t="n">
        <v>45</v>
      </c>
      <c r="D91" s="287" t="inlineStr">
        <is>
          <t>Downhole Sampling tool #1-1 GARINDO SARANA BARU</t>
        </is>
      </c>
      <c r="E91" s="288" t="inlineStr">
        <is>
          <t>BCA</t>
        </is>
      </c>
      <c r="F91" s="289" t="n">
        <v>3980000</v>
      </c>
      <c r="G91" s="286" t="inlineStr">
        <is>
          <t>IDR</t>
        </is>
      </c>
      <c r="H91" s="290" t="n">
        <v>1</v>
      </c>
      <c r="I91" s="288" t="n"/>
      <c r="J91" s="291" t="n"/>
      <c r="K91" s="288" t="n"/>
      <c r="L91" s="291" t="n"/>
      <c r="M91" s="288" t="n"/>
      <c r="N91" s="292">
        <f>$F91*$H91</f>
        <v/>
      </c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45476</v>
      </c>
      <c r="C92" s="286" t="n">
        <v>46</v>
      </c>
      <c r="D92" s="287" t="inlineStr">
        <is>
          <t>Kekurangan (PPN ) ke PT Garindo sarana Baru (Downhole Sampling)</t>
        </is>
      </c>
      <c r="E92" s="288" t="inlineStr">
        <is>
          <t>BCA</t>
        </is>
      </c>
      <c r="F92" s="289" t="n">
        <v>3582000</v>
      </c>
      <c r="G92" s="286" t="inlineStr">
        <is>
          <t>IDR</t>
        </is>
      </c>
      <c r="H92" s="290" t="n">
        <v>1</v>
      </c>
      <c r="I92" s="288" t="n"/>
      <c r="J92" s="291" t="n"/>
      <c r="K92" s="288" t="n"/>
      <c r="L92" s="291" t="n"/>
      <c r="M92" s="288" t="n"/>
      <c r="N92" s="292">
        <f>$F92*$H92</f>
        <v/>
      </c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45501</v>
      </c>
      <c r="C93" s="286" t="n">
        <v>47</v>
      </c>
      <c r="D93" s="287" t="inlineStr">
        <is>
          <t>Handphone Operational untuk Secretary (Yufitri)</t>
        </is>
      </c>
      <c r="E93" s="288" t="inlineStr">
        <is>
          <t>BCA</t>
        </is>
      </c>
      <c r="F93" s="289" t="n">
        <v>2600000</v>
      </c>
      <c r="G93" s="286" t="inlineStr">
        <is>
          <t>IDR</t>
        </is>
      </c>
      <c r="H93" s="290" t="n">
        <v>1</v>
      </c>
      <c r="I93" s="288" t="n"/>
      <c r="J93" s="291" t="n"/>
      <c r="K93" s="288" t="n"/>
      <c r="L93" s="291" t="n"/>
      <c r="M93" s="288" t="n"/>
      <c r="N93" s="292">
        <f>$F93*$H93</f>
        <v/>
      </c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45519</v>
      </c>
      <c r="C94" s="286" t="n">
        <v>48</v>
      </c>
      <c r="D94" s="287" t="inlineStr">
        <is>
          <t>Downhole Sampling tool #1-2 GARINDO SARANA BARU</t>
        </is>
      </c>
      <c r="E94" s="288" t="inlineStr">
        <is>
          <t>BCA</t>
        </is>
      </c>
      <c r="F94" s="289" t="n">
        <v>53835000</v>
      </c>
      <c r="G94" s="286" t="inlineStr">
        <is>
          <t>IDR</t>
        </is>
      </c>
      <c r="H94" s="290" t="n">
        <v>1</v>
      </c>
      <c r="I94" s="288" t="n"/>
      <c r="J94" s="291" t="n"/>
      <c r="K94" s="288" t="n"/>
      <c r="L94" s="291" t="n"/>
      <c r="M94" s="288" t="n"/>
      <c r="N94" s="292">
        <f>$F94*$H94</f>
        <v/>
      </c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45556</v>
      </c>
      <c r="C95" s="286" t="n">
        <v>49</v>
      </c>
      <c r="D95" s="287" t="inlineStr">
        <is>
          <t>Downhole Sampling tool #2 GARINDO SARANA BARU</t>
        </is>
      </c>
      <c r="E95" s="288" t="inlineStr">
        <is>
          <t>BCA</t>
        </is>
      </c>
      <c r="F95" s="289" t="n">
        <v>34299000</v>
      </c>
      <c r="G95" s="286" t="inlineStr">
        <is>
          <t>IDR</t>
        </is>
      </c>
      <c r="H95" s="290" t="n">
        <v>1</v>
      </c>
      <c r="I95" s="288" t="n"/>
      <c r="J95" s="291" t="n"/>
      <c r="K95" s="288" t="n"/>
      <c r="L95" s="291" t="n"/>
      <c r="M95" s="288" t="n"/>
      <c r="N95" s="292">
        <f>$F95*$H95</f>
        <v/>
      </c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45630</v>
      </c>
      <c r="C96" s="286" t="n">
        <v>50</v>
      </c>
      <c r="D96" s="287" t="inlineStr">
        <is>
          <t>Payment ke UPS Biaya Import pembelian sparepart dari Pei-Genesis</t>
        </is>
      </c>
      <c r="E96" s="288" t="inlineStr">
        <is>
          <t>BRI</t>
        </is>
      </c>
      <c r="F96" s="289" t="n">
        <v>777246</v>
      </c>
      <c r="G96" s="286" t="inlineStr">
        <is>
          <t>IDR</t>
        </is>
      </c>
      <c r="H96" s="290" t="n">
        <v>1</v>
      </c>
      <c r="I96" s="288" t="n"/>
      <c r="J96" s="291" t="n"/>
      <c r="K96" s="288" t="n"/>
      <c r="L96" s="291" t="n"/>
      <c r="M96" s="288" t="n"/>
      <c r="N96" s="292">
        <f>$F96*$H96</f>
        <v/>
      </c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.5" customHeight="1">
      <c r="B97" s="281" t="n"/>
      <c r="C97" s="281" t="n"/>
      <c r="D97" s="282" t="inlineStr">
        <is>
          <t>Sewa Kantor</t>
        </is>
      </c>
      <c r="E97" s="281" t="n"/>
      <c r="F97" s="281" t="n"/>
      <c r="G97" s="281" t="n"/>
      <c r="H97" s="281" t="n"/>
      <c r="I97" s="281" t="n"/>
      <c r="J97" s="283" t="n"/>
      <c r="K97" s="281" t="n"/>
      <c r="L97" s="283" t="n"/>
      <c r="M97" s="281" t="n"/>
      <c r="N97" s="283" t="n"/>
      <c r="O97" s="281" t="n"/>
      <c r="P97" s="283" t="n"/>
      <c r="Q97" s="283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45632</v>
      </c>
      <c r="C98" s="286" t="n">
        <v>51</v>
      </c>
      <c r="D98" s="287" t="inlineStr">
        <is>
          <t>Sewa Virtual Office 1th, 1jan25 - 31des25_BBC_ Ganesha Dwipaya B</t>
        </is>
      </c>
      <c r="E98" s="288" t="inlineStr">
        <is>
          <t>BCA</t>
        </is>
      </c>
      <c r="F98" s="289" t="n">
        <v>4995000</v>
      </c>
      <c r="G98" s="286" t="inlineStr">
        <is>
          <t>IDR</t>
        </is>
      </c>
      <c r="H98" s="290" t="n">
        <v>1</v>
      </c>
      <c r="I98" s="288" t="n"/>
      <c r="J98" s="291" t="n"/>
      <c r="K98" s="288" t="n"/>
      <c r="L98" s="291" t="n"/>
      <c r="M98" s="288" t="n"/>
      <c r="N98" s="291" t="n"/>
      <c r="O98" s="289">
        <f>$F98*$H98</f>
        <v/>
      </c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.5" customHeight="1">
      <c r="B99" s="281" t="n"/>
      <c r="C99" s="281" t="n"/>
      <c r="D99" s="282" t="inlineStr">
        <is>
          <t>Bisnis Dev</t>
        </is>
      </c>
      <c r="E99" s="281" t="n"/>
      <c r="F99" s="281" t="n"/>
      <c r="G99" s="281" t="n"/>
      <c r="H99" s="281" t="n"/>
      <c r="I99" s="281" t="n"/>
      <c r="J99" s="283" t="n"/>
      <c r="K99" s="281" t="n"/>
      <c r="L99" s="283" t="n"/>
      <c r="M99" s="281" t="n"/>
      <c r="N99" s="283" t="n"/>
      <c r="O99" s="281" t="n"/>
      <c r="P99" s="283" t="n"/>
      <c r="Q99" s="283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45483</v>
      </c>
      <c r="C100" s="286" t="n">
        <v>52</v>
      </c>
      <c r="D100" s="287" t="inlineStr">
        <is>
          <t>Pembelian Lisence Sonoechometer to PT Weebz Mandiri</t>
        </is>
      </c>
      <c r="E100" s="288" t="inlineStr">
        <is>
          <t>BCA</t>
        </is>
      </c>
      <c r="F100" s="289" t="n">
        <v>16650000</v>
      </c>
      <c r="G100" s="286" t="inlineStr">
        <is>
          <t>IDR</t>
        </is>
      </c>
      <c r="H100" s="290" t="n">
        <v>1</v>
      </c>
      <c r="I100" s="288" t="n"/>
      <c r="J100" s="291" t="n"/>
      <c r="K100" s="288" t="n"/>
      <c r="L100" s="291" t="n"/>
      <c r="M100" s="288" t="n"/>
      <c r="N100" s="291" t="n"/>
      <c r="O100" s="288" t="n"/>
      <c r="P100" s="291" t="n"/>
      <c r="Q100" s="292">
        <f>$F100*$H100</f>
        <v/>
      </c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" customHeight="1">
      <c r="B101" s="285" t="n">
        <v>45519</v>
      </c>
      <c r="C101" s="286" t="n">
        <v>53</v>
      </c>
      <c r="D101" s="287" t="inlineStr">
        <is>
          <t>MUTRI | Sewa ruangan kantor BBC 2 bulan</t>
        </is>
      </c>
      <c r="E101" s="288" t="inlineStr">
        <is>
          <t>BCA</t>
        </is>
      </c>
      <c r="F101" s="289" t="n">
        <v>11270000</v>
      </c>
      <c r="G101" s="286" t="inlineStr">
        <is>
          <t>IDR</t>
        </is>
      </c>
      <c r="H101" s="290" t="n">
        <v>1</v>
      </c>
      <c r="I101" s="288" t="n"/>
      <c r="J101" s="291" t="n"/>
      <c r="K101" s="288" t="n"/>
      <c r="L101" s="291" t="n"/>
      <c r="M101" s="288" t="n"/>
      <c r="N101" s="291" t="n"/>
      <c r="O101" s="288" t="n"/>
      <c r="P101" s="291" t="n"/>
      <c r="Q101" s="292">
        <f>$F101*$H101</f>
        <v/>
      </c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45539</v>
      </c>
      <c r="C102" s="286" t="n">
        <v>54</v>
      </c>
      <c r="D102" s="287" t="inlineStr">
        <is>
          <t>MUTRI | Penambahan modal biaya kerja</t>
        </is>
      </c>
      <c r="E102" s="288" t="inlineStr">
        <is>
          <t>BRI</t>
        </is>
      </c>
      <c r="F102" s="289" t="n">
        <v>100000000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1" t="n"/>
      <c r="M102" s="288" t="n"/>
      <c r="N102" s="291" t="n"/>
      <c r="O102" s="288" t="n"/>
      <c r="P102" s="291" t="n"/>
      <c r="Q102" s="292">
        <f>$F102*$H102</f>
        <v/>
      </c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" customHeight="1">
      <c r="B103" s="285" t="n">
        <v>45625</v>
      </c>
      <c r="C103" s="286" t="n">
        <v>55</v>
      </c>
      <c r="D103" s="287" t="inlineStr">
        <is>
          <t>MUTRI | Penambahan modal biaya kerja 3rd</t>
        </is>
      </c>
      <c r="E103" s="288" t="inlineStr">
        <is>
          <t>BRI</t>
        </is>
      </c>
      <c r="F103" s="289" t="n">
        <v>75000000</v>
      </c>
      <c r="G103" s="286" t="inlineStr">
        <is>
          <t>IDR</t>
        </is>
      </c>
      <c r="H103" s="290" t="n">
        <v>1</v>
      </c>
      <c r="I103" s="288" t="n"/>
      <c r="J103" s="291" t="n"/>
      <c r="K103" s="288" t="n"/>
      <c r="L103" s="291" t="n"/>
      <c r="M103" s="288" t="n"/>
      <c r="N103" s="291" t="n"/>
      <c r="O103" s="288" t="n"/>
      <c r="P103" s="291" t="n"/>
      <c r="Q103" s="292">
        <f>$F103*$H103</f>
        <v/>
      </c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.5" customHeight="1">
      <c r="B104" s="293" t="n"/>
      <c r="C104" s="293" t="n"/>
      <c r="D104" s="294" t="inlineStr">
        <is>
          <t>PENGELUARAN DAN KANTOR - Expenses Report</t>
        </is>
      </c>
      <c r="E104" s="293" t="n"/>
      <c r="F104" s="293" t="n"/>
      <c r="G104" s="293" t="n"/>
      <c r="H104" s="293" t="n"/>
      <c r="I104" s="293" t="n"/>
      <c r="J104" s="295" t="n"/>
      <c r="K104" s="293" t="n"/>
      <c r="L104" s="295" t="n"/>
      <c r="M104" s="293" t="n"/>
      <c r="N104" s="295" t="n"/>
      <c r="O104" s="293" t="n"/>
      <c r="P104" s="295" t="n"/>
      <c r="Q104" s="295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96" t="inlineStr">
        <is>
          <t>Expense#1</t>
        </is>
      </c>
      <c r="C105" s="297" t="inlineStr">
        <is>
          <t>:</t>
        </is>
      </c>
      <c r="D105" s="296" t="inlineStr">
        <is>
          <t>ALFA_ TLJ-58 (PEPZ4-Prabumulih field) SIJak- IC</t>
        </is>
      </c>
      <c r="E105" s="297" t="n"/>
      <c r="F105" s="297" t="n"/>
      <c r="G105" s="297" t="n"/>
      <c r="H105" s="297" t="n"/>
      <c r="I105" s="297" t="n"/>
      <c r="J105" s="298" t="n"/>
      <c r="K105" s="297" t="n"/>
      <c r="L105" s="298" t="n"/>
      <c r="M105" s="297" t="n"/>
      <c r="N105" s="298" t="n"/>
      <c r="O105" s="297" t="n"/>
      <c r="P105" s="298" t="n"/>
      <c r="Q105" s="298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.5" customHeight="1">
      <c r="B106" s="299" t="n"/>
      <c r="C106" s="299" t="n"/>
      <c r="D106" s="282" t="inlineStr">
        <is>
          <t>Accommodation , Laundry</t>
        </is>
      </c>
      <c r="E106" s="299" t="n"/>
      <c r="F106" s="299" t="n"/>
      <c r="G106" s="299" t="n"/>
      <c r="H106" s="299" t="n"/>
      <c r="I106" s="299" t="n"/>
      <c r="J106" s="300" t="n"/>
      <c r="K106" s="299" t="n"/>
      <c r="L106" s="300" t="n"/>
      <c r="M106" s="299" t="n"/>
      <c r="N106" s="300" t="n"/>
      <c r="O106" s="299" t="n"/>
      <c r="P106" s="300" t="n"/>
      <c r="Q106" s="300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45329</v>
      </c>
      <c r="C107" s="286" t="n">
        <v>56</v>
      </c>
      <c r="D107" s="287" t="inlineStr">
        <is>
          <t>Hotel 7 Feb-8 Feb 2024 (1 days)</t>
        </is>
      </c>
      <c r="E107" s="288" t="inlineStr">
        <is>
          <t>-</t>
        </is>
      </c>
      <c r="F107" s="289" t="n">
        <v>200000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2">
        <f>$F107*$H107</f>
        <v/>
      </c>
      <c r="M107" s="288" t="n"/>
      <c r="N107" s="291" t="n"/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" customHeight="1">
      <c r="B108" s="285" t="n">
        <v>45329</v>
      </c>
      <c r="C108" s="286" t="n">
        <v>57</v>
      </c>
      <c r="D108" s="287" t="inlineStr">
        <is>
          <t>Hotel Prabumulih 8 Feb- 7 Mar 2024 (1 Month)</t>
        </is>
      </c>
      <c r="E108" s="288" t="inlineStr">
        <is>
          <t>-</t>
        </is>
      </c>
      <c r="F108" s="289" t="n">
        <v>3300000</v>
      </c>
      <c r="G108" s="286" t="inlineStr">
        <is>
          <t>IDR</t>
        </is>
      </c>
      <c r="H108" s="290" t="n">
        <v>1</v>
      </c>
      <c r="I108" s="288" t="n"/>
      <c r="J108" s="291" t="n"/>
      <c r="K108" s="288" t="n"/>
      <c r="L108" s="292">
        <f>$F108*$H108</f>
        <v/>
      </c>
      <c r="M108" s="288" t="n"/>
      <c r="N108" s="291" t="n"/>
      <c r="O108" s="288" t="n"/>
      <c r="P108" s="291" t="n"/>
      <c r="Q108" s="291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45355</v>
      </c>
      <c r="C109" s="286" t="n">
        <v>58</v>
      </c>
      <c r="D109" s="287" t="inlineStr">
        <is>
          <t>Laundry 27 days 1 Persons @ 50K IDR/day</t>
        </is>
      </c>
      <c r="E109" s="288" t="inlineStr">
        <is>
          <t>-</t>
        </is>
      </c>
      <c r="F109" s="289" t="n">
        <v>1350000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.5" customHeight="1">
      <c r="B110" s="299" t="n"/>
      <c r="C110" s="299" t="n"/>
      <c r="D110" s="282" t="inlineStr">
        <is>
          <t>Allowance</t>
        </is>
      </c>
      <c r="E110" s="299" t="n"/>
      <c r="F110" s="299" t="n"/>
      <c r="G110" s="299" t="n"/>
      <c r="H110" s="299" t="n"/>
      <c r="I110" s="299" t="n"/>
      <c r="J110" s="300" t="n"/>
      <c r="K110" s="299" t="n"/>
      <c r="L110" s="300" t="n"/>
      <c r="M110" s="299" t="n"/>
      <c r="N110" s="300" t="n"/>
      <c r="O110" s="299" t="n"/>
      <c r="P110" s="300" t="n"/>
      <c r="Q110" s="300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" customHeight="1">
      <c r="B111" s="285" t="n">
        <v>45355</v>
      </c>
      <c r="C111" s="286" t="n">
        <v>59</v>
      </c>
      <c r="D111" s="287" t="inlineStr">
        <is>
          <t>Tunjangan Lapangan for 27 days</t>
        </is>
      </c>
      <c r="E111" s="288" t="inlineStr">
        <is>
          <t>-</t>
        </is>
      </c>
      <c r="F111" s="289" t="n">
        <v>2700</v>
      </c>
      <c r="G111" s="286" t="inlineStr">
        <is>
          <t>USD</t>
        </is>
      </c>
      <c r="H111" s="290" t="n">
        <v>15774</v>
      </c>
      <c r="I111" s="288" t="n"/>
      <c r="J111" s="291" t="n"/>
      <c r="K111" s="288" t="n"/>
      <c r="L111" s="292">
        <f>$F111*$H111</f>
        <v/>
      </c>
      <c r="M111" s="288" t="n"/>
      <c r="N111" s="291" t="n"/>
      <c r="O111" s="288" t="n"/>
      <c r="P111" s="291" t="n"/>
      <c r="Q111" s="291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9" t="n"/>
      <c r="C112" s="299" t="n"/>
      <c r="D112" s="282" t="inlineStr">
        <is>
          <t>Biaya Operasi</t>
        </is>
      </c>
      <c r="E112" s="299" t="n"/>
      <c r="F112" s="299" t="n"/>
      <c r="G112" s="299" t="n"/>
      <c r="H112" s="299" t="n"/>
      <c r="I112" s="299" t="n"/>
      <c r="J112" s="300" t="n"/>
      <c r="K112" s="299" t="n"/>
      <c r="L112" s="300" t="n"/>
      <c r="M112" s="299" t="n"/>
      <c r="N112" s="300" t="n"/>
      <c r="O112" s="299" t="n"/>
      <c r="P112" s="300" t="n"/>
      <c r="Q112" s="300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" customHeight="1">
      <c r="B113" s="285" t="n">
        <v>45329</v>
      </c>
      <c r="C113" s="286" t="n">
        <v>60</v>
      </c>
      <c r="D113" s="287" t="inlineStr">
        <is>
          <t>Airplane Ticket CGK-PLM</t>
        </is>
      </c>
      <c r="E113" s="288" t="inlineStr">
        <is>
          <t>-</t>
        </is>
      </c>
      <c r="F113" s="289" t="n">
        <v>1608000</v>
      </c>
      <c r="G113" s="286" t="inlineStr">
        <is>
          <t>IDR</t>
        </is>
      </c>
      <c r="H113" s="290" t="n">
        <v>1</v>
      </c>
      <c r="I113" s="288" t="n"/>
      <c r="J113" s="291" t="n"/>
      <c r="K113" s="288" t="n"/>
      <c r="L113" s="292">
        <f>$F113*$H113</f>
        <v/>
      </c>
      <c r="M113" s="288" t="n"/>
      <c r="N113" s="291" t="n"/>
      <c r="O113" s="288" t="n"/>
      <c r="P113" s="291" t="n"/>
      <c r="Q113" s="291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45355</v>
      </c>
      <c r="C114" s="286" t="n">
        <v>61</v>
      </c>
      <c r="D114" s="287" t="inlineStr">
        <is>
          <t>Airplane Ticket PLM-CGK</t>
        </is>
      </c>
      <c r="E114" s="288" t="inlineStr">
        <is>
          <t>-</t>
        </is>
      </c>
      <c r="F114" s="289" t="n">
        <v>1119500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.5" customHeight="1">
      <c r="B115" s="299" t="n"/>
      <c r="C115" s="299" t="n"/>
      <c r="D115" s="282" t="inlineStr">
        <is>
          <t>Meal</t>
        </is>
      </c>
      <c r="E115" s="299" t="n"/>
      <c r="F115" s="299" t="n"/>
      <c r="G115" s="299" t="n"/>
      <c r="H115" s="299" t="n"/>
      <c r="I115" s="299" t="n"/>
      <c r="J115" s="300" t="n"/>
      <c r="K115" s="299" t="n"/>
      <c r="L115" s="300" t="n"/>
      <c r="M115" s="299" t="n"/>
      <c r="N115" s="300" t="n"/>
      <c r="O115" s="299" t="n"/>
      <c r="P115" s="300" t="n"/>
      <c r="Q115" s="300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" customHeight="1">
      <c r="B116" s="285" t="n">
        <v>45355</v>
      </c>
      <c r="C116" s="286" t="n">
        <v>62</v>
      </c>
      <c r="D116" s="287" t="inlineStr">
        <is>
          <t>Meal Crew's Operational</t>
        </is>
      </c>
      <c r="E116" s="288" t="inlineStr">
        <is>
          <t>-</t>
        </is>
      </c>
      <c r="F116" s="289" t="n">
        <v>1966300</v>
      </c>
      <c r="G116" s="286" t="inlineStr">
        <is>
          <t>IDR</t>
        </is>
      </c>
      <c r="H116" s="290" t="n">
        <v>1</v>
      </c>
      <c r="I116" s="288" t="n"/>
      <c r="J116" s="291" t="n"/>
      <c r="K116" s="288" t="n"/>
      <c r="L116" s="292">
        <f>$F116*$H116</f>
        <v/>
      </c>
      <c r="M116" s="288" t="n"/>
      <c r="N116" s="291" t="n"/>
      <c r="O116" s="288" t="n"/>
      <c r="P116" s="291" t="n"/>
      <c r="Q116" s="291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63</v>
      </c>
      <c r="D117" s="287" t="inlineStr">
        <is>
          <t>Meals 27 days 1 Persons @ 150K IDR/day</t>
        </is>
      </c>
      <c r="E117" s="288" t="inlineStr">
        <is>
          <t>-</t>
        </is>
      </c>
      <c r="F117" s="289" t="n">
        <v>4050000</v>
      </c>
      <c r="G117" s="286" t="inlineStr">
        <is>
          <t>IDR</t>
        </is>
      </c>
      <c r="H117" s="290" t="n">
        <v>1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Transportation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64</v>
      </c>
      <c r="D119" s="287" t="inlineStr">
        <is>
          <t>Taxi Bintaro-CGK</t>
        </is>
      </c>
      <c r="E119" s="288" t="inlineStr">
        <is>
          <t>-</t>
        </is>
      </c>
      <c r="F119" s="289" t="n">
        <v>250000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2">
        <f>$F119*$H119</f>
        <v/>
      </c>
      <c r="M119" s="288" t="n"/>
      <c r="N119" s="291" t="n"/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45330</v>
      </c>
      <c r="C120" s="286" t="n">
        <v>65</v>
      </c>
      <c r="D120" s="287" t="inlineStr">
        <is>
          <t>Rental Mobil Pajero 1 Hari</t>
        </is>
      </c>
      <c r="E120" s="288" t="inlineStr">
        <is>
          <t>-</t>
        </is>
      </c>
      <c r="F120" s="289" t="n">
        <v>900000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2">
        <f>$F120*$H120</f>
        <v/>
      </c>
      <c r="M120" s="288" t="n"/>
      <c r="N120" s="291" t="n"/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45330</v>
      </c>
      <c r="C121" s="286" t="n">
        <v>66</v>
      </c>
      <c r="D121" s="287" t="inlineStr">
        <is>
          <t>Rental Mobil Pajero Sebulan</t>
        </is>
      </c>
      <c r="E121" s="288" t="inlineStr">
        <is>
          <t>-</t>
        </is>
      </c>
      <c r="F121" s="289" t="n">
        <v>18000000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2">
        <f>$F121*$H121</f>
        <v/>
      </c>
      <c r="M121" s="288" t="n"/>
      <c r="N121" s="291" t="n"/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" customHeight="1">
      <c r="B122" s="285" t="n">
        <v>45355</v>
      </c>
      <c r="C122" s="286" t="n">
        <v>67</v>
      </c>
      <c r="D122" s="287" t="inlineStr">
        <is>
          <t>Taxi CGK-Bintaro</t>
        </is>
      </c>
      <c r="E122" s="288" t="inlineStr">
        <is>
          <t>-</t>
        </is>
      </c>
      <c r="F122" s="289" t="n">
        <v>250000</v>
      </c>
      <c r="G122" s="286" t="inlineStr">
        <is>
          <t>IDR</t>
        </is>
      </c>
      <c r="H122" s="290" t="n">
        <v>1</v>
      </c>
      <c r="I122" s="288" t="n"/>
      <c r="J122" s="291" t="n"/>
      <c r="K122" s="288" t="n"/>
      <c r="L122" s="292">
        <f>$F122*$H122</f>
        <v/>
      </c>
      <c r="M122" s="288" t="n"/>
      <c r="N122" s="291" t="n"/>
      <c r="O122" s="288" t="n"/>
      <c r="P122" s="291" t="n"/>
      <c r="Q122" s="291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68</v>
      </c>
      <c r="D123" s="287" t="inlineStr">
        <is>
          <t>Fuel</t>
        </is>
      </c>
      <c r="E123" s="288" t="inlineStr">
        <is>
          <t>-</t>
        </is>
      </c>
      <c r="F123" s="289" t="n">
        <v>1498484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" customHeight="1">
      <c r="B124" s="285" t="n">
        <v>45355</v>
      </c>
      <c r="C124" s="286" t="n">
        <v>69</v>
      </c>
      <c r="D124" s="287" t="inlineStr">
        <is>
          <t>Toll Fee</t>
        </is>
      </c>
      <c r="E124" s="288" t="inlineStr">
        <is>
          <t>-</t>
        </is>
      </c>
      <c r="F124" s="289" t="n">
        <v>378000</v>
      </c>
      <c r="G124" s="286" t="inlineStr">
        <is>
          <t>IDR</t>
        </is>
      </c>
      <c r="H124" s="290" t="n">
        <v>1</v>
      </c>
      <c r="I124" s="288" t="n"/>
      <c r="J124" s="291" t="n"/>
      <c r="K124" s="288" t="n"/>
      <c r="L124" s="292">
        <f>$F124*$H124</f>
        <v/>
      </c>
      <c r="M124" s="288" t="n"/>
      <c r="N124" s="291" t="n"/>
      <c r="O124" s="288" t="n"/>
      <c r="P124" s="291" t="n"/>
      <c r="Q124" s="291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.5" customHeight="1">
      <c r="B125" s="299" t="n"/>
      <c r="C125" s="299" t="n"/>
      <c r="D125" s="282" t="inlineStr">
        <is>
          <t>Logistic</t>
        </is>
      </c>
      <c r="E125" s="299" t="n"/>
      <c r="F125" s="299" t="n"/>
      <c r="G125" s="299" t="n"/>
      <c r="H125" s="299" t="n"/>
      <c r="I125" s="299" t="n"/>
      <c r="J125" s="300" t="n"/>
      <c r="K125" s="299" t="n"/>
      <c r="L125" s="300" t="n"/>
      <c r="M125" s="299" t="n"/>
      <c r="N125" s="300" t="n"/>
      <c r="O125" s="299" t="n"/>
      <c r="P125" s="300" t="n"/>
      <c r="Q125" s="300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45329</v>
      </c>
      <c r="C126" s="286" t="n">
        <v>70</v>
      </c>
      <c r="D126" s="287" t="inlineStr">
        <is>
          <t>Gloves</t>
        </is>
      </c>
      <c r="E126" s="288" t="inlineStr">
        <is>
          <t>-</t>
        </is>
      </c>
      <c r="F126" s="289" t="n">
        <v>58500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1" t="n"/>
      <c r="M126" s="288" t="n"/>
      <c r="N126" s="292">
        <f>$F126*$H126</f>
        <v/>
      </c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" customHeight="1">
      <c r="B127" s="285" t="n">
        <v>45341</v>
      </c>
      <c r="C127" s="286" t="n">
        <v>71</v>
      </c>
      <c r="D127" s="287" t="inlineStr">
        <is>
          <t>Battery A3</t>
        </is>
      </c>
      <c r="E127" s="288" t="inlineStr">
        <is>
          <t>-</t>
        </is>
      </c>
      <c r="F127" s="289" t="n">
        <v>82100</v>
      </c>
      <c r="G127" s="286" t="inlineStr">
        <is>
          <t>IDR</t>
        </is>
      </c>
      <c r="H127" s="290" t="n">
        <v>1</v>
      </c>
      <c r="I127" s="288" t="n"/>
      <c r="J127" s="288" t="n"/>
      <c r="K127" s="288" t="n"/>
      <c r="L127" s="288" t="n"/>
      <c r="M127" s="288" t="n"/>
      <c r="N127" s="289">
        <f>$F127*$H127</f>
        <v/>
      </c>
      <c r="O127" s="288" t="n"/>
      <c r="P127" s="288" t="n"/>
      <c r="Q127" s="288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72</v>
      </c>
      <c r="D128" s="287" t="inlineStr">
        <is>
          <t>Steker</t>
        </is>
      </c>
      <c r="E128" s="288" t="inlineStr">
        <is>
          <t>-</t>
        </is>
      </c>
      <c r="F128" s="301" t="n">
        <v>14000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45344</v>
      </c>
      <c r="C129" s="286" t="n">
        <v>73</v>
      </c>
      <c r="D129" s="287" t="inlineStr">
        <is>
          <t>Gloves</t>
        </is>
      </c>
      <c r="E129" s="288" t="inlineStr">
        <is>
          <t>-</t>
        </is>
      </c>
      <c r="F129" s="301" t="n">
        <v>65000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45347</v>
      </c>
      <c r="C130" s="286" t="n">
        <v>74</v>
      </c>
      <c r="D130" s="287" t="inlineStr">
        <is>
          <t>White Marker</t>
        </is>
      </c>
      <c r="E130" s="288" t="inlineStr">
        <is>
          <t>-</t>
        </is>
      </c>
      <c r="F130" s="301" t="n">
        <v>19000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" customHeight="1">
      <c r="B131" s="285" t="n">
        <v>45350</v>
      </c>
      <c r="C131" s="286" t="n">
        <v>75</v>
      </c>
      <c r="D131" s="287" t="inlineStr">
        <is>
          <t>Internet Data</t>
        </is>
      </c>
      <c r="E131" s="288" t="inlineStr">
        <is>
          <t>-</t>
        </is>
      </c>
      <c r="F131" s="301" t="n">
        <v>87000</v>
      </c>
      <c r="G131" s="286" t="inlineStr">
        <is>
          <t>IDR</t>
        </is>
      </c>
      <c r="H131" s="290" t="n">
        <v>1</v>
      </c>
      <c r="I131" s="288" t="n"/>
      <c r="J131" s="288" t="n"/>
      <c r="K131" s="288" t="n"/>
      <c r="L131" s="288" t="n"/>
      <c r="M131" s="288" t="n"/>
      <c r="N131" s="289">
        <f>$F131*$H131</f>
        <v/>
      </c>
      <c r="O131" s="288" t="n"/>
      <c r="P131" s="288" t="n"/>
      <c r="Q131" s="288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.5" customHeight="1">
      <c r="B132" s="296" t="inlineStr">
        <is>
          <t>Expense#2</t>
        </is>
      </c>
      <c r="C132" s="297" t="inlineStr">
        <is>
          <t>:</t>
        </is>
      </c>
      <c r="D132" s="296" t="inlineStr">
        <is>
          <t>Training ALFA _TLJ-58 (PEPZ4-Prabumulih field_ Titis Maulana</t>
        </is>
      </c>
      <c r="E132" s="297" t="n"/>
      <c r="F132" s="302" t="n"/>
      <c r="G132" s="297" t="n"/>
      <c r="H132" s="297" t="n"/>
      <c r="I132" s="297" t="n"/>
      <c r="J132" s="297" t="n"/>
      <c r="K132" s="297" t="n"/>
      <c r="L132" s="297" t="n"/>
      <c r="M132" s="297" t="n"/>
      <c r="N132" s="297" t="n"/>
      <c r="O132" s="297" t="n"/>
      <c r="P132" s="297" t="n"/>
      <c r="Q132" s="297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.5" customHeight="1">
      <c r="B133" s="299" t="n"/>
      <c r="C133" s="299" t="n"/>
      <c r="D133" s="282" t="inlineStr">
        <is>
          <t>Accommodation , Laundry</t>
        </is>
      </c>
      <c r="E133" s="299" t="n"/>
      <c r="F133" s="303" t="n"/>
      <c r="G133" s="299" t="n"/>
      <c r="H133" s="299" t="n"/>
      <c r="I133" s="299" t="n"/>
      <c r="J133" s="299" t="n"/>
      <c r="K133" s="299" t="n"/>
      <c r="L133" s="299" t="n"/>
      <c r="M133" s="299" t="n"/>
      <c r="N133" s="299" t="n"/>
      <c r="O133" s="299" t="n"/>
      <c r="P133" s="299" t="n"/>
      <c r="Q133" s="299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45358</v>
      </c>
      <c r="C134" s="286" t="n">
        <v>76</v>
      </c>
      <c r="D134" s="287" t="inlineStr">
        <is>
          <t>Laundry 30 days 1 Persons @ 50K IDR/day</t>
        </is>
      </c>
      <c r="E134" s="288" t="inlineStr">
        <is>
          <t>-</t>
        </is>
      </c>
      <c r="F134" s="301" t="n">
        <v>1500000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.5" customHeight="1">
      <c r="B135" s="299" t="n"/>
      <c r="C135" s="299" t="n"/>
      <c r="D135" s="282" t="inlineStr">
        <is>
          <t>Allowance</t>
        </is>
      </c>
      <c r="E135" s="299" t="n"/>
      <c r="F135" s="303" t="n"/>
      <c r="G135" s="299" t="n"/>
      <c r="H135" s="299" t="n"/>
      <c r="I135" s="299" t="n"/>
      <c r="J135" s="299" t="n"/>
      <c r="K135" s="299" t="n"/>
      <c r="L135" s="299" t="n"/>
      <c r="M135" s="299" t="n"/>
      <c r="N135" s="299" t="n"/>
      <c r="O135" s="299" t="n"/>
      <c r="P135" s="299" t="n"/>
      <c r="Q135" s="299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45358</v>
      </c>
      <c r="C136" s="286" t="n">
        <v>77</v>
      </c>
      <c r="D136" s="287" t="inlineStr">
        <is>
          <t>Tunjangan Lapangan (Training) untuk 27 days</t>
        </is>
      </c>
      <c r="E136" s="288" t="inlineStr">
        <is>
          <t>-</t>
        </is>
      </c>
      <c r="F136" s="301" t="n">
        <v>750</v>
      </c>
      <c r="G136" s="286" t="inlineStr">
        <is>
          <t>USD</t>
        </is>
      </c>
      <c r="H136" s="290" t="n">
        <v>15607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.5" customHeight="1">
      <c r="B137" s="299" t="n"/>
      <c r="C137" s="299" t="n"/>
      <c r="D137" s="282" t="inlineStr">
        <is>
          <t>Biaya Operasi</t>
        </is>
      </c>
      <c r="E137" s="299" t="n"/>
      <c r="F137" s="303" t="n"/>
      <c r="G137" s="299" t="n"/>
      <c r="H137" s="299" t="n"/>
      <c r="I137" s="299" t="n"/>
      <c r="J137" s="299" t="n"/>
      <c r="K137" s="299" t="n"/>
      <c r="L137" s="299" t="n"/>
      <c r="M137" s="299" t="n"/>
      <c r="N137" s="299" t="n"/>
      <c r="O137" s="299" t="n"/>
      <c r="P137" s="299" t="n"/>
      <c r="Q137" s="299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45357</v>
      </c>
      <c r="C138" s="286" t="n">
        <v>78</v>
      </c>
      <c r="D138" s="287" t="inlineStr">
        <is>
          <t>Airplane Ticket PLM-CGK</t>
        </is>
      </c>
      <c r="E138" s="288" t="inlineStr">
        <is>
          <t>-</t>
        </is>
      </c>
      <c r="F138" s="301" t="n">
        <v>1000106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.5" customHeight="1">
      <c r="B139" s="299" t="n"/>
      <c r="C139" s="299" t="n"/>
      <c r="D139" s="282" t="inlineStr">
        <is>
          <t>Meal</t>
        </is>
      </c>
      <c r="E139" s="299" t="n"/>
      <c r="F139" s="303" t="n"/>
      <c r="G139" s="299" t="n"/>
      <c r="H139" s="299" t="n"/>
      <c r="I139" s="299" t="n"/>
      <c r="J139" s="299" t="n"/>
      <c r="K139" s="299" t="n"/>
      <c r="L139" s="299" t="n"/>
      <c r="M139" s="299" t="n"/>
      <c r="N139" s="299" t="n"/>
      <c r="O139" s="299" t="n"/>
      <c r="P139" s="299" t="n"/>
      <c r="Q139" s="299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" customHeight="1">
      <c r="B140" s="285" t="n">
        <v>45358</v>
      </c>
      <c r="C140" s="286" t="n">
        <v>79</v>
      </c>
      <c r="D140" s="287" t="inlineStr">
        <is>
          <t>Meals 30 days 1 Persons @ 150K IDR/day</t>
        </is>
      </c>
      <c r="E140" s="288" t="inlineStr">
        <is>
          <t>-</t>
        </is>
      </c>
      <c r="F140" s="301" t="n">
        <v>4500000</v>
      </c>
      <c r="G140" s="286" t="inlineStr">
        <is>
          <t>IDR</t>
        </is>
      </c>
      <c r="H140" s="290" t="n">
        <v>1</v>
      </c>
      <c r="I140" s="288" t="n"/>
      <c r="J140" s="288" t="n"/>
      <c r="K140" s="288" t="n"/>
      <c r="L140" s="289">
        <f>$F140*$H140</f>
        <v/>
      </c>
      <c r="M140" s="288" t="n"/>
      <c r="N140" s="288" t="n"/>
      <c r="O140" s="288" t="n"/>
      <c r="P140" s="288" t="n"/>
      <c r="Q140" s="288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Transportation</t>
        </is>
      </c>
      <c r="E141" s="299" t="n"/>
      <c r="F141" s="303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45329</v>
      </c>
      <c r="C142" s="286" t="n">
        <v>80</v>
      </c>
      <c r="D142" s="287" t="inlineStr">
        <is>
          <t>Taxi Pondok Cabe-CGK</t>
        </is>
      </c>
      <c r="E142" s="288" t="inlineStr">
        <is>
          <t>-</t>
        </is>
      </c>
      <c r="F142" s="301" t="n">
        <v>250000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9">
        <f>$F142*$H142</f>
        <v/>
      </c>
      <c r="M142" s="288" t="n"/>
      <c r="N142" s="288" t="n"/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" customHeight="1">
      <c r="B143" s="285" t="n">
        <v>45355</v>
      </c>
      <c r="C143" s="286" t="n">
        <v>81</v>
      </c>
      <c r="D143" s="287" t="inlineStr">
        <is>
          <t>Fuel</t>
        </is>
      </c>
      <c r="E143" s="288" t="inlineStr">
        <is>
          <t>-</t>
        </is>
      </c>
      <c r="F143" s="301" t="n">
        <v>200000</v>
      </c>
      <c r="G143" s="286" t="inlineStr">
        <is>
          <t>IDR</t>
        </is>
      </c>
      <c r="H143" s="290" t="n">
        <v>1</v>
      </c>
      <c r="I143" s="288" t="n"/>
      <c r="J143" s="288" t="n"/>
      <c r="K143" s="288" t="n"/>
      <c r="L143" s="289">
        <f>$F143*$H143</f>
        <v/>
      </c>
      <c r="M143" s="288" t="n"/>
      <c r="N143" s="288" t="n"/>
      <c r="O143" s="288" t="n"/>
      <c r="P143" s="288" t="n"/>
      <c r="Q143" s="288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82</v>
      </c>
      <c r="D144" s="287" t="inlineStr">
        <is>
          <t>Taxi CGK-Pondok Cabe</t>
        </is>
      </c>
      <c r="E144" s="288" t="inlineStr">
        <is>
          <t>-</t>
        </is>
      </c>
      <c r="F144" s="301" t="n">
        <v>250000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" customHeight="1">
      <c r="B145" s="285" t="n">
        <v>45358</v>
      </c>
      <c r="C145" s="286" t="n">
        <v>83</v>
      </c>
      <c r="D145" s="287" t="inlineStr">
        <is>
          <t>Toll Fee</t>
        </is>
      </c>
      <c r="E145" s="288" t="inlineStr">
        <is>
          <t>-</t>
        </is>
      </c>
      <c r="F145" s="289" t="n">
        <v>105000</v>
      </c>
      <c r="G145" s="286" t="inlineStr">
        <is>
          <t>IDR</t>
        </is>
      </c>
      <c r="H145" s="290" t="n">
        <v>1</v>
      </c>
      <c r="I145" s="288" t="n"/>
      <c r="J145" s="288" t="n"/>
      <c r="K145" s="288" t="n"/>
      <c r="L145" s="289">
        <f>$F145*$H145</f>
        <v/>
      </c>
      <c r="M145" s="288" t="n"/>
      <c r="N145" s="288" t="n"/>
      <c r="O145" s="288" t="n"/>
      <c r="P145" s="288" t="n"/>
      <c r="Q145" s="288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.5" customHeight="1">
      <c r="B146" s="299" t="n"/>
      <c r="C146" s="299" t="n"/>
      <c r="D146" s="282" t="inlineStr">
        <is>
          <t>Logistic</t>
        </is>
      </c>
      <c r="E146" s="299" t="n"/>
      <c r="F146" s="303" t="n"/>
      <c r="G146" s="299" t="n"/>
      <c r="H146" s="299" t="n"/>
      <c r="I146" s="299" t="n"/>
      <c r="J146" s="299" t="n"/>
      <c r="K146" s="299" t="n"/>
      <c r="L146" s="299" t="n"/>
      <c r="M146" s="299" t="n"/>
      <c r="N146" s="299" t="n"/>
      <c r="O146" s="299" t="n"/>
      <c r="P146" s="299" t="n"/>
      <c r="Q146" s="299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" customHeight="1">
      <c r="B147" s="285" t="n">
        <v>45324</v>
      </c>
      <c r="C147" s="286" t="n">
        <v>84</v>
      </c>
      <c r="D147" s="287" t="inlineStr">
        <is>
          <t>Safety Shoes</t>
        </is>
      </c>
      <c r="E147" s="288" t="inlineStr">
        <is>
          <t>-</t>
        </is>
      </c>
      <c r="F147" s="301" t="n">
        <v>499940</v>
      </c>
      <c r="G147" s="286" t="inlineStr">
        <is>
          <t>IDR</t>
        </is>
      </c>
      <c r="H147" s="290" t="n">
        <v>1</v>
      </c>
      <c r="I147" s="288" t="n"/>
      <c r="J147" s="288" t="n"/>
      <c r="K147" s="288" t="n"/>
      <c r="L147" s="288" t="n"/>
      <c r="M147" s="288" t="n"/>
      <c r="N147" s="289">
        <f>$F147*$H147</f>
        <v/>
      </c>
      <c r="O147" s="288" t="n"/>
      <c r="P147" s="288" t="n"/>
      <c r="Q147" s="288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45354</v>
      </c>
      <c r="C148" s="286" t="n">
        <v>85</v>
      </c>
      <c r="D148" s="287" t="inlineStr">
        <is>
          <t>Internet Data</t>
        </is>
      </c>
      <c r="E148" s="288" t="inlineStr">
        <is>
          <t>-</t>
        </is>
      </c>
      <c r="F148" s="301" t="n">
        <v>70000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8" t="n"/>
      <c r="M148" s="288" t="n"/>
      <c r="N148" s="289">
        <f>$F148*$H148</f>
        <v/>
      </c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" customHeight="1">
      <c r="B149" s="285" t="n">
        <v>45358</v>
      </c>
      <c r="C149" s="286" t="n">
        <v>86</v>
      </c>
      <c r="D149" s="287" t="inlineStr">
        <is>
          <t>Extra Baggage</t>
        </is>
      </c>
      <c r="E149" s="288" t="inlineStr">
        <is>
          <t>-</t>
        </is>
      </c>
      <c r="F149" s="301" t="n">
        <v>540000</v>
      </c>
      <c r="G149" s="286" t="inlineStr">
        <is>
          <t>IDR</t>
        </is>
      </c>
      <c r="H149" s="290" t="n">
        <v>1</v>
      </c>
      <c r="I149" s="288" t="n"/>
      <c r="J149" s="288" t="n"/>
      <c r="K149" s="288" t="n"/>
      <c r="L149" s="288" t="n"/>
      <c r="M149" s="288" t="n"/>
      <c r="N149" s="289">
        <f>$F149*$H149</f>
        <v/>
      </c>
      <c r="O149" s="288" t="n"/>
      <c r="P149" s="288" t="n"/>
      <c r="Q149" s="288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.5" customHeight="1">
      <c r="B150" s="296" t="inlineStr">
        <is>
          <t>Expense#3</t>
        </is>
      </c>
      <c r="C150" s="297" t="inlineStr">
        <is>
          <t>:</t>
        </is>
      </c>
      <c r="D150" s="296" t="inlineStr">
        <is>
          <t>MPLT (SAKA-UjungPangkah field) GOWell - TGE _IC</t>
        </is>
      </c>
      <c r="E150" s="297" t="n"/>
      <c r="F150" s="302" t="n"/>
      <c r="G150" s="297" t="n"/>
      <c r="H150" s="297" t="n"/>
      <c r="I150" s="297" t="n"/>
      <c r="J150" s="297" t="n"/>
      <c r="K150" s="297" t="n"/>
      <c r="L150" s="297" t="n"/>
      <c r="M150" s="297" t="n"/>
      <c r="N150" s="297" t="n"/>
      <c r="O150" s="297" t="n"/>
      <c r="P150" s="297" t="n"/>
      <c r="Q150" s="297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Accommodation , Laundry</t>
        </is>
      </c>
      <c r="E151" s="299" t="n"/>
      <c r="F151" s="303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45375</v>
      </c>
      <c r="C152" s="286" t="n">
        <v>87</v>
      </c>
      <c r="D152" s="287" t="inlineStr">
        <is>
          <t>Laundry 6 days 1 Persons @ 50K IDR/day</t>
        </is>
      </c>
      <c r="E152" s="288" t="inlineStr">
        <is>
          <t>-</t>
        </is>
      </c>
      <c r="F152" s="301" t="n">
        <v>300000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.5" customHeight="1">
      <c r="B153" s="299" t="n"/>
      <c r="C153" s="299" t="n"/>
      <c r="D153" s="282" t="inlineStr">
        <is>
          <t>Allowance</t>
        </is>
      </c>
      <c r="E153" s="299" t="n"/>
      <c r="F153" s="303" t="n"/>
      <c r="G153" s="299" t="n"/>
      <c r="H153" s="299" t="n"/>
      <c r="I153" s="299" t="n"/>
      <c r="J153" s="299" t="n"/>
      <c r="K153" s="299" t="n"/>
      <c r="L153" s="299" t="n"/>
      <c r="M153" s="299" t="n"/>
      <c r="N153" s="299" t="n"/>
      <c r="O153" s="299" t="n"/>
      <c r="P153" s="299" t="n"/>
      <c r="Q153" s="299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45375</v>
      </c>
      <c r="C154" s="286" t="n">
        <v>88</v>
      </c>
      <c r="D154" s="287" t="inlineStr">
        <is>
          <t>Tunjangan Lapangan untuk 6 days</t>
        </is>
      </c>
      <c r="E154" s="288" t="inlineStr">
        <is>
          <t>-</t>
        </is>
      </c>
      <c r="F154" s="301" t="n">
        <v>600</v>
      </c>
      <c r="G154" s="286" t="inlineStr">
        <is>
          <t>USD</t>
        </is>
      </c>
      <c r="H154" s="290" t="n">
        <v>15835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.5" customHeight="1">
      <c r="B155" s="299" t="n"/>
      <c r="C155" s="299" t="n"/>
      <c r="D155" s="282" t="inlineStr">
        <is>
          <t>Meal</t>
        </is>
      </c>
      <c r="E155" s="299" t="n"/>
      <c r="F155" s="299" t="n"/>
      <c r="G155" s="299" t="n"/>
      <c r="H155" s="299" t="n"/>
      <c r="I155" s="299" t="n"/>
      <c r="J155" s="299" t="n"/>
      <c r="K155" s="299" t="n"/>
      <c r="L155" s="299" t="n"/>
      <c r="M155" s="299" t="n"/>
      <c r="N155" s="299" t="n"/>
      <c r="O155" s="299" t="n"/>
      <c r="P155" s="299" t="n"/>
      <c r="Q155" s="299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45375</v>
      </c>
      <c r="C156" s="286" t="n">
        <v>89</v>
      </c>
      <c r="D156" s="287" t="inlineStr">
        <is>
          <t>Meals 6 days 1 Persons @ 150K IDR/day</t>
        </is>
      </c>
      <c r="E156" s="288" t="inlineStr">
        <is>
          <t>-</t>
        </is>
      </c>
      <c r="F156" s="301" t="n">
        <v>900000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.5" customHeight="1">
      <c r="B157" s="299" t="n"/>
      <c r="C157" s="299" t="n"/>
      <c r="D157" s="282" t="inlineStr">
        <is>
          <t>Transportation</t>
        </is>
      </c>
      <c r="E157" s="299" t="n"/>
      <c r="F157" s="303" t="n"/>
      <c r="G157" s="299" t="n"/>
      <c r="H157" s="299" t="n"/>
      <c r="I157" s="299" t="n"/>
      <c r="J157" s="299" t="n"/>
      <c r="K157" s="299" t="n"/>
      <c r="L157" s="299" t="n"/>
      <c r="M157" s="299" t="n"/>
      <c r="N157" s="299" t="n"/>
      <c r="O157" s="299" t="n"/>
      <c r="P157" s="299" t="n"/>
      <c r="Q157" s="299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" customHeight="1">
      <c r="B158" s="285" t="n">
        <v>45370</v>
      </c>
      <c r="C158" s="286" t="n">
        <v>90</v>
      </c>
      <c r="D158" s="287" t="inlineStr">
        <is>
          <t>Taxi Bintaro-CGK</t>
        </is>
      </c>
      <c r="E158" s="288" t="inlineStr">
        <is>
          <t>-</t>
        </is>
      </c>
      <c r="F158" s="301" t="n">
        <v>250000</v>
      </c>
      <c r="G158" s="286" t="inlineStr">
        <is>
          <t>IDR</t>
        </is>
      </c>
      <c r="H158" s="290" t="n">
        <v>1</v>
      </c>
      <c r="I158" s="288" t="n"/>
      <c r="J158" s="288" t="n"/>
      <c r="K158" s="288" t="n"/>
      <c r="L158" s="289">
        <f>$F158*$H158</f>
        <v/>
      </c>
      <c r="M158" s="288" t="n"/>
      <c r="N158" s="288" t="n"/>
      <c r="O158" s="288" t="n"/>
      <c r="P158" s="288" t="n"/>
      <c r="Q158" s="288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" customHeight="1">
      <c r="B159" s="285" t="n">
        <v>45375</v>
      </c>
      <c r="C159" s="286" t="n">
        <v>91</v>
      </c>
      <c r="D159" s="287" t="inlineStr">
        <is>
          <t>Taxi CGK-Bintaro</t>
        </is>
      </c>
      <c r="E159" s="288" t="inlineStr">
        <is>
          <t>-</t>
        </is>
      </c>
      <c r="F159" s="301" t="n">
        <v>250000</v>
      </c>
      <c r="G159" s="286" t="inlineStr">
        <is>
          <t>IDR</t>
        </is>
      </c>
      <c r="H159" s="290" t="n">
        <v>1</v>
      </c>
      <c r="I159" s="288" t="n"/>
      <c r="J159" s="288" t="n"/>
      <c r="K159" s="288" t="n"/>
      <c r="L159" s="289">
        <f>$F159*$H159</f>
        <v/>
      </c>
      <c r="M159" s="288" t="n"/>
      <c r="N159" s="288" t="n"/>
      <c r="O159" s="288" t="n"/>
      <c r="P159" s="288" t="n"/>
      <c r="Q159" s="288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.5" customHeight="1">
      <c r="B160" s="296" t="inlineStr">
        <is>
          <t>Expense#4</t>
        </is>
      </c>
      <c r="C160" s="297" t="inlineStr">
        <is>
          <t>:</t>
        </is>
      </c>
      <c r="D160" s="296" t="inlineStr">
        <is>
          <t>Non project (3rd) _ Ivan Chairulsyah</t>
        </is>
      </c>
      <c r="E160" s="297" t="n"/>
      <c r="F160" s="302" t="n"/>
      <c r="G160" s="297" t="n"/>
      <c r="H160" s="297" t="n"/>
      <c r="I160" s="297" t="n"/>
      <c r="J160" s="297" t="n"/>
      <c r="K160" s="297" t="n"/>
      <c r="L160" s="297" t="n"/>
      <c r="M160" s="297" t="n"/>
      <c r="N160" s="297" t="n"/>
      <c r="O160" s="297" t="n"/>
      <c r="P160" s="297" t="n"/>
      <c r="Q160" s="297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Pembelian Barang</t>
        </is>
      </c>
      <c r="E161" s="299" t="n"/>
      <c r="F161" s="303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45354</v>
      </c>
      <c r="C162" s="286" t="n">
        <v>92</v>
      </c>
      <c r="D162" s="287" t="inlineStr">
        <is>
          <t>Send Tool from Bintaro to Gowell</t>
        </is>
      </c>
      <c r="E162" s="288" t="inlineStr">
        <is>
          <t>-</t>
        </is>
      </c>
      <c r="F162" s="301" t="n">
        <v>168732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8" t="n"/>
      <c r="M162" s="288" t="n"/>
      <c r="N162" s="289">
        <f>$F162*$H162</f>
        <v/>
      </c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" customHeight="1">
      <c r="B163" s="285" t="n">
        <v>45369</v>
      </c>
      <c r="C163" s="286" t="n">
        <v>93</v>
      </c>
      <c r="D163" s="287" t="inlineStr">
        <is>
          <t>Buy Cable type C to A</t>
        </is>
      </c>
      <c r="E163" s="288" t="inlineStr">
        <is>
          <t>-</t>
        </is>
      </c>
      <c r="F163" s="301" t="n">
        <v>69009</v>
      </c>
      <c r="G163" s="286" t="inlineStr">
        <is>
          <t>IDR</t>
        </is>
      </c>
      <c r="H163" s="290" t="n">
        <v>1</v>
      </c>
      <c r="I163" s="288" t="n"/>
      <c r="J163" s="288" t="n"/>
      <c r="K163" s="288" t="n"/>
      <c r="L163" s="288" t="n"/>
      <c r="M163" s="288" t="n"/>
      <c r="N163" s="289">
        <f>$F163*$H163</f>
        <v/>
      </c>
      <c r="O163" s="288" t="n"/>
      <c r="P163" s="288" t="n"/>
      <c r="Q163" s="288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45369</v>
      </c>
      <c r="C164" s="286" t="n">
        <v>94</v>
      </c>
      <c r="D164" s="287" t="inlineStr">
        <is>
          <t>Buy Cable type C to C</t>
        </is>
      </c>
      <c r="E164" s="288" t="inlineStr">
        <is>
          <t>-</t>
        </is>
      </c>
      <c r="F164" s="289" t="n">
        <v>145800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8" t="n"/>
      <c r="M164" s="288" t="n"/>
      <c r="N164" s="289">
        <f>$F164*$H164</f>
        <v/>
      </c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" customHeight="1">
      <c r="B165" s="285" t="n">
        <v>45369</v>
      </c>
      <c r="C165" s="286" t="n">
        <v>95</v>
      </c>
      <c r="D165" s="287" t="inlineStr">
        <is>
          <t>Buy Jack 3 Pin Socket</t>
        </is>
      </c>
      <c r="E165" s="288" t="inlineStr">
        <is>
          <t>-</t>
        </is>
      </c>
      <c r="F165" s="292" t="n">
        <v>20891</v>
      </c>
      <c r="G165" s="286" t="inlineStr">
        <is>
          <t>IDR</t>
        </is>
      </c>
      <c r="H165" s="290" t="n">
        <v>1</v>
      </c>
      <c r="I165" s="288" t="n"/>
      <c r="J165" s="288" t="n"/>
      <c r="K165" s="288" t="n"/>
      <c r="L165" s="288" t="n"/>
      <c r="M165" s="288" t="n"/>
      <c r="N165" s="289">
        <f>$F165*$H165</f>
        <v/>
      </c>
      <c r="O165" s="288" t="n"/>
      <c r="P165" s="288" t="n"/>
      <c r="Q165" s="288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45369</v>
      </c>
      <c r="C166" s="286" t="n">
        <v>96</v>
      </c>
      <c r="D166" s="287" t="inlineStr">
        <is>
          <t>Buy Powerbank 2 ea 27kmah &amp; 52kmah</t>
        </is>
      </c>
      <c r="E166" s="288" t="inlineStr">
        <is>
          <t>-</t>
        </is>
      </c>
      <c r="F166" s="289" t="n">
        <v>3325760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8" t="n"/>
      <c r="M166" s="288" t="n"/>
      <c r="N166" s="289">
        <f>$F166*$H166</f>
        <v/>
      </c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45369</v>
      </c>
      <c r="C167" s="286" t="n">
        <v>97</v>
      </c>
      <c r="D167" s="287" t="inlineStr">
        <is>
          <t>Buy Fluke-117</t>
        </is>
      </c>
      <c r="E167" s="288" t="inlineStr">
        <is>
          <t>-</t>
        </is>
      </c>
      <c r="F167" s="301" t="n">
        <v>4332000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8" t="n"/>
      <c r="M167" s="288" t="n"/>
      <c r="N167" s="289">
        <f>$F167*$H167</f>
        <v/>
      </c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" customHeight="1">
      <c r="B168" s="285" t="n">
        <v>45369</v>
      </c>
      <c r="C168" s="286" t="n">
        <v>98</v>
      </c>
      <c r="D168" s="287" t="inlineStr">
        <is>
          <t>Buy SANWA YX360TRF</t>
        </is>
      </c>
      <c r="E168" s="288" t="inlineStr">
        <is>
          <t>-</t>
        </is>
      </c>
      <c r="F168" s="301" t="n">
        <v>455600</v>
      </c>
      <c r="G168" s="286" t="inlineStr">
        <is>
          <t>IDR</t>
        </is>
      </c>
      <c r="H168" s="290" t="n">
        <v>1</v>
      </c>
      <c r="I168" s="288" t="n"/>
      <c r="J168" s="288" t="n"/>
      <c r="K168" s="288" t="n"/>
      <c r="L168" s="288" t="n"/>
      <c r="M168" s="288" t="n"/>
      <c r="N168" s="289">
        <f>$F168*$H168</f>
        <v/>
      </c>
      <c r="O168" s="288" t="n"/>
      <c r="P168" s="288" t="n"/>
      <c r="Q168" s="288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" customHeight="1">
      <c r="B169" s="285" t="n">
        <v>45370</v>
      </c>
      <c r="C169" s="286" t="n">
        <v>99</v>
      </c>
      <c r="D169" s="287" t="inlineStr">
        <is>
          <t>Send Tool from Gowell to TGE</t>
        </is>
      </c>
      <c r="E169" s="288" t="inlineStr">
        <is>
          <t>-</t>
        </is>
      </c>
      <c r="F169" s="301" t="n">
        <v>168732</v>
      </c>
      <c r="G169" s="286" t="inlineStr">
        <is>
          <t>IDR</t>
        </is>
      </c>
      <c r="H169" s="290" t="n">
        <v>1</v>
      </c>
      <c r="I169" s="288" t="n"/>
      <c r="J169" s="288" t="n"/>
      <c r="K169" s="288" t="n"/>
      <c r="L169" s="288" t="n"/>
      <c r="M169" s="288" t="n"/>
      <c r="N169" s="289">
        <f>$F169*$H169</f>
        <v/>
      </c>
      <c r="O169" s="288" t="n"/>
      <c r="P169" s="288" t="n"/>
      <c r="Q169" s="288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.5" customHeight="1">
      <c r="B170" s="296" t="inlineStr">
        <is>
          <t>Expense#5</t>
        </is>
      </c>
      <c r="C170" s="297" t="inlineStr">
        <is>
          <t>:</t>
        </is>
      </c>
      <c r="D170" s="296" t="inlineStr">
        <is>
          <t>MCU RS PP _Titis Maulana</t>
        </is>
      </c>
      <c r="E170" s="297" t="n"/>
      <c r="F170" s="302" t="n"/>
      <c r="G170" s="297" t="n"/>
      <c r="H170" s="297" t="n"/>
      <c r="I170" s="297" t="n"/>
      <c r="J170" s="297" t="n"/>
      <c r="K170" s="297" t="n"/>
      <c r="L170" s="297" t="n"/>
      <c r="M170" s="297" t="n"/>
      <c r="N170" s="297" t="n"/>
      <c r="O170" s="297" t="n"/>
      <c r="P170" s="297" t="n"/>
      <c r="Q170" s="297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.5" customHeight="1">
      <c r="B171" s="299" t="n"/>
      <c r="C171" s="299" t="n"/>
      <c r="D171" s="282" t="inlineStr">
        <is>
          <t>Kesehatan</t>
        </is>
      </c>
      <c r="E171" s="299" t="n"/>
      <c r="F171" s="303" t="n"/>
      <c r="G171" s="299" t="n"/>
      <c r="H171" s="299" t="n"/>
      <c r="I171" s="299" t="n"/>
      <c r="J171" s="299" t="n"/>
      <c r="K171" s="299" t="n"/>
      <c r="L171" s="299" t="n"/>
      <c r="M171" s="299" t="n"/>
      <c r="N171" s="299" t="n"/>
      <c r="O171" s="299" t="n"/>
      <c r="P171" s="299" t="n"/>
      <c r="Q171" s="299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45384</v>
      </c>
      <c r="C172" s="286" t="n">
        <v>100</v>
      </c>
      <c r="D172" s="287" t="inlineStr">
        <is>
          <t>MCU RS PP</t>
        </is>
      </c>
      <c r="E172" s="288" t="inlineStr">
        <is>
          <t>-</t>
        </is>
      </c>
      <c r="F172" s="301" t="n">
        <v>5407000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8" t="n"/>
      <c r="O172" s="288" t="n"/>
      <c r="P172" s="289">
        <f>$F172*$H172</f>
        <v/>
      </c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.5" customHeight="1">
      <c r="B173" s="296" t="inlineStr">
        <is>
          <t>Expense#6</t>
        </is>
      </c>
      <c r="C173" s="297" t="inlineStr">
        <is>
          <t>:</t>
        </is>
      </c>
      <c r="D173" s="296" t="inlineStr">
        <is>
          <t>MPLT (SAKA-UjungPangkah field) by TGE - GOWell project_IC</t>
        </is>
      </c>
      <c r="E173" s="297" t="n"/>
      <c r="F173" s="302" t="n"/>
      <c r="G173" s="297" t="n"/>
      <c r="H173" s="297" t="n"/>
      <c r="I173" s="297" t="n"/>
      <c r="J173" s="297" t="n"/>
      <c r="K173" s="297" t="n"/>
      <c r="L173" s="297" t="n"/>
      <c r="M173" s="297" t="n"/>
      <c r="N173" s="297" t="n"/>
      <c r="O173" s="297" t="n"/>
      <c r="P173" s="297" t="n"/>
      <c r="Q173" s="297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.5" customHeight="1">
      <c r="B174" s="299" t="n"/>
      <c r="C174" s="299" t="n"/>
      <c r="D174" s="282" t="inlineStr">
        <is>
          <t>Accommodation , Laundry</t>
        </is>
      </c>
      <c r="E174" s="299" t="n"/>
      <c r="F174" s="303" t="n"/>
      <c r="G174" s="299" t="n"/>
      <c r="H174" s="299" t="n"/>
      <c r="I174" s="299" t="n"/>
      <c r="J174" s="299" t="n"/>
      <c r="K174" s="299" t="n"/>
      <c r="L174" s="299" t="n"/>
      <c r="M174" s="299" t="n"/>
      <c r="N174" s="299" t="n"/>
      <c r="O174" s="299" t="n"/>
      <c r="P174" s="299" t="n"/>
      <c r="Q174" s="299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45402</v>
      </c>
      <c r="C175" s="286" t="n">
        <v>101</v>
      </c>
      <c r="D175" s="287" t="inlineStr">
        <is>
          <t>Laundry 5 days 1 Persons @ 50K IDR/day</t>
        </is>
      </c>
      <c r="E175" s="288" t="inlineStr">
        <is>
          <t>-</t>
        </is>
      </c>
      <c r="F175" s="301" t="n">
        <v>250000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9">
        <f>$F175*$H175</f>
        <v/>
      </c>
      <c r="M175" s="288" t="n"/>
      <c r="N175" s="288" t="n"/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Meal</t>
        </is>
      </c>
      <c r="E176" s="299" t="n"/>
      <c r="F176" s="303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45402</v>
      </c>
      <c r="C177" s="286" t="n">
        <v>102</v>
      </c>
      <c r="D177" s="287" t="inlineStr">
        <is>
          <t>Meals 5 days 1 Persons @ 150K IDR/day</t>
        </is>
      </c>
      <c r="E177" s="288" t="inlineStr">
        <is>
          <t>-</t>
        </is>
      </c>
      <c r="F177" s="301" t="n">
        <v>750000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9">
        <f>$F177*$H177</f>
        <v/>
      </c>
      <c r="M177" s="288" t="n"/>
      <c r="N177" s="288" t="n"/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45402</v>
      </c>
      <c r="C178" s="286" t="n">
        <v>103</v>
      </c>
      <c r="D178" s="287" t="inlineStr">
        <is>
          <t>Crews' Food</t>
        </is>
      </c>
      <c r="E178" s="288" t="inlineStr">
        <is>
          <t>-</t>
        </is>
      </c>
      <c r="F178" s="301" t="n">
        <v>160000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9">
        <f>$F178*$H178</f>
        <v/>
      </c>
      <c r="M178" s="288" t="n"/>
      <c r="N178" s="288" t="n"/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9" t="n"/>
      <c r="C179" s="299" t="n"/>
      <c r="D179" s="282" t="inlineStr">
        <is>
          <t>Shipping</t>
        </is>
      </c>
      <c r="E179" s="299" t="n"/>
      <c r="F179" s="303" t="n"/>
      <c r="G179" s="299" t="n"/>
      <c r="H179" s="299" t="n"/>
      <c r="I179" s="299" t="n"/>
      <c r="J179" s="299" t="n"/>
      <c r="K179" s="299" t="n"/>
      <c r="L179" s="299" t="n"/>
      <c r="M179" s="299" t="n"/>
      <c r="N179" s="299" t="n"/>
      <c r="O179" s="299" t="n"/>
      <c r="P179" s="299" t="n"/>
      <c r="Q179" s="299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" customHeight="1">
      <c r="B180" s="285" t="n">
        <v>45385</v>
      </c>
      <c r="C180" s="286" t="n">
        <v>104</v>
      </c>
      <c r="D180" s="287" t="inlineStr">
        <is>
          <t>Send DTR Bintaro - Gowell</t>
        </is>
      </c>
      <c r="E180" s="288" t="inlineStr">
        <is>
          <t>-</t>
        </is>
      </c>
      <c r="F180" s="301" t="n">
        <v>38121</v>
      </c>
      <c r="G180" s="286" t="inlineStr">
        <is>
          <t>IDR</t>
        </is>
      </c>
      <c r="H180" s="290" t="n">
        <v>1</v>
      </c>
      <c r="I180" s="288" t="n"/>
      <c r="J180" s="288" t="n"/>
      <c r="K180" s="288" t="n"/>
      <c r="L180" s="289">
        <f>$F180*$H180</f>
        <v/>
      </c>
      <c r="M180" s="288" t="n"/>
      <c r="N180" s="288" t="n"/>
      <c r="O180" s="288" t="n"/>
      <c r="P180" s="288" t="n"/>
      <c r="Q180" s="288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45398</v>
      </c>
      <c r="C181" s="286" t="n">
        <v>105</v>
      </c>
      <c r="D181" s="287" t="inlineStr">
        <is>
          <t>Send QPS Gowell - TGE</t>
        </is>
      </c>
      <c r="E181" s="288" t="inlineStr">
        <is>
          <t>-</t>
        </is>
      </c>
      <c r="F181" s="301" t="n">
        <v>105879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9">
        <f>$F181*$H181</f>
        <v/>
      </c>
      <c r="M181" s="288" t="n"/>
      <c r="N181" s="288" t="n"/>
      <c r="O181" s="288" t="n"/>
      <c r="P181" s="288" t="n"/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" customHeight="1">
      <c r="B182" s="285" t="n">
        <v>45403</v>
      </c>
      <c r="C182" s="286" t="n">
        <v>106</v>
      </c>
      <c r="D182" s="287" t="inlineStr">
        <is>
          <t>Send ALFA Bintaro - Andara</t>
        </is>
      </c>
      <c r="E182" s="288" t="inlineStr">
        <is>
          <t>-</t>
        </is>
      </c>
      <c r="F182" s="301" t="n">
        <v>39654</v>
      </c>
      <c r="G182" s="286" t="inlineStr">
        <is>
          <t>IDR</t>
        </is>
      </c>
      <c r="H182" s="290" t="n">
        <v>1</v>
      </c>
      <c r="I182" s="288" t="n"/>
      <c r="J182" s="288" t="n"/>
      <c r="K182" s="288" t="n"/>
      <c r="L182" s="289">
        <f>$F182*$H182</f>
        <v/>
      </c>
      <c r="M182" s="288" t="n"/>
      <c r="N182" s="288" t="n"/>
      <c r="O182" s="288" t="n"/>
      <c r="P182" s="288" t="n"/>
      <c r="Q182" s="288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" customHeight="1">
      <c r="B183" s="285" t="n">
        <v>45403</v>
      </c>
      <c r="C183" s="286" t="n">
        <v>107</v>
      </c>
      <c r="D183" s="287" t="inlineStr">
        <is>
          <t>Send HPTC Bintaro - Andara</t>
        </is>
      </c>
      <c r="E183" s="288" t="inlineStr">
        <is>
          <t>-</t>
        </is>
      </c>
      <c r="F183" s="301" t="n">
        <v>39654</v>
      </c>
      <c r="G183" s="286" t="inlineStr">
        <is>
          <t>IDR</t>
        </is>
      </c>
      <c r="H183" s="290" t="n">
        <v>1</v>
      </c>
      <c r="I183" s="288" t="n"/>
      <c r="J183" s="288" t="n"/>
      <c r="K183" s="288" t="n"/>
      <c r="L183" s="289">
        <f>$F183*$H183</f>
        <v/>
      </c>
      <c r="M183" s="288" t="n"/>
      <c r="N183" s="288" t="n"/>
      <c r="O183" s="288" t="n"/>
      <c r="P183" s="288" t="n"/>
      <c r="Q183" s="288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45405</v>
      </c>
      <c r="C184" s="286" t="n">
        <v>108</v>
      </c>
      <c r="D184" s="287" t="inlineStr">
        <is>
          <t>Send BA Bintaro - TGE</t>
        </is>
      </c>
      <c r="E184" s="288" t="inlineStr">
        <is>
          <t>-</t>
        </is>
      </c>
      <c r="F184" s="301" t="n">
        <v>18000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45407</v>
      </c>
      <c r="C185" s="286" t="n">
        <v>109</v>
      </c>
      <c r="D185" s="287" t="inlineStr">
        <is>
          <t>Send MPLT TGE - Gowell</t>
        </is>
      </c>
      <c r="E185" s="288" t="inlineStr">
        <is>
          <t>-</t>
        </is>
      </c>
      <c r="F185" s="289" t="n">
        <v>167297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.5" customHeight="1">
      <c r="B186" s="299" t="n"/>
      <c r="C186" s="299" t="n"/>
      <c r="D186" s="282" t="inlineStr">
        <is>
          <t>Transportation</t>
        </is>
      </c>
      <c r="E186" s="299" t="n"/>
      <c r="F186" s="303" t="n"/>
      <c r="G186" s="299" t="n"/>
      <c r="H186" s="299" t="n"/>
      <c r="I186" s="299" t="n"/>
      <c r="J186" s="299" t="n"/>
      <c r="K186" s="299" t="n"/>
      <c r="L186" s="299" t="n"/>
      <c r="M186" s="299" t="n"/>
      <c r="N186" s="299" t="n"/>
      <c r="O186" s="299" t="n"/>
      <c r="P186" s="299" t="n"/>
      <c r="Q186" s="299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45398</v>
      </c>
      <c r="C187" s="286" t="n">
        <v>110</v>
      </c>
      <c r="D187" s="287" t="inlineStr">
        <is>
          <t>Taxi Bintaro-CGK</t>
        </is>
      </c>
      <c r="E187" s="288" t="inlineStr">
        <is>
          <t>-</t>
        </is>
      </c>
      <c r="F187" s="301" t="n">
        <v>250000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45402</v>
      </c>
      <c r="C188" s="286" t="n">
        <v>111</v>
      </c>
      <c r="D188" s="287" t="inlineStr">
        <is>
          <t>Taxi CGK-Bintaro</t>
        </is>
      </c>
      <c r="E188" s="288" t="inlineStr">
        <is>
          <t>-</t>
        </is>
      </c>
      <c r="F188" s="301" t="n">
        <v>250000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.5" customHeight="1">
      <c r="B189" s="296" t="inlineStr">
        <is>
          <t>Expense#7</t>
        </is>
      </c>
      <c r="C189" s="297" t="inlineStr">
        <is>
          <t>:</t>
        </is>
      </c>
      <c r="D189" s="296" t="inlineStr">
        <is>
          <t>PLT SRO_ TGB-33 (Jatibarang Field) Elnusa _ IC</t>
        </is>
      </c>
      <c r="E189" s="297" t="n"/>
      <c r="F189" s="302" t="n"/>
      <c r="G189" s="297" t="n"/>
      <c r="H189" s="297" t="n"/>
      <c r="I189" s="297" t="n"/>
      <c r="J189" s="297" t="n"/>
      <c r="K189" s="297" t="n"/>
      <c r="L189" s="297" t="n"/>
      <c r="M189" s="297" t="n"/>
      <c r="N189" s="297" t="n"/>
      <c r="O189" s="297" t="n"/>
      <c r="P189" s="297" t="n"/>
      <c r="Q189" s="297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.5" customHeight="1">
      <c r="B190" s="299" t="n"/>
      <c r="C190" s="299" t="n"/>
      <c r="D190" s="282" t="inlineStr">
        <is>
          <t>Accommodation , Laundry</t>
        </is>
      </c>
      <c r="E190" s="299" t="n"/>
      <c r="F190" s="303" t="n"/>
      <c r="G190" s="299" t="n"/>
      <c r="H190" s="299" t="n"/>
      <c r="I190" s="299" t="n"/>
      <c r="J190" s="299" t="n"/>
      <c r="K190" s="299" t="n"/>
      <c r="L190" s="299" t="n"/>
      <c r="M190" s="299" t="n"/>
      <c r="N190" s="299" t="n"/>
      <c r="O190" s="299" t="n"/>
      <c r="P190" s="299" t="n"/>
      <c r="Q190" s="299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" customHeight="1">
      <c r="B191" s="285" t="n">
        <v>45410</v>
      </c>
      <c r="C191" s="286" t="n">
        <v>112</v>
      </c>
      <c r="D191" s="287" t="inlineStr">
        <is>
          <t>Hotel 2 days</t>
        </is>
      </c>
      <c r="E191" s="288" t="inlineStr">
        <is>
          <t>-</t>
        </is>
      </c>
      <c r="F191" s="301" t="n">
        <v>1357481</v>
      </c>
      <c r="G191" s="286" t="inlineStr">
        <is>
          <t>IDR</t>
        </is>
      </c>
      <c r="H191" s="290" t="n">
        <v>1</v>
      </c>
      <c r="I191" s="288" t="n"/>
      <c r="J191" s="288" t="n"/>
      <c r="K191" s="288" t="n"/>
      <c r="L191" s="289">
        <f>$F191*$H191</f>
        <v/>
      </c>
      <c r="M191" s="288" t="n"/>
      <c r="N191" s="288" t="n"/>
      <c r="O191" s="288" t="n"/>
      <c r="P191" s="288" t="n"/>
      <c r="Q191" s="288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45410</v>
      </c>
      <c r="C192" s="286" t="n">
        <v>113</v>
      </c>
      <c r="D192" s="287" t="inlineStr">
        <is>
          <t>Laundry 2 days</t>
        </is>
      </c>
      <c r="E192" s="288" t="inlineStr">
        <is>
          <t>-</t>
        </is>
      </c>
      <c r="F192" s="301" t="n">
        <v>100000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Allowance</t>
        </is>
      </c>
      <c r="E193" s="299" t="n"/>
      <c r="F193" s="303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45410</v>
      </c>
      <c r="C194" s="286" t="n">
        <v>114</v>
      </c>
      <c r="D194" s="287" t="inlineStr">
        <is>
          <t>Tunjangan Lapangan for 2 days</t>
        </is>
      </c>
      <c r="E194" s="288" t="inlineStr">
        <is>
          <t>-</t>
        </is>
      </c>
      <c r="F194" s="301" t="n">
        <v>200</v>
      </c>
      <c r="G194" s="286" t="inlineStr">
        <is>
          <t>USD</t>
        </is>
      </c>
      <c r="H194" s="290" t="n">
        <v>16257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Meal</t>
        </is>
      </c>
      <c r="E195" s="299" t="n"/>
      <c r="F195" s="303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45410</v>
      </c>
      <c r="C196" s="286" t="n">
        <v>115</v>
      </c>
      <c r="D196" s="287" t="inlineStr">
        <is>
          <t>Meals 2 days 1 Persons @ 150K IDR/day</t>
        </is>
      </c>
      <c r="E196" s="288" t="inlineStr">
        <is>
          <t>-</t>
        </is>
      </c>
      <c r="F196" s="289" t="n">
        <v>300000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.5" customHeight="1">
      <c r="B197" s="299" t="n"/>
      <c r="C197" s="299" t="n"/>
      <c r="D197" s="282" t="inlineStr">
        <is>
          <t>Transportation</t>
        </is>
      </c>
      <c r="E197" s="299" t="n"/>
      <c r="F197" s="300" t="n"/>
      <c r="G197" s="299" t="n"/>
      <c r="H197" s="299" t="n"/>
      <c r="I197" s="299" t="n"/>
      <c r="J197" s="299" t="n"/>
      <c r="K197" s="299" t="n"/>
      <c r="L197" s="299" t="n"/>
      <c r="M197" s="299" t="n"/>
      <c r="N197" s="299" t="n"/>
      <c r="O197" s="299" t="n"/>
      <c r="P197" s="299" t="n"/>
      <c r="Q197" s="299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" customHeight="1">
      <c r="B198" s="285" t="n">
        <v>45408</v>
      </c>
      <c r="C198" s="286" t="n">
        <v>116</v>
      </c>
      <c r="D198" s="287" t="inlineStr">
        <is>
          <t>Fuels</t>
        </is>
      </c>
      <c r="E198" s="288" t="inlineStr">
        <is>
          <t>-</t>
        </is>
      </c>
      <c r="F198" s="292" t="n">
        <v>284308</v>
      </c>
      <c r="G198" s="286" t="inlineStr">
        <is>
          <t>IDR</t>
        </is>
      </c>
      <c r="H198" s="290" t="n">
        <v>1</v>
      </c>
      <c r="I198" s="288" t="n"/>
      <c r="J198" s="288" t="n"/>
      <c r="K198" s="288" t="n"/>
      <c r="L198" s="289">
        <f>$F198*$H198</f>
        <v/>
      </c>
      <c r="M198" s="288" t="n"/>
      <c r="N198" s="288" t="n"/>
      <c r="O198" s="288" t="n"/>
      <c r="P198" s="288" t="n"/>
      <c r="Q198" s="288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" customHeight="1">
      <c r="B199" s="285" t="n">
        <v>45410</v>
      </c>
      <c r="C199" s="286" t="n">
        <v>117</v>
      </c>
      <c r="D199" s="287" t="inlineStr">
        <is>
          <t>Toll</t>
        </is>
      </c>
      <c r="E199" s="288" t="inlineStr">
        <is>
          <t>-</t>
        </is>
      </c>
      <c r="F199" s="292" t="n">
        <v>298000</v>
      </c>
      <c r="G199" s="286" t="inlineStr">
        <is>
          <t>IDR</t>
        </is>
      </c>
      <c r="H199" s="290" t="n">
        <v>1</v>
      </c>
      <c r="I199" s="288" t="n"/>
      <c r="J199" s="288" t="n"/>
      <c r="K199" s="288" t="n"/>
      <c r="L199" s="289">
        <f>$F199*$H199</f>
        <v/>
      </c>
      <c r="M199" s="288" t="n"/>
      <c r="N199" s="288" t="n"/>
      <c r="O199" s="288" t="n"/>
      <c r="P199" s="288" t="n"/>
      <c r="Q199" s="288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.5" customHeight="1">
      <c r="B200" s="296" t="inlineStr">
        <is>
          <t>Expense#8</t>
        </is>
      </c>
      <c r="C200" s="297" t="inlineStr">
        <is>
          <t>:</t>
        </is>
      </c>
      <c r="D200" s="296" t="inlineStr">
        <is>
          <t>Training BST_ PHR-zona 4 (Dwiyanto) (Dwi_Febri dan Ilham)</t>
        </is>
      </c>
      <c r="E200" s="297" t="n"/>
      <c r="F200" s="298" t="n"/>
      <c r="G200" s="297" t="n"/>
      <c r="H200" s="297" t="n"/>
      <c r="I200" s="297" t="n"/>
      <c r="J200" s="297" t="n"/>
      <c r="K200" s="297" t="n"/>
      <c r="L200" s="297" t="n"/>
      <c r="M200" s="297" t="n"/>
      <c r="N200" s="297" t="n"/>
      <c r="O200" s="297" t="n"/>
      <c r="P200" s="297" t="n"/>
      <c r="Q200" s="297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Accommodation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45419</v>
      </c>
      <c r="C202" s="286" t="n">
        <v>118</v>
      </c>
      <c r="D202" s="287" t="inlineStr">
        <is>
          <t>Dinner (Dwi, Febri, Ilham)</t>
        </is>
      </c>
      <c r="E202" s="288" t="inlineStr">
        <is>
          <t>-</t>
        </is>
      </c>
      <c r="F202" s="292" t="n">
        <v>103400</v>
      </c>
      <c r="G202" s="286" t="inlineStr">
        <is>
          <t>IDR</t>
        </is>
      </c>
      <c r="H202" s="290" t="n">
        <v>1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" customHeight="1">
      <c r="B203" s="285" t="n">
        <v>45420</v>
      </c>
      <c r="C203" s="286" t="n">
        <v>119</v>
      </c>
      <c r="D203" s="287" t="inlineStr">
        <is>
          <t>Hotel</t>
        </is>
      </c>
      <c r="E203" s="288" t="inlineStr">
        <is>
          <t>-</t>
        </is>
      </c>
      <c r="F203" s="292" t="n">
        <v>360000</v>
      </c>
      <c r="G203" s="286" t="inlineStr">
        <is>
          <t>IDR</t>
        </is>
      </c>
      <c r="H203" s="290" t="n">
        <v>1</v>
      </c>
      <c r="I203" s="288" t="n"/>
      <c r="J203" s="288" t="n"/>
      <c r="K203" s="288" t="n"/>
      <c r="L203" s="289">
        <f>$F203*$H203</f>
        <v/>
      </c>
      <c r="M203" s="288" t="n"/>
      <c r="N203" s="288" t="n"/>
      <c r="O203" s="288" t="n"/>
      <c r="P203" s="288" t="n"/>
      <c r="Q203" s="288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.5" customHeight="1">
      <c r="B204" s="299" t="n"/>
      <c r="C204" s="299" t="n"/>
      <c r="D204" s="282" t="inlineStr">
        <is>
          <t>Biaya Operasi</t>
        </is>
      </c>
      <c r="E204" s="299" t="n"/>
      <c r="F204" s="300" t="n"/>
      <c r="G204" s="299" t="n"/>
      <c r="H204" s="299" t="n"/>
      <c r="I204" s="299" t="n"/>
      <c r="J204" s="299" t="n"/>
      <c r="K204" s="299" t="n"/>
      <c r="L204" s="299" t="n"/>
      <c r="M204" s="299" t="n"/>
      <c r="N204" s="299" t="n"/>
      <c r="O204" s="299" t="n"/>
      <c r="P204" s="299" t="n"/>
      <c r="Q204" s="299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" customHeight="1">
      <c r="B205" s="285" t="n">
        <v>45418</v>
      </c>
      <c r="C205" s="286" t="n">
        <v>120</v>
      </c>
      <c r="D205" s="287" t="inlineStr">
        <is>
          <t>Jakarta - Palembang - Jakarta</t>
        </is>
      </c>
      <c r="E205" s="288" t="inlineStr">
        <is>
          <t>-</t>
        </is>
      </c>
      <c r="F205" s="292" t="n">
        <v>1387800</v>
      </c>
      <c r="G205" s="286" t="inlineStr">
        <is>
          <t>IDR</t>
        </is>
      </c>
      <c r="H205" s="290" t="n">
        <v>1</v>
      </c>
      <c r="I205" s="288" t="n"/>
      <c r="J205" s="288" t="n"/>
      <c r="K205" s="288" t="n"/>
      <c r="L205" s="289">
        <f>$F205*$H205</f>
        <v/>
      </c>
      <c r="M205" s="288" t="n"/>
      <c r="N205" s="288" t="n"/>
      <c r="O205" s="288" t="n"/>
      <c r="P205" s="288" t="n"/>
      <c r="Q205" s="288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.5" customHeight="1">
      <c r="B206" s="299" t="n"/>
      <c r="C206" s="299" t="n"/>
      <c r="D206" s="282" t="inlineStr">
        <is>
          <t>Transportation</t>
        </is>
      </c>
      <c r="E206" s="299" t="n"/>
      <c r="F206" s="300" t="n"/>
      <c r="G206" s="299" t="n"/>
      <c r="H206" s="299" t="n"/>
      <c r="I206" s="299" t="n"/>
      <c r="J206" s="299" t="n"/>
      <c r="K206" s="299" t="n"/>
      <c r="L206" s="299" t="n"/>
      <c r="M206" s="299" t="n"/>
      <c r="N206" s="299" t="n"/>
      <c r="O206" s="299" t="n"/>
      <c r="P206" s="299" t="n"/>
      <c r="Q206" s="299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" customHeight="1">
      <c r="B207" s="285" t="n">
        <v>45419</v>
      </c>
      <c r="C207" s="286" t="n">
        <v>121</v>
      </c>
      <c r="D207" s="287" t="inlineStr">
        <is>
          <t>Taxi + Tol to Airport Jakarta</t>
        </is>
      </c>
      <c r="E207" s="288" t="inlineStr">
        <is>
          <t>-</t>
        </is>
      </c>
      <c r="F207" s="292" t="n">
        <v>234140</v>
      </c>
      <c r="G207" s="286" t="inlineStr">
        <is>
          <t>IDR</t>
        </is>
      </c>
      <c r="H207" s="290" t="n">
        <v>1</v>
      </c>
      <c r="I207" s="288" t="n"/>
      <c r="J207" s="288" t="n"/>
      <c r="K207" s="288" t="n"/>
      <c r="L207" s="289">
        <f>$F207*$H207</f>
        <v/>
      </c>
      <c r="M207" s="288" t="n"/>
      <c r="N207" s="288" t="n"/>
      <c r="O207" s="288" t="n"/>
      <c r="P207" s="288" t="n"/>
      <c r="Q207" s="288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45419</v>
      </c>
      <c r="C208" s="286" t="n">
        <v>122</v>
      </c>
      <c r="D208" s="287" t="inlineStr">
        <is>
          <t>Airport park + fuel + tol Indralaya</t>
        </is>
      </c>
      <c r="E208" s="288" t="inlineStr">
        <is>
          <t>-</t>
        </is>
      </c>
      <c r="F208" s="292" t="n">
        <v>232000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45420</v>
      </c>
      <c r="C209" s="286" t="n">
        <v>123</v>
      </c>
      <c r="D209" s="287" t="inlineStr">
        <is>
          <t>Car Rental</t>
        </is>
      </c>
      <c r="E209" s="288" t="inlineStr">
        <is>
          <t>-</t>
        </is>
      </c>
      <c r="F209" s="292" t="n">
        <v>600000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" customHeight="1">
      <c r="B210" s="285" t="n">
        <v>45420</v>
      </c>
      <c r="C210" s="286" t="n">
        <v>124</v>
      </c>
      <c r="D210" s="287" t="inlineStr">
        <is>
          <t>Tol Indralaya</t>
        </is>
      </c>
      <c r="E210" s="288" t="inlineStr">
        <is>
          <t>-</t>
        </is>
      </c>
      <c r="F210" s="292" t="n">
        <v>27000</v>
      </c>
      <c r="G210" s="286" t="inlineStr">
        <is>
          <t>IDR</t>
        </is>
      </c>
      <c r="H210" s="290" t="n">
        <v>1</v>
      </c>
      <c r="I210" s="288" t="n"/>
      <c r="J210" s="288" t="n"/>
      <c r="K210" s="288" t="n"/>
      <c r="L210" s="289">
        <f>$F210*$H210</f>
        <v/>
      </c>
      <c r="M210" s="288" t="n"/>
      <c r="N210" s="288" t="n"/>
      <c r="O210" s="288" t="n"/>
      <c r="P210" s="288" t="n"/>
      <c r="Q210" s="288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" customHeight="1">
      <c r="B211" s="285" t="n">
        <v>45421</v>
      </c>
      <c r="C211" s="286" t="n">
        <v>125</v>
      </c>
      <c r="D211" s="287" t="inlineStr">
        <is>
          <t>Tol + Taxi From Airport Jakarta</t>
        </is>
      </c>
      <c r="E211" s="288" t="inlineStr">
        <is>
          <t>-</t>
        </is>
      </c>
      <c r="F211" s="292" t="n">
        <v>276900</v>
      </c>
      <c r="G211" s="286" t="inlineStr">
        <is>
          <t>IDR</t>
        </is>
      </c>
      <c r="H211" s="290" t="n">
        <v>1</v>
      </c>
      <c r="I211" s="288" t="n"/>
      <c r="J211" s="288" t="n"/>
      <c r="K211" s="288" t="n"/>
      <c r="L211" s="289">
        <f>$F211*$H211</f>
        <v/>
      </c>
      <c r="M211" s="288" t="n"/>
      <c r="N211" s="288" t="n"/>
      <c r="O211" s="288" t="n"/>
      <c r="P211" s="288" t="n"/>
      <c r="Q211" s="288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.5" customHeight="1">
      <c r="B212" s="296" t="inlineStr">
        <is>
          <t>Expense#9</t>
        </is>
      </c>
      <c r="C212" s="297" t="inlineStr">
        <is>
          <t>:</t>
        </is>
      </c>
      <c r="D212" s="296" t="inlineStr">
        <is>
          <t>MFC and ALFA Memory (Jatibarang Field) TGB-033_Elnusa_ AC</t>
        </is>
      </c>
      <c r="E212" s="297" t="n"/>
      <c r="F212" s="298" t="n"/>
      <c r="G212" s="297" t="n"/>
      <c r="H212" s="297" t="n"/>
      <c r="I212" s="297" t="n"/>
      <c r="J212" s="297" t="n"/>
      <c r="K212" s="297" t="n"/>
      <c r="L212" s="297" t="n"/>
      <c r="M212" s="297" t="n"/>
      <c r="N212" s="297" t="n"/>
      <c r="O212" s="297" t="n"/>
      <c r="P212" s="297" t="n"/>
      <c r="Q212" s="297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Accommodation , Laundry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45403</v>
      </c>
      <c r="C214" s="286" t="n">
        <v>126</v>
      </c>
      <c r="D214" s="287" t="inlineStr">
        <is>
          <t>Laundry 3 days @ Rp. 50.000</t>
        </is>
      </c>
      <c r="E214" s="288" t="inlineStr">
        <is>
          <t>-</t>
        </is>
      </c>
      <c r="F214" s="292" t="n">
        <v>150000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" customHeight="1">
      <c r="B215" s="285" t="n">
        <v>45403</v>
      </c>
      <c r="C215" s="286" t="n">
        <v>127</v>
      </c>
      <c r="D215" s="287" t="inlineStr">
        <is>
          <t>Uang makan utk 3 hari (19-21 apr-24) @150.000</t>
        </is>
      </c>
      <c r="E215" s="288" t="inlineStr">
        <is>
          <t>-</t>
        </is>
      </c>
      <c r="F215" s="292" t="n">
        <v>450000</v>
      </c>
      <c r="G215" s="286" t="inlineStr">
        <is>
          <t>IDR</t>
        </is>
      </c>
      <c r="H215" s="290" t="n">
        <v>1</v>
      </c>
      <c r="I215" s="288" t="n"/>
      <c r="J215" s="288" t="n"/>
      <c r="K215" s="288" t="n"/>
      <c r="L215" s="289">
        <f>$F215*$H215</f>
        <v/>
      </c>
      <c r="M215" s="288" t="n"/>
      <c r="N215" s="288" t="n"/>
      <c r="O215" s="288" t="n"/>
      <c r="P215" s="288" t="n"/>
      <c r="Q215" s="288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.5" customHeight="1">
      <c r="B216" s="299" t="n"/>
      <c r="C216" s="299" t="n"/>
      <c r="D216" s="282" t="inlineStr">
        <is>
          <t>Allowance</t>
        </is>
      </c>
      <c r="E216" s="299" t="n"/>
      <c r="F216" s="300" t="n"/>
      <c r="G216" s="299" t="n"/>
      <c r="H216" s="299" t="n"/>
      <c r="I216" s="299" t="n"/>
      <c r="J216" s="299" t="n"/>
      <c r="K216" s="299" t="n"/>
      <c r="L216" s="299" t="n"/>
      <c r="M216" s="299" t="n"/>
      <c r="N216" s="299" t="n"/>
      <c r="O216" s="299" t="n"/>
      <c r="P216" s="299" t="n"/>
      <c r="Q216" s="299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" customHeight="1">
      <c r="B217" s="285" t="n">
        <v>45403</v>
      </c>
      <c r="C217" s="286" t="n">
        <v>128</v>
      </c>
      <c r="D217" s="287" t="inlineStr">
        <is>
          <t>Tunajngan lapangan for 3 days (19-21 apr24) Anevril</t>
        </is>
      </c>
      <c r="E217" s="288" t="inlineStr">
        <is>
          <t>-</t>
        </is>
      </c>
      <c r="F217" s="292" t="n">
        <v>300</v>
      </c>
      <c r="G217" s="286" t="inlineStr">
        <is>
          <t>USD</t>
        </is>
      </c>
      <c r="H217" s="290" t="n">
        <v>16051</v>
      </c>
      <c r="I217" s="288" t="n"/>
      <c r="J217" s="288" t="n"/>
      <c r="K217" s="288" t="n"/>
      <c r="L217" s="289">
        <f>$F217*$H217</f>
        <v/>
      </c>
      <c r="M217" s="288" t="n"/>
      <c r="N217" s="288" t="n"/>
      <c r="O217" s="288" t="n"/>
      <c r="P217" s="288" t="n"/>
      <c r="Q217" s="288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45420</v>
      </c>
      <c r="C218" s="286" t="n">
        <v>129</v>
      </c>
      <c r="D218" s="287" t="inlineStr">
        <is>
          <t>Dinner (Dwi, Febri, Ilham)</t>
        </is>
      </c>
      <c r="E218" s="288" t="inlineStr">
        <is>
          <t>-</t>
        </is>
      </c>
      <c r="F218" s="292" t="n">
        <v>128000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.5" customHeight="1">
      <c r="B219" s="299" t="n"/>
      <c r="C219" s="299" t="n"/>
      <c r="D219" s="282" t="inlineStr">
        <is>
          <t>Transportation</t>
        </is>
      </c>
      <c r="E219" s="299" t="n"/>
      <c r="F219" s="300" t="n"/>
      <c r="G219" s="299" t="n"/>
      <c r="H219" s="299" t="n"/>
      <c r="I219" s="299" t="n"/>
      <c r="J219" s="299" t="n"/>
      <c r="K219" s="299" t="n"/>
      <c r="L219" s="299" t="n"/>
      <c r="M219" s="299" t="n"/>
      <c r="N219" s="299" t="n"/>
      <c r="O219" s="299" t="n"/>
      <c r="P219" s="299" t="n"/>
      <c r="Q219" s="299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45403</v>
      </c>
      <c r="C220" s="286" t="n">
        <v>130</v>
      </c>
      <c r="D220" s="287" t="inlineStr">
        <is>
          <t>Train (Jati barang - Jati Negara)</t>
        </is>
      </c>
      <c r="E220" s="288" t="inlineStr">
        <is>
          <t>-</t>
        </is>
      </c>
      <c r="F220" s="292" t="n">
        <v>255500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45403</v>
      </c>
      <c r="C221" s="286" t="n">
        <v>131</v>
      </c>
      <c r="D221" s="287" t="inlineStr">
        <is>
          <t>Taksi</t>
        </is>
      </c>
      <c r="E221" s="288" t="inlineStr">
        <is>
          <t>-</t>
        </is>
      </c>
      <c r="F221" s="292" t="n">
        <v>150000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.5" customHeight="1">
      <c r="B222" s="296" t="inlineStr">
        <is>
          <t>Expense#10</t>
        </is>
      </c>
      <c r="C222" s="297" t="inlineStr">
        <is>
          <t>:</t>
        </is>
      </c>
      <c r="D222" s="296" t="inlineStr">
        <is>
          <t>ALFA+PLT (TGB-033 Zona 7) Elnusa_TMA</t>
        </is>
      </c>
      <c r="E222" s="297" t="n"/>
      <c r="F222" s="298" t="n"/>
      <c r="G222" s="297" t="n"/>
      <c r="H222" s="297" t="n"/>
      <c r="I222" s="297" t="n"/>
      <c r="J222" s="297" t="n"/>
      <c r="K222" s="297" t="n"/>
      <c r="L222" s="297" t="n"/>
      <c r="M222" s="297" t="n"/>
      <c r="N222" s="297" t="n"/>
      <c r="O222" s="297" t="n"/>
      <c r="P222" s="297" t="n"/>
      <c r="Q222" s="297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9" t="n"/>
      <c r="C223" s="299" t="n"/>
      <c r="D223" s="282" t="inlineStr">
        <is>
          <t>Accommodation , Laundry</t>
        </is>
      </c>
      <c r="E223" s="299" t="n"/>
      <c r="F223" s="300" t="n"/>
      <c r="G223" s="299" t="n"/>
      <c r="H223" s="299" t="n"/>
      <c r="I223" s="299" t="n"/>
      <c r="J223" s="299" t="n"/>
      <c r="K223" s="299" t="n"/>
      <c r="L223" s="299" t="n"/>
      <c r="M223" s="299" t="n"/>
      <c r="N223" s="299" t="n"/>
      <c r="O223" s="299" t="n"/>
      <c r="P223" s="299" t="n"/>
      <c r="Q223" s="299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" customHeight="1">
      <c r="B224" s="285" t="n">
        <v>45407</v>
      </c>
      <c r="C224" s="286" t="n">
        <v>132</v>
      </c>
      <c r="D224" s="287" t="inlineStr">
        <is>
          <t>Hotel 25 Apr - 27 Apr &amp; 29 Apr- 2 May 2024 (6 days)</t>
        </is>
      </c>
      <c r="E224" s="288" t="inlineStr">
        <is>
          <t>-</t>
        </is>
      </c>
      <c r="F224" s="292" t="n">
        <v>3292802</v>
      </c>
      <c r="G224" s="286" t="inlineStr">
        <is>
          <t>IDR</t>
        </is>
      </c>
      <c r="H224" s="290" t="n">
        <v>1</v>
      </c>
      <c r="I224" s="288" t="n"/>
      <c r="J224" s="288" t="n"/>
      <c r="K224" s="288" t="n"/>
      <c r="L224" s="289">
        <f>$F224*$H224</f>
        <v/>
      </c>
      <c r="M224" s="288" t="n"/>
      <c r="N224" s="288" t="n"/>
      <c r="O224" s="288" t="n"/>
      <c r="P224" s="288" t="n"/>
      <c r="Q224" s="288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45407</v>
      </c>
      <c r="C225" s="286" t="n">
        <v>133</v>
      </c>
      <c r="D225" s="287" t="inlineStr">
        <is>
          <t>Laundry 7 days 1 Persons @ 50K IDR/day</t>
        </is>
      </c>
      <c r="E225" s="288" t="inlineStr">
        <is>
          <t>-</t>
        </is>
      </c>
      <c r="F225" s="292" t="n">
        <v>350000</v>
      </c>
      <c r="G225" s="286" t="inlineStr">
        <is>
          <t>IDR</t>
        </is>
      </c>
      <c r="H225" s="290" t="n">
        <v>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Allowance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45407</v>
      </c>
      <c r="C227" s="286" t="n">
        <v>134</v>
      </c>
      <c r="D227" s="287" t="inlineStr">
        <is>
          <t>Field Bonus for 7 days (25$/Day)</t>
        </is>
      </c>
      <c r="E227" s="288" t="inlineStr">
        <is>
          <t>-</t>
        </is>
      </c>
      <c r="F227" s="292" t="n">
        <v>0.0047</v>
      </c>
      <c r="G227" s="286" t="inlineStr">
        <is>
          <t>USD</t>
        </is>
      </c>
      <c r="H227" s="290" t="n">
        <v>16050.85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" customHeight="1">
      <c r="B228" s="285" t="n">
        <v>45407</v>
      </c>
      <c r="C228" s="286" t="n">
        <v>135</v>
      </c>
      <c r="D228" s="287" t="inlineStr">
        <is>
          <t>Field Bonus for 4 days 29 April-2 May 2024 (100$/Day</t>
        </is>
      </c>
      <c r="E228" s="288" t="inlineStr">
        <is>
          <t>-</t>
        </is>
      </c>
      <c r="F228" s="289" t="n">
        <v>400</v>
      </c>
      <c r="G228" s="286" t="inlineStr">
        <is>
          <t>USD</t>
        </is>
      </c>
      <c r="H228" s="290" t="n">
        <v>16050.85</v>
      </c>
      <c r="I228" s="288" t="n"/>
      <c r="J228" s="288" t="n"/>
      <c r="K228" s="288" t="n"/>
      <c r="L228" s="289">
        <f>$F228*$H228</f>
        <v/>
      </c>
      <c r="M228" s="288" t="n"/>
      <c r="N228" s="288" t="n"/>
      <c r="O228" s="288" t="n"/>
      <c r="P228" s="288" t="n"/>
      <c r="Q228" s="288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.5" customHeight="1">
      <c r="B229" s="299" t="n"/>
      <c r="C229" s="299" t="n"/>
      <c r="D229" s="282" t="inlineStr">
        <is>
          <t>Logistic</t>
        </is>
      </c>
      <c r="E229" s="299" t="n"/>
      <c r="F229" s="300" t="n"/>
      <c r="G229" s="299" t="n"/>
      <c r="H229" s="299" t="n"/>
      <c r="I229" s="299" t="n"/>
      <c r="J229" s="299" t="n"/>
      <c r="K229" s="299" t="n"/>
      <c r="L229" s="299" t="n"/>
      <c r="M229" s="299" t="n"/>
      <c r="N229" s="299" t="n"/>
      <c r="O229" s="299" t="n"/>
      <c r="P229" s="299" t="n"/>
      <c r="Q229" s="299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45411</v>
      </c>
      <c r="C230" s="286" t="n">
        <v>136</v>
      </c>
      <c r="D230" s="287" t="inlineStr">
        <is>
          <t>Internet Data</t>
        </is>
      </c>
      <c r="E230" s="288" t="inlineStr">
        <is>
          <t>-</t>
        </is>
      </c>
      <c r="F230" s="292" t="n">
        <v>75000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" customHeight="1">
      <c r="B231" s="285" t="n">
        <v>45401</v>
      </c>
      <c r="C231" s="286" t="n">
        <v>137</v>
      </c>
      <c r="D231" s="287" t="inlineStr">
        <is>
          <t>Tekiro Kunci L, Tekiro Tang, Obeng Set</t>
        </is>
      </c>
      <c r="E231" s="288" t="inlineStr">
        <is>
          <t>-</t>
        </is>
      </c>
      <c r="F231" s="292" t="n">
        <v>349000</v>
      </c>
      <c r="G231" s="286" t="inlineStr">
        <is>
          <t>IDR</t>
        </is>
      </c>
      <c r="H231" s="290" t="n">
        <v>1</v>
      </c>
      <c r="I231" s="288" t="n"/>
      <c r="J231" s="288" t="n"/>
      <c r="K231" s="288" t="n"/>
      <c r="L231" s="288" t="n"/>
      <c r="M231" s="288" t="n"/>
      <c r="N231" s="289">
        <f>$F231*$H231</f>
        <v/>
      </c>
      <c r="O231" s="288" t="n"/>
      <c r="P231" s="288" t="n"/>
      <c r="Q231" s="288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.5" customHeight="1">
      <c r="B232" s="299" t="n"/>
      <c r="C232" s="299" t="n"/>
      <c r="D232" s="282" t="inlineStr">
        <is>
          <t>Meal</t>
        </is>
      </c>
      <c r="E232" s="299" t="n"/>
      <c r="F232" s="300" t="n"/>
      <c r="G232" s="299" t="n"/>
      <c r="H232" s="299" t="n"/>
      <c r="I232" s="299" t="n"/>
      <c r="J232" s="299" t="n"/>
      <c r="K232" s="299" t="n"/>
      <c r="L232" s="299" t="n"/>
      <c r="M232" s="299" t="n"/>
      <c r="N232" s="299" t="n"/>
      <c r="O232" s="299" t="n"/>
      <c r="P232" s="299" t="n"/>
      <c r="Q232" s="299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45407</v>
      </c>
      <c r="C233" s="286" t="n">
        <v>138</v>
      </c>
      <c r="D233" s="287" t="inlineStr">
        <is>
          <t>Crew's Operational</t>
        </is>
      </c>
      <c r="E233" s="288" t="inlineStr">
        <is>
          <t>-</t>
        </is>
      </c>
      <c r="F233" s="292" t="n">
        <v>657000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" customHeight="1">
      <c r="B234" s="285" t="n">
        <v>45407</v>
      </c>
      <c r="C234" s="286" t="n">
        <v>139</v>
      </c>
      <c r="D234" s="287" t="inlineStr">
        <is>
          <t>Meals 7 days 1 Persons @ 150K IDR/day</t>
        </is>
      </c>
      <c r="E234" s="288" t="inlineStr">
        <is>
          <t>-</t>
        </is>
      </c>
      <c r="F234" s="292" t="n">
        <v>1050000</v>
      </c>
      <c r="G234" s="286" t="inlineStr">
        <is>
          <t>IDR</t>
        </is>
      </c>
      <c r="H234" s="290" t="n">
        <v>1</v>
      </c>
      <c r="I234" s="288" t="n"/>
      <c r="J234" s="288" t="n"/>
      <c r="K234" s="288" t="n"/>
      <c r="L234" s="289">
        <f>$F234*$H234</f>
        <v/>
      </c>
      <c r="M234" s="288" t="n"/>
      <c r="N234" s="288" t="n"/>
      <c r="O234" s="288" t="n"/>
      <c r="P234" s="288" t="n"/>
      <c r="Q234" s="288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6" t="inlineStr">
        <is>
          <t>Expense#11</t>
        </is>
      </c>
      <c r="C235" s="297" t="inlineStr">
        <is>
          <t>:</t>
        </is>
      </c>
      <c r="D235" s="296" t="inlineStr">
        <is>
          <t>ALFA+MFC (TGB-033 Zona 7) Elnusa_TMA</t>
        </is>
      </c>
      <c r="E235" s="297" t="n"/>
      <c r="F235" s="298" t="n"/>
      <c r="G235" s="297" t="n"/>
      <c r="H235" s="297" t="n"/>
      <c r="I235" s="297" t="n"/>
      <c r="J235" s="297" t="n"/>
      <c r="K235" s="297" t="n"/>
      <c r="L235" s="297" t="n"/>
      <c r="M235" s="297" t="n"/>
      <c r="N235" s="297" t="n"/>
      <c r="O235" s="297" t="n"/>
      <c r="P235" s="297" t="n"/>
      <c r="Q235" s="297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.5" customHeight="1">
      <c r="B236" s="299" t="n"/>
      <c r="C236" s="299" t="n"/>
      <c r="D236" s="282" t="inlineStr">
        <is>
          <t>Accommodation , Laundry</t>
        </is>
      </c>
      <c r="E236" s="299" t="n"/>
      <c r="F236" s="300" t="n"/>
      <c r="G236" s="299" t="n"/>
      <c r="H236" s="299" t="n"/>
      <c r="I236" s="299" t="n"/>
      <c r="J236" s="299" t="n"/>
      <c r="K236" s="299" t="n"/>
      <c r="L236" s="299" t="n"/>
      <c r="M236" s="299" t="n"/>
      <c r="N236" s="299" t="n"/>
      <c r="O236" s="299" t="n"/>
      <c r="P236" s="299" t="n"/>
      <c r="Q236" s="299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" customHeight="1">
      <c r="B237" s="285" t="n">
        <v>45401</v>
      </c>
      <c r="C237" s="286" t="n">
        <v>140</v>
      </c>
      <c r="D237" s="287" t="inlineStr">
        <is>
          <t>Hotel 19 Apr-22 Apr 2024 (3 days)</t>
        </is>
      </c>
      <c r="E237" s="288" t="inlineStr">
        <is>
          <t>-</t>
        </is>
      </c>
      <c r="F237" s="292" t="n">
        <v>1950000</v>
      </c>
      <c r="G237" s="286" t="inlineStr">
        <is>
          <t>IDR</t>
        </is>
      </c>
      <c r="H237" s="290" t="n">
        <v>1</v>
      </c>
      <c r="I237" s="288" t="n"/>
      <c r="J237" s="288" t="n"/>
      <c r="K237" s="288" t="n"/>
      <c r="L237" s="289">
        <f>$F237*$H237</f>
        <v/>
      </c>
      <c r="M237" s="288" t="n"/>
      <c r="N237" s="288" t="n"/>
      <c r="O237" s="288" t="n"/>
      <c r="P237" s="288" t="n"/>
      <c r="Q237" s="288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45401</v>
      </c>
      <c r="C238" s="286" t="n">
        <v>141</v>
      </c>
      <c r="D238" s="287" t="inlineStr">
        <is>
          <t>Laundry 4 days 1 Persons @ 50K IDR/day</t>
        </is>
      </c>
      <c r="E238" s="288" t="inlineStr">
        <is>
          <t>-</t>
        </is>
      </c>
      <c r="F238" s="292" t="n">
        <v>200000</v>
      </c>
      <c r="G238" s="286" t="inlineStr">
        <is>
          <t>IDR</t>
        </is>
      </c>
      <c r="H238" s="290" t="n">
        <v>1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.5" customHeight="1">
      <c r="B239" s="299" t="n"/>
      <c r="C239" s="299" t="n"/>
      <c r="D239" s="282" t="inlineStr">
        <is>
          <t>Allowance</t>
        </is>
      </c>
      <c r="E239" s="299" t="n"/>
      <c r="F239" s="300" t="n"/>
      <c r="G239" s="299" t="n"/>
      <c r="H239" s="299" t="n"/>
      <c r="I239" s="299" t="n"/>
      <c r="J239" s="299" t="n"/>
      <c r="K239" s="299" t="n"/>
      <c r="L239" s="299" t="n"/>
      <c r="M239" s="299" t="n"/>
      <c r="N239" s="299" t="n"/>
      <c r="O239" s="299" t="n"/>
      <c r="P239" s="299" t="n"/>
      <c r="Q239" s="299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" customHeight="1">
      <c r="B240" s="285" t="n">
        <v>45401</v>
      </c>
      <c r="C240" s="286" t="n">
        <v>142</v>
      </c>
      <c r="D240" s="287" t="inlineStr">
        <is>
          <t>Field Bonus for 4 days (25$/Day)</t>
        </is>
      </c>
      <c r="E240" s="288" t="inlineStr">
        <is>
          <t>-</t>
        </is>
      </c>
      <c r="F240" s="292" t="n">
        <v>100</v>
      </c>
      <c r="G240" s="286" t="inlineStr">
        <is>
          <t>USD</t>
        </is>
      </c>
      <c r="H240" s="290" t="n">
        <v>16050.85</v>
      </c>
      <c r="I240" s="288" t="n"/>
      <c r="J240" s="288" t="n"/>
      <c r="K240" s="288" t="n"/>
      <c r="L240" s="289">
        <f>$F240*$H240</f>
        <v/>
      </c>
      <c r="M240" s="288" t="n"/>
      <c r="N240" s="288" t="n"/>
      <c r="O240" s="288" t="n"/>
      <c r="P240" s="288" t="n"/>
      <c r="Q240" s="288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.5" customHeight="1">
      <c r="B241" s="299" t="n"/>
      <c r="C241" s="299" t="n"/>
      <c r="D241" s="282" t="inlineStr">
        <is>
          <t>Logistic</t>
        </is>
      </c>
      <c r="E241" s="299" t="n"/>
      <c r="F241" s="299" t="n"/>
      <c r="G241" s="299" t="n"/>
      <c r="H241" s="299" t="n"/>
      <c r="I241" s="299" t="n"/>
      <c r="J241" s="299" t="n"/>
      <c r="K241" s="299" t="n"/>
      <c r="L241" s="299" t="n"/>
      <c r="M241" s="299" t="n"/>
      <c r="N241" s="299" t="n"/>
      <c r="O241" s="299" t="n"/>
      <c r="P241" s="299" t="n"/>
      <c r="Q241" s="299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45401</v>
      </c>
      <c r="C242" s="286" t="n">
        <v>143</v>
      </c>
      <c r="D242" s="287" t="inlineStr">
        <is>
          <t>Battery A2</t>
        </is>
      </c>
      <c r="E242" s="288" t="inlineStr">
        <is>
          <t>-</t>
        </is>
      </c>
      <c r="F242" s="292" t="n">
        <v>101800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Meal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144</v>
      </c>
      <c r="D244" s="287" t="inlineStr">
        <is>
          <t>Crew's Operational</t>
        </is>
      </c>
      <c r="E244" s="288" t="inlineStr">
        <is>
          <t>-</t>
        </is>
      </c>
      <c r="F244" s="292" t="n">
        <v>481900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9">
        <f>$F244*$H244</f>
        <v/>
      </c>
      <c r="M244" s="288" t="n"/>
      <c r="N244" s="288" t="n"/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" customHeight="1">
      <c r="B245" s="285" t="n">
        <v>45401</v>
      </c>
      <c r="C245" s="286" t="n">
        <v>145</v>
      </c>
      <c r="D245" s="287" t="inlineStr">
        <is>
          <t>Meals 4 days 1 Persons @ 150K IDR/day</t>
        </is>
      </c>
      <c r="E245" s="288" t="inlineStr">
        <is>
          <t>-</t>
        </is>
      </c>
      <c r="F245" s="292" t="n">
        <v>600000</v>
      </c>
      <c r="G245" s="286" t="inlineStr">
        <is>
          <t>IDR</t>
        </is>
      </c>
      <c r="H245" s="290" t="n">
        <v>1</v>
      </c>
      <c r="I245" s="288" t="n"/>
      <c r="J245" s="288" t="n"/>
      <c r="K245" s="288" t="n"/>
      <c r="L245" s="289">
        <f>$F245*$H245</f>
        <v/>
      </c>
      <c r="M245" s="288" t="n"/>
      <c r="N245" s="288" t="n"/>
      <c r="O245" s="288" t="n"/>
      <c r="P245" s="288" t="n"/>
      <c r="Q245" s="288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.5" customHeight="1">
      <c r="B246" s="299" t="n"/>
      <c r="C246" s="299" t="n"/>
      <c r="D246" s="282" t="inlineStr">
        <is>
          <t>Transportation</t>
        </is>
      </c>
      <c r="E246" s="299" t="n"/>
      <c r="F246" s="300" t="n"/>
      <c r="G246" s="299" t="n"/>
      <c r="H246" s="299" t="n"/>
      <c r="I246" s="299" t="n"/>
      <c r="J246" s="299" t="n"/>
      <c r="K246" s="299" t="n"/>
      <c r="L246" s="299" t="n"/>
      <c r="M246" s="299" t="n"/>
      <c r="N246" s="299" t="n"/>
      <c r="O246" s="299" t="n"/>
      <c r="P246" s="299" t="n"/>
      <c r="Q246" s="299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" customHeight="1">
      <c r="B247" s="285" t="n">
        <v>45404</v>
      </c>
      <c r="C247" s="286" t="n">
        <v>146</v>
      </c>
      <c r="D247" s="287" t="inlineStr">
        <is>
          <t>Taxi Bintaro-Wisma Mas</t>
        </is>
      </c>
      <c r="E247" s="288" t="inlineStr">
        <is>
          <t>-</t>
        </is>
      </c>
      <c r="F247" s="292" t="n">
        <v>78500</v>
      </c>
      <c r="G247" s="286" t="inlineStr">
        <is>
          <t>IDR</t>
        </is>
      </c>
      <c r="H247" s="290" t="n">
        <v>1</v>
      </c>
      <c r="I247" s="288" t="n"/>
      <c r="J247" s="288" t="n"/>
      <c r="K247" s="288" t="n"/>
      <c r="L247" s="289">
        <f>$F247*$H247</f>
        <v/>
      </c>
      <c r="M247" s="288" t="n"/>
      <c r="N247" s="288" t="n"/>
      <c r="O247" s="288" t="n"/>
      <c r="P247" s="288" t="n"/>
      <c r="Q247" s="288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.5" customHeight="1">
      <c r="B248" s="296" t="inlineStr">
        <is>
          <t>Expense#12</t>
        </is>
      </c>
      <c r="C248" s="297" t="inlineStr">
        <is>
          <t>:</t>
        </is>
      </c>
      <c r="D248" s="296" t="inlineStr">
        <is>
          <t>BOSIET Training -_TMA</t>
        </is>
      </c>
      <c r="E248" s="297" t="n"/>
      <c r="F248" s="297" t="n"/>
      <c r="G248" s="297" t="n"/>
      <c r="H248" s="297" t="n"/>
      <c r="I248" s="297" t="n"/>
      <c r="J248" s="297" t="n"/>
      <c r="K248" s="297" t="n"/>
      <c r="L248" s="297" t="n"/>
      <c r="M248" s="297" t="n"/>
      <c r="N248" s="297" t="n"/>
      <c r="O248" s="297" t="n"/>
      <c r="P248" s="297" t="n"/>
      <c r="Q248" s="297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9" t="n"/>
      <c r="C249" s="299" t="n"/>
      <c r="D249" s="282" t="inlineStr">
        <is>
          <t>Biaya Operasi</t>
        </is>
      </c>
      <c r="E249" s="299" t="n"/>
      <c r="F249" s="300" t="n"/>
      <c r="G249" s="299" t="n"/>
      <c r="H249" s="299" t="n"/>
      <c r="I249" s="299" t="n"/>
      <c r="J249" s="299" t="n"/>
      <c r="K249" s="299" t="n"/>
      <c r="L249" s="299" t="n"/>
      <c r="M249" s="299" t="n"/>
      <c r="N249" s="299" t="n"/>
      <c r="O249" s="299" t="n"/>
      <c r="P249" s="299" t="n"/>
      <c r="Q249" s="299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" customHeight="1">
      <c r="B250" s="285" t="n">
        <v>45429</v>
      </c>
      <c r="C250" s="286" t="n">
        <v>147</v>
      </c>
      <c r="D250" s="287" t="inlineStr">
        <is>
          <t>BOSIET Training</t>
        </is>
      </c>
      <c r="E250" s="288" t="inlineStr">
        <is>
          <t>-</t>
        </is>
      </c>
      <c r="F250" s="289" t="n">
        <v>9693878</v>
      </c>
      <c r="G250" s="286" t="inlineStr">
        <is>
          <t>IDR</t>
        </is>
      </c>
      <c r="H250" s="290" t="n">
        <v>1</v>
      </c>
      <c r="I250" s="288" t="n"/>
      <c r="J250" s="288" t="n"/>
      <c r="K250" s="288" t="n"/>
      <c r="L250" s="289">
        <f>$F250*$H250</f>
        <v/>
      </c>
      <c r="M250" s="288" t="n"/>
      <c r="N250" s="288" t="n"/>
      <c r="O250" s="288" t="n"/>
      <c r="P250" s="288" t="n"/>
      <c r="Q250" s="288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.5" customHeight="1">
      <c r="B251" s="296" t="inlineStr">
        <is>
          <t>Expense#13</t>
        </is>
      </c>
      <c r="C251" s="297" t="inlineStr">
        <is>
          <t>:</t>
        </is>
      </c>
      <c r="D251" s="296" t="inlineStr">
        <is>
          <t>Non Trip MCU Dwiyanto</t>
        </is>
      </c>
      <c r="E251" s="297" t="n"/>
      <c r="F251" s="298" t="n"/>
      <c r="G251" s="297" t="n"/>
      <c r="H251" s="297" t="n"/>
      <c r="I251" s="297" t="n"/>
      <c r="J251" s="297" t="n"/>
      <c r="K251" s="297" t="n"/>
      <c r="L251" s="297" t="n"/>
      <c r="M251" s="297" t="n"/>
      <c r="N251" s="297" t="n"/>
      <c r="O251" s="297" t="n"/>
      <c r="P251" s="297" t="n"/>
      <c r="Q251" s="297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Pembelian Barang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45433</v>
      </c>
      <c r="C253" s="286" t="n">
        <v>148</v>
      </c>
      <c r="D253" s="287" t="inlineStr">
        <is>
          <t>Safety shoes</t>
        </is>
      </c>
      <c r="E253" s="288" t="inlineStr">
        <is>
          <t>-</t>
        </is>
      </c>
      <c r="F253" s="289" t="n">
        <v>2402000</v>
      </c>
      <c r="G253" s="286" t="inlineStr">
        <is>
          <t>IDR</t>
        </is>
      </c>
      <c r="H253" s="290" t="n">
        <v>1</v>
      </c>
      <c r="I253" s="288" t="n"/>
      <c r="J253" s="288" t="n"/>
      <c r="K253" s="288" t="n"/>
      <c r="L253" s="288" t="n"/>
      <c r="M253" s="288" t="n"/>
      <c r="N253" s="289">
        <f>$F253*$H253</f>
        <v/>
      </c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Kesehatan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45432</v>
      </c>
      <c r="C255" s="286" t="n">
        <v>149</v>
      </c>
      <c r="D255" s="287" t="inlineStr">
        <is>
          <t>MCU Paket Umum Basic 1</t>
        </is>
      </c>
      <c r="E255" s="288" t="inlineStr">
        <is>
          <t>-</t>
        </is>
      </c>
      <c r="F255" s="289" t="n">
        <v>5322000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8" t="n"/>
      <c r="M255" s="288" t="n"/>
      <c r="N255" s="288" t="n"/>
      <c r="O255" s="288" t="n"/>
      <c r="P255" s="289">
        <f>$F255*$H255</f>
        <v/>
      </c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.5" customHeight="1">
      <c r="B256" s="296" t="inlineStr">
        <is>
          <t>Expense#14</t>
        </is>
      </c>
      <c r="C256" s="297" t="inlineStr">
        <is>
          <t>:</t>
        </is>
      </c>
      <c r="D256" s="296" t="inlineStr">
        <is>
          <t>Non project _ MCU - Ilham BR</t>
        </is>
      </c>
      <c r="E256" s="297" t="n"/>
      <c r="F256" s="298" t="n"/>
      <c r="G256" s="297" t="n"/>
      <c r="H256" s="297" t="n"/>
      <c r="I256" s="297" t="n"/>
      <c r="J256" s="297" t="n"/>
      <c r="K256" s="297" t="n"/>
      <c r="L256" s="297" t="n"/>
      <c r="M256" s="297" t="n"/>
      <c r="N256" s="297" t="n"/>
      <c r="O256" s="297" t="n"/>
      <c r="P256" s="297" t="n"/>
      <c r="Q256" s="297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Kesehatan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45432</v>
      </c>
      <c r="C258" s="286" t="n">
        <v>150</v>
      </c>
      <c r="D258" s="287" t="inlineStr">
        <is>
          <t>Biaya MCU</t>
        </is>
      </c>
      <c r="E258" s="288" t="inlineStr">
        <is>
          <t>-</t>
        </is>
      </c>
      <c r="F258" s="292" t="n">
        <v>5407000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8" t="n"/>
      <c r="M258" s="288" t="n"/>
      <c r="N258" s="288" t="n"/>
      <c r="O258" s="288" t="n"/>
      <c r="P258" s="289">
        <f>$F258*$H258</f>
        <v/>
      </c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6" t="inlineStr">
        <is>
          <t>Expense#15</t>
        </is>
      </c>
      <c r="C259" s="297" t="inlineStr">
        <is>
          <t>:</t>
        </is>
      </c>
      <c r="D259" s="296" t="inlineStr">
        <is>
          <t>ALFA Job - Jrk-193 _ OJT_ Ilham BR</t>
        </is>
      </c>
      <c r="E259" s="297" t="n"/>
      <c r="F259" s="298" t="n"/>
      <c r="G259" s="297" t="n"/>
      <c r="H259" s="297" t="n"/>
      <c r="I259" s="297" t="n"/>
      <c r="J259" s="297" t="n"/>
      <c r="K259" s="297" t="n"/>
      <c r="L259" s="297" t="n"/>
      <c r="M259" s="297" t="n"/>
      <c r="N259" s="297" t="n"/>
      <c r="O259" s="297" t="n"/>
      <c r="P259" s="297" t="n"/>
      <c r="Q259" s="297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.5" customHeight="1">
      <c r="B260" s="299" t="n"/>
      <c r="C260" s="299" t="n"/>
      <c r="D260" s="282" t="inlineStr">
        <is>
          <t>Allowance</t>
        </is>
      </c>
      <c r="E260" s="299" t="n"/>
      <c r="F260" s="300" t="n"/>
      <c r="G260" s="299" t="n"/>
      <c r="H260" s="299" t="n"/>
      <c r="I260" s="299" t="n"/>
      <c r="J260" s="299" t="n"/>
      <c r="K260" s="299" t="n"/>
      <c r="L260" s="299" t="n"/>
      <c r="M260" s="299" t="n"/>
      <c r="N260" s="299" t="n"/>
      <c r="O260" s="299" t="n"/>
      <c r="P260" s="299" t="n"/>
      <c r="Q260" s="299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" customHeight="1">
      <c r="B261" s="285" t="n">
        <v>45437</v>
      </c>
      <c r="C261" s="286" t="n">
        <v>151</v>
      </c>
      <c r="D261" s="287" t="inlineStr">
        <is>
          <t>Tunjangan Lapangan JRK-193 (25 - 30 May 2024)</t>
        </is>
      </c>
      <c r="E261" s="288" t="inlineStr">
        <is>
          <t>-</t>
        </is>
      </c>
      <c r="F261" s="292" t="n">
        <v>150</v>
      </c>
      <c r="G261" s="286" t="inlineStr">
        <is>
          <t>$</t>
        </is>
      </c>
      <c r="H261" s="290" t="n">
        <v>16200</v>
      </c>
      <c r="I261" s="288" t="n"/>
      <c r="J261" s="288" t="n"/>
      <c r="K261" s="288" t="n"/>
      <c r="L261" s="289">
        <f>$F261*$H261</f>
        <v/>
      </c>
      <c r="M261" s="288" t="n"/>
      <c r="N261" s="288" t="n"/>
      <c r="O261" s="288" t="n"/>
      <c r="P261" s="288" t="n"/>
      <c r="Q261" s="288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.5" customHeight="1">
      <c r="B262" s="299" t="n"/>
      <c r="C262" s="299" t="n"/>
      <c r="D262" s="282" t="inlineStr">
        <is>
          <t>Biaya Operasi</t>
        </is>
      </c>
      <c r="E262" s="299" t="n"/>
      <c r="F262" s="300" t="n"/>
      <c r="G262" s="299" t="n"/>
      <c r="H262" s="299" t="n"/>
      <c r="I262" s="299" t="n"/>
      <c r="J262" s="299" t="n"/>
      <c r="K262" s="299" t="n"/>
      <c r="L262" s="299" t="n"/>
      <c r="M262" s="299" t="n"/>
      <c r="N262" s="299" t="n"/>
      <c r="O262" s="299" t="n"/>
      <c r="P262" s="299" t="n"/>
      <c r="Q262" s="299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" customHeight="1">
      <c r="B263" s="285" t="n">
        <v>45433</v>
      </c>
      <c r="C263" s="286" t="n">
        <v>152</v>
      </c>
      <c r="D263" s="287" t="inlineStr">
        <is>
          <t>Tiket Pesawat Citilink (CGK-PLM 25 Mei 2024)</t>
        </is>
      </c>
      <c r="E263" s="288" t="inlineStr">
        <is>
          <t>-</t>
        </is>
      </c>
      <c r="F263" s="292" t="n">
        <v>773238</v>
      </c>
      <c r="G263" s="286" t="inlineStr">
        <is>
          <t>IDR</t>
        </is>
      </c>
      <c r="H263" s="290" t="n">
        <v>1</v>
      </c>
      <c r="I263" s="288" t="n"/>
      <c r="J263" s="288" t="n"/>
      <c r="K263" s="288" t="n"/>
      <c r="L263" s="289">
        <f>$F263*$H263</f>
        <v/>
      </c>
      <c r="M263" s="288" t="n"/>
      <c r="N263" s="288" t="n"/>
      <c r="O263" s="288" t="n"/>
      <c r="P263" s="288" t="n"/>
      <c r="Q263" s="288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" customHeight="1">
      <c r="B264" s="285" t="n">
        <v>45436</v>
      </c>
      <c r="C264" s="286" t="n">
        <v>153</v>
      </c>
      <c r="D264" s="287" t="inlineStr">
        <is>
          <t>Reschedule Tiket Pesawat dari Citilink ke Super Air Jet (CGK-PLg)</t>
        </is>
      </c>
      <c r="E264" s="288" t="inlineStr">
        <is>
          <t>-</t>
        </is>
      </c>
      <c r="F264" s="289" t="n">
        <v>296853</v>
      </c>
      <c r="G264" s="286" t="inlineStr">
        <is>
          <t>IDR</t>
        </is>
      </c>
      <c r="H264" s="290" t="n">
        <v>1</v>
      </c>
      <c r="I264" s="288" t="n"/>
      <c r="J264" s="288" t="n"/>
      <c r="K264" s="288" t="n"/>
      <c r="L264" s="289">
        <f>$F264*$H264</f>
        <v/>
      </c>
      <c r="M264" s="288" t="n"/>
      <c r="N264" s="288" t="n"/>
      <c r="O264" s="288" t="n"/>
      <c r="P264" s="288" t="n"/>
      <c r="Q264" s="288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45436</v>
      </c>
      <c r="C265" s="286" t="n">
        <v>154</v>
      </c>
      <c r="D265" s="287" t="inlineStr">
        <is>
          <t>Taxi + Tol To Airport CGK</t>
        </is>
      </c>
      <c r="E265" s="288" t="inlineStr">
        <is>
          <t>-</t>
        </is>
      </c>
      <c r="F265" s="292" t="n">
        <v>250000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" customHeight="1">
      <c r="B266" s="285" t="n">
        <v>45437</v>
      </c>
      <c r="C266" s="286" t="n">
        <v>155</v>
      </c>
      <c r="D266" s="287" t="inlineStr">
        <is>
          <t>Uang makan (25 - 30 May 2024)</t>
        </is>
      </c>
      <c r="E266" s="288" t="inlineStr">
        <is>
          <t>-</t>
        </is>
      </c>
      <c r="F266" s="292" t="n">
        <v>900000</v>
      </c>
      <c r="G266" s="286" t="inlineStr">
        <is>
          <t>IDR</t>
        </is>
      </c>
      <c r="H266" s="290" t="n">
        <v>1</v>
      </c>
      <c r="I266" s="288" t="n"/>
      <c r="J266" s="288" t="n"/>
      <c r="K266" s="288" t="n"/>
      <c r="L266" s="289">
        <f>$F266*$H266</f>
        <v/>
      </c>
      <c r="M266" s="288" t="n"/>
      <c r="N266" s="288" t="n"/>
      <c r="O266" s="288" t="n"/>
      <c r="P266" s="288" t="n"/>
      <c r="Q266" s="288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6" t="inlineStr">
        <is>
          <t>Expense#16</t>
        </is>
      </c>
      <c r="C267" s="297" t="inlineStr">
        <is>
          <t>:</t>
        </is>
      </c>
      <c r="D267" s="296" t="inlineStr">
        <is>
          <t>ALFA job - JRK-193 OJT - Dwiyanto S</t>
        </is>
      </c>
      <c r="E267" s="297" t="n"/>
      <c r="F267" s="298" t="n"/>
      <c r="G267" s="297" t="n"/>
      <c r="H267" s="297" t="n"/>
      <c r="I267" s="297" t="n"/>
      <c r="J267" s="297" t="n"/>
      <c r="K267" s="297" t="n"/>
      <c r="L267" s="297" t="n"/>
      <c r="M267" s="297" t="n"/>
      <c r="N267" s="297" t="n"/>
      <c r="O267" s="297" t="n"/>
      <c r="P267" s="297" t="n"/>
      <c r="Q267" s="297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.5" customHeight="1">
      <c r="B268" s="299" t="n"/>
      <c r="C268" s="299" t="n"/>
      <c r="D268" s="282" t="inlineStr">
        <is>
          <t>Laundry</t>
        </is>
      </c>
      <c r="E268" s="299" t="n"/>
      <c r="F268" s="300" t="n"/>
      <c r="G268" s="299" t="n"/>
      <c r="H268" s="299" t="n"/>
      <c r="I268" s="299" t="n"/>
      <c r="J268" s="299" t="n"/>
      <c r="K268" s="299" t="n"/>
      <c r="L268" s="299" t="n"/>
      <c r="M268" s="299" t="n"/>
      <c r="N268" s="299" t="n"/>
      <c r="O268" s="299" t="n"/>
      <c r="P268" s="299" t="n"/>
      <c r="Q268" s="299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" customHeight="1">
      <c r="B269" s="285" t="n">
        <v>45437</v>
      </c>
      <c r="C269" s="286" t="n">
        <v>156</v>
      </c>
      <c r="D269" s="287" t="inlineStr">
        <is>
          <t>Laundry (25 - 30 May 2024)</t>
        </is>
      </c>
      <c r="E269" s="288" t="inlineStr">
        <is>
          <t>-</t>
        </is>
      </c>
      <c r="F269" s="292" t="n">
        <v>300000</v>
      </c>
      <c r="G269" s="286" t="inlineStr">
        <is>
          <t>IDR</t>
        </is>
      </c>
      <c r="H269" s="290" t="n">
        <v>1</v>
      </c>
      <c r="I269" s="288" t="n"/>
      <c r="J269" s="288" t="n"/>
      <c r="K269" s="288" t="n"/>
      <c r="L269" s="289">
        <f>$F269*$H269</f>
        <v/>
      </c>
      <c r="M269" s="288" t="n"/>
      <c r="N269" s="288" t="n"/>
      <c r="O269" s="288" t="n"/>
      <c r="P269" s="288" t="n"/>
      <c r="Q269" s="288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45437</v>
      </c>
      <c r="C270" s="286" t="n">
        <v>157</v>
      </c>
      <c r="D270" s="287" t="inlineStr">
        <is>
          <t>Tunjangan Lapangan JRK-193 (25 - 30 May 2024). 1US$=16.200</t>
        </is>
      </c>
      <c r="E270" s="288" t="inlineStr">
        <is>
          <t>-</t>
        </is>
      </c>
      <c r="F270" s="292" t="n">
        <v>2430000</v>
      </c>
      <c r="G270" s="286" t="inlineStr">
        <is>
          <t>IDR</t>
        </is>
      </c>
      <c r="H270" s="290" t="n">
        <v>16200</v>
      </c>
      <c r="I270" s="288" t="n"/>
      <c r="J270" s="288" t="n"/>
      <c r="K270" s="288" t="n"/>
      <c r="L270" s="289">
        <f>$F270*$H270</f>
        <v/>
      </c>
      <c r="M270" s="288" t="n"/>
      <c r="N270" s="288" t="n"/>
      <c r="O270" s="288" t="n"/>
      <c r="P270" s="288" t="n"/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9" t="n"/>
      <c r="C271" s="299" t="n"/>
      <c r="D271" s="282" t="inlineStr">
        <is>
          <t>Logistic</t>
        </is>
      </c>
      <c r="E271" s="299" t="n"/>
      <c r="F271" s="300" t="n"/>
      <c r="G271" s="299" t="n"/>
      <c r="H271" s="299" t="n"/>
      <c r="I271" s="299" t="n"/>
      <c r="J271" s="299" t="n"/>
      <c r="K271" s="299" t="n"/>
      <c r="L271" s="299" t="n"/>
      <c r="M271" s="299" t="n"/>
      <c r="N271" s="299" t="n"/>
      <c r="O271" s="299" t="n"/>
      <c r="P271" s="299" t="n"/>
      <c r="Q271" s="299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" customHeight="1">
      <c r="B272" s="285" t="n">
        <v>45437</v>
      </c>
      <c r="C272" s="286" t="n">
        <v>158</v>
      </c>
      <c r="D272" s="287" t="inlineStr">
        <is>
          <t>Uang Makan (25 - 30 May 2024)</t>
        </is>
      </c>
      <c r="E272" s="288" t="inlineStr">
        <is>
          <t>-</t>
        </is>
      </c>
      <c r="F272" s="292" t="n">
        <v>900000</v>
      </c>
      <c r="G272" s="286" t="inlineStr">
        <is>
          <t>IDR</t>
        </is>
      </c>
      <c r="H272" s="290" t="n">
        <v>1</v>
      </c>
      <c r="I272" s="288" t="n"/>
      <c r="J272" s="288" t="n"/>
      <c r="K272" s="288" t="n"/>
      <c r="L272" s="289">
        <f>$F272*$H272</f>
        <v/>
      </c>
      <c r="M272" s="288" t="n"/>
      <c r="N272" s="288" t="n"/>
      <c r="O272" s="288" t="n"/>
      <c r="P272" s="288" t="n"/>
      <c r="Q272" s="288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45437</v>
      </c>
      <c r="C273" s="286" t="n">
        <v>159</v>
      </c>
      <c r="D273" s="287" t="inlineStr">
        <is>
          <t>Wrapping Alfa Box</t>
        </is>
      </c>
      <c r="E273" s="288" t="inlineStr">
        <is>
          <t>-</t>
        </is>
      </c>
      <c r="F273" s="292" t="n">
        <v>80000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9">
        <f>$F273*$H273</f>
        <v/>
      </c>
      <c r="O273" s="288" t="n"/>
      <c r="P273" s="288" t="n"/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" customHeight="1">
      <c r="B274" s="285" t="n">
        <v>45439</v>
      </c>
      <c r="C274" s="286" t="n">
        <v>160</v>
      </c>
      <c r="D274" s="287" t="inlineStr">
        <is>
          <t>Hand gloves</t>
        </is>
      </c>
      <c r="E274" s="288" t="inlineStr">
        <is>
          <t>-</t>
        </is>
      </c>
      <c r="F274" s="292" t="n">
        <v>21900</v>
      </c>
      <c r="G274" s="286" t="inlineStr">
        <is>
          <t>IDR</t>
        </is>
      </c>
      <c r="H274" s="290" t="n">
        <v>1</v>
      </c>
      <c r="I274" s="288" t="n"/>
      <c r="J274" s="288" t="n"/>
      <c r="K274" s="288" t="n"/>
      <c r="L274" s="288" t="n"/>
      <c r="M274" s="288" t="n"/>
      <c r="N274" s="289">
        <f>$F274*$H274</f>
        <v/>
      </c>
      <c r="O274" s="288" t="n"/>
      <c r="P274" s="288" t="n"/>
      <c r="Q274" s="288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Transportation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161</v>
      </c>
      <c r="D276" s="287" t="inlineStr">
        <is>
          <t>Taxi + Tol to Airport Jakarta</t>
        </is>
      </c>
      <c r="E276" s="288" t="inlineStr">
        <is>
          <t>-</t>
        </is>
      </c>
      <c r="F276" s="292" t="n">
        <v>232520</v>
      </c>
      <c r="G276" s="286" t="inlineStr">
        <is>
          <t>IDR</t>
        </is>
      </c>
      <c r="H276" s="290" t="n">
        <v>1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" customHeight="1">
      <c r="B277" s="285" t="n">
        <v>45437</v>
      </c>
      <c r="C277" s="286" t="n">
        <v>162</v>
      </c>
      <c r="D277" s="287" t="inlineStr">
        <is>
          <t>fuel + tol PLM-Prabu</t>
        </is>
      </c>
      <c r="E277" s="288" t="inlineStr">
        <is>
          <t>-</t>
        </is>
      </c>
      <c r="F277" s="292" t="n">
        <v>312000</v>
      </c>
      <c r="G277" s="286" t="inlineStr">
        <is>
          <t>IDR</t>
        </is>
      </c>
      <c r="H277" s="290" t="n">
        <v>1</v>
      </c>
      <c r="I277" s="288" t="n"/>
      <c r="J277" s="288" t="n"/>
      <c r="K277" s="288" t="n"/>
      <c r="L277" s="289">
        <f>$F277*$H277</f>
        <v/>
      </c>
      <c r="M277" s="288" t="n"/>
      <c r="N277" s="288" t="n"/>
      <c r="O277" s="288" t="n"/>
      <c r="P277" s="288" t="n"/>
      <c r="Q277" s="288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.5" customHeight="1">
      <c r="B278" s="299" t="n"/>
      <c r="C278" s="299" t="n"/>
      <c r="D278" s="282" t="inlineStr">
        <is>
          <t>Hand Tools</t>
        </is>
      </c>
      <c r="E278" s="299" t="n"/>
      <c r="F278" s="300" t="n"/>
      <c r="G278" s="299" t="n"/>
      <c r="H278" s="299" t="n"/>
      <c r="I278" s="299" t="n"/>
      <c r="J278" s="299" t="n"/>
      <c r="K278" s="299" t="n"/>
      <c r="L278" s="299" t="n"/>
      <c r="M278" s="299" t="n"/>
      <c r="N278" s="299" t="n"/>
      <c r="O278" s="299" t="n"/>
      <c r="P278" s="299" t="n"/>
      <c r="Q278" s="299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" customHeight="1">
      <c r="B279" s="285" t="n">
        <v>45443</v>
      </c>
      <c r="C279" s="286" t="n">
        <v>163</v>
      </c>
      <c r="D279" s="287" t="inlineStr">
        <is>
          <t>Allen key, pliers, screwdrivers</t>
        </is>
      </c>
      <c r="E279" s="288" t="inlineStr">
        <is>
          <t>-</t>
        </is>
      </c>
      <c r="F279" s="292" t="n">
        <v>268000</v>
      </c>
      <c r="G279" s="286" t="inlineStr">
        <is>
          <t>IDR</t>
        </is>
      </c>
      <c r="H279" s="290" t="n">
        <v>1</v>
      </c>
      <c r="I279" s="288" t="n"/>
      <c r="J279" s="288" t="n"/>
      <c r="K279" s="288" t="n"/>
      <c r="L279" s="288" t="n"/>
      <c r="M279" s="288" t="n"/>
      <c r="N279" s="289">
        <f>$F279*$H279</f>
        <v/>
      </c>
      <c r="O279" s="288" t="n"/>
      <c r="P279" s="288" t="n"/>
      <c r="Q279" s="288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.5" customHeight="1">
      <c r="B280" s="296" t="inlineStr">
        <is>
          <t>Expense#17</t>
        </is>
      </c>
      <c r="C280" s="297" t="inlineStr">
        <is>
          <t>:</t>
        </is>
      </c>
      <c r="D280" s="296" t="inlineStr">
        <is>
          <t>ALFA JRK-193 - project SI_ TMA</t>
        </is>
      </c>
      <c r="E280" s="297" t="n"/>
      <c r="F280" s="297" t="n"/>
      <c r="G280" s="297" t="n"/>
      <c r="H280" s="297" t="n"/>
      <c r="I280" s="297" t="n"/>
      <c r="J280" s="297" t="n"/>
      <c r="K280" s="297" t="n"/>
      <c r="L280" s="297" t="n"/>
      <c r="M280" s="297" t="n"/>
      <c r="N280" s="297" t="n"/>
      <c r="O280" s="297" t="n"/>
      <c r="P280" s="297" t="n"/>
      <c r="Q280" s="297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.5" customHeight="1">
      <c r="B281" s="299" t="n"/>
      <c r="C281" s="299" t="n"/>
      <c r="D281" s="282" t="inlineStr">
        <is>
          <t>Accommodation , Laundry</t>
        </is>
      </c>
      <c r="E281" s="299" t="n"/>
      <c r="F281" s="303" t="n"/>
      <c r="G281" s="299" t="n"/>
      <c r="H281" s="299" t="n"/>
      <c r="I281" s="299" t="n"/>
      <c r="J281" s="299" t="n"/>
      <c r="K281" s="299" t="n"/>
      <c r="L281" s="299" t="n"/>
      <c r="M281" s="299" t="n"/>
      <c r="N281" s="299" t="n"/>
      <c r="O281" s="299" t="n"/>
      <c r="P281" s="299" t="n"/>
      <c r="Q281" s="299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45437</v>
      </c>
      <c r="C282" s="286" t="n">
        <v>164</v>
      </c>
      <c r="D282" s="287" t="inlineStr">
        <is>
          <t>Hotel 24 May - 30 May (6 days)</t>
        </is>
      </c>
      <c r="E282" s="288" t="inlineStr">
        <is>
          <t>-</t>
        </is>
      </c>
      <c r="F282" s="301" t="n">
        <v>1650000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" customHeight="1">
      <c r="B283" s="285" t="n">
        <v>45437</v>
      </c>
      <c r="C283" s="286" t="n">
        <v>165</v>
      </c>
      <c r="D283" s="287" t="inlineStr">
        <is>
          <t>Laundry 6 days 1 Persons @ 50K IDR/day</t>
        </is>
      </c>
      <c r="E283" s="288" t="inlineStr">
        <is>
          <t>-</t>
        </is>
      </c>
      <c r="F283" s="301" t="n">
        <v>300000</v>
      </c>
      <c r="G283" s="286" t="inlineStr">
        <is>
          <t>IDR</t>
        </is>
      </c>
      <c r="H283" s="290" t="n">
        <v>1</v>
      </c>
      <c r="I283" s="288" t="n"/>
      <c r="J283" s="288" t="n"/>
      <c r="K283" s="288" t="n"/>
      <c r="L283" s="289">
        <f>$F283*$H283</f>
        <v/>
      </c>
      <c r="M283" s="288" t="n"/>
      <c r="N283" s="288" t="n"/>
      <c r="O283" s="288" t="n"/>
      <c r="P283" s="288" t="n"/>
      <c r="Q283" s="288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3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166</v>
      </c>
      <c r="D285" s="287" t="inlineStr">
        <is>
          <t>Tunjangan Lapangan for 6 days</t>
        </is>
      </c>
      <c r="E285" s="288" t="inlineStr">
        <is>
          <t>-</t>
        </is>
      </c>
      <c r="F285" s="301" t="n">
        <v>600</v>
      </c>
      <c r="G285" s="286" t="inlineStr">
        <is>
          <t>USD</t>
        </is>
      </c>
      <c r="H285" s="290" t="n">
        <v>16196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Meal</t>
        </is>
      </c>
      <c r="E286" s="299" t="n"/>
      <c r="F286" s="303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45437</v>
      </c>
      <c r="C287" s="286" t="n">
        <v>167</v>
      </c>
      <c r="D287" s="287" t="inlineStr">
        <is>
          <t>Meal Crew's Operational</t>
        </is>
      </c>
      <c r="E287" s="288" t="inlineStr">
        <is>
          <t>-</t>
        </is>
      </c>
      <c r="F287" s="301" t="n">
        <v>709300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9">
        <f>$F287*$H287</f>
        <v/>
      </c>
      <c r="M287" s="288" t="n"/>
      <c r="N287" s="288" t="n"/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" customHeight="1">
      <c r="B288" s="285" t="n">
        <v>45437</v>
      </c>
      <c r="C288" s="286" t="n">
        <v>168</v>
      </c>
      <c r="D288" s="287" t="inlineStr">
        <is>
          <t>Meals 7 days 1 Persons @ 150K IDR/day</t>
        </is>
      </c>
      <c r="E288" s="288" t="inlineStr">
        <is>
          <t>-</t>
        </is>
      </c>
      <c r="F288" s="301" t="n">
        <v>900000</v>
      </c>
      <c r="G288" s="286" t="inlineStr">
        <is>
          <t>IDR</t>
        </is>
      </c>
      <c r="H288" s="290" t="n">
        <v>1</v>
      </c>
      <c r="I288" s="288" t="n"/>
      <c r="J288" s="288" t="n"/>
      <c r="K288" s="288" t="n"/>
      <c r="L288" s="289">
        <f>$F288*$H288</f>
        <v/>
      </c>
      <c r="M288" s="288" t="n"/>
      <c r="N288" s="288" t="n"/>
      <c r="O288" s="288" t="n"/>
      <c r="P288" s="288" t="n"/>
      <c r="Q288" s="288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.5" customHeight="1">
      <c r="B289" s="299" t="n"/>
      <c r="C289" s="299" t="n"/>
      <c r="D289" s="282" t="inlineStr">
        <is>
          <t>Transportation</t>
        </is>
      </c>
      <c r="E289" s="299" t="n"/>
      <c r="F289" s="303" t="n"/>
      <c r="G289" s="299" t="n"/>
      <c r="H289" s="299" t="n"/>
      <c r="I289" s="299" t="n"/>
      <c r="J289" s="299" t="n"/>
      <c r="K289" s="299" t="n"/>
      <c r="L289" s="299" t="n"/>
      <c r="M289" s="299" t="n"/>
      <c r="N289" s="299" t="n"/>
      <c r="O289" s="299" t="n"/>
      <c r="P289" s="299" t="n"/>
      <c r="Q289" s="299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" customHeight="1">
      <c r="B290" s="285" t="n">
        <v>45437</v>
      </c>
      <c r="C290" s="286" t="n">
        <v>169</v>
      </c>
      <c r="D290" s="287" t="inlineStr">
        <is>
          <t>Airplane Ticket CGK-PLM (2 Person)</t>
        </is>
      </c>
      <c r="E290" s="288" t="inlineStr">
        <is>
          <t>-</t>
        </is>
      </c>
      <c r="F290" s="301" t="n">
        <v>1418800</v>
      </c>
      <c r="G290" s="286" t="inlineStr">
        <is>
          <t>IDR</t>
        </is>
      </c>
      <c r="H290" s="290" t="n">
        <v>1</v>
      </c>
      <c r="I290" s="288" t="n"/>
      <c r="J290" s="288" t="n"/>
      <c r="K290" s="288" t="n"/>
      <c r="L290" s="289">
        <f>$F290*$H290</f>
        <v/>
      </c>
      <c r="M290" s="288" t="n"/>
      <c r="N290" s="288" t="n"/>
      <c r="O290" s="288" t="n"/>
      <c r="P290" s="288" t="n"/>
      <c r="Q290" s="288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170</v>
      </c>
      <c r="D291" s="287" t="inlineStr">
        <is>
          <t>Taxi Pondok Cabe-CGK</t>
        </is>
      </c>
      <c r="E291" s="288" t="inlineStr">
        <is>
          <t>-</t>
        </is>
      </c>
      <c r="F291" s="301" t="n">
        <v>166000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9">
        <f>$F291*$H291</f>
        <v/>
      </c>
      <c r="M291" s="288" t="n"/>
      <c r="N291" s="288" t="n"/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" customHeight="1">
      <c r="B292" s="285" t="n">
        <v>45437</v>
      </c>
      <c r="C292" s="286" t="n">
        <v>171</v>
      </c>
      <c r="D292" s="287" t="inlineStr">
        <is>
          <t>Toll (Pondok Cabe-CGK)</t>
        </is>
      </c>
      <c r="E292" s="288" t="inlineStr">
        <is>
          <t>-</t>
        </is>
      </c>
      <c r="F292" s="301" t="n">
        <v>60000</v>
      </c>
      <c r="G292" s="286" t="inlineStr">
        <is>
          <t>IDR</t>
        </is>
      </c>
      <c r="H292" s="290" t="n">
        <v>1</v>
      </c>
      <c r="I292" s="288" t="n"/>
      <c r="J292" s="288" t="n"/>
      <c r="K292" s="288" t="n"/>
      <c r="L292" s="289">
        <f>$F292*$H292</f>
        <v/>
      </c>
      <c r="M292" s="288" t="n"/>
      <c r="N292" s="288" t="n"/>
      <c r="O292" s="288" t="n"/>
      <c r="P292" s="288" t="n"/>
      <c r="Q292" s="288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172</v>
      </c>
      <c r="D293" s="287" t="inlineStr">
        <is>
          <t>Rent Car 6 Days</t>
        </is>
      </c>
      <c r="E293" s="288" t="inlineStr">
        <is>
          <t>-</t>
        </is>
      </c>
      <c r="F293" s="289" t="n">
        <v>2900000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" customHeight="1">
      <c r="B294" s="285" t="n">
        <v>45437</v>
      </c>
      <c r="C294" s="286" t="n">
        <v>173</v>
      </c>
      <c r="D294" s="287" t="inlineStr">
        <is>
          <t>Gasoline</t>
        </is>
      </c>
      <c r="E294" s="288" t="inlineStr">
        <is>
          <t>-</t>
        </is>
      </c>
      <c r="F294" s="301" t="n">
        <v>400000</v>
      </c>
      <c r="G294" s="286" t="inlineStr">
        <is>
          <t>IDR</t>
        </is>
      </c>
      <c r="H294" s="290" t="n">
        <v>1</v>
      </c>
      <c r="I294" s="288" t="n"/>
      <c r="J294" s="288" t="n"/>
      <c r="K294" s="288" t="n"/>
      <c r="L294" s="289">
        <f>$F294*$H294</f>
        <v/>
      </c>
      <c r="M294" s="288" t="n"/>
      <c r="N294" s="288" t="n"/>
      <c r="O294" s="288" t="n"/>
      <c r="P294" s="288" t="n"/>
      <c r="Q294" s="288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45442</v>
      </c>
      <c r="C295" s="286" t="n">
        <v>174</v>
      </c>
      <c r="D295" s="287" t="inlineStr">
        <is>
          <t>Taxi CGK-Pondok Cabe (inc Toll+Parking)</t>
        </is>
      </c>
      <c r="E295" s="288" t="inlineStr">
        <is>
          <t>-</t>
        </is>
      </c>
      <c r="F295" s="301" t="n">
        <v>300000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9">
        <f>$F295*$H295</f>
        <v/>
      </c>
      <c r="M295" s="288" t="n"/>
      <c r="N295" s="288" t="n"/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" customHeight="1">
      <c r="B296" s="285" t="n">
        <v>45442</v>
      </c>
      <c r="C296" s="286" t="n">
        <v>175</v>
      </c>
      <c r="D296" s="287" t="inlineStr">
        <is>
          <t>Airplane Ticket PLM-CGK (2 Person)</t>
        </is>
      </c>
      <c r="E296" s="288" t="inlineStr">
        <is>
          <t>-</t>
        </is>
      </c>
      <c r="F296" s="301" t="n">
        <v>1326410</v>
      </c>
      <c r="G296" s="286" t="inlineStr">
        <is>
          <t>IDR</t>
        </is>
      </c>
      <c r="H296" s="290" t="n">
        <v>1</v>
      </c>
      <c r="I296" s="288" t="n"/>
      <c r="J296" s="288" t="n"/>
      <c r="K296" s="288" t="n"/>
      <c r="L296" s="289">
        <f>$F296*$H296</f>
        <v/>
      </c>
      <c r="M296" s="288" t="n"/>
      <c r="N296" s="288" t="n"/>
      <c r="O296" s="288" t="n"/>
      <c r="P296" s="288" t="n"/>
      <c r="Q296" s="288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.5" customHeight="1">
      <c r="B297" s="296" t="inlineStr">
        <is>
          <t>Expense#18</t>
        </is>
      </c>
      <c r="C297" s="297" t="inlineStr">
        <is>
          <t>:</t>
        </is>
      </c>
      <c r="D297" s="296" t="inlineStr">
        <is>
          <t>Non Trip - BOSIET Training - DS</t>
        </is>
      </c>
      <c r="E297" s="297" t="n"/>
      <c r="F297" s="302" t="n"/>
      <c r="G297" s="297" t="n"/>
      <c r="H297" s="297" t="n"/>
      <c r="I297" s="297" t="n"/>
      <c r="J297" s="297" t="n"/>
      <c r="K297" s="297" t="n"/>
      <c r="L297" s="297" t="n"/>
      <c r="M297" s="297" t="n"/>
      <c r="N297" s="297" t="n"/>
      <c r="O297" s="297" t="n"/>
      <c r="P297" s="297" t="n"/>
      <c r="Q297" s="297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.5" customHeight="1">
      <c r="B298" s="299" t="n"/>
      <c r="C298" s="299" t="n"/>
      <c r="D298" s="282" t="inlineStr">
        <is>
          <t>Training</t>
        </is>
      </c>
      <c r="E298" s="299" t="n"/>
      <c r="F298" s="299" t="n"/>
      <c r="G298" s="299" t="n"/>
      <c r="H298" s="299" t="n"/>
      <c r="I298" s="299" t="n"/>
      <c r="J298" s="299" t="n"/>
      <c r="K298" s="299" t="n"/>
      <c r="L298" s="299" t="n"/>
      <c r="M298" s="299" t="n"/>
      <c r="N298" s="299" t="n"/>
      <c r="O298" s="299" t="n"/>
      <c r="P298" s="299" t="n"/>
      <c r="Q298" s="299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" customHeight="1">
      <c r="B299" s="285" t="n">
        <v>45450</v>
      </c>
      <c r="C299" s="286" t="n">
        <v>176</v>
      </c>
      <c r="D299" s="287" t="inlineStr">
        <is>
          <t>BOSIET 5 - 7 June 2024</t>
        </is>
      </c>
      <c r="E299" s="288" t="inlineStr">
        <is>
          <t>-</t>
        </is>
      </c>
      <c r="F299" s="292" t="n">
        <v>9693878</v>
      </c>
      <c r="G299" s="286" t="inlineStr">
        <is>
          <t>IDR</t>
        </is>
      </c>
      <c r="H299" s="290" t="n">
        <v>1</v>
      </c>
      <c r="I299" s="288" t="n"/>
      <c r="J299" s="288" t="n"/>
      <c r="K299" s="288" t="n"/>
      <c r="L299" s="289">
        <f>$F299*$H299</f>
        <v/>
      </c>
      <c r="M299" s="288" t="n"/>
      <c r="N299" s="288" t="n"/>
      <c r="O299" s="288" t="n"/>
      <c r="P299" s="288" t="n"/>
      <c r="Q299" s="288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Transportation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45448</v>
      </c>
      <c r="C301" s="286" t="n">
        <v>177</v>
      </c>
      <c r="D301" s="287" t="inlineStr">
        <is>
          <t>Personal Car from Home to PT. LTJ (converted) DAY-1</t>
        </is>
      </c>
      <c r="E301" s="288" t="inlineStr">
        <is>
          <t>-</t>
        </is>
      </c>
      <c r="F301" s="292" t="n">
        <v>233000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" customHeight="1">
      <c r="B302" s="285" t="n">
        <v>45449</v>
      </c>
      <c r="C302" s="286" t="n">
        <v>178</v>
      </c>
      <c r="D302" s="287" t="inlineStr">
        <is>
          <t>Transport DAY - 2 BOSIET</t>
        </is>
      </c>
      <c r="E302" s="288" t="inlineStr">
        <is>
          <t>-</t>
        </is>
      </c>
      <c r="F302" s="292" t="n">
        <v>73000</v>
      </c>
      <c r="G302" s="286" t="inlineStr">
        <is>
          <t>IDR</t>
        </is>
      </c>
      <c r="H302" s="290" t="n">
        <v>1</v>
      </c>
      <c r="I302" s="288" t="n"/>
      <c r="J302" s="288" t="n"/>
      <c r="K302" s="288" t="n"/>
      <c r="L302" s="289">
        <f>$F302*$H302</f>
        <v/>
      </c>
      <c r="M302" s="288" t="n"/>
      <c r="N302" s="288" t="n"/>
      <c r="O302" s="288" t="n"/>
      <c r="P302" s="288" t="n"/>
      <c r="Q302" s="288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45450</v>
      </c>
      <c r="C303" s="286" t="n">
        <v>179</v>
      </c>
      <c r="D303" s="287" t="inlineStr">
        <is>
          <t>Transport DAY - 3 BOSIET</t>
        </is>
      </c>
      <c r="E303" s="288" t="inlineStr">
        <is>
          <t>-</t>
        </is>
      </c>
      <c r="F303" s="292" t="n">
        <v>59000</v>
      </c>
      <c r="G303" s="286" t="inlineStr">
        <is>
          <t>IDR</t>
        </is>
      </c>
      <c r="H303" s="290" t="n">
        <v>1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6" t="inlineStr">
        <is>
          <t>Expense#19</t>
        </is>
      </c>
      <c r="C304" s="297" t="inlineStr">
        <is>
          <t>:</t>
        </is>
      </c>
      <c r="D304" s="296" t="inlineStr">
        <is>
          <t>ALFA JRK-163 (Pending job) - TMA</t>
        </is>
      </c>
      <c r="E304" s="297" t="n"/>
      <c r="F304" s="298" t="n"/>
      <c r="G304" s="297" t="n"/>
      <c r="H304" s="297" t="n"/>
      <c r="I304" s="297" t="n"/>
      <c r="J304" s="297" t="n"/>
      <c r="K304" s="297" t="n"/>
      <c r="L304" s="297" t="n"/>
      <c r="M304" s="297" t="n"/>
      <c r="N304" s="297" t="n"/>
      <c r="O304" s="297" t="n"/>
      <c r="P304" s="297" t="n"/>
      <c r="Q304" s="297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.5" customHeight="1">
      <c r="B305" s="299" t="n"/>
      <c r="C305" s="299" t="n"/>
      <c r="D305" s="282" t="inlineStr">
        <is>
          <t>Accommodation , Laundry</t>
        </is>
      </c>
      <c r="E305" s="299" t="n"/>
      <c r="F305" s="299" t="n"/>
      <c r="G305" s="299" t="n"/>
      <c r="H305" s="299" t="n"/>
      <c r="I305" s="299" t="n"/>
      <c r="J305" s="299" t="n"/>
      <c r="K305" s="299" t="n"/>
      <c r="L305" s="299" t="n"/>
      <c r="M305" s="299" t="n"/>
      <c r="N305" s="299" t="n"/>
      <c r="O305" s="299" t="n"/>
      <c r="P305" s="299" t="n"/>
      <c r="Q305" s="299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" customHeight="1">
      <c r="B306" s="285" t="n">
        <v>45428</v>
      </c>
      <c r="C306" s="286" t="n">
        <v>180</v>
      </c>
      <c r="D306" s="287" t="inlineStr">
        <is>
          <t>Hotel 16 June - 19 June (3 days)</t>
        </is>
      </c>
      <c r="E306" s="288" t="inlineStr">
        <is>
          <t>-</t>
        </is>
      </c>
      <c r="F306" s="292" t="n">
        <v>720000</v>
      </c>
      <c r="G306" s="286" t="inlineStr">
        <is>
          <t>IDR</t>
        </is>
      </c>
      <c r="H306" s="290" t="n">
        <v>1</v>
      </c>
      <c r="I306" s="288" t="n"/>
      <c r="J306" s="288" t="n"/>
      <c r="K306" s="288" t="n"/>
      <c r="L306" s="289">
        <f>$F306*$H306</f>
        <v/>
      </c>
      <c r="M306" s="288" t="n"/>
      <c r="N306" s="288" t="n"/>
      <c r="O306" s="288" t="n"/>
      <c r="P306" s="288" t="n"/>
      <c r="Q306" s="288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45428</v>
      </c>
      <c r="C307" s="286" t="n">
        <v>181</v>
      </c>
      <c r="D307" s="287" t="inlineStr">
        <is>
          <t>Laundry 4 days 1 Persons @ 50K IDR/day</t>
        </is>
      </c>
      <c r="E307" s="288" t="inlineStr">
        <is>
          <t>-</t>
        </is>
      </c>
      <c r="F307" s="292" t="n">
        <v>200000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Allowance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45428</v>
      </c>
      <c r="C309" s="286" t="n">
        <v>182</v>
      </c>
      <c r="D309" s="287" t="inlineStr">
        <is>
          <t>Tunjangan Lapangan for 4 days</t>
        </is>
      </c>
      <c r="E309" s="288" t="inlineStr">
        <is>
          <t>-</t>
        </is>
      </c>
      <c r="F309" s="292" t="n">
        <v>400</v>
      </c>
      <c r="G309" s="286" t="inlineStr">
        <is>
          <t>USD</t>
        </is>
      </c>
      <c r="H309" s="290" t="n">
        <v>16378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.5" customHeight="1">
      <c r="B310" s="299" t="n"/>
      <c r="C310" s="299" t="n"/>
      <c r="D310" s="282" t="inlineStr">
        <is>
          <t>Meal</t>
        </is>
      </c>
      <c r="E310" s="299" t="n"/>
      <c r="F310" s="300" t="n"/>
      <c r="G310" s="299" t="n"/>
      <c r="H310" s="299" t="n"/>
      <c r="I310" s="299" t="n"/>
      <c r="J310" s="299" t="n"/>
      <c r="K310" s="299" t="n"/>
      <c r="L310" s="299" t="n"/>
      <c r="M310" s="299" t="n"/>
      <c r="N310" s="299" t="n"/>
      <c r="O310" s="299" t="n"/>
      <c r="P310" s="299" t="n"/>
      <c r="Q310" s="299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" customHeight="1">
      <c r="B311" s="285" t="n">
        <v>45428</v>
      </c>
      <c r="C311" s="286" t="n">
        <v>183</v>
      </c>
      <c r="D311" s="287" t="inlineStr">
        <is>
          <t>Meals 4 days 1 Persons @ 150K IDR/day</t>
        </is>
      </c>
      <c r="E311" s="288" t="inlineStr">
        <is>
          <t>-</t>
        </is>
      </c>
      <c r="F311" s="292" t="n">
        <v>600000</v>
      </c>
      <c r="G311" s="286" t="inlineStr">
        <is>
          <t>IDR</t>
        </is>
      </c>
      <c r="H311" s="290" t="n">
        <v>1</v>
      </c>
      <c r="I311" s="288" t="n"/>
      <c r="J311" s="288" t="n"/>
      <c r="K311" s="288" t="n"/>
      <c r="L311" s="289">
        <f>$F311*$H311</f>
        <v/>
      </c>
      <c r="M311" s="288" t="n"/>
      <c r="N311" s="288" t="n"/>
      <c r="O311" s="288" t="n"/>
      <c r="P311" s="288" t="n"/>
      <c r="Q311" s="288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.5" customHeight="1">
      <c r="B312" s="299" t="n"/>
      <c r="C312" s="299" t="n"/>
      <c r="D312" s="282" t="inlineStr">
        <is>
          <t>Transportation</t>
        </is>
      </c>
      <c r="E312" s="299" t="n"/>
      <c r="F312" s="300" t="n"/>
      <c r="G312" s="299" t="n"/>
      <c r="H312" s="299" t="n"/>
      <c r="I312" s="299" t="n"/>
      <c r="J312" s="299" t="n"/>
      <c r="K312" s="299" t="n"/>
      <c r="L312" s="299" t="n"/>
      <c r="M312" s="299" t="n"/>
      <c r="N312" s="299" t="n"/>
      <c r="O312" s="299" t="n"/>
      <c r="P312" s="299" t="n"/>
      <c r="Q312" s="299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45428</v>
      </c>
      <c r="C313" s="286" t="n">
        <v>184</v>
      </c>
      <c r="D313" s="287" t="inlineStr">
        <is>
          <t>Airplane Ticket CGK-PLM</t>
        </is>
      </c>
      <c r="E313" s="288" t="inlineStr">
        <is>
          <t>-</t>
        </is>
      </c>
      <c r="F313" s="292" t="n">
        <v>995500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45428</v>
      </c>
      <c r="C314" s="286" t="n">
        <v>185</v>
      </c>
      <c r="D314" s="287" t="inlineStr">
        <is>
          <t>Taxi Pondok Cabe-CGK</t>
        </is>
      </c>
      <c r="E314" s="288" t="inlineStr">
        <is>
          <t>-</t>
        </is>
      </c>
      <c r="F314" s="292" t="n">
        <v>273500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45428</v>
      </c>
      <c r="C315" s="286" t="n">
        <v>186</v>
      </c>
      <c r="D315" s="287" t="inlineStr">
        <is>
          <t>Toll Prabumulih (PP)</t>
        </is>
      </c>
      <c r="E315" s="288" t="inlineStr">
        <is>
          <t>-</t>
        </is>
      </c>
      <c r="F315" s="292" t="n">
        <v>224000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45428</v>
      </c>
      <c r="C316" s="286" t="n">
        <v>187</v>
      </c>
      <c r="D316" s="287" t="inlineStr">
        <is>
          <t>Rent Car 4 Days</t>
        </is>
      </c>
      <c r="E316" s="288" t="inlineStr">
        <is>
          <t>-</t>
        </is>
      </c>
      <c r="F316" s="292" t="n">
        <v>2000000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45428</v>
      </c>
      <c r="C317" s="286" t="n">
        <v>188</v>
      </c>
      <c r="D317" s="287" t="inlineStr">
        <is>
          <t>Gasoline</t>
        </is>
      </c>
      <c r="E317" s="288" t="inlineStr">
        <is>
          <t>-</t>
        </is>
      </c>
      <c r="F317" s="292" t="n">
        <v>330000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" customHeight="1">
      <c r="B318" s="285" t="n">
        <v>45428</v>
      </c>
      <c r="C318" s="286" t="n">
        <v>189</v>
      </c>
      <c r="D318" s="287" t="inlineStr">
        <is>
          <t>Taxi HLP-Pondok Cabe (inc Toll+Parking)</t>
        </is>
      </c>
      <c r="E318" s="288" t="inlineStr">
        <is>
          <t>-</t>
        </is>
      </c>
      <c r="F318" s="289" t="n">
        <v>270000</v>
      </c>
      <c r="G318" s="286" t="inlineStr">
        <is>
          <t>IDR</t>
        </is>
      </c>
      <c r="H318" s="290" t="n">
        <v>1</v>
      </c>
      <c r="I318" s="288" t="n"/>
      <c r="J318" s="288" t="n"/>
      <c r="K318" s="288" t="n"/>
      <c r="L318" s="289">
        <f>$F318*$H318</f>
        <v/>
      </c>
      <c r="M318" s="288" t="n"/>
      <c r="N318" s="288" t="n"/>
      <c r="O318" s="288" t="n"/>
      <c r="P318" s="288" t="n"/>
      <c r="Q318" s="288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" customHeight="1">
      <c r="B319" s="285" t="n">
        <v>45428</v>
      </c>
      <c r="C319" s="286" t="n">
        <v>190</v>
      </c>
      <c r="D319" s="287" t="inlineStr">
        <is>
          <t>Airplane Ticket PLM-HLP</t>
        </is>
      </c>
      <c r="E319" s="288" t="inlineStr">
        <is>
          <t>-</t>
        </is>
      </c>
      <c r="F319" s="292" t="n">
        <v>1004000</v>
      </c>
      <c r="G319" s="286" t="inlineStr">
        <is>
          <t>IDR</t>
        </is>
      </c>
      <c r="H319" s="290" t="n">
        <v>1</v>
      </c>
      <c r="I319" s="288" t="n"/>
      <c r="J319" s="288" t="n"/>
      <c r="K319" s="288" t="n"/>
      <c r="L319" s="289">
        <f>$F319*$H319</f>
        <v/>
      </c>
      <c r="M319" s="288" t="n"/>
      <c r="N319" s="288" t="n"/>
      <c r="O319" s="288" t="n"/>
      <c r="P319" s="288" t="n"/>
      <c r="Q319" s="288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45428</v>
      </c>
      <c r="C320" s="286" t="n">
        <v>191</v>
      </c>
      <c r="D320" s="287" t="inlineStr">
        <is>
          <t>Uneed Power Station</t>
        </is>
      </c>
      <c r="E320" s="288" t="inlineStr">
        <is>
          <t>-</t>
        </is>
      </c>
      <c r="F320" s="292" t="n">
        <v>2371000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8" t="n"/>
      <c r="M320" s="288" t="n"/>
      <c r="N320" s="289">
        <f>$F320*$H320</f>
        <v/>
      </c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6" t="inlineStr">
        <is>
          <t>Expense#20</t>
        </is>
      </c>
      <c r="C321" s="297" t="inlineStr">
        <is>
          <t>:</t>
        </is>
      </c>
      <c r="D321" s="296" t="inlineStr">
        <is>
          <t>Preparation TIS Petroleum - TMA</t>
        </is>
      </c>
      <c r="E321" s="297" t="n"/>
      <c r="F321" s="298" t="n"/>
      <c r="G321" s="297" t="n"/>
      <c r="H321" s="297" t="n"/>
      <c r="I321" s="297" t="n"/>
      <c r="J321" s="297" t="n"/>
      <c r="K321" s="297" t="n"/>
      <c r="L321" s="297" t="n"/>
      <c r="M321" s="297" t="n"/>
      <c r="N321" s="297" t="n"/>
      <c r="O321" s="297" t="n"/>
      <c r="P321" s="297" t="n"/>
      <c r="Q321" s="297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.5" customHeight="1">
      <c r="B322" s="299" t="n"/>
      <c r="C322" s="299" t="n"/>
      <c r="D322" s="282" t="inlineStr">
        <is>
          <t>Transportation</t>
        </is>
      </c>
      <c r="E322" s="299" t="n"/>
      <c r="F322" s="300" t="n"/>
      <c r="G322" s="299" t="n"/>
      <c r="H322" s="299" t="n"/>
      <c r="I322" s="299" t="n"/>
      <c r="J322" s="299" t="n"/>
      <c r="K322" s="299" t="n"/>
      <c r="L322" s="299" t="n"/>
      <c r="M322" s="299" t="n"/>
      <c r="N322" s="299" t="n"/>
      <c r="O322" s="299" t="n"/>
      <c r="P322" s="299" t="n"/>
      <c r="Q322" s="299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" customHeight="1">
      <c r="B323" s="285" t="n">
        <v>45478</v>
      </c>
      <c r="C323" s="286" t="n">
        <v>192</v>
      </c>
      <c r="D323" s="287" t="inlineStr">
        <is>
          <t>Lalamove Gowell-Bogor-Gowell</t>
        </is>
      </c>
      <c r="E323" s="288" t="inlineStr">
        <is>
          <t>-</t>
        </is>
      </c>
      <c r="F323" s="289" t="n">
        <v>594804</v>
      </c>
      <c r="G323" s="286" t="inlineStr">
        <is>
          <t>IDR</t>
        </is>
      </c>
      <c r="H323" s="290" t="n">
        <v>1</v>
      </c>
      <c r="I323" s="288" t="n"/>
      <c r="J323" s="288" t="n"/>
      <c r="K323" s="288" t="n"/>
      <c r="L323" s="289">
        <f>$F323*$H323</f>
        <v/>
      </c>
      <c r="M323" s="288" t="n"/>
      <c r="N323" s="288" t="n"/>
      <c r="O323" s="288" t="n"/>
      <c r="P323" s="288" t="n"/>
      <c r="Q323" s="288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45483</v>
      </c>
      <c r="C324" s="286" t="n">
        <v>193</v>
      </c>
      <c r="D324" s="287" t="inlineStr">
        <is>
          <t>Pin Punch</t>
        </is>
      </c>
      <c r="E324" s="288" t="inlineStr">
        <is>
          <t>-</t>
        </is>
      </c>
      <c r="F324" s="292" t="n">
        <v>381960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8" t="n"/>
      <c r="M324" s="288" t="n"/>
      <c r="N324" s="289">
        <f>$F324*$H324</f>
        <v/>
      </c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45483</v>
      </c>
      <c r="C325" s="286" t="n">
        <v>194</v>
      </c>
      <c r="D325" s="287" t="inlineStr">
        <is>
          <t>Hardcase Custom</t>
        </is>
      </c>
      <c r="E325" s="288" t="inlineStr">
        <is>
          <t>-</t>
        </is>
      </c>
      <c r="F325" s="292" t="n">
        <v>3595000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8" t="n"/>
      <c r="M325" s="288" t="n"/>
      <c r="N325" s="289">
        <f>$F325*$H325</f>
        <v/>
      </c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Expense#21</t>
        </is>
      </c>
      <c r="C326" s="297" t="inlineStr">
        <is>
          <t>:</t>
        </is>
      </c>
      <c r="D326" s="296" t="inlineStr">
        <is>
          <t>Delivery Tools Sonoecho (KL)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45481</v>
      </c>
      <c r="C328" s="286" t="n">
        <v>195</v>
      </c>
      <c r="D328" s="287" t="inlineStr">
        <is>
          <t>Hotel</t>
        </is>
      </c>
      <c r="E328" s="288" t="inlineStr">
        <is>
          <t>-</t>
        </is>
      </c>
      <c r="F328" s="292" t="n">
        <v>344305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" customHeight="1">
      <c r="B329" s="285" t="n">
        <v>45481</v>
      </c>
      <c r="C329" s="286" t="n">
        <v>196</v>
      </c>
      <c r="D329" s="287" t="inlineStr">
        <is>
          <t>Hotel Tax Foreigner</t>
        </is>
      </c>
      <c r="E329" s="288" t="inlineStr">
        <is>
          <t>-</t>
        </is>
      </c>
      <c r="F329" s="289" t="n">
        <v>10</v>
      </c>
      <c r="G329" s="286" t="inlineStr">
        <is>
          <t>MYR</t>
        </is>
      </c>
      <c r="H329" s="290" t="n">
        <v>3462</v>
      </c>
      <c r="I329" s="288" t="n"/>
      <c r="J329" s="288" t="n"/>
      <c r="K329" s="288" t="n"/>
      <c r="L329" s="289">
        <f>$F329*$H329</f>
        <v/>
      </c>
      <c r="M329" s="288" t="n"/>
      <c r="N329" s="288" t="n"/>
      <c r="O329" s="288" t="n"/>
      <c r="P329" s="288" t="n"/>
      <c r="Q329" s="288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.5" customHeight="1">
      <c r="B330" s="299" t="n"/>
      <c r="C330" s="299" t="n"/>
      <c r="D330" s="282" t="inlineStr">
        <is>
          <t>Transportation</t>
        </is>
      </c>
      <c r="E330" s="299" t="n"/>
      <c r="F330" s="303" t="n"/>
      <c r="G330" s="299" t="n"/>
      <c r="H330" s="299" t="n"/>
      <c r="I330" s="299" t="n"/>
      <c r="J330" s="299" t="n"/>
      <c r="K330" s="299" t="n"/>
      <c r="L330" s="299" t="n"/>
      <c r="M330" s="299" t="n"/>
      <c r="N330" s="299" t="n"/>
      <c r="O330" s="299" t="n"/>
      <c r="P330" s="299" t="n"/>
      <c r="Q330" s="299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" customHeight="1">
      <c r="B331" s="285" t="n">
        <v>45481</v>
      </c>
      <c r="C331" s="286" t="n">
        <v>197</v>
      </c>
      <c r="D331" s="287" t="inlineStr">
        <is>
          <t>Airplane Ticket CGK-KLIA</t>
        </is>
      </c>
      <c r="E331" s="288" t="inlineStr">
        <is>
          <t>-</t>
        </is>
      </c>
      <c r="F331" s="301" t="n">
        <v>4912100</v>
      </c>
      <c r="G331" s="286" t="inlineStr">
        <is>
          <t>IDR</t>
        </is>
      </c>
      <c r="H331" s="290" t="n">
        <v>1</v>
      </c>
      <c r="I331" s="288" t="n"/>
      <c r="J331" s="288" t="n"/>
      <c r="K331" s="288" t="n"/>
      <c r="L331" s="289">
        <f>$F331*$H331</f>
        <v/>
      </c>
      <c r="M331" s="288" t="n"/>
      <c r="N331" s="288" t="n"/>
      <c r="O331" s="288" t="n"/>
      <c r="P331" s="288" t="n"/>
      <c r="Q331" s="288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45481</v>
      </c>
      <c r="C332" s="286" t="n">
        <v>198</v>
      </c>
      <c r="D332" s="287" t="inlineStr">
        <is>
          <t>Taxi Home - CGK</t>
        </is>
      </c>
      <c r="E332" s="288" t="inlineStr">
        <is>
          <t>-</t>
        </is>
      </c>
      <c r="F332" s="301" t="n">
        <v>250000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" customHeight="1">
      <c r="B333" s="285" t="n">
        <v>45481</v>
      </c>
      <c r="C333" s="286" t="n">
        <v>199</v>
      </c>
      <c r="D333" s="287" t="inlineStr">
        <is>
          <t>Taxi KLIA - Hotel</t>
        </is>
      </c>
      <c r="E333" s="288" t="inlineStr">
        <is>
          <t>-</t>
        </is>
      </c>
      <c r="F333" s="301" t="n">
        <v>72</v>
      </c>
      <c r="G333" s="286" t="inlineStr">
        <is>
          <t>MYR</t>
        </is>
      </c>
      <c r="H333" s="290" t="n">
        <v>3462</v>
      </c>
      <c r="I333" s="288" t="n"/>
      <c r="J333" s="288" t="n"/>
      <c r="K333" s="288" t="n"/>
      <c r="L333" s="289">
        <f>$F333*$H333</f>
        <v/>
      </c>
      <c r="M333" s="288" t="n"/>
      <c r="N333" s="288" t="n"/>
      <c r="O333" s="288" t="n"/>
      <c r="P333" s="288" t="n"/>
      <c r="Q333" s="288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45482</v>
      </c>
      <c r="C334" s="286" t="n">
        <v>200</v>
      </c>
      <c r="D334" s="287" t="inlineStr">
        <is>
          <t>Taxi Hyperseal - Hotel</t>
        </is>
      </c>
      <c r="E334" s="288" t="inlineStr">
        <is>
          <t>-</t>
        </is>
      </c>
      <c r="F334" s="301" t="n">
        <v>8</v>
      </c>
      <c r="G334" s="286" t="inlineStr">
        <is>
          <t>MYR</t>
        </is>
      </c>
      <c r="H334" s="290" t="n">
        <v>3462</v>
      </c>
      <c r="I334" s="288" t="n"/>
      <c r="J334" s="288" t="n"/>
      <c r="K334" s="288" t="n"/>
      <c r="L334" s="289">
        <f>$F334*$H334</f>
        <v/>
      </c>
      <c r="M334" s="288" t="n"/>
      <c r="N334" s="288" t="n"/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" customHeight="1">
      <c r="B335" s="285" t="n">
        <v>45482</v>
      </c>
      <c r="C335" s="286" t="n">
        <v>201</v>
      </c>
      <c r="D335" s="287" t="inlineStr">
        <is>
          <t>Taxi Hotel - KLIA</t>
        </is>
      </c>
      <c r="E335" s="288" t="inlineStr">
        <is>
          <t>-</t>
        </is>
      </c>
      <c r="F335" s="301" t="n">
        <v>82.03</v>
      </c>
      <c r="G335" s="286" t="inlineStr">
        <is>
          <t>MYR</t>
        </is>
      </c>
      <c r="H335" s="290" t="n">
        <v>3462</v>
      </c>
      <c r="I335" s="288" t="n"/>
      <c r="J335" s="288" t="n"/>
      <c r="K335" s="288" t="n"/>
      <c r="L335" s="289">
        <f>$F335*$H335</f>
        <v/>
      </c>
      <c r="M335" s="288" t="n"/>
      <c r="N335" s="288" t="n"/>
      <c r="O335" s="288" t="n"/>
      <c r="P335" s="288" t="n"/>
      <c r="Q335" s="288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45482</v>
      </c>
      <c r="C336" s="286" t="n">
        <v>202</v>
      </c>
      <c r="D336" s="287" t="inlineStr">
        <is>
          <t>Taxi CGK - Home</t>
        </is>
      </c>
      <c r="E336" s="288" t="inlineStr">
        <is>
          <t>-</t>
        </is>
      </c>
      <c r="F336" s="301" t="n">
        <v>259120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" customHeight="1">
      <c r="B337" s="285" t="n">
        <v>45483</v>
      </c>
      <c r="C337" s="286" t="n">
        <v>203</v>
      </c>
      <c r="D337" s="287" t="inlineStr">
        <is>
          <t>Asus Slate 13 (tablet asus)</t>
        </is>
      </c>
      <c r="E337" s="288" t="inlineStr">
        <is>
          <t>-</t>
        </is>
      </c>
      <c r="F337" s="301" t="n">
        <v>9778400</v>
      </c>
      <c r="G337" s="286" t="inlineStr">
        <is>
          <t>IDR</t>
        </is>
      </c>
      <c r="H337" s="290" t="n">
        <v>1</v>
      </c>
      <c r="I337" s="288" t="n"/>
      <c r="J337" s="288" t="n"/>
      <c r="K337" s="288" t="n"/>
      <c r="L337" s="288" t="n"/>
      <c r="M337" s="288" t="n"/>
      <c r="N337" s="289">
        <f>$F337*$H337</f>
        <v/>
      </c>
      <c r="O337" s="288" t="n"/>
      <c r="P337" s="288" t="n"/>
      <c r="Q337" s="288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45483</v>
      </c>
      <c r="C338" s="286" t="n">
        <v>204</v>
      </c>
      <c r="D338" s="287" t="inlineStr">
        <is>
          <t>OTG Type C</t>
        </is>
      </c>
      <c r="E338" s="288" t="inlineStr">
        <is>
          <t>-</t>
        </is>
      </c>
      <c r="F338" s="301" t="n">
        <v>163100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8" t="n"/>
      <c r="M338" s="288" t="n"/>
      <c r="N338" s="289">
        <f>$F338*$H338</f>
        <v/>
      </c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6" t="inlineStr">
        <is>
          <t>Expense#22</t>
        </is>
      </c>
      <c r="C339" s="297" t="inlineStr">
        <is>
          <t>:</t>
        </is>
      </c>
      <c r="D339" s="296" t="inlineStr">
        <is>
          <t>Non project ( MCU ulang )_ IBR</t>
        </is>
      </c>
      <c r="E339" s="297" t="n"/>
      <c r="F339" s="302" t="n"/>
      <c r="G339" s="297" t="n"/>
      <c r="H339" s="297" t="n"/>
      <c r="I339" s="297" t="n"/>
      <c r="J339" s="297" t="n"/>
      <c r="K339" s="297" t="n"/>
      <c r="L339" s="297" t="n"/>
      <c r="M339" s="297" t="n"/>
      <c r="N339" s="297" t="n"/>
      <c r="O339" s="297" t="n"/>
      <c r="P339" s="297" t="n"/>
      <c r="Q339" s="297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.5" customHeight="1">
      <c r="B340" s="299" t="n"/>
      <c r="C340" s="299" t="n"/>
      <c r="D340" s="282" t="inlineStr">
        <is>
          <t>Medical</t>
        </is>
      </c>
      <c r="E340" s="299" t="n"/>
      <c r="F340" s="303" t="n"/>
      <c r="G340" s="299" t="n"/>
      <c r="H340" s="299" t="n"/>
      <c r="I340" s="299" t="n"/>
      <c r="J340" s="299" t="n"/>
      <c r="K340" s="299" t="n"/>
      <c r="L340" s="299" t="n"/>
      <c r="M340" s="299" t="n"/>
      <c r="N340" s="299" t="n"/>
      <c r="O340" s="299" t="n"/>
      <c r="P340" s="299" t="n"/>
      <c r="Q340" s="299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45446</v>
      </c>
      <c r="C341" s="286" t="n">
        <v>205</v>
      </c>
      <c r="D341" s="287" t="inlineStr">
        <is>
          <t>Konsultasi Spesialis Penyakit Dalam</t>
        </is>
      </c>
      <c r="E341" s="288" t="inlineStr">
        <is>
          <t>-</t>
        </is>
      </c>
      <c r="F341" s="301" t="n">
        <v>206000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8" t="n"/>
      <c r="M341" s="288" t="n"/>
      <c r="N341" s="288" t="n"/>
      <c r="O341" s="288" t="n"/>
      <c r="P341" s="289">
        <f>$F341*$H341</f>
        <v/>
      </c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45446</v>
      </c>
      <c r="C342" s="286" t="n">
        <v>206</v>
      </c>
      <c r="D342" s="287" t="inlineStr">
        <is>
          <t>Unit Labolatorium</t>
        </is>
      </c>
      <c r="E342" s="288" t="inlineStr">
        <is>
          <t>-</t>
        </is>
      </c>
      <c r="F342" s="301" t="n">
        <v>1474000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8" t="n"/>
      <c r="M342" s="288" t="n"/>
      <c r="N342" s="288" t="n"/>
      <c r="O342" s="288" t="n"/>
      <c r="P342" s="289">
        <f>$F342*$H342</f>
        <v/>
      </c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45453</v>
      </c>
      <c r="C343" s="286" t="n">
        <v>207</v>
      </c>
      <c r="D343" s="287" t="inlineStr">
        <is>
          <t>Konsultasi Spesialis Penyakit Dalam</t>
        </is>
      </c>
      <c r="E343" s="288" t="inlineStr">
        <is>
          <t>-</t>
        </is>
      </c>
      <c r="F343" s="289" t="n">
        <v>206000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8" t="n"/>
      <c r="M343" s="288" t="n"/>
      <c r="N343" s="288" t="n"/>
      <c r="O343" s="288" t="n"/>
      <c r="P343" s="289">
        <f>$F343*$H343</f>
        <v/>
      </c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45453</v>
      </c>
      <c r="C344" s="286" t="n">
        <v>208</v>
      </c>
      <c r="D344" s="287" t="inlineStr">
        <is>
          <t>Farmasi</t>
        </is>
      </c>
      <c r="E344" s="288" t="inlineStr">
        <is>
          <t>-</t>
        </is>
      </c>
      <c r="F344" s="292" t="n">
        <v>109000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8" t="n"/>
      <c r="M344" s="288" t="n"/>
      <c r="N344" s="288" t="n"/>
      <c r="O344" s="288" t="n"/>
      <c r="P344" s="289">
        <f>$F344*$H344</f>
        <v/>
      </c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.5" customHeight="1">
      <c r="B345" s="296" t="inlineStr">
        <is>
          <t>Expense#23</t>
        </is>
      </c>
      <c r="C345" s="297" t="inlineStr">
        <is>
          <t>:</t>
        </is>
      </c>
      <c r="D345" s="296" t="inlineStr">
        <is>
          <t>ALFA job - JRK-163 (Job)_undr Sijak_ DS</t>
        </is>
      </c>
      <c r="E345" s="297" t="n"/>
      <c r="F345" s="298" t="n"/>
      <c r="G345" s="297" t="n"/>
      <c r="H345" s="297" t="n"/>
      <c r="I345" s="297" t="n"/>
      <c r="J345" s="297" t="n"/>
      <c r="K345" s="297" t="n"/>
      <c r="L345" s="297" t="n"/>
      <c r="M345" s="297" t="n"/>
      <c r="N345" s="297" t="n"/>
      <c r="O345" s="297" t="n"/>
      <c r="P345" s="297" t="n"/>
      <c r="Q345" s="297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9" t="n"/>
      <c r="C346" s="299" t="n"/>
      <c r="D346" s="282" t="inlineStr">
        <is>
          <t>Accommodation</t>
        </is>
      </c>
      <c r="E346" s="299" t="n"/>
      <c r="F346" s="300" t="n"/>
      <c r="G346" s="299" t="n"/>
      <c r="H346" s="299" t="n"/>
      <c r="I346" s="299" t="n"/>
      <c r="J346" s="299" t="n"/>
      <c r="K346" s="299" t="n"/>
      <c r="L346" s="299" t="n"/>
      <c r="M346" s="299" t="n"/>
      <c r="N346" s="299" t="n"/>
      <c r="O346" s="299" t="n"/>
      <c r="P346" s="299" t="n"/>
      <c r="Q346" s="299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" customHeight="1">
      <c r="B347" s="285" t="n">
        <v>45500</v>
      </c>
      <c r="C347" s="286" t="n">
        <v>209</v>
      </c>
      <c r="D347" s="287" t="inlineStr">
        <is>
          <t>Lodge 21-27 Jul 2024 (3 rooms)</t>
        </is>
      </c>
      <c r="E347" s="288" t="inlineStr">
        <is>
          <t>-</t>
        </is>
      </c>
      <c r="F347" s="292" t="n">
        <v>2160000</v>
      </c>
      <c r="G347" s="286" t="inlineStr">
        <is>
          <t>IDR</t>
        </is>
      </c>
      <c r="H347" s="290" t="n">
        <v>1</v>
      </c>
      <c r="I347" s="288" t="n"/>
      <c r="J347" s="288" t="n"/>
      <c r="K347" s="288" t="n"/>
      <c r="L347" s="289">
        <f>$F347*$H347</f>
        <v/>
      </c>
      <c r="M347" s="288" t="n"/>
      <c r="N347" s="288" t="n"/>
      <c r="O347" s="288" t="n"/>
      <c r="P347" s="288" t="n"/>
      <c r="Q347" s="288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45500</v>
      </c>
      <c r="C348" s="286" t="n">
        <v>210</v>
      </c>
      <c r="D348" s="287" t="inlineStr">
        <is>
          <t>Uang Makan (21 - 27 Juli 2024)</t>
        </is>
      </c>
      <c r="E348" s="288" t="inlineStr">
        <is>
          <t>-</t>
        </is>
      </c>
      <c r="F348" s="292" t="n">
        <v>1050000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9">
        <f>$F348*$H348</f>
        <v/>
      </c>
      <c r="M348" s="288" t="n"/>
      <c r="N348" s="288" t="n"/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.5" customHeight="1">
      <c r="B349" s="299" t="n"/>
      <c r="C349" s="299" t="n"/>
      <c r="D349" s="282" t="inlineStr">
        <is>
          <t>Allowance</t>
        </is>
      </c>
      <c r="E349" s="299" t="n"/>
      <c r="F349" s="299" t="n"/>
      <c r="G349" s="299" t="n"/>
      <c r="H349" s="299" t="n"/>
      <c r="I349" s="299" t="n"/>
      <c r="J349" s="299" t="n"/>
      <c r="K349" s="299" t="n"/>
      <c r="L349" s="299" t="n"/>
      <c r="M349" s="299" t="n"/>
      <c r="N349" s="299" t="n"/>
      <c r="O349" s="299" t="n"/>
      <c r="P349" s="299" t="n"/>
      <c r="Q349" s="299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" customHeight="1">
      <c r="B350" s="285" t="n">
        <v>45500</v>
      </c>
      <c r="C350" s="286" t="n">
        <v>211</v>
      </c>
      <c r="D350" s="287" t="inlineStr">
        <is>
          <t>Tunajngan Lapangan JRK-163 (21-27 Juli 2024). 1US$=16.200</t>
        </is>
      </c>
      <c r="E350" s="288" t="inlineStr">
        <is>
          <t>-</t>
        </is>
      </c>
      <c r="F350" s="292" t="n">
        <v>11340000</v>
      </c>
      <c r="G350" s="286" t="inlineStr">
        <is>
          <t>IDR</t>
        </is>
      </c>
      <c r="H350" s="290" t="n">
        <v>16200</v>
      </c>
      <c r="I350" s="288" t="n"/>
      <c r="J350" s="288" t="n"/>
      <c r="K350" s="288" t="n"/>
      <c r="L350" s="289">
        <f>$F350*$H350</f>
        <v/>
      </c>
      <c r="M350" s="288" t="n"/>
      <c r="N350" s="288" t="n"/>
      <c r="O350" s="288" t="n"/>
      <c r="P350" s="288" t="n"/>
      <c r="Q350" s="288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.5" customHeight="1">
      <c r="B351" s="299" t="n"/>
      <c r="C351" s="299" t="n"/>
      <c r="D351" s="282" t="inlineStr">
        <is>
          <t>Biaya Operasi</t>
        </is>
      </c>
      <c r="E351" s="299" t="n"/>
      <c r="F351" s="300" t="n"/>
      <c r="G351" s="299" t="n"/>
      <c r="H351" s="299" t="n"/>
      <c r="I351" s="299" t="n"/>
      <c r="J351" s="299" t="n"/>
      <c r="K351" s="299" t="n"/>
      <c r="L351" s="299" t="n"/>
      <c r="M351" s="299" t="n"/>
      <c r="N351" s="299" t="n"/>
      <c r="O351" s="299" t="n"/>
      <c r="P351" s="299" t="n"/>
      <c r="Q351" s="299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" customHeight="1">
      <c r="B352" s="285" t="n">
        <v>45494</v>
      </c>
      <c r="C352" s="286" t="n">
        <v>212</v>
      </c>
      <c r="D352" s="287" t="inlineStr">
        <is>
          <t>Jakarta - Palembang</t>
        </is>
      </c>
      <c r="E352" s="288" t="inlineStr">
        <is>
          <t>-</t>
        </is>
      </c>
      <c r="F352" s="292" t="n">
        <v>985367</v>
      </c>
      <c r="G352" s="286" t="inlineStr">
        <is>
          <t>IDR</t>
        </is>
      </c>
      <c r="H352" s="290" t="n">
        <v>1</v>
      </c>
      <c r="I352" s="288" t="n"/>
      <c r="J352" s="288" t="n"/>
      <c r="K352" s="288" t="n"/>
      <c r="L352" s="289">
        <f>$F352*$H352</f>
        <v/>
      </c>
      <c r="M352" s="288" t="n"/>
      <c r="N352" s="288" t="n"/>
      <c r="O352" s="288" t="n"/>
      <c r="P352" s="288" t="n"/>
      <c r="Q352" s="288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" customHeight="1">
      <c r="B353" s="285" t="n">
        <v>45500</v>
      </c>
      <c r="C353" s="286" t="n">
        <v>213</v>
      </c>
      <c r="D353" s="287" t="inlineStr">
        <is>
          <t>Palembang - Jakarta + Extra Bagage</t>
        </is>
      </c>
      <c r="E353" s="288" t="inlineStr">
        <is>
          <t>-</t>
        </is>
      </c>
      <c r="F353" s="292" t="n">
        <v>1175717</v>
      </c>
      <c r="G353" s="286" t="inlineStr">
        <is>
          <t>IDR</t>
        </is>
      </c>
      <c r="H353" s="290" t="n">
        <v>1</v>
      </c>
      <c r="I353" s="288" t="n"/>
      <c r="J353" s="288" t="n"/>
      <c r="K353" s="288" t="n"/>
      <c r="L353" s="289">
        <f>$F353*$H353</f>
        <v/>
      </c>
      <c r="M353" s="288" t="n"/>
      <c r="N353" s="288" t="n"/>
      <c r="O353" s="288" t="n"/>
      <c r="P353" s="288" t="n"/>
      <c r="Q353" s="288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.5" customHeight="1">
      <c r="B354" s="299" t="n"/>
      <c r="C354" s="299" t="n"/>
      <c r="D354" s="282" t="inlineStr">
        <is>
          <t>Laundry</t>
        </is>
      </c>
      <c r="E354" s="299" t="n"/>
      <c r="F354" s="300" t="n"/>
      <c r="G354" s="299" t="n"/>
      <c r="H354" s="299" t="n"/>
      <c r="I354" s="299" t="n"/>
      <c r="J354" s="299" t="n"/>
      <c r="K354" s="299" t="n"/>
      <c r="L354" s="299" t="n"/>
      <c r="M354" s="299" t="n"/>
      <c r="N354" s="299" t="n"/>
      <c r="O354" s="299" t="n"/>
      <c r="P354" s="299" t="n"/>
      <c r="Q354" s="299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45500</v>
      </c>
      <c r="C355" s="286" t="n">
        <v>214</v>
      </c>
      <c r="D355" s="287" t="inlineStr">
        <is>
          <t>Laundry (21 - 27 Juli 2024)</t>
        </is>
      </c>
      <c r="E355" s="288" t="inlineStr">
        <is>
          <t>-</t>
        </is>
      </c>
      <c r="F355" s="292" t="n">
        <v>350000</v>
      </c>
      <c r="G355" s="286" t="inlineStr">
        <is>
          <t>IDR</t>
        </is>
      </c>
      <c r="H355" s="290" t="n">
        <v>1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Transportation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45494</v>
      </c>
      <c r="C357" s="286" t="n">
        <v>215</v>
      </c>
      <c r="D357" s="287" t="inlineStr">
        <is>
          <t>Taxi + Tol to Airport Jakarta</t>
        </is>
      </c>
      <c r="E357" s="288" t="inlineStr">
        <is>
          <t>-</t>
        </is>
      </c>
      <c r="F357" s="292" t="n">
        <v>225520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9">
        <f>$F357*$H357</f>
        <v/>
      </c>
      <c r="M357" s="288" t="n"/>
      <c r="N357" s="288" t="n"/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45494</v>
      </c>
      <c r="C358" s="286" t="n">
        <v>216</v>
      </c>
      <c r="D358" s="287" t="inlineStr">
        <is>
          <t>fuel + tol PLM-Prabu</t>
        </is>
      </c>
      <c r="E358" s="288" t="inlineStr">
        <is>
          <t>-</t>
        </is>
      </c>
      <c r="F358" s="292" t="n">
        <v>292060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9">
        <f>$F358*$H358</f>
        <v/>
      </c>
      <c r="M358" s="288" t="n"/>
      <c r="N358" s="288" t="n"/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" customHeight="1">
      <c r="B359" s="285" t="n">
        <v>45494</v>
      </c>
      <c r="C359" s="286" t="n">
        <v>217</v>
      </c>
      <c r="D359" s="287" t="inlineStr">
        <is>
          <t>Jakarta - Palembang</t>
        </is>
      </c>
      <c r="E359" s="288" t="inlineStr">
        <is>
          <t>-</t>
        </is>
      </c>
      <c r="F359" s="292" t="n">
        <v>400000</v>
      </c>
      <c r="G359" s="286" t="inlineStr">
        <is>
          <t>IDR</t>
        </is>
      </c>
      <c r="H359" s="290" t="n">
        <v>1</v>
      </c>
      <c r="I359" s="288" t="n"/>
      <c r="J359" s="288" t="n"/>
      <c r="K359" s="288" t="n"/>
      <c r="L359" s="289">
        <f>$F359*$H359</f>
        <v/>
      </c>
      <c r="M359" s="288" t="n"/>
      <c r="N359" s="288" t="n"/>
      <c r="O359" s="288" t="n"/>
      <c r="P359" s="288" t="n"/>
      <c r="Q359" s="288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45497</v>
      </c>
      <c r="C360" s="286" t="n">
        <v>218</v>
      </c>
      <c r="D360" s="287" t="inlineStr">
        <is>
          <t>fuel</t>
        </is>
      </c>
      <c r="E360" s="288" t="inlineStr">
        <is>
          <t>-</t>
        </is>
      </c>
      <c r="F360" s="292" t="n">
        <v>190430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45500</v>
      </c>
      <c r="C361" s="286" t="n">
        <v>219</v>
      </c>
      <c r="D361" s="287" t="inlineStr">
        <is>
          <t>Tol Prabu - PLM + Fuel</t>
        </is>
      </c>
      <c r="E361" s="288" t="inlineStr">
        <is>
          <t>-</t>
        </is>
      </c>
      <c r="F361" s="292" t="n">
        <v>262000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45500</v>
      </c>
      <c r="C362" s="286" t="n">
        <v>220</v>
      </c>
      <c r="D362" s="287" t="inlineStr">
        <is>
          <t>Tol + Taxi From Airport Jakarta</t>
        </is>
      </c>
      <c r="E362" s="288" t="inlineStr">
        <is>
          <t>-</t>
        </is>
      </c>
      <c r="F362" s="292" t="n">
        <v>235000</v>
      </c>
      <c r="G362" s="286" t="inlineStr">
        <is>
          <t>IDR</t>
        </is>
      </c>
      <c r="H362" s="290" t="n">
        <v>1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45500</v>
      </c>
      <c r="C363" s="286" t="n">
        <v>221</v>
      </c>
      <c r="D363" s="287" t="inlineStr">
        <is>
          <t>Car rental 21 - 27 Jul 2024</t>
        </is>
      </c>
      <c r="E363" s="288" t="inlineStr">
        <is>
          <t>-</t>
        </is>
      </c>
      <c r="F363" s="292" t="n">
        <v>3500000</v>
      </c>
      <c r="G363" s="286" t="inlineStr">
        <is>
          <t>IDR</t>
        </is>
      </c>
      <c r="H363" s="290" t="n">
        <v>1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.5" customHeight="1">
      <c r="B364" s="299" t="n"/>
      <c r="C364" s="299" t="n"/>
      <c r="D364" s="282" t="inlineStr">
        <is>
          <t>Operation</t>
        </is>
      </c>
      <c r="E364" s="299" t="n"/>
      <c r="F364" s="300" t="n"/>
      <c r="G364" s="299" t="n"/>
      <c r="H364" s="299" t="n"/>
      <c r="I364" s="299" t="n"/>
      <c r="J364" s="299" t="n"/>
      <c r="K364" s="299" t="n"/>
      <c r="L364" s="299" t="n"/>
      <c r="M364" s="299" t="n"/>
      <c r="N364" s="299" t="n"/>
      <c r="O364" s="299" t="n"/>
      <c r="P364" s="299" t="n"/>
      <c r="Q364" s="299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45495</v>
      </c>
      <c r="C365" s="286" t="n">
        <v>222</v>
      </c>
      <c r="D365" s="287" t="inlineStr">
        <is>
          <t>Rags - Gloves</t>
        </is>
      </c>
      <c r="E365" s="288" t="inlineStr">
        <is>
          <t>-</t>
        </is>
      </c>
      <c r="F365" s="292" t="n">
        <v>70000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8" t="n"/>
      <c r="M365" s="288" t="n"/>
      <c r="N365" s="289">
        <f>$F365*$H365</f>
        <v/>
      </c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" customHeight="1">
      <c r="B366" s="285" t="n">
        <v>45498</v>
      </c>
      <c r="C366" s="286" t="n">
        <v>223</v>
      </c>
      <c r="D366" s="287" t="inlineStr">
        <is>
          <t>Snacks</t>
        </is>
      </c>
      <c r="E366" s="288" t="inlineStr">
        <is>
          <t>-</t>
        </is>
      </c>
      <c r="F366" s="292" t="n">
        <v>195000</v>
      </c>
      <c r="G366" s="286" t="inlineStr">
        <is>
          <t>IDR</t>
        </is>
      </c>
      <c r="H366" s="290" t="n">
        <v>1</v>
      </c>
      <c r="I366" s="288" t="n"/>
      <c r="J366" s="288" t="n"/>
      <c r="K366" s="288" t="n"/>
      <c r="L366" s="288" t="n"/>
      <c r="M366" s="288" t="n"/>
      <c r="N366" s="289">
        <f>$F366*$H366</f>
        <v/>
      </c>
      <c r="O366" s="288" t="n"/>
      <c r="P366" s="288" t="n"/>
      <c r="Q366" s="288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" customHeight="1">
      <c r="B367" s="285" t="n">
        <v>45498</v>
      </c>
      <c r="C367" s="286" t="n">
        <v>224</v>
      </c>
      <c r="D367" s="287" t="inlineStr">
        <is>
          <t>Battery for DTR (Spare)</t>
        </is>
      </c>
      <c r="E367" s="288" t="inlineStr">
        <is>
          <t>-</t>
        </is>
      </c>
      <c r="F367" s="292" t="n">
        <v>38900</v>
      </c>
      <c r="G367" s="286" t="inlineStr">
        <is>
          <t>IDR</t>
        </is>
      </c>
      <c r="H367" s="290" t="n">
        <v>1</v>
      </c>
      <c r="I367" s="288" t="n"/>
      <c r="J367" s="288" t="n"/>
      <c r="K367" s="288" t="n"/>
      <c r="L367" s="288" t="n"/>
      <c r="M367" s="288" t="n"/>
      <c r="N367" s="289">
        <f>$F367*$H367</f>
        <v/>
      </c>
      <c r="O367" s="288" t="n"/>
      <c r="P367" s="288" t="n"/>
      <c r="Q367" s="288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.5" customHeight="1">
      <c r="B368" s="296" t="inlineStr">
        <is>
          <t>Expense#24</t>
        </is>
      </c>
      <c r="C368" s="297" t="inlineStr">
        <is>
          <t>:</t>
        </is>
      </c>
      <c r="D368" s="296" t="inlineStr">
        <is>
          <t>ALFA JOB - JRK 163 (training 2nd_ IBR)</t>
        </is>
      </c>
      <c r="E368" s="297" t="n"/>
      <c r="F368" s="298" t="n"/>
      <c r="G368" s="297" t="n"/>
      <c r="H368" s="297" t="n"/>
      <c r="I368" s="297" t="n"/>
      <c r="J368" s="297" t="n"/>
      <c r="K368" s="297" t="n"/>
      <c r="L368" s="297" t="n"/>
      <c r="M368" s="297" t="n"/>
      <c r="N368" s="297" t="n"/>
      <c r="O368" s="297" t="n"/>
      <c r="P368" s="297" t="n"/>
      <c r="Q368" s="297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.5" customHeight="1">
      <c r="B369" s="299" t="n"/>
      <c r="C369" s="299" t="n"/>
      <c r="D369" s="282" t="inlineStr">
        <is>
          <t>Allowance</t>
        </is>
      </c>
      <c r="E369" s="299" t="n"/>
      <c r="F369" s="300" t="n"/>
      <c r="G369" s="299" t="n"/>
      <c r="H369" s="299" t="n"/>
      <c r="I369" s="299" t="n"/>
      <c r="J369" s="299" t="n"/>
      <c r="K369" s="299" t="n"/>
      <c r="L369" s="299" t="n"/>
      <c r="M369" s="299" t="n"/>
      <c r="N369" s="299" t="n"/>
      <c r="O369" s="299" t="n"/>
      <c r="P369" s="299" t="n"/>
      <c r="Q369" s="299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45463</v>
      </c>
      <c r="C370" s="286" t="n">
        <v>225</v>
      </c>
      <c r="D370" s="287" t="inlineStr">
        <is>
          <t>Tunjangan LapanganJRK-163 (16 - 19 Juni 2024) pending job</t>
        </is>
      </c>
      <c r="E370" s="288" t="inlineStr">
        <is>
          <t>-</t>
        </is>
      </c>
      <c r="F370" s="292" t="n">
        <v>100</v>
      </c>
      <c r="G370" s="286" t="inlineStr">
        <is>
          <t>$</t>
        </is>
      </c>
      <c r="H370" s="290" t="n">
        <v>16300</v>
      </c>
      <c r="I370" s="288" t="n"/>
      <c r="J370" s="288" t="n"/>
      <c r="K370" s="288" t="n"/>
      <c r="L370" s="289">
        <f>$F370*$H370</f>
        <v/>
      </c>
      <c r="M370" s="288" t="n"/>
      <c r="N370" s="288" t="n"/>
      <c r="O370" s="288" t="n"/>
      <c r="P370" s="288" t="n"/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45501</v>
      </c>
      <c r="C371" s="286" t="n">
        <v>226</v>
      </c>
      <c r="D371" s="287" t="inlineStr">
        <is>
          <t>Tunjangan Lapangan JRK-163 (21 - 27 Juli 2024)</t>
        </is>
      </c>
      <c r="E371" s="288" t="inlineStr">
        <is>
          <t>-</t>
        </is>
      </c>
      <c r="F371" s="292" t="n">
        <v>175</v>
      </c>
      <c r="G371" s="286" t="inlineStr">
        <is>
          <t>$</t>
        </is>
      </c>
      <c r="H371" s="290" t="n">
        <v>16300</v>
      </c>
      <c r="I371" s="288" t="n"/>
      <c r="J371" s="288" t="n"/>
      <c r="K371" s="288" t="n"/>
      <c r="L371" s="289">
        <f>$F371*$H371</f>
        <v/>
      </c>
      <c r="M371" s="288" t="n"/>
      <c r="N371" s="288" t="n"/>
      <c r="O371" s="288" t="n"/>
      <c r="P371" s="288" t="n"/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9" t="n"/>
      <c r="C372" s="299" t="n"/>
      <c r="D372" s="282" t="inlineStr">
        <is>
          <t>Biaya Operasi</t>
        </is>
      </c>
      <c r="E372" s="299" t="n"/>
      <c r="F372" s="300" t="n"/>
      <c r="G372" s="299" t="n"/>
      <c r="H372" s="299" t="n"/>
      <c r="I372" s="299" t="n"/>
      <c r="J372" s="299" t="n"/>
      <c r="K372" s="299" t="n"/>
      <c r="L372" s="299" t="n"/>
      <c r="M372" s="299" t="n"/>
      <c r="N372" s="299" t="n"/>
      <c r="O372" s="299" t="n"/>
      <c r="P372" s="299" t="n"/>
      <c r="Q372" s="299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" customHeight="1">
      <c r="B373" s="285" t="n">
        <v>45463</v>
      </c>
      <c r="C373" s="286" t="n">
        <v>227</v>
      </c>
      <c r="D373" s="287" t="inlineStr">
        <is>
          <t>Uang makan (16 - 19 June 2024) pending job /Job Postponed</t>
        </is>
      </c>
      <c r="E373" s="288" t="inlineStr">
        <is>
          <t>-</t>
        </is>
      </c>
      <c r="F373" s="292" t="n">
        <v>600000</v>
      </c>
      <c r="G373" s="286" t="inlineStr">
        <is>
          <t>IDR</t>
        </is>
      </c>
      <c r="H373" s="290" t="n">
        <v>1</v>
      </c>
      <c r="I373" s="288" t="n"/>
      <c r="J373" s="288" t="n"/>
      <c r="K373" s="288" t="n"/>
      <c r="L373" s="289">
        <f>$F373*$H373</f>
        <v/>
      </c>
      <c r="M373" s="288" t="n"/>
      <c r="N373" s="288" t="n"/>
      <c r="O373" s="288" t="n"/>
      <c r="P373" s="288" t="n"/>
      <c r="Q373" s="288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45463</v>
      </c>
      <c r="C374" s="286" t="n">
        <v>228</v>
      </c>
      <c r="D374" s="287" t="inlineStr">
        <is>
          <t>Laundry (16 - 19 June 2024) pending job /Job Postponed</t>
        </is>
      </c>
      <c r="E374" s="288" t="inlineStr">
        <is>
          <t>-</t>
        </is>
      </c>
      <c r="F374" s="289" t="n">
        <v>200000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" customHeight="1">
      <c r="B375" s="285" t="n">
        <v>45501</v>
      </c>
      <c r="C375" s="286" t="n">
        <v>229</v>
      </c>
      <c r="D375" s="287" t="inlineStr">
        <is>
          <t>Uang makan (21 - 27 Juli 2024)</t>
        </is>
      </c>
      <c r="E375" s="288" t="inlineStr">
        <is>
          <t>-</t>
        </is>
      </c>
      <c r="F375" s="292" t="n">
        <v>1050000</v>
      </c>
      <c r="G375" s="286" t="inlineStr">
        <is>
          <t>IDR</t>
        </is>
      </c>
      <c r="H375" s="290" t="n">
        <v>1</v>
      </c>
      <c r="I375" s="288" t="n"/>
      <c r="J375" s="288" t="n"/>
      <c r="K375" s="288" t="n"/>
      <c r="L375" s="289">
        <f>$F375*$H375</f>
        <v/>
      </c>
      <c r="M375" s="288" t="n"/>
      <c r="N375" s="288" t="n"/>
      <c r="O375" s="288" t="n"/>
      <c r="P375" s="288" t="n"/>
      <c r="Q375" s="288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45501</v>
      </c>
      <c r="C376" s="286" t="n">
        <v>230</v>
      </c>
      <c r="D376" s="287" t="inlineStr">
        <is>
          <t>Laundry (21 - 27 Juli 2024)</t>
        </is>
      </c>
      <c r="E376" s="288" t="inlineStr">
        <is>
          <t>-</t>
        </is>
      </c>
      <c r="F376" s="292" t="n">
        <v>350000</v>
      </c>
      <c r="G376" s="286" t="inlineStr">
        <is>
          <t>IDR</t>
        </is>
      </c>
      <c r="H376" s="290" t="n">
        <v>1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6" t="inlineStr">
        <is>
          <t>Expense#25</t>
        </is>
      </c>
      <c r="C377" s="297" t="inlineStr">
        <is>
          <t>:</t>
        </is>
      </c>
      <c r="D377" s="296" t="inlineStr">
        <is>
          <t>TIS-Blora Field-PLT ALFA BHS by BARIKIN - IC</t>
        </is>
      </c>
      <c r="E377" s="297" t="n"/>
      <c r="F377" s="298" t="n"/>
      <c r="G377" s="297" t="n"/>
      <c r="H377" s="297" t="n"/>
      <c r="I377" s="297" t="n"/>
      <c r="J377" s="297" t="n"/>
      <c r="K377" s="297" t="n"/>
      <c r="L377" s="297" t="n"/>
      <c r="M377" s="297" t="n"/>
      <c r="N377" s="297" t="n"/>
      <c r="O377" s="297" t="n"/>
      <c r="P377" s="297" t="n"/>
      <c r="Q377" s="297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.5" customHeight="1">
      <c r="B378" s="299" t="n"/>
      <c r="C378" s="299" t="n"/>
      <c r="D378" s="282" t="inlineStr">
        <is>
          <t>Allowance</t>
        </is>
      </c>
      <c r="E378" s="299" t="n"/>
      <c r="F378" s="300" t="n"/>
      <c r="G378" s="299" t="n"/>
      <c r="H378" s="299" t="n"/>
      <c r="I378" s="299" t="n"/>
      <c r="J378" s="299" t="n"/>
      <c r="K378" s="299" t="n"/>
      <c r="L378" s="299" t="n"/>
      <c r="M378" s="299" t="n"/>
      <c r="N378" s="299" t="n"/>
      <c r="O378" s="299" t="n"/>
      <c r="P378" s="299" t="n"/>
      <c r="Q378" s="299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45512</v>
      </c>
      <c r="C379" s="286" t="n">
        <v>231</v>
      </c>
      <c r="D379" s="287" t="inlineStr">
        <is>
          <t>Tunjangan Lapangan for 10 days</t>
        </is>
      </c>
      <c r="E379" s="288" t="inlineStr">
        <is>
          <t>-</t>
        </is>
      </c>
      <c r="F379" s="292" t="n">
        <v>1000</v>
      </c>
      <c r="G379" s="286" t="inlineStr">
        <is>
          <t>USD</t>
        </is>
      </c>
      <c r="H379" s="290" t="n">
        <v>16100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Laundry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45511</v>
      </c>
      <c r="C381" s="286" t="n">
        <v>232</v>
      </c>
      <c r="D381" s="287" t="inlineStr">
        <is>
          <t>Laundry 10 days 1 Persons @ 50K IDR/day</t>
        </is>
      </c>
      <c r="E381" s="288" t="inlineStr">
        <is>
          <t>-</t>
        </is>
      </c>
      <c r="F381" s="292" t="n">
        <v>500000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9">
        <f>$F381*$H381</f>
        <v/>
      </c>
      <c r="M381" s="288" t="n"/>
      <c r="N381" s="288" t="n"/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Meal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45511</v>
      </c>
      <c r="C383" s="286" t="n">
        <v>233</v>
      </c>
      <c r="D383" s="287" t="inlineStr">
        <is>
          <t>Meals 10 days 1 Persons @ 150K IDR/day</t>
        </is>
      </c>
      <c r="E383" s="288" t="inlineStr">
        <is>
          <t>-</t>
        </is>
      </c>
      <c r="F383" s="301" t="n">
        <v>1500000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" customHeight="1">
      <c r="B384" s="285" t="n">
        <v>45516</v>
      </c>
      <c r="C384" s="286" t="n">
        <v>234</v>
      </c>
      <c r="D384" s="287" t="inlineStr">
        <is>
          <t>Pelican Long Case 1770</t>
        </is>
      </c>
      <c r="E384" s="288" t="inlineStr">
        <is>
          <t>-</t>
        </is>
      </c>
      <c r="F384" s="301" t="n">
        <v>15166600</v>
      </c>
      <c r="G384" s="286" t="inlineStr">
        <is>
          <t>IDR</t>
        </is>
      </c>
      <c r="H384" s="290" t="n">
        <v>1</v>
      </c>
      <c r="I384" s="288" t="n"/>
      <c r="J384" s="288" t="n"/>
      <c r="K384" s="288" t="n"/>
      <c r="L384" s="288" t="n"/>
      <c r="M384" s="288" t="n"/>
      <c r="N384" s="289">
        <f>$F384*$H384</f>
        <v/>
      </c>
      <c r="O384" s="288" t="n"/>
      <c r="P384" s="288" t="n"/>
      <c r="Q384" s="288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.5" customHeight="1">
      <c r="B385" s="296" t="inlineStr">
        <is>
          <t>Expense#26</t>
        </is>
      </c>
      <c r="C385" s="297" t="inlineStr">
        <is>
          <t>:</t>
        </is>
      </c>
      <c r="D385" s="296" t="inlineStr">
        <is>
          <t>ALFA-MPLT-BHS_ RBG 3B PT. TIS under Barikin sakti _DS</t>
        </is>
      </c>
      <c r="E385" s="297" t="n"/>
      <c r="F385" s="302" t="n"/>
      <c r="G385" s="297" t="n"/>
      <c r="H385" s="297" t="n"/>
      <c r="I385" s="297" t="n"/>
      <c r="J385" s="297" t="n"/>
      <c r="K385" s="297" t="n"/>
      <c r="L385" s="297" t="n"/>
      <c r="M385" s="297" t="n"/>
      <c r="N385" s="297" t="n"/>
      <c r="O385" s="297" t="n"/>
      <c r="P385" s="297" t="n"/>
      <c r="Q385" s="297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Accommodation</t>
        </is>
      </c>
      <c r="E386" s="299" t="n"/>
      <c r="F386" s="303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45507</v>
      </c>
      <c r="C387" s="286" t="n">
        <v>235</v>
      </c>
      <c r="D387" s="287" t="inlineStr">
        <is>
          <t>Hotel 3 Aug - 6 Aug 2024 (2 rooms)</t>
        </is>
      </c>
      <c r="E387" s="288" t="inlineStr">
        <is>
          <t>-</t>
        </is>
      </c>
      <c r="F387" s="301" t="n">
        <v>1591200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9">
        <f>$F387*$H387</f>
        <v/>
      </c>
      <c r="M387" s="288" t="n"/>
      <c r="N387" s="288" t="n"/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45509</v>
      </c>
      <c r="C388" s="286" t="n">
        <v>236</v>
      </c>
      <c r="D388" s="287" t="inlineStr">
        <is>
          <t>Hotel 6 Aug - 7 Aug 2024 (2 rooms)</t>
        </is>
      </c>
      <c r="E388" s="288" t="inlineStr">
        <is>
          <t>-</t>
        </is>
      </c>
      <c r="F388" s="301" t="n">
        <v>795600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9">
        <f>$F388*$H388</f>
        <v/>
      </c>
      <c r="M388" s="288" t="n"/>
      <c r="N388" s="288" t="n"/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" customHeight="1">
      <c r="B389" s="285" t="n">
        <v>45511</v>
      </c>
      <c r="C389" s="286" t="n">
        <v>237</v>
      </c>
      <c r="D389" s="287" t="inlineStr">
        <is>
          <t>Uang Makan (3 - 7 Aug 2024)</t>
        </is>
      </c>
      <c r="E389" s="288" t="inlineStr">
        <is>
          <t>-</t>
        </is>
      </c>
      <c r="F389" s="301" t="n">
        <v>750000</v>
      </c>
      <c r="G389" s="286" t="inlineStr">
        <is>
          <t>IDR</t>
        </is>
      </c>
      <c r="H389" s="290" t="n">
        <v>1</v>
      </c>
      <c r="I389" s="288" t="n"/>
      <c r="J389" s="288" t="n"/>
      <c r="K389" s="288" t="n"/>
      <c r="L389" s="289">
        <f>$F389*$H389</f>
        <v/>
      </c>
      <c r="M389" s="288" t="n"/>
      <c r="N389" s="288" t="n"/>
      <c r="O389" s="288" t="n"/>
      <c r="P389" s="288" t="n"/>
      <c r="Q389" s="288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.5" customHeight="1">
      <c r="B390" s="299" t="n"/>
      <c r="C390" s="299" t="n"/>
      <c r="D390" s="282" t="inlineStr">
        <is>
          <t>Allowance</t>
        </is>
      </c>
      <c r="E390" s="299" t="n"/>
      <c r="F390" s="303" t="n"/>
      <c r="G390" s="299" t="n"/>
      <c r="H390" s="299" t="n"/>
      <c r="I390" s="299" t="n"/>
      <c r="J390" s="299" t="n"/>
      <c r="K390" s="299" t="n"/>
      <c r="L390" s="299" t="n"/>
      <c r="M390" s="299" t="n"/>
      <c r="N390" s="299" t="n"/>
      <c r="O390" s="299" t="n"/>
      <c r="P390" s="299" t="n"/>
      <c r="Q390" s="299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45511</v>
      </c>
      <c r="C391" s="286" t="n">
        <v>238</v>
      </c>
      <c r="D391" s="287" t="inlineStr">
        <is>
          <t>Tunjangan LapanganRBG-3B PT. TIS (3-7 Aug 2024)</t>
        </is>
      </c>
      <c r="E391" s="288" t="inlineStr">
        <is>
          <t>-</t>
        </is>
      </c>
      <c r="F391" s="301" t="n">
        <v>7950000</v>
      </c>
      <c r="G391" s="286" t="inlineStr">
        <is>
          <t>IDR</t>
        </is>
      </c>
      <c r="H391" s="290" t="n">
        <v>15900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.5" customHeight="1">
      <c r="B392" s="299" t="n"/>
      <c r="C392" s="299" t="n"/>
      <c r="D392" s="282" t="inlineStr">
        <is>
          <t>Biaya Operasi</t>
        </is>
      </c>
      <c r="E392" s="299" t="n"/>
      <c r="F392" s="299" t="n"/>
      <c r="G392" s="299" t="n"/>
      <c r="H392" s="299" t="n"/>
      <c r="I392" s="299" t="n"/>
      <c r="J392" s="299" t="n"/>
      <c r="K392" s="299" t="n"/>
      <c r="L392" s="299" t="n"/>
      <c r="M392" s="299" t="n"/>
      <c r="N392" s="299" t="n"/>
      <c r="O392" s="299" t="n"/>
      <c r="P392" s="299" t="n"/>
      <c r="Q392" s="299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45507</v>
      </c>
      <c r="C393" s="286" t="n">
        <v>239</v>
      </c>
      <c r="D393" s="287" t="inlineStr">
        <is>
          <t>Jakarta - Semarang</t>
        </is>
      </c>
      <c r="E393" s="288" t="inlineStr">
        <is>
          <t>-</t>
        </is>
      </c>
      <c r="F393" s="301" t="n">
        <v>673500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.5" customHeight="1">
      <c r="B394" s="299" t="n"/>
      <c r="C394" s="299" t="n"/>
      <c r="D394" s="282" t="inlineStr">
        <is>
          <t>Laundry</t>
        </is>
      </c>
      <c r="E394" s="299" t="n"/>
      <c r="F394" s="303" t="n"/>
      <c r="G394" s="299" t="n"/>
      <c r="H394" s="299" t="n"/>
      <c r="I394" s="299" t="n"/>
      <c r="J394" s="299" t="n"/>
      <c r="K394" s="299" t="n"/>
      <c r="L394" s="299" t="n"/>
      <c r="M394" s="299" t="n"/>
      <c r="N394" s="299" t="n"/>
      <c r="O394" s="299" t="n"/>
      <c r="P394" s="299" t="n"/>
      <c r="Q394" s="299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45511</v>
      </c>
      <c r="C395" s="286" t="n">
        <v>240</v>
      </c>
      <c r="D395" s="287" t="inlineStr">
        <is>
          <t>Laundry (3 - 7 Aug 2024)</t>
        </is>
      </c>
      <c r="E395" s="288" t="inlineStr">
        <is>
          <t>-</t>
        </is>
      </c>
      <c r="F395" s="301" t="n">
        <v>250000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.5" customHeight="1">
      <c r="B396" s="299" t="n"/>
      <c r="C396" s="299" t="n"/>
      <c r="D396" s="282" t="inlineStr">
        <is>
          <t>Transportation</t>
        </is>
      </c>
      <c r="E396" s="299" t="n"/>
      <c r="F396" s="303" t="n"/>
      <c r="G396" s="299" t="n"/>
      <c r="H396" s="299" t="n"/>
      <c r="I396" s="299" t="n"/>
      <c r="J396" s="299" t="n"/>
      <c r="K396" s="299" t="n"/>
      <c r="L396" s="299" t="n"/>
      <c r="M396" s="299" t="n"/>
      <c r="N396" s="299" t="n"/>
      <c r="O396" s="299" t="n"/>
      <c r="P396" s="299" t="n"/>
      <c r="Q396" s="299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" customHeight="1">
      <c r="B397" s="285" t="n">
        <v>45507</v>
      </c>
      <c r="C397" s="286" t="n">
        <v>241</v>
      </c>
      <c r="D397" s="287" t="inlineStr">
        <is>
          <t>Taxi+Tol Serpong - Gambir</t>
        </is>
      </c>
      <c r="E397" s="288" t="inlineStr">
        <is>
          <t>-</t>
        </is>
      </c>
      <c r="F397" s="301" t="n">
        <v>154000</v>
      </c>
      <c r="G397" s="286" t="inlineStr">
        <is>
          <t>IDR</t>
        </is>
      </c>
      <c r="H397" s="290" t="n">
        <v>1</v>
      </c>
      <c r="I397" s="288" t="n"/>
      <c r="J397" s="288" t="n"/>
      <c r="K397" s="288" t="n"/>
      <c r="L397" s="289">
        <f>$F397*$H397</f>
        <v/>
      </c>
      <c r="M397" s="288" t="n"/>
      <c r="N397" s="288" t="n"/>
      <c r="O397" s="288" t="n"/>
      <c r="P397" s="288" t="n"/>
      <c r="Q397" s="288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" customHeight="1">
      <c r="B398" s="285" t="n">
        <v>45507</v>
      </c>
      <c r="C398" s="286" t="n">
        <v>242</v>
      </c>
      <c r="D398" s="287" t="inlineStr">
        <is>
          <t>Gocar St. Tawang - PT. TIS</t>
        </is>
      </c>
      <c r="E398" s="288" t="inlineStr">
        <is>
          <t>-</t>
        </is>
      </c>
      <c r="F398" s="301" t="n">
        <v>129000</v>
      </c>
      <c r="G398" s="286" t="inlineStr">
        <is>
          <t>IDR</t>
        </is>
      </c>
      <c r="H398" s="290" t="n">
        <v>1</v>
      </c>
      <c r="I398" s="288" t="n"/>
      <c r="J398" s="288" t="n"/>
      <c r="K398" s="288" t="n"/>
      <c r="L398" s="289">
        <f>$F398*$H398</f>
        <v/>
      </c>
      <c r="M398" s="288" t="n"/>
      <c r="N398" s="288" t="n"/>
      <c r="O398" s="288" t="n"/>
      <c r="P398" s="288" t="n"/>
      <c r="Q398" s="288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45511</v>
      </c>
      <c r="C399" s="286" t="n">
        <v>243</v>
      </c>
      <c r="D399" s="287" t="inlineStr">
        <is>
          <t>Gocar Hotel to Tawang</t>
        </is>
      </c>
      <c r="E399" s="288" t="inlineStr">
        <is>
          <t>-</t>
        </is>
      </c>
      <c r="F399" s="301" t="n">
        <v>45000</v>
      </c>
      <c r="G399" s="286" t="inlineStr">
        <is>
          <t>IDR</t>
        </is>
      </c>
      <c r="H399" s="290" t="n">
        <v>1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.5" customHeight="1">
      <c r="B400" s="296" t="inlineStr">
        <is>
          <t>Expense#27</t>
        </is>
      </c>
      <c r="C400" s="297" t="inlineStr">
        <is>
          <t>:</t>
        </is>
      </c>
      <c r="D400" s="296" t="inlineStr">
        <is>
          <t>Non tripo 1st -- MCU + Pembelian barang kelengkapan pump AC</t>
        </is>
      </c>
      <c r="E400" s="297" t="n"/>
      <c r="F400" s="302" t="n"/>
      <c r="G400" s="297" t="n"/>
      <c r="H400" s="297" t="n"/>
      <c r="I400" s="297" t="n"/>
      <c r="J400" s="297" t="n"/>
      <c r="K400" s="297" t="n"/>
      <c r="L400" s="297" t="n"/>
      <c r="M400" s="297" t="n"/>
      <c r="N400" s="297" t="n"/>
      <c r="O400" s="297" t="n"/>
      <c r="P400" s="297" t="n"/>
      <c r="Q400" s="297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Logistic</t>
        </is>
      </c>
      <c r="E401" s="299" t="n"/>
      <c r="F401" s="303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45476</v>
      </c>
      <c r="C402" s="286" t="n">
        <v>244</v>
      </c>
      <c r="D402" s="287" t="inlineStr">
        <is>
          <t>Coffe drink visit to MEPI Jakarta ( Bondan)</t>
        </is>
      </c>
      <c r="E402" s="288" t="inlineStr">
        <is>
          <t>-</t>
        </is>
      </c>
      <c r="F402" s="301" t="n">
        <v>144100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45477</v>
      </c>
      <c r="C403" s="286" t="n">
        <v>245</v>
      </c>
      <c r="D403" s="287" t="inlineStr">
        <is>
          <t>Meal lunch when inspect Sample tool</t>
        </is>
      </c>
      <c r="E403" s="288" t="inlineStr">
        <is>
          <t>-</t>
        </is>
      </c>
      <c r="F403" s="301" t="n">
        <v>157000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" customHeight="1">
      <c r="B404" s="285" t="n">
        <v>45484</v>
      </c>
      <c r="C404" s="286" t="n">
        <v>246</v>
      </c>
      <c r="D404" s="287" t="inlineStr">
        <is>
          <t>Meal lunch when visit to Lemigas (Sample Botol)</t>
        </is>
      </c>
      <c r="E404" s="288" t="inlineStr">
        <is>
          <t>-</t>
        </is>
      </c>
      <c r="F404" s="301" t="n">
        <v>81000</v>
      </c>
      <c r="G404" s="286" t="inlineStr">
        <is>
          <t>IDR</t>
        </is>
      </c>
      <c r="H404" s="290" t="n">
        <v>1</v>
      </c>
      <c r="I404" s="288" t="n"/>
      <c r="J404" s="288" t="n"/>
      <c r="K404" s="288" t="n"/>
      <c r="L404" s="289">
        <f>$F404*$H404</f>
        <v/>
      </c>
      <c r="M404" s="288" t="n"/>
      <c r="N404" s="288" t="n"/>
      <c r="O404" s="288" t="n"/>
      <c r="P404" s="288" t="n"/>
      <c r="Q404" s="288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45497</v>
      </c>
      <c r="C405" s="286" t="n">
        <v>247</v>
      </c>
      <c r="D405" s="287" t="inlineStr">
        <is>
          <t>Buy Tang Bnegkok (Tekiro)</t>
        </is>
      </c>
      <c r="E405" s="288" t="inlineStr">
        <is>
          <t>-</t>
        </is>
      </c>
      <c r="F405" s="301" t="n">
        <v>75000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8" t="n"/>
      <c r="M405" s="288" t="n"/>
      <c r="N405" s="289">
        <f>$F405*$H405</f>
        <v/>
      </c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45498</v>
      </c>
      <c r="C406" s="286" t="n">
        <v>248</v>
      </c>
      <c r="D406" s="287" t="inlineStr">
        <is>
          <t>Buy Hose 1/4"</t>
        </is>
      </c>
      <c r="E406" s="288" t="inlineStr">
        <is>
          <t>-</t>
        </is>
      </c>
      <c r="F406" s="301" t="n">
        <v>133000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8" t="n"/>
      <c r="M406" s="288" t="n"/>
      <c r="N406" s="289">
        <f>$F406*$H406</f>
        <v/>
      </c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" customHeight="1">
      <c r="B407" s="285" t="n">
        <v>45498</v>
      </c>
      <c r="C407" s="286" t="n">
        <v>249</v>
      </c>
      <c r="D407" s="287" t="inlineStr">
        <is>
          <t>Buy Needle Neple</t>
        </is>
      </c>
      <c r="E407" s="288" t="inlineStr">
        <is>
          <t>-</t>
        </is>
      </c>
      <c r="F407" s="301" t="n">
        <v>700000</v>
      </c>
      <c r="G407" s="286" t="inlineStr">
        <is>
          <t>IDR</t>
        </is>
      </c>
      <c r="H407" s="290" t="n">
        <v>1</v>
      </c>
      <c r="I407" s="288" t="n"/>
      <c r="J407" s="288" t="n"/>
      <c r="K407" s="288" t="n"/>
      <c r="L407" s="288" t="n"/>
      <c r="M407" s="288" t="n"/>
      <c r="N407" s="289">
        <f>$F407*$H407</f>
        <v/>
      </c>
      <c r="O407" s="288" t="n"/>
      <c r="P407" s="288" t="n"/>
      <c r="Q407" s="288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" customHeight="1">
      <c r="B408" s="285" t="n">
        <v>45499</v>
      </c>
      <c r="C408" s="286" t="n">
        <v>250</v>
      </c>
      <c r="D408" s="287" t="inlineStr">
        <is>
          <t>buy Adapter</t>
        </is>
      </c>
      <c r="E408" s="288" t="inlineStr">
        <is>
          <t>-</t>
        </is>
      </c>
      <c r="F408" s="289" t="n">
        <v>20000</v>
      </c>
      <c r="G408" s="286" t="inlineStr">
        <is>
          <t>IDR</t>
        </is>
      </c>
      <c r="H408" s="290" t="n">
        <v>1</v>
      </c>
      <c r="I408" s="288" t="n"/>
      <c r="J408" s="288" t="n"/>
      <c r="K408" s="288" t="n"/>
      <c r="L408" s="288" t="n"/>
      <c r="M408" s="288" t="n"/>
      <c r="N408" s="289">
        <f>$F408*$H408</f>
        <v/>
      </c>
      <c r="O408" s="288" t="n"/>
      <c r="P408" s="288" t="n"/>
      <c r="Q408" s="288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45500</v>
      </c>
      <c r="C409" s="286" t="n">
        <v>251</v>
      </c>
      <c r="D409" s="287" t="inlineStr">
        <is>
          <t>Buy Hose 1/4"</t>
        </is>
      </c>
      <c r="E409" s="288" t="inlineStr">
        <is>
          <t>-</t>
        </is>
      </c>
      <c r="F409" s="292" t="n">
        <v>155000</v>
      </c>
      <c r="G409" s="286" t="inlineStr">
        <is>
          <t>IDR</t>
        </is>
      </c>
      <c r="H409" s="290" t="n">
        <v>1</v>
      </c>
      <c r="I409" s="288" t="n"/>
      <c r="J409" s="288" t="n"/>
      <c r="K409" s="288" t="n"/>
      <c r="L409" s="288" t="n"/>
      <c r="M409" s="288" t="n"/>
      <c r="N409" s="289">
        <f>$F409*$H409</f>
        <v/>
      </c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" customHeight="1">
      <c r="B410" s="285" t="n">
        <v>45500</v>
      </c>
      <c r="C410" s="286" t="n">
        <v>252</v>
      </c>
      <c r="D410" s="287" t="inlineStr">
        <is>
          <t>Buy Needle Neple</t>
        </is>
      </c>
      <c r="E410" s="288" t="inlineStr">
        <is>
          <t>-</t>
        </is>
      </c>
      <c r="F410" s="292" t="n">
        <v>660000</v>
      </c>
      <c r="G410" s="286" t="inlineStr">
        <is>
          <t>IDR</t>
        </is>
      </c>
      <c r="H410" s="290" t="n">
        <v>1</v>
      </c>
      <c r="I410" s="288" t="n"/>
      <c r="J410" s="288" t="n"/>
      <c r="K410" s="288" t="n"/>
      <c r="L410" s="288" t="n"/>
      <c r="M410" s="288" t="n"/>
      <c r="N410" s="289">
        <f>$F410*$H410</f>
        <v/>
      </c>
      <c r="O410" s="288" t="n"/>
      <c r="P410" s="288" t="n"/>
      <c r="Q410" s="288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45500</v>
      </c>
      <c r="C411" s="286" t="n">
        <v>253</v>
      </c>
      <c r="D411" s="287" t="inlineStr">
        <is>
          <t>Buy Connection 1/4"</t>
        </is>
      </c>
      <c r="E411" s="288" t="inlineStr">
        <is>
          <t>-</t>
        </is>
      </c>
      <c r="F411" s="292" t="n">
        <v>1760000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8" t="n"/>
      <c r="M411" s="288" t="n"/>
      <c r="N411" s="289">
        <f>$F411*$H411</f>
        <v/>
      </c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" customHeight="1">
      <c r="B412" s="285" t="n">
        <v>45501</v>
      </c>
      <c r="C412" s="286" t="n">
        <v>254</v>
      </c>
      <c r="D412" s="287" t="inlineStr">
        <is>
          <t>Buy Case for tools box dan hydraulic pump</t>
        </is>
      </c>
      <c r="E412" s="288" t="inlineStr">
        <is>
          <t>-</t>
        </is>
      </c>
      <c r="F412" s="292" t="n">
        <v>2636800</v>
      </c>
      <c r="G412" s="286" t="inlineStr">
        <is>
          <t>IDR</t>
        </is>
      </c>
      <c r="H412" s="290" t="n">
        <v>1</v>
      </c>
      <c r="I412" s="288" t="n"/>
      <c r="J412" s="288" t="n"/>
      <c r="K412" s="288" t="n"/>
      <c r="L412" s="288" t="n"/>
      <c r="M412" s="288" t="n"/>
      <c r="N412" s="289">
        <f>$F412*$H412</f>
        <v/>
      </c>
      <c r="O412" s="288" t="n"/>
      <c r="P412" s="288" t="n"/>
      <c r="Q412" s="288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.5" customHeight="1">
      <c r="B413" s="299" t="n"/>
      <c r="C413" s="299" t="n"/>
      <c r="D413" s="282" t="inlineStr">
        <is>
          <t>Medical</t>
        </is>
      </c>
      <c r="E413" s="299" t="n"/>
      <c r="F413" s="300" t="n"/>
      <c r="G413" s="299" t="n"/>
      <c r="H413" s="299" t="n"/>
      <c r="I413" s="299" t="n"/>
      <c r="J413" s="299" t="n"/>
      <c r="K413" s="299" t="n"/>
      <c r="L413" s="299" t="n"/>
      <c r="M413" s="299" t="n"/>
      <c r="N413" s="299" t="n"/>
      <c r="O413" s="299" t="n"/>
      <c r="P413" s="299" t="n"/>
      <c r="Q413" s="299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" customHeight="1">
      <c r="B414" s="285" t="n">
        <v>45110</v>
      </c>
      <c r="C414" s="286" t="n">
        <v>255</v>
      </c>
      <c r="D414" s="287" t="inlineStr">
        <is>
          <t>Pengiriman dokumen ke Rachmansyah-Sijak</t>
        </is>
      </c>
      <c r="E414" s="288" t="inlineStr">
        <is>
          <t>-</t>
        </is>
      </c>
      <c r="F414" s="292" t="n">
        <v>106000</v>
      </c>
      <c r="G414" s="286" t="inlineStr">
        <is>
          <t>IDR</t>
        </is>
      </c>
      <c r="H414" s="290" t="n">
        <v>1</v>
      </c>
      <c r="I414" s="288" t="n"/>
      <c r="J414" s="288" t="n"/>
      <c r="K414" s="288" t="n"/>
      <c r="L414" s="289">
        <f>$F414*$H414</f>
        <v/>
      </c>
      <c r="M414" s="288" t="n"/>
      <c r="N414" s="288" t="n"/>
      <c r="O414" s="288" t="n"/>
      <c r="P414" s="288" t="n"/>
      <c r="Q414" s="288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45474</v>
      </c>
      <c r="C415" s="286" t="n">
        <v>256</v>
      </c>
      <c r="D415" s="287" t="inlineStr">
        <is>
          <t>Biaya MCU di RSPP</t>
        </is>
      </c>
      <c r="E415" s="288" t="inlineStr">
        <is>
          <t>-</t>
        </is>
      </c>
      <c r="F415" s="292" t="n">
        <v>5630000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8" t="n"/>
      <c r="O415" s="288" t="n"/>
      <c r="P415" s="289">
        <f>$F415*$H415</f>
        <v/>
      </c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" customHeight="1">
      <c r="B416" s="285" t="n">
        <v>45476</v>
      </c>
      <c r="C416" s="286" t="n">
        <v>257</v>
      </c>
      <c r="D416" s="287" t="inlineStr">
        <is>
          <t>Biaya Konsul Dokter Jantung</t>
        </is>
      </c>
      <c r="E416" s="288" t="inlineStr">
        <is>
          <t>-</t>
        </is>
      </c>
      <c r="F416" s="292" t="n">
        <v>460000</v>
      </c>
      <c r="G416" s="286" t="inlineStr">
        <is>
          <t>IDR</t>
        </is>
      </c>
      <c r="H416" s="290" t="n">
        <v>1</v>
      </c>
      <c r="I416" s="288" t="n"/>
      <c r="J416" s="288" t="n"/>
      <c r="K416" s="288" t="n"/>
      <c r="L416" s="288" t="n"/>
      <c r="M416" s="288" t="n"/>
      <c r="N416" s="288" t="n"/>
      <c r="O416" s="288" t="n"/>
      <c r="P416" s="289">
        <f>$F416*$H416</f>
        <v/>
      </c>
      <c r="Q416" s="288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" customHeight="1">
      <c r="B417" s="285" t="n">
        <v>45476</v>
      </c>
      <c r="C417" s="286" t="n">
        <v>258</v>
      </c>
      <c r="D417" s="287" t="inlineStr">
        <is>
          <t>Biaya Echo_ kardio non Invasif</t>
        </is>
      </c>
      <c r="E417" s="288" t="inlineStr">
        <is>
          <t>-</t>
        </is>
      </c>
      <c r="F417" s="292" t="n">
        <v>2108000</v>
      </c>
      <c r="G417" s="286" t="inlineStr">
        <is>
          <t>IDR</t>
        </is>
      </c>
      <c r="H417" s="290" t="n">
        <v>1</v>
      </c>
      <c r="I417" s="288" t="n"/>
      <c r="J417" s="288" t="n"/>
      <c r="K417" s="288" t="n"/>
      <c r="L417" s="288" t="n"/>
      <c r="M417" s="288" t="n"/>
      <c r="N417" s="288" t="n"/>
      <c r="O417" s="288" t="n"/>
      <c r="P417" s="289">
        <f>$F417*$H417</f>
        <v/>
      </c>
      <c r="Q417" s="288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45482</v>
      </c>
      <c r="C418" s="286" t="n">
        <v>259</v>
      </c>
      <c r="D418" s="287" t="inlineStr">
        <is>
          <t>Fisioterapi 1st</t>
        </is>
      </c>
      <c r="E418" s="288" t="inlineStr">
        <is>
          <t>-</t>
        </is>
      </c>
      <c r="F418" s="292" t="n">
        <v>285000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8" t="n"/>
      <c r="M418" s="288" t="n"/>
      <c r="N418" s="288" t="n"/>
      <c r="O418" s="288" t="n"/>
      <c r="P418" s="289">
        <f>$F418*$H418</f>
        <v/>
      </c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45483</v>
      </c>
      <c r="C419" s="286" t="n">
        <v>260</v>
      </c>
      <c r="D419" s="287" t="inlineStr">
        <is>
          <t>Biaya Obat Candesartan</t>
        </is>
      </c>
      <c r="E419" s="288" t="inlineStr">
        <is>
          <t>-</t>
        </is>
      </c>
      <c r="F419" s="292" t="n">
        <v>149850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8" t="n"/>
      <c r="M419" s="288" t="n"/>
      <c r="N419" s="288" t="n"/>
      <c r="O419" s="288" t="n"/>
      <c r="P419" s="289">
        <f>$F419*$H419</f>
        <v/>
      </c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" customHeight="1">
      <c r="B420" s="285" t="n">
        <v>45483</v>
      </c>
      <c r="C420" s="286" t="n">
        <v>261</v>
      </c>
      <c r="D420" s="287" t="inlineStr">
        <is>
          <t>Fisioterapi 2nd</t>
        </is>
      </c>
      <c r="E420" s="288" t="inlineStr">
        <is>
          <t>-</t>
        </is>
      </c>
      <c r="F420" s="292" t="n">
        <v>285000</v>
      </c>
      <c r="G420" s="286" t="inlineStr">
        <is>
          <t>IDR</t>
        </is>
      </c>
      <c r="H420" s="290" t="n">
        <v>1</v>
      </c>
      <c r="I420" s="288" t="n"/>
      <c r="J420" s="288" t="n"/>
      <c r="K420" s="288" t="n"/>
      <c r="L420" s="288" t="n"/>
      <c r="M420" s="288" t="n"/>
      <c r="N420" s="288" t="n"/>
      <c r="O420" s="288" t="n"/>
      <c r="P420" s="289">
        <f>$F420*$H420</f>
        <v/>
      </c>
      <c r="Q420" s="288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45484</v>
      </c>
      <c r="C421" s="286" t="n">
        <v>262</v>
      </c>
      <c r="D421" s="287" t="inlineStr">
        <is>
          <t>Fisioterapi 3rd</t>
        </is>
      </c>
      <c r="E421" s="288" t="inlineStr">
        <is>
          <t>-</t>
        </is>
      </c>
      <c r="F421" s="292" t="n">
        <v>285000</v>
      </c>
      <c r="G421" s="286" t="inlineStr">
        <is>
          <t>IDR</t>
        </is>
      </c>
      <c r="H421" s="290" t="n">
        <v>1</v>
      </c>
      <c r="I421" s="288" t="n"/>
      <c r="J421" s="288" t="n"/>
      <c r="K421" s="288" t="n"/>
      <c r="L421" s="288" t="n"/>
      <c r="M421" s="288" t="n"/>
      <c r="N421" s="288" t="n"/>
      <c r="O421" s="288" t="n"/>
      <c r="P421" s="289">
        <f>$F421*$H421</f>
        <v/>
      </c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Transportation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45484</v>
      </c>
      <c r="C423" s="286" t="n">
        <v>263</v>
      </c>
      <c r="D423" s="287" t="inlineStr">
        <is>
          <t>Fuel ( trip ambil tool Sampler and to Andara )</t>
        </is>
      </c>
      <c r="E423" s="288" t="inlineStr">
        <is>
          <t>-</t>
        </is>
      </c>
      <c r="F423" s="292" t="n">
        <v>164100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" customHeight="1">
      <c r="B424" s="285" t="n">
        <v>45484</v>
      </c>
      <c r="C424" s="286" t="n">
        <v>264</v>
      </c>
      <c r="D424" s="287" t="inlineStr">
        <is>
          <t>Fuel ( trip ke Lemigas and Workshop sampler)</t>
        </is>
      </c>
      <c r="E424" s="288" t="inlineStr">
        <is>
          <t>-</t>
        </is>
      </c>
      <c r="F424" s="292" t="n">
        <v>291000</v>
      </c>
      <c r="G424" s="286" t="inlineStr">
        <is>
          <t>IDR</t>
        </is>
      </c>
      <c r="H424" s="290" t="n">
        <v>1</v>
      </c>
      <c r="I424" s="288" t="n"/>
      <c r="J424" s="288" t="n"/>
      <c r="K424" s="288" t="n"/>
      <c r="L424" s="289">
        <f>$F424*$H424</f>
        <v/>
      </c>
      <c r="M424" s="288" t="n"/>
      <c r="N424" s="288" t="n"/>
      <c r="O424" s="288" t="n"/>
      <c r="P424" s="288" t="n"/>
      <c r="Q424" s="288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45490</v>
      </c>
      <c r="C425" s="286" t="n">
        <v>265</v>
      </c>
      <c r="D425" s="287" t="inlineStr">
        <is>
          <t>Fuel ( trip ke Lemigas and Workshop sampler)</t>
        </is>
      </c>
      <c r="E425" s="288" t="inlineStr">
        <is>
          <t>-</t>
        </is>
      </c>
      <c r="F425" s="292" t="n">
        <v>177350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" customHeight="1">
      <c r="B426" s="285" t="n">
        <v>45498</v>
      </c>
      <c r="C426" s="286" t="n">
        <v>266</v>
      </c>
      <c r="D426" s="287" t="inlineStr">
        <is>
          <t>Fuel ( trip ke Barekin Bogor, inspeksi tool)</t>
        </is>
      </c>
      <c r="E426" s="288" t="inlineStr">
        <is>
          <t>-</t>
        </is>
      </c>
      <c r="F426" s="292" t="n">
        <v>319700</v>
      </c>
      <c r="G426" s="286" t="inlineStr">
        <is>
          <t>IDR</t>
        </is>
      </c>
      <c r="H426" s="290" t="n">
        <v>1</v>
      </c>
      <c r="I426" s="288" t="n"/>
      <c r="J426" s="288" t="n"/>
      <c r="K426" s="288" t="n"/>
      <c r="L426" s="289">
        <f>$F426*$H426</f>
        <v/>
      </c>
      <c r="M426" s="288" t="n"/>
      <c r="N426" s="288" t="n"/>
      <c r="O426" s="288" t="n"/>
      <c r="P426" s="288" t="n"/>
      <c r="Q426" s="288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45501</v>
      </c>
      <c r="C427" s="286" t="n">
        <v>267</v>
      </c>
      <c r="D427" s="287" t="inlineStr">
        <is>
          <t>Fuel trip ke Glodok buy Hydralic pump assesories</t>
        </is>
      </c>
      <c r="E427" s="288" t="inlineStr">
        <is>
          <t>-</t>
        </is>
      </c>
      <c r="F427" s="292" t="n">
        <v>217350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6" t="inlineStr">
        <is>
          <t>Expense#28</t>
        </is>
      </c>
      <c r="C428" s="297" t="inlineStr">
        <is>
          <t>:</t>
        </is>
      </c>
      <c r="D428" s="296" t="inlineStr">
        <is>
          <t>ALFA-MPLT-Sampler project TIS Energy Blora_well RBG-3B by Barekin Sakti- AC</t>
        </is>
      </c>
      <c r="E428" s="297" t="n"/>
      <c r="F428" s="298" t="n"/>
      <c r="G428" s="297" t="n"/>
      <c r="H428" s="297" t="n"/>
      <c r="I428" s="297" t="n"/>
      <c r="J428" s="297" t="n"/>
      <c r="K428" s="297" t="n"/>
      <c r="L428" s="297" t="n"/>
      <c r="M428" s="297" t="n"/>
      <c r="N428" s="297" t="n"/>
      <c r="O428" s="297" t="n"/>
      <c r="P428" s="297" t="n"/>
      <c r="Q428" s="297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.5" customHeight="1">
      <c r="B429" s="299" t="n"/>
      <c r="C429" s="299" t="n"/>
      <c r="D429" s="282" t="inlineStr">
        <is>
          <t>Accommodation , Laundry</t>
        </is>
      </c>
      <c r="E429" s="299" t="n"/>
      <c r="F429" s="300" t="n"/>
      <c r="G429" s="299" t="n"/>
      <c r="H429" s="299" t="n"/>
      <c r="I429" s="300" t="n"/>
      <c r="J429" s="300" t="n"/>
      <c r="K429" s="300" t="n"/>
      <c r="L429" s="300" t="n"/>
      <c r="M429" s="300" t="n"/>
      <c r="N429" s="299" t="n"/>
      <c r="O429" s="300" t="n"/>
      <c r="P429" s="300" t="n"/>
      <c r="Q429" s="300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268</v>
      </c>
      <c r="D430" s="287" t="inlineStr">
        <is>
          <t>Hotel for 6 days ( 29 Jul - 3 aug 24)</t>
        </is>
      </c>
      <c r="E430" s="288" t="inlineStr">
        <is>
          <t>-</t>
        </is>
      </c>
      <c r="F430" s="292" t="n">
        <v>2700000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269</v>
      </c>
      <c r="D431" s="287" t="inlineStr">
        <is>
          <t>Laundry dor 10 days @Rp.50.000.</t>
        </is>
      </c>
      <c r="E431" s="288" t="inlineStr">
        <is>
          <t>-</t>
        </is>
      </c>
      <c r="F431" s="292" t="n">
        <v>500000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9" t="n"/>
      <c r="C432" s="299" t="n"/>
      <c r="D432" s="282" t="inlineStr">
        <is>
          <t>Allowance</t>
        </is>
      </c>
      <c r="E432" s="299" t="n"/>
      <c r="F432" s="300" t="n"/>
      <c r="G432" s="299" t="n"/>
      <c r="H432" s="299" t="n"/>
      <c r="I432" s="299" t="n"/>
      <c r="J432" s="299" t="n"/>
      <c r="K432" s="299" t="n"/>
      <c r="L432" s="299" t="n"/>
      <c r="M432" s="299" t="n"/>
      <c r="N432" s="299" t="n"/>
      <c r="O432" s="299" t="n"/>
      <c r="P432" s="299" t="n"/>
      <c r="Q432" s="299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" customHeight="1">
      <c r="B433" s="285" t="n">
        <v>45511</v>
      </c>
      <c r="C433" s="286" t="n">
        <v>270</v>
      </c>
      <c r="D433" s="287" t="inlineStr">
        <is>
          <t>Tunjangan lapangan for 10 days (29Jul - 07Aug24) Anevril</t>
        </is>
      </c>
      <c r="E433" s="288" t="inlineStr">
        <is>
          <t>-</t>
        </is>
      </c>
      <c r="F433" s="292" t="n">
        <v>1000</v>
      </c>
      <c r="G433" s="286" t="inlineStr">
        <is>
          <t>USD</t>
        </is>
      </c>
      <c r="H433" s="290" t="n">
        <v>16100</v>
      </c>
      <c r="I433" s="288" t="n"/>
      <c r="J433" s="288" t="n"/>
      <c r="K433" s="288" t="n"/>
      <c r="L433" s="289">
        <f>$F433*$H433</f>
        <v/>
      </c>
      <c r="M433" s="288" t="n"/>
      <c r="N433" s="288" t="n"/>
      <c r="O433" s="288" t="n"/>
      <c r="P433" s="288" t="n"/>
      <c r="Q433" s="288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.5" customHeight="1">
      <c r="B434" s="299" t="n"/>
      <c r="C434" s="299" t="n"/>
      <c r="D434" s="282" t="inlineStr">
        <is>
          <t>Logistic</t>
        </is>
      </c>
      <c r="E434" s="299" t="n"/>
      <c r="F434" s="300" t="n"/>
      <c r="G434" s="299" t="n"/>
      <c r="H434" s="299" t="n"/>
      <c r="I434" s="299" t="n"/>
      <c r="J434" s="299" t="n"/>
      <c r="K434" s="299" t="n"/>
      <c r="L434" s="299" t="n"/>
      <c r="M434" s="299" t="n"/>
      <c r="N434" s="299" t="n"/>
      <c r="O434" s="299" t="n"/>
      <c r="P434" s="299" t="n"/>
      <c r="Q434" s="299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" customHeight="1">
      <c r="B435" s="285" t="n">
        <v>45476</v>
      </c>
      <c r="C435" s="286" t="n">
        <v>271</v>
      </c>
      <c r="D435" s="287" t="inlineStr">
        <is>
          <t>buy Soft drink</t>
        </is>
      </c>
      <c r="E435" s="288" t="inlineStr">
        <is>
          <t>-</t>
        </is>
      </c>
      <c r="F435" s="292" t="n">
        <v>98000</v>
      </c>
      <c r="G435" s="286" t="inlineStr">
        <is>
          <t>IDR</t>
        </is>
      </c>
      <c r="H435" s="290" t="n">
        <v>1</v>
      </c>
      <c r="I435" s="288" t="n"/>
      <c r="J435" s="288" t="n"/>
      <c r="K435" s="288" t="n"/>
      <c r="L435" s="289">
        <f>$F435*$H435</f>
        <v/>
      </c>
      <c r="M435" s="288" t="n"/>
      <c r="N435" s="288" t="n"/>
      <c r="O435" s="288" t="n"/>
      <c r="P435" s="288" t="n"/>
      <c r="Q435" s="288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45502</v>
      </c>
      <c r="C436" s="286" t="n">
        <v>272</v>
      </c>
      <c r="D436" s="287" t="inlineStr">
        <is>
          <t>buy Soft drink</t>
        </is>
      </c>
      <c r="E436" s="288" t="inlineStr">
        <is>
          <t>-</t>
        </is>
      </c>
      <c r="F436" s="292" t="n">
        <v>199900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9">
        <f>$F436*$H436</f>
        <v/>
      </c>
      <c r="M436" s="288" t="n"/>
      <c r="N436" s="288" t="n"/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45502</v>
      </c>
      <c r="C437" s="286" t="n">
        <v>273</v>
      </c>
      <c r="D437" s="287" t="inlineStr">
        <is>
          <t>w/ Crew Barekin</t>
        </is>
      </c>
      <c r="E437" s="288" t="inlineStr">
        <is>
          <t>-</t>
        </is>
      </c>
      <c r="F437" s="292" t="n">
        <v>275000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9">
        <f>$F437*$H437</f>
        <v/>
      </c>
      <c r="M437" s="288" t="n"/>
      <c r="N437" s="288" t="n"/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" customHeight="1">
      <c r="B438" s="285" t="n">
        <v>45504</v>
      </c>
      <c r="C438" s="286" t="n">
        <v>274</v>
      </c>
      <c r="D438" s="287" t="inlineStr">
        <is>
          <t>buy Soft drink</t>
        </is>
      </c>
      <c r="E438" s="288" t="inlineStr">
        <is>
          <t>-</t>
        </is>
      </c>
      <c r="F438" s="289" t="n">
        <v>69000</v>
      </c>
      <c r="G438" s="286" t="inlineStr">
        <is>
          <t>IDR</t>
        </is>
      </c>
      <c r="H438" s="290" t="n">
        <v>1</v>
      </c>
      <c r="I438" s="288" t="n"/>
      <c r="J438" s="288" t="n"/>
      <c r="K438" s="288" t="n"/>
      <c r="L438" s="289">
        <f>$F438*$H438</f>
        <v/>
      </c>
      <c r="M438" s="288" t="n"/>
      <c r="N438" s="288" t="n"/>
      <c r="O438" s="288" t="n"/>
      <c r="P438" s="288" t="n"/>
      <c r="Q438" s="288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45505</v>
      </c>
      <c r="C439" s="286" t="n">
        <v>275</v>
      </c>
      <c r="D439" s="287" t="inlineStr">
        <is>
          <t>buy Soft drink</t>
        </is>
      </c>
      <c r="E439" s="288" t="inlineStr">
        <is>
          <t>-</t>
        </is>
      </c>
      <c r="F439" s="292" t="n">
        <v>109800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45505</v>
      </c>
      <c r="C440" s="286" t="n">
        <v>276</v>
      </c>
      <c r="D440" s="287" t="inlineStr">
        <is>
          <t>W/ TIS Petroleum personnel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45506</v>
      </c>
      <c r="C441" s="286" t="n">
        <v>277</v>
      </c>
      <c r="D441" s="287" t="inlineStr">
        <is>
          <t>w/ Crew Barekin (buy ice sirop) No reciept</t>
        </is>
      </c>
      <c r="E441" s="288" t="inlineStr">
        <is>
          <t>-</t>
        </is>
      </c>
      <c r="F441" s="292" t="n">
        <v>80000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" customHeight="1">
      <c r="B442" s="285" t="n">
        <v>45507</v>
      </c>
      <c r="C442" s="286" t="n">
        <v>278</v>
      </c>
      <c r="D442" s="287" t="inlineStr">
        <is>
          <t>buy Soft drink</t>
        </is>
      </c>
      <c r="E442" s="288" t="inlineStr">
        <is>
          <t>-</t>
        </is>
      </c>
      <c r="F442" s="292" t="n">
        <v>96600</v>
      </c>
      <c r="G442" s="286" t="inlineStr">
        <is>
          <t>IDR</t>
        </is>
      </c>
      <c r="H442" s="290" t="n">
        <v>1</v>
      </c>
      <c r="I442" s="288" t="n"/>
      <c r="J442" s="288" t="n"/>
      <c r="K442" s="288" t="n"/>
      <c r="L442" s="289">
        <f>$F442*$H442</f>
        <v/>
      </c>
      <c r="M442" s="288" t="n"/>
      <c r="N442" s="288" t="n"/>
      <c r="O442" s="288" t="n"/>
      <c r="P442" s="288" t="n"/>
      <c r="Q442" s="288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45507</v>
      </c>
      <c r="C443" s="286" t="n">
        <v>279</v>
      </c>
      <c r="D443" s="287" t="inlineStr">
        <is>
          <t>w/ TIS Lemigas Personnel</t>
        </is>
      </c>
      <c r="E443" s="288" t="inlineStr">
        <is>
          <t>-</t>
        </is>
      </c>
      <c r="F443" s="292" t="n">
        <v>270350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9">
        <f>$F443*$H443</f>
        <v/>
      </c>
      <c r="M443" s="288" t="n"/>
      <c r="N443" s="288" t="n"/>
      <c r="O443" s="288" t="n"/>
      <c r="P443" s="288" t="n"/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45507</v>
      </c>
      <c r="C444" s="286" t="n">
        <v>280</v>
      </c>
      <c r="D444" s="287" t="inlineStr">
        <is>
          <t>w/ TIS Petroleum Personnel</t>
        </is>
      </c>
      <c r="E444" s="288" t="inlineStr">
        <is>
          <t>-</t>
        </is>
      </c>
      <c r="F444" s="292" t="n">
        <v>401000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9">
        <f>$F444*$H444</f>
        <v/>
      </c>
      <c r="M444" s="288" t="n"/>
      <c r="N444" s="288" t="n"/>
      <c r="O444" s="288" t="n"/>
      <c r="P444" s="288" t="n"/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45508</v>
      </c>
      <c r="C445" s="286" t="n">
        <v>281</v>
      </c>
      <c r="D445" s="287" t="inlineStr">
        <is>
          <t>buy Soft drink</t>
        </is>
      </c>
      <c r="E445" s="288" t="inlineStr">
        <is>
          <t>-</t>
        </is>
      </c>
      <c r="F445" s="292" t="n">
        <v>56600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9">
        <f>$F445*$H445</f>
        <v/>
      </c>
      <c r="M445" s="288" t="n"/>
      <c r="N445" s="288" t="n"/>
      <c r="O445" s="288" t="n"/>
      <c r="P445" s="288" t="n"/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45510</v>
      </c>
      <c r="C446" s="286" t="n">
        <v>282</v>
      </c>
      <c r="D446" s="287" t="inlineStr">
        <is>
          <t>buy Soft drink</t>
        </is>
      </c>
      <c r="E446" s="288" t="inlineStr">
        <is>
          <t>-</t>
        </is>
      </c>
      <c r="F446" s="292" t="n">
        <v>118100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9">
        <f>$F446*$H446</f>
        <v/>
      </c>
      <c r="M446" s="288" t="n"/>
      <c r="N446" s="288" t="n"/>
      <c r="O446" s="288" t="n"/>
      <c r="P446" s="288" t="n"/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45511</v>
      </c>
      <c r="C447" s="286" t="n">
        <v>283</v>
      </c>
      <c r="D447" s="287" t="inlineStr">
        <is>
          <t>Meal utk 10 hari (29 Jul -7Aug-24) @Rp. 150.000</t>
        </is>
      </c>
      <c r="E447" s="288" t="inlineStr">
        <is>
          <t>-</t>
        </is>
      </c>
      <c r="F447" s="292" t="n">
        <v>1500000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9">
        <f>$F447*$H447</f>
        <v/>
      </c>
      <c r="M447" s="288" t="n"/>
      <c r="N447" s="288" t="n"/>
      <c r="O447" s="288" t="n"/>
      <c r="P447" s="288" t="n"/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45505</v>
      </c>
      <c r="C448" s="286" t="n">
        <v>284</v>
      </c>
      <c r="D448" s="287" t="inlineStr">
        <is>
          <t>Buy WD 40</t>
        </is>
      </c>
      <c r="E448" s="288" t="inlineStr">
        <is>
          <t>-</t>
        </is>
      </c>
      <c r="F448" s="292" t="n">
        <v>65000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9">
        <f>$F448*$H448</f>
        <v/>
      </c>
      <c r="O448" s="288" t="n"/>
      <c r="P448" s="288" t="n"/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45509</v>
      </c>
      <c r="C449" s="286" t="n">
        <v>285</v>
      </c>
      <c r="D449" s="287" t="inlineStr">
        <is>
          <t>Buy connection T dan nipple</t>
        </is>
      </c>
      <c r="E449" s="288" t="inlineStr">
        <is>
          <t>-</t>
        </is>
      </c>
      <c r="F449" s="292" t="n">
        <v>72500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9">
        <f>$F449*$H449</f>
        <v/>
      </c>
      <c r="O449" s="288" t="n"/>
      <c r="P449" s="288" t="n"/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" customHeight="1">
      <c r="B450" s="285" t="n">
        <v>45509</v>
      </c>
      <c r="C450" s="286" t="n">
        <v>286</v>
      </c>
      <c r="D450" s="287" t="inlineStr">
        <is>
          <t>Buy Quick connection</t>
        </is>
      </c>
      <c r="E450" s="288" t="inlineStr">
        <is>
          <t>-</t>
        </is>
      </c>
      <c r="F450" s="292" t="n">
        <v>400000</v>
      </c>
      <c r="G450" s="286" t="inlineStr">
        <is>
          <t>IDR</t>
        </is>
      </c>
      <c r="H450" s="290" t="n">
        <v>1</v>
      </c>
      <c r="I450" s="288" t="n"/>
      <c r="J450" s="288" t="n"/>
      <c r="K450" s="288" t="n"/>
      <c r="L450" s="288" t="n"/>
      <c r="M450" s="288" t="n"/>
      <c r="N450" s="289">
        <f>$F450*$H450</f>
        <v/>
      </c>
      <c r="O450" s="288" t="n"/>
      <c r="P450" s="288" t="n"/>
      <c r="Q450" s="288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45510</v>
      </c>
      <c r="C451" s="286" t="n">
        <v>287</v>
      </c>
      <c r="D451" s="287" t="inlineStr">
        <is>
          <t>Buy Paint nippon</t>
        </is>
      </c>
      <c r="E451" s="288" t="inlineStr">
        <is>
          <t>-</t>
        </is>
      </c>
      <c r="F451" s="292" t="n">
        <v>60000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45502</v>
      </c>
      <c r="C452" s="286" t="n">
        <v>288</v>
      </c>
      <c r="D452" s="287" t="inlineStr">
        <is>
          <t>buy Zirolic</t>
        </is>
      </c>
      <c r="E452" s="288" t="inlineStr">
        <is>
          <t>-</t>
        </is>
      </c>
      <c r="F452" s="292" t="n">
        <v>34200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8" t="n"/>
      <c r="O452" s="288" t="n"/>
      <c r="P452" s="289">
        <f>$F452*$H452</f>
        <v/>
      </c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.5" customHeight="1">
      <c r="B453" s="299" t="n"/>
      <c r="C453" s="299" t="n"/>
      <c r="D453" s="282" t="inlineStr">
        <is>
          <t>Transportation</t>
        </is>
      </c>
      <c r="E453" s="299" t="n"/>
      <c r="F453" s="300" t="n"/>
      <c r="G453" s="299" t="n"/>
      <c r="H453" s="299" t="n"/>
      <c r="I453" s="299" t="n"/>
      <c r="J453" s="299" t="n"/>
      <c r="K453" s="299" t="n"/>
      <c r="L453" s="299" t="n"/>
      <c r="M453" s="299" t="n"/>
      <c r="N453" s="299" t="n"/>
      <c r="O453" s="299" t="n"/>
      <c r="P453" s="299" t="n"/>
      <c r="Q453" s="299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45502</v>
      </c>
      <c r="C454" s="286" t="n">
        <v>289</v>
      </c>
      <c r="D454" s="287" t="inlineStr">
        <is>
          <t>Toll (Jkt Blora - PP)</t>
        </is>
      </c>
      <c r="E454" s="288" t="inlineStr">
        <is>
          <t>-</t>
        </is>
      </c>
      <c r="F454" s="292" t="n">
        <v>483000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9">
        <f>$F454*$H454</f>
        <v/>
      </c>
      <c r="M454" s="288" t="n"/>
      <c r="N454" s="288" t="n"/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45511</v>
      </c>
      <c r="C455" s="286" t="n">
        <v>290</v>
      </c>
      <c r="D455" s="287" t="inlineStr">
        <is>
          <t>Rental car (include Fuel ) 10 days, @Rp1.100.000</t>
        </is>
      </c>
      <c r="E455" s="288" t="inlineStr">
        <is>
          <t>-</t>
        </is>
      </c>
      <c r="F455" s="292" t="n">
        <v>11000000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9">
        <f>$F455*$H455</f>
        <v/>
      </c>
      <c r="M455" s="288" t="n"/>
      <c r="N455" s="288" t="n"/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" customHeight="1">
      <c r="B456" s="285" t="n">
        <v>45511</v>
      </c>
      <c r="C456" s="286" t="n">
        <v>291</v>
      </c>
      <c r="D456" s="287" t="inlineStr">
        <is>
          <t>Toll (Gubug - Jakarta)</t>
        </is>
      </c>
      <c r="E456" s="288" t="inlineStr">
        <is>
          <t>-</t>
        </is>
      </c>
      <c r="F456" s="292" t="n">
        <v>496000</v>
      </c>
      <c r="G456" s="286" t="inlineStr">
        <is>
          <t>IDR</t>
        </is>
      </c>
      <c r="H456" s="290" t="n">
        <v>1</v>
      </c>
      <c r="I456" s="288" t="n"/>
      <c r="J456" s="288" t="n"/>
      <c r="K456" s="288" t="n"/>
      <c r="L456" s="289">
        <f>$F456*$H456</f>
        <v/>
      </c>
      <c r="M456" s="288" t="n"/>
      <c r="N456" s="288" t="n"/>
      <c r="O456" s="288" t="n"/>
      <c r="P456" s="288" t="n"/>
      <c r="Q456" s="288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.5" customHeight="1">
      <c r="B457" s="296" t="inlineStr">
        <is>
          <t>Expense#29</t>
        </is>
      </c>
      <c r="C457" s="297" t="inlineStr">
        <is>
          <t>:</t>
        </is>
      </c>
      <c r="D457" s="296" t="inlineStr">
        <is>
          <t>ALFA-MPLT-BHS_ RBG 3B PT. TIS under Barikin sakti _TMA</t>
        </is>
      </c>
      <c r="E457" s="297" t="n"/>
      <c r="F457" s="298" t="n"/>
      <c r="G457" s="297" t="n"/>
      <c r="H457" s="297" t="n"/>
      <c r="I457" s="297" t="n"/>
      <c r="J457" s="297" t="n"/>
      <c r="K457" s="297" t="n"/>
      <c r="L457" s="297" t="n"/>
      <c r="M457" s="297" t="n"/>
      <c r="N457" s="297" t="n"/>
      <c r="O457" s="297" t="n"/>
      <c r="P457" s="297" t="n"/>
      <c r="Q457" s="297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.5" customHeight="1">
      <c r="B458" s="299" t="n"/>
      <c r="C458" s="299" t="n"/>
      <c r="D458" s="282" t="inlineStr">
        <is>
          <t>Accommodation</t>
        </is>
      </c>
      <c r="E458" s="299" t="n"/>
      <c r="F458" s="300" t="n"/>
      <c r="G458" s="299" t="n"/>
      <c r="H458" s="299" t="n"/>
      <c r="I458" s="299" t="n"/>
      <c r="J458" s="299" t="n"/>
      <c r="K458" s="299" t="n"/>
      <c r="L458" s="299" t="n"/>
      <c r="M458" s="299" t="n"/>
      <c r="N458" s="299" t="n"/>
      <c r="O458" s="299" t="n"/>
      <c r="P458" s="299" t="n"/>
      <c r="Q458" s="299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45502</v>
      </c>
      <c r="C459" s="286" t="n">
        <v>292</v>
      </c>
      <c r="D459" s="287" t="inlineStr">
        <is>
          <t>Electrical Bill</t>
        </is>
      </c>
      <c r="E459" s="288" t="inlineStr">
        <is>
          <t>-</t>
        </is>
      </c>
      <c r="F459" s="292" t="n">
        <v>159682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45502</v>
      </c>
      <c r="C460" s="286" t="n">
        <v>293</v>
      </c>
      <c r="D460" s="287" t="inlineStr">
        <is>
          <t>Laundry 10 days 1 Persons @ 50K IDR/day</t>
        </is>
      </c>
      <c r="E460" s="288" t="inlineStr">
        <is>
          <t>-</t>
        </is>
      </c>
      <c r="F460" s="292" t="n">
        <v>500000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.5" customHeight="1">
      <c r="B461" s="299" t="n"/>
      <c r="C461" s="299" t="n"/>
      <c r="D461" s="282" t="inlineStr">
        <is>
          <t>Allowance</t>
        </is>
      </c>
      <c r="E461" s="299" t="n"/>
      <c r="F461" s="300" t="n"/>
      <c r="G461" s="299" t="n"/>
      <c r="H461" s="299" t="n"/>
      <c r="I461" s="299" t="n"/>
      <c r="J461" s="299" t="n"/>
      <c r="K461" s="299" t="n"/>
      <c r="L461" s="299" t="n"/>
      <c r="M461" s="299" t="n"/>
      <c r="N461" s="299" t="n"/>
      <c r="O461" s="299" t="n"/>
      <c r="P461" s="299" t="n"/>
      <c r="Q461" s="299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45502</v>
      </c>
      <c r="C462" s="286" t="n">
        <v>294</v>
      </c>
      <c r="D462" s="287" t="inlineStr">
        <is>
          <t>Tunjangan Lapangan for 10 days</t>
        </is>
      </c>
      <c r="E462" s="288" t="inlineStr">
        <is>
          <t>-</t>
        </is>
      </c>
      <c r="F462" s="292" t="n">
        <v>1000</v>
      </c>
      <c r="G462" s="286" t="inlineStr">
        <is>
          <t>USD</t>
        </is>
      </c>
      <c r="H462" s="290" t="n">
        <v>15513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9" t="n"/>
      <c r="C463" s="299" t="n"/>
      <c r="D463" s="282" t="inlineStr">
        <is>
          <t>Meal</t>
        </is>
      </c>
      <c r="E463" s="299" t="n"/>
      <c r="F463" s="300" t="n"/>
      <c r="G463" s="299" t="n"/>
      <c r="H463" s="299" t="n"/>
      <c r="I463" s="299" t="n"/>
      <c r="J463" s="299" t="n"/>
      <c r="K463" s="299" t="n"/>
      <c r="L463" s="299" t="n"/>
      <c r="M463" s="299" t="n"/>
      <c r="N463" s="299" t="n"/>
      <c r="O463" s="299" t="n"/>
      <c r="P463" s="299" t="n"/>
      <c r="Q463" s="299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" customHeight="1">
      <c r="B464" s="285" t="n">
        <v>45502</v>
      </c>
      <c r="C464" s="286" t="n">
        <v>295</v>
      </c>
      <c r="D464" s="287" t="inlineStr">
        <is>
          <t>Meal Crew's Operational</t>
        </is>
      </c>
      <c r="E464" s="288" t="inlineStr">
        <is>
          <t>-</t>
        </is>
      </c>
      <c r="F464" s="292" t="n">
        <v>263200</v>
      </c>
      <c r="G464" s="286" t="inlineStr">
        <is>
          <t>IDR</t>
        </is>
      </c>
      <c r="H464" s="290" t="n">
        <v>1</v>
      </c>
      <c r="I464" s="288" t="n"/>
      <c r="J464" s="288" t="n"/>
      <c r="K464" s="288" t="n"/>
      <c r="L464" s="289">
        <f>$F464*$H464</f>
        <v/>
      </c>
      <c r="M464" s="288" t="n"/>
      <c r="N464" s="288" t="n"/>
      <c r="O464" s="288" t="n"/>
      <c r="P464" s="288" t="n"/>
      <c r="Q464" s="288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45502</v>
      </c>
      <c r="C465" s="286" t="n">
        <v>296</v>
      </c>
      <c r="D465" s="287" t="inlineStr">
        <is>
          <t>Meals 10 days 1 Persons @ 150K IDR/day</t>
        </is>
      </c>
      <c r="E465" s="288" t="inlineStr">
        <is>
          <t>-</t>
        </is>
      </c>
      <c r="F465" s="292" t="n">
        <v>1500000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Transportation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45499</v>
      </c>
      <c r="C467" s="286" t="n">
        <v>297</v>
      </c>
      <c r="D467" s="287" t="inlineStr">
        <is>
          <t>Lalamove Base to Barikin</t>
        </is>
      </c>
      <c r="E467" s="288" t="inlineStr">
        <is>
          <t>-</t>
        </is>
      </c>
      <c r="F467" s="292" t="n">
        <v>276500</v>
      </c>
      <c r="G467" s="286" t="inlineStr">
        <is>
          <t>IDR</t>
        </is>
      </c>
      <c r="H467" s="290" t="n">
        <v>1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" customHeight="1">
      <c r="B468" s="285" t="n">
        <v>45499</v>
      </c>
      <c r="C468" s="286" t="n">
        <v>298</v>
      </c>
      <c r="D468" s="287" t="inlineStr">
        <is>
          <t>Lalamove Pak Subi to Base</t>
        </is>
      </c>
      <c r="E468" s="288" t="inlineStr">
        <is>
          <t>-</t>
        </is>
      </c>
      <c r="F468" s="292" t="n">
        <v>63568</v>
      </c>
      <c r="G468" s="286" t="inlineStr">
        <is>
          <t>IDR</t>
        </is>
      </c>
      <c r="H468" s="290" t="n">
        <v>1</v>
      </c>
      <c r="I468" s="288" t="n"/>
      <c r="J468" s="288" t="n"/>
      <c r="K468" s="288" t="n"/>
      <c r="L468" s="289">
        <f>$F468*$H468</f>
        <v/>
      </c>
      <c r="M468" s="288" t="n"/>
      <c r="N468" s="288" t="n"/>
      <c r="O468" s="288" t="n"/>
      <c r="P468" s="288" t="n"/>
      <c r="Q468" s="288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45517</v>
      </c>
      <c r="C469" s="286" t="n">
        <v>299</v>
      </c>
      <c r="D469" s="287" t="inlineStr">
        <is>
          <t>Lalamove Barikin to Base</t>
        </is>
      </c>
      <c r="E469" s="288" t="inlineStr">
        <is>
          <t>-</t>
        </is>
      </c>
      <c r="F469" s="289" t="n">
        <v>161885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.5" customHeight="1">
      <c r="B470" s="299" t="n"/>
      <c r="C470" s="299" t="n"/>
      <c r="D470" s="282" t="inlineStr">
        <is>
          <t>Operation</t>
        </is>
      </c>
      <c r="E470" s="299" t="n"/>
      <c r="F470" s="303" t="n"/>
      <c r="G470" s="299" t="n"/>
      <c r="H470" s="299" t="n"/>
      <c r="I470" s="299" t="n"/>
      <c r="J470" s="299" t="n"/>
      <c r="K470" s="299" t="n"/>
      <c r="L470" s="299" t="n"/>
      <c r="M470" s="299" t="n"/>
      <c r="N470" s="299" t="n"/>
      <c r="O470" s="299" t="n"/>
      <c r="P470" s="299" t="n"/>
      <c r="Q470" s="299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45499</v>
      </c>
      <c r="C471" s="286" t="n">
        <v>300</v>
      </c>
      <c r="D471" s="287" t="inlineStr">
        <is>
          <t>TOP 1 High Temp Grease</t>
        </is>
      </c>
      <c r="E471" s="288" t="inlineStr">
        <is>
          <t>-</t>
        </is>
      </c>
      <c r="F471" s="301" t="n">
        <v>144900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8" t="n"/>
      <c r="M471" s="288" t="n"/>
      <c r="N471" s="289">
        <f>$F471*$H471</f>
        <v/>
      </c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.5" customHeight="1">
      <c r="B472" s="296" t="inlineStr">
        <is>
          <t>Expense#30</t>
        </is>
      </c>
      <c r="C472" s="297" t="inlineStr">
        <is>
          <t>:</t>
        </is>
      </c>
      <c r="D472" s="296" t="inlineStr">
        <is>
          <t>ALFA JOB - PMB 009 (cancel job) - IBR</t>
        </is>
      </c>
      <c r="E472" s="297" t="n"/>
      <c r="F472" s="302" t="n"/>
      <c r="G472" s="297" t="n"/>
      <c r="H472" s="297" t="n"/>
      <c r="I472" s="297" t="n"/>
      <c r="J472" s="297" t="n"/>
      <c r="K472" s="297" t="n"/>
      <c r="L472" s="297" t="n"/>
      <c r="M472" s="297" t="n"/>
      <c r="N472" s="297" t="n"/>
      <c r="O472" s="297" t="n"/>
      <c r="P472" s="297" t="n"/>
      <c r="Q472" s="297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Allowance</t>
        </is>
      </c>
      <c r="E473" s="299" t="n"/>
      <c r="F473" s="303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45548</v>
      </c>
      <c r="C474" s="286" t="n">
        <v>301</v>
      </c>
      <c r="D474" s="287" t="inlineStr">
        <is>
          <t>Tunjangan Lapangan PBM - 009 (6 - 11 September 2024)</t>
        </is>
      </c>
      <c r="E474" s="288" t="inlineStr">
        <is>
          <t>-</t>
        </is>
      </c>
      <c r="F474" s="301" t="n">
        <v>150</v>
      </c>
      <c r="G474" s="286" t="inlineStr">
        <is>
          <t>$</t>
        </is>
      </c>
      <c r="H474" s="290" t="n">
        <v>15450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Biaya Operasi</t>
        </is>
      </c>
      <c r="E475" s="299" t="n"/>
      <c r="F475" s="303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45548</v>
      </c>
      <c r="C476" s="286" t="n">
        <v>302</v>
      </c>
      <c r="D476" s="287" t="inlineStr">
        <is>
          <t>Uang makan (6 - 11 September 2024) 6 days</t>
        </is>
      </c>
      <c r="E476" s="288" t="inlineStr">
        <is>
          <t>-</t>
        </is>
      </c>
      <c r="F476" s="301" t="n">
        <v>900000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45548</v>
      </c>
      <c r="C477" s="286" t="n">
        <v>303</v>
      </c>
      <c r="D477" s="287" t="inlineStr">
        <is>
          <t>Laundry (6 - 11 September 2024) 6 days</t>
        </is>
      </c>
      <c r="E477" s="288" t="inlineStr">
        <is>
          <t>-</t>
        </is>
      </c>
      <c r="F477" s="301" t="n">
        <v>300000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.5" customHeight="1">
      <c r="B478" s="296" t="inlineStr">
        <is>
          <t>Expense#31</t>
        </is>
      </c>
      <c r="C478" s="297" t="inlineStr">
        <is>
          <t>:</t>
        </is>
      </c>
      <c r="D478" s="296" t="inlineStr">
        <is>
          <t>ALFA PMB-009 (Cancel)_ TMA</t>
        </is>
      </c>
      <c r="E478" s="297" t="n"/>
      <c r="F478" s="302" t="n"/>
      <c r="G478" s="297" t="n"/>
      <c r="H478" s="297" t="n"/>
      <c r="I478" s="297" t="n"/>
      <c r="J478" s="297" t="n"/>
      <c r="K478" s="297" t="n"/>
      <c r="L478" s="297" t="n"/>
      <c r="M478" s="297" t="n"/>
      <c r="N478" s="297" t="n"/>
      <c r="O478" s="297" t="n"/>
      <c r="P478" s="297" t="n"/>
      <c r="Q478" s="297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.5" customHeight="1">
      <c r="B479" s="299" t="n"/>
      <c r="C479" s="299" t="n"/>
      <c r="D479" s="282" t="inlineStr">
        <is>
          <t>Accommodation , Laundry</t>
        </is>
      </c>
      <c r="E479" s="299" t="n"/>
      <c r="F479" s="303" t="n"/>
      <c r="G479" s="299" t="n"/>
      <c r="H479" s="299" t="n"/>
      <c r="I479" s="299" t="n"/>
      <c r="J479" s="299" t="n"/>
      <c r="K479" s="299" t="n"/>
      <c r="L479" s="299" t="n"/>
      <c r="M479" s="299" t="n"/>
      <c r="N479" s="299" t="n"/>
      <c r="O479" s="299" t="n"/>
      <c r="P479" s="299" t="n"/>
      <c r="Q479" s="299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45541</v>
      </c>
      <c r="C480" s="286" t="n">
        <v>304</v>
      </c>
      <c r="D480" s="287" t="inlineStr">
        <is>
          <t>Hotel 6 Sept - 11 Sept (5 days)</t>
        </is>
      </c>
      <c r="E480" s="288" t="inlineStr">
        <is>
          <t>-</t>
        </is>
      </c>
      <c r="F480" s="289" t="n">
        <v>1800000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45541</v>
      </c>
      <c r="C481" s="286" t="n">
        <v>305</v>
      </c>
      <c r="D481" s="287" t="inlineStr">
        <is>
          <t>Laundry 6 days 1 Persons @ 50K IDR/day</t>
        </is>
      </c>
      <c r="E481" s="288" t="inlineStr">
        <is>
          <t>-</t>
        </is>
      </c>
      <c r="F481" s="301" t="n">
        <v>300000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.5" customHeight="1">
      <c r="B482" s="299" t="n"/>
      <c r="C482" s="299" t="n"/>
      <c r="D482" s="282" t="inlineStr">
        <is>
          <t>Allowance</t>
        </is>
      </c>
      <c r="E482" s="299" t="n"/>
      <c r="F482" s="303" t="n"/>
      <c r="G482" s="299" t="n"/>
      <c r="H482" s="299" t="n"/>
      <c r="I482" s="299" t="n"/>
      <c r="J482" s="299" t="n"/>
      <c r="K482" s="299" t="n"/>
      <c r="L482" s="299" t="n"/>
      <c r="M482" s="299" t="n"/>
      <c r="N482" s="299" t="n"/>
      <c r="O482" s="299" t="n"/>
      <c r="P482" s="299" t="n"/>
      <c r="Q482" s="299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45541</v>
      </c>
      <c r="C483" s="286" t="n">
        <v>306</v>
      </c>
      <c r="D483" s="287" t="inlineStr">
        <is>
          <t>Field Allowance</t>
        </is>
      </c>
      <c r="E483" s="288" t="inlineStr">
        <is>
          <t>-</t>
        </is>
      </c>
      <c r="F483" s="301" t="n">
        <v>600</v>
      </c>
      <c r="G483" s="286" t="inlineStr">
        <is>
          <t>USD</t>
        </is>
      </c>
      <c r="H483" s="290" t="n">
        <v>15438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45541</v>
      </c>
      <c r="C484" s="286" t="n">
        <v>307</v>
      </c>
      <c r="D484" s="287" t="inlineStr">
        <is>
          <t>Meals</t>
        </is>
      </c>
      <c r="E484" s="288" t="inlineStr">
        <is>
          <t>-</t>
        </is>
      </c>
      <c r="F484" s="301" t="n">
        <v>900000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Transportation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45541</v>
      </c>
      <c r="C486" s="286" t="n">
        <v>308</v>
      </c>
      <c r="D486" s="287" t="inlineStr">
        <is>
          <t>Airplane Ticket CGK-PLM</t>
        </is>
      </c>
      <c r="E486" s="288" t="inlineStr">
        <is>
          <t>-</t>
        </is>
      </c>
      <c r="F486" s="292" t="n">
        <v>904682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9">
        <f>$F486*$H486</f>
        <v/>
      </c>
      <c r="M486" s="288" t="n"/>
      <c r="N486" s="288" t="n"/>
      <c r="O486" s="288" t="n"/>
      <c r="P486" s="288" t="n"/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" customHeight="1">
      <c r="B487" s="285" t="n">
        <v>45541</v>
      </c>
      <c r="C487" s="286" t="n">
        <v>309</v>
      </c>
      <c r="D487" s="287" t="inlineStr">
        <is>
          <t>Taxi Pondok Cabe-Vania-CGK (inc Toll)</t>
        </is>
      </c>
      <c r="E487" s="288" t="inlineStr">
        <is>
          <t>-</t>
        </is>
      </c>
      <c r="F487" s="292" t="n">
        <v>256500</v>
      </c>
      <c r="G487" s="286" t="inlineStr">
        <is>
          <t>IDR</t>
        </is>
      </c>
      <c r="H487" s="290" t="n">
        <v>1</v>
      </c>
      <c r="I487" s="288" t="n"/>
      <c r="J487" s="288" t="n"/>
      <c r="K487" s="288" t="n"/>
      <c r="L487" s="289">
        <f>$F487*$H487</f>
        <v/>
      </c>
      <c r="M487" s="288" t="n"/>
      <c r="N487" s="288" t="n"/>
      <c r="O487" s="288" t="n"/>
      <c r="P487" s="288" t="n"/>
      <c r="Q487" s="288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45541</v>
      </c>
      <c r="C488" s="286" t="n">
        <v>310</v>
      </c>
      <c r="D488" s="287" t="inlineStr">
        <is>
          <t>Toll (PLM-Prabumulih-PLM)</t>
        </is>
      </c>
      <c r="E488" s="288" t="inlineStr">
        <is>
          <t>-</t>
        </is>
      </c>
      <c r="F488" s="292" t="n">
        <v>224000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9">
        <f>$F488*$H488</f>
        <v/>
      </c>
      <c r="M488" s="288" t="n"/>
      <c r="N488" s="288" t="n"/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45541</v>
      </c>
      <c r="C489" s="286" t="n">
        <v>311</v>
      </c>
      <c r="D489" s="287" t="inlineStr">
        <is>
          <t>Rent Car 6 Days</t>
        </is>
      </c>
      <c r="E489" s="288" t="inlineStr">
        <is>
          <t>-</t>
        </is>
      </c>
      <c r="F489" s="292" t="n">
        <v>3000000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9">
        <f>$F489*$H489</f>
        <v/>
      </c>
      <c r="M489" s="288" t="n"/>
      <c r="N489" s="288" t="n"/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45541</v>
      </c>
      <c r="C490" s="286" t="n">
        <v>312</v>
      </c>
      <c r="D490" s="287" t="inlineStr">
        <is>
          <t>Gasoline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9">
        <f>$F490*$H490</f>
        <v/>
      </c>
      <c r="M490" s="288" t="n"/>
      <c r="N490" s="288" t="n"/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45541</v>
      </c>
      <c r="C491" s="286" t="n">
        <v>313</v>
      </c>
      <c r="D491" s="287" t="inlineStr">
        <is>
          <t>Taxi CGK-Pondok Cabe (inc Toll+Parking)</t>
        </is>
      </c>
      <c r="E491" s="288" t="inlineStr">
        <is>
          <t>-</t>
        </is>
      </c>
      <c r="F491" s="289" t="n">
        <v>310660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9">
        <f>$F491*$H491</f>
        <v/>
      </c>
      <c r="M491" s="288" t="n"/>
      <c r="N491" s="288" t="n"/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" customHeight="1">
      <c r="B492" s="285" t="n">
        <v>45543</v>
      </c>
      <c r="C492" s="286" t="n">
        <v>314</v>
      </c>
      <c r="D492" s="287" t="inlineStr">
        <is>
          <t>Airplane Ticket PLM-CGK</t>
        </is>
      </c>
      <c r="E492" s="288" t="inlineStr">
        <is>
          <t>-</t>
        </is>
      </c>
      <c r="F492" s="301" t="n">
        <v>836100</v>
      </c>
      <c r="G492" s="286" t="inlineStr">
        <is>
          <t>IDR</t>
        </is>
      </c>
      <c r="H492" s="290" t="n">
        <v>1</v>
      </c>
      <c r="I492" s="288" t="n"/>
      <c r="J492" s="288" t="n"/>
      <c r="K492" s="288" t="n"/>
      <c r="L492" s="289">
        <f>$F492*$H492</f>
        <v/>
      </c>
      <c r="M492" s="288" t="n"/>
      <c r="N492" s="288" t="n"/>
      <c r="O492" s="288" t="n"/>
      <c r="P492" s="288" t="n"/>
      <c r="Q492" s="288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.5" customHeight="1">
      <c r="B493" s="296" t="inlineStr">
        <is>
          <t>Expense#32</t>
        </is>
      </c>
      <c r="C493" s="297" t="inlineStr">
        <is>
          <t>:</t>
        </is>
      </c>
      <c r="D493" s="296" t="inlineStr">
        <is>
          <t>ALFA PMB-009 (Cancel)_ TMA</t>
        </is>
      </c>
      <c r="E493" s="297" t="n"/>
      <c r="F493" s="302" t="n"/>
      <c r="G493" s="297" t="n"/>
      <c r="H493" s="297" t="n"/>
      <c r="I493" s="297" t="n"/>
      <c r="J493" s="297" t="n"/>
      <c r="K493" s="297" t="n"/>
      <c r="L493" s="297" t="n"/>
      <c r="M493" s="297" t="n"/>
      <c r="N493" s="297" t="n"/>
      <c r="O493" s="297" t="n"/>
      <c r="P493" s="297" t="n"/>
      <c r="Q493" s="297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.5" customHeight="1">
      <c r="B494" s="299" t="n"/>
      <c r="C494" s="299" t="n"/>
      <c r="D494" s="282" t="inlineStr">
        <is>
          <t>Allowance</t>
        </is>
      </c>
      <c r="E494" s="299" t="n"/>
      <c r="F494" s="303" t="n"/>
      <c r="G494" s="299" t="n"/>
      <c r="H494" s="299" t="n"/>
      <c r="I494" s="299" t="n"/>
      <c r="J494" s="299" t="n"/>
      <c r="K494" s="299" t="n"/>
      <c r="L494" s="299" t="n"/>
      <c r="M494" s="299" t="n"/>
      <c r="N494" s="299" t="n"/>
      <c r="O494" s="299" t="n"/>
      <c r="P494" s="299" t="n"/>
      <c r="Q494" s="299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45561</v>
      </c>
      <c r="C495" s="286" t="n">
        <v>315</v>
      </c>
      <c r="D495" s="287" t="inlineStr">
        <is>
          <t>Field Bonus SKW#26 (22 - 26 Sept 2024). 1US$=15.100</t>
        </is>
      </c>
      <c r="E495" s="288" t="inlineStr">
        <is>
          <t>-</t>
        </is>
      </c>
      <c r="F495" s="301" t="n">
        <v>7550000</v>
      </c>
      <c r="G495" s="286" t="inlineStr">
        <is>
          <t>IDR</t>
        </is>
      </c>
      <c r="H495" s="290" t="n">
        <v>15100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9" t="n"/>
      <c r="C496" s="299" t="n"/>
      <c r="D496" s="282" t="inlineStr">
        <is>
          <t>Laundry</t>
        </is>
      </c>
      <c r="E496" s="299" t="n"/>
      <c r="F496" s="303" t="n"/>
      <c r="G496" s="299" t="n"/>
      <c r="H496" s="299" t="n"/>
      <c r="I496" s="299" t="n"/>
      <c r="J496" s="299" t="n"/>
      <c r="K496" s="299" t="n"/>
      <c r="L496" s="299" t="n"/>
      <c r="M496" s="299" t="n"/>
      <c r="N496" s="299" t="n"/>
      <c r="O496" s="299" t="n"/>
      <c r="P496" s="299" t="n"/>
      <c r="Q496" s="299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" customHeight="1">
      <c r="B497" s="285" t="n">
        <v>45561</v>
      </c>
      <c r="C497" s="286" t="n">
        <v>316</v>
      </c>
      <c r="D497" s="287" t="inlineStr">
        <is>
          <t>Laundry (22 - 26 Sept 2024)</t>
        </is>
      </c>
      <c r="E497" s="288" t="inlineStr">
        <is>
          <t>-</t>
        </is>
      </c>
      <c r="F497" s="301" t="n">
        <v>250000</v>
      </c>
      <c r="G497" s="286" t="inlineStr">
        <is>
          <t>IDR</t>
        </is>
      </c>
      <c r="H497" s="290" t="n">
        <v>1</v>
      </c>
      <c r="I497" s="288" t="n"/>
      <c r="J497" s="288" t="n"/>
      <c r="K497" s="288" t="n"/>
      <c r="L497" s="289">
        <f>$F497*$H497</f>
        <v/>
      </c>
      <c r="M497" s="288" t="n"/>
      <c r="N497" s="288" t="n"/>
      <c r="O497" s="288" t="n"/>
      <c r="P497" s="288" t="n"/>
      <c r="Q497" s="288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.5" customHeight="1">
      <c r="B498" s="299" t="n"/>
      <c r="C498" s="299" t="n"/>
      <c r="D498" s="282" t="inlineStr">
        <is>
          <t>Transportation</t>
        </is>
      </c>
      <c r="E498" s="299" t="n"/>
      <c r="F498" s="303" t="n"/>
      <c r="G498" s="299" t="n"/>
      <c r="H498" s="299" t="n"/>
      <c r="I498" s="299" t="n"/>
      <c r="J498" s="299" t="n"/>
      <c r="K498" s="299" t="n"/>
      <c r="L498" s="299" t="n"/>
      <c r="M498" s="299" t="n"/>
      <c r="N498" s="299" t="n"/>
      <c r="O498" s="299" t="n"/>
      <c r="P498" s="299" t="n"/>
      <c r="Q498" s="299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" customHeight="1">
      <c r="B499" s="285" t="n">
        <v>45557</v>
      </c>
      <c r="C499" s="286" t="n">
        <v>317</v>
      </c>
      <c r="D499" s="287" t="inlineStr">
        <is>
          <t>Taxi+Tol Serpong - Gambir</t>
        </is>
      </c>
      <c r="E499" s="288" t="inlineStr">
        <is>
          <t>-</t>
        </is>
      </c>
      <c r="F499" s="301" t="n">
        <v>241280</v>
      </c>
      <c r="G499" s="286" t="inlineStr">
        <is>
          <t>IDR</t>
        </is>
      </c>
      <c r="H499" s="290" t="n">
        <v>1</v>
      </c>
      <c r="I499" s="288" t="n"/>
      <c r="J499" s="288" t="n"/>
      <c r="K499" s="288" t="n"/>
      <c r="L499" s="289">
        <f>$F499*$H499</f>
        <v/>
      </c>
      <c r="M499" s="288" t="n"/>
      <c r="N499" s="288" t="n"/>
      <c r="O499" s="288" t="n"/>
      <c r="P499" s="288" t="n"/>
      <c r="Q499" s="288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45558</v>
      </c>
      <c r="C500" s="286" t="n">
        <v>318</v>
      </c>
      <c r="D500" s="287" t="inlineStr">
        <is>
          <t>Gocar St. Cepu, Kalog - Bojonegoro</t>
        </is>
      </c>
      <c r="E500" s="288" t="inlineStr">
        <is>
          <t>-</t>
        </is>
      </c>
      <c r="F500" s="301" t="n">
        <v>250000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" customHeight="1">
      <c r="B501" s="285" t="n">
        <v>45561</v>
      </c>
      <c r="C501" s="286" t="n">
        <v>319</v>
      </c>
      <c r="D501" s="287" t="inlineStr">
        <is>
          <t>Taxi+Tol Gambir - Serpong</t>
        </is>
      </c>
      <c r="E501" s="288" t="inlineStr">
        <is>
          <t>-</t>
        </is>
      </c>
      <c r="F501" s="301" t="n">
        <v>240000</v>
      </c>
      <c r="G501" s="286" t="inlineStr">
        <is>
          <t>IDR</t>
        </is>
      </c>
      <c r="H501" s="290" t="n">
        <v>1</v>
      </c>
      <c r="I501" s="288" t="n"/>
      <c r="J501" s="288" t="n"/>
      <c r="K501" s="288" t="n"/>
      <c r="L501" s="289">
        <f>$F501*$H501</f>
        <v/>
      </c>
      <c r="M501" s="288" t="n"/>
      <c r="N501" s="288" t="n"/>
      <c r="O501" s="288" t="n"/>
      <c r="P501" s="288" t="n"/>
      <c r="Q501" s="288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45561</v>
      </c>
      <c r="C502" s="286" t="n">
        <v>320</v>
      </c>
      <c r="D502" s="287" t="inlineStr">
        <is>
          <t>Uang Makan (22 - 26 Sept 2024)</t>
        </is>
      </c>
      <c r="E502" s="288" t="inlineStr">
        <is>
          <t>-</t>
        </is>
      </c>
      <c r="F502" s="301" t="n">
        <v>750000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6" t="inlineStr">
        <is>
          <t>Expense#33</t>
        </is>
      </c>
      <c r="C503" s="297" t="inlineStr">
        <is>
          <t>:</t>
        </is>
      </c>
      <c r="D503" s="296" t="inlineStr">
        <is>
          <t>ALFA Job JRK-095 (Jirak) - IBR</t>
        </is>
      </c>
      <c r="E503" s="297" t="n"/>
      <c r="F503" s="302" t="n"/>
      <c r="G503" s="297" t="n"/>
      <c r="H503" s="297" t="n"/>
      <c r="I503" s="297" t="n"/>
      <c r="J503" s="297" t="n"/>
      <c r="K503" s="297" t="n"/>
      <c r="L503" s="297" t="n"/>
      <c r="M503" s="297" t="n"/>
      <c r="N503" s="297" t="n"/>
      <c r="O503" s="297" t="n"/>
      <c r="P503" s="297" t="n"/>
      <c r="Q503" s="297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.5" customHeight="1">
      <c r="B504" s="299" t="n"/>
      <c r="C504" s="299" t="n"/>
      <c r="D504" s="282" t="inlineStr">
        <is>
          <t>Accommodation , Laundry</t>
        </is>
      </c>
      <c r="E504" s="299" t="n"/>
      <c r="F504" s="303" t="n"/>
      <c r="G504" s="299" t="n"/>
      <c r="H504" s="299" t="n"/>
      <c r="I504" s="299" t="n"/>
      <c r="J504" s="299" t="n"/>
      <c r="K504" s="299" t="n"/>
      <c r="L504" s="299" t="n"/>
      <c r="M504" s="299" t="n"/>
      <c r="N504" s="299" t="n"/>
      <c r="O504" s="299" t="n"/>
      <c r="P504" s="299" t="n"/>
      <c r="Q504" s="299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45563</v>
      </c>
      <c r="C505" s="286" t="n">
        <v>321</v>
      </c>
      <c r="D505" s="287" t="inlineStr">
        <is>
          <t>Hotel 21 Sept - 27 Sept 2024 (6 days)</t>
        </is>
      </c>
      <c r="E505" s="288" t="inlineStr">
        <is>
          <t>-</t>
        </is>
      </c>
      <c r="F505" s="301" t="n">
        <v>1680000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" customHeight="1">
      <c r="B506" s="285" t="n">
        <v>45563</v>
      </c>
      <c r="C506" s="286" t="n">
        <v>322</v>
      </c>
      <c r="D506" s="287" t="inlineStr">
        <is>
          <t>Laundry 20 Sept - 27 Sept 2024 (7days) @ Rp. 50000</t>
        </is>
      </c>
      <c r="E506" s="288" t="inlineStr">
        <is>
          <t>-</t>
        </is>
      </c>
      <c r="F506" s="289" t="n">
        <v>350000</v>
      </c>
      <c r="G506" s="286" t="inlineStr">
        <is>
          <t>IDR</t>
        </is>
      </c>
      <c r="H506" s="290" t="n">
        <v>1</v>
      </c>
      <c r="I506" s="288" t="n"/>
      <c r="J506" s="288" t="n"/>
      <c r="K506" s="288" t="n"/>
      <c r="L506" s="289">
        <f>$F506*$H506</f>
        <v/>
      </c>
      <c r="M506" s="288" t="n"/>
      <c r="N506" s="288" t="n"/>
      <c r="O506" s="288" t="n"/>
      <c r="P506" s="288" t="n"/>
      <c r="Q506" s="288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.5" customHeight="1">
      <c r="B507" s="299" t="n"/>
      <c r="C507" s="299" t="n"/>
      <c r="D507" s="282" t="inlineStr">
        <is>
          <t>Allowance</t>
        </is>
      </c>
      <c r="E507" s="299" t="n"/>
      <c r="F507" s="300" t="n"/>
      <c r="G507" s="299" t="n"/>
      <c r="H507" s="299" t="n"/>
      <c r="I507" s="299" t="n"/>
      <c r="J507" s="299" t="n"/>
      <c r="K507" s="299" t="n"/>
      <c r="L507" s="299" t="n"/>
      <c r="M507" s="299" t="n"/>
      <c r="N507" s="299" t="n"/>
      <c r="O507" s="299" t="n"/>
      <c r="P507" s="299" t="n"/>
      <c r="Q507" s="299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" customHeight="1">
      <c r="B508" s="285" t="n">
        <v>45563</v>
      </c>
      <c r="C508" s="286" t="n">
        <v>323</v>
      </c>
      <c r="D508" s="287" t="inlineStr">
        <is>
          <t>Field Allowance 20 Sept - 27 Sept 2024</t>
        </is>
      </c>
      <c r="E508" s="288" t="inlineStr">
        <is>
          <t>-</t>
        </is>
      </c>
      <c r="F508" s="292" t="n">
        <v>175</v>
      </c>
      <c r="G508" s="286" t="inlineStr">
        <is>
          <t>USD</t>
        </is>
      </c>
      <c r="H508" s="290" t="n">
        <v>15250</v>
      </c>
      <c r="I508" s="288" t="n"/>
      <c r="J508" s="288" t="n"/>
      <c r="K508" s="288" t="n"/>
      <c r="L508" s="289">
        <f>$F508*$H508</f>
        <v/>
      </c>
      <c r="M508" s="288" t="n"/>
      <c r="N508" s="288" t="n"/>
      <c r="O508" s="288" t="n"/>
      <c r="P508" s="288" t="n"/>
      <c r="Q508" s="288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45563</v>
      </c>
      <c r="C509" s="286" t="n">
        <v>324</v>
      </c>
      <c r="D509" s="287" t="inlineStr">
        <is>
          <t>Meals 20 Sept - 27 Sept 2024 7 days</t>
        </is>
      </c>
      <c r="E509" s="288" t="inlineStr">
        <is>
          <t>-</t>
        </is>
      </c>
      <c r="F509" s="292" t="n">
        <v>1050000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.5" customHeight="1">
      <c r="B510" s="299" t="n"/>
      <c r="C510" s="299" t="n"/>
      <c r="D510" s="282" t="inlineStr">
        <is>
          <t>Operation</t>
        </is>
      </c>
      <c r="E510" s="299" t="n"/>
      <c r="F510" s="300" t="n"/>
      <c r="G510" s="299" t="n"/>
      <c r="H510" s="299" t="n"/>
      <c r="I510" s="299" t="n"/>
      <c r="J510" s="299" t="n"/>
      <c r="K510" s="299" t="n"/>
      <c r="L510" s="299" t="n"/>
      <c r="M510" s="299" t="n"/>
      <c r="N510" s="299" t="n"/>
      <c r="O510" s="299" t="n"/>
      <c r="P510" s="299" t="n"/>
      <c r="Q510" s="299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45563</v>
      </c>
      <c r="C511" s="286" t="n">
        <v>325</v>
      </c>
      <c r="D511" s="287" t="inlineStr">
        <is>
          <t>Aqua 600 ML + Sunlight</t>
        </is>
      </c>
      <c r="E511" s="288" t="inlineStr">
        <is>
          <t>-</t>
        </is>
      </c>
      <c r="F511" s="292" t="n">
        <v>65000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" customHeight="1">
      <c r="B512" s="285" t="n">
        <v>45563</v>
      </c>
      <c r="C512" s="286" t="n">
        <v>326</v>
      </c>
      <c r="D512" s="287" t="inlineStr">
        <is>
          <t>Fried Food + Soft Drink</t>
        </is>
      </c>
      <c r="E512" s="288" t="inlineStr">
        <is>
          <t>-</t>
        </is>
      </c>
      <c r="F512" s="292" t="n">
        <v>150000</v>
      </c>
      <c r="G512" s="286" t="inlineStr">
        <is>
          <t>IDR</t>
        </is>
      </c>
      <c r="H512" s="290" t="n">
        <v>1</v>
      </c>
      <c r="I512" s="288" t="n"/>
      <c r="J512" s="288" t="n"/>
      <c r="K512" s="288" t="n"/>
      <c r="L512" s="289">
        <f>$F512*$H512</f>
        <v/>
      </c>
      <c r="M512" s="288" t="n"/>
      <c r="N512" s="288" t="n"/>
      <c r="O512" s="288" t="n"/>
      <c r="P512" s="288" t="n"/>
      <c r="Q512" s="288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" customHeight="1">
      <c r="B513" s="285" t="n">
        <v>45563</v>
      </c>
      <c r="C513" s="286" t="n">
        <v>327</v>
      </c>
      <c r="D513" s="287" t="inlineStr">
        <is>
          <t>Meal's Crew</t>
        </is>
      </c>
      <c r="E513" s="288" t="inlineStr">
        <is>
          <t>-</t>
        </is>
      </c>
      <c r="F513" s="292" t="n">
        <v>120000</v>
      </c>
      <c r="G513" s="286" t="inlineStr">
        <is>
          <t>IDR</t>
        </is>
      </c>
      <c r="H513" s="290" t="n">
        <v>1</v>
      </c>
      <c r="I513" s="288" t="n"/>
      <c r="J513" s="288" t="n"/>
      <c r="K513" s="288" t="n"/>
      <c r="L513" s="289">
        <f>$F513*$H513</f>
        <v/>
      </c>
      <c r="M513" s="288" t="n"/>
      <c r="N513" s="288" t="n"/>
      <c r="O513" s="288" t="n"/>
      <c r="P513" s="288" t="n"/>
      <c r="Q513" s="288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45563</v>
      </c>
      <c r="C514" s="286" t="n">
        <v>328</v>
      </c>
      <c r="D514" s="287" t="inlineStr">
        <is>
          <t>Snack's Crew</t>
        </is>
      </c>
      <c r="E514" s="288" t="inlineStr">
        <is>
          <t>-</t>
        </is>
      </c>
      <c r="F514" s="292" t="n">
        <v>172000</v>
      </c>
      <c r="G514" s="286" t="inlineStr">
        <is>
          <t>IDR</t>
        </is>
      </c>
      <c r="H514" s="290" t="n">
        <v>1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" customHeight="1">
      <c r="B515" s="285" t="n">
        <v>45563</v>
      </c>
      <c r="C515" s="286" t="n">
        <v>329</v>
      </c>
      <c r="D515" s="287" t="inlineStr">
        <is>
          <t>Meal's + Soft Drink Crew</t>
        </is>
      </c>
      <c r="E515" s="288" t="inlineStr">
        <is>
          <t>-</t>
        </is>
      </c>
      <c r="F515" s="292" t="n">
        <v>300000</v>
      </c>
      <c r="G515" s="286" t="inlineStr">
        <is>
          <t>IDR</t>
        </is>
      </c>
      <c r="H515" s="290" t="n">
        <v>1</v>
      </c>
      <c r="I515" s="288" t="n"/>
      <c r="J515" s="288" t="n"/>
      <c r="K515" s="288" t="n"/>
      <c r="L515" s="289">
        <f>$F515*$H515</f>
        <v/>
      </c>
      <c r="M515" s="288" t="n"/>
      <c r="N515" s="288" t="n"/>
      <c r="O515" s="288" t="n"/>
      <c r="P515" s="288" t="n"/>
      <c r="Q515" s="288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45563</v>
      </c>
      <c r="C516" s="286" t="n">
        <v>330</v>
      </c>
      <c r="D516" s="287" t="inlineStr">
        <is>
          <t>Aqua 600 ML</t>
        </is>
      </c>
      <c r="E516" s="288" t="inlineStr">
        <is>
          <t>-</t>
        </is>
      </c>
      <c r="F516" s="292" t="n">
        <v>65000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" customHeight="1">
      <c r="B517" s="285" t="n">
        <v>45563</v>
      </c>
      <c r="C517" s="286" t="n">
        <v>331</v>
      </c>
      <c r="D517" s="287" t="inlineStr">
        <is>
          <t>Meal's Crws + Ice Tea</t>
        </is>
      </c>
      <c r="E517" s="288" t="inlineStr">
        <is>
          <t>-</t>
        </is>
      </c>
      <c r="F517" s="289" t="n">
        <v>200000</v>
      </c>
      <c r="G517" s="286" t="inlineStr">
        <is>
          <t>IDR</t>
        </is>
      </c>
      <c r="H517" s="290" t="n">
        <v>1</v>
      </c>
      <c r="I517" s="288" t="n"/>
      <c r="J517" s="288" t="n"/>
      <c r="K517" s="288" t="n"/>
      <c r="L517" s="289">
        <f>$F517*$H517</f>
        <v/>
      </c>
      <c r="M517" s="288" t="n"/>
      <c r="N517" s="288" t="n"/>
      <c r="O517" s="288" t="n"/>
      <c r="P517" s="288" t="n"/>
      <c r="Q517" s="288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45563</v>
      </c>
      <c r="C518" s="286" t="n">
        <v>332</v>
      </c>
      <c r="D518" s="287" t="inlineStr">
        <is>
          <t>Snack's Crew</t>
        </is>
      </c>
      <c r="E518" s="288" t="inlineStr">
        <is>
          <t>-</t>
        </is>
      </c>
      <c r="F518" s="301" t="n">
        <v>240000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" customHeight="1">
      <c r="B519" s="285" t="n">
        <v>45563</v>
      </c>
      <c r="C519" s="286" t="n">
        <v>333</v>
      </c>
      <c r="D519" s="287" t="inlineStr">
        <is>
          <t>Meal's + Soft Drink Crew</t>
        </is>
      </c>
      <c r="E519" s="288" t="inlineStr">
        <is>
          <t>-</t>
        </is>
      </c>
      <c r="F519" s="301" t="n">
        <v>230000</v>
      </c>
      <c r="G519" s="286" t="inlineStr">
        <is>
          <t>IDR</t>
        </is>
      </c>
      <c r="H519" s="290" t="n">
        <v>1</v>
      </c>
      <c r="I519" s="288" t="n"/>
      <c r="J519" s="288" t="n"/>
      <c r="K519" s="288" t="n"/>
      <c r="L519" s="289">
        <f>$F519*$H519</f>
        <v/>
      </c>
      <c r="M519" s="288" t="n"/>
      <c r="N519" s="288" t="n"/>
      <c r="O519" s="288" t="n"/>
      <c r="P519" s="288" t="n"/>
      <c r="Q519" s="288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" customHeight="1">
      <c r="B520" s="285" t="n">
        <v>45563</v>
      </c>
      <c r="C520" s="286" t="n">
        <v>334</v>
      </c>
      <c r="D520" s="287" t="inlineStr">
        <is>
          <t>Soft Drink</t>
        </is>
      </c>
      <c r="E520" s="288" t="inlineStr">
        <is>
          <t>-</t>
        </is>
      </c>
      <c r="F520" s="301" t="n">
        <v>110000</v>
      </c>
      <c r="G520" s="286" t="inlineStr">
        <is>
          <t>IDR</t>
        </is>
      </c>
      <c r="H520" s="290" t="n">
        <v>1</v>
      </c>
      <c r="I520" s="288" t="n"/>
      <c r="J520" s="288" t="n"/>
      <c r="K520" s="288" t="n"/>
      <c r="L520" s="289">
        <f>$F520*$H520</f>
        <v/>
      </c>
      <c r="M520" s="288" t="n"/>
      <c r="N520" s="288" t="n"/>
      <c r="O520" s="288" t="n"/>
      <c r="P520" s="288" t="n"/>
      <c r="Q520" s="288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45563</v>
      </c>
      <c r="C521" s="286" t="n">
        <v>335</v>
      </c>
      <c r="D521" s="287" t="inlineStr">
        <is>
          <t>Black Coffe</t>
        </is>
      </c>
      <c r="E521" s="288" t="inlineStr">
        <is>
          <t>-</t>
        </is>
      </c>
      <c r="F521" s="301" t="n">
        <v>47000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Transportation</t>
        </is>
      </c>
      <c r="E522" s="299" t="n"/>
      <c r="F522" s="303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45563</v>
      </c>
      <c r="C523" s="286" t="n">
        <v>336</v>
      </c>
      <c r="D523" s="287" t="inlineStr">
        <is>
          <t>Gasoline</t>
        </is>
      </c>
      <c r="E523" s="288" t="inlineStr">
        <is>
          <t>-</t>
        </is>
      </c>
      <c r="F523" s="301" t="n">
        <v>200000</v>
      </c>
      <c r="G523" s="286" t="inlineStr">
        <is>
          <t>IDR</t>
        </is>
      </c>
      <c r="H523" s="290" t="n">
        <v>1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" customHeight="1">
      <c r="B524" s="285" t="n">
        <v>45563</v>
      </c>
      <c r="C524" s="286" t="n">
        <v>337</v>
      </c>
      <c r="D524" s="287" t="inlineStr">
        <is>
          <t>Gasoline</t>
        </is>
      </c>
      <c r="E524" s="288" t="inlineStr">
        <is>
          <t>-</t>
        </is>
      </c>
      <c r="F524" s="301" t="n">
        <v>215000</v>
      </c>
      <c r="G524" s="286" t="inlineStr">
        <is>
          <t>IDR</t>
        </is>
      </c>
      <c r="H524" s="290" t="n">
        <v>1</v>
      </c>
      <c r="I524" s="288" t="n"/>
      <c r="J524" s="288" t="n"/>
      <c r="K524" s="288" t="n"/>
      <c r="L524" s="289">
        <f>$F524*$H524</f>
        <v/>
      </c>
      <c r="M524" s="288" t="n"/>
      <c r="N524" s="288" t="n"/>
      <c r="O524" s="288" t="n"/>
      <c r="P524" s="288" t="n"/>
      <c r="Q524" s="288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45563</v>
      </c>
      <c r="C525" s="286" t="n">
        <v>338</v>
      </c>
      <c r="D525" s="287" t="inlineStr">
        <is>
          <t>Gasoline</t>
        </is>
      </c>
      <c r="E525" s="288" t="inlineStr">
        <is>
          <t>-</t>
        </is>
      </c>
      <c r="F525" s="301" t="n">
        <v>197000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" customHeight="1">
      <c r="B526" s="285" t="n">
        <v>45563</v>
      </c>
      <c r="C526" s="286" t="n">
        <v>339</v>
      </c>
      <c r="D526" s="287" t="inlineStr">
        <is>
          <t>Gasoline</t>
        </is>
      </c>
      <c r="E526" s="288" t="inlineStr">
        <is>
          <t>-</t>
        </is>
      </c>
      <c r="F526" s="301" t="n">
        <v>200000</v>
      </c>
      <c r="G526" s="286" t="inlineStr">
        <is>
          <t>IDR</t>
        </is>
      </c>
      <c r="H526" s="290" t="n">
        <v>1</v>
      </c>
      <c r="I526" s="288" t="n"/>
      <c r="J526" s="288" t="n"/>
      <c r="K526" s="288" t="n"/>
      <c r="L526" s="289">
        <f>$F526*$H526</f>
        <v/>
      </c>
      <c r="M526" s="288" t="n"/>
      <c r="N526" s="288" t="n"/>
      <c r="O526" s="288" t="n"/>
      <c r="P526" s="288" t="n"/>
      <c r="Q526" s="288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45563</v>
      </c>
      <c r="C527" s="286" t="n">
        <v>340</v>
      </c>
      <c r="D527" s="287" t="inlineStr">
        <is>
          <t>Gasoline</t>
        </is>
      </c>
      <c r="E527" s="288" t="inlineStr">
        <is>
          <t>-</t>
        </is>
      </c>
      <c r="F527" s="301" t="n">
        <v>220000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" customHeight="1">
      <c r="B528" s="285" t="n">
        <v>45563</v>
      </c>
      <c r="C528" s="286" t="n">
        <v>341</v>
      </c>
      <c r="D528" s="287" t="inlineStr">
        <is>
          <t>Toll (PLM-Prabumulih)</t>
        </is>
      </c>
      <c r="E528" s="288" t="inlineStr">
        <is>
          <t>-</t>
        </is>
      </c>
      <c r="F528" s="301" t="n">
        <v>112000</v>
      </c>
      <c r="G528" s="286" t="inlineStr">
        <is>
          <t>IDR</t>
        </is>
      </c>
      <c r="H528" s="290" t="n">
        <v>1</v>
      </c>
      <c r="I528" s="288" t="n"/>
      <c r="J528" s="288" t="n"/>
      <c r="K528" s="288" t="n"/>
      <c r="L528" s="289">
        <f>$F528*$H528</f>
        <v/>
      </c>
      <c r="M528" s="288" t="n"/>
      <c r="N528" s="288" t="n"/>
      <c r="O528" s="288" t="n"/>
      <c r="P528" s="288" t="n"/>
      <c r="Q528" s="288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45563</v>
      </c>
      <c r="C529" s="286" t="n">
        <v>342</v>
      </c>
      <c r="D529" s="287" t="inlineStr">
        <is>
          <t>Toll (Prabumulih-PLM)</t>
        </is>
      </c>
      <c r="E529" s="288" t="inlineStr">
        <is>
          <t>-</t>
        </is>
      </c>
      <c r="F529" s="301" t="n">
        <v>117000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" customHeight="1">
      <c r="B530" s="285" t="n">
        <v>45563</v>
      </c>
      <c r="C530" s="286" t="n">
        <v>343</v>
      </c>
      <c r="D530" s="287" t="inlineStr">
        <is>
          <t>Car Wash</t>
        </is>
      </c>
      <c r="E530" s="288" t="inlineStr">
        <is>
          <t>-</t>
        </is>
      </c>
      <c r="F530" s="301" t="n">
        <v>40000</v>
      </c>
      <c r="G530" s="286" t="inlineStr">
        <is>
          <t>IDR</t>
        </is>
      </c>
      <c r="H530" s="290" t="n">
        <v>1</v>
      </c>
      <c r="I530" s="288" t="n"/>
      <c r="J530" s="288" t="n"/>
      <c r="K530" s="288" t="n"/>
      <c r="L530" s="289">
        <f>$F530*$H530</f>
        <v/>
      </c>
      <c r="M530" s="288" t="n"/>
      <c r="N530" s="288" t="n"/>
      <c r="O530" s="288" t="n"/>
      <c r="P530" s="288" t="n"/>
      <c r="Q530" s="288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.5" customHeight="1">
      <c r="B531" s="296" t="inlineStr">
        <is>
          <t>Expense#34</t>
        </is>
      </c>
      <c r="C531" s="297" t="inlineStr">
        <is>
          <t>:</t>
        </is>
      </c>
      <c r="D531" s="296" t="inlineStr">
        <is>
          <t>ALFA_JRK-095 well (PEPZ4-PEndopo field) SI jakarta _ AC</t>
        </is>
      </c>
      <c r="E531" s="297" t="n"/>
      <c r="F531" s="302" t="n"/>
      <c r="G531" s="297" t="n"/>
      <c r="H531" s="297" t="n"/>
      <c r="I531" s="297" t="n"/>
      <c r="J531" s="297" t="n"/>
      <c r="K531" s="297" t="n"/>
      <c r="L531" s="297" t="n"/>
      <c r="M531" s="297" t="n"/>
      <c r="N531" s="297" t="n"/>
      <c r="O531" s="297" t="n"/>
      <c r="P531" s="297" t="n"/>
      <c r="Q531" s="297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.5" customHeight="1">
      <c r="B532" s="299" t="n"/>
      <c r="C532" s="299" t="n"/>
      <c r="D532" s="282" t="inlineStr">
        <is>
          <t>Accommodation , Laundry</t>
        </is>
      </c>
      <c r="E532" s="299" t="n"/>
      <c r="F532" s="303" t="n"/>
      <c r="G532" s="299" t="n"/>
      <c r="H532" s="299" t="n"/>
      <c r="I532" s="299" t="n"/>
      <c r="J532" s="299" t="n"/>
      <c r="K532" s="299" t="n"/>
      <c r="L532" s="299" t="n"/>
      <c r="M532" s="299" t="n"/>
      <c r="N532" s="299" t="n"/>
      <c r="O532" s="299" t="n"/>
      <c r="P532" s="299" t="n"/>
      <c r="Q532" s="299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45564</v>
      </c>
      <c r="C533" s="286" t="n">
        <v>344</v>
      </c>
      <c r="D533" s="287" t="inlineStr">
        <is>
          <t>Laundry 8 days @ 50K IDR/day</t>
        </is>
      </c>
      <c r="E533" s="288" t="inlineStr">
        <is>
          <t>-</t>
        </is>
      </c>
      <c r="F533" s="301" t="n">
        <v>400000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45564</v>
      </c>
      <c r="C534" s="286" t="n">
        <v>345</v>
      </c>
      <c r="D534" s="287" t="inlineStr">
        <is>
          <t>Meals 8 days @ 150K IDR/day</t>
        </is>
      </c>
      <c r="E534" s="288" t="inlineStr">
        <is>
          <t>-</t>
        </is>
      </c>
      <c r="F534" s="301" t="n">
        <v>900000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.5" customHeight="1">
      <c r="B535" s="299" t="n"/>
      <c r="C535" s="299" t="n"/>
      <c r="D535" s="282" t="inlineStr">
        <is>
          <t>Allowance</t>
        </is>
      </c>
      <c r="E535" s="299" t="n"/>
      <c r="F535" s="303" t="n"/>
      <c r="G535" s="299" t="n"/>
      <c r="H535" s="299" t="n"/>
      <c r="I535" s="299" t="n"/>
      <c r="J535" s="299" t="n"/>
      <c r="K535" s="299" t="n"/>
      <c r="L535" s="299" t="n"/>
      <c r="M535" s="299" t="n"/>
      <c r="N535" s="299" t="n"/>
      <c r="O535" s="299" t="n"/>
      <c r="P535" s="299" t="n"/>
      <c r="Q535" s="299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45565</v>
      </c>
      <c r="C536" s="286" t="n">
        <v>346</v>
      </c>
      <c r="D536" s="287" t="inlineStr">
        <is>
          <t>Tunjangan lapaangan for 8 days- (job at JRK-095)</t>
        </is>
      </c>
      <c r="E536" s="288" t="inlineStr">
        <is>
          <t>-</t>
        </is>
      </c>
      <c r="F536" s="301" t="n">
        <v>800</v>
      </c>
      <c r="G536" s="286" t="inlineStr">
        <is>
          <t>USD</t>
        </is>
      </c>
      <c r="H536" s="290" t="n">
        <v>15200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9" t="n"/>
      <c r="C537" s="299" t="n"/>
      <c r="D537" s="282" t="inlineStr">
        <is>
          <t>Biaya Operasi</t>
        </is>
      </c>
      <c r="E537" s="299" t="n"/>
      <c r="F537" s="303" t="n"/>
      <c r="G537" s="299" t="n"/>
      <c r="H537" s="299" t="n"/>
      <c r="I537" s="299" t="n"/>
      <c r="J537" s="299" t="n"/>
      <c r="K537" s="299" t="n"/>
      <c r="L537" s="299" t="n"/>
      <c r="M537" s="299" t="n"/>
      <c r="N537" s="299" t="n"/>
      <c r="O537" s="299" t="n"/>
      <c r="P537" s="299" t="n"/>
      <c r="Q537" s="299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" customHeight="1">
      <c r="B538" s="285" t="n">
        <v>45556</v>
      </c>
      <c r="C538" s="286" t="n">
        <v>347</v>
      </c>
      <c r="D538" s="287" t="inlineStr">
        <is>
          <t>Air ticket Anevril JKT-Palembang</t>
        </is>
      </c>
      <c r="E538" s="288" t="inlineStr">
        <is>
          <t>-</t>
        </is>
      </c>
      <c r="F538" s="301" t="n">
        <v>796800</v>
      </c>
      <c r="G538" s="286" t="inlineStr">
        <is>
          <t>IDR</t>
        </is>
      </c>
      <c r="H538" s="290" t="n">
        <v>1</v>
      </c>
      <c r="I538" s="288" t="n"/>
      <c r="J538" s="288" t="n"/>
      <c r="K538" s="288" t="n"/>
      <c r="L538" s="289">
        <f>$F538*$H538</f>
        <v/>
      </c>
      <c r="M538" s="288" t="n"/>
      <c r="N538" s="288" t="n"/>
      <c r="O538" s="288" t="n"/>
      <c r="P538" s="288" t="n"/>
      <c r="Q538" s="288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45564</v>
      </c>
      <c r="C539" s="286" t="n">
        <v>348</v>
      </c>
      <c r="D539" s="287" t="inlineStr">
        <is>
          <t>Air ticket Anevril Palembang-JKT</t>
        </is>
      </c>
      <c r="E539" s="288" t="inlineStr">
        <is>
          <t>-</t>
        </is>
      </c>
      <c r="F539" s="301" t="n">
        <v>804500</v>
      </c>
      <c r="G539" s="286" t="inlineStr">
        <is>
          <t>IDR</t>
        </is>
      </c>
      <c r="H539" s="290" t="n">
        <v>1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Transportation</t>
        </is>
      </c>
      <c r="E540" s="299" t="n"/>
      <c r="F540" s="303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45556</v>
      </c>
      <c r="C541" s="286" t="n">
        <v>349</v>
      </c>
      <c r="D541" s="287" t="inlineStr">
        <is>
          <t>Taxi Anevril Home - CGK Airport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" customHeight="1">
      <c r="B542" s="285" t="n">
        <v>45564</v>
      </c>
      <c r="C542" s="286" t="n">
        <v>350</v>
      </c>
      <c r="D542" s="287" t="inlineStr">
        <is>
          <t>Taxi Anevril CGK Airport - Home</t>
        </is>
      </c>
      <c r="E542" s="288" t="inlineStr">
        <is>
          <t>-</t>
        </is>
      </c>
      <c r="F542" s="301" t="n">
        <v>250000</v>
      </c>
      <c r="G542" s="286" t="inlineStr">
        <is>
          <t>IDR</t>
        </is>
      </c>
      <c r="H542" s="290" t="n">
        <v>1</v>
      </c>
      <c r="I542" s="288" t="n"/>
      <c r="J542" s="288" t="n"/>
      <c r="K542" s="288" t="n"/>
      <c r="L542" s="289">
        <f>$F542*$H542</f>
        <v/>
      </c>
      <c r="M542" s="288" t="n"/>
      <c r="N542" s="288" t="n"/>
      <c r="O542" s="288" t="n"/>
      <c r="P542" s="288" t="n"/>
      <c r="Q542" s="288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45564</v>
      </c>
      <c r="C543" s="286" t="n">
        <v>351</v>
      </c>
      <c r="D543" s="287" t="inlineStr">
        <is>
          <t>Sewa mobil 8 hari (21/09/24 - 29/09/24)</t>
        </is>
      </c>
      <c r="E543" s="288" t="inlineStr">
        <is>
          <t>-</t>
        </is>
      </c>
      <c r="F543" s="301" t="n">
        <v>4000000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6" t="inlineStr">
        <is>
          <t>Expense#35</t>
        </is>
      </c>
      <c r="C544" s="297" t="inlineStr">
        <is>
          <t>:</t>
        </is>
      </c>
      <c r="D544" s="296" t="inlineStr">
        <is>
          <t>Trip to Cirebon Meeting MTD job X-ray field with PEP Zona 7 Region2_AC</t>
        </is>
      </c>
      <c r="E544" s="297" t="n"/>
      <c r="F544" s="302" t="n"/>
      <c r="G544" s="297" t="n"/>
      <c r="H544" s="297" t="n"/>
      <c r="I544" s="297" t="n"/>
      <c r="J544" s="297" t="n"/>
      <c r="K544" s="297" t="n"/>
      <c r="L544" s="297" t="n"/>
      <c r="M544" s="297" t="n"/>
      <c r="N544" s="297" t="n"/>
      <c r="O544" s="297" t="n"/>
      <c r="P544" s="297" t="n"/>
      <c r="Q544" s="297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.5" customHeight="1">
      <c r="B545" s="299" t="n"/>
      <c r="C545" s="299" t="n"/>
      <c r="D545" s="282" t="inlineStr">
        <is>
          <t>Accommodation , Laundry</t>
        </is>
      </c>
      <c r="E545" s="299" t="n"/>
      <c r="F545" s="299" t="n"/>
      <c r="G545" s="299" t="n"/>
      <c r="H545" s="299" t="n"/>
      <c r="I545" s="299" t="n"/>
      <c r="J545" s="299" t="n"/>
      <c r="K545" s="299" t="n"/>
      <c r="L545" s="299" t="n"/>
      <c r="M545" s="299" t="n"/>
      <c r="N545" s="299" t="n"/>
      <c r="O545" s="299" t="n"/>
      <c r="P545" s="299" t="n"/>
      <c r="Q545" s="299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45546</v>
      </c>
      <c r="C546" s="286" t="n">
        <v>352</v>
      </c>
      <c r="D546" s="287" t="inlineStr">
        <is>
          <t>lunch when check MTD tool at workshop Gowell</t>
        </is>
      </c>
      <c r="E546" s="288" t="inlineStr">
        <is>
          <t>-</t>
        </is>
      </c>
      <c r="F546" s="292" t="n">
        <v>171000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45552</v>
      </c>
      <c r="C547" s="286" t="n">
        <v>353</v>
      </c>
      <c r="D547" s="287" t="inlineStr">
        <is>
          <t>Hotel</t>
        </is>
      </c>
      <c r="E547" s="288" t="inlineStr">
        <is>
          <t>-</t>
        </is>
      </c>
      <c r="F547" s="292" t="n">
        <v>700000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" customHeight="1">
      <c r="B548" s="285" t="n">
        <v>45553</v>
      </c>
      <c r="C548" s="286" t="n">
        <v>354</v>
      </c>
      <c r="D548" s="287" t="inlineStr">
        <is>
          <t>Loundry 2 days @Rp. 50.000</t>
        </is>
      </c>
      <c r="E548" s="288" t="inlineStr">
        <is>
          <t>-</t>
        </is>
      </c>
      <c r="F548" s="292" t="n">
        <v>100000</v>
      </c>
      <c r="G548" s="286" t="inlineStr">
        <is>
          <t>IDR</t>
        </is>
      </c>
      <c r="H548" s="290" t="n">
        <v>1</v>
      </c>
      <c r="I548" s="288" t="n"/>
      <c r="J548" s="288" t="n"/>
      <c r="K548" s="288" t="n"/>
      <c r="L548" s="289">
        <f>$F548*$H548</f>
        <v/>
      </c>
      <c r="M548" s="288" t="n"/>
      <c r="N548" s="288" t="n"/>
      <c r="O548" s="288" t="n"/>
      <c r="P548" s="288" t="n"/>
      <c r="Q548" s="288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" customHeight="1">
      <c r="B549" s="285" t="n">
        <v>45553</v>
      </c>
      <c r="C549" s="286" t="n">
        <v>355</v>
      </c>
      <c r="D549" s="287" t="inlineStr">
        <is>
          <t>Uang makan utk 3 hari (17-18 Sept-24) @150.000</t>
        </is>
      </c>
      <c r="E549" s="288" t="inlineStr">
        <is>
          <t>-</t>
        </is>
      </c>
      <c r="F549" s="292" t="n">
        <v>300000</v>
      </c>
      <c r="G549" s="286" t="inlineStr">
        <is>
          <t>IDR</t>
        </is>
      </c>
      <c r="H549" s="290" t="n">
        <v>1</v>
      </c>
      <c r="I549" s="288" t="n"/>
      <c r="J549" s="288" t="n"/>
      <c r="K549" s="288" t="n"/>
      <c r="L549" s="289">
        <f>$F549*$H549</f>
        <v/>
      </c>
      <c r="M549" s="288" t="n"/>
      <c r="N549" s="288" t="n"/>
      <c r="O549" s="288" t="n"/>
      <c r="P549" s="288" t="n"/>
      <c r="Q549" s="288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.5" customHeight="1">
      <c r="B550" s="299" t="n"/>
      <c r="C550" s="299" t="n"/>
      <c r="D550" s="282" t="inlineStr">
        <is>
          <t>Transportation</t>
        </is>
      </c>
      <c r="E550" s="299" t="n"/>
      <c r="F550" s="300" t="n"/>
      <c r="G550" s="299" t="n"/>
      <c r="H550" s="299" t="n"/>
      <c r="I550" s="299" t="n"/>
      <c r="J550" s="299" t="n"/>
      <c r="K550" s="299" t="n"/>
      <c r="L550" s="299" t="n"/>
      <c r="M550" s="299" t="n"/>
      <c r="N550" s="299" t="n"/>
      <c r="O550" s="299" t="n"/>
      <c r="P550" s="299" t="n"/>
      <c r="Q550" s="299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" customHeight="1">
      <c r="B551" s="285" t="n">
        <v>45526</v>
      </c>
      <c r="C551" s="286" t="n">
        <v>356</v>
      </c>
      <c r="D551" s="287" t="inlineStr">
        <is>
          <t>Fuel ( trip modified tool Sampler to Mr suby)</t>
        </is>
      </c>
      <c r="E551" s="288" t="inlineStr">
        <is>
          <t>-</t>
        </is>
      </c>
      <c r="F551" s="292" t="n">
        <v>274000</v>
      </c>
      <c r="G551" s="286" t="inlineStr">
        <is>
          <t>IDR</t>
        </is>
      </c>
      <c r="H551" s="290" t="n">
        <v>1</v>
      </c>
      <c r="I551" s="288" t="n"/>
      <c r="J551" s="288" t="n"/>
      <c r="K551" s="288" t="n"/>
      <c r="L551" s="289">
        <f>$F551*$H551</f>
        <v/>
      </c>
      <c r="M551" s="288" t="n"/>
      <c r="N551" s="288" t="n"/>
      <c r="O551" s="288" t="n"/>
      <c r="P551" s="288" t="n"/>
      <c r="Q551" s="288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45544</v>
      </c>
      <c r="C552" s="286" t="n">
        <v>357</v>
      </c>
      <c r="D552" s="287" t="inlineStr">
        <is>
          <t>Gocar ( trip Bintaro - Instrutek solusindo)</t>
        </is>
      </c>
      <c r="E552" s="288" t="inlineStr">
        <is>
          <t>-</t>
        </is>
      </c>
      <c r="F552" s="292" t="n">
        <v>144500</v>
      </c>
      <c r="G552" s="286" t="inlineStr">
        <is>
          <t>IDR</t>
        </is>
      </c>
      <c r="H552" s="290" t="n">
        <v>1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" customHeight="1">
      <c r="B553" s="285" t="n">
        <v>45544</v>
      </c>
      <c r="C553" s="286" t="n">
        <v>358</v>
      </c>
      <c r="D553" s="287" t="inlineStr">
        <is>
          <t>Gocar ( trip Instrutek solusindo - Bintaro)</t>
        </is>
      </c>
      <c r="E553" s="288" t="inlineStr">
        <is>
          <t>-</t>
        </is>
      </c>
      <c r="F553" s="292" t="n">
        <v>160000</v>
      </c>
      <c r="G553" s="286" t="inlineStr">
        <is>
          <t>IDR</t>
        </is>
      </c>
      <c r="H553" s="290" t="n">
        <v>1</v>
      </c>
      <c r="I553" s="288" t="n"/>
      <c r="J553" s="288" t="n"/>
      <c r="K553" s="288" t="n"/>
      <c r="L553" s="289">
        <f>$F553*$H553</f>
        <v/>
      </c>
      <c r="M553" s="288" t="n"/>
      <c r="N553" s="288" t="n"/>
      <c r="O553" s="288" t="n"/>
      <c r="P553" s="288" t="n"/>
      <c r="Q553" s="288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45544</v>
      </c>
      <c r="C554" s="286" t="n">
        <v>359</v>
      </c>
      <c r="D554" s="287" t="inlineStr">
        <is>
          <t>Tol ( trip Bintaro - Instrutek solusindo) No reciept</t>
        </is>
      </c>
      <c r="E554" s="288" t="inlineStr">
        <is>
          <t>-</t>
        </is>
      </c>
      <c r="F554" s="292" t="n">
        <v>64500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" customHeight="1">
      <c r="B555" s="285" t="n">
        <v>45544</v>
      </c>
      <c r="C555" s="286" t="n">
        <v>360</v>
      </c>
      <c r="D555" s="287" t="inlineStr">
        <is>
          <t>Tol ( trip Instrutek solusindo - Bintaro) No Reciept</t>
        </is>
      </c>
      <c r="E555" s="288" t="inlineStr">
        <is>
          <t>-</t>
        </is>
      </c>
      <c r="F555" s="292" t="n">
        <v>64500</v>
      </c>
      <c r="G555" s="286" t="inlineStr">
        <is>
          <t>IDR</t>
        </is>
      </c>
      <c r="H555" s="290" t="n">
        <v>1</v>
      </c>
      <c r="I555" s="288" t="n"/>
      <c r="J555" s="288" t="n"/>
      <c r="K555" s="288" t="n"/>
      <c r="L555" s="289">
        <f>$F555*$H555</f>
        <v/>
      </c>
      <c r="M555" s="288" t="n"/>
      <c r="N555" s="288" t="n"/>
      <c r="O555" s="288" t="n"/>
      <c r="P555" s="288" t="n"/>
      <c r="Q555" s="288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45545</v>
      </c>
      <c r="C556" s="286" t="n">
        <v>361</v>
      </c>
      <c r="D556" s="287" t="inlineStr">
        <is>
          <t>Fuel ( trip to Sclumberger Cikaranga,SIT seeting tool )</t>
        </is>
      </c>
      <c r="E556" s="288" t="inlineStr">
        <is>
          <t>-</t>
        </is>
      </c>
      <c r="F556" s="292" t="n">
        <v>232500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" customHeight="1">
      <c r="B557" s="285" t="n">
        <v>45545</v>
      </c>
      <c r="C557" s="286" t="n">
        <v>362</v>
      </c>
      <c r="D557" s="287" t="inlineStr">
        <is>
          <t>tol (Bintaro - Cikarang)</t>
        </is>
      </c>
      <c r="E557" s="288" t="inlineStr">
        <is>
          <t>-</t>
        </is>
      </c>
      <c r="F557" s="292" t="n">
        <v>112500</v>
      </c>
      <c r="G557" s="286" t="inlineStr">
        <is>
          <t>IDR</t>
        </is>
      </c>
      <c r="H557" s="290" t="n">
        <v>1</v>
      </c>
      <c r="I557" s="288" t="n"/>
      <c r="J557" s="288" t="n"/>
      <c r="K557" s="288" t="n"/>
      <c r="L557" s="289">
        <f>$F557*$H557</f>
        <v/>
      </c>
      <c r="M557" s="288" t="n"/>
      <c r="N557" s="288" t="n"/>
      <c r="O557" s="288" t="n"/>
      <c r="P557" s="288" t="n"/>
      <c r="Q557" s="288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45545</v>
      </c>
      <c r="C558" s="286" t="n">
        <v>363</v>
      </c>
      <c r="D558" s="287" t="inlineStr">
        <is>
          <t>tol (Cikarang - Bekasi -Bintaro)</t>
        </is>
      </c>
      <c r="E558" s="288" t="inlineStr">
        <is>
          <t>-</t>
        </is>
      </c>
      <c r="F558" s="292" t="n">
        <v>50500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45546</v>
      </c>
      <c r="C559" s="286" t="n">
        <v>364</v>
      </c>
      <c r="D559" s="287" t="inlineStr">
        <is>
          <t>tol (Bintaro - Cinere)</t>
        </is>
      </c>
      <c r="E559" s="288" t="inlineStr">
        <is>
          <t>-</t>
        </is>
      </c>
      <c r="F559" s="292" t="n">
        <v>59000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45548</v>
      </c>
      <c r="C560" s="286" t="n">
        <v>365</v>
      </c>
      <c r="D560" s="287" t="inlineStr">
        <is>
          <t>Fuel ( trip to workshop Gowell &amp; ktr Pajak)</t>
        </is>
      </c>
      <c r="E560" s="288" t="inlineStr">
        <is>
          <t>-</t>
        </is>
      </c>
      <c r="F560" s="289" t="n">
        <v>256800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.5" customHeight="1">
      <c r="B561" s="299" t="n"/>
      <c r="C561" s="299" t="n"/>
      <c r="D561" s="282" t="inlineStr">
        <is>
          <t>Trip</t>
        </is>
      </c>
      <c r="E561" s="299" t="n"/>
      <c r="F561" s="300" t="n"/>
      <c r="G561" s="299" t="n"/>
      <c r="H561" s="299" t="n"/>
      <c r="I561" s="299" t="n"/>
      <c r="J561" s="299" t="n"/>
      <c r="K561" s="299" t="n"/>
      <c r="L561" s="299" t="n"/>
      <c r="M561" s="299" t="n"/>
      <c r="N561" s="299" t="n"/>
      <c r="O561" s="299" t="n"/>
      <c r="P561" s="299" t="n"/>
      <c r="Q561" s="299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45552</v>
      </c>
      <c r="C562" s="286" t="n">
        <v>366</v>
      </c>
      <c r="D562" s="287" t="inlineStr">
        <is>
          <t>Tol  Jakarta - Cirebon</t>
        </is>
      </c>
      <c r="E562" s="288" t="inlineStr">
        <is>
          <t>-</t>
        </is>
      </c>
      <c r="F562" s="292" t="n">
        <v>245000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45552</v>
      </c>
      <c r="C563" s="286" t="n">
        <v>367</v>
      </c>
      <c r="D563" s="287" t="inlineStr">
        <is>
          <t>Fuel</t>
        </is>
      </c>
      <c r="E563" s="288" t="inlineStr">
        <is>
          <t>-</t>
        </is>
      </c>
      <c r="F563" s="292" t="n">
        <v>180000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45553</v>
      </c>
      <c r="C564" s="286" t="n">
        <v>368</v>
      </c>
      <c r="D564" s="287" t="inlineStr">
        <is>
          <t>Tol  Cirebon - Jakarta</t>
        </is>
      </c>
      <c r="E564" s="288" t="inlineStr">
        <is>
          <t>-</t>
        </is>
      </c>
      <c r="F564" s="292" t="n">
        <v>166000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45553</v>
      </c>
      <c r="C565" s="286" t="n">
        <v>369</v>
      </c>
      <c r="D565" s="287" t="inlineStr">
        <is>
          <t>Fuel</t>
        </is>
      </c>
      <c r="E565" s="288" t="inlineStr">
        <is>
          <t>-</t>
        </is>
      </c>
      <c r="F565" s="292" t="n">
        <v>222650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.5" customHeight="1">
      <c r="B566" s="296" t="inlineStr">
        <is>
          <t>Expense#36</t>
        </is>
      </c>
      <c r="C566" s="297" t="inlineStr">
        <is>
          <t>:</t>
        </is>
      </c>
      <c r="D566" s="296" t="inlineStr">
        <is>
          <t>Non project (follow up MCU concul &amp; inspection tool)_AC_ 2 nd</t>
        </is>
      </c>
      <c r="E566" s="297" t="n"/>
      <c r="F566" s="298" t="n"/>
      <c r="G566" s="297" t="n"/>
      <c r="H566" s="297" t="n"/>
      <c r="I566" s="297" t="n"/>
      <c r="J566" s="297" t="n"/>
      <c r="K566" s="297" t="n"/>
      <c r="L566" s="297" t="n"/>
      <c r="M566" s="297" t="n"/>
      <c r="N566" s="297" t="n"/>
      <c r="O566" s="297" t="n"/>
      <c r="P566" s="297" t="n"/>
      <c r="Q566" s="297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.5" customHeight="1">
      <c r="B567" s="299" t="n"/>
      <c r="C567" s="299" t="n"/>
      <c r="D567" s="282" t="inlineStr">
        <is>
          <t>Medical</t>
        </is>
      </c>
      <c r="E567" s="299" t="n"/>
      <c r="F567" s="300" t="n"/>
      <c r="G567" s="299" t="n"/>
      <c r="H567" s="299" t="n"/>
      <c r="I567" s="299" t="n"/>
      <c r="J567" s="299" t="n"/>
      <c r="K567" s="299" t="n"/>
      <c r="L567" s="299" t="n"/>
      <c r="M567" s="299" t="n"/>
      <c r="N567" s="299" t="n"/>
      <c r="O567" s="299" t="n"/>
      <c r="P567" s="299" t="n"/>
      <c r="Q567" s="299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45436</v>
      </c>
      <c r="C568" s="286" t="n">
        <v>370</v>
      </c>
      <c r="D568" s="287" t="inlineStr">
        <is>
          <t>Buy lag ban 2 ea</t>
        </is>
      </c>
      <c r="E568" s="288" t="inlineStr">
        <is>
          <t>-</t>
        </is>
      </c>
      <c r="F568" s="292" t="n">
        <v>25000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45520</v>
      </c>
      <c r="C569" s="286" t="n">
        <v>371</v>
      </c>
      <c r="D569" s="287" t="inlineStr">
        <is>
          <t>Pengiriman dokumen ke Yulia - LBU</t>
        </is>
      </c>
      <c r="E569" s="288" t="inlineStr">
        <is>
          <t>-</t>
        </is>
      </c>
      <c r="F569" s="292" t="n">
        <v>18000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" customHeight="1">
      <c r="B570" s="285" t="n">
        <v>45530</v>
      </c>
      <c r="C570" s="286" t="n">
        <v>372</v>
      </c>
      <c r="D570" s="287" t="inlineStr">
        <is>
          <t>printing di snappy</t>
        </is>
      </c>
      <c r="E570" s="288" t="inlineStr">
        <is>
          <t>-</t>
        </is>
      </c>
      <c r="F570" s="292" t="n">
        <v>31000</v>
      </c>
      <c r="G570" s="286" t="inlineStr">
        <is>
          <t>IDR</t>
        </is>
      </c>
      <c r="H570" s="290" t="n">
        <v>1</v>
      </c>
      <c r="I570" s="288" t="n"/>
      <c r="J570" s="288" t="n"/>
      <c r="K570" s="288" t="n"/>
      <c r="L570" s="289">
        <f>$F570*$H570</f>
        <v/>
      </c>
      <c r="M570" s="288" t="n"/>
      <c r="N570" s="288" t="n"/>
      <c r="O570" s="288" t="n"/>
      <c r="P570" s="288" t="n"/>
      <c r="Q570" s="288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45537</v>
      </c>
      <c r="C571" s="286" t="n">
        <v>373</v>
      </c>
      <c r="D571" s="287" t="inlineStr">
        <is>
          <t>Pengiriman dokumen ke Yufitri</t>
        </is>
      </c>
      <c r="E571" s="288" t="inlineStr">
        <is>
          <t>-</t>
        </is>
      </c>
      <c r="F571" s="292" t="n">
        <v>10000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45537</v>
      </c>
      <c r="C572" s="286" t="n">
        <v>374</v>
      </c>
      <c r="D572" s="287" t="inlineStr">
        <is>
          <t>Pengiriman dokumen ke Rachmansyah-Sijak</t>
        </is>
      </c>
      <c r="E572" s="288" t="inlineStr">
        <is>
          <t>-</t>
        </is>
      </c>
      <c r="F572" s="292" t="n">
        <v>18000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45528</v>
      </c>
      <c r="C573" s="286" t="n">
        <v>375</v>
      </c>
      <c r="D573" s="287" t="inlineStr">
        <is>
          <t>Medicine</t>
        </is>
      </c>
      <c r="E573" s="288" t="inlineStr">
        <is>
          <t>-</t>
        </is>
      </c>
      <c r="F573" s="292" t="n">
        <v>36000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8" t="n"/>
      <c r="M573" s="288" t="n"/>
      <c r="N573" s="288" t="n"/>
      <c r="O573" s="288" t="n"/>
      <c r="P573" s="289">
        <f>$F573*$H573</f>
        <v/>
      </c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45530</v>
      </c>
      <c r="C574" s="286" t="n">
        <v>376</v>
      </c>
      <c r="D574" s="287" t="inlineStr">
        <is>
          <t>Biaya Konsul Dokter Penyakit dalam</t>
        </is>
      </c>
      <c r="E574" s="288" t="inlineStr">
        <is>
          <t>-</t>
        </is>
      </c>
      <c r="F574" s="292" t="n">
        <v>854100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8" t="n"/>
      <c r="M574" s="288" t="n"/>
      <c r="N574" s="288" t="n"/>
      <c r="O574" s="288" t="n"/>
      <c r="P574" s="289">
        <f>$F574*$H574</f>
        <v/>
      </c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45532</v>
      </c>
      <c r="C575" s="286" t="n">
        <v>377</v>
      </c>
      <c r="D575" s="287" t="inlineStr">
        <is>
          <t>Fisioterapi 1st</t>
        </is>
      </c>
      <c r="E575" s="288" t="inlineStr">
        <is>
          <t>-</t>
        </is>
      </c>
      <c r="F575" s="292" t="n">
        <v>285000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8" t="n"/>
      <c r="M575" s="288" t="n"/>
      <c r="N575" s="288" t="n"/>
      <c r="O575" s="288" t="n"/>
      <c r="P575" s="289">
        <f>$F575*$H575</f>
        <v/>
      </c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45533</v>
      </c>
      <c r="C576" s="286" t="n">
        <v>378</v>
      </c>
      <c r="D576" s="287" t="inlineStr">
        <is>
          <t>Fisioterapi 2nd</t>
        </is>
      </c>
      <c r="E576" s="288" t="inlineStr">
        <is>
          <t>-</t>
        </is>
      </c>
      <c r="F576" s="292" t="n">
        <v>285000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8" t="n"/>
      <c r="M576" s="288" t="n"/>
      <c r="N576" s="288" t="n"/>
      <c r="O576" s="288" t="n"/>
      <c r="P576" s="289">
        <f>$F576*$H576</f>
        <v/>
      </c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45534</v>
      </c>
      <c r="C577" s="286" t="n">
        <v>379</v>
      </c>
      <c r="D577" s="287" t="inlineStr">
        <is>
          <t>Fisioterapi 3rd</t>
        </is>
      </c>
      <c r="E577" s="288" t="inlineStr">
        <is>
          <t>-</t>
        </is>
      </c>
      <c r="F577" s="292" t="n">
        <v>285000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8" t="n"/>
      <c r="M577" s="288" t="n"/>
      <c r="N577" s="288" t="n"/>
      <c r="O577" s="288" t="n"/>
      <c r="P577" s="289">
        <f>$F577*$H577</f>
        <v/>
      </c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" customHeight="1">
      <c r="B578" s="285" t="n">
        <v>45536</v>
      </c>
      <c r="C578" s="286" t="n">
        <v>380</v>
      </c>
      <c r="D578" s="287" t="inlineStr">
        <is>
          <t>medicine</t>
        </is>
      </c>
      <c r="E578" s="288" t="inlineStr">
        <is>
          <t>-</t>
        </is>
      </c>
      <c r="F578" s="292" t="n">
        <v>45000</v>
      </c>
      <c r="G578" s="286" t="inlineStr">
        <is>
          <t>IDR</t>
        </is>
      </c>
      <c r="H578" s="290" t="n">
        <v>1</v>
      </c>
      <c r="I578" s="288" t="n"/>
      <c r="J578" s="288" t="n"/>
      <c r="K578" s="288" t="n"/>
      <c r="L578" s="288" t="n"/>
      <c r="M578" s="288" t="n"/>
      <c r="N578" s="288" t="n"/>
      <c r="O578" s="288" t="n"/>
      <c r="P578" s="289">
        <f>$F578*$H578</f>
        <v/>
      </c>
      <c r="Q578" s="288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" customHeight="1">
      <c r="B579" s="285" t="n">
        <v>45537</v>
      </c>
      <c r="C579" s="286" t="n">
        <v>381</v>
      </c>
      <c r="D579" s="287" t="inlineStr">
        <is>
          <t>Biaya Konsul Dokter Syaraf</t>
        </is>
      </c>
      <c r="E579" s="288" t="inlineStr">
        <is>
          <t>-</t>
        </is>
      </c>
      <c r="F579" s="292" t="n">
        <v>2906650</v>
      </c>
      <c r="G579" s="286" t="inlineStr">
        <is>
          <t>IDR</t>
        </is>
      </c>
      <c r="H579" s="290" t="n">
        <v>1</v>
      </c>
      <c r="I579" s="288" t="n"/>
      <c r="J579" s="288" t="n"/>
      <c r="K579" s="288" t="n"/>
      <c r="L579" s="288" t="n"/>
      <c r="M579" s="288" t="n"/>
      <c r="N579" s="288" t="n"/>
      <c r="O579" s="288" t="n"/>
      <c r="P579" s="289">
        <f>$F579*$H579</f>
        <v/>
      </c>
      <c r="Q579" s="288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45547</v>
      </c>
      <c r="C580" s="286" t="n">
        <v>382</v>
      </c>
      <c r="D580" s="287" t="inlineStr">
        <is>
          <t>Medicine</t>
        </is>
      </c>
      <c r="E580" s="288" t="inlineStr">
        <is>
          <t>-</t>
        </is>
      </c>
      <c r="F580" s="292" t="n">
        <v>241100</v>
      </c>
      <c r="G580" s="286" t="inlineStr">
        <is>
          <t>IDR</t>
        </is>
      </c>
      <c r="H580" s="290" t="n">
        <v>1</v>
      </c>
      <c r="I580" s="288" t="n"/>
      <c r="J580" s="288" t="n"/>
      <c r="K580" s="288" t="n"/>
      <c r="L580" s="288" t="n"/>
      <c r="M580" s="288" t="n"/>
      <c r="N580" s="288" t="n"/>
      <c r="O580" s="288" t="n"/>
      <c r="P580" s="289">
        <f>$F580*$H580</f>
        <v/>
      </c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" customHeight="1">
      <c r="B581" s="285" t="n">
        <v>45566</v>
      </c>
      <c r="C581" s="286" t="n">
        <v>383</v>
      </c>
      <c r="D581" s="287" t="inlineStr">
        <is>
          <t>Biaya Konsul ke 2, Dokter Jantung</t>
        </is>
      </c>
      <c r="E581" s="288" t="inlineStr">
        <is>
          <t>-</t>
        </is>
      </c>
      <c r="F581" s="292" t="n">
        <v>1370000</v>
      </c>
      <c r="G581" s="286" t="inlineStr">
        <is>
          <t>IDR</t>
        </is>
      </c>
      <c r="H581" s="290" t="n">
        <v>1</v>
      </c>
      <c r="I581" s="288" t="n"/>
      <c r="J581" s="288" t="n"/>
      <c r="K581" s="288" t="n"/>
      <c r="L581" s="288" t="n"/>
      <c r="M581" s="288" t="n"/>
      <c r="N581" s="288" t="n"/>
      <c r="O581" s="288" t="n"/>
      <c r="P581" s="289">
        <f>$F581*$H581</f>
        <v/>
      </c>
      <c r="Q581" s="288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.5" customHeight="1">
      <c r="B582" s="296" t="inlineStr">
        <is>
          <t>Expense#37</t>
        </is>
      </c>
      <c r="C582" s="297" t="inlineStr">
        <is>
          <t>:</t>
        </is>
      </c>
      <c r="D582" s="296" t="inlineStr">
        <is>
          <t>MTD SKW-26_sukowati_TMA</t>
        </is>
      </c>
      <c r="E582" s="297" t="n"/>
      <c r="F582" s="298" t="n"/>
      <c r="G582" s="297" t="n"/>
      <c r="H582" s="297" t="n"/>
      <c r="I582" s="297" t="n"/>
      <c r="J582" s="297" t="n"/>
      <c r="K582" s="297" t="n"/>
      <c r="L582" s="297" t="n"/>
      <c r="M582" s="297" t="n"/>
      <c r="N582" s="297" t="n"/>
      <c r="O582" s="297" t="n"/>
      <c r="P582" s="297" t="n"/>
      <c r="Q582" s="297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Accommodation , Laundry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45558</v>
      </c>
      <c r="C584" s="286" t="n">
        <v>384</v>
      </c>
      <c r="D584" s="287" t="inlineStr">
        <is>
          <t>Hotel 23 Sept - 26 Sept (3 days)</t>
        </is>
      </c>
      <c r="E584" s="288" t="inlineStr">
        <is>
          <t>-</t>
        </is>
      </c>
      <c r="F584" s="292" t="n">
        <v>1584184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" customHeight="1">
      <c r="B585" s="285" t="n">
        <v>45558</v>
      </c>
      <c r="C585" s="286" t="n">
        <v>385</v>
      </c>
      <c r="D585" s="287" t="inlineStr">
        <is>
          <t>Laundry 6 days 1 Persons @ 50K IDR/day</t>
        </is>
      </c>
      <c r="E585" s="288" t="inlineStr">
        <is>
          <t>-</t>
        </is>
      </c>
      <c r="F585" s="292" t="n">
        <v>250000</v>
      </c>
      <c r="G585" s="286" t="inlineStr">
        <is>
          <t>IDR</t>
        </is>
      </c>
      <c r="H585" s="290" t="n">
        <v>1</v>
      </c>
      <c r="I585" s="288" t="n"/>
      <c r="J585" s="288" t="n"/>
      <c r="K585" s="288" t="n"/>
      <c r="L585" s="289">
        <f>$F585*$H585</f>
        <v/>
      </c>
      <c r="M585" s="288" t="n"/>
      <c r="N585" s="288" t="n"/>
      <c r="O585" s="288" t="n"/>
      <c r="P585" s="288" t="n"/>
      <c r="Q585" s="288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.5" customHeight="1">
      <c r="B586" s="299" t="n"/>
      <c r="C586" s="299" t="n"/>
      <c r="D586" s="282" t="inlineStr">
        <is>
          <t>Allowance</t>
        </is>
      </c>
      <c r="E586" s="299" t="n"/>
      <c r="F586" s="300" t="n"/>
      <c r="G586" s="299" t="n"/>
      <c r="H586" s="299" t="n"/>
      <c r="I586" s="299" t="n"/>
      <c r="J586" s="299" t="n"/>
      <c r="K586" s="299" t="n"/>
      <c r="L586" s="299" t="n"/>
      <c r="M586" s="299" t="n"/>
      <c r="N586" s="299" t="n"/>
      <c r="O586" s="299" t="n"/>
      <c r="P586" s="299" t="n"/>
      <c r="Q586" s="299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45558</v>
      </c>
      <c r="C587" s="286" t="n">
        <v>386</v>
      </c>
      <c r="D587" s="287" t="inlineStr">
        <is>
          <t>Field Allowance</t>
        </is>
      </c>
      <c r="E587" s="288" t="inlineStr">
        <is>
          <t>-</t>
        </is>
      </c>
      <c r="F587" s="292" t="n">
        <v>500</v>
      </c>
      <c r="G587" s="286" t="inlineStr">
        <is>
          <t>USD</t>
        </is>
      </c>
      <c r="H587" s="290" t="n">
        <v>15231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45558</v>
      </c>
      <c r="C588" s="286" t="n">
        <v>387</v>
      </c>
      <c r="D588" s="287" t="inlineStr">
        <is>
          <t>Meals</t>
        </is>
      </c>
      <c r="E588" s="288" t="inlineStr">
        <is>
          <t>-</t>
        </is>
      </c>
      <c r="F588" s="292" t="n">
        <v>750000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.5" customHeight="1">
      <c r="B589" s="299" t="n"/>
      <c r="C589" s="299" t="n"/>
      <c r="D589" s="282" t="inlineStr">
        <is>
          <t>Transportation</t>
        </is>
      </c>
      <c r="E589" s="299" t="n"/>
      <c r="F589" s="300" t="n"/>
      <c r="G589" s="299" t="n"/>
      <c r="H589" s="299" t="n"/>
      <c r="I589" s="299" t="n"/>
      <c r="J589" s="299" t="n"/>
      <c r="K589" s="299" t="n"/>
      <c r="L589" s="299" t="n"/>
      <c r="M589" s="299" t="n"/>
      <c r="N589" s="299" t="n"/>
      <c r="O589" s="299" t="n"/>
      <c r="P589" s="299" t="n"/>
      <c r="Q589" s="299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45558</v>
      </c>
      <c r="C590" s="286" t="n">
        <v>388</v>
      </c>
      <c r="D590" s="287" t="inlineStr">
        <is>
          <t>Train Ticket Gambir-Cepu (2 pax)</t>
        </is>
      </c>
      <c r="E590" s="288" t="inlineStr">
        <is>
          <t>-</t>
        </is>
      </c>
      <c r="F590" s="292" t="n">
        <v>1213500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" customHeight="1">
      <c r="B591" s="285" t="n">
        <v>45558</v>
      </c>
      <c r="C591" s="286" t="n">
        <v>389</v>
      </c>
      <c r="D591" s="287" t="inlineStr">
        <is>
          <t>Taxi Pondok Cabe-Gambir</t>
        </is>
      </c>
      <c r="E591" s="288" t="inlineStr">
        <is>
          <t>-</t>
        </is>
      </c>
      <c r="F591" s="292" t="n">
        <v>132500</v>
      </c>
      <c r="G591" s="286" t="inlineStr">
        <is>
          <t>IDR</t>
        </is>
      </c>
      <c r="H591" s="290" t="n">
        <v>1</v>
      </c>
      <c r="I591" s="288" t="n"/>
      <c r="J591" s="288" t="n"/>
      <c r="K591" s="288" t="n"/>
      <c r="L591" s="289">
        <f>$F591*$H591</f>
        <v/>
      </c>
      <c r="M591" s="288" t="n"/>
      <c r="N591" s="288" t="n"/>
      <c r="O591" s="288" t="n"/>
      <c r="P591" s="288" t="n"/>
      <c r="Q591" s="288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" customHeight="1">
      <c r="B592" s="285" t="n">
        <v>45558</v>
      </c>
      <c r="C592" s="286" t="n">
        <v>390</v>
      </c>
      <c r="D592" s="287" t="inlineStr">
        <is>
          <t>Demob Tools (Kalog)</t>
        </is>
      </c>
      <c r="E592" s="288" t="inlineStr">
        <is>
          <t>-</t>
        </is>
      </c>
      <c r="F592" s="292" t="n">
        <v>280400</v>
      </c>
      <c r="G592" s="286" t="inlineStr">
        <is>
          <t>IDR</t>
        </is>
      </c>
      <c r="H592" s="290" t="n">
        <v>1</v>
      </c>
      <c r="I592" s="288" t="n"/>
      <c r="J592" s="288" t="n"/>
      <c r="K592" s="288" t="n"/>
      <c r="L592" s="289">
        <f>$F592*$H592</f>
        <v/>
      </c>
      <c r="M592" s="288" t="n"/>
      <c r="N592" s="288" t="n"/>
      <c r="O592" s="288" t="n"/>
      <c r="P592" s="288" t="n"/>
      <c r="Q592" s="288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45558</v>
      </c>
      <c r="C593" s="286" t="n">
        <v>391</v>
      </c>
      <c r="D593" s="287" t="inlineStr">
        <is>
          <t>Taxi Gambir-Pondok Cabe (inc Toll+Parking)</t>
        </is>
      </c>
      <c r="E593" s="288" t="inlineStr">
        <is>
          <t>-</t>
        </is>
      </c>
      <c r="F593" s="292" t="n">
        <v>326600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" customHeight="1">
      <c r="B594" s="285" t="n">
        <v>45558</v>
      </c>
      <c r="C594" s="286" t="n">
        <v>392</v>
      </c>
      <c r="D594" s="287" t="inlineStr">
        <is>
          <t>Train Ticket Bojonegoro-Gambir (2 pax)</t>
        </is>
      </c>
      <c r="E594" s="288" t="inlineStr">
        <is>
          <t>-</t>
        </is>
      </c>
      <c r="F594" s="292" t="n">
        <v>1653500</v>
      </c>
      <c r="G594" s="286" t="inlineStr">
        <is>
          <t>IDR</t>
        </is>
      </c>
      <c r="H594" s="290" t="n">
        <v>1</v>
      </c>
      <c r="I594" s="288" t="n"/>
      <c r="J594" s="288" t="n"/>
      <c r="K594" s="288" t="n"/>
      <c r="L594" s="289">
        <f>$F594*$H594</f>
        <v/>
      </c>
      <c r="M594" s="288" t="n"/>
      <c r="N594" s="288" t="n"/>
      <c r="O594" s="288" t="n"/>
      <c r="P594" s="288" t="n"/>
      <c r="Q594" s="288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45558</v>
      </c>
      <c r="C595" s="286" t="n">
        <v>393</v>
      </c>
      <c r="D595" s="287" t="inlineStr">
        <is>
          <t>Lalamove Kalog-Gowell</t>
        </is>
      </c>
      <c r="E595" s="288" t="inlineStr">
        <is>
          <t>-</t>
        </is>
      </c>
      <c r="F595" s="292" t="n">
        <v>73584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6" t="inlineStr">
        <is>
          <t>Expense#38</t>
        </is>
      </c>
      <c r="C596" s="297" t="inlineStr">
        <is>
          <t>:</t>
        </is>
      </c>
      <c r="D596" s="296" t="inlineStr">
        <is>
          <t>MTD_STM_HDP 01 s/d 03 well (BHI project ndr Gowell) Sumbawa</t>
        </is>
      </c>
      <c r="E596" s="297" t="n"/>
      <c r="F596" s="298" t="n"/>
      <c r="G596" s="297" t="n"/>
      <c r="H596" s="297" t="n"/>
      <c r="I596" s="297" t="n"/>
      <c r="J596" s="297" t="n"/>
      <c r="K596" s="297" t="n"/>
      <c r="L596" s="297" t="n"/>
      <c r="M596" s="297" t="n"/>
      <c r="N596" s="297" t="n"/>
      <c r="O596" s="297" t="n"/>
      <c r="P596" s="297" t="n"/>
      <c r="Q596" s="297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.5" customHeight="1">
      <c r="B597" s="299" t="n"/>
      <c r="C597" s="299" t="n"/>
      <c r="D597" s="282" t="inlineStr">
        <is>
          <t>Accommodation , Laundry</t>
        </is>
      </c>
      <c r="E597" s="299" t="n"/>
      <c r="F597" s="300" t="n"/>
      <c r="G597" s="299" t="n"/>
      <c r="H597" s="299" t="n"/>
      <c r="I597" s="299" t="n"/>
      <c r="J597" s="299" t="n"/>
      <c r="K597" s="299" t="n"/>
      <c r="L597" s="299" t="n"/>
      <c r="M597" s="299" t="n"/>
      <c r="N597" s="299" t="n"/>
      <c r="O597" s="299" t="n"/>
      <c r="P597" s="299" t="n"/>
      <c r="Q597" s="299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45585</v>
      </c>
      <c r="C598" s="286" t="n">
        <v>394</v>
      </c>
      <c r="D598" s="287" t="inlineStr">
        <is>
          <t>Laundry 18 days @ 50K IDR/day</t>
        </is>
      </c>
      <c r="E598" s="288" t="inlineStr">
        <is>
          <t>-</t>
        </is>
      </c>
      <c r="F598" s="292" t="n">
        <v>900000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Allowance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45585</v>
      </c>
      <c r="C600" s="286" t="n">
        <v>395</v>
      </c>
      <c r="D600" s="287" t="inlineStr">
        <is>
          <t>Field Allowance for 18 days</t>
        </is>
      </c>
      <c r="E600" s="288" t="inlineStr">
        <is>
          <t>-</t>
        </is>
      </c>
      <c r="F600" s="289" t="n">
        <v>1800</v>
      </c>
      <c r="G600" s="286" t="inlineStr">
        <is>
          <t>USD</t>
        </is>
      </c>
      <c r="H600" s="290" t="n">
        <v>15849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.5" customHeight="1">
      <c r="B601" s="299" t="n"/>
      <c r="C601" s="299" t="n"/>
      <c r="D601" s="282" t="inlineStr">
        <is>
          <t>Meal</t>
        </is>
      </c>
      <c r="E601" s="299" t="n"/>
      <c r="F601" s="300" t="n"/>
      <c r="G601" s="299" t="n"/>
      <c r="H601" s="299" t="n"/>
      <c r="I601" s="299" t="n"/>
      <c r="J601" s="299" t="n"/>
      <c r="K601" s="299" t="n"/>
      <c r="L601" s="299" t="n"/>
      <c r="M601" s="299" t="n"/>
      <c r="N601" s="299" t="n"/>
      <c r="O601" s="299" t="n"/>
      <c r="P601" s="299" t="n"/>
      <c r="Q601" s="299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45585</v>
      </c>
      <c r="C602" s="286" t="n">
        <v>396</v>
      </c>
      <c r="D602" s="287" t="inlineStr">
        <is>
          <t>operation meal with BHI person</t>
        </is>
      </c>
      <c r="E602" s="288" t="inlineStr">
        <is>
          <t>-</t>
        </is>
      </c>
      <c r="F602" s="292" t="n">
        <v>1102050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45585</v>
      </c>
      <c r="C603" s="286" t="n">
        <v>397</v>
      </c>
      <c r="D603" s="287" t="inlineStr">
        <is>
          <t>Meal 18 days @ 150K IDR/day</t>
        </is>
      </c>
      <c r="E603" s="288" t="inlineStr">
        <is>
          <t>-</t>
        </is>
      </c>
      <c r="F603" s="292" t="n">
        <v>2700000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.5" customHeight="1">
      <c r="B604" s="299" t="n"/>
      <c r="C604" s="299" t="n"/>
      <c r="D604" s="282" t="inlineStr">
        <is>
          <t>Transportation</t>
        </is>
      </c>
      <c r="E604" s="299" t="n"/>
      <c r="F604" s="300" t="n"/>
      <c r="G604" s="299" t="n"/>
      <c r="H604" s="299" t="n"/>
      <c r="I604" s="299" t="n"/>
      <c r="J604" s="299" t="n"/>
      <c r="K604" s="299" t="n"/>
      <c r="L604" s="299" t="n"/>
      <c r="M604" s="299" t="n"/>
      <c r="N604" s="299" t="n"/>
      <c r="O604" s="299" t="n"/>
      <c r="P604" s="299" t="n"/>
      <c r="Q604" s="299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45568</v>
      </c>
      <c r="C605" s="286" t="n">
        <v>398</v>
      </c>
      <c r="D605" s="287" t="inlineStr">
        <is>
          <t>Taxi Anevril Home - CGK Airport</t>
        </is>
      </c>
      <c r="E605" s="288" t="inlineStr">
        <is>
          <t>-</t>
        </is>
      </c>
      <c r="F605" s="292" t="n">
        <v>250000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45585</v>
      </c>
      <c r="C606" s="286" t="n">
        <v>399</v>
      </c>
      <c r="D606" s="287" t="inlineStr">
        <is>
          <t>Taxi Anevril CGK Airport - Home</t>
        </is>
      </c>
      <c r="E606" s="288" t="inlineStr">
        <is>
          <t>-</t>
        </is>
      </c>
      <c r="F606" s="292" t="n">
        <v>250000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.5" customHeight="1">
      <c r="B607" s="296" t="inlineStr">
        <is>
          <t>Expense#39</t>
        </is>
      </c>
      <c r="C607" s="297" t="inlineStr">
        <is>
          <t>:</t>
        </is>
      </c>
      <c r="D607" s="296" t="inlineStr">
        <is>
          <t>Training Basic Sea Survival_IBR</t>
        </is>
      </c>
      <c r="E607" s="297" t="n"/>
      <c r="F607" s="298" t="n"/>
      <c r="G607" s="297" t="n"/>
      <c r="H607" s="297" t="n"/>
      <c r="I607" s="297" t="n"/>
      <c r="J607" s="297" t="n"/>
      <c r="K607" s="297" t="n"/>
      <c r="L607" s="297" t="n"/>
      <c r="M607" s="297" t="n"/>
      <c r="N607" s="297" t="n"/>
      <c r="O607" s="297" t="n"/>
      <c r="P607" s="297" t="n"/>
      <c r="Q607" s="297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.5" customHeight="1">
      <c r="B608" s="299" t="n"/>
      <c r="C608" s="299" t="n"/>
      <c r="D608" s="282" t="inlineStr">
        <is>
          <t>Training</t>
        </is>
      </c>
      <c r="E608" s="299" t="n"/>
      <c r="F608" s="300" t="n"/>
      <c r="G608" s="299" t="n"/>
      <c r="H608" s="299" t="n"/>
      <c r="I608" s="299" t="n"/>
      <c r="J608" s="299" t="n"/>
      <c r="K608" s="299" t="n"/>
      <c r="L608" s="299" t="n"/>
      <c r="M608" s="299" t="n"/>
      <c r="N608" s="299" t="n"/>
      <c r="O608" s="299" t="n"/>
      <c r="P608" s="299" t="n"/>
      <c r="Q608" s="299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45622</v>
      </c>
      <c r="C609" s="286" t="n">
        <v>400</v>
      </c>
      <c r="D609" s="287" t="inlineStr">
        <is>
          <t>Basic Sea Survival</t>
        </is>
      </c>
      <c r="E609" s="288" t="inlineStr">
        <is>
          <t>-</t>
        </is>
      </c>
      <c r="F609" s="292" t="n">
        <v>2700000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.5" customHeight="1">
      <c r="B610" s="299" t="n"/>
      <c r="C610" s="299" t="n"/>
      <c r="D610" s="282" t="inlineStr">
        <is>
          <t>Transportation</t>
        </is>
      </c>
      <c r="E610" s="299" t="n"/>
      <c r="F610" s="300" t="n"/>
      <c r="G610" s="299" t="n"/>
      <c r="H610" s="299" t="n"/>
      <c r="I610" s="299" t="n"/>
      <c r="J610" s="299" t="n"/>
      <c r="K610" s="299" t="n"/>
      <c r="L610" s="299" t="n"/>
      <c r="M610" s="299" t="n"/>
      <c r="N610" s="299" t="n"/>
      <c r="O610" s="299" t="n"/>
      <c r="P610" s="299" t="n"/>
      <c r="Q610" s="299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45622</v>
      </c>
      <c r="C611" s="286" t="n">
        <v>401</v>
      </c>
      <c r="D611" s="287" t="inlineStr">
        <is>
          <t>Gojek ( Damn Coffe - PT Lautan Tenang Jaya )</t>
        </is>
      </c>
      <c r="E611" s="288" t="inlineStr">
        <is>
          <t>-</t>
        </is>
      </c>
      <c r="F611" s="292" t="n">
        <v>15000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45622</v>
      </c>
      <c r="C612" s="286" t="n">
        <v>402</v>
      </c>
      <c r="D612" s="287" t="inlineStr">
        <is>
          <t>Gojek ( PT Lautan Tenang Jaya - Stasiun MRT )</t>
        </is>
      </c>
      <c r="E612" s="288" t="inlineStr">
        <is>
          <t>-</t>
        </is>
      </c>
      <c r="F612" s="292" t="n">
        <v>15000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45622</v>
      </c>
      <c r="C613" s="286" t="n">
        <v>403</v>
      </c>
      <c r="D613" s="287" t="inlineStr">
        <is>
          <t>Gojek ( Stasiun Sudimara - Home )</t>
        </is>
      </c>
      <c r="E613" s="288" t="inlineStr">
        <is>
          <t>-</t>
        </is>
      </c>
      <c r="F613" s="292" t="n">
        <v>15000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" customHeight="1">
      <c r="B614" s="285" t="n">
        <v>45622</v>
      </c>
      <c r="C614" s="286" t="n">
        <v>404</v>
      </c>
      <c r="D614" s="287" t="inlineStr">
        <is>
          <t>MRT ( Lebak Bulus - Duku Atas )</t>
        </is>
      </c>
      <c r="E614" s="288" t="inlineStr">
        <is>
          <t>-</t>
        </is>
      </c>
      <c r="F614" s="289" t="n">
        <v>14000</v>
      </c>
      <c r="G614" s="286" t="inlineStr">
        <is>
          <t>IDR</t>
        </is>
      </c>
      <c r="H614" s="290" t="n">
        <v>1</v>
      </c>
      <c r="I614" s="288" t="n"/>
      <c r="J614" s="288" t="n"/>
      <c r="K614" s="288" t="n"/>
      <c r="L614" s="289">
        <f>$F614*$H614</f>
        <v/>
      </c>
      <c r="M614" s="288" t="n"/>
      <c r="N614" s="288" t="n"/>
      <c r="O614" s="288" t="n"/>
      <c r="P614" s="288" t="n"/>
      <c r="Q614" s="288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" customHeight="1">
      <c r="B615" s="285" t="n">
        <v>45622</v>
      </c>
      <c r="C615" s="286" t="n">
        <v>405</v>
      </c>
      <c r="D615" s="287" t="inlineStr">
        <is>
          <t>KRL ( Duku Atas - Sudimara )</t>
        </is>
      </c>
      <c r="E615" s="288" t="inlineStr">
        <is>
          <t>-</t>
        </is>
      </c>
      <c r="F615" s="292" t="n">
        <v>3000</v>
      </c>
      <c r="G615" s="286" t="inlineStr">
        <is>
          <t>IDR</t>
        </is>
      </c>
      <c r="H615" s="290" t="n">
        <v>1</v>
      </c>
      <c r="I615" s="288" t="n"/>
      <c r="J615" s="288" t="n"/>
      <c r="K615" s="288" t="n"/>
      <c r="L615" s="289">
        <f>$F615*$H615</f>
        <v/>
      </c>
      <c r="M615" s="288" t="n"/>
      <c r="N615" s="288" t="n"/>
      <c r="O615" s="288" t="n"/>
      <c r="P615" s="288" t="n"/>
      <c r="Q615" s="288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.5" customHeight="1">
      <c r="B616" s="296" t="inlineStr">
        <is>
          <t>Expense#40</t>
        </is>
      </c>
      <c r="C616" s="297" t="inlineStr">
        <is>
          <t>:</t>
        </is>
      </c>
      <c r="D616" s="296" t="inlineStr">
        <is>
          <t>Non trip 1st - project _ Pety cash 1st - YY</t>
        </is>
      </c>
      <c r="E616" s="297" t="n"/>
      <c r="F616" s="298" t="n"/>
      <c r="G616" s="297" t="n"/>
      <c r="H616" s="297" t="n"/>
      <c r="I616" s="297" t="n"/>
      <c r="J616" s="297" t="n"/>
      <c r="K616" s="297" t="n"/>
      <c r="L616" s="297" t="n"/>
      <c r="M616" s="297" t="n"/>
      <c r="N616" s="297" t="n"/>
      <c r="O616" s="297" t="n"/>
      <c r="P616" s="297" t="n"/>
      <c r="Q616" s="297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.5" customHeight="1">
      <c r="B617" s="299" t="n"/>
      <c r="C617" s="299" t="n"/>
      <c r="D617" s="282" t="inlineStr">
        <is>
          <t>Biaya Operasi</t>
        </is>
      </c>
      <c r="E617" s="299" t="n"/>
      <c r="F617" s="300" t="n"/>
      <c r="G617" s="299" t="n"/>
      <c r="H617" s="299" t="n"/>
      <c r="I617" s="299" t="n"/>
      <c r="J617" s="299" t="n"/>
      <c r="K617" s="299" t="n"/>
      <c r="L617" s="299" t="n"/>
      <c r="M617" s="299" t="n"/>
      <c r="N617" s="299" t="n"/>
      <c r="O617" s="299" t="n"/>
      <c r="P617" s="299" t="n"/>
      <c r="Q617" s="299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" customHeight="1">
      <c r="B618" s="285" t="n">
        <v>45076</v>
      </c>
      <c r="C618" s="286" t="n">
        <v>406</v>
      </c>
      <c r="D618" s="287" t="inlineStr">
        <is>
          <t>Lala Move courier</t>
        </is>
      </c>
      <c r="E618" s="288" t="inlineStr">
        <is>
          <t>-</t>
        </is>
      </c>
      <c r="F618" s="292" t="n">
        <v>100000</v>
      </c>
      <c r="G618" s="286" t="inlineStr">
        <is>
          <t>IDR</t>
        </is>
      </c>
      <c r="H618" s="290" t="n">
        <v>1</v>
      </c>
      <c r="I618" s="288" t="n"/>
      <c r="J618" s="288" t="n"/>
      <c r="K618" s="288" t="n"/>
      <c r="L618" s="289">
        <f>$F618*$H618</f>
        <v/>
      </c>
      <c r="M618" s="288" t="n"/>
      <c r="N618" s="288" t="n"/>
      <c r="O618" s="288" t="n"/>
      <c r="P618" s="288" t="n"/>
      <c r="Q618" s="288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45261</v>
      </c>
      <c r="C619" s="286" t="n">
        <v>407</v>
      </c>
      <c r="D619" s="287" t="inlineStr">
        <is>
          <t>JNE courier</t>
        </is>
      </c>
      <c r="E619" s="288" t="inlineStr">
        <is>
          <t>-</t>
        </is>
      </c>
      <c r="F619" s="292" t="n">
        <v>44000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9">
        <f>$F619*$H619</f>
        <v/>
      </c>
      <c r="M619" s="288" t="n"/>
      <c r="N619" s="288" t="n"/>
      <c r="O619" s="288" t="n"/>
      <c r="P619" s="288" t="n"/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45555</v>
      </c>
      <c r="C620" s="286" t="n">
        <v>408</v>
      </c>
      <c r="D620" s="287" t="inlineStr">
        <is>
          <t>JNE courier</t>
        </is>
      </c>
      <c r="E620" s="288" t="inlineStr">
        <is>
          <t>-</t>
        </is>
      </c>
      <c r="F620" s="292" t="n">
        <v>18000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9">
        <f>$F620*$H620</f>
        <v/>
      </c>
      <c r="M620" s="288" t="n"/>
      <c r="N620" s="288" t="n"/>
      <c r="O620" s="288" t="n"/>
      <c r="P620" s="288" t="n"/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45560</v>
      </c>
      <c r="C621" s="286" t="n">
        <v>409</v>
      </c>
      <c r="D621" s="287" t="inlineStr">
        <is>
          <t>POS courier</t>
        </is>
      </c>
      <c r="E621" s="288" t="inlineStr">
        <is>
          <t>-</t>
        </is>
      </c>
      <c r="F621" s="292" t="n">
        <v>8000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9">
        <f>$F621*$H621</f>
        <v/>
      </c>
      <c r="M621" s="288" t="n"/>
      <c r="N621" s="288" t="n"/>
      <c r="O621" s="288" t="n"/>
      <c r="P621" s="288" t="n"/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45574</v>
      </c>
      <c r="C622" s="286" t="n">
        <v>410</v>
      </c>
      <c r="D622" s="287" t="inlineStr">
        <is>
          <t>POS courier</t>
        </is>
      </c>
      <c r="E622" s="288" t="inlineStr">
        <is>
          <t>-</t>
        </is>
      </c>
      <c r="F622" s="292" t="n">
        <v>15000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9">
        <f>$F622*$H622</f>
        <v/>
      </c>
      <c r="M622" s="288" t="n"/>
      <c r="N622" s="288" t="n"/>
      <c r="O622" s="288" t="n"/>
      <c r="P622" s="288" t="n"/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45579</v>
      </c>
      <c r="C623" s="286" t="n">
        <v>411</v>
      </c>
      <c r="D623" s="287" t="inlineStr">
        <is>
          <t>JNE courier</t>
        </is>
      </c>
      <c r="E623" s="288" t="inlineStr">
        <is>
          <t>-</t>
        </is>
      </c>
      <c r="F623" s="292" t="n">
        <v>10000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9">
        <f>$F623*$H623</f>
        <v/>
      </c>
      <c r="M623" s="288" t="n"/>
      <c r="N623" s="288" t="n"/>
      <c r="O623" s="288" t="n"/>
      <c r="P623" s="288" t="n"/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.5" customHeight="1">
      <c r="B624" s="299" t="n"/>
      <c r="C624" s="299" t="n"/>
      <c r="D624" s="282" t="inlineStr">
        <is>
          <t>Transportation</t>
        </is>
      </c>
      <c r="E624" s="299" t="n"/>
      <c r="F624" s="300" t="n"/>
      <c r="G624" s="299" t="n"/>
      <c r="H624" s="299" t="n"/>
      <c r="I624" s="299" t="n"/>
      <c r="J624" s="299" t="n"/>
      <c r="K624" s="299" t="n"/>
      <c r="L624" s="299" t="n"/>
      <c r="M624" s="299" t="n"/>
      <c r="N624" s="299" t="n"/>
      <c r="O624" s="299" t="n"/>
      <c r="P624" s="299" t="n"/>
      <c r="Q624" s="299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45579</v>
      </c>
      <c r="C625" s="286" t="n">
        <v>412</v>
      </c>
      <c r="D625" s="287" t="inlineStr">
        <is>
          <t>GoCar to Elnusa PP</t>
        </is>
      </c>
      <c r="E625" s="288" t="inlineStr">
        <is>
          <t>-</t>
        </is>
      </c>
      <c r="F625" s="292" t="n">
        <v>275000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9">
        <f>$F625*$H625</f>
        <v/>
      </c>
      <c r="M625" s="288" t="n"/>
      <c r="N625" s="288" t="n"/>
      <c r="O625" s="288" t="n"/>
      <c r="P625" s="288" t="n"/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45579</v>
      </c>
      <c r="C626" s="286" t="n">
        <v>413</v>
      </c>
      <c r="D626" s="287" t="inlineStr">
        <is>
          <t>Tol &amp; parking fee</t>
        </is>
      </c>
      <c r="E626" s="288" t="inlineStr">
        <is>
          <t>-</t>
        </is>
      </c>
      <c r="F626" s="292" t="n">
        <v>31500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9">
        <f>$F626*$H626</f>
        <v/>
      </c>
      <c r="M626" s="288" t="n"/>
      <c r="N626" s="288" t="n"/>
      <c r="O626" s="288" t="n"/>
      <c r="P626" s="288" t="n"/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45582</v>
      </c>
      <c r="C627" s="286" t="n">
        <v>414</v>
      </c>
      <c r="D627" s="287" t="inlineStr">
        <is>
          <t>GoCar to Elnusa PP</t>
        </is>
      </c>
      <c r="E627" s="288" t="inlineStr">
        <is>
          <t>-</t>
        </is>
      </c>
      <c r="F627" s="289" t="n">
        <v>266000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9">
        <f>$F627*$H627</f>
        <v/>
      </c>
      <c r="M627" s="288" t="n"/>
      <c r="N627" s="288" t="n"/>
      <c r="O627" s="288" t="n"/>
      <c r="P627" s="288" t="n"/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" customHeight="1">
      <c r="B628" s="285" t="n">
        <v>45582</v>
      </c>
      <c r="C628" s="286" t="n">
        <v>415</v>
      </c>
      <c r="D628" s="287" t="inlineStr">
        <is>
          <t>Tol &amp; parking fee</t>
        </is>
      </c>
      <c r="E628" s="288" t="inlineStr">
        <is>
          <t>-</t>
        </is>
      </c>
      <c r="F628" s="292" t="n">
        <v>53500</v>
      </c>
      <c r="G628" s="286" t="inlineStr">
        <is>
          <t>IDR</t>
        </is>
      </c>
      <c r="H628" s="290" t="n">
        <v>1</v>
      </c>
      <c r="I628" s="288" t="n"/>
      <c r="J628" s="288" t="n"/>
      <c r="K628" s="288" t="n"/>
      <c r="L628" s="289">
        <f>$F628*$H628</f>
        <v/>
      </c>
      <c r="M628" s="288" t="n"/>
      <c r="N628" s="288" t="n"/>
      <c r="O628" s="288" t="n"/>
      <c r="P628" s="288" t="n"/>
      <c r="Q628" s="288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45617</v>
      </c>
      <c r="C629" s="286" t="n">
        <v>416</v>
      </c>
      <c r="D629" s="287" t="inlineStr">
        <is>
          <t>GoCar to Elnusa PP</t>
        </is>
      </c>
      <c r="E629" s="288" t="inlineStr">
        <is>
          <t>-</t>
        </is>
      </c>
      <c r="F629" s="292" t="n">
        <v>269000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45617</v>
      </c>
      <c r="C630" s="286" t="n">
        <v>417</v>
      </c>
      <c r="D630" s="287" t="inlineStr">
        <is>
          <t>Tol &amp; parking fee</t>
        </is>
      </c>
      <c r="E630" s="288" t="inlineStr">
        <is>
          <t>-</t>
        </is>
      </c>
      <c r="F630" s="292" t="n">
        <v>43450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45636</v>
      </c>
      <c r="C631" s="286" t="n">
        <v>418</v>
      </c>
      <c r="D631" s="287" t="inlineStr">
        <is>
          <t>GoCar to Elnusa PP</t>
        </is>
      </c>
      <c r="E631" s="288" t="inlineStr">
        <is>
          <t>-</t>
        </is>
      </c>
      <c r="F631" s="292" t="n">
        <v>290000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" customHeight="1">
      <c r="B632" s="285" t="n">
        <v>45636</v>
      </c>
      <c r="C632" s="286" t="n">
        <v>419</v>
      </c>
      <c r="D632" s="287" t="inlineStr">
        <is>
          <t>Tol &amp; parking fee</t>
        </is>
      </c>
      <c r="E632" s="288" t="inlineStr">
        <is>
          <t>-</t>
        </is>
      </c>
      <c r="F632" s="292" t="n">
        <v>48500</v>
      </c>
      <c r="G632" s="286" t="inlineStr">
        <is>
          <t>IDR</t>
        </is>
      </c>
      <c r="H632" s="290" t="n">
        <v>1</v>
      </c>
      <c r="I632" s="288" t="n"/>
      <c r="J632" s="288" t="n"/>
      <c r="K632" s="288" t="n"/>
      <c r="L632" s="289">
        <f>$F632*$H632</f>
        <v/>
      </c>
      <c r="M632" s="288" t="n"/>
      <c r="N632" s="288" t="n"/>
      <c r="O632" s="288" t="n"/>
      <c r="P632" s="288" t="n"/>
      <c r="Q632" s="288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Administrasi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45071</v>
      </c>
      <c r="C634" s="286" t="n">
        <v>420</v>
      </c>
      <c r="D634" s="287" t="inlineStr">
        <is>
          <t>Materai 15 pcs</t>
        </is>
      </c>
      <c r="E634" s="288" t="inlineStr">
        <is>
          <t>-</t>
        </is>
      </c>
      <c r="F634" s="292" t="n">
        <v>150000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8" t="n"/>
      <c r="M634" s="289">
        <f>$F634*$H634</f>
        <v/>
      </c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" customHeight="1">
      <c r="B635" s="285" t="n">
        <v>45085</v>
      </c>
      <c r="C635" s="286" t="n">
        <v>421</v>
      </c>
      <c r="D635" s="287" t="inlineStr">
        <is>
          <t>Plastic folder 3 pcs</t>
        </is>
      </c>
      <c r="E635" s="288" t="inlineStr">
        <is>
          <t>-</t>
        </is>
      </c>
      <c r="F635" s="292" t="n">
        <v>35000</v>
      </c>
      <c r="G635" s="286" t="inlineStr">
        <is>
          <t>IDR</t>
        </is>
      </c>
      <c r="H635" s="290" t="n">
        <v>1</v>
      </c>
      <c r="I635" s="288" t="n"/>
      <c r="J635" s="288" t="n"/>
      <c r="K635" s="288" t="n"/>
      <c r="L635" s="288" t="n"/>
      <c r="M635" s="289">
        <f>$F635*$H635</f>
        <v/>
      </c>
      <c r="N635" s="288" t="n"/>
      <c r="O635" s="288" t="n"/>
      <c r="P635" s="288" t="n"/>
      <c r="Q635" s="288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45121</v>
      </c>
      <c r="C636" s="286" t="n">
        <v>422</v>
      </c>
      <c r="D636" s="287" t="inlineStr">
        <is>
          <t>Anvelope, Plastic map</t>
        </is>
      </c>
      <c r="E636" s="288" t="inlineStr">
        <is>
          <t>-</t>
        </is>
      </c>
      <c r="F636" s="289" t="n">
        <v>12000</v>
      </c>
      <c r="G636" s="286" t="inlineStr">
        <is>
          <t>IDR</t>
        </is>
      </c>
      <c r="H636" s="290" t="n">
        <v>1</v>
      </c>
      <c r="I636" s="288" t="n"/>
      <c r="J636" s="288" t="n"/>
      <c r="K636" s="288" t="n"/>
      <c r="L636" s="288" t="n"/>
      <c r="M636" s="289">
        <f>$F636*$H636</f>
        <v/>
      </c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" customHeight="1">
      <c r="B637" s="285" t="n">
        <v>45572</v>
      </c>
      <c r="C637" s="286" t="n">
        <v>423</v>
      </c>
      <c r="D637" s="287" t="inlineStr">
        <is>
          <t>Materai 6 pcs</t>
        </is>
      </c>
      <c r="E637" s="288" t="inlineStr">
        <is>
          <t>-</t>
        </is>
      </c>
      <c r="F637" s="289" t="n">
        <v>62000</v>
      </c>
      <c r="G637" s="286" t="inlineStr">
        <is>
          <t>IDR</t>
        </is>
      </c>
      <c r="H637" s="290" t="n">
        <v>1</v>
      </c>
      <c r="I637" s="288" t="n"/>
      <c r="J637" s="288" t="n"/>
      <c r="K637" s="288" t="n"/>
      <c r="L637" s="288" t="n"/>
      <c r="M637" s="289">
        <f>$F637*$H637</f>
        <v/>
      </c>
      <c r="N637" s="288" t="n"/>
      <c r="O637" s="288" t="n"/>
      <c r="P637" s="288" t="n"/>
      <c r="Q637" s="288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45579</v>
      </c>
      <c r="C638" s="286" t="n">
        <v>424</v>
      </c>
      <c r="D638" s="305" t="inlineStr">
        <is>
          <t>Materai 10 pcs</t>
        </is>
      </c>
      <c r="E638" s="306" t="inlineStr">
        <is>
          <t>-</t>
        </is>
      </c>
      <c r="F638" s="307" t="n">
        <v>103000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8" t="n"/>
      <c r="M638" s="289">
        <f>$F638*$H638</f>
        <v/>
      </c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" customHeight="1">
      <c r="B639" s="304" t="n">
        <v>45582</v>
      </c>
      <c r="C639" s="286" t="n">
        <v>425</v>
      </c>
      <c r="D639" s="305" t="inlineStr">
        <is>
          <t>Materai 5 pcs</t>
        </is>
      </c>
      <c r="E639" s="306" t="inlineStr">
        <is>
          <t>-</t>
        </is>
      </c>
      <c r="F639" s="308" t="n">
        <v>55000</v>
      </c>
      <c r="G639" s="286" t="inlineStr">
        <is>
          <t>IDR</t>
        </is>
      </c>
      <c r="H639" s="290" t="n">
        <v>1</v>
      </c>
      <c r="I639" s="288" t="n"/>
      <c r="J639" s="288" t="n"/>
      <c r="K639" s="288" t="n"/>
      <c r="L639" s="288" t="n"/>
      <c r="M639" s="289">
        <f>$F639*$H639</f>
        <v/>
      </c>
      <c r="N639" s="288" t="n"/>
      <c r="O639" s="288" t="n"/>
      <c r="P639" s="288" t="n"/>
      <c r="Q639" s="288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45617</v>
      </c>
      <c r="C640" s="286" t="n">
        <v>426</v>
      </c>
      <c r="D640" s="305" t="inlineStr">
        <is>
          <t>Materai 10 pcs</t>
        </is>
      </c>
      <c r="E640" s="306" t="inlineStr">
        <is>
          <t>-</t>
        </is>
      </c>
      <c r="F640" s="292" t="n">
        <v>103000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8" t="n"/>
      <c r="M640" s="289">
        <f>$F640*$H640</f>
        <v/>
      </c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9" t="inlineStr">
        <is>
          <t>Expense#41</t>
        </is>
      </c>
      <c r="C641" s="297" t="inlineStr">
        <is>
          <t>:</t>
        </is>
      </c>
      <c r="D641" s="310" t="inlineStr">
        <is>
          <t>Starlink Kit_DS</t>
        </is>
      </c>
      <c r="E641" s="311" t="n"/>
      <c r="F641" s="298" t="n"/>
      <c r="G641" s="297" t="n"/>
      <c r="H641" s="297" t="n"/>
      <c r="I641" s="297" t="n"/>
      <c r="J641" s="297" t="n"/>
      <c r="K641" s="297" t="n"/>
      <c r="L641" s="297" t="n"/>
      <c r="M641" s="297" t="n"/>
      <c r="N641" s="297" t="n"/>
      <c r="O641" s="297" t="n"/>
      <c r="P641" s="297" t="n"/>
      <c r="Q641" s="297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.5" customHeight="1">
      <c r="B642" s="312" t="n"/>
      <c r="C642" s="299" t="n"/>
      <c r="D642" s="313" t="inlineStr">
        <is>
          <t>Pembelian Barang</t>
        </is>
      </c>
      <c r="E642" s="314" t="n"/>
      <c r="F642" s="300" t="n"/>
      <c r="G642" s="299" t="n"/>
      <c r="H642" s="299" t="n"/>
      <c r="I642" s="299" t="n"/>
      <c r="J642" s="299" t="n"/>
      <c r="K642" s="299" t="n"/>
      <c r="L642" s="299" t="n"/>
      <c r="M642" s="299" t="n"/>
      <c r="N642" s="299" t="n"/>
      <c r="O642" s="299" t="n"/>
      <c r="P642" s="299" t="n"/>
      <c r="Q642" s="299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45607</v>
      </c>
      <c r="C643" s="286" t="n">
        <v>427</v>
      </c>
      <c r="D643" s="305" t="inlineStr">
        <is>
          <t>Starlink Kit</t>
        </is>
      </c>
      <c r="E643" s="306" t="inlineStr">
        <is>
          <t>-</t>
        </is>
      </c>
      <c r="F643" s="292" t="n">
        <v>5583200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8" t="n"/>
      <c r="M643" s="288" t="n"/>
      <c r="N643" s="289">
        <f>$F643*$H643</f>
        <v/>
      </c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.5" customHeight="1">
      <c r="B644" s="309" t="inlineStr">
        <is>
          <t>Expense#42</t>
        </is>
      </c>
      <c r="C644" s="297" t="inlineStr">
        <is>
          <t>:</t>
        </is>
      </c>
      <c r="D644" s="310" t="inlineStr">
        <is>
          <t>Pelican Case 1650 TMA</t>
        </is>
      </c>
      <c r="E644" s="311" t="n"/>
      <c r="F644" s="298" t="n"/>
      <c r="G644" s="297" t="n"/>
      <c r="H644" s="297" t="n"/>
      <c r="I644" s="297" t="n"/>
      <c r="J644" s="297" t="n"/>
      <c r="K644" s="297" t="n"/>
      <c r="L644" s="297" t="n"/>
      <c r="M644" s="297" t="n"/>
      <c r="N644" s="297" t="n"/>
      <c r="O644" s="297" t="n"/>
      <c r="P644" s="297" t="n"/>
      <c r="Q644" s="297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.5" customHeight="1">
      <c r="B645" s="312" t="n"/>
      <c r="C645" s="299" t="n"/>
      <c r="D645" s="313" t="inlineStr">
        <is>
          <t>Pembelian Barang</t>
        </is>
      </c>
      <c r="E645" s="314" t="n"/>
      <c r="F645" s="300" t="n"/>
      <c r="G645" s="299" t="n"/>
      <c r="H645" s="299" t="n"/>
      <c r="I645" s="299" t="n"/>
      <c r="J645" s="299" t="n"/>
      <c r="K645" s="299" t="n"/>
      <c r="L645" s="299" t="n"/>
      <c r="M645" s="299" t="n"/>
      <c r="N645" s="299" t="n"/>
      <c r="O645" s="299" t="n"/>
      <c r="P645" s="299" t="n"/>
      <c r="Q645" s="299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45640</v>
      </c>
      <c r="C646" s="286" t="n">
        <v>428</v>
      </c>
      <c r="D646" s="305" t="inlineStr">
        <is>
          <t>Pelican Case 1650</t>
        </is>
      </c>
      <c r="E646" s="306" t="inlineStr">
        <is>
          <t>-</t>
        </is>
      </c>
      <c r="F646" s="292" t="n">
        <v>8156000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8" t="n"/>
      <c r="M646" s="288" t="n"/>
      <c r="N646" s="289">
        <f>$F646*$H646</f>
        <v/>
      </c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.5" customHeight="1">
      <c r="B647" s="309" t="inlineStr">
        <is>
          <t>Expense#43</t>
        </is>
      </c>
      <c r="C647" s="297" t="inlineStr">
        <is>
          <t>:</t>
        </is>
      </c>
      <c r="D647" s="310" t="inlineStr">
        <is>
          <t>Non trip 3rd (follow up MCU concul &amp; visit KPP and Graha Elnusa)_AC</t>
        </is>
      </c>
      <c r="E647" s="311" t="n"/>
      <c r="F647" s="298" t="n"/>
      <c r="G647" s="297" t="n"/>
      <c r="H647" s="297" t="n"/>
      <c r="I647" s="297" t="n"/>
      <c r="J647" s="297" t="n"/>
      <c r="K647" s="297" t="n"/>
      <c r="L647" s="297" t="n"/>
      <c r="M647" s="297" t="n"/>
      <c r="N647" s="297" t="n"/>
      <c r="O647" s="297" t="n"/>
      <c r="P647" s="297" t="n"/>
      <c r="Q647" s="297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n"/>
      <c r="C648" s="299" t="n"/>
      <c r="D648" s="313" t="inlineStr">
        <is>
          <t>Transportation</t>
        </is>
      </c>
      <c r="E648" s="314" t="n"/>
      <c r="F648" s="300" t="n"/>
      <c r="G648" s="299" t="n"/>
      <c r="H648" s="299" t="n"/>
      <c r="I648" s="299" t="n"/>
      <c r="J648" s="299" t="n"/>
      <c r="K648" s="299" t="n"/>
      <c r="L648" s="299" t="n"/>
      <c r="M648" s="299" t="n"/>
      <c r="N648" s="299" t="n"/>
      <c r="O648" s="299" t="n"/>
      <c r="P648" s="299" t="n"/>
      <c r="Q648" s="299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" customHeight="1">
      <c r="B649" s="304" t="n">
        <v>45607</v>
      </c>
      <c r="C649" s="286" t="n">
        <v>429</v>
      </c>
      <c r="D649" s="305" t="inlineStr">
        <is>
          <t>Fuel diesel visit consul to KPP pajak</t>
        </is>
      </c>
      <c r="E649" s="306" t="inlineStr">
        <is>
          <t>-</t>
        </is>
      </c>
      <c r="F649" s="292" t="n">
        <v>276216</v>
      </c>
      <c r="G649" s="286" t="inlineStr">
        <is>
          <t>IDR</t>
        </is>
      </c>
      <c r="H649" s="290" t="n">
        <v>1</v>
      </c>
      <c r="I649" s="288" t="n"/>
      <c r="J649" s="288" t="n"/>
      <c r="K649" s="288" t="n"/>
      <c r="L649" s="289">
        <f>$F649*$H649</f>
        <v/>
      </c>
      <c r="M649" s="288" t="n"/>
      <c r="N649" s="288" t="n"/>
      <c r="O649" s="288" t="n"/>
      <c r="P649" s="288" t="n"/>
      <c r="Q649" s="288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45607</v>
      </c>
      <c r="C650" s="286" t="n">
        <v>430</v>
      </c>
      <c r="D650" s="305" t="inlineStr">
        <is>
          <t>toll gate</t>
        </is>
      </c>
      <c r="E650" s="306" t="inlineStr">
        <is>
          <t>-</t>
        </is>
      </c>
      <c r="F650" s="292" t="n">
        <v>79500</v>
      </c>
      <c r="G650" s="286" t="inlineStr">
        <is>
          <t>IDR</t>
        </is>
      </c>
      <c r="H650" s="290" t="n">
        <v>1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" customHeight="1">
      <c r="B651" s="304" t="n">
        <v>45622</v>
      </c>
      <c r="C651" s="286" t="n">
        <v>431</v>
      </c>
      <c r="D651" s="305" t="inlineStr">
        <is>
          <t>Parkir Graha Elnusa (HSE tool hall meeting) at Elnusa (graha Elnusa)</t>
        </is>
      </c>
      <c r="E651" s="306" t="inlineStr">
        <is>
          <t>-</t>
        </is>
      </c>
      <c r="F651" s="292" t="n">
        <v>29000</v>
      </c>
      <c r="G651" s="286" t="inlineStr">
        <is>
          <t>IDR</t>
        </is>
      </c>
      <c r="H651" s="290" t="n">
        <v>1</v>
      </c>
      <c r="I651" s="288" t="n"/>
      <c r="J651" s="288" t="n"/>
      <c r="K651" s="288" t="n"/>
      <c r="L651" s="289">
        <f>$F651*$H651</f>
        <v/>
      </c>
      <c r="M651" s="288" t="n"/>
      <c r="N651" s="288" t="n"/>
      <c r="O651" s="288" t="n"/>
      <c r="P651" s="288" t="n"/>
      <c r="Q651" s="288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45622</v>
      </c>
      <c r="C652" s="286" t="n">
        <v>432</v>
      </c>
      <c r="D652" s="287" t="inlineStr">
        <is>
          <t>toll gate</t>
        </is>
      </c>
      <c r="E652" s="288" t="inlineStr">
        <is>
          <t>-</t>
        </is>
      </c>
      <c r="F652" s="292" t="n">
        <v>17000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" customHeight="1">
      <c r="B653" s="304" t="n">
        <v>45636</v>
      </c>
      <c r="C653" s="286" t="n">
        <v>433</v>
      </c>
      <c r="D653" s="305" t="inlineStr">
        <is>
          <t>Taksi,take Document from Loket Graha Elnusa</t>
        </is>
      </c>
      <c r="E653" s="306" t="inlineStr">
        <is>
          <t>-</t>
        </is>
      </c>
      <c r="F653" s="292" t="n">
        <v>155680</v>
      </c>
      <c r="G653" s="286" t="inlineStr">
        <is>
          <t>IDR</t>
        </is>
      </c>
      <c r="H653" s="290" t="n">
        <v>1</v>
      </c>
      <c r="I653" s="288" t="n"/>
      <c r="J653" s="288" t="n"/>
      <c r="K653" s="288" t="n"/>
      <c r="L653" s="289">
        <f>$F653*$H653</f>
        <v/>
      </c>
      <c r="M653" s="288" t="n"/>
      <c r="N653" s="288" t="n"/>
      <c r="O653" s="288" t="n"/>
      <c r="P653" s="288" t="n"/>
      <c r="Q653" s="288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45636</v>
      </c>
      <c r="C654" s="286" t="n">
        <v>434</v>
      </c>
      <c r="D654" s="305" t="inlineStr">
        <is>
          <t>Parkir Graha Elnusa (antar dokemen invoice)</t>
        </is>
      </c>
      <c r="E654" s="306" t="inlineStr">
        <is>
          <t>-</t>
        </is>
      </c>
      <c r="F654" s="292" t="n">
        <v>17000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.5" customHeight="1">
      <c r="B655" s="312" t="n"/>
      <c r="C655" s="299" t="n"/>
      <c r="D655" s="313" t="inlineStr">
        <is>
          <t>Medical</t>
        </is>
      </c>
      <c r="E655" s="314" t="n"/>
      <c r="F655" s="300" t="n"/>
      <c r="G655" s="299" t="n"/>
      <c r="H655" s="299" t="n"/>
      <c r="I655" s="299" t="n"/>
      <c r="J655" s="299" t="n"/>
      <c r="K655" s="299" t="n"/>
      <c r="L655" s="299" t="n"/>
      <c r="M655" s="299" t="n"/>
      <c r="N655" s="299" t="n"/>
      <c r="O655" s="299" t="n"/>
      <c r="P655" s="299" t="n"/>
      <c r="Q655" s="299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" customHeight="1">
      <c r="B656" s="304" t="n">
        <v>45596</v>
      </c>
      <c r="C656" s="286" t="n">
        <v>435</v>
      </c>
      <c r="D656" s="305" t="inlineStr">
        <is>
          <t>Medicine lanjutan</t>
        </is>
      </c>
      <c r="E656" s="306" t="inlineStr">
        <is>
          <t>-</t>
        </is>
      </c>
      <c r="F656" s="292" t="n">
        <v>604000</v>
      </c>
      <c r="G656" s="286" t="inlineStr">
        <is>
          <t>IDR</t>
        </is>
      </c>
      <c r="H656" s="290" t="n">
        <v>1</v>
      </c>
      <c r="I656" s="288" t="n"/>
      <c r="J656" s="288" t="n"/>
      <c r="K656" s="288" t="n"/>
      <c r="L656" s="288" t="n"/>
      <c r="M656" s="288" t="n"/>
      <c r="N656" s="288" t="n"/>
      <c r="O656" s="288" t="n"/>
      <c r="P656" s="289">
        <f>$F656*$H656</f>
        <v/>
      </c>
      <c r="Q656" s="288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45627</v>
      </c>
      <c r="C657" s="286" t="n">
        <v>436</v>
      </c>
      <c r="D657" s="305" t="inlineStr">
        <is>
          <t>Biaya Konsul dokter Kulit a/n Diofavian</t>
        </is>
      </c>
      <c r="E657" s="306" t="inlineStr">
        <is>
          <t>-</t>
        </is>
      </c>
      <c r="F657" s="292" t="n">
        <v>1582141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8" t="n"/>
      <c r="M657" s="288" t="n"/>
      <c r="N657" s="288" t="n"/>
      <c r="O657" s="288" t="n"/>
      <c r="P657" s="289">
        <f>$F657*$H657</f>
        <v/>
      </c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45627</v>
      </c>
      <c r="C658" s="286" t="n">
        <v>437</v>
      </c>
      <c r="D658" s="305" t="inlineStr">
        <is>
          <t>Biaya Konsul Dokter mata a/n Eva linda</t>
        </is>
      </c>
      <c r="E658" s="306" t="inlineStr">
        <is>
          <t>-</t>
        </is>
      </c>
      <c r="F658" s="292" t="n">
        <v>970767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8" t="n"/>
      <c r="M658" s="288" t="n"/>
      <c r="N658" s="288" t="n"/>
      <c r="O658" s="288" t="n"/>
      <c r="P658" s="289">
        <f>$F658*$H658</f>
        <v/>
      </c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" customHeight="1">
      <c r="B659" s="304" t="n">
        <v>45627</v>
      </c>
      <c r="C659" s="286" t="n">
        <v>438</v>
      </c>
      <c r="D659" s="305" t="inlineStr">
        <is>
          <t>Medicine lanjutan</t>
        </is>
      </c>
      <c r="E659" s="306" t="inlineStr">
        <is>
          <t>-</t>
        </is>
      </c>
      <c r="F659" s="292" t="n">
        <v>157000</v>
      </c>
      <c r="G659" s="286" t="inlineStr">
        <is>
          <t>IDR</t>
        </is>
      </c>
      <c r="H659" s="290" t="n">
        <v>1</v>
      </c>
      <c r="I659" s="288" t="n"/>
      <c r="J659" s="288" t="n"/>
      <c r="K659" s="288" t="n"/>
      <c r="L659" s="288" t="n"/>
      <c r="M659" s="288" t="n"/>
      <c r="N659" s="288" t="n"/>
      <c r="O659" s="288" t="n"/>
      <c r="P659" s="289">
        <f>$F659*$H659</f>
        <v/>
      </c>
      <c r="Q659" s="288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" customHeight="1">
      <c r="B660" s="304" t="n">
        <v>45627</v>
      </c>
      <c r="C660" s="286" t="n">
        <v>439</v>
      </c>
      <c r="D660" s="305" t="inlineStr">
        <is>
          <t>Medicine lanjutan</t>
        </is>
      </c>
      <c r="E660" s="306" t="inlineStr">
        <is>
          <t>-</t>
        </is>
      </c>
      <c r="F660" s="292" t="n">
        <v>152000</v>
      </c>
      <c r="G660" s="286" t="inlineStr">
        <is>
          <t>IDR</t>
        </is>
      </c>
      <c r="H660" s="290" t="n">
        <v>1</v>
      </c>
      <c r="I660" s="288" t="n"/>
      <c r="J660" s="288" t="n"/>
      <c r="K660" s="288" t="n"/>
      <c r="L660" s="288" t="n"/>
      <c r="M660" s="288" t="n"/>
      <c r="N660" s="288" t="n"/>
      <c r="O660" s="288" t="n"/>
      <c r="P660" s="289">
        <f>$F660*$H660</f>
        <v/>
      </c>
      <c r="Q660" s="288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45628</v>
      </c>
      <c r="C661" s="286" t="n">
        <v>440</v>
      </c>
      <c r="D661" s="287" t="inlineStr">
        <is>
          <t>Biaya Konsul Dokter Jantung 3rdPenyakit dalam</t>
        </is>
      </c>
      <c r="E661" s="288" t="inlineStr">
        <is>
          <t>-</t>
        </is>
      </c>
      <c r="F661" s="289" t="n">
        <v>799000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8" t="n"/>
      <c r="M661" s="288" t="n"/>
      <c r="N661" s="288" t="n"/>
      <c r="O661" s="288" t="n"/>
      <c r="P661" s="289">
        <f>$F661*$H661</f>
        <v/>
      </c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" customHeight="1">
      <c r="B662" s="285" t="n">
        <v>45628</v>
      </c>
      <c r="C662" s="286" t="n">
        <v>441</v>
      </c>
      <c r="D662" s="287" t="inlineStr">
        <is>
          <t>Medicine after konsul jantung 3rd</t>
        </is>
      </c>
      <c r="E662" s="288" t="inlineStr">
        <is>
          <t>-</t>
        </is>
      </c>
      <c r="F662" s="292" t="n">
        <v>190309.5</v>
      </c>
      <c r="G662" s="286" t="inlineStr">
        <is>
          <t>IDR</t>
        </is>
      </c>
      <c r="H662" s="290" t="n">
        <v>1</v>
      </c>
      <c r="I662" s="288" t="n"/>
      <c r="J662" s="288" t="n"/>
      <c r="K662" s="288" t="n"/>
      <c r="L662" s="288" t="n"/>
      <c r="M662" s="288" t="n"/>
      <c r="N662" s="288" t="n"/>
      <c r="O662" s="288" t="n"/>
      <c r="P662" s="289">
        <f>$F662*$H662</f>
        <v/>
      </c>
      <c r="Q662" s="288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45637</v>
      </c>
      <c r="C663" s="286" t="n">
        <v>442</v>
      </c>
      <c r="D663" s="287" t="inlineStr">
        <is>
          <t>Medicine after konsul jantung 3rd</t>
        </is>
      </c>
      <c r="E663" s="288" t="inlineStr">
        <is>
          <t>-</t>
        </is>
      </c>
      <c r="F663" s="289" t="n">
        <v>417600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8" t="n"/>
      <c r="M663" s="288" t="n"/>
      <c r="N663" s="288" t="n"/>
      <c r="O663" s="288" t="n"/>
      <c r="P663" s="289">
        <f>$F663*$H663</f>
        <v/>
      </c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.5" customHeight="1">
      <c r="B664" s="296" t="inlineStr">
        <is>
          <t>Expense#44</t>
        </is>
      </c>
      <c r="C664" s="297" t="inlineStr">
        <is>
          <t>:</t>
        </is>
      </c>
      <c r="D664" s="296" t="inlineStr">
        <is>
          <t>Meeting presentasi With Elnusa - Bandung &amp;Pembelian Sparepart dari Pei-Genesis.</t>
        </is>
      </c>
      <c r="E664" s="297" t="n"/>
      <c r="F664" s="297" t="n"/>
      <c r="G664" s="297" t="n"/>
      <c r="H664" s="297" t="n"/>
      <c r="I664" s="297" t="n"/>
      <c r="J664" s="297" t="n"/>
      <c r="K664" s="297" t="n"/>
      <c r="L664" s="297" t="n"/>
      <c r="M664" s="297" t="n"/>
      <c r="N664" s="297" t="n"/>
      <c r="O664" s="297" t="n"/>
      <c r="P664" s="297" t="n"/>
      <c r="Q664" s="297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.5" customHeight="1">
      <c r="B665" s="299" t="n"/>
      <c r="C665" s="299" t="n"/>
      <c r="D665" s="282" t="inlineStr">
        <is>
          <t>Transportation</t>
        </is>
      </c>
      <c r="E665" s="299" t="n"/>
      <c r="F665" s="299" t="n"/>
      <c r="G665" s="299" t="n"/>
      <c r="H665" s="299" t="n"/>
      <c r="I665" s="299" t="n"/>
      <c r="J665" s="299" t="n"/>
      <c r="K665" s="299" t="n"/>
      <c r="L665" s="299" t="n"/>
      <c r="M665" s="299" t="n"/>
      <c r="N665" s="299" t="n"/>
      <c r="O665" s="299" t="n"/>
      <c r="P665" s="299" t="n"/>
      <c r="Q665" s="299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45646</v>
      </c>
      <c r="C666" s="286" t="n">
        <v>443</v>
      </c>
      <c r="D666" s="287" t="inlineStr">
        <is>
          <t>Traveling Jakarta - Bandung</t>
        </is>
      </c>
      <c r="E666" s="288" t="inlineStr">
        <is>
          <t>-</t>
        </is>
      </c>
      <c r="F666" s="289" t="n">
        <v>160000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45646</v>
      </c>
      <c r="C667" s="286" t="n">
        <v>444</v>
      </c>
      <c r="D667" s="287" t="inlineStr">
        <is>
          <t>Meal</t>
        </is>
      </c>
      <c r="E667" s="288" t="inlineStr">
        <is>
          <t>-</t>
        </is>
      </c>
      <c r="F667" s="292" t="n">
        <v>195585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" customHeight="1">
      <c r="B668" s="285" t="n">
        <v>45647</v>
      </c>
      <c r="C668" s="286" t="n">
        <v>445</v>
      </c>
      <c r="D668" s="287" t="inlineStr">
        <is>
          <t>Taksi around the Bandung city for 2 days</t>
        </is>
      </c>
      <c r="E668" s="288" t="inlineStr">
        <is>
          <t>-</t>
        </is>
      </c>
      <c r="F668" s="292" t="n">
        <v>200000</v>
      </c>
      <c r="G668" s="286" t="inlineStr">
        <is>
          <t>IDR</t>
        </is>
      </c>
      <c r="H668" s="290" t="n">
        <v>1</v>
      </c>
      <c r="I668" s="288" t="n"/>
      <c r="J668" s="288" t="n"/>
      <c r="K668" s="288" t="n"/>
      <c r="L668" s="289">
        <f>$F668*$H668</f>
        <v/>
      </c>
      <c r="M668" s="288" t="n"/>
      <c r="N668" s="288" t="n"/>
      <c r="O668" s="288" t="n"/>
      <c r="P668" s="288" t="n"/>
      <c r="Q668" s="288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" customHeight="1">
      <c r="B669" s="285" t="n">
        <v>45647</v>
      </c>
      <c r="C669" s="286" t="n">
        <v>446</v>
      </c>
      <c r="D669" s="287" t="inlineStr">
        <is>
          <t>Traveling Bandung - Jakarta</t>
        </is>
      </c>
      <c r="E669" s="288" t="inlineStr">
        <is>
          <t>-</t>
        </is>
      </c>
      <c r="F669" s="292" t="n">
        <v>160000</v>
      </c>
      <c r="G669" s="286" t="inlineStr">
        <is>
          <t>IDR</t>
        </is>
      </c>
      <c r="H669" s="290" t="n">
        <v>1</v>
      </c>
      <c r="I669" s="288" t="n"/>
      <c r="J669" s="288" t="n"/>
      <c r="K669" s="288" t="n"/>
      <c r="L669" s="289">
        <f>$F669*$H669</f>
        <v/>
      </c>
      <c r="M669" s="288" t="n"/>
      <c r="N669" s="288" t="n"/>
      <c r="O669" s="288" t="n"/>
      <c r="P669" s="288" t="n"/>
      <c r="Q669" s="288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45647</v>
      </c>
      <c r="C670" s="286" t="n">
        <v>447</v>
      </c>
      <c r="D670" s="287" t="inlineStr">
        <is>
          <t>Meal</t>
        </is>
      </c>
      <c r="E670" s="288" t="inlineStr">
        <is>
          <t>-</t>
        </is>
      </c>
      <c r="F670" s="292" t="n">
        <v>299900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9">
        <f>$F670*$H670</f>
        <v/>
      </c>
      <c r="M670" s="288" t="n"/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.5" customHeight="1">
      <c r="B671" s="299" t="n"/>
      <c r="C671" s="299" t="n"/>
      <c r="D671" s="282" t="inlineStr">
        <is>
          <t>Accommodation , Logistic</t>
        </is>
      </c>
      <c r="E671" s="299" t="n"/>
      <c r="F671" s="300" t="n"/>
      <c r="G671" s="299" t="n"/>
      <c r="H671" s="299" t="n"/>
      <c r="I671" s="299" t="n"/>
      <c r="J671" s="299" t="n"/>
      <c r="K671" s="299" t="n"/>
      <c r="L671" s="299" t="n"/>
      <c r="M671" s="299" t="n"/>
      <c r="N671" s="299" t="n"/>
      <c r="O671" s="299" t="n"/>
      <c r="P671" s="299" t="n"/>
      <c r="Q671" s="299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45650</v>
      </c>
      <c r="C672" s="286" t="n">
        <v>448</v>
      </c>
      <c r="D672" s="287" t="inlineStr">
        <is>
          <t>payment for hotel Grand Dafam and</t>
        </is>
      </c>
      <c r="E672" s="288" t="inlineStr">
        <is>
          <t>-</t>
        </is>
      </c>
      <c r="F672" s="292" t="n">
        <v>4913283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.5" customHeight="1">
      <c r="B673" s="296" t="inlineStr">
        <is>
          <t>Expense#45</t>
        </is>
      </c>
      <c r="C673" s="297" t="inlineStr">
        <is>
          <t>:</t>
        </is>
      </c>
      <c r="D673" s="296" t="inlineStr">
        <is>
          <t>General Operation_Year 2024 - AM</t>
        </is>
      </c>
      <c r="E673" s="297" t="n"/>
      <c r="F673" s="298" t="n"/>
      <c r="G673" s="297" t="n"/>
      <c r="H673" s="297" t="n"/>
      <c r="I673" s="297" t="n"/>
      <c r="J673" s="297" t="n"/>
      <c r="K673" s="297" t="n"/>
      <c r="L673" s="297" t="n"/>
      <c r="M673" s="297" t="n"/>
      <c r="N673" s="297" t="n"/>
      <c r="O673" s="297" t="n"/>
      <c r="P673" s="297" t="n"/>
      <c r="Q673" s="297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.5" customHeight="1">
      <c r="B674" s="299" t="n"/>
      <c r="C674" s="299" t="n"/>
      <c r="D674" s="282" t="inlineStr">
        <is>
          <t>Trip</t>
        </is>
      </c>
      <c r="E674" s="299" t="n"/>
      <c r="F674" s="300" t="n"/>
      <c r="G674" s="299" t="n"/>
      <c r="H674" s="299" t="n"/>
      <c r="I674" s="299" t="n"/>
      <c r="J674" s="299" t="n"/>
      <c r="K674" s="299" t="n"/>
      <c r="L674" s="299" t="n"/>
      <c r="M674" s="299" t="n"/>
      <c r="N674" s="299" t="n"/>
      <c r="O674" s="299" t="n"/>
      <c r="P674" s="299" t="n"/>
      <c r="Q674" s="299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" customHeight="1">
      <c r="B675" s="285" t="n">
        <v>45335</v>
      </c>
      <c r="C675" s="286" t="n">
        <v>449</v>
      </c>
      <c r="D675" s="287" t="inlineStr">
        <is>
          <t>Shipment Benchmark DTR to Malaysia</t>
        </is>
      </c>
      <c r="E675" s="288" t="inlineStr">
        <is>
          <t>-</t>
        </is>
      </c>
      <c r="F675" s="292" t="n">
        <v>3629.8</v>
      </c>
      <c r="G675" s="286" t="inlineStr">
        <is>
          <t>MYR</t>
        </is>
      </c>
      <c r="H675" s="290" t="n">
        <v>3636.89</v>
      </c>
      <c r="I675" s="288" t="n"/>
      <c r="J675" s="288" t="n"/>
      <c r="K675" s="288" t="n"/>
      <c r="L675" s="289">
        <f>$F675*$H675</f>
        <v/>
      </c>
      <c r="M675" s="288" t="n"/>
      <c r="N675" s="288" t="n"/>
      <c r="O675" s="288" t="n"/>
      <c r="P675" s="288" t="n"/>
      <c r="Q675" s="288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45362</v>
      </c>
      <c r="C676" s="286" t="n">
        <v>450</v>
      </c>
      <c r="D676" s="287" t="inlineStr">
        <is>
          <t>Taxi Home - CGK Airport</t>
        </is>
      </c>
      <c r="E676" s="288" t="inlineStr">
        <is>
          <t>-</t>
        </is>
      </c>
      <c r="F676" s="292" t="n">
        <v>200000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9">
        <f>$F676*$H676</f>
        <v/>
      </c>
      <c r="M676" s="288" t="n"/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45362</v>
      </c>
      <c r="C677" s="286" t="n">
        <v>451</v>
      </c>
      <c r="D677" s="287" t="inlineStr">
        <is>
          <t>Flight CGK-KUL + Hotel 1 night</t>
        </is>
      </c>
      <c r="E677" s="288" t="inlineStr">
        <is>
          <t>-</t>
        </is>
      </c>
      <c r="F677" s="292" t="n">
        <v>1803353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9">
        <f>$F677*$H677</f>
        <v/>
      </c>
      <c r="M677" s="288" t="n"/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" customHeight="1">
      <c r="B678" s="285" t="n">
        <v>45362</v>
      </c>
      <c r="C678" s="286" t="n">
        <v>452</v>
      </c>
      <c r="D678" s="287" t="inlineStr">
        <is>
          <t>Train KLIA Airport to Hyperseal</t>
        </is>
      </c>
      <c r="E678" s="288" t="inlineStr">
        <is>
          <t>-</t>
        </is>
      </c>
      <c r="F678" s="292" t="n">
        <v>50</v>
      </c>
      <c r="G678" s="286" t="inlineStr">
        <is>
          <t>MYR</t>
        </is>
      </c>
      <c r="H678" s="290" t="n">
        <v>3636.89</v>
      </c>
      <c r="I678" s="288" t="n"/>
      <c r="J678" s="288" t="n"/>
      <c r="K678" s="288" t="n"/>
      <c r="L678" s="289">
        <f>$F678*$H678</f>
        <v/>
      </c>
      <c r="M678" s="288" t="n"/>
      <c r="N678" s="288" t="n"/>
      <c r="O678" s="288" t="n"/>
      <c r="P678" s="288" t="n"/>
      <c r="Q678" s="288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45363</v>
      </c>
      <c r="C679" s="286" t="n">
        <v>453</v>
      </c>
      <c r="D679" s="287" t="inlineStr">
        <is>
          <t>Flight KUL- CGK</t>
        </is>
      </c>
      <c r="E679" s="288" t="inlineStr">
        <is>
          <t>-</t>
        </is>
      </c>
      <c r="F679" s="292" t="n">
        <v>1897983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45363</v>
      </c>
      <c r="C680" s="286" t="n">
        <v>454</v>
      </c>
      <c r="D680" s="287" t="inlineStr">
        <is>
          <t>Train Hyperseal to KLIA Airport</t>
        </is>
      </c>
      <c r="E680" s="288" t="inlineStr">
        <is>
          <t>-</t>
        </is>
      </c>
      <c r="F680" s="292" t="n">
        <v>50</v>
      </c>
      <c r="G680" s="286" t="inlineStr">
        <is>
          <t>MYR</t>
        </is>
      </c>
      <c r="H680" s="290" t="n">
        <v>3636.89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45363</v>
      </c>
      <c r="C681" s="286" t="n">
        <v>455</v>
      </c>
      <c r="D681" s="287" t="inlineStr">
        <is>
          <t>Taxi CGK Airport to Home</t>
        </is>
      </c>
      <c r="E681" s="288" t="inlineStr">
        <is>
          <t>-</t>
        </is>
      </c>
      <c r="F681" s="292" t="n">
        <v>200000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45363</v>
      </c>
      <c r="C682" s="286" t="n">
        <v>456</v>
      </c>
      <c r="D682" s="287" t="inlineStr">
        <is>
          <t>Meals 2 days @ 300,000/day</t>
        </is>
      </c>
      <c r="E682" s="288" t="inlineStr">
        <is>
          <t>-</t>
        </is>
      </c>
      <c r="F682" s="289" t="n">
        <v>600000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45404</v>
      </c>
      <c r="C683" s="286" t="n">
        <v>457</v>
      </c>
      <c r="D683" s="287" t="inlineStr">
        <is>
          <t>Car 22-23 Apr 2024 (2 days) incl. Fuel &amp; Tol</t>
        </is>
      </c>
      <c r="E683" s="288" t="inlineStr">
        <is>
          <t>-</t>
        </is>
      </c>
      <c r="F683" s="292" t="n">
        <v>3000000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45405</v>
      </c>
      <c r="C684" s="286" t="n">
        <v>458</v>
      </c>
      <c r="D684" s="287" t="inlineStr">
        <is>
          <t>Tunjangan Lapangan @ 1.5 juta/day x 2 days</t>
        </is>
      </c>
      <c r="E684" s="288" t="inlineStr">
        <is>
          <t>-</t>
        </is>
      </c>
      <c r="F684" s="292" t="n">
        <v>3000000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45405</v>
      </c>
      <c r="C685" s="286" t="n">
        <v>459</v>
      </c>
      <c r="D685" s="287" t="inlineStr">
        <is>
          <t>Meals 2 days @ 150,000/day</t>
        </is>
      </c>
      <c r="E685" s="288" t="inlineStr">
        <is>
          <t>-</t>
        </is>
      </c>
      <c r="F685" s="292" t="n">
        <v>300000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45412</v>
      </c>
      <c r="C686" s="286" t="n">
        <v>460</v>
      </c>
      <c r="D686" s="287" t="inlineStr">
        <is>
          <t>Car 30 Apr-01 May 2024 (2 days) incl. Fuel &amp; Tol</t>
        </is>
      </c>
      <c r="E686" s="288" t="inlineStr">
        <is>
          <t>-</t>
        </is>
      </c>
      <c r="F686" s="292" t="n">
        <v>3000000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45646</v>
      </c>
      <c r="C687" s="286" t="n">
        <v>461</v>
      </c>
      <c r="D687" s="287" t="inlineStr">
        <is>
          <t>Taxi Home to KCIC Train station</t>
        </is>
      </c>
      <c r="E687" s="288" t="inlineStr">
        <is>
          <t>-</t>
        </is>
      </c>
      <c r="F687" s="292" t="n">
        <v>100000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45646</v>
      </c>
      <c r="C688" s="286" t="n">
        <v>462</v>
      </c>
      <c r="D688" s="287" t="inlineStr">
        <is>
          <t>Train Round trip Jakarta - Bandung @200K/trip</t>
        </is>
      </c>
      <c r="E688" s="288" t="inlineStr">
        <is>
          <t>-</t>
        </is>
      </c>
      <c r="F688" s="292" t="n">
        <v>400000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45647</v>
      </c>
      <c r="C689" s="286" t="n">
        <v>463</v>
      </c>
      <c r="D689" s="287" t="inlineStr">
        <is>
          <t>Hotel 1 night 20 - 21 Dec 2024</t>
        </is>
      </c>
      <c r="E689" s="288" t="inlineStr">
        <is>
          <t>-</t>
        </is>
      </c>
      <c r="F689" s="292" t="n">
        <v>784000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45647</v>
      </c>
      <c r="C690" s="286" t="n">
        <v>464</v>
      </c>
      <c r="D690" s="287" t="inlineStr">
        <is>
          <t>Taxi from KCIC Stationa Halim to Home</t>
        </is>
      </c>
      <c r="E690" s="288" t="inlineStr">
        <is>
          <t>-</t>
        </is>
      </c>
      <c r="F690" s="292" t="n">
        <v>100000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45647</v>
      </c>
      <c r="C691" s="286" t="n">
        <v>465</v>
      </c>
      <c r="D691" s="287" t="inlineStr">
        <is>
          <t>Meals 2 days @ 150,000/day</t>
        </is>
      </c>
      <c r="E691" s="288" t="inlineStr">
        <is>
          <t>-</t>
        </is>
      </c>
      <c r="F691" s="292" t="n">
        <v>300000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44789</v>
      </c>
      <c r="C692" s="286" t="n">
        <v>466</v>
      </c>
      <c r="D692" s="287" t="inlineStr">
        <is>
          <t>Domain PT. Exspan Wireline Indonesia</t>
        </is>
      </c>
      <c r="E692" s="288" t="inlineStr">
        <is>
          <t>-</t>
        </is>
      </c>
      <c r="F692" s="292" t="n">
        <v>184182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8" t="n"/>
      <c r="M692" s="289">
        <f>$F692*$H692</f>
        <v/>
      </c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" customHeight="1">
      <c r="B693" s="285" t="n">
        <v>44820</v>
      </c>
      <c r="C693" s="286" t="n">
        <v>467</v>
      </c>
      <c r="D693" s="287" t="inlineStr">
        <is>
          <t>Google Workspace PT. EWI</t>
        </is>
      </c>
      <c r="E693" s="288" t="inlineStr">
        <is>
          <t>-</t>
        </is>
      </c>
      <c r="F693" s="289" t="n">
        <v>107437</v>
      </c>
      <c r="G693" s="286" t="inlineStr">
        <is>
          <t>IDR</t>
        </is>
      </c>
      <c r="H693" s="290" t="n">
        <v>1</v>
      </c>
      <c r="I693" s="288" t="n"/>
      <c r="J693" s="288" t="n"/>
      <c r="K693" s="288" t="n"/>
      <c r="L693" s="288" t="n"/>
      <c r="M693" s="289">
        <f>$F693*$H693</f>
        <v/>
      </c>
      <c r="N693" s="288" t="n"/>
      <c r="O693" s="288" t="n"/>
      <c r="P693" s="288" t="n"/>
      <c r="Q693" s="288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" customHeight="1">
      <c r="B694" s="285" t="n">
        <v>44850</v>
      </c>
      <c r="C694" s="286" t="n">
        <v>468</v>
      </c>
      <c r="D694" s="287" t="inlineStr">
        <is>
          <t>Google Workspace PT. EWI</t>
        </is>
      </c>
      <c r="E694" s="288" t="inlineStr">
        <is>
          <t>-</t>
        </is>
      </c>
      <c r="F694" s="292" t="n">
        <v>177258</v>
      </c>
      <c r="G694" s="286" t="inlineStr">
        <is>
          <t>IDR</t>
        </is>
      </c>
      <c r="H694" s="290" t="n">
        <v>1</v>
      </c>
      <c r="I694" s="288" t="n"/>
      <c r="J694" s="288" t="n"/>
      <c r="K694" s="288" t="n"/>
      <c r="L694" s="288" t="n"/>
      <c r="M694" s="289">
        <f>$F694*$H694</f>
        <v/>
      </c>
      <c r="N694" s="288" t="n"/>
      <c r="O694" s="288" t="n"/>
      <c r="P694" s="288" t="n"/>
      <c r="Q694" s="288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44881</v>
      </c>
      <c r="C695" s="286" t="n">
        <v>469</v>
      </c>
      <c r="D695" s="287" t="inlineStr">
        <is>
          <t>Google Workspace PT. EWI</t>
        </is>
      </c>
      <c r="E695" s="288" t="inlineStr">
        <is>
          <t>-</t>
        </is>
      </c>
      <c r="F695" s="292" t="n">
        <v>214896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9">
        <f>$F695*$H695</f>
        <v/>
      </c>
      <c r="N695" s="288" t="n"/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" customHeight="1">
      <c r="B696" s="285" t="n">
        <v>44911</v>
      </c>
      <c r="C696" s="286" t="n">
        <v>470</v>
      </c>
      <c r="D696" s="287" t="inlineStr">
        <is>
          <t>Google Workspace PT. EWI</t>
        </is>
      </c>
      <c r="E696" s="288" t="inlineStr">
        <is>
          <t>-</t>
        </is>
      </c>
      <c r="F696" s="292" t="n">
        <v>214896</v>
      </c>
      <c r="G696" s="286" t="inlineStr">
        <is>
          <t>IDR</t>
        </is>
      </c>
      <c r="H696" s="290" t="n">
        <v>1</v>
      </c>
      <c r="I696" s="288" t="n"/>
      <c r="J696" s="288" t="n"/>
      <c r="K696" s="288" t="n"/>
      <c r="L696" s="288" t="n"/>
      <c r="M696" s="289">
        <f>$F696*$H696</f>
        <v/>
      </c>
      <c r="N696" s="288" t="n"/>
      <c r="O696" s="288" t="n"/>
      <c r="P696" s="288" t="n"/>
      <c r="Q696" s="288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" customHeight="1">
      <c r="B697" s="285" t="n">
        <v>44942</v>
      </c>
      <c r="C697" s="286" t="n">
        <v>471</v>
      </c>
      <c r="D697" s="287" t="inlineStr">
        <is>
          <t>Google Workspace PT. EWI</t>
        </is>
      </c>
      <c r="E697" s="288" t="inlineStr">
        <is>
          <t>-</t>
        </is>
      </c>
      <c r="F697" s="292" t="n">
        <v>214896</v>
      </c>
      <c r="G697" s="286" t="inlineStr">
        <is>
          <t>IDR</t>
        </is>
      </c>
      <c r="H697" s="290" t="n">
        <v>1</v>
      </c>
      <c r="I697" s="288" t="n"/>
      <c r="J697" s="288" t="n"/>
      <c r="K697" s="288" t="n"/>
      <c r="L697" s="288" t="n"/>
      <c r="M697" s="289">
        <f>$F697*$H697</f>
        <v/>
      </c>
      <c r="N697" s="288" t="n"/>
      <c r="O697" s="288" t="n"/>
      <c r="P697" s="288" t="n"/>
      <c r="Q697" s="288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44973</v>
      </c>
      <c r="C698" s="286" t="n">
        <v>472</v>
      </c>
      <c r="D698" s="287" t="inlineStr">
        <is>
          <t>Google Workspace PT. EWI</t>
        </is>
      </c>
      <c r="E698" s="288" t="inlineStr">
        <is>
          <t>-</t>
        </is>
      </c>
      <c r="F698" s="292" t="n">
        <v>214896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9">
        <f>$F698*$H698</f>
        <v/>
      </c>
      <c r="N698" s="288" t="n"/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" customHeight="1">
      <c r="B699" s="285" t="n">
        <v>45001</v>
      </c>
      <c r="C699" s="286" t="n">
        <v>473</v>
      </c>
      <c r="D699" s="287" t="inlineStr">
        <is>
          <t>Google Workspace PT. EWI</t>
        </is>
      </c>
      <c r="E699" s="288" t="inlineStr">
        <is>
          <t>-</t>
        </is>
      </c>
      <c r="F699" s="292" t="n">
        <v>214896</v>
      </c>
      <c r="G699" s="286" t="inlineStr">
        <is>
          <t>IDR</t>
        </is>
      </c>
      <c r="H699" s="290" t="n">
        <v>1</v>
      </c>
      <c r="I699" s="288" t="n"/>
      <c r="J699" s="288" t="n"/>
      <c r="K699" s="288" t="n"/>
      <c r="L699" s="288" t="n"/>
      <c r="M699" s="289">
        <f>$F699*$H699</f>
        <v/>
      </c>
      <c r="N699" s="288" t="n"/>
      <c r="O699" s="288" t="n"/>
      <c r="P699" s="288" t="n"/>
      <c r="Q699" s="288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" customHeight="1">
      <c r="B700" s="285" t="n">
        <v>45032</v>
      </c>
      <c r="C700" s="286" t="n">
        <v>474</v>
      </c>
      <c r="D700" s="287" t="inlineStr">
        <is>
          <t>Google Workspace PT. EWI</t>
        </is>
      </c>
      <c r="E700" s="288" t="inlineStr">
        <is>
          <t>-</t>
        </is>
      </c>
      <c r="F700" s="292" t="n">
        <v>214896</v>
      </c>
      <c r="G700" s="286" t="inlineStr">
        <is>
          <t>IDR</t>
        </is>
      </c>
      <c r="H700" s="290" t="n">
        <v>1</v>
      </c>
      <c r="I700" s="288" t="n"/>
      <c r="J700" s="288" t="n"/>
      <c r="K700" s="288" t="n"/>
      <c r="L700" s="288" t="n"/>
      <c r="M700" s="289">
        <f>$F700*$H700</f>
        <v/>
      </c>
      <c r="N700" s="288" t="n"/>
      <c r="O700" s="288" t="n"/>
      <c r="P700" s="288" t="n"/>
      <c r="Q700" s="288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45062</v>
      </c>
      <c r="C701" s="286" t="n">
        <v>475</v>
      </c>
      <c r="D701" s="287" t="inlineStr">
        <is>
          <t>Google Workspace PT. EWI</t>
        </is>
      </c>
      <c r="E701" s="288" t="inlineStr">
        <is>
          <t>-</t>
        </is>
      </c>
      <c r="F701" s="292" t="n">
        <v>214896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9">
        <f>$F701*$H701</f>
        <v/>
      </c>
      <c r="N701" s="288" t="n"/>
      <c r="O701" s="288" t="n"/>
      <c r="P701" s="288" t="n"/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45093</v>
      </c>
      <c r="C702" s="286" t="n">
        <v>476</v>
      </c>
      <c r="D702" s="287" t="inlineStr">
        <is>
          <t>Google Workspace PT. EWI</t>
        </is>
      </c>
      <c r="E702" s="288" t="inlineStr">
        <is>
          <t>-</t>
        </is>
      </c>
      <c r="F702" s="292" t="n">
        <v>214896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9">
        <f>$F702*$H702</f>
        <v/>
      </c>
      <c r="N702" s="288" t="n"/>
      <c r="O702" s="288" t="n"/>
      <c r="P702" s="288" t="n"/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45123</v>
      </c>
      <c r="C703" s="286" t="n">
        <v>477</v>
      </c>
      <c r="D703" s="287" t="inlineStr">
        <is>
          <t>Google Workspace PT. EWI</t>
        </is>
      </c>
      <c r="E703" s="288" t="inlineStr">
        <is>
          <t>-</t>
        </is>
      </c>
      <c r="F703" s="292" t="n">
        <v>214896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9">
        <f>$F703*$H703</f>
        <v/>
      </c>
      <c r="N703" s="288" t="n"/>
      <c r="O703" s="288" t="n"/>
      <c r="P703" s="288" t="n"/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45154</v>
      </c>
      <c r="C704" s="286" t="n">
        <v>478</v>
      </c>
      <c r="D704" s="287" t="inlineStr">
        <is>
          <t>Domain + Google Workspace PT. EWI</t>
        </is>
      </c>
      <c r="E704" s="288" t="inlineStr">
        <is>
          <t>-</t>
        </is>
      </c>
      <c r="F704" s="292" t="n">
        <v>399078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9">
        <f>$F704*$H704</f>
        <v/>
      </c>
      <c r="N704" s="288" t="n"/>
      <c r="O704" s="288" t="n"/>
      <c r="P704" s="288" t="n"/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45185</v>
      </c>
      <c r="C705" s="286" t="n">
        <v>479</v>
      </c>
      <c r="D705" s="287" t="inlineStr">
        <is>
          <t>Google Workspace PT. EWI</t>
        </is>
      </c>
      <c r="E705" s="288" t="inlineStr">
        <is>
          <t>-</t>
        </is>
      </c>
      <c r="F705" s="292" t="n">
        <v>214896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9">
        <f>$F705*$H705</f>
        <v/>
      </c>
      <c r="N705" s="288" t="n"/>
      <c r="O705" s="288" t="n"/>
      <c r="P705" s="288" t="n"/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45215</v>
      </c>
      <c r="C706" s="286" t="n">
        <v>480</v>
      </c>
      <c r="D706" s="287" t="inlineStr">
        <is>
          <t>Google Workspace PT. EWI</t>
        </is>
      </c>
      <c r="E706" s="288" t="inlineStr">
        <is>
          <t>-</t>
        </is>
      </c>
      <c r="F706" s="292" t="n">
        <v>306982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9">
        <f>$F706*$H706</f>
        <v/>
      </c>
      <c r="N706" s="288" t="n"/>
      <c r="O706" s="288" t="n"/>
      <c r="P706" s="288" t="n"/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45246</v>
      </c>
      <c r="C707" s="286" t="n">
        <v>481</v>
      </c>
      <c r="D707" s="287" t="inlineStr">
        <is>
          <t>Google Workspace PT. EWI</t>
        </is>
      </c>
      <c r="E707" s="288" t="inlineStr">
        <is>
          <t>-</t>
        </is>
      </c>
      <c r="F707" s="292" t="n">
        <v>306982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9">
        <f>$F707*$H707</f>
        <v/>
      </c>
      <c r="N707" s="288" t="n"/>
      <c r="O707" s="288" t="n"/>
      <c r="P707" s="288" t="n"/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45276</v>
      </c>
      <c r="C708" s="286" t="n">
        <v>482</v>
      </c>
      <c r="D708" s="287" t="inlineStr">
        <is>
          <t>Google Workspace PT. EWI</t>
        </is>
      </c>
      <c r="E708" s="288" t="inlineStr">
        <is>
          <t>-</t>
        </is>
      </c>
      <c r="F708" s="292" t="n">
        <v>306982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9">
        <f>$F708*$H708</f>
        <v/>
      </c>
      <c r="N708" s="288" t="n"/>
      <c r="O708" s="288" t="n"/>
      <c r="P708" s="288" t="n"/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" customHeight="1">
      <c r="B709" s="285" t="n">
        <v>45307</v>
      </c>
      <c r="C709" s="286" t="n">
        <v>483</v>
      </c>
      <c r="D709" s="287" t="inlineStr">
        <is>
          <t>Google Workspace PT. EWI</t>
        </is>
      </c>
      <c r="E709" s="288" t="inlineStr">
        <is>
          <t>-</t>
        </is>
      </c>
      <c r="F709" s="292" t="n">
        <v>306982</v>
      </c>
      <c r="G709" s="286" t="inlineStr">
        <is>
          <t>IDR</t>
        </is>
      </c>
      <c r="H709" s="290" t="n">
        <v>1</v>
      </c>
      <c r="I709" s="288" t="n"/>
      <c r="J709" s="288" t="n"/>
      <c r="K709" s="288" t="n"/>
      <c r="L709" s="288" t="n"/>
      <c r="M709" s="289">
        <f>$F709*$H709</f>
        <v/>
      </c>
      <c r="N709" s="288" t="n"/>
      <c r="O709" s="288" t="n"/>
      <c r="P709" s="288" t="n"/>
      <c r="Q709" s="288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45338</v>
      </c>
      <c r="C710" s="286" t="n">
        <v>484</v>
      </c>
      <c r="D710" s="287" t="inlineStr">
        <is>
          <t>Google Workspace PT. EWI</t>
        </is>
      </c>
      <c r="E710" s="288" t="inlineStr">
        <is>
          <t>-</t>
        </is>
      </c>
      <c r="F710" s="292" t="n">
        <v>306982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8" t="n"/>
      <c r="M710" s="289">
        <f>$F710*$H710</f>
        <v/>
      </c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45367</v>
      </c>
      <c r="C711" s="286" t="n">
        <v>485</v>
      </c>
      <c r="D711" s="287" t="inlineStr">
        <is>
          <t>Google Workspace PT. EWI</t>
        </is>
      </c>
      <c r="E711" s="288" t="inlineStr">
        <is>
          <t>-</t>
        </is>
      </c>
      <c r="F711" s="292" t="n">
        <v>306982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8" t="n"/>
      <c r="M711" s="289">
        <f>$F711*$H711</f>
        <v/>
      </c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45398</v>
      </c>
      <c r="C712" s="286" t="n">
        <v>486</v>
      </c>
      <c r="D712" s="287" t="inlineStr">
        <is>
          <t>Google Workspace PT. EWI</t>
        </is>
      </c>
      <c r="E712" s="288" t="inlineStr">
        <is>
          <t>-</t>
        </is>
      </c>
      <c r="F712" s="292" t="n">
        <v>306982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8" t="n"/>
      <c r="M712" s="289">
        <f>$F712*$H712</f>
        <v/>
      </c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45428</v>
      </c>
      <c r="C713" s="286" t="n">
        <v>487</v>
      </c>
      <c r="D713" s="287" t="inlineStr">
        <is>
          <t>Google Workspace PT. EWI</t>
        </is>
      </c>
      <c r="E713" s="288" t="inlineStr">
        <is>
          <t>-</t>
        </is>
      </c>
      <c r="F713" s="292" t="n">
        <v>306982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8" t="n"/>
      <c r="M713" s="289">
        <f>$F713*$H713</f>
        <v/>
      </c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.5" customHeight="1">
      <c r="B714" s="296" t="inlineStr">
        <is>
          <t>Expense#46</t>
        </is>
      </c>
      <c r="C714" s="297" t="inlineStr">
        <is>
          <t>:</t>
        </is>
      </c>
      <c r="D714" s="296" t="inlineStr">
        <is>
          <t>Non trip - Training BSS - AC</t>
        </is>
      </c>
      <c r="E714" s="297" t="n"/>
      <c r="F714" s="298" t="n"/>
      <c r="G714" s="297" t="n"/>
      <c r="H714" s="297" t="n"/>
      <c r="I714" s="297" t="n"/>
      <c r="J714" s="297" t="n"/>
      <c r="K714" s="297" t="n"/>
      <c r="L714" s="297" t="n"/>
      <c r="M714" s="297" t="n"/>
      <c r="N714" s="297" t="n"/>
      <c r="O714" s="297" t="n"/>
      <c r="P714" s="297" t="n"/>
      <c r="Q714" s="297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.5" customHeight="1">
      <c r="B715" s="299" t="n"/>
      <c r="C715" s="299" t="n"/>
      <c r="D715" s="282" t="inlineStr">
        <is>
          <t>Biaya Operasi</t>
        </is>
      </c>
      <c r="E715" s="299" t="n"/>
      <c r="F715" s="300" t="n"/>
      <c r="G715" s="299" t="n"/>
      <c r="H715" s="299" t="n"/>
      <c r="I715" s="299" t="n"/>
      <c r="J715" s="299" t="n"/>
      <c r="K715" s="299" t="n"/>
      <c r="L715" s="299" t="n"/>
      <c r="M715" s="299" t="n"/>
      <c r="N715" s="299" t="n"/>
      <c r="O715" s="299" t="n"/>
      <c r="P715" s="299" t="n"/>
      <c r="Q715" s="299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" customHeight="1">
      <c r="B716" s="285" t="n">
        <v>45636</v>
      </c>
      <c r="C716" s="286" t="n">
        <v>488</v>
      </c>
      <c r="D716" s="287" t="inlineStr">
        <is>
          <t>Traning Basic Sea Survival (BSS)</t>
        </is>
      </c>
      <c r="E716" s="288" t="inlineStr">
        <is>
          <t>-</t>
        </is>
      </c>
      <c r="F716" s="292" t="n">
        <v>2700000</v>
      </c>
      <c r="G716" s="286" t="inlineStr">
        <is>
          <t>IDR</t>
        </is>
      </c>
      <c r="H716" s="290" t="n">
        <v>1</v>
      </c>
      <c r="I716" s="288" t="n"/>
      <c r="J716" s="288" t="n"/>
      <c r="K716" s="288" t="n"/>
      <c r="L716" s="289">
        <f>$F716*$H716</f>
        <v/>
      </c>
      <c r="M716" s="288" t="n"/>
      <c r="N716" s="288" t="n"/>
      <c r="O716" s="288" t="n"/>
      <c r="P716" s="288" t="n"/>
      <c r="Q716" s="288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6" t="inlineStr">
        <is>
          <t>Expense#47</t>
        </is>
      </c>
      <c r="C717" s="297" t="inlineStr">
        <is>
          <t>:</t>
        </is>
      </c>
      <c r="D717" s="296" t="inlineStr">
        <is>
          <t>Trip Rakan : BSTTraining at HSSE Training Center PT Pertamina EP Zone 7 Cirebon</t>
        </is>
      </c>
      <c r="E717" s="297" t="n"/>
      <c r="F717" s="298" t="n"/>
      <c r="G717" s="297" t="n"/>
      <c r="H717" s="297" t="n"/>
      <c r="I717" s="297" t="n"/>
      <c r="J717" s="297" t="n"/>
      <c r="K717" s="297" t="n"/>
      <c r="L717" s="297" t="n"/>
      <c r="M717" s="297" t="n"/>
      <c r="N717" s="297" t="n"/>
      <c r="O717" s="297" t="n"/>
      <c r="P717" s="297" t="n"/>
      <c r="Q717" s="297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.5" customHeight="1">
      <c r="B718" s="299" t="n"/>
      <c r="C718" s="299" t="n"/>
      <c r="D718" s="282" t="inlineStr">
        <is>
          <t>Biaya Operasi</t>
        </is>
      </c>
      <c r="E718" s="299" t="n"/>
      <c r="F718" s="300" t="n"/>
      <c r="G718" s="299" t="n"/>
      <c r="H718" s="299" t="n"/>
      <c r="I718" s="299" t="n"/>
      <c r="J718" s="299" t="n"/>
      <c r="K718" s="299" t="n"/>
      <c r="L718" s="299" t="n"/>
      <c r="M718" s="299" t="n"/>
      <c r="N718" s="299" t="n"/>
      <c r="O718" s="299" t="n"/>
      <c r="P718" s="299" t="n"/>
      <c r="Q718" s="299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45655</v>
      </c>
      <c r="C719" s="286" t="n">
        <v>489</v>
      </c>
      <c r="D719" s="287" t="inlineStr">
        <is>
          <t>Transport Train, (Jakarta to Cirebon)</t>
        </is>
      </c>
      <c r="E719" s="288" t="inlineStr">
        <is>
          <t>-</t>
        </is>
      </c>
      <c r="F719" s="292" t="n">
        <v>200000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" customHeight="1">
      <c r="B720" s="285" t="n">
        <v>45655</v>
      </c>
      <c r="C720" s="286" t="n">
        <v>490</v>
      </c>
      <c r="D720" s="287" t="inlineStr">
        <is>
          <t>Gojek (Cirendeu to Gambir Station)</t>
        </is>
      </c>
      <c r="E720" s="288" t="inlineStr">
        <is>
          <t>-</t>
        </is>
      </c>
      <c r="F720" s="292" t="n">
        <v>61500</v>
      </c>
      <c r="G720" s="286" t="inlineStr">
        <is>
          <t>IDR</t>
        </is>
      </c>
      <c r="H720" s="290" t="n">
        <v>1</v>
      </c>
      <c r="I720" s="288" t="n"/>
      <c r="J720" s="288" t="n"/>
      <c r="K720" s="288" t="n"/>
      <c r="L720" s="289">
        <f>$F720*$H720</f>
        <v/>
      </c>
      <c r="M720" s="288" t="n"/>
      <c r="N720" s="288" t="n"/>
      <c r="O720" s="288" t="n"/>
      <c r="P720" s="288" t="n"/>
      <c r="Q720" s="288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45655</v>
      </c>
      <c r="C721" s="286" t="n">
        <v>491</v>
      </c>
      <c r="D721" s="287" t="inlineStr">
        <is>
          <t>Gojek (Cirebon Station to Hotel)</t>
        </is>
      </c>
      <c r="E721" s="288" t="inlineStr">
        <is>
          <t>-</t>
        </is>
      </c>
      <c r="F721" s="292" t="n">
        <v>12500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9">
        <f>$F721*$H721</f>
        <v/>
      </c>
      <c r="M721" s="288" t="n"/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" customHeight="1">
      <c r="B722" s="285" t="n">
        <v>45655</v>
      </c>
      <c r="C722" s="286" t="n">
        <v>492</v>
      </c>
      <c r="D722" s="287" t="inlineStr">
        <is>
          <t>Accomodation Hotel (Pia Hotel 29 - 30 des, 1 Night)</t>
        </is>
      </c>
      <c r="E722" s="288" t="inlineStr">
        <is>
          <t>-</t>
        </is>
      </c>
      <c r="F722" s="292" t="n">
        <v>224000</v>
      </c>
      <c r="G722" s="286" t="inlineStr">
        <is>
          <t>IDR</t>
        </is>
      </c>
      <c r="H722" s="290" t="n">
        <v>1</v>
      </c>
      <c r="I722" s="288" t="n"/>
      <c r="J722" s="288" t="n"/>
      <c r="K722" s="288" t="n"/>
      <c r="L722" s="289">
        <f>$F722*$H722</f>
        <v/>
      </c>
      <c r="M722" s="288" t="n"/>
      <c r="N722" s="288" t="n"/>
      <c r="O722" s="288" t="n"/>
      <c r="P722" s="288" t="n"/>
      <c r="Q722" s="288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45656</v>
      </c>
      <c r="C723" s="286" t="n">
        <v>493</v>
      </c>
      <c r="D723" s="287" t="inlineStr">
        <is>
          <t>Transport Train (Cirebon to Jakarta)</t>
        </is>
      </c>
      <c r="E723" s="288" t="inlineStr">
        <is>
          <t>-</t>
        </is>
      </c>
      <c r="F723" s="292" t="n">
        <v>140000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45656</v>
      </c>
      <c r="C724" s="286" t="n">
        <v>494</v>
      </c>
      <c r="D724" s="287" t="inlineStr">
        <is>
          <t>Gojek (Hotel to HSSE Training Center PEP Zone 7)</t>
        </is>
      </c>
      <c r="E724" s="288" t="inlineStr">
        <is>
          <t>-</t>
        </is>
      </c>
      <c r="F724" s="292" t="n">
        <v>11000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" customHeight="1">
      <c r="B725" s="285" t="n">
        <v>45656</v>
      </c>
      <c r="C725" s="286" t="n">
        <v>495</v>
      </c>
      <c r="D725" s="287" t="inlineStr">
        <is>
          <t>Gojek (CSB to Cirebon Train Station)</t>
        </is>
      </c>
      <c r="E725" s="288" t="inlineStr">
        <is>
          <t>-</t>
        </is>
      </c>
      <c r="F725" s="292" t="n">
        <v>11000</v>
      </c>
      <c r="G725" s="286" t="inlineStr">
        <is>
          <t>IDR</t>
        </is>
      </c>
      <c r="H725" s="290" t="n">
        <v>1</v>
      </c>
      <c r="I725" s="288" t="n"/>
      <c r="J725" s="288" t="n"/>
      <c r="K725" s="288" t="n"/>
      <c r="L725" s="289">
        <f>$F725*$H725</f>
        <v/>
      </c>
      <c r="M725" s="288" t="n"/>
      <c r="N725" s="288" t="n"/>
      <c r="O725" s="288" t="n"/>
      <c r="P725" s="288" t="n"/>
      <c r="Q725" s="288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45656</v>
      </c>
      <c r="C726" s="286" t="n">
        <v>496</v>
      </c>
      <c r="D726" s="287" t="inlineStr">
        <is>
          <t>Gojek (Gambir Station to Cirendeu)</t>
        </is>
      </c>
      <c r="E726" s="288" t="inlineStr">
        <is>
          <t>-</t>
        </is>
      </c>
      <c r="F726" s="292" t="n">
        <v>66000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" customHeight="1">
      <c r="B727" s="285" t="n">
        <v>45656</v>
      </c>
      <c r="C727" s="286" t="n">
        <v>497</v>
      </c>
      <c r="D727" s="287" t="inlineStr">
        <is>
          <t>Meal Allowance 2 Days (29 - 30 December 2024)@ 150 rb</t>
        </is>
      </c>
      <c r="E727" s="288" t="inlineStr">
        <is>
          <t>-</t>
        </is>
      </c>
      <c r="F727" s="292" t="n">
        <v>300000</v>
      </c>
      <c r="G727" s="286" t="inlineStr">
        <is>
          <t>IDR</t>
        </is>
      </c>
      <c r="H727" s="290" t="n">
        <v>1</v>
      </c>
      <c r="I727" s="288" t="n"/>
      <c r="J727" s="288" t="n"/>
      <c r="K727" s="288" t="n"/>
      <c r="L727" s="289">
        <f>$F727*$H727</f>
        <v/>
      </c>
      <c r="M727" s="288" t="n"/>
      <c r="N727" s="288" t="n"/>
      <c r="O727" s="288" t="n"/>
      <c r="P727" s="288" t="n"/>
      <c r="Q727" s="288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315" t="inlineStr">
        <is>
          <t>TOTAL</t>
        </is>
      </c>
      <c r="C728" s="316" t="n"/>
      <c r="D728" s="317" t="n"/>
      <c r="E728" s="316" t="n"/>
      <c r="F728" s="316" t="n"/>
      <c r="G728" s="316" t="n"/>
      <c r="H728" s="316" t="n"/>
      <c r="I728" s="318">
        <f>SUM(I41:I727)</f>
        <v/>
      </c>
      <c r="J728" s="318">
        <f>SUM(J41:J727)</f>
        <v/>
      </c>
      <c r="K728" s="318">
        <f>SUM(K41:K727)</f>
        <v/>
      </c>
      <c r="L728" s="318">
        <f>SUM(L41:L727)</f>
        <v/>
      </c>
      <c r="M728" s="318">
        <f>SUM(M41:M727)</f>
        <v/>
      </c>
      <c r="N728" s="318">
        <f>SUM(N41:N727)</f>
        <v/>
      </c>
      <c r="O728" s="318">
        <f>SUM(O41:O727)</f>
        <v/>
      </c>
      <c r="P728" s="318">
        <f>SUM(P41:P727)</f>
        <v/>
      </c>
      <c r="Q728" s="318">
        <f>SUM(Q41:Q727)</f>
        <v/>
      </c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idden="1" ht="15.5" customHeight="1">
      <c r="B729" s="284" t="n"/>
      <c r="C729" s="284" t="n"/>
      <c r="D729" s="284" t="n"/>
      <c r="E729" s="284" t="n"/>
      <c r="F729" s="319" t="n"/>
      <c r="G729" s="284" t="n"/>
      <c r="H729" s="284" t="n"/>
      <c r="I729" s="284" t="n"/>
      <c r="J729" s="284" t="n"/>
      <c r="K729" s="284" t="n"/>
      <c r="L729" s="284" t="n"/>
      <c r="M729" s="284" t="n"/>
      <c r="N729" s="284" t="n"/>
      <c r="O729" s="284" t="n"/>
      <c r="P729" s="284" t="n"/>
      <c r="Q729" s="284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idden="1" ht="25" customHeight="1">
      <c r="B730" s="8" t="inlineStr">
        <is>
          <t>BANK STATUS (MUTASI BANK)</t>
        </is>
      </c>
      <c r="C730" s="259" t="n"/>
      <c r="D730" s="259" t="n"/>
      <c r="E730" s="259" t="n"/>
      <c r="F730" s="259" t="n"/>
      <c r="G730" s="259" t="n"/>
      <c r="H730" s="259" t="n"/>
      <c r="I730" s="259" t="n"/>
      <c r="J730" s="259" t="n"/>
      <c r="K730" s="259" t="n"/>
      <c r="L730" s="259" t="n"/>
      <c r="M730" s="259" t="n"/>
      <c r="N730" s="259" t="n"/>
      <c r="O730" s="259" t="n"/>
      <c r="P730" s="259" t="n"/>
      <c r="Q730" s="259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idden="1" ht="93" customHeight="1">
      <c r="B731" s="320" t="inlineStr">
        <is>
          <t>Invoice Date</t>
        </is>
      </c>
      <c r="C731" s="321" t="inlineStr">
        <is>
          <t>#</t>
        </is>
      </c>
      <c r="D731" s="321" t="inlineStr">
        <is>
          <t>Detail/Description</t>
        </is>
      </c>
      <c r="E731" s="52" t="inlineStr">
        <is>
          <t>Source</t>
        </is>
      </c>
      <c r="F731" s="322" t="inlineStr">
        <is>
          <t>Value USD</t>
        </is>
      </c>
      <c r="G731" s="321" t="inlineStr">
        <is>
          <t>Value IDR</t>
        </is>
      </c>
      <c r="H731" s="55" t="inlineStr">
        <is>
          <t>urrency Exchange</t>
        </is>
      </c>
      <c r="I731" s="231" t="inlineStr">
        <is>
          <t>Biaya Operasi (Gaji, Tunjangan Lapangan, Training, THR, Transport, Meal, Hotel, loundry)</t>
        </is>
      </c>
      <c r="J731" s="57" t="inlineStr">
        <is>
          <t>Biaya research
(R &amp; D)</t>
        </is>
      </c>
      <c r="K731" s="58" t="inlineStr">
        <is>
          <t>BIAYA SEWA PERALATAN</t>
        </is>
      </c>
      <c r="L731" s="58" t="inlineStr">
        <is>
          <t>BIAYA INTEPRETASI LOG DATA</t>
        </is>
      </c>
      <c r="M731" s="59" t="inlineStr">
        <is>
          <t>ADMINISTRASI</t>
        </is>
      </c>
      <c r="N731" s="59" t="inlineStr">
        <is>
          <t xml:space="preserve"> PEMBELIAN Barang</t>
        </is>
      </c>
      <c r="O731" s="59" t="inlineStr">
        <is>
          <t xml:space="preserve"> SEWA KANTOR</t>
        </is>
      </c>
      <c r="P731" s="59" t="inlineStr">
        <is>
          <t xml:space="preserve"> KESEHATAN</t>
        </is>
      </c>
      <c r="Q731" s="59" t="inlineStr">
        <is>
          <t>BISNIS DEV</t>
        </is>
      </c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idden="1" ht="15.5" customHeight="1">
      <c r="B732" s="284" t="n"/>
      <c r="C732" s="284" t="n"/>
      <c r="D732" s="284" t="n"/>
      <c r="E732" s="284" t="n"/>
      <c r="F732" s="319" t="n"/>
      <c r="G732" s="284" t="n"/>
      <c r="H732" s="284" t="n"/>
      <c r="I732" s="284" t="n"/>
      <c r="J732" s="284" t="n"/>
      <c r="K732" s="284" t="n"/>
      <c r="L732" s="284" t="n"/>
      <c r="M732" s="284" t="n"/>
      <c r="N732" s="284" t="n"/>
      <c r="O732" s="284" t="n"/>
      <c r="P732" s="284" t="n"/>
      <c r="Q732" s="284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idden="1" ht="15.5" customHeight="1">
      <c r="B733" s="284" t="n"/>
      <c r="C733" s="284" t="n"/>
      <c r="D733" s="284" t="n"/>
      <c r="E733" s="284" t="n"/>
      <c r="F733" s="319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idden="1" ht="25" customHeight="1">
      <c r="B734" s="8" t="inlineStr">
        <is>
          <t>ASSET REGISTER (DEPRESIASI)</t>
        </is>
      </c>
      <c r="C734" s="259" t="n"/>
      <c r="D734" s="259" t="n"/>
      <c r="E734" s="259" t="n"/>
      <c r="F734" s="259" t="n"/>
      <c r="G734" s="259" t="n"/>
      <c r="H734" s="259" t="n"/>
      <c r="I734" s="259" t="n"/>
      <c r="J734" s="259" t="n"/>
      <c r="K734" s="259" t="n"/>
      <c r="L734" s="259" t="n"/>
      <c r="M734" s="259" t="n"/>
      <c r="N734" s="259" t="n"/>
      <c r="O734" s="259" t="n"/>
      <c r="P734" s="259" t="n"/>
      <c r="Q734" s="259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idden="1" ht="93" customHeight="1">
      <c r="B735" s="320" t="inlineStr">
        <is>
          <t>No</t>
        </is>
      </c>
      <c r="C735" s="321" t="inlineStr">
        <is>
          <t>Tgl Beli</t>
        </is>
      </c>
      <c r="D735" s="321" t="inlineStr">
        <is>
          <t>Nama Aset</t>
        </is>
      </c>
      <c r="E735" s="52" t="inlineStr">
        <is>
          <t>Source</t>
        </is>
      </c>
      <c r="F735" s="322" t="inlineStr">
        <is>
          <t>Harga Perolehan</t>
        </is>
      </c>
      <c r="G735" s="321" t="inlineStr">
        <is>
          <t>Masa Manfaat</t>
        </is>
      </c>
      <c r="H735" s="321" t="inlineStr">
        <is>
          <t>Nilai Buku</t>
        </is>
      </c>
      <c r="I735" s="231" t="inlineStr">
        <is>
          <t>Biaya Operasi (Gaji, Tunjangan Lapangan, Training, THR, Transport, Meal, Hotel, loundry)</t>
        </is>
      </c>
      <c r="J735" s="57" t="inlineStr">
        <is>
          <t>Biaya research
(R &amp; D)</t>
        </is>
      </c>
      <c r="K735" s="58" t="inlineStr">
        <is>
          <t>BIAYA SEWA PERALATAN</t>
        </is>
      </c>
      <c r="L735" s="58" t="inlineStr">
        <is>
          <t>BIAYA INTEPRETASI LOG DATA</t>
        </is>
      </c>
      <c r="M735" s="59" t="inlineStr">
        <is>
          <t>ADMINISTRASI</t>
        </is>
      </c>
      <c r="N735" s="59" t="inlineStr">
        <is>
          <t xml:space="preserve"> PEMBELIAN Barang</t>
        </is>
      </c>
      <c r="O735" s="59" t="inlineStr">
        <is>
          <t xml:space="preserve"> SEWA KANTOR</t>
        </is>
      </c>
      <c r="P735" s="59" t="inlineStr">
        <is>
          <t xml:space="preserve"> KESEHATAN</t>
        </is>
      </c>
      <c r="Q735" s="59" t="inlineStr">
        <is>
          <t>BISNIS DEV</t>
        </is>
      </c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idden="1" ht="15.5" customHeight="1">
      <c r="B736" s="284" t="n"/>
      <c r="C736" s="284" t="n"/>
      <c r="D736" s="284" t="n"/>
      <c r="E736" s="284" t="n"/>
      <c r="F736" s="319" t="n"/>
      <c r="G736" s="284" t="n"/>
      <c r="H736" s="284" t="n"/>
      <c r="I736" s="284" t="n">
        <v>367745000</v>
      </c>
      <c r="J736" s="284" t="n">
        <v>991500000</v>
      </c>
      <c r="K736" s="284" t="n">
        <v>356012003</v>
      </c>
      <c r="L736" s="284" t="n">
        <v>1193537558.620995</v>
      </c>
      <c r="M736" s="284" t="n">
        <v>12904641</v>
      </c>
      <c r="N736" s="284" t="n">
        <v>164697570</v>
      </c>
      <c r="O736" s="284" t="n">
        <v>4995000</v>
      </c>
      <c r="P736" s="284" t="n">
        <v>38548717.5</v>
      </c>
      <c r="Q736" s="284" t="n">
        <v>202920000</v>
      </c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idden="1" ht="15.5" customHeight="1">
      <c r="B737" s="284" t="n"/>
      <c r="C737" s="284" t="n"/>
      <c r="D737" s="284" t="n"/>
      <c r="E737" s="284" t="n"/>
      <c r="F737" s="319" t="n"/>
      <c r="G737" s="284" t="n"/>
      <c r="H737" s="284" t="n"/>
      <c r="I737" s="284" t="n"/>
      <c r="J737" s="284" t="n"/>
      <c r="K737" s="284" t="n"/>
      <c r="L737" s="284" t="n"/>
      <c r="M737" s="284" t="n"/>
      <c r="N737" s="284" t="n"/>
      <c r="O737" s="284" t="n"/>
      <c r="P737" s="284" t="n"/>
      <c r="Q737" s="284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idden="1" ht="15.5" customHeight="1">
      <c r="A738" s="162" t="n"/>
      <c r="B738" s="284" t="n"/>
      <c r="C738" s="284" t="n"/>
      <c r="D738" s="284" t="n"/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B728:H728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3" t="n"/>
      <c r="B1" s="323" t="n"/>
      <c r="C1" s="323" t="n"/>
      <c r="D1" s="323" t="n"/>
      <c r="E1" s="324" t="n"/>
    </row>
    <row r="2" ht="37.25" customHeight="1">
      <c r="A2" s="323" t="n"/>
      <c r="B2" s="323" t="n"/>
      <c r="C2" s="323" t="n"/>
      <c r="D2" s="323" t="n"/>
      <c r="E2" s="324" t="n"/>
    </row>
    <row r="3" ht="33.6" customHeight="1">
      <c r="A3" s="323" t="n"/>
      <c r="B3" s="325" t="inlineStr">
        <is>
          <t>PT. EXSPAN WIRELINE INDONESIA</t>
        </is>
      </c>
      <c r="F3" s="326" t="n"/>
      <c r="G3" s="327" t="inlineStr">
        <is>
          <t>PT. EXSPAN WIRELINE INDONESIA</t>
        </is>
      </c>
      <c r="H3" s="327" t="n"/>
      <c r="I3" s="327" t="n"/>
      <c r="J3" s="327" t="n"/>
    </row>
    <row r="4" ht="20.45" customHeight="1">
      <c r="A4" s="323" t="n"/>
      <c r="B4" s="328" t="inlineStr">
        <is>
          <t>LABA RUGI | TAHUN 2024</t>
        </is>
      </c>
      <c r="F4" s="326" t="n"/>
      <c r="G4" s="329" t="inlineStr">
        <is>
          <t>NERACA |TAHUN YANG BERAKHIR, 31 DESEMBER 2024</t>
        </is>
      </c>
      <c r="H4" s="329" t="n"/>
      <c r="I4" s="329" t="n"/>
      <c r="J4" s="329" t="n"/>
    </row>
    <row r="5" ht="6" customHeight="1">
      <c r="A5" s="323" t="n"/>
      <c r="B5" s="323" t="n"/>
      <c r="C5" s="323" t="n"/>
      <c r="D5" s="323" t="n"/>
      <c r="E5" s="324" t="n"/>
      <c r="F5" s="326" t="n"/>
      <c r="G5" s="326" t="n"/>
      <c r="H5" s="330" t="n"/>
      <c r="I5" s="330" t="n"/>
      <c r="J5" s="330" t="n"/>
    </row>
    <row r="6" ht="15.4" customHeight="1">
      <c r="A6" s="323" t="n"/>
      <c r="B6" s="331" t="n"/>
      <c r="C6" s="332" t="n"/>
      <c r="D6" s="333" t="inlineStr">
        <is>
          <t>PT. Exspan Wireline Indonesia</t>
        </is>
      </c>
      <c r="E6" s="221" t="n"/>
      <c r="F6" s="326" t="n"/>
      <c r="G6" s="334" t="n"/>
      <c r="H6" s="335" t="n"/>
      <c r="I6" s="333" t="inlineStr">
        <is>
          <t>PT. Exspan Wireline Indonesia</t>
        </is>
      </c>
      <c r="J6" s="221" t="n"/>
    </row>
    <row r="7" ht="15.4" customHeight="1">
      <c r="A7" s="323" t="n"/>
      <c r="B7" s="336" t="n"/>
      <c r="C7" s="337" t="n"/>
      <c r="D7" s="338" t="inlineStr">
        <is>
          <t>(Rp)</t>
        </is>
      </c>
      <c r="E7" s="226" t="n"/>
      <c r="F7" s="326" t="n"/>
      <c r="G7" s="339" t="n"/>
      <c r="H7" s="340" t="n"/>
      <c r="I7" s="338" t="inlineStr">
        <is>
          <t>(Rp)</t>
        </is>
      </c>
      <c r="J7" s="226" t="n"/>
    </row>
    <row r="8" ht="15" customHeight="1">
      <c r="A8" s="284" t="n"/>
      <c r="B8" s="341" t="inlineStr">
        <is>
          <t>PENDAPATAN</t>
        </is>
      </c>
      <c r="C8" s="342" t="n"/>
      <c r="D8" s="343" t="n"/>
      <c r="E8" s="344" t="n"/>
      <c r="F8" s="326" t="n"/>
      <c r="G8" s="345" t="inlineStr">
        <is>
          <t>AKTIVA</t>
        </is>
      </c>
      <c r="H8" s="346" t="inlineStr">
        <is>
          <t>AKTIVA</t>
        </is>
      </c>
      <c r="I8" s="347" t="n"/>
      <c r="J8" s="344" t="n"/>
    </row>
    <row r="9" ht="15" customHeight="1">
      <c r="A9" s="284" t="n"/>
      <c r="B9" s="348" t="n"/>
      <c r="C9" s="349" t="inlineStr">
        <is>
          <t>PENDAPATAN LANGSUNG</t>
        </is>
      </c>
      <c r="D9" s="350" t="inlineStr">
        <is>
          <t>Rp</t>
        </is>
      </c>
      <c r="E9" s="351">
        <f>SUM('Revenue-Cost_2024'!F8:F20)</f>
        <v/>
      </c>
      <c r="F9" s="326" t="n"/>
      <c r="G9" s="352" t="inlineStr">
        <is>
          <t>AKTIVA LANCAR</t>
        </is>
      </c>
      <c r="H9" s="353" t="inlineStr">
        <is>
          <t>AKTIVA LANCAR</t>
        </is>
      </c>
      <c r="I9" s="354" t="n"/>
      <c r="J9" s="351" t="n"/>
    </row>
    <row r="10" ht="15" customHeight="1">
      <c r="A10" s="284" t="n"/>
      <c r="B10" s="348" t="n"/>
      <c r="C10" s="349" t="inlineStr">
        <is>
          <t>PENDAPATAN LAIN LAIN</t>
        </is>
      </c>
      <c r="D10" s="350" t="inlineStr">
        <is>
          <t>Rp</t>
        </is>
      </c>
      <c r="E10" s="351">
        <f>SUM('Revenue-Cost_2024'!F21:F21)</f>
        <v/>
      </c>
      <c r="F10" s="326" t="n"/>
      <c r="G10" s="352" t="n"/>
      <c r="H10" s="353" t="inlineStr">
        <is>
          <t xml:space="preserve">  KAS DAN SETARA KAS TAHUN SEBELUMNYA</t>
        </is>
      </c>
      <c r="I10" s="350" t="inlineStr">
        <is>
          <t>Rp</t>
        </is>
      </c>
      <c r="J10" s="351" t="n">
        <v>161401093</v>
      </c>
    </row>
    <row r="11" ht="15" customHeight="1">
      <c r="A11" s="284" t="n"/>
      <c r="B11" s="348" t="n"/>
      <c r="C11" s="349" t="n"/>
      <c r="D11" s="350" t="n"/>
      <c r="E11" s="351" t="n"/>
      <c r="F11" s="326" t="n"/>
      <c r="G11" s="352" t="n"/>
      <c r="H11" s="353" t="inlineStr">
        <is>
          <t xml:space="preserve">  KAS DAN SETARA KAS TAHUN LAPORAN</t>
        </is>
      </c>
      <c r="I11" s="350" t="inlineStr">
        <is>
          <t>Rp</t>
        </is>
      </c>
      <c r="J11" s="351">
        <f>ROUND(E41-'Business Summary'!E13, 0)</f>
        <v/>
      </c>
    </row>
    <row r="12" ht="15" customHeight="1">
      <c r="A12" s="284" t="n"/>
      <c r="B12" s="355" t="inlineStr">
        <is>
          <t>TOTAL PENDAPATAN</t>
        </is>
      </c>
      <c r="C12" s="356" t="n"/>
      <c r="D12" s="357" t="inlineStr">
        <is>
          <t>Rp</t>
        </is>
      </c>
      <c r="E12" s="358">
        <f>SUM(E9:E11)</f>
        <v/>
      </c>
      <c r="F12" s="326" t="n"/>
      <c r="G12" s="352" t="n"/>
      <c r="H12" s="353" t="inlineStr">
        <is>
          <t xml:space="preserve">  PIUTANG USAHA</t>
        </is>
      </c>
      <c r="I12" s="350" t="inlineStr">
        <is>
          <t>Rp</t>
        </is>
      </c>
      <c r="J12" s="351" t="n">
        <v>0</v>
      </c>
    </row>
    <row r="13" ht="15" customHeight="1">
      <c r="A13" s="284" t="n"/>
      <c r="B13" s="348" t="n"/>
      <c r="C13" s="349" t="n"/>
      <c r="D13" s="350" t="n"/>
      <c r="E13" s="351" t="n"/>
      <c r="F13" s="326" t="n"/>
      <c r="G13" s="352" t="n"/>
      <c r="H13" s="353" t="inlineStr">
        <is>
          <t xml:space="preserve">  PAJAK BAYAR DI MUKA (pph23)</t>
        </is>
      </c>
      <c r="I13" s="350" t="inlineStr">
        <is>
          <t>Rp</t>
        </is>
      </c>
      <c r="J13" s="351" t="n">
        <v>0</v>
      </c>
    </row>
    <row r="14" ht="15" customHeight="1">
      <c r="A14" s="284" t="n"/>
      <c r="B14" s="341" t="inlineStr">
        <is>
          <t>BEBAN LANGSUNG</t>
        </is>
      </c>
      <c r="C14" s="342" t="n"/>
      <c r="D14" s="343" t="n"/>
      <c r="E14" s="344" t="n"/>
      <c r="F14" s="326" t="n"/>
      <c r="G14" s="352" t="n"/>
      <c r="H14" s="353" t="inlineStr">
        <is>
          <t xml:space="preserve">  BIAYA BAYAR DI MUKA</t>
        </is>
      </c>
      <c r="I14" s="350" t="inlineStr">
        <is>
          <t>Rp</t>
        </is>
      </c>
      <c r="J14" s="351" t="n">
        <v>0</v>
      </c>
    </row>
    <row r="15" ht="15" customHeight="1">
      <c r="A15" s="284" t="n"/>
      <c r="B15" s="348" t="n"/>
      <c r="C15" s="349" t="inlineStr">
        <is>
          <t>BIAYA INTERPRETASI LOG DATA</t>
        </is>
      </c>
      <c r="D15" s="350" t="inlineStr">
        <is>
          <t>Rp</t>
        </is>
      </c>
      <c r="E15" s="351">
        <f>'Revenue-Cost_2024'!I736</f>
        <v/>
      </c>
      <c r="F15" s="326" t="n"/>
      <c r="G15" s="359" t="n"/>
      <c r="H15" s="353" t="inlineStr">
        <is>
          <t xml:space="preserve">  PIUTANG LAIN LAIN</t>
        </is>
      </c>
      <c r="I15" s="350" t="inlineStr">
        <is>
          <t>Rp</t>
        </is>
      </c>
      <c r="J15" s="351" t="n">
        <v>0</v>
      </c>
    </row>
    <row r="16" ht="15" customHeight="1">
      <c r="A16" s="284" t="n"/>
      <c r="B16" s="348" t="n"/>
      <c r="C16" s="349" t="inlineStr">
        <is>
          <t>BIAYA RESEARCH (R&amp;D)</t>
        </is>
      </c>
      <c r="D16" s="350" t="inlineStr">
        <is>
          <t>Rp</t>
        </is>
      </c>
      <c r="E16" s="351">
        <f>'Revenue-Cost_2024'!J736</f>
        <v/>
      </c>
      <c r="F16" s="326" t="n"/>
      <c r="G16" s="360" t="n"/>
      <c r="H16" s="361" t="inlineStr">
        <is>
          <t>TOTAL AKTIVA LANCAR</t>
        </is>
      </c>
      <c r="I16" s="357" t="inlineStr">
        <is>
          <t>Rp</t>
        </is>
      </c>
      <c r="J16" s="358">
        <f>SUM(J10:J15)</f>
        <v/>
      </c>
    </row>
    <row r="17" ht="15" customHeight="1">
      <c r="A17" s="284" t="n"/>
      <c r="B17" s="348" t="n"/>
      <c r="C17" s="349" t="inlineStr">
        <is>
          <t>BIAYA SEWA PERALATAN</t>
        </is>
      </c>
      <c r="D17" s="350" t="inlineStr">
        <is>
          <t>Rp</t>
        </is>
      </c>
      <c r="E17" s="351">
        <f>'Revenue-Cost_2024'!K736</f>
        <v/>
      </c>
      <c r="F17" s="326" t="n"/>
      <c r="G17" s="345" t="n"/>
      <c r="H17" s="346" t="inlineStr">
        <is>
          <t>ACTIVA TETAP</t>
        </is>
      </c>
      <c r="I17" s="347" t="n"/>
      <c r="J17" s="344" t="n"/>
    </row>
    <row r="18" ht="15" customHeight="1">
      <c r="A18" s="284" t="n"/>
      <c r="B18" s="348" t="n"/>
      <c r="C18" s="349" t="inlineStr">
        <is>
          <t>BIAYA OPERASI</t>
        </is>
      </c>
      <c r="D18" s="350" t="inlineStr">
        <is>
          <t>Rp</t>
        </is>
      </c>
      <c r="E18" s="351">
        <f>'Revenue-Cost_2024'!L736</f>
        <v/>
      </c>
      <c r="F18" s="326" t="n"/>
      <c r="G18" s="352" t="inlineStr">
        <is>
          <t>ACTIVA TETAP</t>
        </is>
      </c>
      <c r="H18" s="353" t="n"/>
      <c r="I18" s="354" t="n"/>
      <c r="J18" s="351" t="n"/>
    </row>
    <row r="19" ht="15" customHeight="1">
      <c r="A19" s="284" t="n"/>
      <c r="B19" s="355" t="inlineStr">
        <is>
          <t>TOTAL BIAYA LANGSUNG</t>
        </is>
      </c>
      <c r="C19" s="356" t="n"/>
      <c r="D19" s="357" t="inlineStr">
        <is>
          <t>Rp</t>
        </is>
      </c>
      <c r="E19" s="358">
        <f>SUM(E15:E18)</f>
        <v/>
      </c>
      <c r="F19" s="326" t="n"/>
      <c r="G19" s="352" t="n"/>
      <c r="H19" s="353" t="n"/>
      <c r="I19" s="354" t="n"/>
      <c r="J19" s="351" t="n"/>
    </row>
    <row r="20" ht="15" customHeight="1">
      <c r="A20" s="284" t="n"/>
      <c r="B20" s="348" t="n"/>
      <c r="C20" s="349" t="n"/>
      <c r="D20" s="350" t="n"/>
      <c r="E20" s="351" t="n"/>
      <c r="F20" s="326" t="n"/>
      <c r="G20" s="352" t="n"/>
      <c r="H20" s="353" t="inlineStr">
        <is>
          <t xml:space="preserve">  INVENTARIS KANTOR</t>
        </is>
      </c>
      <c r="I20" s="350" t="inlineStr">
        <is>
          <t>Rp</t>
        </is>
      </c>
      <c r="J20" s="351" t="n">
        <v>0</v>
      </c>
    </row>
    <row r="21" ht="15" customHeight="1">
      <c r="A21" s="284" t="n"/>
      <c r="B21" s="341" t="inlineStr">
        <is>
          <t>BEBAN TIDAK LANGSUNG</t>
        </is>
      </c>
      <c r="C21" s="342" t="n"/>
      <c r="D21" s="343" t="n"/>
      <c r="E21" s="344" t="n"/>
      <c r="F21" s="326" t="n"/>
      <c r="G21" s="352" t="n"/>
      <c r="H21" s="353" t="n"/>
      <c r="I21" s="354" t="n"/>
      <c r="J21" s="351" t="n"/>
    </row>
    <row r="22" ht="15" customHeight="1">
      <c r="A22" s="284" t="n"/>
      <c r="B22" s="348" t="n"/>
      <c r="C22" s="349" t="inlineStr">
        <is>
          <t>BISNIS DEV</t>
        </is>
      </c>
      <c r="D22" s="350" t="inlineStr">
        <is>
          <t>Rp</t>
        </is>
      </c>
      <c r="E22" s="351">
        <f>'Revenue-Cost_2024'!Q736</f>
        <v/>
      </c>
      <c r="F22" s="326" t="n"/>
      <c r="G22" s="360" t="n"/>
      <c r="H22" s="361" t="inlineStr">
        <is>
          <t>TOTAL AKTIVA TETAP</t>
        </is>
      </c>
      <c r="I22" s="357" t="inlineStr">
        <is>
          <t>Rp</t>
        </is>
      </c>
      <c r="J22" s="358">
        <f>J20</f>
        <v/>
      </c>
    </row>
    <row r="23" ht="15" customHeight="1">
      <c r="A23" s="284" t="n"/>
      <c r="B23" s="355" t="inlineStr">
        <is>
          <t>TOTAL BIAYA TIDAK LANGSUNG</t>
        </is>
      </c>
      <c r="C23" s="356" t="n"/>
      <c r="D23" s="357" t="inlineStr">
        <is>
          <t>Rp</t>
        </is>
      </c>
      <c r="E23" s="358">
        <f>SUM(E22:E22)</f>
        <v/>
      </c>
      <c r="F23" s="326" t="n"/>
      <c r="G23" s="352" t="n"/>
      <c r="H23" s="353" t="n"/>
      <c r="I23" s="354" t="n"/>
      <c r="J23" s="351" t="n"/>
    </row>
    <row r="24" ht="15" customHeight="1">
      <c r="A24" s="284" t="n"/>
      <c r="B24" s="348" t="n"/>
      <c r="C24" s="349" t="n"/>
      <c r="D24" s="350" t="n"/>
      <c r="E24" s="351" t="n"/>
      <c r="F24" s="326" t="n"/>
      <c r="G24" s="345" t="inlineStr">
        <is>
          <t>ACTIVA LAIN LAIN</t>
        </is>
      </c>
      <c r="H24" s="346" t="inlineStr">
        <is>
          <t>ACTIVA LAIN LAIN</t>
        </is>
      </c>
      <c r="I24" s="347" t="n"/>
      <c r="J24" s="344" t="n">
        <v>0</v>
      </c>
    </row>
    <row r="25" ht="15" customHeight="1">
      <c r="A25" s="284" t="n"/>
      <c r="B25" s="341" t="inlineStr">
        <is>
          <t>BIAYA ADMINISTRASI DAN UMUM</t>
        </is>
      </c>
      <c r="C25" s="342" t="n"/>
      <c r="D25" s="343" t="n"/>
      <c r="E25" s="344" t="n"/>
      <c r="F25" s="326" t="n"/>
      <c r="G25" s="360" t="n"/>
      <c r="H25" s="361" t="inlineStr">
        <is>
          <t xml:space="preserve">  TOTAL AKTIVA LAIN LAIN</t>
        </is>
      </c>
      <c r="I25" s="362" t="inlineStr">
        <is>
          <t>Rp</t>
        </is>
      </c>
      <c r="J25" s="358" t="n">
        <v>0</v>
      </c>
    </row>
    <row r="26" ht="15" customHeight="1">
      <c r="A26" s="284" t="n"/>
      <c r="B26" s="348" t="n"/>
      <c r="C26" s="349" t="inlineStr">
        <is>
          <t>ADMINISTRASI</t>
        </is>
      </c>
      <c r="D26" s="350" t="inlineStr">
        <is>
          <t>Rp</t>
        </is>
      </c>
      <c r="E26" s="351">
        <f>'Revenue-Cost_2024'!M736</f>
        <v/>
      </c>
      <c r="F26" s="326" t="n"/>
      <c r="G26" s="352" t="n"/>
      <c r="H26" s="353" t="inlineStr">
        <is>
          <t>TOTAL AKTIVA LAIN LAIN</t>
        </is>
      </c>
      <c r="I26" s="350" t="inlineStr">
        <is>
          <t>Rp</t>
        </is>
      </c>
      <c r="J26" s="351">
        <f>SUM(J25:J25)</f>
        <v/>
      </c>
    </row>
    <row r="27" ht="15" customHeight="1">
      <c r="A27" s="284" t="n"/>
      <c r="B27" s="348" t="n"/>
      <c r="C27" s="349" t="inlineStr">
        <is>
          <t>PEMBELIAN BARANG</t>
        </is>
      </c>
      <c r="D27" s="350" t="inlineStr">
        <is>
          <t>Rp</t>
        </is>
      </c>
      <c r="E27" s="351">
        <f>'Revenue-Cost_2024'!N736</f>
        <v/>
      </c>
      <c r="F27" s="326" t="n"/>
      <c r="G27" s="352" t="n"/>
      <c r="H27" s="353" t="n"/>
      <c r="I27" s="354" t="n"/>
      <c r="J27" s="351" t="n"/>
    </row>
    <row r="28" ht="15" customHeight="1">
      <c r="A28" s="284" t="n"/>
      <c r="B28" s="348" t="n"/>
      <c r="C28" s="349" t="inlineStr">
        <is>
          <t>SEWA KANTOR</t>
        </is>
      </c>
      <c r="D28" s="350" t="inlineStr">
        <is>
          <t>Rp</t>
        </is>
      </c>
      <c r="E28" s="351">
        <f>'Revenue-Cost_2024'!O736</f>
        <v/>
      </c>
      <c r="F28" s="326" t="n"/>
      <c r="G28" s="363" t="inlineStr">
        <is>
          <t>TOTAL AKTIVA</t>
        </is>
      </c>
      <c r="H28" s="356" t="inlineStr">
        <is>
          <t>TOTAL AKTIVA</t>
        </is>
      </c>
      <c r="I28" s="357" t="inlineStr">
        <is>
          <t>Rp</t>
        </is>
      </c>
      <c r="J28" s="358">
        <f>J26+J22+J16</f>
        <v/>
      </c>
    </row>
    <row r="29" ht="15" customHeight="1">
      <c r="A29" s="284" t="n"/>
      <c r="B29" s="348" t="n"/>
      <c r="C29" s="349" t="inlineStr">
        <is>
          <t>KESEHATAN</t>
        </is>
      </c>
      <c r="D29" s="350" t="inlineStr">
        <is>
          <t>Rp</t>
        </is>
      </c>
      <c r="E29" s="351">
        <f>'Revenue-Cost_2024'!P736</f>
        <v/>
      </c>
      <c r="F29" s="326" t="n"/>
      <c r="G29" s="352" t="n"/>
      <c r="H29" s="353" t="n"/>
      <c r="I29" s="354" t="n"/>
      <c r="J29" s="351" t="n"/>
    </row>
    <row r="30" ht="15" customHeight="1">
      <c r="A30" s="284" t="n"/>
      <c r="B30" s="355" t="inlineStr">
        <is>
          <t>TOTAL BIAYA ADMINISTRASI DAN UMUM</t>
        </is>
      </c>
      <c r="C30" s="356" t="n"/>
      <c r="D30" s="357" t="inlineStr">
        <is>
          <t>Rp</t>
        </is>
      </c>
      <c r="E30" s="358">
        <f>SUM(E26:E29)</f>
        <v/>
      </c>
      <c r="F30" s="326" t="n"/>
      <c r="G30" s="345" t="inlineStr">
        <is>
          <t>HUTANG DAN MODAL</t>
        </is>
      </c>
      <c r="H30" s="346" t="inlineStr">
        <is>
          <t>HUTANG DAN MODAL</t>
        </is>
      </c>
      <c r="I30" s="347" t="n"/>
      <c r="J30" s="344" t="n"/>
    </row>
    <row r="31" ht="15" customHeight="1">
      <c r="A31" s="284" t="n"/>
      <c r="B31" s="348" t="n"/>
      <c r="C31" s="349" t="n"/>
      <c r="D31" s="350" t="n"/>
      <c r="E31" s="351" t="n"/>
      <c r="F31" s="326" t="n"/>
      <c r="G31" s="352" t="n"/>
      <c r="H31" s="353" t="n"/>
      <c r="I31" s="354" t="n"/>
      <c r="J31" s="351" t="n"/>
    </row>
    <row r="32" ht="15" customHeight="1">
      <c r="A32" s="284" t="n"/>
      <c r="B32" s="355" t="inlineStr">
        <is>
          <t>TOTAL BIAYA</t>
        </is>
      </c>
      <c r="C32" s="356" t="n"/>
      <c r="D32" s="357" t="inlineStr">
        <is>
          <t>Rp</t>
        </is>
      </c>
      <c r="E32" s="358">
        <f>E19+E23+E30</f>
        <v/>
      </c>
      <c r="F32" s="326" t="n"/>
      <c r="G32" s="345" t="inlineStr">
        <is>
          <t>HUTANG LANCAR</t>
        </is>
      </c>
      <c r="H32" s="346" t="inlineStr">
        <is>
          <t>HUTANG LANCAR</t>
        </is>
      </c>
      <c r="I32" s="347" t="n"/>
      <c r="J32" s="344" t="n"/>
    </row>
    <row r="33" ht="15" customHeight="1">
      <c r="A33" s="284" t="n"/>
      <c r="B33" s="348" t="n"/>
      <c r="C33" s="349" t="n"/>
      <c r="D33" s="350" t="n"/>
      <c r="E33" s="351" t="n"/>
      <c r="F33" s="326" t="n"/>
      <c r="G33" s="352" t="n"/>
      <c r="H33" s="353" t="inlineStr">
        <is>
          <t xml:space="preserve">  HUTANG USAHA</t>
        </is>
      </c>
      <c r="I33" s="350" t="inlineStr">
        <is>
          <t>Rp</t>
        </is>
      </c>
      <c r="J33" s="351" t="n">
        <v>0</v>
      </c>
    </row>
    <row r="34" ht="15" customHeight="1">
      <c r="A34" s="284" t="n"/>
      <c r="B34" s="341" t="inlineStr">
        <is>
          <t>PENDAPATAN/BEBAN LAIN LAIN</t>
        </is>
      </c>
      <c r="C34" s="342" t="n"/>
      <c r="D34" s="343" t="n"/>
      <c r="E34" s="344" t="n"/>
      <c r="F34" s="326" t="n"/>
      <c r="G34" s="352" t="n"/>
      <c r="H34" s="349" t="inlineStr">
        <is>
          <t xml:space="preserve">  HUTANG GAJI</t>
        </is>
      </c>
      <c r="I34" s="350" t="inlineStr">
        <is>
          <t>Rp</t>
        </is>
      </c>
      <c r="J34" s="351" t="n">
        <v>0</v>
      </c>
    </row>
    <row r="35" ht="15" customHeight="1">
      <c r="A35" s="284" t="n"/>
      <c r="B35" s="348" t="n"/>
      <c r="C35" s="349" t="inlineStr">
        <is>
          <t>PENDAPATAN LAIN LAIN</t>
        </is>
      </c>
      <c r="D35" s="350" t="inlineStr">
        <is>
          <t>Rp</t>
        </is>
      </c>
      <c r="E35" s="351" t="n">
        <v>0</v>
      </c>
      <c r="F35" s="326" t="n"/>
      <c r="G35" s="352" t="n"/>
      <c r="H35" s="353" t="inlineStr">
        <is>
          <t xml:space="preserve">  HUTANG PEMEGANG SAHAM</t>
        </is>
      </c>
      <c r="I35" s="350" t="inlineStr">
        <is>
          <t>Rp</t>
        </is>
      </c>
      <c r="J35" s="351" t="n">
        <v>0</v>
      </c>
    </row>
    <row r="36" ht="15" customHeight="1">
      <c r="A36" s="284" t="n"/>
      <c r="B36" s="348" t="n"/>
      <c r="C36" s="349" t="n"/>
      <c r="D36" s="350" t="n"/>
      <c r="E36" s="351" t="n"/>
      <c r="F36" s="326" t="n"/>
      <c r="G36" s="352" t="n"/>
      <c r="H36" s="353" t="inlineStr">
        <is>
          <t xml:space="preserve">  BIAYA YANG MASIH HARUS DI BAYAR</t>
        </is>
      </c>
      <c r="I36" s="350" t="inlineStr">
        <is>
          <t>Rp</t>
        </is>
      </c>
      <c r="J36" s="351" t="n">
        <v>0</v>
      </c>
    </row>
    <row r="37" ht="15" customHeight="1">
      <c r="A37" s="284" t="n"/>
      <c r="B37" s="355" t="inlineStr">
        <is>
          <t>LABA RUGI SEBELUM PAJAK</t>
        </is>
      </c>
      <c r="C37" s="356" t="n"/>
      <c r="D37" s="357" t="inlineStr">
        <is>
          <t>Rp</t>
        </is>
      </c>
      <c r="E37" s="358">
        <f>E12-E32</f>
        <v/>
      </c>
      <c r="F37" s="326" t="n"/>
      <c r="G37" s="348" t="n"/>
      <c r="H37" s="349" t="n"/>
      <c r="I37" s="350" t="n"/>
      <c r="J37" s="351" t="n"/>
    </row>
    <row r="38" ht="15" customHeight="1">
      <c r="A38" s="284" t="n"/>
      <c r="B38" s="348" t="n"/>
      <c r="C38" s="349" t="n"/>
      <c r="D38" s="350" t="n"/>
      <c r="E38" s="351" t="n"/>
      <c r="F38" s="326" t="n"/>
      <c r="G38" s="360" t="n"/>
      <c r="H38" s="361" t="inlineStr">
        <is>
          <t>TOTAL HUTANG LANCAR</t>
        </is>
      </c>
      <c r="I38" s="362" t="inlineStr">
        <is>
          <t>Rp</t>
        </is>
      </c>
      <c r="J38" s="358">
        <f>SUM(J33:J36)</f>
        <v/>
      </c>
    </row>
    <row r="39" ht="15" customHeight="1">
      <c r="A39" s="284" t="n"/>
      <c r="B39" s="355" t="inlineStr">
        <is>
          <t>CORPORATE TAX (PPh 29)</t>
        </is>
      </c>
      <c r="C39" s="356" t="n"/>
      <c r="D39" s="357" t="inlineStr">
        <is>
          <t>Rp</t>
        </is>
      </c>
      <c r="E39" s="358" t="n">
        <v>0</v>
      </c>
      <c r="F39" s="326" t="n"/>
      <c r="G39" s="352" t="n"/>
      <c r="H39" s="353" t="n"/>
      <c r="I39" s="354" t="n"/>
      <c r="J39" s="351" t="n"/>
    </row>
    <row r="40" ht="15" customHeight="1">
      <c r="A40" s="284" t="n"/>
      <c r="B40" s="348" t="n"/>
      <c r="C40" s="349" t="n"/>
      <c r="D40" s="350" t="n"/>
      <c r="E40" s="351" t="n"/>
      <c r="F40" s="326" t="n"/>
      <c r="G40" s="345" t="inlineStr">
        <is>
          <t>MODAL</t>
        </is>
      </c>
      <c r="H40" s="346" t="inlineStr">
        <is>
          <t>MODAL</t>
        </is>
      </c>
      <c r="I40" s="347" t="n"/>
      <c r="J40" s="344" t="n"/>
    </row>
    <row r="41" ht="15" customHeight="1">
      <c r="A41" s="284" t="n"/>
      <c r="B41" s="364" t="inlineStr">
        <is>
          <t>LABA / RUGI BERSIH</t>
        </is>
      </c>
      <c r="C41" s="365" t="n"/>
      <c r="D41" s="366" t="inlineStr">
        <is>
          <t>Rp</t>
        </is>
      </c>
      <c r="E41" s="367">
        <f>E37-E39</f>
        <v/>
      </c>
      <c r="F41" s="326" t="n"/>
      <c r="G41" s="352" t="n"/>
      <c r="H41" s="353" t="inlineStr">
        <is>
          <t xml:space="preserve">  MODAL SAHAM</t>
        </is>
      </c>
      <c r="I41" s="350" t="inlineStr">
        <is>
          <t>Rp</t>
        </is>
      </c>
      <c r="J41" s="351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48" t="n"/>
      <c r="H42" s="349" t="inlineStr">
        <is>
          <t xml:space="preserve">  LABA DI TAHAN</t>
        </is>
      </c>
      <c r="I42" s="350" t="inlineStr">
        <is>
          <t>Rp</t>
        </is>
      </c>
      <c r="J42" s="351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48" t="n"/>
      <c r="H43" s="349" t="inlineStr">
        <is>
          <t xml:space="preserve">  TOTAL LABA (RUGI) DITAHAN</t>
        </is>
      </c>
      <c r="I43" s="350" t="inlineStr">
        <is>
          <t>Rp</t>
        </is>
      </c>
      <c r="J43" s="351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55" t="n"/>
      <c r="H44" s="356" t="inlineStr">
        <is>
          <t>TOTAL MODAL</t>
        </is>
      </c>
      <c r="I44" s="357" t="inlineStr">
        <is>
          <t>Rp</t>
        </is>
      </c>
      <c r="J44" s="358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48" t="n"/>
      <c r="H45" s="349" t="n"/>
      <c r="I45" s="350" t="n"/>
      <c r="J45" s="351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64" t="n"/>
      <c r="H46" s="365" t="inlineStr">
        <is>
          <t>TOTAL HUTANG DAN MODAL</t>
        </is>
      </c>
      <c r="I46" s="366" t="inlineStr">
        <is>
          <t>Rp</t>
        </is>
      </c>
      <c r="J46" s="367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68" t="inlineStr">
        <is>
          <t>Nama Lengkap</t>
        </is>
      </c>
      <c r="F49" s="284" t="n"/>
      <c r="G49" s="368" t="inlineStr">
        <is>
          <t>Nama Lengkap</t>
        </is>
      </c>
    </row>
    <row r="50" ht="15.6" customHeight="1">
      <c r="A50" s="284" t="n"/>
      <c r="B50" s="369" t="inlineStr">
        <is>
          <t>Direktur</t>
        </is>
      </c>
      <c r="F50" s="284" t="n"/>
      <c r="G50" s="369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70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3" t="n"/>
      <c r="B1" s="323" t="n"/>
      <c r="C1" s="323" t="n"/>
      <c r="D1" s="323" t="n"/>
      <c r="E1" s="324" t="n"/>
    </row>
    <row r="2" ht="37.25" customHeight="1">
      <c r="A2" s="323" t="n"/>
      <c r="B2" s="323" t="n"/>
      <c r="C2" s="323" t="n"/>
      <c r="D2" s="323" t="n"/>
      <c r="E2" s="324" t="n"/>
    </row>
    <row r="3" ht="33.6" customHeight="1">
      <c r="A3" s="323" t="n"/>
      <c r="B3" s="325" t="inlineStr">
        <is>
          <t>PT. EXSPAN WIRELINE INDONESIA</t>
        </is>
      </c>
      <c r="F3" s="326" t="n"/>
    </row>
    <row r="4" ht="20.45" customHeight="1">
      <c r="A4" s="323" t="n"/>
      <c r="B4" s="328" t="inlineStr">
        <is>
          <t>BUSINESS SUMMARY | TAHUN 2024</t>
        </is>
      </c>
      <c r="F4" s="326" t="n"/>
    </row>
    <row r="5" ht="6" customHeight="1">
      <c r="A5" s="323" t="n"/>
      <c r="B5" s="323" t="n"/>
      <c r="C5" s="323" t="n"/>
      <c r="D5" s="323" t="n"/>
      <c r="E5" s="324" t="n"/>
      <c r="F5" s="326" t="n"/>
    </row>
    <row r="6" ht="20" customHeight="1">
      <c r="A6" s="323" t="n"/>
      <c r="B6" s="371" t="inlineStr">
        <is>
          <t>#</t>
        </is>
      </c>
      <c r="C6" s="371" t="inlineStr">
        <is>
          <t>Items</t>
        </is>
      </c>
      <c r="D6" s="372" t="inlineStr">
        <is>
          <t>Amount</t>
        </is>
      </c>
      <c r="E6" s="227" t="n"/>
      <c r="F6" s="326" t="n"/>
    </row>
    <row r="7" ht="20" customHeight="1">
      <c r="A7" s="323" t="n"/>
      <c r="B7" s="373" t="n">
        <v>1</v>
      </c>
      <c r="C7" s="374" t="inlineStr">
        <is>
          <t>Revenue</t>
        </is>
      </c>
      <c r="D7" s="375" t="inlineStr">
        <is>
          <t>Rp</t>
        </is>
      </c>
      <c r="E7" s="376">
        <f>SUM('Revenue-Cost_2024'!F8:F21)</f>
        <v/>
      </c>
      <c r="F7" s="326" t="n"/>
    </row>
    <row r="8" ht="20" customHeight="1">
      <c r="A8" s="323" t="n"/>
      <c r="B8" s="373" t="n">
        <v>2</v>
      </c>
      <c r="C8" s="374" t="inlineStr">
        <is>
          <t>Revenue Diterima (Setelah Pajak)</t>
        </is>
      </c>
      <c r="D8" s="375" t="inlineStr">
        <is>
          <t>Rp</t>
        </is>
      </c>
      <c r="E8" s="376">
        <f>E7-SUM('Revenue-Cost_2024'!N8:N21)</f>
        <v/>
      </c>
      <c r="F8" s="326" t="n"/>
    </row>
    <row r="9" ht="20" customHeight="1">
      <c r="A9" s="323" t="n"/>
      <c r="B9" s="373" t="n">
        <v>3</v>
      </c>
      <c r="C9" s="374" t="inlineStr">
        <is>
          <t>Biaya</t>
        </is>
      </c>
      <c r="D9" s="375" t="inlineStr">
        <is>
          <t>Rp</t>
        </is>
      </c>
      <c r="E9" s="376">
        <f>SUM('Revenue-Cost_2024'!I736:Q736)</f>
        <v/>
      </c>
      <c r="F9" s="326" t="n"/>
    </row>
    <row r="10" ht="20" customHeight="1">
      <c r="A10" s="323" t="n"/>
      <c r="B10" s="373" t="n">
        <v>4</v>
      </c>
      <c r="C10" s="374" t="inlineStr">
        <is>
          <t>Profit SebelumTax</t>
        </is>
      </c>
      <c r="D10" s="375" t="inlineStr">
        <is>
          <t>Rp</t>
        </is>
      </c>
      <c r="E10" s="376">
        <f>E7-E9</f>
        <v/>
      </c>
      <c r="F10" s="326" t="n"/>
    </row>
    <row r="11" ht="20" customHeight="1">
      <c r="A11" s="323" t="n"/>
      <c r="B11" s="373" t="n">
        <v>5</v>
      </c>
      <c r="C11" s="374" t="inlineStr">
        <is>
          <t>PPh Badan (22%*50%)</t>
        </is>
      </c>
      <c r="D11" s="375" t="inlineStr">
        <is>
          <t>Rp</t>
        </is>
      </c>
      <c r="E11" s="376">
        <f>E10*22%*50%</f>
        <v/>
      </c>
      <c r="F11" s="326" t="n"/>
    </row>
    <row r="12" ht="20" customHeight="1">
      <c r="A12" s="323" t="n"/>
      <c r="B12" s="373" t="n">
        <v>6</v>
      </c>
      <c r="C12" s="374" t="inlineStr">
        <is>
          <t>PPh 23 Dipotong oleh client</t>
        </is>
      </c>
      <c r="D12" s="375" t="inlineStr">
        <is>
          <t>Rp</t>
        </is>
      </c>
      <c r="E12" s="376">
        <f>SUM('Revenue-Cost_2024'!N8:N21)</f>
        <v/>
      </c>
      <c r="F12" s="326" t="n"/>
    </row>
    <row r="13" ht="20" customHeight="1">
      <c r="A13" s="323" t="n"/>
      <c r="B13" s="373" t="n">
        <v>7</v>
      </c>
      <c r="C13" s="374" t="inlineStr">
        <is>
          <t>Kekurangan Bayar PPh Badan</t>
        </is>
      </c>
      <c r="D13" s="375" t="inlineStr">
        <is>
          <t>Rp</t>
        </is>
      </c>
      <c r="E13" s="377">
        <f>E11-E12</f>
        <v/>
      </c>
      <c r="F13" s="326" t="n"/>
    </row>
    <row r="14" ht="20" customHeight="1">
      <c r="A14" s="323" t="n"/>
      <c r="B14" s="373" t="n">
        <v>8</v>
      </c>
      <c r="C14" s="374" t="inlineStr">
        <is>
          <t>Profit After Tax</t>
        </is>
      </c>
      <c r="D14" s="375" t="inlineStr">
        <is>
          <t>Rp</t>
        </is>
      </c>
      <c r="E14" s="376">
        <f>E10-E13</f>
        <v/>
      </c>
      <c r="F14" s="326" t="n"/>
    </row>
    <row r="15" ht="20" customHeight="1">
      <c r="A15" s="323" t="n"/>
      <c r="B15" s="373" t="n">
        <v>9</v>
      </c>
      <c r="C15" s="374" t="inlineStr">
        <is>
          <t>Deviden Dibagi</t>
        </is>
      </c>
      <c r="D15" s="375" t="inlineStr">
        <is>
          <t>Rp</t>
        </is>
      </c>
      <c r="E15" s="376">
        <f>E14-E16</f>
        <v/>
      </c>
      <c r="F15" s="326" t="n"/>
    </row>
    <row r="16" ht="20" customHeight="1">
      <c r="A16" s="323" t="n"/>
      <c r="B16" s="373" t="n">
        <v>10</v>
      </c>
      <c r="C16" s="374" t="inlineStr">
        <is>
          <t>Profit Ditahan</t>
        </is>
      </c>
      <c r="D16" s="375" t="inlineStr">
        <is>
          <t>Rp</t>
        </is>
      </c>
      <c r="E16" s="376" t="n">
        <v>0</v>
      </c>
      <c r="F16" s="326" t="n"/>
    </row>
    <row r="17" ht="13.9" customHeight="1">
      <c r="A17" s="323" t="n"/>
      <c r="B17" s="323" t="n"/>
      <c r="C17" s="323" t="n"/>
      <c r="D17" s="323" t="n"/>
      <c r="E17" s="324" t="n"/>
      <c r="F17" s="326" t="n"/>
    </row>
    <row r="18" ht="17.65" customHeight="1">
      <c r="A18" s="323" t="n"/>
      <c r="B18" s="378" t="inlineStr">
        <is>
          <t>DEVIDEN</t>
        </is>
      </c>
      <c r="F18" s="326" t="n"/>
    </row>
    <row r="19" ht="20" customHeight="1">
      <c r="A19" s="323" t="n"/>
      <c r="B19" s="379" t="inlineStr">
        <is>
          <t>#</t>
        </is>
      </c>
      <c r="C19" s="379" t="inlineStr">
        <is>
          <t>Nama Lengkap</t>
        </is>
      </c>
      <c r="D19" s="380" t="inlineStr">
        <is>
          <t>Rp</t>
        </is>
      </c>
      <c r="E19" s="381" t="inlineStr">
        <is>
          <t>Amount</t>
        </is>
      </c>
      <c r="F19" s="326" t="n"/>
      <c r="G19" s="382" t="inlineStr"/>
    </row>
    <row r="20" ht="20" customHeight="1">
      <c r="A20" s="323" t="n"/>
      <c r="B20" s="383" t="n">
        <v>1</v>
      </c>
      <c r="C20" s="384" t="inlineStr">
        <is>
          <t>Alan Muhadjir</t>
        </is>
      </c>
      <c r="D20" s="385" t="inlineStr">
        <is>
          <t>Rp</t>
        </is>
      </c>
      <c r="E20" s="386">
        <f>IF(C20="","",ROUND($E$15/COUNTA($C$20:$C$21), 0))</f>
        <v/>
      </c>
      <c r="F20" s="387" t="n"/>
      <c r="G20" s="388" t="inlineStr">
        <is>
          <t>Pajak 10%</t>
        </is>
      </c>
    </row>
    <row r="21" ht="20" customHeight="1">
      <c r="A21" s="389" t="n"/>
      <c r="B21" s="390" t="n">
        <v>2</v>
      </c>
      <c r="C21" s="391" t="inlineStr">
        <is>
          <t>Anevril Chairulsyah</t>
        </is>
      </c>
      <c r="D21" s="392" t="inlineStr">
        <is>
          <t>Rp</t>
        </is>
      </c>
      <c r="E21" s="393">
        <f>IF(C21="","",ROUND($E$15/COUNTA($C$20:$C$21), 0))</f>
        <v/>
      </c>
      <c r="F21" s="387" t="n"/>
      <c r="G21" s="394" t="inlineStr">
        <is>
          <t>Pajak 10%</t>
        </is>
      </c>
    </row>
    <row r="22" ht="14.25" customHeight="1">
      <c r="A22" s="389" t="n"/>
      <c r="B22" s="394" t="n"/>
      <c r="C22" s="394" t="n"/>
      <c r="D22" s="394" t="n"/>
      <c r="E22" s="394" t="n"/>
      <c r="F22" s="387" t="n"/>
      <c r="G22" s="394" t="n"/>
    </row>
    <row r="23">
      <c r="B23" s="394" t="n"/>
      <c r="C23" s="394" t="n"/>
      <c r="D23" s="394" t="n"/>
      <c r="E23" s="394" t="n"/>
      <c r="F23" s="394" t="n"/>
      <c r="G23" s="394" t="n"/>
    </row>
    <row r="24">
      <c r="B24" s="394" t="n"/>
      <c r="C24" s="394" t="n"/>
      <c r="D24" s="394" t="n"/>
      <c r="E24" s="394" t="n"/>
      <c r="F24" s="394" t="n"/>
      <c r="G24" s="394" t="n"/>
    </row>
    <row r="25">
      <c r="B25" s="394" t="n"/>
      <c r="C25" s="394" t="n"/>
      <c r="D25" s="394" t="n"/>
      <c r="E25" s="394" t="n"/>
      <c r="F25" s="394" t="n"/>
      <c r="G25" s="394" t="n"/>
    </row>
    <row r="26">
      <c r="B26" s="394" t="n"/>
      <c r="C26" s="394" t="n"/>
      <c r="D26" s="394" t="n"/>
      <c r="E26" s="394" t="n"/>
      <c r="F26" s="394" t="n"/>
      <c r="G26" s="394" t="n"/>
    </row>
    <row r="27">
      <c r="B27" s="394" t="n"/>
      <c r="C27" s="394" t="n"/>
      <c r="D27" s="394" t="n"/>
      <c r="E27" s="394" t="n"/>
      <c r="F27" s="394" t="n"/>
      <c r="G27" s="394" t="n"/>
    </row>
    <row r="28">
      <c r="B28" s="394" t="n"/>
      <c r="C28" s="394" t="n"/>
      <c r="D28" s="394" t="n"/>
      <c r="E28" s="394" t="n"/>
      <c r="F28" s="394" t="n"/>
      <c r="G28" s="394" t="n"/>
    </row>
    <row r="29">
      <c r="B29" s="394" t="n"/>
      <c r="C29" s="394" t="n"/>
      <c r="D29" s="394" t="n"/>
      <c r="E29" s="394" t="n"/>
      <c r="F29" s="394" t="n"/>
      <c r="G29" s="394" t="n"/>
    </row>
    <row r="30">
      <c r="B30" s="394" t="n"/>
      <c r="C30" s="394" t="n"/>
      <c r="D30" s="394" t="n"/>
      <c r="E30" s="394" t="n"/>
      <c r="F30" s="394" t="n"/>
      <c r="G30" s="394" t="n"/>
    </row>
    <row r="31">
      <c r="B31" s="394" t="n"/>
      <c r="C31" s="394" t="n"/>
      <c r="D31" s="394" t="n"/>
      <c r="E31" s="394" t="n"/>
      <c r="F31" s="394" t="n"/>
      <c r="G31" s="394" t="n"/>
    </row>
    <row r="32">
      <c r="B32" s="394" t="n"/>
      <c r="C32" s="394" t="n"/>
      <c r="D32" s="394" t="n"/>
      <c r="E32" s="394" t="n"/>
      <c r="F32" s="394" t="n"/>
      <c r="G32" s="394" t="n"/>
    </row>
    <row r="33">
      <c r="B33" s="394" t="n"/>
      <c r="C33" s="394" t="n"/>
      <c r="D33" s="394" t="n"/>
      <c r="E33" s="394" t="n"/>
      <c r="F33" s="394" t="n"/>
      <c r="G33" s="394" t="n"/>
    </row>
    <row r="34">
      <c r="B34" s="394" t="n"/>
      <c r="C34" s="394" t="n"/>
      <c r="D34" s="394" t="n"/>
      <c r="E34" s="394" t="n"/>
      <c r="F34" s="394" t="n"/>
      <c r="G34" s="394" t="n"/>
    </row>
    <row r="35">
      <c r="B35" s="394" t="n"/>
      <c r="C35" s="394" t="n"/>
      <c r="D35" s="394" t="n"/>
      <c r="E35" s="394" t="n"/>
      <c r="F35" s="394" t="n"/>
      <c r="G35" s="394" t="n"/>
    </row>
    <row r="36">
      <c r="B36" s="394" t="n"/>
      <c r="C36" s="394" t="n"/>
      <c r="D36" s="394" t="n"/>
      <c r="E36" s="394" t="n"/>
      <c r="F36" s="394" t="n"/>
      <c r="G36" s="394" t="n"/>
    </row>
    <row r="37">
      <c r="B37" s="394" t="n"/>
      <c r="C37" s="394" t="n"/>
      <c r="D37" s="394" t="n"/>
      <c r="E37" s="394" t="n"/>
      <c r="F37" s="394" t="n"/>
      <c r="G37" s="394" t="n"/>
    </row>
    <row r="38">
      <c r="B38" s="394" t="n"/>
      <c r="C38" s="394" t="n"/>
      <c r="D38" s="394" t="n"/>
      <c r="E38" s="394" t="n"/>
      <c r="F38" s="394" t="n"/>
      <c r="G38" s="394" t="n"/>
    </row>
    <row r="39">
      <c r="B39" s="394" t="n"/>
      <c r="C39" s="394" t="n"/>
      <c r="D39" s="394" t="n"/>
      <c r="E39" s="394" t="n"/>
      <c r="F39" s="394" t="n"/>
      <c r="G39" s="394" t="n"/>
    </row>
    <row r="40">
      <c r="B40" s="394" t="n"/>
      <c r="C40" s="394" t="n"/>
      <c r="D40" s="394" t="n"/>
      <c r="E40" s="394" t="n"/>
      <c r="F40" s="394" t="n"/>
      <c r="G40" s="394" t="n"/>
    </row>
    <row r="41">
      <c r="B41" s="394" t="n"/>
      <c r="C41" s="394" t="n"/>
      <c r="D41" s="394" t="n"/>
      <c r="E41" s="394" t="n"/>
      <c r="F41" s="394" t="n"/>
      <c r="G41" s="394" t="n"/>
    </row>
    <row r="42">
      <c r="B42" s="394" t="n"/>
      <c r="C42" s="394" t="n"/>
      <c r="D42" s="394" t="n"/>
      <c r="E42" s="394" t="n"/>
      <c r="F42" s="394" t="n"/>
      <c r="G42" s="394" t="n"/>
    </row>
    <row r="43">
      <c r="B43" s="394" t="n"/>
      <c r="C43" s="394" t="n"/>
      <c r="D43" s="394" t="n"/>
      <c r="E43" s="394" t="n"/>
      <c r="F43" s="394" t="n"/>
      <c r="G43" s="394" t="n"/>
    </row>
    <row r="44">
      <c r="B44" s="394" t="n"/>
      <c r="C44" s="394" t="n"/>
      <c r="D44" s="394" t="n"/>
      <c r="E44" s="394" t="n"/>
      <c r="F44" s="394" t="n"/>
      <c r="G44" s="394" t="n"/>
    </row>
    <row r="45">
      <c r="B45" s="394" t="n"/>
      <c r="C45" s="394" t="n"/>
      <c r="D45" s="394" t="n"/>
      <c r="E45" s="394" t="n"/>
      <c r="F45" s="394" t="n"/>
      <c r="G45" s="394" t="n"/>
    </row>
    <row r="46">
      <c r="B46" s="394" t="n"/>
      <c r="C46" s="394" t="n"/>
      <c r="D46" s="394" t="n"/>
      <c r="E46" s="394" t="n"/>
      <c r="F46" s="394" t="n"/>
      <c r="G46" s="394" t="n"/>
    </row>
    <row r="47">
      <c r="B47" s="394" t="n"/>
      <c r="C47" s="394" t="n"/>
      <c r="D47" s="394" t="n"/>
      <c r="E47" s="394" t="n"/>
      <c r="F47" s="394" t="n"/>
      <c r="G47" s="394" t="n"/>
    </row>
    <row r="48">
      <c r="B48" s="394" t="n"/>
      <c r="C48" s="394" t="n"/>
      <c r="D48" s="394" t="n"/>
      <c r="E48" s="394" t="n"/>
      <c r="F48" s="394" t="n"/>
      <c r="G48" s="394" t="n"/>
    </row>
    <row r="49">
      <c r="B49" s="394" t="n"/>
      <c r="C49" s="394" t="n"/>
      <c r="D49" s="394" t="n"/>
      <c r="E49" s="394" t="n"/>
      <c r="F49" s="394" t="n"/>
      <c r="G49" s="394" t="n"/>
    </row>
    <row r="50">
      <c r="B50" s="394" t="n"/>
      <c r="C50" s="394" t="n"/>
      <c r="D50" s="394" t="n"/>
      <c r="E50" s="394" t="n"/>
      <c r="F50" s="394" t="n"/>
      <c r="G50" s="394" t="n"/>
    </row>
    <row r="51">
      <c r="B51" s="394" t="n"/>
      <c r="C51" s="394" t="n"/>
      <c r="D51" s="394" t="n"/>
      <c r="E51" s="394" t="n"/>
      <c r="F51" s="394" t="n"/>
      <c r="G51" s="394" t="n"/>
    </row>
    <row r="52">
      <c r="B52" s="394" t="n"/>
      <c r="C52" s="394" t="n"/>
      <c r="D52" s="394" t="n"/>
      <c r="E52" s="394" t="n"/>
      <c r="F52" s="394" t="n"/>
      <c r="G52" s="394" t="n"/>
    </row>
    <row r="53">
      <c r="B53" s="394" t="n"/>
      <c r="C53" s="394" t="n"/>
      <c r="D53" s="394" t="n"/>
      <c r="E53" s="394" t="n"/>
      <c r="F53" s="394" t="n"/>
      <c r="G53" s="394" t="n"/>
    </row>
    <row r="54">
      <c r="B54" s="394" t="n"/>
      <c r="C54" s="394" t="n"/>
      <c r="D54" s="394" t="n"/>
      <c r="E54" s="394" t="n"/>
      <c r="F54" s="394" t="n"/>
      <c r="G54" s="394" t="n"/>
    </row>
    <row r="55">
      <c r="B55" s="394" t="n"/>
      <c r="C55" s="394" t="n"/>
      <c r="D55" s="394" t="n"/>
      <c r="E55" s="394" t="n"/>
      <c r="F55" s="394" t="n"/>
      <c r="G55" s="394" t="n"/>
    </row>
    <row r="56">
      <c r="B56" s="394" t="n"/>
      <c r="C56" s="394" t="n"/>
      <c r="D56" s="394" t="n"/>
      <c r="E56" s="394" t="n"/>
      <c r="F56" s="394" t="n"/>
      <c r="G56" s="394" t="n"/>
    </row>
    <row r="57">
      <c r="B57" s="394" t="n"/>
      <c r="C57" s="394" t="n"/>
      <c r="D57" s="394" t="n"/>
      <c r="E57" s="394" t="n"/>
      <c r="F57" s="394" t="n"/>
      <c r="G57" s="394" t="n"/>
    </row>
    <row r="58">
      <c r="B58" s="394" t="n"/>
      <c r="C58" s="394" t="n"/>
      <c r="D58" s="394" t="n"/>
      <c r="E58" s="394" t="n"/>
      <c r="F58" s="394" t="n"/>
      <c r="G58" s="394" t="n"/>
    </row>
    <row r="59">
      <c r="B59" s="394" t="n"/>
      <c r="C59" s="394" t="n"/>
      <c r="D59" s="394" t="n"/>
      <c r="E59" s="394" t="n"/>
      <c r="F59" s="394" t="n"/>
      <c r="G59" s="394" t="n"/>
    </row>
    <row r="60">
      <c r="B60" s="394" t="n"/>
      <c r="C60" s="394" t="n"/>
      <c r="D60" s="394" t="n"/>
      <c r="E60" s="394" t="n"/>
      <c r="F60" s="394" t="n"/>
      <c r="G60" s="394" t="n"/>
    </row>
    <row r="61">
      <c r="B61" s="394" t="n"/>
      <c r="C61" s="394" t="n"/>
      <c r="D61" s="394" t="n"/>
      <c r="E61" s="394" t="n"/>
      <c r="F61" s="394" t="n"/>
      <c r="G61" s="394" t="n"/>
    </row>
    <row r="62">
      <c r="B62" s="394" t="n"/>
      <c r="C62" s="394" t="n"/>
      <c r="D62" s="394" t="n"/>
      <c r="E62" s="394" t="n"/>
      <c r="F62" s="394" t="n"/>
      <c r="G62" s="394" t="n"/>
    </row>
    <row r="63" ht="64.5" customHeight="1">
      <c r="B63" s="394" t="n"/>
      <c r="C63" s="394" t="n"/>
      <c r="D63" s="394" t="n"/>
      <c r="E63" s="394" t="n"/>
      <c r="F63" s="394" t="n"/>
      <c r="G63" s="394" t="n"/>
    </row>
    <row r="64">
      <c r="B64" s="394" t="n"/>
      <c r="C64" s="394" t="n"/>
      <c r="D64" s="394" t="n"/>
      <c r="E64" s="394" t="n"/>
      <c r="F64" s="394" t="n"/>
      <c r="G64" s="394" t="n"/>
    </row>
    <row r="65">
      <c r="B65" s="394" t="n"/>
      <c r="C65" s="394" t="n"/>
      <c r="D65" s="394" t="n"/>
      <c r="E65" s="394" t="n"/>
      <c r="F65" s="394" t="n"/>
      <c r="G65" s="394" t="n"/>
    </row>
    <row r="66">
      <c r="B66" s="394" t="n"/>
      <c r="C66" s="394" t="n"/>
      <c r="D66" s="394" t="n"/>
      <c r="E66" s="394" t="n"/>
      <c r="F66" s="394" t="n"/>
      <c r="G66" s="394" t="n"/>
    </row>
    <row r="67">
      <c r="B67" s="394" t="n"/>
      <c r="C67" s="394" t="n"/>
      <c r="D67" s="394" t="n"/>
      <c r="E67" s="394" t="n"/>
      <c r="F67" s="394" t="n"/>
      <c r="G67" s="394" t="n"/>
    </row>
    <row r="68">
      <c r="B68" s="394" t="n"/>
      <c r="C68" s="394" t="n"/>
      <c r="D68" s="394" t="n"/>
      <c r="E68" s="394" t="n"/>
      <c r="F68" s="394" t="n"/>
      <c r="G68" s="394" t="n"/>
    </row>
    <row r="69">
      <c r="B69" s="394" t="n"/>
      <c r="C69" s="394" t="n"/>
      <c r="D69" s="394" t="n"/>
      <c r="E69" s="394" t="n"/>
      <c r="F69" s="394" t="n"/>
      <c r="G69" s="394" t="n"/>
    </row>
    <row r="70">
      <c r="B70" s="394" t="n"/>
      <c r="C70" s="394" t="n"/>
      <c r="D70" s="394" t="n"/>
      <c r="E70" s="394" t="n"/>
      <c r="F70" s="394" t="n"/>
      <c r="G70" s="394" t="n"/>
    </row>
    <row r="71">
      <c r="B71" s="394" t="n"/>
      <c r="C71" s="394" t="n"/>
      <c r="D71" s="394" t="n"/>
      <c r="E71" s="394" t="n"/>
      <c r="F71" s="394" t="n"/>
      <c r="G71" s="394" t="n"/>
    </row>
    <row r="72">
      <c r="B72" s="394" t="n"/>
      <c r="C72" s="394" t="n"/>
      <c r="D72" s="394" t="n"/>
      <c r="E72" s="394" t="n"/>
      <c r="F72" s="394" t="n"/>
      <c r="G72" s="394" t="n"/>
    </row>
    <row r="73">
      <c r="B73" s="394" t="n"/>
      <c r="C73" s="394" t="n"/>
      <c r="D73" s="394" t="n"/>
      <c r="E73" s="394" t="n"/>
      <c r="F73" s="394" t="n"/>
      <c r="G73" s="394" t="n"/>
    </row>
    <row r="74">
      <c r="B74" s="394" t="n"/>
      <c r="C74" s="394" t="n"/>
      <c r="D74" s="394" t="n"/>
      <c r="E74" s="394" t="n"/>
      <c r="F74" s="394" t="n"/>
      <c r="G74" s="394" t="n"/>
    </row>
    <row r="75">
      <c r="B75" s="394" t="n"/>
      <c r="C75" s="394" t="n"/>
      <c r="D75" s="394" t="n"/>
      <c r="E75" s="394" t="n"/>
      <c r="F75" s="394" t="n"/>
      <c r="G75" s="394" t="n"/>
    </row>
    <row r="76">
      <c r="B76" s="394" t="n"/>
      <c r="C76" s="394" t="n"/>
      <c r="D76" s="394" t="n"/>
      <c r="E76" s="394" t="n"/>
      <c r="F76" s="394" t="n"/>
      <c r="G76" s="394" t="n"/>
    </row>
    <row r="77">
      <c r="B77" s="394" t="n"/>
      <c r="C77" s="394" t="n"/>
      <c r="D77" s="394" t="n"/>
      <c r="E77" s="394" t="n"/>
      <c r="F77" s="394" t="n"/>
      <c r="G77" s="394" t="n"/>
    </row>
    <row r="78">
      <c r="B78" s="394" t="n"/>
      <c r="C78" s="394" t="n"/>
      <c r="D78" s="394" t="n"/>
      <c r="E78" s="394" t="n"/>
      <c r="F78" s="394" t="n"/>
      <c r="G78" s="394" t="n"/>
    </row>
    <row r="79">
      <c r="B79" s="394" t="n"/>
      <c r="C79" s="394" t="n"/>
      <c r="D79" s="394" t="n"/>
      <c r="E79" s="394" t="n"/>
      <c r="F79" s="394" t="n"/>
      <c r="G79" s="394" t="n"/>
    </row>
    <row r="80">
      <c r="B80" s="394" t="n"/>
      <c r="C80" s="394" t="n"/>
      <c r="D80" s="394" t="n"/>
      <c r="E80" s="394" t="n"/>
      <c r="F80" s="394" t="n"/>
      <c r="G80" s="39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2026-05-11T09:05:10Z</dcterms:modified>
  <cp:lastModifiedBy>Diofavian - Student</cp:lastModifiedBy>
</cp:coreProperties>
</file>