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yyyy-mm-dd h:mm:ss"/>
    <numFmt numFmtId="173" formatCode="dd-mmm-yy"/>
    <numFmt numFmtId="174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b val="1"/>
      <u val="single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5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165" fontId="1" fillId="0" borderId="0" pivotButton="0" quotePrefix="0" xfId="0"/>
    <xf numFmtId="3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0" fontId="8" fillId="0" borderId="15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0" fontId="8" fillId="0" borderId="15" pivotButton="0" quotePrefix="0" xfId="0"/>
    <xf numFmtId="173" fontId="28" fillId="11" borderId="16" applyAlignment="1" pivotButton="0" quotePrefix="0" xfId="0">
      <alignment horizontal="right" vertical="center"/>
    </xf>
    <xf numFmtId="0" fontId="28" fillId="11" borderId="16" applyAlignment="1" pivotButton="0" quotePrefix="0" xfId="0">
      <alignment horizontal="center" vertical="center"/>
    </xf>
    <xf numFmtId="0" fontId="28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3" fontId="10" fillId="11" borderId="16" pivotButton="0" quotePrefix="0" xfId="0"/>
    <xf numFmtId="165" fontId="10" fillId="11" borderId="16" pivotButton="0" quotePrefix="0" xfId="0"/>
    <xf numFmtId="15" fontId="10" fillId="10" borderId="16" pivotButton="0" quotePrefix="0" xfId="0"/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/>
    </xf>
    <xf numFmtId="0" fontId="0" fillId="10" borderId="16" pivotButton="0" quotePrefix="0" xfId="0"/>
    <xf numFmtId="165" fontId="10" fillId="10" borderId="16" pivotButton="0" quotePrefix="0" xfId="0"/>
    <xf numFmtId="0" fontId="10" fillId="10" borderId="16" pivotButton="0" quotePrefix="0" xfId="0"/>
    <xf numFmtId="165" fontId="10" fillId="10" borderId="16" pivotButton="0" quotePrefix="0" xfId="1"/>
    <xf numFmtId="15" fontId="10" fillId="0" borderId="15" pivotButton="0" quotePrefix="0" xfId="0"/>
    <xf numFmtId="165" fontId="10" fillId="0" borderId="15" pivotButton="0" quotePrefix="0" xfId="1"/>
    <xf numFmtId="15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horizontal="center" vertical="center"/>
    </xf>
    <xf numFmtId="0" fontId="29" fillId="12" borderId="16" applyAlignment="1" pivotButton="0" quotePrefix="0" xfId="0">
      <alignment horizontal="left" vertical="center"/>
    </xf>
    <xf numFmtId="0" fontId="29" fillId="12" borderId="16" applyAlignment="1" pivotButton="0" quotePrefix="0" xfId="0">
      <alignment vertical="center"/>
    </xf>
    <xf numFmtId="165" fontId="29" fillId="12" borderId="16" applyAlignment="1" pivotButton="0" quotePrefix="0" xfId="0">
      <alignment vertical="center"/>
    </xf>
    <xf numFmtId="165" fontId="29" fillId="12" borderId="16" applyAlignment="1" pivotButton="0" quotePrefix="0" xfId="1">
      <alignment vertical="center"/>
    </xf>
    <xf numFmtId="15" fontId="29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6" fillId="11" borderId="16" applyAlignment="1" pivotButton="0" quotePrefix="0" xfId="0">
      <alignment horizontal="left" vertical="center"/>
    </xf>
    <xf numFmtId="0" fontId="0" fillId="11" borderId="16" applyAlignment="1" pivotButton="0" quotePrefix="0" xfId="0">
      <alignment vertical="center"/>
    </xf>
    <xf numFmtId="165" fontId="10" fillId="11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3" fontId="10" fillId="11" borderId="16" applyAlignment="1" pivotButton="0" quotePrefix="0" xfId="0">
      <alignment vertical="top"/>
    </xf>
    <xf numFmtId="15" fontId="26" fillId="0" borderId="16" applyAlignment="1" pivotButton="0" quotePrefix="0" xfId="0">
      <alignment horizontal="right" vertical="center"/>
    </xf>
    <xf numFmtId="0" fontId="0" fillId="0" borderId="16" pivotButton="0" quotePrefix="0" xfId="0"/>
    <xf numFmtId="3" fontId="26" fillId="0" borderId="16" applyAlignment="1" pivotButton="0" quotePrefix="0" xfId="0">
      <alignment horizontal="right" vertical="center"/>
    </xf>
    <xf numFmtId="3" fontId="26" fillId="0" borderId="16" applyAlignment="1" pivotButton="0" quotePrefix="0" xfId="1">
      <alignment horizontal="right" vertic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8" fillId="0" borderId="24" applyAlignment="1" pivotButton="0" quotePrefix="0" xfId="0">
      <alignment horizontal="left" vertical="center"/>
    </xf>
    <xf numFmtId="0" fontId="28" fillId="0" borderId="25" applyAlignment="1" pivotButton="0" quotePrefix="0" xfId="0">
      <alignment horizontal="left" vertical="center"/>
    </xf>
    <xf numFmtId="0" fontId="28" fillId="0" borderId="24" applyAlignment="1" pivotButton="0" quotePrefix="0" xfId="0">
      <alignment horizontal="right" vertical="center"/>
    </xf>
    <xf numFmtId="3" fontId="28" fillId="0" borderId="25" applyAlignment="1" pivotButton="0" quotePrefix="0" xfId="0">
      <alignment horizontal="right" vertical="center"/>
    </xf>
    <xf numFmtId="2" fontId="28" fillId="0" borderId="24" applyAlignment="1" pivotButton="0" quotePrefix="0" xfId="0">
      <alignment horizontal="left" vertical="center"/>
    </xf>
    <xf numFmtId="2" fontId="28" fillId="0" borderId="25" applyAlignment="1" pivotButton="0" quotePrefix="0" xfId="0">
      <alignment horizontal="left" vertical="center"/>
    </xf>
    <xf numFmtId="2" fontId="28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4" fontId="28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43" fillId="0" borderId="15" applyAlignment="1" pivotButton="0" quotePrefix="0" xfId="0">
      <alignment horizontal="center"/>
    </xf>
    <xf numFmtId="0" fontId="26" fillId="0" borderId="15" applyAlignment="1" pivotButton="0" quotePrefix="0" xfId="0">
      <alignment horizontal="center"/>
    </xf>
    <xf numFmtId="174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4" fillId="6" borderId="0" pivotButton="0" quotePrefix="0" xfId="0"/>
    <xf numFmtId="0" fontId="44" fillId="6" borderId="16" applyAlignment="1" pivotButton="0" quotePrefix="0" xfId="0">
      <alignment horizontal="center" vertical="center"/>
    </xf>
    <xf numFmtId="0" fontId="44" fillId="6" borderId="30" applyAlignment="1" pivotButton="0" quotePrefix="0" xfId="0">
      <alignment horizontal="center" vertical="center"/>
    </xf>
    <xf numFmtId="165" fontId="44" fillId="6" borderId="31" applyAlignment="1" pivotButton="0" quotePrefix="0" xfId="0">
      <alignment horizontal="center" vertical="center"/>
    </xf>
    <xf numFmtId="0" fontId="44" fillId="6" borderId="0" applyAlignment="1" pivotButton="0" quotePrefix="0" xfId="0">
      <alignment horizontal="center" vertical="center"/>
    </xf>
    <xf numFmtId="0" fontId="40" fillId="6" borderId="32" applyAlignment="1" pivotButton="0" quotePrefix="0" xfId="0">
      <alignment horizontal="center"/>
    </xf>
    <xf numFmtId="0" fontId="40" fillId="6" borderId="32" pivotButton="0" quotePrefix="0" xfId="0"/>
    <xf numFmtId="0" fontId="39" fillId="6" borderId="32" pivotButton="0" quotePrefix="0" xfId="0"/>
    <xf numFmtId="165" fontId="39" fillId="6" borderId="32" pivotButton="0" quotePrefix="0" xfId="0"/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C24" s="258" t="n"/>
      <c r="D24" s="258" t="n"/>
      <c r="E24" s="258" t="n"/>
      <c r="F24" s="259" t="n"/>
      <c r="G24" s="258" t="n"/>
      <c r="H24" s="258" t="n"/>
      <c r="I24" s="260" t="n"/>
      <c r="J24" s="258" t="n"/>
      <c r="K24" s="258" t="n"/>
      <c r="L24" s="8" t="n"/>
      <c r="M24" s="258" t="n"/>
      <c r="N24" s="258" t="n"/>
      <c r="O24" s="258" t="n"/>
      <c r="P24" s="258" t="n"/>
      <c r="Q24" s="25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61" t="inlineStr">
        <is>
          <t>Detail/Description</t>
        </is>
      </c>
      <c r="E25" s="221" t="n"/>
      <c r="F25" s="218" t="inlineStr">
        <is>
          <t>Transaction Value</t>
        </is>
      </c>
      <c r="G25" s="55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224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2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3" t="inlineStr">
        <is>
          <t>PENERIMAAN NEGARA (TAX) (IDR)</t>
        </is>
      </c>
      <c r="C28" s="264" t="n"/>
      <c r="D28" s="264" t="n"/>
      <c r="E28" s="264" t="n"/>
      <c r="F28" s="264" t="n"/>
      <c r="G28" s="264" t="n"/>
      <c r="H28" s="265" t="n"/>
      <c r="I28" s="266" t="inlineStr">
        <is>
          <t>PPN</t>
        </is>
      </c>
      <c r="J28" s="267">
        <f>SUM(J27:J27)</f>
        <v/>
      </c>
      <c r="K28" s="268" t="inlineStr">
        <is>
          <t>PPh</t>
        </is>
      </c>
      <c r="L28" s="269">
        <f>SUM(L27:L27)</f>
        <v/>
      </c>
      <c r="M28" s="268" t="inlineStr">
        <is>
          <t>PPh</t>
        </is>
      </c>
      <c r="N28" s="269">
        <f>SUM(N27:N27)</f>
        <v/>
      </c>
      <c r="O28" s="268" t="inlineStr">
        <is>
          <t>PPh</t>
        </is>
      </c>
      <c r="P28" s="269">
        <f>SUM(P27:P27)</f>
        <v/>
      </c>
      <c r="Q28" s="270" t="n"/>
    </row>
    <row r="29" hidden="1" ht="15.5" customHeight="1">
      <c r="B29" s="14" t="n"/>
      <c r="C29" s="15" t="n"/>
      <c r="D29" s="170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4" t="n"/>
      <c r="C37" s="15" t="n"/>
      <c r="D37" s="170" t="n"/>
      <c r="F37" s="19" t="n"/>
      <c r="G37" s="15" t="n"/>
      <c r="H37" s="15" t="n"/>
      <c r="I37" s="18" t="n"/>
      <c r="J37" s="21" t="n"/>
      <c r="K37" s="41" t="n"/>
      <c r="L37" s="21" t="n"/>
      <c r="M37" s="41" t="n"/>
      <c r="N37" s="21" t="n"/>
      <c r="O37" s="41" t="n"/>
      <c r="P37" s="21" t="n"/>
      <c r="Q37" s="42" t="n"/>
    </row>
    <row r="38">
      <c r="B38" s="258" t="n"/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  <c r="L38" s="258" t="n"/>
      <c r="M38" s="258" t="n"/>
      <c r="N38" s="258" t="n"/>
      <c r="O38" s="258" t="n"/>
      <c r="P38" s="258" t="n"/>
      <c r="Q38" s="258" t="n"/>
    </row>
    <row r="39" ht="25" customHeight="1">
      <c r="B39" s="8" t="inlineStr">
        <is>
          <t>PENGELUARAN</t>
        </is>
      </c>
      <c r="C39" s="258" t="n"/>
      <c r="D39" s="258" t="n"/>
      <c r="E39" s="258" t="n"/>
      <c r="F39" s="258" t="n"/>
      <c r="G39" s="258" t="n"/>
      <c r="H39" s="258" t="n"/>
      <c r="I39" s="258" t="n"/>
      <c r="J39" s="258" t="n"/>
      <c r="K39" s="258" t="n"/>
      <c r="L39" s="258" t="n"/>
      <c r="M39" s="258" t="n"/>
      <c r="N39" s="258" t="n"/>
      <c r="O39" s="258" t="n"/>
      <c r="P39" s="258" t="n"/>
      <c r="Q39" s="258" t="n"/>
    </row>
    <row r="40" ht="60" customFormat="1" customHeight="1" s="49">
      <c r="B40" s="271" t="inlineStr">
        <is>
          <t>Date</t>
        </is>
      </c>
      <c r="C40" s="272" t="inlineStr">
        <is>
          <t>#</t>
        </is>
      </c>
      <c r="D40" s="272" t="inlineStr">
        <is>
          <t>Activity</t>
        </is>
      </c>
      <c r="E40" s="273" t="inlineStr">
        <is>
          <t>Source</t>
        </is>
      </c>
      <c r="F40" s="274" t="inlineStr">
        <is>
          <t>Amount</t>
        </is>
      </c>
      <c r="G40" s="273" t="inlineStr">
        <is>
          <t>Currency</t>
        </is>
      </c>
      <c r="H40" s="273" t="inlineStr">
        <is>
          <t>Currency Exchange</t>
        </is>
      </c>
      <c r="I40" s="275" t="inlineStr">
        <is>
          <t>Biaya Sewa Peralatan</t>
        </is>
      </c>
      <c r="J40" s="276" t="inlineStr">
        <is>
          <t>Biaya Research (R&amp;D)</t>
        </is>
      </c>
      <c r="K40" s="277" t="inlineStr">
        <is>
          <t>Biaya Operasi</t>
        </is>
      </c>
      <c r="L40" s="277" t="inlineStr">
        <is>
          <t>diofavian</t>
        </is>
      </c>
      <c r="M40" s="278" t="inlineStr">
        <is>
          <t>asdasd</t>
        </is>
      </c>
      <c r="N40" s="278" t="inlineStr">
        <is>
          <t>12312</t>
        </is>
      </c>
      <c r="O40" s="279" t="n"/>
      <c r="P40" s="279" t="n"/>
      <c r="Q40" s="279" t="n"/>
      <c r="R40" s="280" t="n"/>
      <c r="S40" s="280" t="n"/>
      <c r="T40" s="280" t="n"/>
      <c r="U40" s="280" t="n"/>
      <c r="V40" s="280" t="n"/>
      <c r="W40" s="280" t="n"/>
      <c r="X40" s="280" t="n"/>
      <c r="Y40" s="280" t="n"/>
      <c r="Z40" s="280" t="n"/>
      <c r="AA40" s="280" t="n"/>
      <c r="AB40" s="280" t="n"/>
      <c r="AC40" s="280" t="n"/>
      <c r="AD40" s="280" t="n"/>
    </row>
    <row r="41" ht="15.5" customHeight="1">
      <c r="B41" s="281" t="n"/>
      <c r="C41" s="282" t="n"/>
      <c r="D41" s="283" t="inlineStr">
        <is>
          <t>Accommodation , Transportation</t>
        </is>
      </c>
      <c r="E41" s="284" t="n"/>
      <c r="F41" s="285" t="n"/>
      <c r="G41" s="286" t="n"/>
      <c r="H41" s="286" t="n"/>
      <c r="I41" s="287" t="n"/>
      <c r="J41" s="287" t="n"/>
      <c r="K41" s="288" t="n"/>
      <c r="L41" s="289" t="n"/>
      <c r="M41" s="289" t="n"/>
      <c r="N41" s="289" t="n"/>
      <c r="O41" s="290" t="n"/>
      <c r="P41" s="290" t="n"/>
      <c r="Q41" s="290" t="n"/>
      <c r="R41" s="280" t="n"/>
      <c r="S41" s="280" t="n"/>
      <c r="T41" s="280" t="n"/>
      <c r="U41" s="280" t="n"/>
      <c r="V41" s="280" t="n"/>
      <c r="W41" s="280" t="n"/>
      <c r="X41" s="280" t="n"/>
      <c r="Y41" s="280" t="n"/>
      <c r="Z41" s="280" t="n"/>
      <c r="AA41" s="280" t="n"/>
      <c r="AB41" s="280" t="n"/>
      <c r="AC41" s="280" t="n"/>
      <c r="AD41" s="280" t="n"/>
      <c r="AE41" s="280" t="n"/>
      <c r="AF41" s="280" t="n"/>
      <c r="AG41" s="280" t="n"/>
      <c r="AH41" s="280" t="n"/>
      <c r="AI41" s="280" t="n"/>
      <c r="AJ41" s="280" t="n"/>
      <c r="AK41" s="280" t="n"/>
      <c r="AL41" s="280" t="n"/>
      <c r="AM41" s="280" t="n"/>
      <c r="AN41" s="280" t="n"/>
      <c r="AO41" s="280" t="n"/>
      <c r="AP41" s="280" t="n"/>
      <c r="AQ41" s="280" t="n"/>
      <c r="AR41" s="280" t="n"/>
      <c r="AS41" s="280" t="n"/>
      <c r="AT41" s="280" t="n"/>
      <c r="AU41" s="280" t="n"/>
      <c r="AV41" s="280" t="n"/>
      <c r="AW41" s="280" t="n"/>
      <c r="AX41" s="280" t="n"/>
      <c r="AY41" s="280" t="n"/>
      <c r="AZ41" s="280" t="n"/>
      <c r="BA41" s="280" t="n"/>
      <c r="BB41" s="280" t="n"/>
      <c r="BC41" s="280" t="n"/>
      <c r="BD41" s="280" t="n"/>
      <c r="BE41" s="280" t="n"/>
      <c r="BF41" s="280" t="n"/>
      <c r="BG41" s="280" t="n"/>
      <c r="BH41" s="280" t="n"/>
    </row>
    <row r="42" ht="15.5" customHeight="1">
      <c r="B42" s="291" t="n">
        <v>47848</v>
      </c>
      <c r="C42" s="292" t="n">
        <v>1</v>
      </c>
      <c r="D42" s="293" t="inlineStr">
        <is>
          <t>23432</t>
        </is>
      </c>
      <c r="E42" s="284" t="inlineStr">
        <is>
          <t>BRI</t>
        </is>
      </c>
      <c r="F42" s="294" t="n">
        <v>123123</v>
      </c>
      <c r="G42" s="286" t="inlineStr">
        <is>
          <t>IDR</t>
        </is>
      </c>
      <c r="H42" s="295" t="n">
        <v>1</v>
      </c>
      <c r="I42" s="296" t="n"/>
      <c r="J42" s="296" t="n"/>
      <c r="K42" s="297">
        <f>$F42*$H42</f>
        <v/>
      </c>
      <c r="L42" s="284" t="n"/>
      <c r="M42" s="284" t="n"/>
      <c r="N42" s="284" t="n"/>
      <c r="O42" s="290" t="n"/>
      <c r="P42" s="290" t="n"/>
      <c r="Q42" s="290" t="n"/>
      <c r="R42" s="280" t="n"/>
      <c r="S42" s="280" t="n"/>
      <c r="T42" s="280" t="n"/>
      <c r="U42" s="280" t="n"/>
      <c r="V42" s="280" t="n"/>
      <c r="W42" s="280" t="n"/>
      <c r="X42" s="280" t="n"/>
      <c r="Y42" s="280" t="n"/>
      <c r="Z42" s="280" t="n"/>
      <c r="AA42" s="280" t="n"/>
      <c r="AB42" s="280" t="n"/>
      <c r="AC42" s="280" t="n"/>
      <c r="AD42" s="280" t="n"/>
      <c r="AE42" s="280" t="n"/>
      <c r="AF42" s="280" t="n"/>
      <c r="AG42" s="280" t="n"/>
      <c r="AH42" s="280" t="n"/>
      <c r="AI42" s="280" t="n"/>
      <c r="AJ42" s="280" t="n"/>
      <c r="AK42" s="280" t="n"/>
      <c r="AL42" s="280" t="n"/>
      <c r="AM42" s="280" t="n"/>
      <c r="AN42" s="280" t="n"/>
      <c r="AO42" s="280" t="n"/>
      <c r="AP42" s="280" t="n"/>
      <c r="AQ42" s="280" t="n"/>
      <c r="AR42" s="280" t="n"/>
      <c r="AS42" s="280" t="n"/>
      <c r="AT42" s="280" t="n"/>
      <c r="AU42" s="280" t="n"/>
      <c r="AV42" s="280" t="n"/>
      <c r="AW42" s="280" t="n"/>
      <c r="AX42" s="280" t="n"/>
      <c r="AY42" s="280" t="n"/>
      <c r="AZ42" s="280" t="n"/>
      <c r="BA42" s="280" t="n"/>
      <c r="BB42" s="280" t="n"/>
      <c r="BC42" s="280" t="n"/>
      <c r="BD42" s="280" t="n"/>
      <c r="BE42" s="280" t="n"/>
      <c r="BF42" s="280" t="n"/>
      <c r="BG42" s="280" t="n"/>
      <c r="BH42" s="280" t="n"/>
    </row>
    <row r="43" ht="15.5" customHeight="1">
      <c r="B43" s="281" t="n"/>
      <c r="C43" s="282" t="n"/>
      <c r="D43" s="283" t="inlineStr">
        <is>
          <t>-</t>
        </is>
      </c>
      <c r="E43" s="284" t="n"/>
      <c r="F43" s="285" t="n"/>
      <c r="G43" s="286" t="n"/>
      <c r="H43" s="286" t="n"/>
      <c r="I43" s="287" t="n"/>
      <c r="J43" s="287" t="n"/>
      <c r="K43" s="288" t="n"/>
      <c r="L43" s="289" t="n"/>
      <c r="M43" s="289" t="n"/>
      <c r="N43" s="289" t="n"/>
      <c r="O43" s="290" t="n"/>
      <c r="P43" s="290" t="n"/>
      <c r="Q43" s="290" t="n"/>
      <c r="R43" s="280" t="n"/>
      <c r="S43" s="280" t="n"/>
      <c r="T43" s="280" t="n"/>
      <c r="U43" s="280" t="n"/>
      <c r="V43" s="280" t="n"/>
      <c r="W43" s="280" t="n"/>
      <c r="X43" s="280" t="n"/>
      <c r="Y43" s="280" t="n"/>
      <c r="Z43" s="280" t="n"/>
      <c r="AA43" s="280" t="n"/>
      <c r="AB43" s="280" t="n"/>
      <c r="AC43" s="280" t="n"/>
      <c r="AD43" s="280" t="n"/>
      <c r="AE43" s="280" t="n"/>
      <c r="AF43" s="280" t="n"/>
      <c r="AG43" s="280" t="n"/>
      <c r="AH43" s="280" t="n"/>
      <c r="AI43" s="280" t="n"/>
      <c r="AJ43" s="280" t="n"/>
      <c r="AK43" s="280" t="n"/>
      <c r="AL43" s="280" t="n"/>
      <c r="AM43" s="280" t="n"/>
      <c r="AN43" s="280" t="n"/>
      <c r="AO43" s="280" t="n"/>
      <c r="AP43" s="280" t="n"/>
      <c r="AQ43" s="280" t="n"/>
      <c r="AR43" s="280" t="n"/>
      <c r="AS43" s="280" t="n"/>
      <c r="AT43" s="280" t="n"/>
      <c r="AU43" s="280" t="n"/>
      <c r="AV43" s="280" t="n"/>
      <c r="AW43" s="280" t="n"/>
      <c r="AX43" s="280" t="n"/>
      <c r="AY43" s="280" t="n"/>
      <c r="AZ43" s="280" t="n"/>
      <c r="BA43" s="280" t="n"/>
      <c r="BB43" s="280" t="n"/>
      <c r="BC43" s="280" t="n"/>
      <c r="BD43" s="280" t="n"/>
      <c r="BE43" s="280" t="n"/>
      <c r="BF43" s="280" t="n"/>
      <c r="BG43" s="280" t="n"/>
      <c r="BH43" s="280" t="n"/>
    </row>
    <row r="44" ht="15.5" customHeight="1">
      <c r="B44" s="291" t="n">
        <v>47848</v>
      </c>
      <c r="C44" s="292" t="n">
        <v>2</v>
      </c>
      <c r="D44" s="293" t="inlineStr">
        <is>
          <t>asdasd</t>
        </is>
      </c>
      <c r="E44" s="284" t="inlineStr">
        <is>
          <t>Advance</t>
        </is>
      </c>
      <c r="F44" s="294" t="n">
        <v>234234</v>
      </c>
      <c r="G44" s="286" t="inlineStr">
        <is>
          <t>IDR</t>
        </is>
      </c>
      <c r="H44" s="295" t="n">
        <v>1</v>
      </c>
      <c r="I44" s="296" t="n"/>
      <c r="J44" s="296" t="n"/>
      <c r="K44" s="298" t="n"/>
      <c r="L44" s="284" t="n"/>
      <c r="M44" s="297">
        <f>$F44*$H44</f>
        <v/>
      </c>
      <c r="N44" s="284" t="n"/>
      <c r="O44" s="290" t="n"/>
      <c r="P44" s="290" t="n"/>
      <c r="Q44" s="290" t="n"/>
      <c r="R44" s="280" t="n"/>
      <c r="S44" s="280" t="n"/>
      <c r="T44" s="280" t="n"/>
      <c r="U44" s="280" t="n"/>
      <c r="V44" s="280" t="n"/>
      <c r="W44" s="280" t="n"/>
      <c r="X44" s="280" t="n"/>
      <c r="Y44" s="280" t="n"/>
      <c r="Z44" s="280" t="n"/>
      <c r="AA44" s="280" t="n"/>
      <c r="AB44" s="280" t="n"/>
      <c r="AC44" s="280" t="n"/>
      <c r="AD44" s="280" t="n"/>
      <c r="AE44" s="280" t="n"/>
      <c r="AF44" s="280" t="n"/>
      <c r="AG44" s="280" t="n"/>
      <c r="AH44" s="280" t="n"/>
      <c r="AI44" s="280" t="n"/>
      <c r="AJ44" s="280" t="n"/>
      <c r="AK44" s="280" t="n"/>
      <c r="AL44" s="280" t="n"/>
      <c r="AM44" s="280" t="n"/>
      <c r="AN44" s="280" t="n"/>
      <c r="AO44" s="280" t="n"/>
      <c r="AP44" s="280" t="n"/>
      <c r="AQ44" s="280" t="n"/>
      <c r="AR44" s="280" t="n"/>
      <c r="AS44" s="280" t="n"/>
      <c r="AT44" s="280" t="n"/>
      <c r="AU44" s="280" t="n"/>
      <c r="AV44" s="280" t="n"/>
      <c r="AW44" s="280" t="n"/>
      <c r="AX44" s="280" t="n"/>
      <c r="AY44" s="280" t="n"/>
      <c r="AZ44" s="280" t="n"/>
      <c r="BA44" s="280" t="n"/>
      <c r="BB44" s="280" t="n"/>
      <c r="BC44" s="280" t="n"/>
      <c r="BD44" s="280" t="n"/>
      <c r="BE44" s="280" t="n"/>
      <c r="BF44" s="280" t="n"/>
      <c r="BG44" s="280" t="n"/>
      <c r="BH44" s="280" t="n"/>
    </row>
    <row r="45" ht="15.5" customHeight="1">
      <c r="B45" s="281" t="n"/>
      <c r="C45" s="282" t="n"/>
      <c r="D45" s="283" t="inlineStr">
        <is>
          <t>123123</t>
        </is>
      </c>
      <c r="E45" s="284" t="n"/>
      <c r="F45" s="285" t="n"/>
      <c r="G45" s="286" t="n"/>
      <c r="H45" s="286" t="n"/>
      <c r="I45" s="287" t="n"/>
      <c r="J45" s="287" t="n"/>
      <c r="K45" s="288" t="n"/>
      <c r="L45" s="289" t="n"/>
      <c r="M45" s="289" t="n"/>
      <c r="N45" s="289" t="n"/>
      <c r="O45" s="290" t="n"/>
      <c r="P45" s="290" t="n"/>
      <c r="Q45" s="290" t="n"/>
      <c r="R45" s="280" t="n"/>
      <c r="S45" s="280" t="n"/>
      <c r="T45" s="280" t="n"/>
      <c r="U45" s="280" t="n"/>
      <c r="V45" s="280" t="n"/>
      <c r="W45" s="280" t="n"/>
      <c r="X45" s="280" t="n"/>
      <c r="Y45" s="280" t="n"/>
      <c r="Z45" s="280" t="n"/>
      <c r="AA45" s="280" t="n"/>
      <c r="AB45" s="280" t="n"/>
      <c r="AC45" s="280" t="n"/>
      <c r="AD45" s="280" t="n"/>
      <c r="AE45" s="280" t="n"/>
      <c r="AF45" s="280" t="n"/>
      <c r="AG45" s="280" t="n"/>
      <c r="AH45" s="280" t="n"/>
      <c r="AI45" s="280" t="n"/>
      <c r="AJ45" s="280" t="n"/>
      <c r="AK45" s="280" t="n"/>
      <c r="AL45" s="280" t="n"/>
      <c r="AM45" s="280" t="n"/>
      <c r="AN45" s="280" t="n"/>
      <c r="AO45" s="280" t="n"/>
      <c r="AP45" s="280" t="n"/>
      <c r="AQ45" s="280" t="n"/>
      <c r="AR45" s="280" t="n"/>
      <c r="AS45" s="280" t="n"/>
      <c r="AT45" s="280" t="n"/>
      <c r="AU45" s="280" t="n"/>
      <c r="AV45" s="280" t="n"/>
      <c r="AW45" s="280" t="n"/>
      <c r="AX45" s="280" t="n"/>
      <c r="AY45" s="280" t="n"/>
      <c r="AZ45" s="280" t="n"/>
      <c r="BA45" s="280" t="n"/>
      <c r="BB45" s="280" t="n"/>
      <c r="BC45" s="280" t="n"/>
      <c r="BD45" s="280" t="n"/>
      <c r="BE45" s="280" t="n"/>
      <c r="BF45" s="280" t="n"/>
      <c r="BG45" s="280" t="n"/>
      <c r="BH45" s="280" t="n"/>
    </row>
    <row r="46" ht="15.5" customHeight="1">
      <c r="B46" s="291" t="n">
        <v>47848</v>
      </c>
      <c r="C46" s="292" t="n">
        <v>3</v>
      </c>
      <c r="D46" s="293" t="inlineStr">
        <is>
          <t>123123</t>
        </is>
      </c>
      <c r="E46" s="284" t="inlineStr">
        <is>
          <t>BCA</t>
        </is>
      </c>
      <c r="F46" s="294" t="n">
        <v>10</v>
      </c>
      <c r="G46" s="286" t="inlineStr">
        <is>
          <t>USD</t>
        </is>
      </c>
      <c r="H46" s="295" t="n">
        <v>10000</v>
      </c>
      <c r="I46" s="296" t="n"/>
      <c r="J46" s="296" t="n"/>
      <c r="K46" s="298" t="n"/>
      <c r="L46" s="284" t="n"/>
      <c r="M46" s="284" t="n"/>
      <c r="N46" s="297">
        <f>$F46*$H46</f>
        <v/>
      </c>
      <c r="O46" s="290" t="n"/>
      <c r="P46" s="290" t="n"/>
      <c r="Q46" s="290" t="n"/>
      <c r="R46" s="280" t="n"/>
      <c r="S46" s="280" t="n"/>
      <c r="T46" s="280" t="n"/>
      <c r="U46" s="280" t="n"/>
      <c r="V46" s="280" t="n"/>
      <c r="W46" s="280" t="n"/>
      <c r="X46" s="280" t="n"/>
      <c r="Y46" s="280" t="n"/>
      <c r="Z46" s="280" t="n"/>
      <c r="AA46" s="280" t="n"/>
      <c r="AB46" s="280" t="n"/>
      <c r="AC46" s="280" t="n"/>
      <c r="AD46" s="280" t="n"/>
      <c r="AE46" s="280" t="n"/>
      <c r="AF46" s="280" t="n"/>
      <c r="AG46" s="280" t="n"/>
      <c r="AH46" s="280" t="n"/>
      <c r="AI46" s="280" t="n"/>
      <c r="AJ46" s="280" t="n"/>
      <c r="AK46" s="280" t="n"/>
      <c r="AL46" s="280" t="n"/>
      <c r="AM46" s="280" t="n"/>
      <c r="AN46" s="280" t="n"/>
      <c r="AO46" s="280" t="n"/>
      <c r="AP46" s="280" t="n"/>
      <c r="AQ46" s="280" t="n"/>
      <c r="AR46" s="280" t="n"/>
      <c r="AS46" s="280" t="n"/>
      <c r="AT46" s="280" t="n"/>
      <c r="AU46" s="280" t="n"/>
      <c r="AV46" s="280" t="n"/>
      <c r="AW46" s="280" t="n"/>
      <c r="AX46" s="280" t="n"/>
      <c r="AY46" s="280" t="n"/>
      <c r="AZ46" s="280" t="n"/>
      <c r="BA46" s="280" t="n"/>
      <c r="BB46" s="280" t="n"/>
      <c r="BC46" s="280" t="n"/>
      <c r="BD46" s="280" t="n"/>
      <c r="BE46" s="280" t="n"/>
      <c r="BF46" s="280" t="n"/>
      <c r="BG46" s="280" t="n"/>
      <c r="BH46" s="280" t="n"/>
    </row>
    <row r="47" ht="15.5" customHeight="1">
      <c r="A47" s="66" t="n"/>
      <c r="B47" s="281" t="n"/>
      <c r="C47" s="282" t="n"/>
      <c r="D47" s="283" t="inlineStr">
        <is>
          <t>Accommodation</t>
        </is>
      </c>
      <c r="E47" s="284" t="n"/>
      <c r="F47" s="285" t="n"/>
      <c r="G47" s="286" t="n"/>
      <c r="H47" s="286" t="n"/>
      <c r="I47" s="287" t="n"/>
      <c r="J47" s="287" t="n"/>
      <c r="K47" s="288" t="n"/>
      <c r="L47" s="289" t="n"/>
      <c r="M47" s="289" t="n"/>
      <c r="N47" s="289" t="n"/>
      <c r="O47" s="290" t="n"/>
      <c r="P47" s="290" t="n"/>
      <c r="Q47" s="290" t="n"/>
      <c r="R47" s="280" t="n"/>
      <c r="S47" s="280" t="n"/>
      <c r="T47" s="280" t="n"/>
      <c r="U47" s="280" t="n"/>
      <c r="V47" s="280" t="n"/>
      <c r="W47" s="280" t="n"/>
      <c r="X47" s="280" t="n"/>
      <c r="Y47" s="280" t="n"/>
      <c r="Z47" s="280" t="n"/>
      <c r="AA47" s="280" t="n"/>
      <c r="AB47" s="280" t="n"/>
      <c r="AC47" s="280" t="n"/>
      <c r="AD47" s="280" t="n"/>
      <c r="AE47" s="280" t="n"/>
      <c r="AF47" s="280" t="n"/>
      <c r="AG47" s="280" t="n"/>
      <c r="AH47" s="280" t="n"/>
      <c r="AI47" s="280" t="n"/>
      <c r="AJ47" s="280" t="n"/>
      <c r="AK47" s="280" t="n"/>
      <c r="AL47" s="280" t="n"/>
      <c r="AM47" s="280" t="n"/>
      <c r="AN47" s="280" t="n"/>
      <c r="AO47" s="280" t="n"/>
      <c r="AP47" s="280" t="n"/>
      <c r="AQ47" s="280" t="n"/>
      <c r="AR47" s="280" t="n"/>
      <c r="AS47" s="280" t="n"/>
      <c r="AT47" s="280" t="n"/>
      <c r="AU47" s="280" t="n"/>
      <c r="AV47" s="280" t="n"/>
      <c r="AW47" s="280" t="n"/>
      <c r="AX47" s="280" t="n"/>
      <c r="AY47" s="280" t="n"/>
      <c r="AZ47" s="280" t="n"/>
      <c r="BA47" s="280" t="n"/>
      <c r="BB47" s="280" t="n"/>
      <c r="BC47" s="280" t="n"/>
      <c r="BD47" s="280" t="n"/>
      <c r="BE47" s="280" t="n"/>
      <c r="BF47" s="280" t="n"/>
      <c r="BG47" s="280" t="n"/>
      <c r="BH47" s="280" t="n"/>
    </row>
    <row r="48" ht="15.5" customHeight="1">
      <c r="B48" s="291" t="n">
        <v>47848</v>
      </c>
      <c r="C48" s="292" t="n">
        <v>4</v>
      </c>
      <c r="D48" s="293" t="inlineStr">
        <is>
          <t>qweqw</t>
        </is>
      </c>
      <c r="E48" s="284" t="inlineStr">
        <is>
          <t>BRI</t>
        </is>
      </c>
      <c r="F48" s="294" t="n">
        <v>123123</v>
      </c>
      <c r="G48" s="286" t="inlineStr">
        <is>
          <t>GBP</t>
        </is>
      </c>
      <c r="H48" s="295" t="n">
        <v>1123123</v>
      </c>
      <c r="I48" s="296" t="n"/>
      <c r="J48" s="296" t="n"/>
      <c r="K48" s="297">
        <f>$F48*$H48</f>
        <v/>
      </c>
      <c r="L48" s="284" t="n"/>
      <c r="M48" s="284" t="n"/>
      <c r="N48" s="284" t="n"/>
      <c r="O48" s="290" t="n"/>
      <c r="P48" s="290" t="n"/>
      <c r="Q48" s="290" t="n"/>
      <c r="R48" s="280" t="n"/>
      <c r="S48" s="280" t="n"/>
      <c r="T48" s="280" t="n"/>
      <c r="U48" s="280" t="n"/>
      <c r="V48" s="280" t="n"/>
      <c r="W48" s="280" t="n"/>
      <c r="X48" s="280" t="n"/>
      <c r="Y48" s="280" t="n"/>
      <c r="Z48" s="280" t="n"/>
      <c r="AA48" s="280" t="n"/>
      <c r="AB48" s="280" t="n"/>
      <c r="AC48" s="280" t="n"/>
      <c r="AD48" s="280" t="n"/>
      <c r="AE48" s="280" t="n"/>
      <c r="AF48" s="280" t="n"/>
      <c r="AG48" s="280" t="n"/>
      <c r="AH48" s="280" t="n"/>
      <c r="AI48" s="280" t="n"/>
      <c r="AJ48" s="280" t="n"/>
      <c r="AK48" s="280" t="n"/>
      <c r="AL48" s="280" t="n"/>
      <c r="AM48" s="280" t="n"/>
      <c r="AN48" s="280" t="n"/>
      <c r="AO48" s="280" t="n"/>
      <c r="AP48" s="280" t="n"/>
      <c r="AQ48" s="280" t="n"/>
      <c r="AR48" s="280" t="n"/>
      <c r="AS48" s="280" t="n"/>
      <c r="AT48" s="280" t="n"/>
      <c r="AU48" s="280" t="n"/>
      <c r="AV48" s="280" t="n"/>
      <c r="AW48" s="280" t="n"/>
      <c r="AX48" s="280" t="n"/>
      <c r="AY48" s="280" t="n"/>
      <c r="AZ48" s="280" t="n"/>
      <c r="BA48" s="280" t="n"/>
      <c r="BB48" s="280" t="n"/>
      <c r="BC48" s="280" t="n"/>
      <c r="BD48" s="280" t="n"/>
      <c r="BE48" s="280" t="n"/>
      <c r="BF48" s="280" t="n"/>
      <c r="BG48" s="280" t="n"/>
      <c r="BH48" s="280" t="n"/>
    </row>
    <row r="49" ht="15.5" customHeight="1">
      <c r="B49" s="281" t="n"/>
      <c r="C49" s="282" t="n"/>
      <c r="D49" s="283" t="inlineStr">
        <is>
          <t>Allowance</t>
        </is>
      </c>
      <c r="E49" s="284" t="n"/>
      <c r="F49" s="285" t="n"/>
      <c r="G49" s="286" t="n"/>
      <c r="H49" s="286" t="n"/>
      <c r="I49" s="287" t="n"/>
      <c r="J49" s="287" t="n"/>
      <c r="K49" s="288" t="n"/>
      <c r="L49" s="289" t="n"/>
      <c r="M49" s="289" t="n"/>
      <c r="N49" s="289" t="n"/>
      <c r="O49" s="290" t="n"/>
      <c r="P49" s="290" t="n"/>
      <c r="Q49" s="290" t="n"/>
      <c r="R49" s="280" t="n"/>
      <c r="S49" s="280" t="n"/>
      <c r="T49" s="280" t="n"/>
      <c r="U49" s="280" t="n"/>
      <c r="V49" s="280" t="n"/>
      <c r="W49" s="280" t="n"/>
      <c r="X49" s="280" t="n"/>
      <c r="Y49" s="280" t="n"/>
      <c r="Z49" s="280" t="n"/>
      <c r="AA49" s="280" t="n"/>
      <c r="AB49" s="280" t="n"/>
      <c r="AC49" s="280" t="n"/>
      <c r="AD49" s="280" t="n"/>
      <c r="AE49" s="280" t="n"/>
      <c r="AF49" s="280" t="n"/>
      <c r="AG49" s="280" t="n"/>
      <c r="AH49" s="280" t="n"/>
      <c r="AI49" s="280" t="n"/>
      <c r="AJ49" s="280" t="n"/>
      <c r="AK49" s="280" t="n"/>
      <c r="AL49" s="280" t="n"/>
      <c r="AM49" s="280" t="n"/>
      <c r="AN49" s="280" t="n"/>
      <c r="AO49" s="280" t="n"/>
      <c r="AP49" s="280" t="n"/>
      <c r="AQ49" s="280" t="n"/>
      <c r="AR49" s="280" t="n"/>
      <c r="AS49" s="280" t="n"/>
      <c r="AT49" s="280" t="n"/>
      <c r="AU49" s="280" t="n"/>
      <c r="AV49" s="280" t="n"/>
      <c r="AW49" s="280" t="n"/>
      <c r="AX49" s="280" t="n"/>
      <c r="AY49" s="280" t="n"/>
      <c r="AZ49" s="280" t="n"/>
      <c r="BA49" s="280" t="n"/>
      <c r="BB49" s="280" t="n"/>
      <c r="BC49" s="280" t="n"/>
      <c r="BD49" s="280" t="n"/>
      <c r="BE49" s="280" t="n"/>
      <c r="BF49" s="280" t="n"/>
      <c r="BG49" s="280" t="n"/>
      <c r="BH49" s="280" t="n"/>
    </row>
    <row r="50" ht="15.5" customHeight="1">
      <c r="B50" s="291" t="n">
        <v>47848</v>
      </c>
      <c r="C50" s="292" t="n">
        <v>5</v>
      </c>
      <c r="D50" s="293" t="inlineStr">
        <is>
          <t>87987000</t>
        </is>
      </c>
      <c r="E50" s="284" t="inlineStr">
        <is>
          <t>BNI</t>
        </is>
      </c>
      <c r="F50" s="294" t="n">
        <v>98098000</v>
      </c>
      <c r="G50" s="286" t="inlineStr">
        <is>
          <t>IDR</t>
        </is>
      </c>
      <c r="H50" s="295" t="n">
        <v>1</v>
      </c>
      <c r="I50" s="296" t="n"/>
      <c r="J50" s="296" t="n"/>
      <c r="K50" s="297">
        <f>$F50*$H50</f>
        <v/>
      </c>
      <c r="L50" s="284" t="n"/>
      <c r="M50" s="284" t="n"/>
      <c r="N50" s="284" t="n"/>
      <c r="O50" s="290" t="n"/>
      <c r="P50" s="290" t="n"/>
      <c r="Q50" s="290" t="n"/>
      <c r="R50" s="280" t="n"/>
      <c r="S50" s="280" t="n"/>
      <c r="T50" s="280" t="n"/>
      <c r="U50" s="280" t="n"/>
      <c r="V50" s="280" t="n"/>
      <c r="W50" s="280" t="n"/>
      <c r="X50" s="280" t="n"/>
      <c r="Y50" s="280" t="n"/>
      <c r="Z50" s="280" t="n"/>
      <c r="AA50" s="280" t="n"/>
      <c r="AB50" s="280" t="n"/>
      <c r="AC50" s="280" t="n"/>
      <c r="AD50" s="280" t="n"/>
      <c r="AE50" s="280" t="n"/>
      <c r="AF50" s="280" t="n"/>
      <c r="AG50" s="280" t="n"/>
      <c r="AH50" s="280" t="n"/>
      <c r="AI50" s="280" t="n"/>
      <c r="AJ50" s="280" t="n"/>
      <c r="AK50" s="280" t="n"/>
      <c r="AL50" s="280" t="n"/>
      <c r="AM50" s="280" t="n"/>
      <c r="AN50" s="280" t="n"/>
      <c r="AO50" s="280" t="n"/>
      <c r="AP50" s="280" t="n"/>
      <c r="AQ50" s="280" t="n"/>
      <c r="AR50" s="280" t="n"/>
      <c r="AS50" s="280" t="n"/>
      <c r="AT50" s="280" t="n"/>
      <c r="AU50" s="280" t="n"/>
      <c r="AV50" s="280" t="n"/>
      <c r="AW50" s="280" t="n"/>
      <c r="AX50" s="280" t="n"/>
      <c r="AY50" s="280" t="n"/>
      <c r="AZ50" s="280" t="n"/>
      <c r="BA50" s="280" t="n"/>
      <c r="BB50" s="280" t="n"/>
      <c r="BC50" s="280" t="n"/>
      <c r="BD50" s="280" t="n"/>
      <c r="BE50" s="280" t="n"/>
      <c r="BF50" s="280" t="n"/>
      <c r="BG50" s="280" t="n"/>
      <c r="BH50" s="280" t="n"/>
    </row>
    <row r="51" ht="15.5" customHeight="1">
      <c r="B51" s="281" t="n"/>
      <c r="C51" s="282" t="n"/>
      <c r="D51" s="283" t="inlineStr">
        <is>
          <t>keysha</t>
        </is>
      </c>
      <c r="E51" s="284" t="n"/>
      <c r="F51" s="285" t="n"/>
      <c r="G51" s="286" t="n"/>
      <c r="H51" s="286" t="n"/>
      <c r="I51" s="287" t="n"/>
      <c r="J51" s="287" t="n"/>
      <c r="K51" s="288" t="n"/>
      <c r="L51" s="289" t="n"/>
      <c r="M51" s="289" t="n"/>
      <c r="N51" s="289" t="n"/>
      <c r="O51" s="290" t="n"/>
      <c r="P51" s="290" t="n"/>
      <c r="Q51" s="290" t="n"/>
      <c r="R51" s="280" t="n"/>
      <c r="S51" s="280" t="n"/>
      <c r="T51" s="280" t="n"/>
      <c r="U51" s="280" t="n"/>
      <c r="V51" s="280" t="n"/>
      <c r="W51" s="280" t="n"/>
      <c r="X51" s="280" t="n"/>
      <c r="Y51" s="280" t="n"/>
      <c r="Z51" s="280" t="n"/>
      <c r="AA51" s="280" t="n"/>
      <c r="AB51" s="280" t="n"/>
      <c r="AC51" s="280" t="n"/>
      <c r="AD51" s="280" t="n"/>
      <c r="AE51" s="280" t="n"/>
      <c r="AF51" s="280" t="n"/>
      <c r="AG51" s="280" t="n"/>
      <c r="AH51" s="280" t="n"/>
      <c r="AI51" s="280" t="n"/>
      <c r="AJ51" s="280" t="n"/>
      <c r="AK51" s="280" t="n"/>
      <c r="AL51" s="280" t="n"/>
      <c r="AM51" s="280" t="n"/>
      <c r="AN51" s="280" t="n"/>
      <c r="AO51" s="280" t="n"/>
      <c r="AP51" s="280" t="n"/>
      <c r="AQ51" s="280" t="n"/>
      <c r="AR51" s="280" t="n"/>
      <c r="AS51" s="280" t="n"/>
      <c r="AT51" s="280" t="n"/>
      <c r="AU51" s="280" t="n"/>
      <c r="AV51" s="280" t="n"/>
      <c r="AW51" s="280" t="n"/>
      <c r="AX51" s="280" t="n"/>
      <c r="AY51" s="280" t="n"/>
      <c r="AZ51" s="280" t="n"/>
      <c r="BA51" s="280" t="n"/>
      <c r="BB51" s="280" t="n"/>
      <c r="BC51" s="280" t="n"/>
      <c r="BD51" s="280" t="n"/>
      <c r="BE51" s="280" t="n"/>
      <c r="BF51" s="280" t="n"/>
      <c r="BG51" s="280" t="n"/>
      <c r="BH51" s="280" t="n"/>
    </row>
    <row r="52" ht="15.5" customFormat="1" customHeight="1" s="66">
      <c r="B52" s="291" t="n">
        <v>47830</v>
      </c>
      <c r="C52" s="292" t="n">
        <v>6</v>
      </c>
      <c r="D52" s="293" t="inlineStr">
        <is>
          <t>23434</t>
        </is>
      </c>
      <c r="E52" s="284" t="inlineStr">
        <is>
          <t>BRI</t>
        </is>
      </c>
      <c r="F52" s="294" t="n">
        <v>22</v>
      </c>
      <c r="G52" s="286" t="inlineStr">
        <is>
          <t>USD</t>
        </is>
      </c>
      <c r="H52" s="295" t="n">
        <v>10000</v>
      </c>
      <c r="I52" s="296" t="n"/>
      <c r="J52" s="296" t="n"/>
      <c r="K52" s="298" t="n"/>
      <c r="L52" s="297">
        <f>$F52*$H52</f>
        <v/>
      </c>
      <c r="M52" s="284" t="n"/>
      <c r="N52" s="284" t="n"/>
      <c r="O52" s="290" t="n"/>
      <c r="P52" s="290" t="n"/>
      <c r="Q52" s="290" t="n"/>
      <c r="R52" s="280" t="n"/>
      <c r="S52" s="280" t="n"/>
      <c r="T52" s="280" t="n"/>
      <c r="U52" s="280" t="n"/>
      <c r="V52" s="280" t="n"/>
      <c r="W52" s="280" t="n"/>
      <c r="X52" s="280" t="n"/>
      <c r="Y52" s="280" t="n"/>
      <c r="Z52" s="280" t="n"/>
      <c r="AA52" s="280" t="n"/>
      <c r="AB52" s="280" t="n"/>
      <c r="AC52" s="280" t="n"/>
      <c r="AD52" s="280" t="n"/>
      <c r="AE52" s="280" t="n"/>
      <c r="AF52" s="280" t="n"/>
      <c r="AG52" s="280" t="n"/>
      <c r="AH52" s="280" t="n"/>
      <c r="AI52" s="280" t="n"/>
      <c r="AJ52" s="280" t="n"/>
      <c r="AK52" s="280" t="n"/>
      <c r="AL52" s="280" t="n"/>
      <c r="AM52" s="280" t="n"/>
      <c r="AN52" s="280" t="n"/>
      <c r="AO52" s="280" t="n"/>
      <c r="AP52" s="280" t="n"/>
      <c r="AQ52" s="280" t="n"/>
      <c r="AR52" s="280" t="n"/>
      <c r="AS52" s="280" t="n"/>
      <c r="AT52" s="280" t="n"/>
      <c r="AU52" s="280" t="n"/>
      <c r="AV52" s="280" t="n"/>
      <c r="AW52" s="280" t="n"/>
      <c r="AX52" s="280" t="n"/>
      <c r="AY52" s="280" t="n"/>
      <c r="AZ52" s="280" t="n"/>
      <c r="BA52" s="280" t="n"/>
      <c r="BB52" s="280" t="n"/>
      <c r="BC52" s="280" t="n"/>
      <c r="BD52" s="280" t="n"/>
      <c r="BE52" s="280" t="n"/>
      <c r="BF52" s="280" t="n"/>
      <c r="BG52" s="280" t="n"/>
      <c r="BH52" s="280" t="n"/>
    </row>
    <row r="53" ht="15.5" customFormat="1" customHeight="1" s="66">
      <c r="B53" s="291" t="n">
        <v>47757</v>
      </c>
      <c r="C53" s="292" t="n">
        <v>7</v>
      </c>
      <c r="D53" s="293" t="inlineStr">
        <is>
          <t>sdasd</t>
        </is>
      </c>
      <c r="E53" s="284" t="inlineStr">
        <is>
          <t>Mandiri</t>
        </is>
      </c>
      <c r="F53" s="294" t="n">
        <v>12</v>
      </c>
      <c r="G53" s="286" t="inlineStr">
        <is>
          <t>USD</t>
        </is>
      </c>
      <c r="H53" s="295" t="n">
        <v>1222</v>
      </c>
      <c r="I53" s="296" t="n"/>
      <c r="J53" s="296" t="n"/>
      <c r="K53" s="298" t="n"/>
      <c r="L53" s="297">
        <f>$F53*$H53</f>
        <v/>
      </c>
      <c r="M53" s="284" t="n"/>
      <c r="N53" s="284" t="n"/>
      <c r="O53" s="290" t="n"/>
      <c r="P53" s="290" t="n"/>
      <c r="Q53" s="290" t="n"/>
      <c r="R53" s="280" t="n"/>
      <c r="S53" s="280" t="n"/>
      <c r="T53" s="280" t="n"/>
      <c r="U53" s="280" t="n"/>
      <c r="V53" s="280" t="n"/>
      <c r="W53" s="280" t="n"/>
      <c r="X53" s="280" t="n"/>
      <c r="Y53" s="280" t="n"/>
      <c r="Z53" s="280" t="n"/>
      <c r="AA53" s="280" t="n"/>
      <c r="AB53" s="280" t="n"/>
      <c r="AC53" s="280" t="n"/>
      <c r="AD53" s="280" t="n"/>
      <c r="AE53" s="280" t="n"/>
      <c r="AF53" s="280" t="n"/>
      <c r="AG53" s="280" t="n"/>
      <c r="AH53" s="280" t="n"/>
      <c r="AI53" s="280" t="n"/>
      <c r="AJ53" s="280" t="n"/>
      <c r="AK53" s="280" t="n"/>
      <c r="AL53" s="280" t="n"/>
      <c r="AM53" s="280" t="n"/>
      <c r="AN53" s="280" t="n"/>
      <c r="AO53" s="280" t="n"/>
      <c r="AP53" s="280" t="n"/>
      <c r="AQ53" s="280" t="n"/>
      <c r="AR53" s="280" t="n"/>
      <c r="AS53" s="280" t="n"/>
      <c r="AT53" s="280" t="n"/>
      <c r="AU53" s="280" t="n"/>
      <c r="AV53" s="280" t="n"/>
      <c r="AW53" s="280" t="n"/>
      <c r="AX53" s="280" t="n"/>
      <c r="AY53" s="280" t="n"/>
      <c r="AZ53" s="280" t="n"/>
      <c r="BA53" s="280" t="n"/>
      <c r="BB53" s="280" t="n"/>
      <c r="BC53" s="280" t="n"/>
      <c r="BD53" s="280" t="n"/>
      <c r="BE53" s="280" t="n"/>
      <c r="BF53" s="280" t="n"/>
      <c r="BG53" s="280" t="n"/>
      <c r="BH53" s="280" t="n"/>
    </row>
    <row r="54" ht="15.5" customFormat="1" customHeight="1" s="66">
      <c r="B54" s="291" t="n">
        <v>47848</v>
      </c>
      <c r="C54" s="292" t="n">
        <v>8</v>
      </c>
      <c r="D54" s="293" t="inlineStr">
        <is>
          <t>3234234</t>
        </is>
      </c>
      <c r="E54" s="284" t="inlineStr">
        <is>
          <t>Mandiri</t>
        </is>
      </c>
      <c r="F54" s="294" t="n">
        <v>234234</v>
      </c>
      <c r="G54" s="286" t="inlineStr">
        <is>
          <t>IDR</t>
        </is>
      </c>
      <c r="H54" s="295" t="n">
        <v>1</v>
      </c>
      <c r="I54" s="296" t="n"/>
      <c r="J54" s="296" t="n"/>
      <c r="K54" s="298" t="n"/>
      <c r="L54" s="297">
        <f>$F54*$H54</f>
        <v/>
      </c>
      <c r="M54" s="284" t="n"/>
      <c r="N54" s="284" t="n"/>
      <c r="O54" s="290" t="n"/>
      <c r="P54" s="290" t="n"/>
      <c r="Q54" s="290" t="n"/>
      <c r="R54" s="280" t="n"/>
      <c r="S54" s="280" t="n"/>
      <c r="T54" s="280" t="n"/>
      <c r="U54" s="280" t="n"/>
      <c r="V54" s="280" t="n"/>
      <c r="W54" s="280" t="n"/>
      <c r="X54" s="280" t="n"/>
      <c r="Y54" s="280" t="n"/>
      <c r="Z54" s="280" t="n"/>
      <c r="AA54" s="280" t="n"/>
      <c r="AB54" s="280" t="n"/>
      <c r="AC54" s="280" t="n"/>
      <c r="AD54" s="280" t="n"/>
      <c r="AE54" s="280" t="n"/>
      <c r="AF54" s="280" t="n"/>
      <c r="AG54" s="280" t="n"/>
      <c r="AH54" s="280" t="n"/>
      <c r="AI54" s="280" t="n"/>
      <c r="AJ54" s="280" t="n"/>
      <c r="AK54" s="280" t="n"/>
      <c r="AL54" s="280" t="n"/>
      <c r="AM54" s="280" t="n"/>
      <c r="AN54" s="280" t="n"/>
      <c r="AO54" s="280" t="n"/>
      <c r="AP54" s="280" t="n"/>
      <c r="AQ54" s="280" t="n"/>
      <c r="AR54" s="280" t="n"/>
      <c r="AS54" s="280" t="n"/>
      <c r="AT54" s="280" t="n"/>
      <c r="AU54" s="280" t="n"/>
      <c r="AV54" s="280" t="n"/>
      <c r="AW54" s="280" t="n"/>
      <c r="AX54" s="280" t="n"/>
      <c r="AY54" s="280" t="n"/>
      <c r="AZ54" s="280" t="n"/>
      <c r="BA54" s="280" t="n"/>
      <c r="BB54" s="280" t="n"/>
      <c r="BC54" s="280" t="n"/>
      <c r="BD54" s="280" t="n"/>
      <c r="BE54" s="280" t="n"/>
      <c r="BF54" s="280" t="n"/>
      <c r="BG54" s="280" t="n"/>
      <c r="BH54" s="280" t="n"/>
    </row>
    <row r="55" ht="15.5" customFormat="1" customHeight="1" s="66">
      <c r="B55" s="291" t="n">
        <v>47848</v>
      </c>
      <c r="C55" s="292" t="n">
        <v>9</v>
      </c>
      <c r="D55" s="293" t="inlineStr">
        <is>
          <t>23</t>
        </is>
      </c>
      <c r="E55" s="284" t="inlineStr">
        <is>
          <t>Mandiri</t>
        </is>
      </c>
      <c r="F55" s="294" t="n">
        <v>12323</v>
      </c>
      <c r="G55" s="286" t="inlineStr">
        <is>
          <t>EUR</t>
        </is>
      </c>
      <c r="H55" s="295" t="n">
        <v>1123</v>
      </c>
      <c r="I55" s="296" t="n"/>
      <c r="J55" s="296" t="n"/>
      <c r="K55" s="298" t="n"/>
      <c r="L55" s="297">
        <f>$F55*$H55</f>
        <v/>
      </c>
      <c r="M55" s="284" t="n"/>
      <c r="N55" s="284" t="n"/>
      <c r="O55" s="290" t="n"/>
      <c r="P55" s="290" t="n"/>
      <c r="Q55" s="290" t="n"/>
      <c r="R55" s="280" t="n"/>
      <c r="S55" s="280" t="n"/>
      <c r="T55" s="280" t="n"/>
      <c r="U55" s="280" t="n"/>
      <c r="V55" s="280" t="n"/>
      <c r="W55" s="280" t="n"/>
      <c r="X55" s="280" t="n"/>
      <c r="Y55" s="280" t="n"/>
      <c r="Z55" s="280" t="n"/>
      <c r="AA55" s="280" t="n"/>
      <c r="AB55" s="280" t="n"/>
      <c r="AC55" s="280" t="n"/>
      <c r="AD55" s="280" t="n"/>
      <c r="AE55" s="280" t="n"/>
      <c r="AF55" s="280" t="n"/>
      <c r="AG55" s="280" t="n"/>
      <c r="AH55" s="280" t="n"/>
      <c r="AI55" s="280" t="n"/>
      <c r="AJ55" s="280" t="n"/>
      <c r="AK55" s="280" t="n"/>
      <c r="AL55" s="280" t="n"/>
      <c r="AM55" s="280" t="n"/>
      <c r="AN55" s="280" t="n"/>
      <c r="AO55" s="280" t="n"/>
      <c r="AP55" s="280" t="n"/>
      <c r="AQ55" s="280" t="n"/>
      <c r="AR55" s="280" t="n"/>
      <c r="AS55" s="280" t="n"/>
      <c r="AT55" s="280" t="n"/>
      <c r="AU55" s="280" t="n"/>
      <c r="AV55" s="280" t="n"/>
      <c r="AW55" s="280" t="n"/>
      <c r="AX55" s="280" t="n"/>
      <c r="AY55" s="280" t="n"/>
      <c r="AZ55" s="280" t="n"/>
      <c r="BA55" s="280" t="n"/>
      <c r="BB55" s="280" t="n"/>
      <c r="BC55" s="280" t="n"/>
      <c r="BD55" s="280" t="n"/>
      <c r="BE55" s="280" t="n"/>
      <c r="BF55" s="280" t="n"/>
      <c r="BG55" s="280" t="n"/>
      <c r="BH55" s="280" t="n"/>
    </row>
    <row r="56" ht="15.5" customFormat="1" customHeight="1" s="66">
      <c r="B56" s="299" t="n"/>
      <c r="C56" s="300" t="n"/>
      <c r="D56" s="301" t="inlineStr">
        <is>
          <t>OPERATION COST AND OFFICE - Expenses Report</t>
        </is>
      </c>
      <c r="E56" s="302" t="n"/>
      <c r="F56" s="303" t="n"/>
      <c r="G56" s="300" t="n"/>
      <c r="H56" s="300" t="n"/>
      <c r="I56" s="304" t="n"/>
      <c r="J56" s="305" t="n"/>
      <c r="K56" s="299" t="n"/>
      <c r="L56" s="305" t="n"/>
      <c r="M56" s="299" t="n"/>
      <c r="N56" s="305" t="n"/>
      <c r="O56" s="306" t="n"/>
      <c r="P56" s="307" t="n"/>
      <c r="Q56" s="307" t="n"/>
      <c r="R56" s="280" t="n"/>
      <c r="S56" s="280" t="n"/>
      <c r="T56" s="280" t="n"/>
      <c r="U56" s="280" t="n"/>
      <c r="V56" s="280" t="n"/>
      <c r="W56" s="280" t="n"/>
      <c r="X56" s="280" t="n"/>
      <c r="Y56" s="280" t="n"/>
      <c r="Z56" s="280" t="n"/>
      <c r="AA56" s="280" t="n"/>
      <c r="AB56" s="280" t="n"/>
      <c r="AC56" s="280" t="n"/>
      <c r="AD56" s="280" t="n"/>
      <c r="AE56" s="280" t="n"/>
      <c r="AF56" s="280" t="n"/>
      <c r="AG56" s="280" t="n"/>
      <c r="AH56" s="280" t="n"/>
      <c r="AI56" s="280" t="n"/>
      <c r="AJ56" s="280" t="n"/>
      <c r="AK56" s="280" t="n"/>
      <c r="AL56" s="280" t="n"/>
      <c r="AM56" s="280" t="n"/>
      <c r="AN56" s="280" t="n"/>
      <c r="AO56" s="280" t="n"/>
      <c r="AP56" s="280" t="n"/>
      <c r="AQ56" s="280" t="n"/>
      <c r="AR56" s="280" t="n"/>
      <c r="AS56" s="280" t="n"/>
      <c r="AT56" s="280" t="n"/>
      <c r="AU56" s="280" t="n"/>
      <c r="AV56" s="280" t="n"/>
      <c r="AW56" s="280" t="n"/>
      <c r="AX56" s="280" t="n"/>
      <c r="AY56" s="280" t="n"/>
      <c r="AZ56" s="280" t="n"/>
      <c r="BA56" s="280" t="n"/>
      <c r="BB56" s="280" t="n"/>
      <c r="BC56" s="280" t="n"/>
      <c r="BD56" s="280" t="n"/>
      <c r="BE56" s="280" t="n"/>
      <c r="BF56" s="280" t="n"/>
      <c r="BG56" s="280" t="n"/>
      <c r="BH56" s="280" t="n"/>
    </row>
    <row r="57" ht="15.5" customFormat="1" customHeight="1" s="66">
      <c r="B57" s="308" t="inlineStr">
        <is>
          <t>Expense#1</t>
        </is>
      </c>
      <c r="C57" s="309" t="inlineStr">
        <is>
          <t>:</t>
        </is>
      </c>
      <c r="D57" s="310" t="inlineStr">
        <is>
          <t>Gudang</t>
        </is>
      </c>
      <c r="E57" s="311" t="n"/>
      <c r="F57" s="312" t="n"/>
      <c r="G57" s="311" t="n"/>
      <c r="H57" s="311" t="n"/>
      <c r="I57" s="311" t="n"/>
      <c r="J57" s="313" t="n"/>
      <c r="K57" s="314" t="n"/>
      <c r="L57" s="313" t="n"/>
      <c r="M57" s="314" t="n"/>
      <c r="N57" s="313" t="n"/>
      <c r="O57" s="306" t="n"/>
      <c r="P57" s="307" t="n"/>
      <c r="Q57" s="307" t="n"/>
      <c r="R57" s="280" t="n"/>
      <c r="S57" s="280" t="n"/>
      <c r="T57" s="280" t="n"/>
      <c r="U57" s="280" t="n"/>
      <c r="V57" s="280" t="n"/>
      <c r="W57" s="280" t="n"/>
      <c r="X57" s="280" t="n"/>
      <c r="Y57" s="280" t="n"/>
      <c r="Z57" s="280" t="n"/>
      <c r="AA57" s="280" t="n"/>
      <c r="AB57" s="280" t="n"/>
      <c r="AC57" s="280" t="n"/>
      <c r="AD57" s="280" t="n"/>
      <c r="AE57" s="280" t="n"/>
      <c r="AF57" s="280" t="n"/>
      <c r="AG57" s="280" t="n"/>
      <c r="AH57" s="280" t="n"/>
      <c r="AI57" s="280" t="n"/>
      <c r="AJ57" s="280" t="n"/>
      <c r="AK57" s="280" t="n"/>
      <c r="AL57" s="280" t="n"/>
      <c r="AM57" s="280" t="n"/>
      <c r="AN57" s="280" t="n"/>
      <c r="AO57" s="280" t="n"/>
      <c r="AP57" s="280" t="n"/>
      <c r="AQ57" s="280" t="n"/>
      <c r="AR57" s="280" t="n"/>
      <c r="AS57" s="280" t="n"/>
      <c r="AT57" s="280" t="n"/>
      <c r="AU57" s="280" t="n"/>
      <c r="AV57" s="280" t="n"/>
      <c r="AW57" s="280" t="n"/>
      <c r="AX57" s="280" t="n"/>
      <c r="AY57" s="280" t="n"/>
      <c r="AZ57" s="280" t="n"/>
      <c r="BA57" s="280" t="n"/>
      <c r="BB57" s="280" t="n"/>
      <c r="BC57" s="280" t="n"/>
      <c r="BD57" s="280" t="n"/>
      <c r="BE57" s="280" t="n"/>
      <c r="BF57" s="280" t="n"/>
      <c r="BG57" s="280" t="n"/>
      <c r="BH57" s="280" t="n"/>
    </row>
    <row r="58" ht="15.5" customFormat="1" customHeight="1" s="66">
      <c r="B58" s="315" t="n"/>
      <c r="C58" s="316" t="n"/>
      <c r="D58" s="317" t="inlineStr">
        <is>
          <t>123123</t>
        </is>
      </c>
      <c r="E58" s="318" t="n"/>
      <c r="F58" s="319" t="n"/>
      <c r="G58" s="316" t="n"/>
      <c r="H58" s="316" t="n"/>
      <c r="I58" s="316" t="n"/>
      <c r="J58" s="320" t="n"/>
      <c r="K58" s="315" t="n"/>
      <c r="L58" s="320" t="n"/>
      <c r="M58" s="315" t="n"/>
      <c r="N58" s="320" t="n"/>
      <c r="O58" s="306" t="n"/>
      <c r="P58" s="307" t="n"/>
      <c r="Q58" s="307" t="n"/>
      <c r="R58" s="280" t="n"/>
      <c r="S58" s="280" t="n"/>
      <c r="T58" s="280" t="n"/>
      <c r="U58" s="280" t="n"/>
      <c r="V58" s="280" t="n"/>
      <c r="W58" s="280" t="n"/>
      <c r="X58" s="280" t="n"/>
      <c r="Y58" s="280" t="n"/>
      <c r="Z58" s="280" t="n"/>
      <c r="AA58" s="280" t="n"/>
      <c r="AB58" s="280" t="n"/>
      <c r="AC58" s="280" t="n"/>
      <c r="AD58" s="280" t="n"/>
      <c r="AE58" s="280" t="n"/>
      <c r="AF58" s="280" t="n"/>
      <c r="AG58" s="280" t="n"/>
      <c r="AH58" s="280" t="n"/>
      <c r="AI58" s="280" t="n"/>
      <c r="AJ58" s="280" t="n"/>
      <c r="AK58" s="280" t="n"/>
      <c r="AL58" s="280" t="n"/>
      <c r="AM58" s="280" t="n"/>
      <c r="AN58" s="280" t="n"/>
      <c r="AO58" s="280" t="n"/>
      <c r="AP58" s="280" t="n"/>
      <c r="AQ58" s="280" t="n"/>
      <c r="AR58" s="280" t="n"/>
      <c r="AS58" s="280" t="n"/>
      <c r="AT58" s="280" t="n"/>
      <c r="AU58" s="280" t="n"/>
      <c r="AV58" s="280" t="n"/>
      <c r="AW58" s="280" t="n"/>
      <c r="AX58" s="280" t="n"/>
      <c r="AY58" s="280" t="n"/>
      <c r="AZ58" s="280" t="n"/>
      <c r="BA58" s="280" t="n"/>
      <c r="BB58" s="280" t="n"/>
      <c r="BC58" s="280" t="n"/>
      <c r="BD58" s="280" t="n"/>
      <c r="BE58" s="280" t="n"/>
      <c r="BF58" s="280" t="n"/>
      <c r="BG58" s="280" t="n"/>
      <c r="BH58" s="280" t="n"/>
    </row>
    <row r="59" ht="15.5" customFormat="1" customHeight="1" s="66">
      <c r="B59" s="291" t="n">
        <v>47848</v>
      </c>
      <c r="C59" s="292" t="n">
        <v>10</v>
      </c>
      <c r="D59" s="293" t="inlineStr">
        <is>
          <t>123123</t>
        </is>
      </c>
      <c r="E59" s="284" t="inlineStr">
        <is>
          <t>BCA</t>
        </is>
      </c>
      <c r="F59" s="294" t="n">
        <v>123123</v>
      </c>
      <c r="G59" s="286" t="inlineStr">
        <is>
          <t>IDR</t>
        </is>
      </c>
      <c r="H59" s="295" t="n">
        <v>1</v>
      </c>
      <c r="I59" s="296" t="n"/>
      <c r="J59" s="296" t="n"/>
      <c r="K59" s="298" t="n"/>
      <c r="L59" s="284" t="n"/>
      <c r="M59" s="284" t="n"/>
      <c r="N59" s="297">
        <f>$F59*$H59</f>
        <v/>
      </c>
      <c r="O59" s="290" t="n"/>
      <c r="P59" s="290" t="n"/>
      <c r="Q59" s="290" t="n"/>
      <c r="R59" s="280" t="n"/>
      <c r="S59" s="280" t="n"/>
      <c r="T59" s="280" t="n"/>
      <c r="U59" s="280" t="n"/>
      <c r="V59" s="280" t="n"/>
      <c r="W59" s="280" t="n"/>
      <c r="X59" s="280" t="n"/>
      <c r="Y59" s="280" t="n"/>
      <c r="Z59" s="280" t="n"/>
      <c r="AA59" s="280" t="n"/>
      <c r="AB59" s="280" t="n"/>
      <c r="AC59" s="280" t="n"/>
      <c r="AD59" s="280" t="n"/>
      <c r="AE59" s="280" t="n"/>
      <c r="AF59" s="280" t="n"/>
      <c r="AG59" s="280" t="n"/>
      <c r="AH59" s="280" t="n"/>
      <c r="AI59" s="280" t="n"/>
      <c r="AJ59" s="280" t="n"/>
      <c r="AK59" s="280" t="n"/>
      <c r="AL59" s="280" t="n"/>
      <c r="AM59" s="280" t="n"/>
      <c r="AN59" s="280" t="n"/>
      <c r="AO59" s="280" t="n"/>
      <c r="AP59" s="280" t="n"/>
      <c r="AQ59" s="280" t="n"/>
      <c r="AR59" s="280" t="n"/>
      <c r="AS59" s="280" t="n"/>
      <c r="AT59" s="280" t="n"/>
      <c r="AU59" s="280" t="n"/>
      <c r="AV59" s="280" t="n"/>
      <c r="AW59" s="280" t="n"/>
      <c r="AX59" s="280" t="n"/>
      <c r="AY59" s="280" t="n"/>
      <c r="AZ59" s="280" t="n"/>
      <c r="BA59" s="280" t="n"/>
      <c r="BB59" s="280" t="n"/>
      <c r="BC59" s="280" t="n"/>
      <c r="BD59" s="280" t="n"/>
      <c r="BE59" s="280" t="n"/>
      <c r="BF59" s="280" t="n"/>
      <c r="BG59" s="280" t="n"/>
      <c r="BH59" s="280" t="n"/>
    </row>
    <row r="60" ht="15.5" customFormat="1" customHeight="1" s="66">
      <c r="B60" s="315" t="n"/>
      <c r="C60" s="316" t="n"/>
      <c r="D60" s="317" t="inlineStr">
        <is>
          <t>Meal</t>
        </is>
      </c>
      <c r="E60" s="318" t="n"/>
      <c r="F60" s="319" t="n"/>
      <c r="G60" s="316" t="n"/>
      <c r="H60" s="316" t="n"/>
      <c r="I60" s="316" t="n"/>
      <c r="J60" s="320" t="n"/>
      <c r="K60" s="315" t="n"/>
      <c r="L60" s="320" t="n"/>
      <c r="M60" s="315" t="n"/>
      <c r="N60" s="320" t="n"/>
      <c r="O60" s="306" t="n"/>
      <c r="P60" s="307" t="n"/>
      <c r="Q60" s="307" t="n"/>
      <c r="R60" s="280" t="n"/>
      <c r="S60" s="280" t="n"/>
      <c r="T60" s="280" t="n"/>
      <c r="U60" s="280" t="n"/>
      <c r="V60" s="280" t="n"/>
      <c r="W60" s="280" t="n"/>
      <c r="X60" s="280" t="n"/>
      <c r="Y60" s="280" t="n"/>
      <c r="Z60" s="280" t="n"/>
      <c r="AA60" s="280" t="n"/>
      <c r="AB60" s="280" t="n"/>
      <c r="AC60" s="280" t="n"/>
      <c r="AD60" s="280" t="n"/>
      <c r="AE60" s="280" t="n"/>
      <c r="AF60" s="280" t="n"/>
      <c r="AG60" s="280" t="n"/>
      <c r="AH60" s="280" t="n"/>
      <c r="AI60" s="280" t="n"/>
      <c r="AJ60" s="280" t="n"/>
      <c r="AK60" s="280" t="n"/>
      <c r="AL60" s="280" t="n"/>
      <c r="AM60" s="280" t="n"/>
      <c r="AN60" s="280" t="n"/>
      <c r="AO60" s="280" t="n"/>
      <c r="AP60" s="280" t="n"/>
      <c r="AQ60" s="280" t="n"/>
      <c r="AR60" s="280" t="n"/>
      <c r="AS60" s="280" t="n"/>
      <c r="AT60" s="280" t="n"/>
      <c r="AU60" s="280" t="n"/>
      <c r="AV60" s="280" t="n"/>
      <c r="AW60" s="280" t="n"/>
      <c r="AX60" s="280" t="n"/>
      <c r="AY60" s="280" t="n"/>
      <c r="AZ60" s="280" t="n"/>
      <c r="BA60" s="280" t="n"/>
      <c r="BB60" s="280" t="n"/>
      <c r="BC60" s="280" t="n"/>
      <c r="BD60" s="280" t="n"/>
      <c r="BE60" s="280" t="n"/>
      <c r="BF60" s="280" t="n"/>
      <c r="BG60" s="280" t="n"/>
      <c r="BH60" s="280" t="n"/>
    </row>
    <row r="61" ht="15.5" customFormat="1" customHeight="1" s="66">
      <c r="B61" s="291" t="n">
        <v>47848</v>
      </c>
      <c r="C61" s="292" t="n">
        <v>11</v>
      </c>
      <c r="D61" s="293" t="inlineStr">
        <is>
          <t>werw</t>
        </is>
      </c>
      <c r="E61" s="284" t="inlineStr">
        <is>
          <t>BRI</t>
        </is>
      </c>
      <c r="F61" s="294" t="n">
        <v>123123</v>
      </c>
      <c r="G61" s="286" t="inlineStr">
        <is>
          <t>IDR</t>
        </is>
      </c>
      <c r="H61" s="295" t="n">
        <v>1</v>
      </c>
      <c r="I61" s="296" t="n"/>
      <c r="J61" s="296" t="n"/>
      <c r="K61" s="297">
        <f>$F61*$H61</f>
        <v/>
      </c>
      <c r="L61" s="284" t="n"/>
      <c r="M61" s="284" t="n"/>
      <c r="N61" s="284" t="n"/>
      <c r="O61" s="290" t="n"/>
      <c r="P61" s="290" t="n"/>
      <c r="Q61" s="290" t="n"/>
      <c r="R61" s="280" t="n"/>
      <c r="S61" s="280" t="n"/>
      <c r="T61" s="280" t="n"/>
      <c r="U61" s="280" t="n"/>
      <c r="V61" s="280" t="n"/>
      <c r="W61" s="280" t="n"/>
      <c r="X61" s="280" t="n"/>
      <c r="Y61" s="280" t="n"/>
      <c r="Z61" s="280" t="n"/>
      <c r="AA61" s="280" t="n"/>
      <c r="AB61" s="280" t="n"/>
      <c r="AC61" s="280" t="n"/>
      <c r="AD61" s="280" t="n"/>
      <c r="AE61" s="280" t="n"/>
      <c r="AF61" s="280" t="n"/>
      <c r="AG61" s="280" t="n"/>
      <c r="AH61" s="280" t="n"/>
      <c r="AI61" s="280" t="n"/>
      <c r="AJ61" s="280" t="n"/>
      <c r="AK61" s="280" t="n"/>
      <c r="AL61" s="280" t="n"/>
      <c r="AM61" s="280" t="n"/>
      <c r="AN61" s="280" t="n"/>
      <c r="AO61" s="280" t="n"/>
      <c r="AP61" s="280" t="n"/>
      <c r="AQ61" s="280" t="n"/>
      <c r="AR61" s="280" t="n"/>
      <c r="AS61" s="280" t="n"/>
      <c r="AT61" s="280" t="n"/>
      <c r="AU61" s="280" t="n"/>
      <c r="AV61" s="280" t="n"/>
      <c r="AW61" s="280" t="n"/>
      <c r="AX61" s="280" t="n"/>
      <c r="AY61" s="280" t="n"/>
      <c r="AZ61" s="280" t="n"/>
      <c r="BA61" s="280" t="n"/>
      <c r="BB61" s="280" t="n"/>
      <c r="BC61" s="280" t="n"/>
      <c r="BD61" s="280" t="n"/>
      <c r="BE61" s="280" t="n"/>
      <c r="BF61" s="280" t="n"/>
      <c r="BG61" s="280" t="n"/>
      <c r="BH61" s="280" t="n"/>
    </row>
    <row r="62" ht="15.5" customFormat="1" customHeight="1" s="66">
      <c r="B62" s="315" t="n"/>
      <c r="C62" s="316" t="n"/>
      <c r="D62" s="317" t="inlineStr">
        <is>
          <t>nabil</t>
        </is>
      </c>
      <c r="E62" s="318" t="n"/>
      <c r="F62" s="319" t="n"/>
      <c r="G62" s="316" t="n"/>
      <c r="H62" s="316" t="n"/>
      <c r="I62" s="316" t="n"/>
      <c r="J62" s="320" t="n"/>
      <c r="K62" s="315" t="n"/>
      <c r="L62" s="320" t="n"/>
      <c r="M62" s="315" t="n"/>
      <c r="N62" s="320" t="n"/>
      <c r="O62" s="306" t="n"/>
      <c r="P62" s="307" t="n"/>
      <c r="Q62" s="307" t="n"/>
      <c r="R62" s="280" t="n"/>
      <c r="S62" s="280" t="n"/>
      <c r="T62" s="280" t="n"/>
      <c r="U62" s="280" t="n"/>
      <c r="V62" s="280" t="n"/>
      <c r="W62" s="280" t="n"/>
      <c r="X62" s="280" t="n"/>
      <c r="Y62" s="280" t="n"/>
      <c r="Z62" s="280" t="n"/>
      <c r="AA62" s="280" t="n"/>
      <c r="AB62" s="280" t="n"/>
      <c r="AC62" s="280" t="n"/>
      <c r="AD62" s="280" t="n"/>
      <c r="AE62" s="280" t="n"/>
      <c r="AF62" s="280" t="n"/>
      <c r="AG62" s="280" t="n"/>
      <c r="AH62" s="280" t="n"/>
      <c r="AI62" s="280" t="n"/>
      <c r="AJ62" s="280" t="n"/>
      <c r="AK62" s="280" t="n"/>
      <c r="AL62" s="280" t="n"/>
      <c r="AM62" s="280" t="n"/>
      <c r="AN62" s="280" t="n"/>
      <c r="AO62" s="280" t="n"/>
      <c r="AP62" s="280" t="n"/>
      <c r="AQ62" s="280" t="n"/>
      <c r="AR62" s="280" t="n"/>
      <c r="AS62" s="280" t="n"/>
      <c r="AT62" s="280" t="n"/>
      <c r="AU62" s="280" t="n"/>
      <c r="AV62" s="280" t="n"/>
      <c r="AW62" s="280" t="n"/>
      <c r="AX62" s="280" t="n"/>
      <c r="AY62" s="280" t="n"/>
      <c r="AZ62" s="280" t="n"/>
      <c r="BA62" s="280" t="n"/>
      <c r="BB62" s="280" t="n"/>
      <c r="BC62" s="280" t="n"/>
      <c r="BD62" s="280" t="n"/>
      <c r="BE62" s="280" t="n"/>
      <c r="BF62" s="280" t="n"/>
      <c r="BG62" s="280" t="n"/>
      <c r="BH62" s="280" t="n"/>
    </row>
    <row r="63" ht="15.5" customFormat="1" customHeight="1" s="66">
      <c r="B63" s="291" t="n">
        <v>47848</v>
      </c>
      <c r="C63" s="292" t="n">
        <v>12</v>
      </c>
      <c r="D63" s="293" t="inlineStr">
        <is>
          <t>reza</t>
        </is>
      </c>
      <c r="E63" s="284" t="inlineStr">
        <is>
          <t>BCA</t>
        </is>
      </c>
      <c r="F63" s="294" t="n">
        <v>30000</v>
      </c>
      <c r="G63" s="286" t="inlineStr">
        <is>
          <t>IDR</t>
        </is>
      </c>
      <c r="H63" s="295" t="n">
        <v>1</v>
      </c>
      <c r="I63" s="296" t="n"/>
      <c r="J63" s="296" t="n"/>
      <c r="K63" s="298" t="n"/>
      <c r="L63" s="297">
        <f>$F63*$H63</f>
        <v/>
      </c>
      <c r="M63" s="284" t="n"/>
      <c r="N63" s="284" t="n"/>
      <c r="O63" s="290" t="n"/>
      <c r="P63" s="290" t="n"/>
      <c r="Q63" s="290" t="n"/>
      <c r="R63" s="280" t="n"/>
      <c r="S63" s="280" t="n"/>
      <c r="T63" s="280" t="n"/>
      <c r="U63" s="280" t="n"/>
      <c r="V63" s="280" t="n"/>
      <c r="W63" s="280" t="n"/>
      <c r="X63" s="280" t="n"/>
      <c r="Y63" s="280" t="n"/>
      <c r="Z63" s="280" t="n"/>
      <c r="AA63" s="280" t="n"/>
      <c r="AB63" s="280" t="n"/>
      <c r="AC63" s="280" t="n"/>
      <c r="AD63" s="280" t="n"/>
      <c r="AE63" s="280" t="n"/>
      <c r="AF63" s="280" t="n"/>
      <c r="AG63" s="280" t="n"/>
      <c r="AH63" s="280" t="n"/>
      <c r="AI63" s="280" t="n"/>
      <c r="AJ63" s="280" t="n"/>
      <c r="AK63" s="280" t="n"/>
      <c r="AL63" s="280" t="n"/>
      <c r="AM63" s="280" t="n"/>
      <c r="AN63" s="280" t="n"/>
      <c r="AO63" s="280" t="n"/>
      <c r="AP63" s="280" t="n"/>
      <c r="AQ63" s="280" t="n"/>
      <c r="AR63" s="280" t="n"/>
      <c r="AS63" s="280" t="n"/>
      <c r="AT63" s="280" t="n"/>
      <c r="AU63" s="280" t="n"/>
      <c r="AV63" s="280" t="n"/>
      <c r="AW63" s="280" t="n"/>
      <c r="AX63" s="280" t="n"/>
      <c r="AY63" s="280" t="n"/>
      <c r="AZ63" s="280" t="n"/>
      <c r="BA63" s="280" t="n"/>
      <c r="BB63" s="280" t="n"/>
      <c r="BC63" s="280" t="n"/>
      <c r="BD63" s="280" t="n"/>
      <c r="BE63" s="280" t="n"/>
      <c r="BF63" s="280" t="n"/>
      <c r="BG63" s="280" t="n"/>
      <c r="BH63" s="280" t="n"/>
    </row>
    <row r="64" ht="15.5" customFormat="1" customHeight="1" s="66">
      <c r="B64" s="308" t="inlineStr">
        <is>
          <t>Expense#2</t>
        </is>
      </c>
      <c r="C64" s="309" t="inlineStr">
        <is>
          <t>:</t>
        </is>
      </c>
      <c r="D64" s="310" t="inlineStr">
        <is>
          <t>sasdas</t>
        </is>
      </c>
      <c r="E64" s="311" t="n"/>
      <c r="F64" s="312" t="n"/>
      <c r="G64" s="311" t="n"/>
      <c r="H64" s="311" t="n"/>
      <c r="I64" s="311" t="n"/>
      <c r="J64" s="313" t="n"/>
      <c r="K64" s="314" t="n"/>
      <c r="L64" s="313" t="n"/>
      <c r="M64" s="314" t="n"/>
      <c r="N64" s="313" t="n"/>
      <c r="O64" s="306" t="n"/>
      <c r="P64" s="307" t="n"/>
      <c r="Q64" s="307" t="n"/>
      <c r="R64" s="280" t="n"/>
      <c r="S64" s="280" t="n"/>
      <c r="T64" s="280" t="n"/>
      <c r="U64" s="280" t="n"/>
      <c r="V64" s="280" t="n"/>
      <c r="W64" s="280" t="n"/>
      <c r="X64" s="280" t="n"/>
      <c r="Y64" s="280" t="n"/>
      <c r="Z64" s="280" t="n"/>
      <c r="AA64" s="280" t="n"/>
      <c r="AB64" s="280" t="n"/>
      <c r="AC64" s="280" t="n"/>
      <c r="AD64" s="280" t="n"/>
      <c r="AE64" s="280" t="n"/>
      <c r="AF64" s="280" t="n"/>
      <c r="AG64" s="280" t="n"/>
      <c r="AH64" s="280" t="n"/>
      <c r="AI64" s="280" t="n"/>
      <c r="AJ64" s="280" t="n"/>
      <c r="AK64" s="280" t="n"/>
      <c r="AL64" s="280" t="n"/>
      <c r="AM64" s="280" t="n"/>
      <c r="AN64" s="280" t="n"/>
      <c r="AO64" s="280" t="n"/>
      <c r="AP64" s="280" t="n"/>
      <c r="AQ64" s="280" t="n"/>
      <c r="AR64" s="280" t="n"/>
      <c r="AS64" s="280" t="n"/>
      <c r="AT64" s="280" t="n"/>
      <c r="AU64" s="280" t="n"/>
      <c r="AV64" s="280" t="n"/>
      <c r="AW64" s="280" t="n"/>
      <c r="AX64" s="280" t="n"/>
      <c r="AY64" s="280" t="n"/>
      <c r="AZ64" s="280" t="n"/>
      <c r="BA64" s="280" t="n"/>
      <c r="BB64" s="280" t="n"/>
      <c r="BC64" s="280" t="n"/>
      <c r="BD64" s="280" t="n"/>
      <c r="BE64" s="280" t="n"/>
      <c r="BF64" s="280" t="n"/>
      <c r="BG64" s="280" t="n"/>
      <c r="BH64" s="280" t="n"/>
    </row>
    <row r="65" ht="15.5" customFormat="1" customHeight="1" s="66">
      <c r="B65" s="315" t="n"/>
      <c r="C65" s="316" t="n"/>
      <c r="D65" s="317" t="inlineStr">
        <is>
          <t>123123</t>
        </is>
      </c>
      <c r="E65" s="318" t="n"/>
      <c r="F65" s="319" t="n"/>
      <c r="G65" s="316" t="n"/>
      <c r="H65" s="316" t="n"/>
      <c r="I65" s="316" t="n"/>
      <c r="J65" s="320" t="n"/>
      <c r="K65" s="315" t="n"/>
      <c r="L65" s="320" t="n"/>
      <c r="M65" s="315" t="n"/>
      <c r="N65" s="320" t="n"/>
      <c r="O65" s="306" t="n"/>
      <c r="P65" s="307" t="n"/>
      <c r="Q65" s="307" t="n"/>
      <c r="R65" s="280" t="n"/>
      <c r="S65" s="280" t="n"/>
      <c r="T65" s="280" t="n"/>
      <c r="U65" s="280" t="n"/>
      <c r="V65" s="280" t="n"/>
      <c r="W65" s="280" t="n"/>
      <c r="X65" s="280" t="n"/>
      <c r="Y65" s="280" t="n"/>
      <c r="Z65" s="280" t="n"/>
      <c r="AA65" s="280" t="n"/>
      <c r="AB65" s="280" t="n"/>
      <c r="AC65" s="280" t="n"/>
      <c r="AD65" s="280" t="n"/>
      <c r="AE65" s="280" t="n"/>
      <c r="AF65" s="280" t="n"/>
      <c r="AG65" s="280" t="n"/>
      <c r="AH65" s="280" t="n"/>
      <c r="AI65" s="280" t="n"/>
      <c r="AJ65" s="280" t="n"/>
      <c r="AK65" s="280" t="n"/>
      <c r="AL65" s="280" t="n"/>
      <c r="AM65" s="280" t="n"/>
      <c r="AN65" s="280" t="n"/>
      <c r="AO65" s="280" t="n"/>
      <c r="AP65" s="280" t="n"/>
      <c r="AQ65" s="280" t="n"/>
      <c r="AR65" s="280" t="n"/>
      <c r="AS65" s="280" t="n"/>
      <c r="AT65" s="280" t="n"/>
      <c r="AU65" s="280" t="n"/>
      <c r="AV65" s="280" t="n"/>
      <c r="AW65" s="280" t="n"/>
      <c r="AX65" s="280" t="n"/>
      <c r="AY65" s="280" t="n"/>
      <c r="AZ65" s="280" t="n"/>
      <c r="BA65" s="280" t="n"/>
      <c r="BB65" s="280" t="n"/>
      <c r="BC65" s="280" t="n"/>
      <c r="BD65" s="280" t="n"/>
      <c r="BE65" s="280" t="n"/>
      <c r="BF65" s="280" t="n"/>
      <c r="BG65" s="280" t="n"/>
      <c r="BH65" s="280" t="n"/>
    </row>
    <row r="66" ht="15.5" customFormat="1" customHeight="1" s="66">
      <c r="B66" s="291" t="n">
        <v>47848</v>
      </c>
      <c r="C66" s="292" t="n">
        <v>13</v>
      </c>
      <c r="D66" s="293" t="inlineStr">
        <is>
          <t>123123</t>
        </is>
      </c>
      <c r="E66" s="284" t="inlineStr">
        <is>
          <t>Advance</t>
        </is>
      </c>
      <c r="F66" s="294" t="n">
        <v>1</v>
      </c>
      <c r="G66" s="286" t="inlineStr">
        <is>
          <t>USD</t>
        </is>
      </c>
      <c r="H66" s="295" t="n">
        <v>101</v>
      </c>
      <c r="I66" s="296" t="n"/>
      <c r="J66" s="296" t="n"/>
      <c r="K66" s="298" t="n"/>
      <c r="L66" s="284" t="n"/>
      <c r="M66" s="284" t="n"/>
      <c r="N66" s="297">
        <f>$F66*$H66</f>
        <v/>
      </c>
      <c r="O66" s="290" t="n"/>
      <c r="P66" s="290" t="n"/>
      <c r="Q66" s="290" t="n"/>
      <c r="R66" s="280" t="n"/>
      <c r="S66" s="280" t="n"/>
      <c r="T66" s="280" t="n"/>
      <c r="U66" s="280" t="n"/>
      <c r="V66" s="280" t="n"/>
      <c r="W66" s="280" t="n"/>
      <c r="X66" s="280" t="n"/>
      <c r="Y66" s="280" t="n"/>
      <c r="Z66" s="280" t="n"/>
      <c r="AA66" s="280" t="n"/>
      <c r="AB66" s="280" t="n"/>
      <c r="AC66" s="280" t="n"/>
      <c r="AD66" s="280" t="n"/>
      <c r="AE66" s="280" t="n"/>
      <c r="AF66" s="280" t="n"/>
      <c r="AG66" s="280" t="n"/>
      <c r="AH66" s="280" t="n"/>
      <c r="AI66" s="280" t="n"/>
      <c r="AJ66" s="280" t="n"/>
      <c r="AK66" s="280" t="n"/>
      <c r="AL66" s="280" t="n"/>
      <c r="AM66" s="280" t="n"/>
      <c r="AN66" s="280" t="n"/>
      <c r="AO66" s="280" t="n"/>
      <c r="AP66" s="280" t="n"/>
      <c r="AQ66" s="280" t="n"/>
      <c r="AR66" s="280" t="n"/>
      <c r="AS66" s="280" t="n"/>
      <c r="AT66" s="280" t="n"/>
      <c r="AU66" s="280" t="n"/>
      <c r="AV66" s="280" t="n"/>
      <c r="AW66" s="280" t="n"/>
      <c r="AX66" s="280" t="n"/>
      <c r="AY66" s="280" t="n"/>
      <c r="AZ66" s="280" t="n"/>
      <c r="BA66" s="280" t="n"/>
      <c r="BB66" s="280" t="n"/>
      <c r="BC66" s="280" t="n"/>
      <c r="BD66" s="280" t="n"/>
      <c r="BE66" s="280" t="n"/>
      <c r="BF66" s="280" t="n"/>
      <c r="BG66" s="280" t="n"/>
      <c r="BH66" s="280" t="n"/>
    </row>
    <row r="67" ht="15.5" customHeight="1">
      <c r="B67" s="315" t="n"/>
      <c r="C67" s="316" t="n"/>
      <c r="D67" s="317" t="inlineStr">
        <is>
          <t>Allowance</t>
        </is>
      </c>
      <c r="E67" s="318" t="n"/>
      <c r="F67" s="319" t="n"/>
      <c r="G67" s="316" t="n"/>
      <c r="H67" s="316" t="n"/>
      <c r="I67" s="316" t="n"/>
      <c r="J67" s="320" t="n"/>
      <c r="K67" s="315" t="n"/>
      <c r="L67" s="320" t="n"/>
      <c r="M67" s="315" t="n"/>
      <c r="N67" s="320" t="n"/>
      <c r="O67" s="306" t="n"/>
      <c r="P67" s="307" t="n"/>
      <c r="Q67" s="307" t="n"/>
      <c r="R67" s="280" t="n"/>
      <c r="S67" s="280" t="n"/>
      <c r="T67" s="280" t="n"/>
      <c r="U67" s="280" t="n"/>
      <c r="V67" s="280" t="n"/>
      <c r="W67" s="280" t="n"/>
      <c r="X67" s="280" t="n"/>
      <c r="Y67" s="280" t="n"/>
      <c r="Z67" s="280" t="n"/>
      <c r="AA67" s="280" t="n"/>
      <c r="AB67" s="280" t="n"/>
      <c r="AC67" s="280" t="n"/>
      <c r="AD67" s="280" t="n"/>
      <c r="AE67" s="280" t="n"/>
      <c r="AF67" s="280" t="n"/>
      <c r="AG67" s="280" t="n"/>
      <c r="AH67" s="280" t="n"/>
      <c r="AI67" s="280" t="n"/>
      <c r="AJ67" s="280" t="n"/>
      <c r="AK67" s="280" t="n"/>
      <c r="AL67" s="280" t="n"/>
      <c r="AM67" s="280" t="n"/>
      <c r="AN67" s="280" t="n"/>
      <c r="AO67" s="280" t="n"/>
      <c r="AP67" s="280" t="n"/>
      <c r="AQ67" s="280" t="n"/>
      <c r="AR67" s="280" t="n"/>
      <c r="AS67" s="280" t="n"/>
      <c r="AT67" s="280" t="n"/>
      <c r="AU67" s="280" t="n"/>
      <c r="AV67" s="280" t="n"/>
      <c r="AW67" s="280" t="n"/>
      <c r="AX67" s="280" t="n"/>
      <c r="AY67" s="280" t="n"/>
      <c r="AZ67" s="280" t="n"/>
      <c r="BA67" s="280" t="n"/>
      <c r="BB67" s="280" t="n"/>
      <c r="BC67" s="280" t="n"/>
      <c r="BD67" s="280" t="n"/>
      <c r="BE67" s="280" t="n"/>
      <c r="BF67" s="280" t="n"/>
      <c r="BG67" s="280" t="n"/>
      <c r="BH67" s="280" t="n"/>
    </row>
    <row r="68" ht="15.5" customHeight="1">
      <c r="A68" s="66" t="n"/>
      <c r="B68" s="291" t="n">
        <v>47848</v>
      </c>
      <c r="C68" s="292" t="n">
        <v>14</v>
      </c>
      <c r="D68" s="293" t="inlineStr">
        <is>
          <t>234234</t>
        </is>
      </c>
      <c r="E68" s="284" t="inlineStr">
        <is>
          <t>Advance</t>
        </is>
      </c>
      <c r="F68" s="294" t="n">
        <v>234324324</v>
      </c>
      <c r="G68" s="286" t="inlineStr">
        <is>
          <t>IDR</t>
        </is>
      </c>
      <c r="H68" s="295" t="n">
        <v>1</v>
      </c>
      <c r="I68" s="296" t="n"/>
      <c r="J68" s="296" t="n"/>
      <c r="K68" s="297">
        <f>$F68*$H68</f>
        <v/>
      </c>
      <c r="L68" s="284" t="n"/>
      <c r="M68" s="284" t="n"/>
      <c r="N68" s="284" t="n"/>
      <c r="O68" s="290" t="n"/>
      <c r="P68" s="290" t="n"/>
      <c r="Q68" s="290" t="n"/>
      <c r="R68" s="280" t="n"/>
      <c r="S68" s="280" t="n"/>
      <c r="T68" s="280" t="n"/>
      <c r="U68" s="280" t="n"/>
      <c r="V68" s="280" t="n"/>
      <c r="W68" s="280" t="n"/>
      <c r="X68" s="280" t="n"/>
      <c r="Y68" s="280" t="n"/>
      <c r="Z68" s="280" t="n"/>
      <c r="AA68" s="280" t="n"/>
      <c r="AB68" s="280" t="n"/>
      <c r="AC68" s="280" t="n"/>
      <c r="AD68" s="280" t="n"/>
      <c r="AE68" s="280" t="n"/>
      <c r="AF68" s="280" t="n"/>
      <c r="AG68" s="280" t="n"/>
      <c r="AH68" s="280" t="n"/>
      <c r="AI68" s="280" t="n"/>
      <c r="AJ68" s="280" t="n"/>
      <c r="AK68" s="280" t="n"/>
      <c r="AL68" s="280" t="n"/>
      <c r="AM68" s="280" t="n"/>
      <c r="AN68" s="280" t="n"/>
      <c r="AO68" s="280" t="n"/>
      <c r="AP68" s="280" t="n"/>
      <c r="AQ68" s="280" t="n"/>
      <c r="AR68" s="280" t="n"/>
      <c r="AS68" s="280" t="n"/>
      <c r="AT68" s="280" t="n"/>
      <c r="AU68" s="280" t="n"/>
      <c r="AV68" s="280" t="n"/>
      <c r="AW68" s="280" t="n"/>
      <c r="AX68" s="280" t="n"/>
      <c r="AY68" s="280" t="n"/>
      <c r="AZ68" s="280" t="n"/>
      <c r="BA68" s="280" t="n"/>
      <c r="BB68" s="280" t="n"/>
      <c r="BC68" s="280" t="n"/>
      <c r="BD68" s="280" t="n"/>
      <c r="BE68" s="280" t="n"/>
      <c r="BF68" s="280" t="n"/>
      <c r="BG68" s="280" t="n"/>
      <c r="BH68" s="280" t="n"/>
    </row>
    <row r="69" ht="15.5" customHeight="1">
      <c r="A69" s="66" t="n"/>
      <c r="B69" s="315" t="n"/>
      <c r="C69" s="316" t="n"/>
      <c r="D69" s="317" t="inlineStr">
        <is>
          <t>Rental Tool</t>
        </is>
      </c>
      <c r="E69" s="318" t="n"/>
      <c r="F69" s="319" t="n"/>
      <c r="G69" s="316" t="n"/>
      <c r="H69" s="316" t="n"/>
      <c r="I69" s="316" t="n"/>
      <c r="J69" s="320" t="n"/>
      <c r="K69" s="315" t="n"/>
      <c r="L69" s="320" t="n"/>
      <c r="M69" s="315" t="n"/>
      <c r="N69" s="320" t="n"/>
      <c r="O69" s="306" t="n"/>
      <c r="P69" s="307" t="n"/>
      <c r="Q69" s="307" t="n"/>
      <c r="R69" s="280" t="n"/>
      <c r="S69" s="280" t="n"/>
      <c r="T69" s="280" t="n"/>
      <c r="U69" s="280" t="n"/>
      <c r="V69" s="280" t="n"/>
      <c r="W69" s="280" t="n"/>
      <c r="X69" s="280" t="n"/>
      <c r="Y69" s="280" t="n"/>
      <c r="Z69" s="280" t="n"/>
      <c r="AA69" s="280" t="n"/>
      <c r="AB69" s="280" t="n"/>
      <c r="AC69" s="280" t="n"/>
      <c r="AD69" s="280" t="n"/>
      <c r="AE69" s="280" t="n"/>
      <c r="AF69" s="280" t="n"/>
      <c r="AG69" s="280" t="n"/>
      <c r="AH69" s="280" t="n"/>
      <c r="AI69" s="280" t="n"/>
      <c r="AJ69" s="280" t="n"/>
      <c r="AK69" s="280" t="n"/>
      <c r="AL69" s="280" t="n"/>
      <c r="AM69" s="280" t="n"/>
      <c r="AN69" s="280" t="n"/>
      <c r="AO69" s="280" t="n"/>
      <c r="AP69" s="280" t="n"/>
      <c r="AQ69" s="280" t="n"/>
      <c r="AR69" s="280" t="n"/>
      <c r="AS69" s="280" t="n"/>
      <c r="AT69" s="280" t="n"/>
      <c r="AU69" s="280" t="n"/>
      <c r="AV69" s="280" t="n"/>
      <c r="AW69" s="280" t="n"/>
      <c r="AX69" s="280" t="n"/>
      <c r="AY69" s="280" t="n"/>
      <c r="AZ69" s="280" t="n"/>
      <c r="BA69" s="280" t="n"/>
      <c r="BB69" s="280" t="n"/>
      <c r="BC69" s="280" t="n"/>
      <c r="BD69" s="280" t="n"/>
      <c r="BE69" s="280" t="n"/>
      <c r="BF69" s="280" t="n"/>
      <c r="BG69" s="280" t="n"/>
      <c r="BH69" s="280" t="n"/>
    </row>
    <row r="70" ht="15.5" customHeight="1">
      <c r="B70" s="291" t="n">
        <v>47848</v>
      </c>
      <c r="C70" s="292" t="n">
        <v>15</v>
      </c>
      <c r="D70" s="293" t="inlineStr">
        <is>
          <t>234</t>
        </is>
      </c>
      <c r="E70" s="284" t="inlineStr">
        <is>
          <t>Advance</t>
        </is>
      </c>
      <c r="F70" s="294" t="n">
        <v>4</v>
      </c>
      <c r="G70" s="286" t="inlineStr">
        <is>
          <t>USD</t>
        </is>
      </c>
      <c r="H70" s="295" t="n">
        <v>14444</v>
      </c>
      <c r="I70" s="321">
        <f>$F70*$H70</f>
        <v/>
      </c>
      <c r="J70" s="296" t="n"/>
      <c r="K70" s="298" t="n"/>
      <c r="L70" s="284" t="n"/>
      <c r="M70" s="284" t="n"/>
      <c r="N70" s="284" t="n"/>
      <c r="O70" s="290" t="n"/>
      <c r="P70" s="290" t="n"/>
      <c r="Q70" s="290" t="n"/>
      <c r="R70" s="280" t="n"/>
      <c r="S70" s="280" t="n"/>
      <c r="T70" s="280" t="n"/>
      <c r="U70" s="280" t="n"/>
      <c r="V70" s="280" t="n"/>
      <c r="W70" s="280" t="n"/>
      <c r="X70" s="280" t="n"/>
      <c r="Y70" s="280" t="n"/>
      <c r="Z70" s="280" t="n"/>
      <c r="AA70" s="280" t="n"/>
      <c r="AB70" s="280" t="n"/>
      <c r="AC70" s="280" t="n"/>
      <c r="AD70" s="280" t="n"/>
      <c r="AE70" s="280" t="n"/>
      <c r="AF70" s="280" t="n"/>
      <c r="AG70" s="280" t="n"/>
      <c r="AH70" s="280" t="n"/>
      <c r="AI70" s="280" t="n"/>
      <c r="AJ70" s="280" t="n"/>
      <c r="AK70" s="280" t="n"/>
      <c r="AL70" s="280" t="n"/>
      <c r="AM70" s="280" t="n"/>
      <c r="AN70" s="280" t="n"/>
      <c r="AO70" s="280" t="n"/>
      <c r="AP70" s="280" t="n"/>
      <c r="AQ70" s="280" t="n"/>
      <c r="AR70" s="280" t="n"/>
      <c r="AS70" s="280" t="n"/>
      <c r="AT70" s="280" t="n"/>
      <c r="AU70" s="280" t="n"/>
      <c r="AV70" s="280" t="n"/>
      <c r="AW70" s="280" t="n"/>
      <c r="AX70" s="280" t="n"/>
      <c r="AY70" s="280" t="n"/>
      <c r="AZ70" s="280" t="n"/>
      <c r="BA70" s="280" t="n"/>
      <c r="BB70" s="280" t="n"/>
      <c r="BC70" s="280" t="n"/>
      <c r="BD70" s="280" t="n"/>
      <c r="BE70" s="280" t="n"/>
      <c r="BF70" s="280" t="n"/>
      <c r="BG70" s="280" t="n"/>
      <c r="BH70" s="280" t="n"/>
    </row>
    <row r="71" ht="15.5" customHeight="1">
      <c r="B71" s="308" t="inlineStr">
        <is>
          <t>Expense#3</t>
        </is>
      </c>
      <c r="C71" s="309" t="inlineStr">
        <is>
          <t>:</t>
        </is>
      </c>
      <c r="D71" s="310" t="inlineStr">
        <is>
          <t>werwerewr</t>
        </is>
      </c>
      <c r="E71" s="311" t="n"/>
      <c r="F71" s="312" t="n"/>
      <c r="G71" s="311" t="n"/>
      <c r="H71" s="311" t="n"/>
      <c r="I71" s="311" t="n"/>
      <c r="J71" s="313" t="n"/>
      <c r="K71" s="314" t="n"/>
      <c r="L71" s="313" t="n"/>
      <c r="M71" s="314" t="n"/>
      <c r="N71" s="313" t="n"/>
      <c r="O71" s="306" t="n"/>
      <c r="P71" s="307" t="n"/>
      <c r="Q71" s="307" t="n"/>
      <c r="R71" s="280" t="n"/>
      <c r="S71" s="280" t="n"/>
      <c r="T71" s="280" t="n"/>
      <c r="U71" s="280" t="n"/>
      <c r="V71" s="280" t="n"/>
      <c r="W71" s="280" t="n"/>
      <c r="X71" s="280" t="n"/>
      <c r="Y71" s="280" t="n"/>
      <c r="Z71" s="280" t="n"/>
      <c r="AA71" s="280" t="n"/>
      <c r="AB71" s="280" t="n"/>
      <c r="AC71" s="280" t="n"/>
      <c r="AD71" s="280" t="n"/>
      <c r="AE71" s="280" t="n"/>
      <c r="AF71" s="280" t="n"/>
      <c r="AG71" s="280" t="n"/>
      <c r="AH71" s="280" t="n"/>
      <c r="AI71" s="280" t="n"/>
      <c r="AJ71" s="280" t="n"/>
      <c r="AK71" s="280" t="n"/>
      <c r="AL71" s="280" t="n"/>
      <c r="AM71" s="280" t="n"/>
      <c r="AN71" s="280" t="n"/>
      <c r="AO71" s="280" t="n"/>
      <c r="AP71" s="280" t="n"/>
      <c r="AQ71" s="280" t="n"/>
      <c r="AR71" s="280" t="n"/>
      <c r="AS71" s="280" t="n"/>
      <c r="AT71" s="280" t="n"/>
      <c r="AU71" s="280" t="n"/>
      <c r="AV71" s="280" t="n"/>
      <c r="AW71" s="280" t="n"/>
      <c r="AX71" s="280" t="n"/>
      <c r="AY71" s="280" t="n"/>
      <c r="AZ71" s="280" t="n"/>
      <c r="BA71" s="280" t="n"/>
      <c r="BB71" s="280" t="n"/>
      <c r="BC71" s="280" t="n"/>
      <c r="BD71" s="280" t="n"/>
      <c r="BE71" s="280" t="n"/>
      <c r="BF71" s="280" t="n"/>
      <c r="BG71" s="280" t="n"/>
      <c r="BH71" s="280" t="n"/>
    </row>
    <row r="72" ht="15.5" customHeight="1">
      <c r="B72" s="315" t="n"/>
      <c r="C72" s="316" t="n"/>
      <c r="D72" s="317" t="inlineStr">
        <is>
          <t>Accommodation</t>
        </is>
      </c>
      <c r="E72" s="318" t="n"/>
      <c r="F72" s="319" t="n"/>
      <c r="G72" s="316" t="n"/>
      <c r="H72" s="316" t="n"/>
      <c r="I72" s="316" t="n"/>
      <c r="J72" s="320" t="n"/>
      <c r="K72" s="315" t="n"/>
      <c r="L72" s="320" t="n"/>
      <c r="M72" s="315" t="n"/>
      <c r="N72" s="320" t="n"/>
      <c r="O72" s="306" t="n"/>
      <c r="P72" s="307" t="n"/>
      <c r="Q72" s="307" t="n"/>
      <c r="R72" s="280" t="n"/>
      <c r="S72" s="280" t="n"/>
      <c r="T72" s="280" t="n"/>
      <c r="U72" s="280" t="n"/>
      <c r="V72" s="280" t="n"/>
      <c r="W72" s="280" t="n"/>
      <c r="X72" s="280" t="n"/>
      <c r="Y72" s="280" t="n"/>
      <c r="Z72" s="280" t="n"/>
      <c r="AA72" s="280" t="n"/>
      <c r="AB72" s="280" t="n"/>
      <c r="AC72" s="280" t="n"/>
      <c r="AD72" s="280" t="n"/>
      <c r="AE72" s="280" t="n"/>
      <c r="AF72" s="280" t="n"/>
      <c r="AG72" s="280" t="n"/>
      <c r="AH72" s="280" t="n"/>
      <c r="AI72" s="280" t="n"/>
      <c r="AJ72" s="280" t="n"/>
      <c r="AK72" s="280" t="n"/>
      <c r="AL72" s="280" t="n"/>
      <c r="AM72" s="280" t="n"/>
      <c r="AN72" s="280" t="n"/>
      <c r="AO72" s="280" t="n"/>
      <c r="AP72" s="280" t="n"/>
      <c r="AQ72" s="280" t="n"/>
      <c r="AR72" s="280" t="n"/>
      <c r="AS72" s="280" t="n"/>
      <c r="AT72" s="280" t="n"/>
      <c r="AU72" s="280" t="n"/>
      <c r="AV72" s="280" t="n"/>
      <c r="AW72" s="280" t="n"/>
      <c r="AX72" s="280" t="n"/>
      <c r="AY72" s="280" t="n"/>
      <c r="AZ72" s="280" t="n"/>
      <c r="BA72" s="280" t="n"/>
      <c r="BB72" s="280" t="n"/>
      <c r="BC72" s="280" t="n"/>
      <c r="BD72" s="280" t="n"/>
      <c r="BE72" s="280" t="n"/>
      <c r="BF72" s="280" t="n"/>
      <c r="BG72" s="280" t="n"/>
      <c r="BH72" s="280" t="n"/>
    </row>
    <row r="73" ht="15.5" customHeight="1">
      <c r="B73" s="291" t="n">
        <v>47848</v>
      </c>
      <c r="C73" s="292" t="n">
        <v>16</v>
      </c>
      <c r="D73" s="293" t="inlineStr">
        <is>
          <t>23423423</t>
        </is>
      </c>
      <c r="E73" s="284" t="inlineStr">
        <is>
          <t>BCA</t>
        </is>
      </c>
      <c r="F73" s="294" t="n">
        <v>234</v>
      </c>
      <c r="G73" s="286" t="inlineStr">
        <is>
          <t>USD</t>
        </is>
      </c>
      <c r="H73" s="295" t="n">
        <v>12343</v>
      </c>
      <c r="I73" s="296" t="n"/>
      <c r="J73" s="296" t="n"/>
      <c r="K73" s="297">
        <f>$F73*$H73</f>
        <v/>
      </c>
      <c r="L73" s="284" t="n"/>
      <c r="M73" s="284" t="n"/>
      <c r="N73" s="284" t="n"/>
      <c r="O73" s="290" t="n"/>
      <c r="P73" s="290" t="n"/>
      <c r="Q73" s="290" t="n"/>
      <c r="R73" s="280" t="n"/>
      <c r="S73" s="280" t="n"/>
      <c r="T73" s="280" t="n"/>
      <c r="U73" s="280" t="n"/>
      <c r="V73" s="280" t="n"/>
      <c r="W73" s="280" t="n"/>
      <c r="X73" s="280" t="n"/>
      <c r="Y73" s="280" t="n"/>
      <c r="Z73" s="280" t="n"/>
      <c r="AA73" s="280" t="n"/>
      <c r="AB73" s="280" t="n"/>
      <c r="AC73" s="280" t="n"/>
      <c r="AD73" s="280" t="n"/>
      <c r="AE73" s="280" t="n"/>
      <c r="AF73" s="280" t="n"/>
      <c r="AG73" s="280" t="n"/>
      <c r="AH73" s="280" t="n"/>
      <c r="AI73" s="280" t="n"/>
      <c r="AJ73" s="280" t="n"/>
      <c r="AK73" s="280" t="n"/>
      <c r="AL73" s="280" t="n"/>
      <c r="AM73" s="280" t="n"/>
      <c r="AN73" s="280" t="n"/>
      <c r="AO73" s="280" t="n"/>
      <c r="AP73" s="280" t="n"/>
      <c r="AQ73" s="280" t="n"/>
      <c r="AR73" s="280" t="n"/>
      <c r="AS73" s="280" t="n"/>
      <c r="AT73" s="280" t="n"/>
      <c r="AU73" s="280" t="n"/>
      <c r="AV73" s="280" t="n"/>
      <c r="AW73" s="280" t="n"/>
      <c r="AX73" s="280" t="n"/>
      <c r="AY73" s="280" t="n"/>
      <c r="AZ73" s="280" t="n"/>
      <c r="BA73" s="280" t="n"/>
      <c r="BB73" s="280" t="n"/>
      <c r="BC73" s="280" t="n"/>
      <c r="BD73" s="280" t="n"/>
      <c r="BE73" s="280" t="n"/>
      <c r="BF73" s="280" t="n"/>
      <c r="BG73" s="280" t="n"/>
      <c r="BH73" s="280" t="n"/>
    </row>
    <row r="74" ht="15.5" customHeight="1">
      <c r="A74" s="66" t="n"/>
      <c r="B74" s="315" t="n"/>
      <c r="C74" s="316" t="n"/>
      <c r="D74" s="317" t="inlineStr">
        <is>
          <t>Meal</t>
        </is>
      </c>
      <c r="E74" s="318" t="n"/>
      <c r="F74" s="319" t="n"/>
      <c r="G74" s="316" t="n"/>
      <c r="H74" s="316" t="n"/>
      <c r="I74" s="316" t="n"/>
      <c r="J74" s="320" t="n"/>
      <c r="K74" s="315" t="n"/>
      <c r="L74" s="320" t="n"/>
      <c r="M74" s="315" t="n"/>
      <c r="N74" s="320" t="n"/>
      <c r="O74" s="306" t="n"/>
      <c r="P74" s="307" t="n"/>
      <c r="Q74" s="307" t="n"/>
      <c r="R74" s="280" t="n"/>
      <c r="S74" s="280" t="n"/>
      <c r="T74" s="280" t="n"/>
      <c r="U74" s="280" t="n"/>
      <c r="V74" s="280" t="n"/>
      <c r="W74" s="280" t="n"/>
      <c r="X74" s="280" t="n"/>
      <c r="Y74" s="280" t="n"/>
      <c r="Z74" s="280" t="n"/>
      <c r="AA74" s="280" t="n"/>
      <c r="AB74" s="280" t="n"/>
      <c r="AC74" s="280" t="n"/>
      <c r="AD74" s="280" t="n"/>
      <c r="AE74" s="280" t="n"/>
      <c r="AF74" s="280" t="n"/>
      <c r="AG74" s="280" t="n"/>
      <c r="AH74" s="280" t="n"/>
      <c r="AI74" s="280" t="n"/>
      <c r="AJ74" s="280" t="n"/>
      <c r="AK74" s="280" t="n"/>
      <c r="AL74" s="280" t="n"/>
      <c r="AM74" s="280" t="n"/>
      <c r="AN74" s="280" t="n"/>
      <c r="AO74" s="280" t="n"/>
      <c r="AP74" s="280" t="n"/>
      <c r="AQ74" s="280" t="n"/>
      <c r="AR74" s="280" t="n"/>
      <c r="AS74" s="280" t="n"/>
      <c r="AT74" s="280" t="n"/>
      <c r="AU74" s="280" t="n"/>
      <c r="AV74" s="280" t="n"/>
      <c r="AW74" s="280" t="n"/>
      <c r="AX74" s="280" t="n"/>
      <c r="AY74" s="280" t="n"/>
      <c r="AZ74" s="280" t="n"/>
      <c r="BA74" s="280" t="n"/>
      <c r="BB74" s="280" t="n"/>
      <c r="BC74" s="280" t="n"/>
      <c r="BD74" s="280" t="n"/>
      <c r="BE74" s="280" t="n"/>
      <c r="BF74" s="280" t="n"/>
      <c r="BG74" s="280" t="n"/>
      <c r="BH74" s="280" t="n"/>
    </row>
    <row r="75" ht="15.5" customHeight="1">
      <c r="A75" s="66" t="n"/>
      <c r="B75" s="291" t="n">
        <v>47848</v>
      </c>
      <c r="C75" s="292" t="n">
        <v>17</v>
      </c>
      <c r="D75" s="293" t="inlineStr">
        <is>
          <t>we</t>
        </is>
      </c>
      <c r="E75" s="284" t="inlineStr">
        <is>
          <t>BRI</t>
        </is>
      </c>
      <c r="F75" s="294" t="n">
        <v>12</v>
      </c>
      <c r="G75" s="286" t="inlineStr">
        <is>
          <t>EUR</t>
        </is>
      </c>
      <c r="H75" s="295" t="n">
        <v>12222</v>
      </c>
      <c r="I75" s="296" t="n"/>
      <c r="J75" s="296" t="n"/>
      <c r="K75" s="297">
        <f>$F75*$H75</f>
        <v/>
      </c>
      <c r="L75" s="284" t="n"/>
      <c r="M75" s="284" t="n"/>
      <c r="N75" s="284" t="n"/>
      <c r="O75" s="290" t="n"/>
      <c r="P75" s="290" t="n"/>
      <c r="Q75" s="290" t="n"/>
      <c r="R75" s="280" t="n"/>
      <c r="S75" s="280" t="n"/>
      <c r="T75" s="280" t="n"/>
      <c r="U75" s="280" t="n"/>
      <c r="V75" s="280" t="n"/>
      <c r="W75" s="280" t="n"/>
      <c r="X75" s="280" t="n"/>
      <c r="Y75" s="280" t="n"/>
      <c r="Z75" s="280" t="n"/>
      <c r="AA75" s="280" t="n"/>
      <c r="AB75" s="280" t="n"/>
      <c r="AC75" s="280" t="n"/>
      <c r="AD75" s="280" t="n"/>
      <c r="AE75" s="280" t="n"/>
      <c r="AF75" s="280" t="n"/>
      <c r="AG75" s="280" t="n"/>
      <c r="AH75" s="280" t="n"/>
      <c r="AI75" s="280" t="n"/>
      <c r="AJ75" s="280" t="n"/>
      <c r="AK75" s="280" t="n"/>
      <c r="AL75" s="280" t="n"/>
      <c r="AM75" s="280" t="n"/>
      <c r="AN75" s="280" t="n"/>
      <c r="AO75" s="280" t="n"/>
      <c r="AP75" s="280" t="n"/>
      <c r="AQ75" s="280" t="n"/>
      <c r="AR75" s="280" t="n"/>
      <c r="AS75" s="280" t="n"/>
      <c r="AT75" s="280" t="n"/>
      <c r="AU75" s="280" t="n"/>
      <c r="AV75" s="280" t="n"/>
      <c r="AW75" s="280" t="n"/>
      <c r="AX75" s="280" t="n"/>
      <c r="AY75" s="280" t="n"/>
      <c r="AZ75" s="280" t="n"/>
      <c r="BA75" s="280" t="n"/>
      <c r="BB75" s="280" t="n"/>
      <c r="BC75" s="280" t="n"/>
      <c r="BD75" s="280" t="n"/>
      <c r="BE75" s="280" t="n"/>
      <c r="BF75" s="280" t="n"/>
      <c r="BG75" s="280" t="n"/>
      <c r="BH75" s="280" t="n"/>
    </row>
    <row r="76" ht="15.5" customHeight="1">
      <c r="B76" s="315" t="n"/>
      <c r="C76" s="316" t="n"/>
      <c r="D76" s="317" t="inlineStr">
        <is>
          <t>Shipping</t>
        </is>
      </c>
      <c r="E76" s="318" t="n"/>
      <c r="F76" s="319" t="n"/>
      <c r="G76" s="316" t="n"/>
      <c r="H76" s="316" t="n"/>
      <c r="I76" s="316" t="n"/>
      <c r="J76" s="320" t="n"/>
      <c r="K76" s="315" t="n"/>
      <c r="L76" s="320" t="n"/>
      <c r="M76" s="315" t="n"/>
      <c r="N76" s="320" t="n"/>
      <c r="O76" s="306" t="n"/>
      <c r="P76" s="307" t="n"/>
      <c r="Q76" s="307" t="n"/>
      <c r="R76" s="280" t="n"/>
      <c r="S76" s="280" t="n"/>
      <c r="T76" s="280" t="n"/>
      <c r="U76" s="280" t="n"/>
      <c r="V76" s="280" t="n"/>
      <c r="W76" s="280" t="n"/>
      <c r="X76" s="280" t="n"/>
      <c r="Y76" s="280" t="n"/>
      <c r="Z76" s="280" t="n"/>
      <c r="AA76" s="280" t="n"/>
      <c r="AB76" s="280" t="n"/>
      <c r="AC76" s="280" t="n"/>
      <c r="AD76" s="280" t="n"/>
      <c r="AE76" s="280" t="n"/>
      <c r="AF76" s="280" t="n"/>
      <c r="AG76" s="280" t="n"/>
      <c r="AH76" s="280" t="n"/>
      <c r="AI76" s="280" t="n"/>
      <c r="AJ76" s="280" t="n"/>
      <c r="AK76" s="280" t="n"/>
      <c r="AL76" s="280" t="n"/>
      <c r="AM76" s="280" t="n"/>
      <c r="AN76" s="280" t="n"/>
      <c r="AO76" s="280" t="n"/>
      <c r="AP76" s="280" t="n"/>
      <c r="AQ76" s="280" t="n"/>
      <c r="AR76" s="280" t="n"/>
      <c r="AS76" s="280" t="n"/>
      <c r="AT76" s="280" t="n"/>
      <c r="AU76" s="280" t="n"/>
      <c r="AV76" s="280" t="n"/>
      <c r="AW76" s="280" t="n"/>
      <c r="AX76" s="280" t="n"/>
      <c r="AY76" s="280" t="n"/>
      <c r="AZ76" s="280" t="n"/>
      <c r="BA76" s="280" t="n"/>
      <c r="BB76" s="280" t="n"/>
      <c r="BC76" s="280" t="n"/>
      <c r="BD76" s="280" t="n"/>
      <c r="BE76" s="280" t="n"/>
      <c r="BF76" s="280" t="n"/>
      <c r="BG76" s="280" t="n"/>
      <c r="BH76" s="280" t="n"/>
    </row>
    <row r="77" ht="15.5" customHeight="1">
      <c r="B77" s="291" t="n">
        <v>47848</v>
      </c>
      <c r="C77" s="292" t="n">
        <v>18</v>
      </c>
      <c r="D77" s="293" t="inlineStr">
        <is>
          <t>23434</t>
        </is>
      </c>
      <c r="E77" s="284" t="inlineStr">
        <is>
          <t>BRI</t>
        </is>
      </c>
      <c r="F77" s="294" t="n">
        <v>2342</v>
      </c>
      <c r="G77" s="286" t="inlineStr">
        <is>
          <t>EUR</t>
        </is>
      </c>
      <c r="H77" s="295" t="n">
        <v>12</v>
      </c>
      <c r="I77" s="296" t="n"/>
      <c r="J77" s="296" t="n"/>
      <c r="K77" s="297">
        <f>$F77*$H77</f>
        <v/>
      </c>
      <c r="L77" s="284" t="n"/>
      <c r="M77" s="284" t="n"/>
      <c r="N77" s="284" t="n"/>
      <c r="O77" s="290" t="n"/>
      <c r="P77" s="290" t="n"/>
      <c r="Q77" s="290" t="n"/>
      <c r="R77" s="280" t="n"/>
      <c r="S77" s="280" t="n"/>
      <c r="T77" s="280" t="n"/>
      <c r="U77" s="280" t="n"/>
      <c r="V77" s="280" t="n"/>
      <c r="W77" s="280" t="n"/>
      <c r="X77" s="280" t="n"/>
      <c r="Y77" s="280" t="n"/>
      <c r="Z77" s="280" t="n"/>
      <c r="AA77" s="280" t="n"/>
      <c r="AB77" s="280" t="n"/>
      <c r="AC77" s="280" t="n"/>
      <c r="AD77" s="280" t="n"/>
      <c r="AE77" s="280" t="n"/>
      <c r="AF77" s="280" t="n"/>
      <c r="AG77" s="280" t="n"/>
      <c r="AH77" s="280" t="n"/>
      <c r="AI77" s="280" t="n"/>
      <c r="AJ77" s="280" t="n"/>
      <c r="AK77" s="280" t="n"/>
      <c r="AL77" s="280" t="n"/>
      <c r="AM77" s="280" t="n"/>
      <c r="AN77" s="280" t="n"/>
      <c r="AO77" s="280" t="n"/>
      <c r="AP77" s="280" t="n"/>
      <c r="AQ77" s="280" t="n"/>
      <c r="AR77" s="280" t="n"/>
      <c r="AS77" s="280" t="n"/>
      <c r="AT77" s="280" t="n"/>
      <c r="AU77" s="280" t="n"/>
      <c r="AV77" s="280" t="n"/>
      <c r="AW77" s="280" t="n"/>
      <c r="AX77" s="280" t="n"/>
      <c r="AY77" s="280" t="n"/>
      <c r="AZ77" s="280" t="n"/>
      <c r="BA77" s="280" t="n"/>
      <c r="BB77" s="280" t="n"/>
      <c r="BC77" s="280" t="n"/>
      <c r="BD77" s="280" t="n"/>
      <c r="BE77" s="280" t="n"/>
      <c r="BF77" s="280" t="n"/>
      <c r="BG77" s="280" t="n"/>
      <c r="BH77" s="280" t="n"/>
    </row>
    <row r="78" ht="15.5" customHeight="1">
      <c r="B78" s="315" t="n"/>
      <c r="C78" s="316" t="n"/>
      <c r="D78" s="317" t="inlineStr">
        <is>
          <t>Transportation</t>
        </is>
      </c>
      <c r="E78" s="318" t="n"/>
      <c r="F78" s="319" t="n"/>
      <c r="G78" s="316" t="n"/>
      <c r="H78" s="316" t="n"/>
      <c r="I78" s="316" t="n"/>
      <c r="J78" s="320" t="n"/>
      <c r="K78" s="315" t="n"/>
      <c r="L78" s="320" t="n"/>
      <c r="M78" s="315" t="n"/>
      <c r="N78" s="320" t="n"/>
      <c r="O78" s="306" t="n"/>
      <c r="P78" s="307" t="n"/>
      <c r="Q78" s="307" t="n"/>
      <c r="R78" s="280" t="n"/>
      <c r="S78" s="280" t="n"/>
      <c r="T78" s="280" t="n"/>
      <c r="U78" s="280" t="n"/>
      <c r="V78" s="280" t="n"/>
      <c r="W78" s="280" t="n"/>
      <c r="X78" s="280" t="n"/>
      <c r="Y78" s="280" t="n"/>
      <c r="Z78" s="280" t="n"/>
      <c r="AA78" s="280" t="n"/>
      <c r="AB78" s="280" t="n"/>
      <c r="AC78" s="280" t="n"/>
      <c r="AD78" s="280" t="n"/>
      <c r="AE78" s="280" t="n"/>
      <c r="AF78" s="280" t="n"/>
      <c r="AG78" s="280" t="n"/>
      <c r="AH78" s="280" t="n"/>
      <c r="AI78" s="280" t="n"/>
      <c r="AJ78" s="280" t="n"/>
      <c r="AK78" s="280" t="n"/>
      <c r="AL78" s="280" t="n"/>
      <c r="AM78" s="280" t="n"/>
      <c r="AN78" s="280" t="n"/>
      <c r="AO78" s="280" t="n"/>
      <c r="AP78" s="280" t="n"/>
      <c r="AQ78" s="280" t="n"/>
      <c r="AR78" s="280" t="n"/>
      <c r="AS78" s="280" t="n"/>
      <c r="AT78" s="280" t="n"/>
      <c r="AU78" s="280" t="n"/>
      <c r="AV78" s="280" t="n"/>
      <c r="AW78" s="280" t="n"/>
      <c r="AX78" s="280" t="n"/>
      <c r="AY78" s="280" t="n"/>
      <c r="AZ78" s="280" t="n"/>
      <c r="BA78" s="280" t="n"/>
      <c r="BB78" s="280" t="n"/>
      <c r="BC78" s="280" t="n"/>
      <c r="BD78" s="280" t="n"/>
      <c r="BE78" s="280" t="n"/>
      <c r="BF78" s="280" t="n"/>
      <c r="BG78" s="280" t="n"/>
      <c r="BH78" s="280" t="n"/>
    </row>
    <row r="79" ht="15.5" customHeight="1">
      <c r="B79" s="291" t="n">
        <v>47848</v>
      </c>
      <c r="C79" s="292" t="n">
        <v>19</v>
      </c>
      <c r="D79" s="293" t="inlineStr">
        <is>
          <t>werwerwer</t>
        </is>
      </c>
      <c r="E79" s="284" t="inlineStr">
        <is>
          <t>Mandiri</t>
        </is>
      </c>
      <c r="F79" s="294" t="n">
        <v>23</v>
      </c>
      <c r="G79" s="286" t="inlineStr">
        <is>
          <t>EUR</t>
        </is>
      </c>
      <c r="H79" s="295" t="n">
        <v>12222</v>
      </c>
      <c r="I79" s="296" t="n"/>
      <c r="J79" s="296" t="n"/>
      <c r="K79" s="297">
        <f>$F79*$H79</f>
        <v/>
      </c>
      <c r="L79" s="284" t="n"/>
      <c r="M79" s="284" t="n"/>
      <c r="N79" s="284" t="n"/>
      <c r="O79" s="290" t="n"/>
      <c r="P79" s="290" t="n"/>
      <c r="Q79" s="290" t="n"/>
      <c r="R79" s="280" t="n"/>
      <c r="S79" s="280" t="n"/>
      <c r="T79" s="280" t="n"/>
      <c r="U79" s="280" t="n"/>
      <c r="V79" s="280" t="n"/>
      <c r="W79" s="280" t="n"/>
      <c r="X79" s="280" t="n"/>
      <c r="Y79" s="280" t="n"/>
      <c r="Z79" s="280" t="n"/>
      <c r="AA79" s="280" t="n"/>
      <c r="AB79" s="280" t="n"/>
      <c r="AC79" s="280" t="n"/>
      <c r="AD79" s="280" t="n"/>
      <c r="AE79" s="280" t="n"/>
      <c r="AF79" s="280" t="n"/>
      <c r="AG79" s="280" t="n"/>
      <c r="AH79" s="280" t="n"/>
      <c r="AI79" s="280" t="n"/>
      <c r="AJ79" s="280" t="n"/>
      <c r="AK79" s="280" t="n"/>
      <c r="AL79" s="280" t="n"/>
      <c r="AM79" s="280" t="n"/>
      <c r="AN79" s="280" t="n"/>
      <c r="AO79" s="280" t="n"/>
      <c r="AP79" s="280" t="n"/>
      <c r="AQ79" s="280" t="n"/>
      <c r="AR79" s="280" t="n"/>
      <c r="AS79" s="280" t="n"/>
      <c r="AT79" s="280" t="n"/>
      <c r="AU79" s="280" t="n"/>
      <c r="AV79" s="280" t="n"/>
      <c r="AW79" s="280" t="n"/>
      <c r="AX79" s="280" t="n"/>
      <c r="AY79" s="280" t="n"/>
      <c r="AZ79" s="280" t="n"/>
      <c r="BA79" s="280" t="n"/>
      <c r="BB79" s="280" t="n"/>
      <c r="BC79" s="280" t="n"/>
      <c r="BD79" s="280" t="n"/>
      <c r="BE79" s="280" t="n"/>
      <c r="BF79" s="280" t="n"/>
      <c r="BG79" s="280" t="n"/>
      <c r="BH79" s="280" t="n"/>
    </row>
    <row r="80" ht="15.5" customHeight="1">
      <c r="B80" s="308" t="inlineStr">
        <is>
          <t>Expense#4</t>
        </is>
      </c>
      <c r="C80" s="309" t="inlineStr">
        <is>
          <t>:</t>
        </is>
      </c>
      <c r="D80" s="310" t="inlineStr">
        <is>
          <t>1234567890</t>
        </is>
      </c>
      <c r="E80" s="311" t="n"/>
      <c r="F80" s="312" t="n"/>
      <c r="G80" s="311" t="n"/>
      <c r="H80" s="311" t="n"/>
      <c r="I80" s="311" t="n"/>
      <c r="J80" s="313" t="n"/>
      <c r="K80" s="314" t="n"/>
      <c r="L80" s="313" t="n"/>
      <c r="M80" s="314" t="n"/>
      <c r="N80" s="313" t="n"/>
      <c r="O80" s="306" t="n"/>
      <c r="P80" s="307" t="n"/>
      <c r="Q80" s="307" t="n"/>
      <c r="R80" s="280" t="n"/>
      <c r="S80" s="280" t="n"/>
      <c r="T80" s="280" t="n"/>
      <c r="U80" s="280" t="n"/>
      <c r="V80" s="280" t="n"/>
      <c r="W80" s="280" t="n"/>
      <c r="X80" s="280" t="n"/>
      <c r="Y80" s="280" t="n"/>
      <c r="Z80" s="280" t="n"/>
      <c r="AA80" s="280" t="n"/>
      <c r="AB80" s="280" t="n"/>
      <c r="AC80" s="280" t="n"/>
      <c r="AD80" s="280" t="n"/>
      <c r="AE80" s="280" t="n"/>
      <c r="AF80" s="280" t="n"/>
      <c r="AG80" s="280" t="n"/>
      <c r="AH80" s="280" t="n"/>
      <c r="AI80" s="280" t="n"/>
      <c r="AJ80" s="280" t="n"/>
      <c r="AK80" s="280" t="n"/>
      <c r="AL80" s="280" t="n"/>
      <c r="AM80" s="280" t="n"/>
      <c r="AN80" s="280" t="n"/>
      <c r="AO80" s="280" t="n"/>
      <c r="AP80" s="280" t="n"/>
      <c r="AQ80" s="280" t="n"/>
      <c r="AR80" s="280" t="n"/>
      <c r="AS80" s="280" t="n"/>
      <c r="AT80" s="280" t="n"/>
      <c r="AU80" s="280" t="n"/>
      <c r="AV80" s="280" t="n"/>
      <c r="AW80" s="280" t="n"/>
      <c r="AX80" s="280" t="n"/>
      <c r="AY80" s="280" t="n"/>
      <c r="AZ80" s="280" t="n"/>
      <c r="BA80" s="280" t="n"/>
      <c r="BB80" s="280" t="n"/>
      <c r="BC80" s="280" t="n"/>
      <c r="BD80" s="280" t="n"/>
      <c r="BE80" s="280" t="n"/>
      <c r="BF80" s="280" t="n"/>
      <c r="BG80" s="280" t="n"/>
      <c r="BH80" s="280" t="n"/>
    </row>
    <row r="81" ht="15.5" customHeight="1">
      <c r="B81" s="315" t="n"/>
      <c r="C81" s="316" t="n"/>
      <c r="D81" s="317" t="inlineStr">
        <is>
          <t>Accommodation</t>
        </is>
      </c>
      <c r="E81" s="318" t="n"/>
      <c r="F81" s="319" t="n"/>
      <c r="G81" s="316" t="n"/>
      <c r="H81" s="316" t="n"/>
      <c r="I81" s="316" t="n"/>
      <c r="J81" s="320" t="n"/>
      <c r="K81" s="315" t="n"/>
      <c r="L81" s="320" t="n"/>
      <c r="M81" s="315" t="n"/>
      <c r="N81" s="320" t="n"/>
      <c r="O81" s="306" t="n"/>
      <c r="P81" s="307" t="n"/>
      <c r="Q81" s="307" t="n"/>
      <c r="R81" s="280" t="n"/>
      <c r="S81" s="280" t="n"/>
      <c r="T81" s="280" t="n"/>
      <c r="U81" s="280" t="n"/>
      <c r="V81" s="280" t="n"/>
      <c r="W81" s="280" t="n"/>
      <c r="X81" s="280" t="n"/>
      <c r="Y81" s="280" t="n"/>
      <c r="Z81" s="280" t="n"/>
      <c r="AA81" s="280" t="n"/>
      <c r="AB81" s="280" t="n"/>
      <c r="AC81" s="280" t="n"/>
      <c r="AD81" s="280" t="n"/>
      <c r="AE81" s="280" t="n"/>
      <c r="AF81" s="280" t="n"/>
      <c r="AG81" s="280" t="n"/>
      <c r="AH81" s="280" t="n"/>
      <c r="AI81" s="280" t="n"/>
      <c r="AJ81" s="280" t="n"/>
      <c r="AK81" s="280" t="n"/>
      <c r="AL81" s="280" t="n"/>
      <c r="AM81" s="280" t="n"/>
      <c r="AN81" s="280" t="n"/>
      <c r="AO81" s="280" t="n"/>
      <c r="AP81" s="280" t="n"/>
      <c r="AQ81" s="280" t="n"/>
      <c r="AR81" s="280" t="n"/>
      <c r="AS81" s="280" t="n"/>
      <c r="AT81" s="280" t="n"/>
      <c r="AU81" s="280" t="n"/>
      <c r="AV81" s="280" t="n"/>
      <c r="AW81" s="280" t="n"/>
      <c r="AX81" s="280" t="n"/>
      <c r="AY81" s="280" t="n"/>
      <c r="AZ81" s="280" t="n"/>
      <c r="BA81" s="280" t="n"/>
      <c r="BB81" s="280" t="n"/>
      <c r="BC81" s="280" t="n"/>
      <c r="BD81" s="280" t="n"/>
      <c r="BE81" s="280" t="n"/>
      <c r="BF81" s="280" t="n"/>
      <c r="BG81" s="280" t="n"/>
      <c r="BH81" s="280" t="n"/>
    </row>
    <row r="82" ht="15.5" customHeight="1">
      <c r="B82" s="291" t="n">
        <v>47848</v>
      </c>
      <c r="C82" s="292" t="n">
        <v>20</v>
      </c>
      <c r="D82" s="293" t="inlineStr">
        <is>
          <t>123123</t>
        </is>
      </c>
      <c r="E82" s="284" t="inlineStr">
        <is>
          <t>Advance</t>
        </is>
      </c>
      <c r="F82" s="294" t="n">
        <v>123123</v>
      </c>
      <c r="G82" s="286" t="inlineStr">
        <is>
          <t>IDR</t>
        </is>
      </c>
      <c r="H82" s="295" t="n">
        <v>1</v>
      </c>
      <c r="I82" s="296" t="n"/>
      <c r="J82" s="296" t="n"/>
      <c r="K82" s="297">
        <f>$F82*$H82</f>
        <v/>
      </c>
      <c r="L82" s="284" t="n"/>
      <c r="M82" s="284" t="n"/>
      <c r="N82" s="284" t="n"/>
      <c r="O82" s="290" t="n"/>
      <c r="P82" s="290" t="n"/>
      <c r="Q82" s="290" t="n"/>
      <c r="R82" s="280" t="n"/>
      <c r="S82" s="280" t="n"/>
      <c r="T82" s="280" t="n"/>
      <c r="U82" s="280" t="n"/>
      <c r="V82" s="280" t="n"/>
      <c r="W82" s="280" t="n"/>
      <c r="X82" s="280" t="n"/>
      <c r="Y82" s="280" t="n"/>
      <c r="Z82" s="280" t="n"/>
      <c r="AA82" s="280" t="n"/>
      <c r="AB82" s="280" t="n"/>
      <c r="AC82" s="280" t="n"/>
      <c r="AD82" s="280" t="n"/>
      <c r="AE82" s="280" t="n"/>
      <c r="AF82" s="280" t="n"/>
      <c r="AG82" s="280" t="n"/>
      <c r="AH82" s="280" t="n"/>
      <c r="AI82" s="280" t="n"/>
      <c r="AJ82" s="280" t="n"/>
      <c r="AK82" s="280" t="n"/>
      <c r="AL82" s="280" t="n"/>
      <c r="AM82" s="280" t="n"/>
      <c r="AN82" s="280" t="n"/>
      <c r="AO82" s="280" t="n"/>
      <c r="AP82" s="280" t="n"/>
      <c r="AQ82" s="280" t="n"/>
      <c r="AR82" s="280" t="n"/>
      <c r="AS82" s="280" t="n"/>
      <c r="AT82" s="280" t="n"/>
      <c r="AU82" s="280" t="n"/>
      <c r="AV82" s="280" t="n"/>
      <c r="AW82" s="280" t="n"/>
      <c r="AX82" s="280" t="n"/>
      <c r="AY82" s="280" t="n"/>
      <c r="AZ82" s="280" t="n"/>
      <c r="BA82" s="280" t="n"/>
      <c r="BB82" s="280" t="n"/>
      <c r="BC82" s="280" t="n"/>
      <c r="BD82" s="280" t="n"/>
      <c r="BE82" s="280" t="n"/>
      <c r="BF82" s="280" t="n"/>
      <c r="BG82" s="280" t="n"/>
      <c r="BH82" s="280" t="n"/>
    </row>
    <row r="83" ht="15.5" customHeight="1">
      <c r="B83" s="291" t="n">
        <v>47848</v>
      </c>
      <c r="C83" s="292" t="n">
        <v>21</v>
      </c>
      <c r="D83" s="293" t="inlineStr">
        <is>
          <t>324234</t>
        </is>
      </c>
      <c r="E83" s="284" t="inlineStr">
        <is>
          <t>Advance</t>
        </is>
      </c>
      <c r="F83" s="294" t="n">
        <v>234324</v>
      </c>
      <c r="G83" s="286" t="inlineStr">
        <is>
          <t>IDR</t>
        </is>
      </c>
      <c r="H83" s="295" t="n">
        <v>1</v>
      </c>
      <c r="I83" s="296" t="n"/>
      <c r="J83" s="296" t="n"/>
      <c r="K83" s="297">
        <f>$F83*$H83</f>
        <v/>
      </c>
      <c r="L83" s="284" t="n"/>
      <c r="M83" s="284" t="n"/>
      <c r="N83" s="284" t="n"/>
      <c r="O83" s="290" t="n"/>
      <c r="P83" s="290" t="n"/>
      <c r="Q83" s="290" t="n"/>
      <c r="R83" s="280" t="n"/>
      <c r="S83" s="280" t="n"/>
      <c r="T83" s="280" t="n"/>
      <c r="U83" s="280" t="n"/>
      <c r="V83" s="280" t="n"/>
      <c r="W83" s="280" t="n"/>
      <c r="X83" s="280" t="n"/>
      <c r="Y83" s="280" t="n"/>
      <c r="Z83" s="280" t="n"/>
      <c r="AA83" s="280" t="n"/>
      <c r="AB83" s="280" t="n"/>
      <c r="AC83" s="280" t="n"/>
      <c r="AD83" s="280" t="n"/>
      <c r="AE83" s="280" t="n"/>
      <c r="AF83" s="280" t="n"/>
      <c r="AG83" s="280" t="n"/>
      <c r="AH83" s="280" t="n"/>
      <c r="AI83" s="280" t="n"/>
      <c r="AJ83" s="280" t="n"/>
      <c r="AK83" s="280" t="n"/>
      <c r="AL83" s="280" t="n"/>
      <c r="AM83" s="280" t="n"/>
      <c r="AN83" s="280" t="n"/>
      <c r="AO83" s="280" t="n"/>
      <c r="AP83" s="280" t="n"/>
      <c r="AQ83" s="280" t="n"/>
      <c r="AR83" s="280" t="n"/>
      <c r="AS83" s="280" t="n"/>
      <c r="AT83" s="280" t="n"/>
      <c r="AU83" s="280" t="n"/>
      <c r="AV83" s="280" t="n"/>
      <c r="AW83" s="280" t="n"/>
      <c r="AX83" s="280" t="n"/>
      <c r="AY83" s="280" t="n"/>
      <c r="AZ83" s="280" t="n"/>
      <c r="BA83" s="280" t="n"/>
      <c r="BB83" s="280" t="n"/>
      <c r="BC83" s="280" t="n"/>
      <c r="BD83" s="280" t="n"/>
      <c r="BE83" s="280" t="n"/>
      <c r="BF83" s="280" t="n"/>
      <c r="BG83" s="280" t="n"/>
      <c r="BH83" s="280" t="n"/>
    </row>
    <row r="84" ht="15.5" customHeight="1">
      <c r="A84" s="66" t="n"/>
      <c r="B84" s="315" t="n"/>
      <c r="C84" s="316" t="n"/>
      <c r="D84" s="317" t="inlineStr">
        <is>
          <t>Transportation</t>
        </is>
      </c>
      <c r="E84" s="318" t="n"/>
      <c r="F84" s="319" t="n"/>
      <c r="G84" s="316" t="n"/>
      <c r="H84" s="316" t="n"/>
      <c r="I84" s="316" t="n"/>
      <c r="J84" s="320" t="n"/>
      <c r="K84" s="315" t="n"/>
      <c r="L84" s="320" t="n"/>
      <c r="M84" s="315" t="n"/>
      <c r="N84" s="320" t="n"/>
      <c r="O84" s="306" t="n"/>
      <c r="P84" s="307" t="n"/>
      <c r="Q84" s="307" t="n"/>
      <c r="R84" s="280" t="n"/>
      <c r="S84" s="280" t="n"/>
      <c r="T84" s="280" t="n"/>
      <c r="U84" s="280" t="n"/>
      <c r="V84" s="280" t="n"/>
      <c r="W84" s="280" t="n"/>
      <c r="X84" s="280" t="n"/>
      <c r="Y84" s="280" t="n"/>
      <c r="Z84" s="280" t="n"/>
      <c r="AA84" s="280" t="n"/>
      <c r="AB84" s="280" t="n"/>
      <c r="AC84" s="280" t="n"/>
      <c r="AD84" s="280" t="n"/>
      <c r="AE84" s="280" t="n"/>
      <c r="AF84" s="280" t="n"/>
      <c r="AG84" s="280" t="n"/>
      <c r="AH84" s="280" t="n"/>
      <c r="AI84" s="280" t="n"/>
      <c r="AJ84" s="280" t="n"/>
      <c r="AK84" s="280" t="n"/>
      <c r="AL84" s="280" t="n"/>
      <c r="AM84" s="280" t="n"/>
      <c r="AN84" s="280" t="n"/>
      <c r="AO84" s="280" t="n"/>
      <c r="AP84" s="280" t="n"/>
      <c r="AQ84" s="280" t="n"/>
      <c r="AR84" s="280" t="n"/>
      <c r="AS84" s="280" t="n"/>
      <c r="AT84" s="280" t="n"/>
      <c r="AU84" s="280" t="n"/>
      <c r="AV84" s="280" t="n"/>
      <c r="AW84" s="280" t="n"/>
      <c r="AX84" s="280" t="n"/>
      <c r="AY84" s="280" t="n"/>
      <c r="AZ84" s="280" t="n"/>
      <c r="BA84" s="280" t="n"/>
      <c r="BB84" s="280" t="n"/>
      <c r="BC84" s="280" t="n"/>
      <c r="BD84" s="280" t="n"/>
      <c r="BE84" s="280" t="n"/>
      <c r="BF84" s="280" t="n"/>
      <c r="BG84" s="280" t="n"/>
      <c r="BH84" s="280" t="n"/>
    </row>
    <row r="85" ht="15.5" customHeight="1">
      <c r="B85" s="291" t="n">
        <v>47704</v>
      </c>
      <c r="C85" s="292" t="n">
        <v>22</v>
      </c>
      <c r="D85" s="293" t="inlineStr">
        <is>
          <t>234324</t>
        </is>
      </c>
      <c r="E85" s="284" t="inlineStr">
        <is>
          <t>BCA</t>
        </is>
      </c>
      <c r="F85" s="294" t="n">
        <v>12</v>
      </c>
      <c r="G85" s="286" t="inlineStr">
        <is>
          <t>USD</t>
        </is>
      </c>
      <c r="H85" s="295" t="n">
        <v>11231</v>
      </c>
      <c r="I85" s="296" t="n"/>
      <c r="J85" s="296" t="n"/>
      <c r="K85" s="297">
        <f>$F85*$H85</f>
        <v/>
      </c>
      <c r="L85" s="284" t="n"/>
      <c r="M85" s="284" t="n"/>
      <c r="N85" s="284" t="n"/>
      <c r="O85" s="290" t="n"/>
      <c r="P85" s="290" t="n"/>
      <c r="Q85" s="290" t="n"/>
      <c r="R85" s="280" t="n"/>
      <c r="S85" s="280" t="n"/>
      <c r="T85" s="280" t="n"/>
      <c r="U85" s="280" t="n"/>
      <c r="V85" s="280" t="n"/>
      <c r="W85" s="280" t="n"/>
      <c r="X85" s="280" t="n"/>
      <c r="Y85" s="280" t="n"/>
      <c r="Z85" s="280" t="n"/>
      <c r="AA85" s="280" t="n"/>
      <c r="AB85" s="280" t="n"/>
      <c r="AC85" s="280" t="n"/>
      <c r="AD85" s="280" t="n"/>
      <c r="AE85" s="280" t="n"/>
      <c r="AF85" s="280" t="n"/>
      <c r="AG85" s="280" t="n"/>
      <c r="AH85" s="280" t="n"/>
      <c r="AI85" s="280" t="n"/>
      <c r="AJ85" s="280" t="n"/>
      <c r="AK85" s="280" t="n"/>
      <c r="AL85" s="280" t="n"/>
      <c r="AM85" s="280" t="n"/>
      <c r="AN85" s="280" t="n"/>
      <c r="AO85" s="280" t="n"/>
      <c r="AP85" s="280" t="n"/>
      <c r="AQ85" s="280" t="n"/>
      <c r="AR85" s="280" t="n"/>
      <c r="AS85" s="280" t="n"/>
      <c r="AT85" s="280" t="n"/>
      <c r="AU85" s="280" t="n"/>
      <c r="AV85" s="280" t="n"/>
      <c r="AW85" s="280" t="n"/>
      <c r="AX85" s="280" t="n"/>
      <c r="AY85" s="280" t="n"/>
      <c r="AZ85" s="280" t="n"/>
      <c r="BA85" s="280" t="n"/>
      <c r="BB85" s="280" t="n"/>
      <c r="BC85" s="280" t="n"/>
      <c r="BD85" s="280" t="n"/>
      <c r="BE85" s="280" t="n"/>
      <c r="BF85" s="280" t="n"/>
      <c r="BG85" s="280" t="n"/>
      <c r="BH85" s="280" t="n"/>
    </row>
    <row r="86" ht="15.5" customHeight="1">
      <c r="B86" s="308" t="inlineStr">
        <is>
          <t>Expense#5</t>
        </is>
      </c>
      <c r="C86" s="309" t="inlineStr">
        <is>
          <t>:</t>
        </is>
      </c>
      <c r="D86" s="310" t="inlineStr">
        <is>
          <t>werwer</t>
        </is>
      </c>
      <c r="E86" s="311" t="n"/>
      <c r="F86" s="312" t="n"/>
      <c r="G86" s="311" t="n"/>
      <c r="H86" s="311" t="n"/>
      <c r="I86" s="311" t="n"/>
      <c r="J86" s="313" t="n"/>
      <c r="K86" s="314" t="n"/>
      <c r="L86" s="313" t="n"/>
      <c r="M86" s="314" t="n"/>
      <c r="N86" s="313" t="n"/>
      <c r="O86" s="306" t="n"/>
      <c r="P86" s="307" t="n"/>
      <c r="Q86" s="307" t="n"/>
      <c r="R86" s="280" t="n"/>
      <c r="S86" s="280" t="n"/>
      <c r="T86" s="280" t="n"/>
      <c r="U86" s="280" t="n"/>
      <c r="V86" s="280" t="n"/>
      <c r="W86" s="280" t="n"/>
      <c r="X86" s="280" t="n"/>
      <c r="Y86" s="280" t="n"/>
      <c r="Z86" s="280" t="n"/>
      <c r="AA86" s="280" t="n"/>
      <c r="AB86" s="280" t="n"/>
      <c r="AC86" s="280" t="n"/>
      <c r="AD86" s="280" t="n"/>
      <c r="AE86" s="280" t="n"/>
      <c r="AF86" s="280" t="n"/>
      <c r="AG86" s="280" t="n"/>
      <c r="AH86" s="280" t="n"/>
      <c r="AI86" s="280" t="n"/>
      <c r="AJ86" s="280" t="n"/>
      <c r="AK86" s="280" t="n"/>
      <c r="AL86" s="280" t="n"/>
      <c r="AM86" s="280" t="n"/>
      <c r="AN86" s="280" t="n"/>
      <c r="AO86" s="280" t="n"/>
      <c r="AP86" s="280" t="n"/>
      <c r="AQ86" s="280" t="n"/>
      <c r="AR86" s="280" t="n"/>
      <c r="AS86" s="280" t="n"/>
      <c r="AT86" s="280" t="n"/>
      <c r="AU86" s="280" t="n"/>
      <c r="AV86" s="280" t="n"/>
      <c r="AW86" s="280" t="n"/>
      <c r="AX86" s="280" t="n"/>
      <c r="AY86" s="280" t="n"/>
      <c r="AZ86" s="280" t="n"/>
      <c r="BA86" s="280" t="n"/>
      <c r="BB86" s="280" t="n"/>
      <c r="BC86" s="280" t="n"/>
      <c r="BD86" s="280" t="n"/>
      <c r="BE86" s="280" t="n"/>
      <c r="BF86" s="280" t="n"/>
      <c r="BG86" s="280" t="n"/>
      <c r="BH86" s="280" t="n"/>
    </row>
    <row r="87" ht="15.5" customHeight="1">
      <c r="A87" s="66" t="n"/>
      <c r="B87" s="315" t="n"/>
      <c r="C87" s="316" t="n"/>
      <c r="D87" s="317" t="inlineStr">
        <is>
          <t>Transportation</t>
        </is>
      </c>
      <c r="E87" s="318" t="n"/>
      <c r="F87" s="319" t="n"/>
      <c r="G87" s="316" t="n"/>
      <c r="H87" s="316" t="n"/>
      <c r="I87" s="316" t="n"/>
      <c r="J87" s="320" t="n"/>
      <c r="K87" s="315" t="n"/>
      <c r="L87" s="320" t="n"/>
      <c r="M87" s="315" t="n"/>
      <c r="N87" s="320" t="n"/>
      <c r="O87" s="306" t="n"/>
      <c r="P87" s="307" t="n"/>
      <c r="Q87" s="307" t="n"/>
      <c r="R87" s="280" t="n"/>
      <c r="S87" s="280" t="n"/>
      <c r="T87" s="280" t="n"/>
      <c r="U87" s="280" t="n"/>
      <c r="V87" s="280" t="n"/>
      <c r="W87" s="280" t="n"/>
      <c r="X87" s="280" t="n"/>
      <c r="Y87" s="280" t="n"/>
      <c r="Z87" s="280" t="n"/>
      <c r="AA87" s="280" t="n"/>
      <c r="AB87" s="280" t="n"/>
      <c r="AC87" s="280" t="n"/>
      <c r="AD87" s="280" t="n"/>
      <c r="AE87" s="280" t="n"/>
      <c r="AF87" s="280" t="n"/>
      <c r="AG87" s="280" t="n"/>
      <c r="AH87" s="280" t="n"/>
      <c r="AI87" s="280" t="n"/>
      <c r="AJ87" s="280" t="n"/>
      <c r="AK87" s="280" t="n"/>
      <c r="AL87" s="280" t="n"/>
      <c r="AM87" s="280" t="n"/>
      <c r="AN87" s="280" t="n"/>
      <c r="AO87" s="280" t="n"/>
      <c r="AP87" s="280" t="n"/>
      <c r="AQ87" s="280" t="n"/>
      <c r="AR87" s="280" t="n"/>
      <c r="AS87" s="280" t="n"/>
      <c r="AT87" s="280" t="n"/>
      <c r="AU87" s="280" t="n"/>
      <c r="AV87" s="280" t="n"/>
      <c r="AW87" s="280" t="n"/>
      <c r="AX87" s="280" t="n"/>
      <c r="AY87" s="280" t="n"/>
      <c r="AZ87" s="280" t="n"/>
      <c r="BA87" s="280" t="n"/>
      <c r="BB87" s="280" t="n"/>
      <c r="BC87" s="280" t="n"/>
      <c r="BD87" s="280" t="n"/>
      <c r="BE87" s="280" t="n"/>
      <c r="BF87" s="280" t="n"/>
      <c r="BG87" s="280" t="n"/>
      <c r="BH87" s="280" t="n"/>
    </row>
    <row r="88" ht="15.5" customHeight="1">
      <c r="B88" s="291" t="n">
        <v>47848</v>
      </c>
      <c r="C88" s="292" t="n">
        <v>23</v>
      </c>
      <c r="D88" s="293" t="inlineStr">
        <is>
          <t>wqew</t>
        </is>
      </c>
      <c r="E88" s="284" t="inlineStr">
        <is>
          <t>Advance</t>
        </is>
      </c>
      <c r="F88" s="294" t="n">
        <v>123123</v>
      </c>
      <c r="G88" s="286" t="inlineStr">
        <is>
          <t>IDR</t>
        </is>
      </c>
      <c r="H88" s="295" t="n">
        <v>1</v>
      </c>
      <c r="I88" s="296" t="n"/>
      <c r="J88" s="296" t="n"/>
      <c r="K88" s="297">
        <f>$F88*$H88</f>
        <v/>
      </c>
      <c r="L88" s="284" t="n"/>
      <c r="M88" s="284" t="n"/>
      <c r="N88" s="284" t="n"/>
      <c r="O88" s="290" t="n"/>
      <c r="P88" s="290" t="n"/>
      <c r="Q88" s="290" t="n"/>
      <c r="R88" s="280" t="n"/>
      <c r="S88" s="280" t="n"/>
      <c r="T88" s="280" t="n"/>
      <c r="U88" s="280" t="n"/>
      <c r="V88" s="280" t="n"/>
      <c r="W88" s="280" t="n"/>
      <c r="X88" s="280" t="n"/>
      <c r="Y88" s="280" t="n"/>
      <c r="Z88" s="280" t="n"/>
      <c r="AA88" s="280" t="n"/>
      <c r="AB88" s="280" t="n"/>
      <c r="AC88" s="280" t="n"/>
      <c r="AD88" s="280" t="n"/>
      <c r="AE88" s="280" t="n"/>
      <c r="AF88" s="280" t="n"/>
      <c r="AG88" s="280" t="n"/>
      <c r="AH88" s="280" t="n"/>
      <c r="AI88" s="280" t="n"/>
      <c r="AJ88" s="280" t="n"/>
      <c r="AK88" s="280" t="n"/>
      <c r="AL88" s="280" t="n"/>
      <c r="AM88" s="280" t="n"/>
      <c r="AN88" s="280" t="n"/>
      <c r="AO88" s="280" t="n"/>
      <c r="AP88" s="280" t="n"/>
      <c r="AQ88" s="280" t="n"/>
      <c r="AR88" s="280" t="n"/>
      <c r="AS88" s="280" t="n"/>
      <c r="AT88" s="280" t="n"/>
      <c r="AU88" s="280" t="n"/>
      <c r="AV88" s="280" t="n"/>
      <c r="AW88" s="280" t="n"/>
      <c r="AX88" s="280" t="n"/>
      <c r="AY88" s="280" t="n"/>
      <c r="AZ88" s="280" t="n"/>
      <c r="BA88" s="280" t="n"/>
      <c r="BB88" s="280" t="n"/>
      <c r="BC88" s="280" t="n"/>
      <c r="BD88" s="280" t="n"/>
      <c r="BE88" s="280" t="n"/>
      <c r="BF88" s="280" t="n"/>
      <c r="BG88" s="280" t="n"/>
      <c r="BH88" s="280" t="n"/>
    </row>
    <row r="89" ht="15.5" customHeight="1">
      <c r="B89" s="308" t="inlineStr">
        <is>
          <t>Expense#6</t>
        </is>
      </c>
      <c r="C89" s="309" t="inlineStr">
        <is>
          <t>:</t>
        </is>
      </c>
      <c r="D89" s="310" t="inlineStr">
        <is>
          <t>asdasd</t>
        </is>
      </c>
      <c r="E89" s="311" t="n"/>
      <c r="F89" s="312" t="n"/>
      <c r="G89" s="311" t="n"/>
      <c r="H89" s="311" t="n"/>
      <c r="I89" s="311" t="n"/>
      <c r="J89" s="313" t="n"/>
      <c r="K89" s="314" t="n"/>
      <c r="L89" s="313" t="n"/>
      <c r="M89" s="314" t="n"/>
      <c r="N89" s="313" t="n"/>
      <c r="O89" s="306" t="n"/>
      <c r="P89" s="307" t="n"/>
      <c r="Q89" s="307" t="n"/>
      <c r="R89" s="280" t="n"/>
      <c r="S89" s="280" t="n"/>
      <c r="T89" s="280" t="n"/>
      <c r="U89" s="280" t="n"/>
      <c r="V89" s="280" t="n"/>
      <c r="W89" s="280" t="n"/>
      <c r="X89" s="280" t="n"/>
      <c r="Y89" s="280" t="n"/>
      <c r="Z89" s="280" t="n"/>
      <c r="AA89" s="280" t="n"/>
      <c r="AB89" s="280" t="n"/>
      <c r="AC89" s="280" t="n"/>
      <c r="AD89" s="280" t="n"/>
      <c r="AE89" s="280" t="n"/>
      <c r="AF89" s="280" t="n"/>
      <c r="AG89" s="280" t="n"/>
      <c r="AH89" s="280" t="n"/>
      <c r="AI89" s="280" t="n"/>
      <c r="AJ89" s="280" t="n"/>
      <c r="AK89" s="280" t="n"/>
      <c r="AL89" s="280" t="n"/>
      <c r="AM89" s="280" t="n"/>
      <c r="AN89" s="280" t="n"/>
      <c r="AO89" s="280" t="n"/>
      <c r="AP89" s="280" t="n"/>
      <c r="AQ89" s="280" t="n"/>
      <c r="AR89" s="280" t="n"/>
      <c r="AS89" s="280" t="n"/>
      <c r="AT89" s="280" t="n"/>
      <c r="AU89" s="280" t="n"/>
      <c r="AV89" s="280" t="n"/>
      <c r="AW89" s="280" t="n"/>
      <c r="AX89" s="280" t="n"/>
      <c r="AY89" s="280" t="n"/>
      <c r="AZ89" s="280" t="n"/>
      <c r="BA89" s="280" t="n"/>
      <c r="BB89" s="280" t="n"/>
      <c r="BC89" s="280" t="n"/>
      <c r="BD89" s="280" t="n"/>
      <c r="BE89" s="280" t="n"/>
      <c r="BF89" s="280" t="n"/>
      <c r="BG89" s="280" t="n"/>
      <c r="BH89" s="280" t="n"/>
    </row>
    <row r="90" ht="15.5" customHeight="1">
      <c r="A90" s="66" t="n"/>
      <c r="B90" s="315" t="n"/>
      <c r="C90" s="316" t="n"/>
      <c r="D90" s="317" t="inlineStr">
        <is>
          <t>Rental Tool</t>
        </is>
      </c>
      <c r="E90" s="318" t="n"/>
      <c r="F90" s="319" t="n"/>
      <c r="G90" s="316" t="n"/>
      <c r="H90" s="316" t="n"/>
      <c r="I90" s="316" t="n"/>
      <c r="J90" s="320" t="n"/>
      <c r="K90" s="315" t="n"/>
      <c r="L90" s="320" t="n"/>
      <c r="M90" s="315" t="n"/>
      <c r="N90" s="320" t="n"/>
      <c r="O90" s="306" t="n"/>
      <c r="P90" s="307" t="n"/>
      <c r="Q90" s="307" t="n"/>
      <c r="R90" s="280" t="n"/>
      <c r="S90" s="280" t="n"/>
      <c r="T90" s="280" t="n"/>
      <c r="U90" s="280" t="n"/>
      <c r="V90" s="280" t="n"/>
      <c r="W90" s="280" t="n"/>
      <c r="X90" s="280" t="n"/>
      <c r="Y90" s="280" t="n"/>
      <c r="Z90" s="280" t="n"/>
      <c r="AA90" s="280" t="n"/>
      <c r="AB90" s="280" t="n"/>
      <c r="AC90" s="280" t="n"/>
      <c r="AD90" s="280" t="n"/>
      <c r="AE90" s="280" t="n"/>
      <c r="AF90" s="280" t="n"/>
      <c r="AG90" s="280" t="n"/>
      <c r="AH90" s="280" t="n"/>
      <c r="AI90" s="280" t="n"/>
      <c r="AJ90" s="280" t="n"/>
      <c r="AK90" s="280" t="n"/>
      <c r="AL90" s="280" t="n"/>
      <c r="AM90" s="280" t="n"/>
      <c r="AN90" s="280" t="n"/>
      <c r="AO90" s="280" t="n"/>
      <c r="AP90" s="280" t="n"/>
      <c r="AQ90" s="280" t="n"/>
      <c r="AR90" s="280" t="n"/>
      <c r="AS90" s="280" t="n"/>
      <c r="AT90" s="280" t="n"/>
      <c r="AU90" s="280" t="n"/>
      <c r="AV90" s="280" t="n"/>
      <c r="AW90" s="280" t="n"/>
      <c r="AX90" s="280" t="n"/>
      <c r="AY90" s="280" t="n"/>
      <c r="AZ90" s="280" t="n"/>
      <c r="BA90" s="280" t="n"/>
      <c r="BB90" s="280" t="n"/>
      <c r="BC90" s="280" t="n"/>
      <c r="BD90" s="280" t="n"/>
      <c r="BE90" s="280" t="n"/>
      <c r="BF90" s="280" t="n"/>
      <c r="BG90" s="280" t="n"/>
      <c r="BH90" s="280" t="n"/>
    </row>
    <row r="91" ht="15.5" customHeight="1">
      <c r="B91" s="291" t="n">
        <v>47848</v>
      </c>
      <c r="C91" s="292" t="n">
        <v>24</v>
      </c>
      <c r="D91" s="293" t="inlineStr">
        <is>
          <t>wqeqwe</t>
        </is>
      </c>
      <c r="E91" s="284" t="inlineStr">
        <is>
          <t>Advance</t>
        </is>
      </c>
      <c r="F91" s="294" t="n">
        <v>123123</v>
      </c>
      <c r="G91" s="286" t="inlineStr">
        <is>
          <t>IDR</t>
        </is>
      </c>
      <c r="H91" s="295" t="n">
        <v>1</v>
      </c>
      <c r="I91" s="321">
        <f>$F91*$H91</f>
        <v/>
      </c>
      <c r="J91" s="296" t="n"/>
      <c r="K91" s="298" t="n"/>
      <c r="L91" s="284" t="n"/>
      <c r="M91" s="284" t="n"/>
      <c r="N91" s="284" t="n"/>
      <c r="O91" s="290" t="n"/>
      <c r="P91" s="290" t="n"/>
      <c r="Q91" s="290" t="n"/>
      <c r="R91" s="280" t="n"/>
      <c r="S91" s="280" t="n"/>
      <c r="T91" s="280" t="n"/>
      <c r="U91" s="280" t="n"/>
      <c r="V91" s="280" t="n"/>
      <c r="W91" s="280" t="n"/>
      <c r="X91" s="280" t="n"/>
      <c r="Y91" s="280" t="n"/>
      <c r="Z91" s="280" t="n"/>
      <c r="AA91" s="280" t="n"/>
      <c r="AB91" s="280" t="n"/>
      <c r="AC91" s="280" t="n"/>
      <c r="AD91" s="280" t="n"/>
      <c r="AE91" s="280" t="n"/>
      <c r="AF91" s="280" t="n"/>
      <c r="AG91" s="280" t="n"/>
      <c r="AH91" s="280" t="n"/>
      <c r="AI91" s="280" t="n"/>
      <c r="AJ91" s="280" t="n"/>
      <c r="AK91" s="280" t="n"/>
      <c r="AL91" s="280" t="n"/>
      <c r="AM91" s="280" t="n"/>
      <c r="AN91" s="280" t="n"/>
      <c r="AO91" s="280" t="n"/>
      <c r="AP91" s="280" t="n"/>
      <c r="AQ91" s="280" t="n"/>
      <c r="AR91" s="280" t="n"/>
      <c r="AS91" s="280" t="n"/>
      <c r="AT91" s="280" t="n"/>
      <c r="AU91" s="280" t="n"/>
      <c r="AV91" s="280" t="n"/>
      <c r="AW91" s="280" t="n"/>
      <c r="AX91" s="280" t="n"/>
      <c r="AY91" s="280" t="n"/>
      <c r="AZ91" s="280" t="n"/>
      <c r="BA91" s="280" t="n"/>
      <c r="BB91" s="280" t="n"/>
      <c r="BC91" s="280" t="n"/>
      <c r="BD91" s="280" t="n"/>
      <c r="BE91" s="280" t="n"/>
      <c r="BF91" s="280" t="n"/>
      <c r="BG91" s="280" t="n"/>
      <c r="BH91" s="280" t="n"/>
    </row>
    <row r="92" ht="15.5" customHeight="1">
      <c r="B92" s="291" t="n">
        <v>47848</v>
      </c>
      <c r="C92" s="292" t="n">
        <v>25</v>
      </c>
      <c r="D92" s="293" t="inlineStr">
        <is>
          <t>213123</t>
        </is>
      </c>
      <c r="E92" s="284" t="inlineStr">
        <is>
          <t>Advance</t>
        </is>
      </c>
      <c r="F92" s="294" t="n">
        <v>22</v>
      </c>
      <c r="G92" s="286" t="inlineStr">
        <is>
          <t>USD</t>
        </is>
      </c>
      <c r="H92" s="295" t="n">
        <v>11233</v>
      </c>
      <c r="I92" s="321">
        <f>$F92*$H92</f>
        <v/>
      </c>
      <c r="J92" s="296" t="n"/>
      <c r="K92" s="298" t="n"/>
      <c r="L92" s="284" t="n"/>
      <c r="M92" s="284" t="n"/>
      <c r="N92" s="284" t="n"/>
      <c r="O92" s="290" t="n"/>
      <c r="P92" s="290" t="n"/>
      <c r="Q92" s="290" t="n"/>
      <c r="R92" s="280" t="n"/>
      <c r="S92" s="280" t="n"/>
      <c r="T92" s="280" t="n"/>
      <c r="U92" s="280" t="n"/>
      <c r="V92" s="280" t="n"/>
      <c r="W92" s="280" t="n"/>
      <c r="X92" s="280" t="n"/>
      <c r="Y92" s="280" t="n"/>
      <c r="Z92" s="280" t="n"/>
      <c r="AA92" s="280" t="n"/>
      <c r="AB92" s="280" t="n"/>
      <c r="AC92" s="280" t="n"/>
      <c r="AD92" s="280" t="n"/>
      <c r="AE92" s="280" t="n"/>
      <c r="AF92" s="280" t="n"/>
      <c r="AG92" s="280" t="n"/>
      <c r="AH92" s="280" t="n"/>
      <c r="AI92" s="280" t="n"/>
      <c r="AJ92" s="280" t="n"/>
      <c r="AK92" s="280" t="n"/>
      <c r="AL92" s="280" t="n"/>
      <c r="AM92" s="280" t="n"/>
      <c r="AN92" s="280" t="n"/>
      <c r="AO92" s="280" t="n"/>
      <c r="AP92" s="280" t="n"/>
      <c r="AQ92" s="280" t="n"/>
      <c r="AR92" s="280" t="n"/>
      <c r="AS92" s="280" t="n"/>
      <c r="AT92" s="280" t="n"/>
      <c r="AU92" s="280" t="n"/>
      <c r="AV92" s="280" t="n"/>
      <c r="AW92" s="280" t="n"/>
      <c r="AX92" s="280" t="n"/>
      <c r="AY92" s="280" t="n"/>
      <c r="AZ92" s="280" t="n"/>
      <c r="BA92" s="280" t="n"/>
      <c r="BB92" s="280" t="n"/>
      <c r="BC92" s="280" t="n"/>
      <c r="BD92" s="280" t="n"/>
      <c r="BE92" s="280" t="n"/>
      <c r="BF92" s="280" t="n"/>
      <c r="BG92" s="280" t="n"/>
      <c r="BH92" s="280" t="n"/>
    </row>
    <row r="93" ht="15.5" customHeight="1">
      <c r="B93" s="308" t="inlineStr">
        <is>
          <t>Expense#7</t>
        </is>
      </c>
      <c r="C93" s="309" t="inlineStr">
        <is>
          <t>:</t>
        </is>
      </c>
      <c r="D93" s="310" t="inlineStr">
        <is>
          <t>lala</t>
        </is>
      </c>
      <c r="E93" s="311" t="n"/>
      <c r="F93" s="312" t="n"/>
      <c r="G93" s="311" t="n"/>
      <c r="H93" s="311" t="n"/>
      <c r="I93" s="311" t="n"/>
      <c r="J93" s="313" t="n"/>
      <c r="K93" s="314" t="n"/>
      <c r="L93" s="313" t="n"/>
      <c r="M93" s="314" t="n"/>
      <c r="N93" s="313" t="n"/>
      <c r="O93" s="306" t="n"/>
      <c r="P93" s="307" t="n"/>
      <c r="Q93" s="307" t="n"/>
      <c r="R93" s="280" t="n"/>
      <c r="S93" s="280" t="n"/>
      <c r="T93" s="280" t="n"/>
      <c r="U93" s="280" t="n"/>
      <c r="V93" s="280" t="n"/>
      <c r="W93" s="280" t="n"/>
      <c r="X93" s="280" t="n"/>
      <c r="Y93" s="280" t="n"/>
      <c r="Z93" s="280" t="n"/>
      <c r="AA93" s="280" t="n"/>
      <c r="AB93" s="280" t="n"/>
      <c r="AC93" s="280" t="n"/>
      <c r="AD93" s="280" t="n"/>
      <c r="AE93" s="280" t="n"/>
      <c r="AF93" s="280" t="n"/>
      <c r="AG93" s="280" t="n"/>
      <c r="AH93" s="280" t="n"/>
      <c r="AI93" s="280" t="n"/>
      <c r="AJ93" s="280" t="n"/>
      <c r="AK93" s="280" t="n"/>
      <c r="AL93" s="280" t="n"/>
      <c r="AM93" s="280" t="n"/>
      <c r="AN93" s="280" t="n"/>
      <c r="AO93" s="280" t="n"/>
      <c r="AP93" s="280" t="n"/>
      <c r="AQ93" s="280" t="n"/>
      <c r="AR93" s="280" t="n"/>
      <c r="AS93" s="280" t="n"/>
      <c r="AT93" s="280" t="n"/>
      <c r="AU93" s="280" t="n"/>
      <c r="AV93" s="280" t="n"/>
      <c r="AW93" s="280" t="n"/>
      <c r="AX93" s="280" t="n"/>
      <c r="AY93" s="280" t="n"/>
      <c r="AZ93" s="280" t="n"/>
      <c r="BA93" s="280" t="n"/>
      <c r="BB93" s="280" t="n"/>
      <c r="BC93" s="280" t="n"/>
      <c r="BD93" s="280" t="n"/>
      <c r="BE93" s="280" t="n"/>
      <c r="BF93" s="280" t="n"/>
      <c r="BG93" s="280" t="n"/>
      <c r="BH93" s="280" t="n"/>
    </row>
    <row r="94" ht="15.5" customHeight="1">
      <c r="A94" s="66" t="n"/>
      <c r="B94" s="315" t="n"/>
      <c r="C94" s="316" t="n"/>
      <c r="D94" s="317" t="inlineStr">
        <is>
          <t>Transportation</t>
        </is>
      </c>
      <c r="E94" s="318" t="n"/>
      <c r="F94" s="319" t="n"/>
      <c r="G94" s="316" t="n"/>
      <c r="H94" s="316" t="n"/>
      <c r="I94" s="316" t="n"/>
      <c r="J94" s="320" t="n"/>
      <c r="K94" s="315" t="n"/>
      <c r="L94" s="320" t="n"/>
      <c r="M94" s="315" t="n"/>
      <c r="N94" s="320" t="n"/>
      <c r="O94" s="306" t="n"/>
      <c r="P94" s="307" t="n"/>
      <c r="Q94" s="307" t="n"/>
      <c r="R94" s="280" t="n"/>
      <c r="S94" s="280" t="n"/>
      <c r="T94" s="280" t="n"/>
      <c r="U94" s="280" t="n"/>
      <c r="V94" s="280" t="n"/>
      <c r="W94" s="280" t="n"/>
      <c r="X94" s="280" t="n"/>
      <c r="Y94" s="280" t="n"/>
      <c r="Z94" s="280" t="n"/>
      <c r="AA94" s="280" t="n"/>
      <c r="AB94" s="280" t="n"/>
      <c r="AC94" s="280" t="n"/>
      <c r="AD94" s="280" t="n"/>
      <c r="AE94" s="280" t="n"/>
      <c r="AF94" s="280" t="n"/>
      <c r="AG94" s="280" t="n"/>
      <c r="AH94" s="280" t="n"/>
      <c r="AI94" s="280" t="n"/>
      <c r="AJ94" s="280" t="n"/>
      <c r="AK94" s="280" t="n"/>
      <c r="AL94" s="280" t="n"/>
      <c r="AM94" s="280" t="n"/>
      <c r="AN94" s="280" t="n"/>
      <c r="AO94" s="280" t="n"/>
      <c r="AP94" s="280" t="n"/>
      <c r="AQ94" s="280" t="n"/>
      <c r="AR94" s="280" t="n"/>
      <c r="AS94" s="280" t="n"/>
      <c r="AT94" s="280" t="n"/>
      <c r="AU94" s="280" t="n"/>
      <c r="AV94" s="280" t="n"/>
      <c r="AW94" s="280" t="n"/>
      <c r="AX94" s="280" t="n"/>
      <c r="AY94" s="280" t="n"/>
      <c r="AZ94" s="280" t="n"/>
      <c r="BA94" s="280" t="n"/>
      <c r="BB94" s="280" t="n"/>
      <c r="BC94" s="280" t="n"/>
      <c r="BD94" s="280" t="n"/>
      <c r="BE94" s="280" t="n"/>
      <c r="BF94" s="280" t="n"/>
      <c r="BG94" s="280" t="n"/>
      <c r="BH94" s="280" t="n"/>
    </row>
    <row r="95" ht="15.5" customHeight="1">
      <c r="B95" s="291" t="n">
        <v>47848</v>
      </c>
      <c r="C95" s="292" t="n">
        <v>26</v>
      </c>
      <c r="D95" s="293" t="inlineStr">
        <is>
          <t>jsj</t>
        </is>
      </c>
      <c r="E95" s="284" t="inlineStr">
        <is>
          <t>Advance</t>
        </is>
      </c>
      <c r="F95" s="294" t="n">
        <v>646</v>
      </c>
      <c r="G95" s="286" t="inlineStr">
        <is>
          <t>IDR</t>
        </is>
      </c>
      <c r="H95" s="295" t="n">
        <v>1</v>
      </c>
      <c r="I95" s="296" t="n"/>
      <c r="J95" s="296" t="n"/>
      <c r="K95" s="297">
        <f>$F95*$H95</f>
        <v/>
      </c>
      <c r="L95" s="284" t="n"/>
      <c r="M95" s="284" t="n"/>
      <c r="N95" s="284" t="n"/>
      <c r="O95" s="290" t="n"/>
      <c r="P95" s="290" t="n"/>
      <c r="Q95" s="290" t="n"/>
      <c r="R95" s="280" t="n"/>
      <c r="S95" s="280" t="n"/>
      <c r="T95" s="280" t="n"/>
      <c r="U95" s="280" t="n"/>
      <c r="V95" s="280" t="n"/>
      <c r="W95" s="280" t="n"/>
      <c r="X95" s="280" t="n"/>
      <c r="Y95" s="280" t="n"/>
      <c r="Z95" s="280" t="n"/>
      <c r="AA95" s="280" t="n"/>
      <c r="AB95" s="280" t="n"/>
      <c r="AC95" s="280" t="n"/>
      <c r="AD95" s="280" t="n"/>
      <c r="AE95" s="280" t="n"/>
      <c r="AF95" s="280" t="n"/>
      <c r="AG95" s="280" t="n"/>
      <c r="AH95" s="280" t="n"/>
      <c r="AI95" s="280" t="n"/>
      <c r="AJ95" s="280" t="n"/>
      <c r="AK95" s="280" t="n"/>
      <c r="AL95" s="280" t="n"/>
      <c r="AM95" s="280" t="n"/>
      <c r="AN95" s="280" t="n"/>
      <c r="AO95" s="280" t="n"/>
      <c r="AP95" s="280" t="n"/>
      <c r="AQ95" s="280" t="n"/>
      <c r="AR95" s="280" t="n"/>
      <c r="AS95" s="280" t="n"/>
      <c r="AT95" s="280" t="n"/>
      <c r="AU95" s="280" t="n"/>
      <c r="AV95" s="280" t="n"/>
      <c r="AW95" s="280" t="n"/>
      <c r="AX95" s="280" t="n"/>
      <c r="AY95" s="280" t="n"/>
      <c r="AZ95" s="280" t="n"/>
      <c r="BA95" s="280" t="n"/>
      <c r="BB95" s="280" t="n"/>
      <c r="BC95" s="280" t="n"/>
      <c r="BD95" s="280" t="n"/>
      <c r="BE95" s="280" t="n"/>
      <c r="BF95" s="280" t="n"/>
      <c r="BG95" s="280" t="n"/>
      <c r="BH95" s="280" t="n"/>
    </row>
    <row r="96" ht="15.5" customHeight="1">
      <c r="B96" s="308" t="inlineStr">
        <is>
          <t>Expense#8</t>
        </is>
      </c>
      <c r="C96" s="309" t="inlineStr">
        <is>
          <t>:</t>
        </is>
      </c>
      <c r="D96" s="310" t="inlineStr">
        <is>
          <t>234234</t>
        </is>
      </c>
      <c r="E96" s="311" t="n"/>
      <c r="F96" s="312" t="n"/>
      <c r="G96" s="311" t="n"/>
      <c r="H96" s="311" t="n"/>
      <c r="I96" s="311" t="n"/>
      <c r="J96" s="313" t="n"/>
      <c r="K96" s="314" t="n"/>
      <c r="L96" s="313" t="n"/>
      <c r="M96" s="314" t="n"/>
      <c r="N96" s="313" t="n"/>
      <c r="O96" s="306" t="n"/>
      <c r="P96" s="307" t="n"/>
      <c r="Q96" s="307" t="n"/>
      <c r="R96" s="280" t="n"/>
      <c r="S96" s="280" t="n"/>
      <c r="T96" s="280" t="n"/>
      <c r="U96" s="280" t="n"/>
      <c r="V96" s="280" t="n"/>
      <c r="W96" s="280" t="n"/>
      <c r="X96" s="280" t="n"/>
      <c r="Y96" s="280" t="n"/>
      <c r="Z96" s="280" t="n"/>
      <c r="AA96" s="280" t="n"/>
      <c r="AB96" s="280" t="n"/>
      <c r="AC96" s="280" t="n"/>
      <c r="AD96" s="280" t="n"/>
      <c r="AE96" s="280" t="n"/>
      <c r="AF96" s="280" t="n"/>
      <c r="AG96" s="280" t="n"/>
      <c r="AH96" s="280" t="n"/>
      <c r="AI96" s="280" t="n"/>
      <c r="AJ96" s="280" t="n"/>
      <c r="AK96" s="280" t="n"/>
      <c r="AL96" s="280" t="n"/>
      <c r="AM96" s="280" t="n"/>
      <c r="AN96" s="280" t="n"/>
      <c r="AO96" s="280" t="n"/>
      <c r="AP96" s="280" t="n"/>
      <c r="AQ96" s="280" t="n"/>
      <c r="AR96" s="280" t="n"/>
      <c r="AS96" s="280" t="n"/>
      <c r="AT96" s="280" t="n"/>
      <c r="AU96" s="280" t="n"/>
      <c r="AV96" s="280" t="n"/>
      <c r="AW96" s="280" t="n"/>
      <c r="AX96" s="280" t="n"/>
      <c r="AY96" s="280" t="n"/>
      <c r="AZ96" s="280" t="n"/>
      <c r="BA96" s="280" t="n"/>
      <c r="BB96" s="280" t="n"/>
      <c r="BC96" s="280" t="n"/>
      <c r="BD96" s="280" t="n"/>
      <c r="BE96" s="280" t="n"/>
      <c r="BF96" s="280" t="n"/>
      <c r="BG96" s="280" t="n"/>
      <c r="BH96" s="280" t="n"/>
    </row>
    <row r="97" ht="15.5" customHeight="1">
      <c r="B97" s="315" t="n"/>
      <c r="C97" s="316" t="n"/>
      <c r="D97" s="317" t="inlineStr">
        <is>
          <t>- , Pembuatan Alat</t>
        </is>
      </c>
      <c r="E97" s="318" t="n"/>
      <c r="F97" s="319" t="n"/>
      <c r="G97" s="316" t="n"/>
      <c r="H97" s="316" t="n"/>
      <c r="I97" s="316" t="n"/>
      <c r="J97" s="320" t="n"/>
      <c r="K97" s="315" t="n"/>
      <c r="L97" s="320" t="n"/>
      <c r="M97" s="315" t="n"/>
      <c r="N97" s="320" t="n"/>
      <c r="O97" s="306" t="n"/>
      <c r="P97" s="307" t="n"/>
      <c r="Q97" s="307" t="n"/>
      <c r="R97" s="280" t="n"/>
      <c r="S97" s="280" t="n"/>
      <c r="T97" s="280" t="n"/>
      <c r="U97" s="280" t="n"/>
      <c r="V97" s="280" t="n"/>
      <c r="W97" s="280" t="n"/>
      <c r="X97" s="280" t="n"/>
      <c r="Y97" s="280" t="n"/>
      <c r="Z97" s="280" t="n"/>
      <c r="AA97" s="280" t="n"/>
      <c r="AB97" s="280" t="n"/>
      <c r="AC97" s="280" t="n"/>
      <c r="AD97" s="280" t="n"/>
      <c r="AE97" s="280" t="n"/>
      <c r="AF97" s="280" t="n"/>
      <c r="AG97" s="280" t="n"/>
      <c r="AH97" s="280" t="n"/>
      <c r="AI97" s="280" t="n"/>
      <c r="AJ97" s="280" t="n"/>
      <c r="AK97" s="280" t="n"/>
      <c r="AL97" s="280" t="n"/>
      <c r="AM97" s="280" t="n"/>
      <c r="AN97" s="280" t="n"/>
      <c r="AO97" s="280" t="n"/>
      <c r="AP97" s="280" t="n"/>
      <c r="AQ97" s="280" t="n"/>
      <c r="AR97" s="280" t="n"/>
      <c r="AS97" s="280" t="n"/>
      <c r="AT97" s="280" t="n"/>
      <c r="AU97" s="280" t="n"/>
      <c r="AV97" s="280" t="n"/>
      <c r="AW97" s="280" t="n"/>
      <c r="AX97" s="280" t="n"/>
      <c r="AY97" s="280" t="n"/>
      <c r="AZ97" s="280" t="n"/>
      <c r="BA97" s="280" t="n"/>
      <c r="BB97" s="280" t="n"/>
      <c r="BC97" s="280" t="n"/>
      <c r="BD97" s="280" t="n"/>
      <c r="BE97" s="280" t="n"/>
      <c r="BF97" s="280" t="n"/>
      <c r="BG97" s="280" t="n"/>
      <c r="BH97" s="280" t="n"/>
    </row>
    <row r="98" ht="15.5" customHeight="1">
      <c r="B98" s="291" t="n">
        <v>47848</v>
      </c>
      <c r="C98" s="292" t="n">
        <v>27</v>
      </c>
      <c r="D98" s="293" t="inlineStr">
        <is>
          <t>234234</t>
        </is>
      </c>
      <c r="E98" s="284" t="inlineStr">
        <is>
          <t>Mandiri</t>
        </is>
      </c>
      <c r="F98" s="294" t="n">
        <v>234234</v>
      </c>
      <c r="G98" s="286" t="inlineStr">
        <is>
          <t>IDR</t>
        </is>
      </c>
      <c r="H98" s="295" t="n">
        <v>1</v>
      </c>
      <c r="I98" s="296" t="n"/>
      <c r="J98" s="321">
        <f>$F98*$H98</f>
        <v/>
      </c>
      <c r="K98" s="298" t="n"/>
      <c r="L98" s="284" t="n"/>
      <c r="M98" s="284" t="n"/>
      <c r="N98" s="284" t="n"/>
      <c r="O98" s="290" t="n"/>
      <c r="P98" s="290" t="n"/>
      <c r="Q98" s="290" t="n"/>
      <c r="R98" s="280" t="n"/>
      <c r="S98" s="280" t="n"/>
      <c r="T98" s="280" t="n"/>
      <c r="U98" s="280" t="n"/>
      <c r="V98" s="280" t="n"/>
      <c r="W98" s="280" t="n"/>
      <c r="X98" s="280" t="n"/>
      <c r="Y98" s="280" t="n"/>
      <c r="Z98" s="280" t="n"/>
      <c r="AA98" s="280" t="n"/>
      <c r="AB98" s="280" t="n"/>
      <c r="AC98" s="280" t="n"/>
      <c r="AD98" s="280" t="n"/>
      <c r="AE98" s="280" t="n"/>
      <c r="AF98" s="280" t="n"/>
      <c r="AG98" s="280" t="n"/>
      <c r="AH98" s="280" t="n"/>
      <c r="AI98" s="280" t="n"/>
      <c r="AJ98" s="280" t="n"/>
      <c r="AK98" s="280" t="n"/>
      <c r="AL98" s="280" t="n"/>
      <c r="AM98" s="280" t="n"/>
      <c r="AN98" s="280" t="n"/>
      <c r="AO98" s="280" t="n"/>
      <c r="AP98" s="280" t="n"/>
      <c r="AQ98" s="280" t="n"/>
      <c r="AR98" s="280" t="n"/>
      <c r="AS98" s="280" t="n"/>
      <c r="AT98" s="280" t="n"/>
      <c r="AU98" s="280" t="n"/>
      <c r="AV98" s="280" t="n"/>
      <c r="AW98" s="280" t="n"/>
      <c r="AX98" s="280" t="n"/>
      <c r="AY98" s="280" t="n"/>
      <c r="AZ98" s="280" t="n"/>
      <c r="BA98" s="280" t="n"/>
      <c r="BB98" s="280" t="n"/>
      <c r="BC98" s="280" t="n"/>
      <c r="BD98" s="280" t="n"/>
      <c r="BE98" s="280" t="n"/>
      <c r="BF98" s="280" t="n"/>
      <c r="BG98" s="280" t="n"/>
      <c r="BH98" s="280" t="n"/>
    </row>
    <row r="99" ht="15.5" customHeight="1">
      <c r="B99" s="315" t="n"/>
      <c r="C99" s="316" t="n"/>
      <c r="D99" s="317" t="inlineStr">
        <is>
          <t>Accommodation , Meal</t>
        </is>
      </c>
      <c r="E99" s="318" t="n"/>
      <c r="F99" s="319" t="n"/>
      <c r="G99" s="316" t="n"/>
      <c r="H99" s="316" t="n"/>
      <c r="I99" s="316" t="n"/>
      <c r="J99" s="320" t="n"/>
      <c r="K99" s="315" t="n"/>
      <c r="L99" s="320" t="n"/>
      <c r="M99" s="315" t="n"/>
      <c r="N99" s="320" t="n"/>
      <c r="O99" s="306" t="n"/>
      <c r="P99" s="307" t="n"/>
      <c r="Q99" s="307" t="n"/>
      <c r="R99" s="280" t="n"/>
      <c r="S99" s="280" t="n"/>
      <c r="T99" s="280" t="n"/>
      <c r="U99" s="280" t="n"/>
      <c r="V99" s="280" t="n"/>
      <c r="W99" s="280" t="n"/>
      <c r="X99" s="280" t="n"/>
      <c r="Y99" s="280" t="n"/>
      <c r="Z99" s="280" t="n"/>
      <c r="AA99" s="280" t="n"/>
      <c r="AB99" s="280" t="n"/>
      <c r="AC99" s="280" t="n"/>
      <c r="AD99" s="280" t="n"/>
      <c r="AE99" s="280" t="n"/>
      <c r="AF99" s="280" t="n"/>
      <c r="AG99" s="280" t="n"/>
      <c r="AH99" s="280" t="n"/>
      <c r="AI99" s="280" t="n"/>
      <c r="AJ99" s="280" t="n"/>
      <c r="AK99" s="280" t="n"/>
      <c r="AL99" s="280" t="n"/>
      <c r="AM99" s="280" t="n"/>
      <c r="AN99" s="280" t="n"/>
      <c r="AO99" s="280" t="n"/>
      <c r="AP99" s="280" t="n"/>
      <c r="AQ99" s="280" t="n"/>
      <c r="AR99" s="280" t="n"/>
      <c r="AS99" s="280" t="n"/>
      <c r="AT99" s="280" t="n"/>
      <c r="AU99" s="280" t="n"/>
      <c r="AV99" s="280" t="n"/>
      <c r="AW99" s="280" t="n"/>
      <c r="AX99" s="280" t="n"/>
      <c r="AY99" s="280" t="n"/>
      <c r="AZ99" s="280" t="n"/>
      <c r="BA99" s="280" t="n"/>
      <c r="BB99" s="280" t="n"/>
      <c r="BC99" s="280" t="n"/>
      <c r="BD99" s="280" t="n"/>
      <c r="BE99" s="280" t="n"/>
      <c r="BF99" s="280" t="n"/>
      <c r="BG99" s="280" t="n"/>
      <c r="BH99" s="280" t="n"/>
    </row>
    <row r="100" ht="15.5" customHeight="1">
      <c r="B100" s="291" t="n">
        <v>47848</v>
      </c>
      <c r="C100" s="292" t="n">
        <v>28</v>
      </c>
      <c r="D100" s="293" t="inlineStr">
        <is>
          <t>234234</t>
        </is>
      </c>
      <c r="E100" s="284" t="inlineStr">
        <is>
          <t>Mandiri</t>
        </is>
      </c>
      <c r="F100" s="294" t="n">
        <v>234324</v>
      </c>
      <c r="G100" s="286" t="inlineStr">
        <is>
          <t>IDR</t>
        </is>
      </c>
      <c r="H100" s="295" t="n">
        <v>1</v>
      </c>
      <c r="I100" s="296" t="n"/>
      <c r="J100" s="296" t="n"/>
      <c r="K100" s="297">
        <f>$F100*$H100</f>
        <v/>
      </c>
      <c r="L100" s="284" t="n"/>
      <c r="M100" s="284" t="n"/>
      <c r="N100" s="284" t="n"/>
      <c r="O100" s="290" t="n"/>
      <c r="P100" s="290" t="n"/>
      <c r="Q100" s="290" t="n"/>
      <c r="R100" s="280" t="n"/>
      <c r="S100" s="280" t="n"/>
      <c r="T100" s="280" t="n"/>
      <c r="U100" s="280" t="n"/>
      <c r="V100" s="280" t="n"/>
      <c r="W100" s="280" t="n"/>
      <c r="X100" s="280" t="n"/>
      <c r="Y100" s="280" t="n"/>
      <c r="Z100" s="280" t="n"/>
      <c r="AA100" s="280" t="n"/>
      <c r="AB100" s="280" t="n"/>
      <c r="AC100" s="280" t="n"/>
      <c r="AD100" s="280" t="n"/>
      <c r="AE100" s="280" t="n"/>
      <c r="AF100" s="280" t="n"/>
      <c r="AG100" s="280" t="n"/>
      <c r="AH100" s="280" t="n"/>
      <c r="AI100" s="280" t="n"/>
      <c r="AJ100" s="280" t="n"/>
      <c r="AK100" s="280" t="n"/>
      <c r="AL100" s="280" t="n"/>
      <c r="AM100" s="280" t="n"/>
      <c r="AN100" s="280" t="n"/>
      <c r="AO100" s="280" t="n"/>
      <c r="AP100" s="280" t="n"/>
      <c r="AQ100" s="280" t="n"/>
      <c r="AR100" s="280" t="n"/>
      <c r="AS100" s="280" t="n"/>
      <c r="AT100" s="280" t="n"/>
      <c r="AU100" s="280" t="n"/>
      <c r="AV100" s="280" t="n"/>
      <c r="AW100" s="280" t="n"/>
      <c r="AX100" s="280" t="n"/>
      <c r="AY100" s="280" t="n"/>
      <c r="AZ100" s="280" t="n"/>
      <c r="BA100" s="280" t="n"/>
      <c r="BB100" s="280" t="n"/>
      <c r="BC100" s="280" t="n"/>
      <c r="BD100" s="280" t="n"/>
      <c r="BE100" s="280" t="n"/>
      <c r="BF100" s="280" t="n"/>
      <c r="BG100" s="280" t="n"/>
      <c r="BH100" s="280" t="n"/>
    </row>
    <row r="101" ht="15.5" customHeight="1">
      <c r="B101" s="315" t="n"/>
      <c r="C101" s="316" t="n"/>
      <c r="D101" s="317" t="inlineStr">
        <is>
          <t>Accommodation , Transportation</t>
        </is>
      </c>
      <c r="E101" s="318" t="n"/>
      <c r="F101" s="319" t="n"/>
      <c r="G101" s="316" t="n"/>
      <c r="H101" s="316" t="n"/>
      <c r="I101" s="316" t="n"/>
      <c r="J101" s="320" t="n"/>
      <c r="K101" s="315" t="n"/>
      <c r="L101" s="320" t="n"/>
      <c r="M101" s="315" t="n"/>
      <c r="N101" s="320" t="n"/>
      <c r="O101" s="306" t="n"/>
      <c r="P101" s="307" t="n"/>
      <c r="Q101" s="307" t="n"/>
      <c r="R101" s="280" t="n"/>
      <c r="S101" s="280" t="n"/>
      <c r="T101" s="280" t="n"/>
      <c r="U101" s="280" t="n"/>
      <c r="V101" s="280" t="n"/>
      <c r="W101" s="280" t="n"/>
      <c r="X101" s="280" t="n"/>
      <c r="Y101" s="280" t="n"/>
      <c r="Z101" s="280" t="n"/>
      <c r="AA101" s="280" t="n"/>
      <c r="AB101" s="280" t="n"/>
      <c r="AC101" s="280" t="n"/>
      <c r="AD101" s="280" t="n"/>
      <c r="AE101" s="280" t="n"/>
      <c r="AF101" s="280" t="n"/>
      <c r="AG101" s="280" t="n"/>
      <c r="AH101" s="280" t="n"/>
      <c r="AI101" s="280" t="n"/>
      <c r="AJ101" s="280" t="n"/>
      <c r="AK101" s="280" t="n"/>
      <c r="AL101" s="280" t="n"/>
      <c r="AM101" s="280" t="n"/>
      <c r="AN101" s="280" t="n"/>
      <c r="AO101" s="280" t="n"/>
      <c r="AP101" s="280" t="n"/>
      <c r="AQ101" s="280" t="n"/>
      <c r="AR101" s="280" t="n"/>
      <c r="AS101" s="280" t="n"/>
      <c r="AT101" s="280" t="n"/>
      <c r="AU101" s="280" t="n"/>
      <c r="AV101" s="280" t="n"/>
      <c r="AW101" s="280" t="n"/>
      <c r="AX101" s="280" t="n"/>
      <c r="AY101" s="280" t="n"/>
      <c r="AZ101" s="280" t="n"/>
      <c r="BA101" s="280" t="n"/>
      <c r="BB101" s="280" t="n"/>
      <c r="BC101" s="280" t="n"/>
      <c r="BD101" s="280" t="n"/>
      <c r="BE101" s="280" t="n"/>
      <c r="BF101" s="280" t="n"/>
      <c r="BG101" s="280" t="n"/>
      <c r="BH101" s="280" t="n"/>
    </row>
    <row r="102" ht="15.5" customHeight="1">
      <c r="B102" s="291" t="n">
        <v>47848</v>
      </c>
      <c r="C102" s="292" t="n">
        <v>29</v>
      </c>
      <c r="D102" s="293" t="inlineStr">
        <is>
          <t>234234</t>
        </is>
      </c>
      <c r="E102" s="284" t="inlineStr">
        <is>
          <t>BRI</t>
        </is>
      </c>
      <c r="F102" s="294" t="n">
        <v>234324</v>
      </c>
      <c r="G102" s="286" t="inlineStr">
        <is>
          <t>IDR</t>
        </is>
      </c>
      <c r="H102" s="295" t="n">
        <v>1</v>
      </c>
      <c r="I102" s="296" t="n"/>
      <c r="J102" s="296" t="n"/>
      <c r="K102" s="297">
        <f>$F102*$H102</f>
        <v/>
      </c>
      <c r="L102" s="284" t="n"/>
      <c r="M102" s="284" t="n"/>
      <c r="N102" s="284" t="n"/>
      <c r="O102" s="290" t="n"/>
      <c r="P102" s="290" t="n"/>
      <c r="Q102" s="290" t="n"/>
      <c r="R102" s="280" t="n"/>
      <c r="S102" s="280" t="n"/>
      <c r="T102" s="280" t="n"/>
      <c r="U102" s="280" t="n"/>
      <c r="V102" s="280" t="n"/>
      <c r="W102" s="280" t="n"/>
      <c r="X102" s="280" t="n"/>
      <c r="Y102" s="280" t="n"/>
      <c r="Z102" s="280" t="n"/>
      <c r="AA102" s="280" t="n"/>
      <c r="AB102" s="280" t="n"/>
      <c r="AC102" s="280" t="n"/>
      <c r="AD102" s="280" t="n"/>
      <c r="AE102" s="280" t="n"/>
      <c r="AF102" s="280" t="n"/>
      <c r="AG102" s="280" t="n"/>
      <c r="AH102" s="280" t="n"/>
      <c r="AI102" s="280" t="n"/>
      <c r="AJ102" s="280" t="n"/>
      <c r="AK102" s="280" t="n"/>
      <c r="AL102" s="280" t="n"/>
      <c r="AM102" s="280" t="n"/>
      <c r="AN102" s="280" t="n"/>
      <c r="AO102" s="280" t="n"/>
      <c r="AP102" s="280" t="n"/>
      <c r="AQ102" s="280" t="n"/>
      <c r="AR102" s="280" t="n"/>
      <c r="AS102" s="280" t="n"/>
      <c r="AT102" s="280" t="n"/>
      <c r="AU102" s="280" t="n"/>
      <c r="AV102" s="280" t="n"/>
      <c r="AW102" s="280" t="n"/>
      <c r="AX102" s="280" t="n"/>
      <c r="AY102" s="280" t="n"/>
      <c r="AZ102" s="280" t="n"/>
      <c r="BA102" s="280" t="n"/>
      <c r="BB102" s="280" t="n"/>
      <c r="BC102" s="280" t="n"/>
      <c r="BD102" s="280" t="n"/>
      <c r="BE102" s="280" t="n"/>
      <c r="BF102" s="280" t="n"/>
      <c r="BG102" s="280" t="n"/>
      <c r="BH102" s="280" t="n"/>
    </row>
    <row r="103" ht="15.5" customHeight="1">
      <c r="B103" s="315" t="n"/>
      <c r="C103" s="316" t="n"/>
      <c r="D103" s="317" t="inlineStr">
        <is>
          <t>Accommodation</t>
        </is>
      </c>
      <c r="E103" s="318" t="n"/>
      <c r="F103" s="319" t="n"/>
      <c r="G103" s="316" t="n"/>
      <c r="H103" s="316" t="n"/>
      <c r="I103" s="316" t="n"/>
      <c r="J103" s="320" t="n"/>
      <c r="K103" s="315" t="n"/>
      <c r="L103" s="320" t="n"/>
      <c r="M103" s="315" t="n"/>
      <c r="N103" s="320" t="n"/>
      <c r="O103" s="306" t="n"/>
      <c r="P103" s="307" t="n"/>
      <c r="Q103" s="307" t="n"/>
      <c r="R103" s="280" t="n"/>
      <c r="S103" s="280" t="n"/>
      <c r="T103" s="280" t="n"/>
      <c r="U103" s="280" t="n"/>
      <c r="V103" s="280" t="n"/>
      <c r="W103" s="280" t="n"/>
      <c r="X103" s="280" t="n"/>
      <c r="Y103" s="280" t="n"/>
      <c r="Z103" s="280" t="n"/>
      <c r="AA103" s="280" t="n"/>
      <c r="AB103" s="280" t="n"/>
      <c r="AC103" s="280" t="n"/>
      <c r="AD103" s="280" t="n"/>
      <c r="AE103" s="280" t="n"/>
      <c r="AF103" s="280" t="n"/>
      <c r="AG103" s="280" t="n"/>
      <c r="AH103" s="280" t="n"/>
      <c r="AI103" s="280" t="n"/>
      <c r="AJ103" s="280" t="n"/>
      <c r="AK103" s="280" t="n"/>
      <c r="AL103" s="280" t="n"/>
      <c r="AM103" s="280" t="n"/>
      <c r="AN103" s="280" t="n"/>
      <c r="AO103" s="280" t="n"/>
      <c r="AP103" s="280" t="n"/>
      <c r="AQ103" s="280" t="n"/>
      <c r="AR103" s="280" t="n"/>
      <c r="AS103" s="280" t="n"/>
      <c r="AT103" s="280" t="n"/>
      <c r="AU103" s="280" t="n"/>
      <c r="AV103" s="280" t="n"/>
      <c r="AW103" s="280" t="n"/>
      <c r="AX103" s="280" t="n"/>
      <c r="AY103" s="280" t="n"/>
      <c r="AZ103" s="280" t="n"/>
      <c r="BA103" s="280" t="n"/>
      <c r="BB103" s="280" t="n"/>
      <c r="BC103" s="280" t="n"/>
      <c r="BD103" s="280" t="n"/>
      <c r="BE103" s="280" t="n"/>
      <c r="BF103" s="280" t="n"/>
      <c r="BG103" s="280" t="n"/>
      <c r="BH103" s="280" t="n"/>
    </row>
    <row r="104" ht="15.5" customHeight="1">
      <c r="B104" s="291" t="n">
        <v>47848</v>
      </c>
      <c r="C104" s="292" t="n">
        <v>30</v>
      </c>
      <c r="D104" s="293" t="inlineStr">
        <is>
          <t>w3423</t>
        </is>
      </c>
      <c r="E104" s="284" t="inlineStr">
        <is>
          <t>Mandiri</t>
        </is>
      </c>
      <c r="F104" s="294" t="n">
        <v>23432</v>
      </c>
      <c r="G104" s="286" t="inlineStr">
        <is>
          <t>IDR</t>
        </is>
      </c>
      <c r="H104" s="295" t="n">
        <v>1</v>
      </c>
      <c r="I104" s="296" t="n"/>
      <c r="J104" s="296" t="n"/>
      <c r="K104" s="297">
        <f>$F104*$H104</f>
        <v/>
      </c>
      <c r="L104" s="284" t="n"/>
      <c r="M104" s="284" t="n"/>
      <c r="N104" s="284" t="n"/>
      <c r="O104" s="290" t="n"/>
      <c r="P104" s="290" t="n"/>
      <c r="Q104" s="290" t="n"/>
      <c r="R104" s="280" t="n"/>
      <c r="S104" s="280" t="n"/>
      <c r="T104" s="280" t="n"/>
      <c r="U104" s="280" t="n"/>
      <c r="V104" s="280" t="n"/>
      <c r="W104" s="280" t="n"/>
      <c r="X104" s="280" t="n"/>
      <c r="Y104" s="280" t="n"/>
      <c r="Z104" s="280" t="n"/>
      <c r="AA104" s="280" t="n"/>
      <c r="AB104" s="280" t="n"/>
      <c r="AC104" s="280" t="n"/>
      <c r="AD104" s="280" t="n"/>
      <c r="AE104" s="280" t="n"/>
      <c r="AF104" s="280" t="n"/>
      <c r="AG104" s="280" t="n"/>
      <c r="AH104" s="280" t="n"/>
      <c r="AI104" s="280" t="n"/>
      <c r="AJ104" s="280" t="n"/>
      <c r="AK104" s="280" t="n"/>
      <c r="AL104" s="280" t="n"/>
      <c r="AM104" s="280" t="n"/>
      <c r="AN104" s="280" t="n"/>
      <c r="AO104" s="280" t="n"/>
      <c r="AP104" s="280" t="n"/>
      <c r="AQ104" s="280" t="n"/>
      <c r="AR104" s="280" t="n"/>
      <c r="AS104" s="280" t="n"/>
      <c r="AT104" s="280" t="n"/>
      <c r="AU104" s="280" t="n"/>
      <c r="AV104" s="280" t="n"/>
      <c r="AW104" s="280" t="n"/>
      <c r="AX104" s="280" t="n"/>
      <c r="AY104" s="280" t="n"/>
      <c r="AZ104" s="280" t="n"/>
      <c r="BA104" s="280" t="n"/>
      <c r="BB104" s="280" t="n"/>
      <c r="BC104" s="280" t="n"/>
      <c r="BD104" s="280" t="n"/>
      <c r="BE104" s="280" t="n"/>
      <c r="BF104" s="280" t="n"/>
      <c r="BG104" s="280" t="n"/>
      <c r="BH104" s="280" t="n"/>
    </row>
    <row r="105" ht="15.5" customHeight="1">
      <c r="B105" s="315" t="n"/>
      <c r="C105" s="316" t="n"/>
      <c r="D105" s="317" t="inlineStr">
        <is>
          <t>keysha</t>
        </is>
      </c>
      <c r="E105" s="318" t="n"/>
      <c r="F105" s="319" t="n"/>
      <c r="G105" s="316" t="n"/>
      <c r="H105" s="316" t="n"/>
      <c r="I105" s="316" t="n"/>
      <c r="J105" s="320" t="n"/>
      <c r="K105" s="315" t="n"/>
      <c r="L105" s="320" t="n"/>
      <c r="M105" s="315" t="n"/>
      <c r="N105" s="320" t="n"/>
      <c r="O105" s="306" t="n"/>
      <c r="P105" s="307" t="n"/>
      <c r="Q105" s="307" t="n"/>
      <c r="R105" s="280" t="n"/>
      <c r="S105" s="280" t="n"/>
      <c r="T105" s="280" t="n"/>
      <c r="U105" s="280" t="n"/>
      <c r="V105" s="280" t="n"/>
      <c r="W105" s="280" t="n"/>
      <c r="X105" s="280" t="n"/>
      <c r="Y105" s="280" t="n"/>
      <c r="Z105" s="280" t="n"/>
      <c r="AA105" s="280" t="n"/>
      <c r="AB105" s="280" t="n"/>
      <c r="AC105" s="280" t="n"/>
      <c r="AD105" s="280" t="n"/>
      <c r="AE105" s="280" t="n"/>
      <c r="AF105" s="280" t="n"/>
      <c r="AG105" s="280" t="n"/>
      <c r="AH105" s="280" t="n"/>
      <c r="AI105" s="280" t="n"/>
      <c r="AJ105" s="280" t="n"/>
      <c r="AK105" s="280" t="n"/>
      <c r="AL105" s="280" t="n"/>
      <c r="AM105" s="280" t="n"/>
      <c r="AN105" s="280" t="n"/>
      <c r="AO105" s="280" t="n"/>
      <c r="AP105" s="280" t="n"/>
      <c r="AQ105" s="280" t="n"/>
      <c r="AR105" s="280" t="n"/>
      <c r="AS105" s="280" t="n"/>
      <c r="AT105" s="280" t="n"/>
      <c r="AU105" s="280" t="n"/>
      <c r="AV105" s="280" t="n"/>
      <c r="AW105" s="280" t="n"/>
      <c r="AX105" s="280" t="n"/>
      <c r="AY105" s="280" t="n"/>
      <c r="AZ105" s="280" t="n"/>
      <c r="BA105" s="280" t="n"/>
      <c r="BB105" s="280" t="n"/>
      <c r="BC105" s="280" t="n"/>
      <c r="BD105" s="280" t="n"/>
      <c r="BE105" s="280" t="n"/>
      <c r="BF105" s="280" t="n"/>
      <c r="BG105" s="280" t="n"/>
      <c r="BH105" s="280" t="n"/>
    </row>
    <row r="106" ht="15.5" customHeight="1">
      <c r="B106" s="291" t="n">
        <v>47848</v>
      </c>
      <c r="C106" s="292" t="n">
        <v>31</v>
      </c>
      <c r="D106" s="293" t="inlineStr">
        <is>
          <t>234324</t>
        </is>
      </c>
      <c r="E106" s="284" t="inlineStr">
        <is>
          <t>Mandiri</t>
        </is>
      </c>
      <c r="F106" s="294" t="n">
        <v>234324</v>
      </c>
      <c r="G106" s="286" t="inlineStr">
        <is>
          <t>IDR</t>
        </is>
      </c>
      <c r="H106" s="295" t="n">
        <v>1</v>
      </c>
      <c r="I106" s="296" t="n"/>
      <c r="J106" s="296" t="n"/>
      <c r="K106" s="298" t="n"/>
      <c r="L106" s="297">
        <f>$F106*$H106</f>
        <v/>
      </c>
      <c r="M106" s="284" t="n"/>
      <c r="N106" s="284" t="n"/>
      <c r="O106" s="290" t="n"/>
      <c r="P106" s="290" t="n"/>
      <c r="Q106" s="290" t="n"/>
      <c r="R106" s="280" t="n"/>
      <c r="S106" s="280" t="n"/>
      <c r="T106" s="280" t="n"/>
      <c r="U106" s="280" t="n"/>
      <c r="V106" s="280" t="n"/>
      <c r="W106" s="280" t="n"/>
      <c r="X106" s="280" t="n"/>
      <c r="Y106" s="280" t="n"/>
      <c r="Z106" s="280" t="n"/>
      <c r="AA106" s="280" t="n"/>
      <c r="AB106" s="280" t="n"/>
      <c r="AC106" s="280" t="n"/>
      <c r="AD106" s="280" t="n"/>
      <c r="AE106" s="280" t="n"/>
      <c r="AF106" s="280" t="n"/>
      <c r="AG106" s="280" t="n"/>
      <c r="AH106" s="280" t="n"/>
      <c r="AI106" s="280" t="n"/>
      <c r="AJ106" s="280" t="n"/>
      <c r="AK106" s="280" t="n"/>
      <c r="AL106" s="280" t="n"/>
      <c r="AM106" s="280" t="n"/>
      <c r="AN106" s="280" t="n"/>
      <c r="AO106" s="280" t="n"/>
      <c r="AP106" s="280" t="n"/>
      <c r="AQ106" s="280" t="n"/>
      <c r="AR106" s="280" t="n"/>
      <c r="AS106" s="280" t="n"/>
      <c r="AT106" s="280" t="n"/>
      <c r="AU106" s="280" t="n"/>
      <c r="AV106" s="280" t="n"/>
      <c r="AW106" s="280" t="n"/>
      <c r="AX106" s="280" t="n"/>
      <c r="AY106" s="280" t="n"/>
      <c r="AZ106" s="280" t="n"/>
      <c r="BA106" s="280" t="n"/>
      <c r="BB106" s="280" t="n"/>
      <c r="BC106" s="280" t="n"/>
      <c r="BD106" s="280" t="n"/>
      <c r="BE106" s="280" t="n"/>
      <c r="BF106" s="280" t="n"/>
      <c r="BG106" s="280" t="n"/>
      <c r="BH106" s="280" t="n"/>
    </row>
    <row r="107" ht="15.5" customHeight="1">
      <c r="B107" s="322" t="inlineStr">
        <is>
          <t>TOTAL</t>
        </is>
      </c>
      <c r="C107" s="323" t="n"/>
      <c r="D107" s="323" t="n"/>
      <c r="E107" s="323" t="n"/>
      <c r="F107" s="323" t="n"/>
      <c r="G107" s="323" t="n"/>
      <c r="H107" s="323" t="n"/>
      <c r="I107" s="324" t="n">
        <v>428025</v>
      </c>
      <c r="J107" s="325" t="n">
        <v>234234</v>
      </c>
      <c r="K107" s="324" t="n">
        <v>138619393903</v>
      </c>
      <c r="L107" s="325" t="n">
        <v>14571951</v>
      </c>
      <c r="M107" s="324" t="n">
        <v>234234</v>
      </c>
      <c r="N107" s="325" t="n">
        <v>223224</v>
      </c>
      <c r="O107" s="306" t="n"/>
      <c r="P107" s="307" t="n"/>
      <c r="Q107" s="307" t="n"/>
      <c r="R107" s="280" t="n"/>
      <c r="S107" s="280" t="n"/>
      <c r="T107" s="280" t="n"/>
      <c r="U107" s="280" t="n"/>
      <c r="V107" s="280" t="n"/>
      <c r="W107" s="280" t="n"/>
      <c r="X107" s="280" t="n"/>
      <c r="Y107" s="280" t="n"/>
      <c r="Z107" s="280" t="n"/>
      <c r="AA107" s="280" t="n"/>
      <c r="AB107" s="280" t="n"/>
      <c r="AC107" s="280" t="n"/>
      <c r="AD107" s="280" t="n"/>
      <c r="AE107" s="280" t="n"/>
      <c r="AF107" s="280" t="n"/>
      <c r="AG107" s="280" t="n"/>
      <c r="AH107" s="280" t="n"/>
      <c r="AI107" s="280" t="n"/>
      <c r="AJ107" s="280" t="n"/>
      <c r="AK107" s="280" t="n"/>
      <c r="AL107" s="280" t="n"/>
      <c r="AM107" s="280" t="n"/>
      <c r="AN107" s="280" t="n"/>
      <c r="AO107" s="280" t="n"/>
      <c r="AP107" s="280" t="n"/>
      <c r="AQ107" s="280" t="n"/>
      <c r="AR107" s="280" t="n"/>
      <c r="AS107" s="280" t="n"/>
      <c r="AT107" s="280" t="n"/>
      <c r="AU107" s="280" t="n"/>
      <c r="AV107" s="280" t="n"/>
      <c r="AW107" s="280" t="n"/>
      <c r="AX107" s="280" t="n"/>
      <c r="AY107" s="280" t="n"/>
      <c r="AZ107" s="280" t="n"/>
      <c r="BA107" s="280" t="n"/>
      <c r="BB107" s="280" t="n"/>
      <c r="BC107" s="280" t="n"/>
      <c r="BD107" s="280" t="n"/>
      <c r="BE107" s="280" t="n"/>
      <c r="BF107" s="280" t="n"/>
      <c r="BG107" s="280" t="n"/>
      <c r="BH107" s="280" t="n"/>
    </row>
    <row r="108" hidden="1" ht="15.5" customHeight="1">
      <c r="B108" s="14" t="n"/>
      <c r="C108" s="15" t="n"/>
      <c r="D108" s="170" t="n"/>
      <c r="F108" s="19" t="n"/>
      <c r="G108" s="15" t="n"/>
      <c r="H108" s="15" t="n"/>
      <c r="I108" s="18" t="n"/>
      <c r="J108" s="21" t="n"/>
      <c r="K108" s="41" t="n"/>
      <c r="L108" s="21" t="n"/>
      <c r="M108" s="41" t="n"/>
      <c r="N108" s="21" t="n"/>
      <c r="O108" s="41" t="n"/>
      <c r="P108" s="21" t="n"/>
      <c r="Q108" s="42" t="n"/>
    </row>
    <row r="109" hidden="1" ht="15.5" customHeight="1">
      <c r="B109" s="14" t="n"/>
      <c r="C109" s="15" t="n"/>
      <c r="D109" s="170" t="n"/>
      <c r="F109" s="19" t="n"/>
      <c r="G109" s="15" t="n"/>
      <c r="H109" s="15" t="n"/>
      <c r="I109" s="18" t="n"/>
      <c r="J109" s="21" t="n"/>
      <c r="K109" s="41" t="n"/>
      <c r="L109" s="21" t="n"/>
      <c r="M109" s="41" t="n"/>
      <c r="N109" s="21" t="n"/>
      <c r="O109" s="41" t="n"/>
      <c r="P109" s="21" t="n"/>
      <c r="Q109" s="42" t="n"/>
    </row>
    <row r="110" hidden="1" ht="15.5" customHeight="1">
      <c r="B110" s="14" t="n"/>
      <c r="C110" s="15" t="n"/>
      <c r="D110" s="170" t="n"/>
      <c r="F110" s="19" t="n"/>
      <c r="G110" s="15" t="n"/>
      <c r="H110" s="15" t="n"/>
      <c r="I110" s="18" t="n"/>
      <c r="J110" s="21" t="n"/>
      <c r="K110" s="41" t="n"/>
      <c r="L110" s="21" t="n"/>
      <c r="M110" s="41" t="n"/>
      <c r="N110" s="21" t="n"/>
      <c r="O110" s="41" t="n"/>
      <c r="P110" s="21" t="n"/>
      <c r="Q110" s="42" t="n"/>
    </row>
    <row r="111" hidden="1" ht="15.5" customHeight="1">
      <c r="B111" s="14" t="n"/>
      <c r="C111" s="15" t="n"/>
      <c r="D111" s="170" t="n"/>
      <c r="F111" s="19" t="n"/>
      <c r="G111" s="15" t="n"/>
      <c r="H111" s="15" t="n"/>
      <c r="I111" s="18" t="n"/>
      <c r="J111" s="21" t="n"/>
      <c r="K111" s="41" t="n"/>
      <c r="L111" s="21" t="n"/>
      <c r="M111" s="41" t="n"/>
      <c r="N111" s="21" t="n"/>
      <c r="O111" s="41" t="n"/>
      <c r="P111" s="21" t="n"/>
      <c r="Q111" s="42" t="n"/>
    </row>
    <row r="112" hidden="1" ht="15.5" customHeight="1">
      <c r="B112" s="14" t="n"/>
      <c r="C112" s="15" t="n"/>
      <c r="D112" s="170" t="n"/>
      <c r="F112" s="19" t="n"/>
      <c r="G112" s="15" t="n"/>
      <c r="H112" s="15" t="n"/>
      <c r="I112" s="18" t="n"/>
      <c r="J112" s="21" t="n"/>
      <c r="K112" s="41" t="n"/>
      <c r="L112" s="21" t="n"/>
      <c r="M112" s="41" t="n"/>
      <c r="N112" s="21" t="n"/>
      <c r="O112" s="41" t="n"/>
      <c r="P112" s="21" t="n"/>
      <c r="Q112" s="42" t="n"/>
    </row>
    <row r="113" hidden="1" ht="15.5" customHeight="1">
      <c r="B113" s="14" t="n"/>
      <c r="C113" s="15" t="n"/>
      <c r="D113" s="170" t="n"/>
      <c r="F113" s="19" t="n"/>
      <c r="G113" s="15" t="n"/>
      <c r="H113" s="15" t="n"/>
      <c r="I113" s="18" t="n"/>
      <c r="J113" s="21" t="n"/>
      <c r="K113" s="41" t="n"/>
      <c r="L113" s="21" t="n"/>
      <c r="M113" s="41" t="n"/>
      <c r="N113" s="21" t="n"/>
      <c r="O113" s="41" t="n"/>
      <c r="P113" s="21" t="n"/>
      <c r="Q113" s="42" t="n"/>
    </row>
    <row r="114" hidden="1" ht="15.5" customHeight="1">
      <c r="B114" s="14" t="n"/>
      <c r="C114" s="15" t="n"/>
      <c r="D114" s="170" t="n"/>
      <c r="F114" s="19" t="n"/>
      <c r="G114" s="15" t="n"/>
      <c r="H114" s="15" t="n"/>
      <c r="I114" s="18" t="n"/>
      <c r="J114" s="21" t="n"/>
      <c r="K114" s="41" t="n"/>
      <c r="L114" s="21" t="n"/>
      <c r="M114" s="41" t="n"/>
      <c r="N114" s="21" t="n"/>
      <c r="O114" s="41" t="n"/>
      <c r="P114" s="21" t="n"/>
      <c r="Q114" s="42" t="n"/>
    </row>
    <row r="115" hidden="1" ht="15.5" customHeight="1">
      <c r="B115" s="14" t="n"/>
      <c r="C115" s="15" t="n"/>
      <c r="D115" s="170" t="n"/>
      <c r="F115" s="19" t="n"/>
      <c r="G115" s="15" t="n"/>
      <c r="H115" s="15" t="n"/>
      <c r="I115" s="18" t="n"/>
      <c r="J115" s="21" t="n"/>
      <c r="K115" s="41" t="n"/>
      <c r="L115" s="21" t="n"/>
      <c r="M115" s="41" t="n"/>
      <c r="N115" s="21" t="n"/>
      <c r="O115" s="41" t="n"/>
      <c r="P115" s="21" t="n"/>
      <c r="Q115" s="42" t="n"/>
    </row>
    <row r="116" hidden="1" ht="15.5" customHeight="1">
      <c r="B116" s="14" t="n"/>
      <c r="C116" s="15" t="n"/>
      <c r="D116" s="170" t="n"/>
      <c r="F116" s="19" t="n"/>
      <c r="G116" s="15" t="n"/>
      <c r="H116" s="15" t="n"/>
      <c r="I116" s="18" t="n"/>
      <c r="J116" s="21" t="n"/>
      <c r="K116" s="41" t="n"/>
      <c r="L116" s="21" t="n"/>
      <c r="M116" s="41" t="n"/>
      <c r="N116" s="21" t="n"/>
      <c r="O116" s="41" t="n"/>
      <c r="P116" s="21" t="n"/>
      <c r="Q116" s="42" t="n"/>
    </row>
    <row r="117" hidden="1" ht="15.5" customHeight="1">
      <c r="B117" s="14" t="n"/>
      <c r="C117" s="15" t="n"/>
      <c r="D117" s="170" t="n"/>
      <c r="F117" s="19" t="n"/>
      <c r="G117" s="15" t="n"/>
      <c r="H117" s="15" t="n"/>
      <c r="I117" s="18" t="n"/>
      <c r="J117" s="21" t="n"/>
      <c r="K117" s="41" t="n"/>
      <c r="L117" s="21" t="n"/>
      <c r="M117" s="41" t="n"/>
      <c r="N117" s="21" t="n"/>
      <c r="O117" s="41" t="n"/>
      <c r="P117" s="21" t="n"/>
      <c r="Q117" s="42" t="n"/>
    </row>
    <row r="118" hidden="1" ht="15.5" customHeight="1">
      <c r="B118" s="14" t="n"/>
      <c r="C118" s="15" t="n"/>
      <c r="D118" s="170" t="n"/>
      <c r="F118" s="19" t="n"/>
      <c r="G118" s="15" t="n"/>
      <c r="H118" s="15" t="n"/>
      <c r="I118" s="18" t="n"/>
      <c r="J118" s="21" t="n"/>
      <c r="K118" s="41" t="n"/>
      <c r="L118" s="21" t="n"/>
      <c r="M118" s="41" t="n"/>
      <c r="N118" s="21" t="n"/>
      <c r="O118" s="41" t="n"/>
      <c r="P118" s="21" t="n"/>
      <c r="Q118" s="42" t="n"/>
    </row>
    <row r="119" hidden="1" ht="15.5" customHeight="1">
      <c r="B119" s="14" t="n"/>
      <c r="C119" s="15" t="n"/>
      <c r="D119" s="170" t="n"/>
      <c r="F119" s="19" t="n"/>
      <c r="G119" s="15" t="n"/>
      <c r="H119" s="15" t="n"/>
      <c r="I119" s="18" t="n"/>
      <c r="J119" s="21" t="n"/>
      <c r="K119" s="41" t="n"/>
      <c r="L119" s="21" t="n"/>
      <c r="M119" s="41" t="n"/>
      <c r="N119" s="21" t="n"/>
      <c r="O119" s="41" t="n"/>
      <c r="P119" s="21" t="n"/>
      <c r="Q119" s="42" t="n"/>
    </row>
    <row r="120" hidden="1" ht="15.5" customHeight="1">
      <c r="B120" s="14" t="n"/>
      <c r="C120" s="15" t="n"/>
      <c r="D120" s="170" t="n"/>
      <c r="F120" s="19" t="n"/>
      <c r="G120" s="15" t="n"/>
      <c r="H120" s="15" t="n"/>
      <c r="I120" s="18" t="n"/>
      <c r="J120" s="21" t="n"/>
      <c r="K120" s="41" t="n"/>
      <c r="L120" s="21" t="n"/>
      <c r="M120" s="41" t="n"/>
      <c r="N120" s="21" t="n"/>
      <c r="O120" s="41" t="n"/>
      <c r="P120" s="21" t="n"/>
      <c r="Q120" s="42" t="n"/>
    </row>
    <row r="121" hidden="1" ht="15.5" customHeight="1">
      <c r="B121" s="14" t="n"/>
      <c r="C121" s="15" t="n"/>
      <c r="D121" s="170" t="n"/>
      <c r="F121" s="19" t="n"/>
      <c r="G121" s="15" t="n"/>
      <c r="H121" s="15" t="n"/>
      <c r="I121" s="18" t="n"/>
      <c r="J121" s="21" t="n"/>
      <c r="K121" s="41" t="n"/>
      <c r="L121" s="21" t="n"/>
      <c r="M121" s="41" t="n"/>
      <c r="N121" s="21" t="n"/>
      <c r="O121" s="41" t="n"/>
      <c r="P121" s="21" t="n"/>
      <c r="Q121" s="42" t="n"/>
    </row>
    <row r="122" hidden="1" ht="15.5" customHeight="1">
      <c r="B122" s="14" t="n"/>
      <c r="C122" s="15" t="n"/>
      <c r="D122" s="170" t="n"/>
      <c r="F122" s="19" t="n"/>
      <c r="G122" s="15" t="n"/>
      <c r="H122" s="15" t="n"/>
      <c r="I122" s="18" t="n"/>
      <c r="J122" s="21" t="n"/>
      <c r="K122" s="41" t="n"/>
      <c r="L122" s="21" t="n"/>
      <c r="M122" s="41" t="n"/>
      <c r="N122" s="21" t="n"/>
      <c r="O122" s="41" t="n"/>
      <c r="P122" s="21" t="n"/>
      <c r="Q122" s="42" t="n"/>
    </row>
    <row r="123" hidden="1" ht="15.5" customHeight="1">
      <c r="B123" s="14" t="n"/>
      <c r="C123" s="15" t="n"/>
      <c r="D123" s="170" t="n"/>
      <c r="F123" s="19" t="n"/>
      <c r="G123" s="15" t="n"/>
      <c r="H123" s="15" t="n"/>
      <c r="I123" s="18" t="n"/>
      <c r="J123" s="21" t="n"/>
      <c r="K123" s="41" t="n"/>
      <c r="L123" s="21" t="n"/>
      <c r="M123" s="41" t="n"/>
      <c r="N123" s="21" t="n"/>
      <c r="O123" s="41" t="n"/>
      <c r="P123" s="21" t="n"/>
      <c r="Q123" s="42" t="n"/>
    </row>
    <row r="124" hidden="1" ht="15.5" customHeight="1">
      <c r="B124" s="14" t="n"/>
      <c r="C124" s="15" t="n"/>
      <c r="D124" s="170" t="n"/>
      <c r="F124" s="19" t="n"/>
      <c r="G124" s="15" t="n"/>
      <c r="H124" s="15" t="n"/>
      <c r="I124" s="18" t="n"/>
      <c r="J124" s="21" t="n"/>
      <c r="K124" s="41" t="n"/>
      <c r="L124" s="21" t="n"/>
      <c r="M124" s="41" t="n"/>
      <c r="N124" s="21" t="n"/>
      <c r="O124" s="41" t="n"/>
      <c r="P124" s="21" t="n"/>
      <c r="Q124" s="42" t="n"/>
    </row>
    <row r="125" hidden="1" ht="15.5" customHeight="1">
      <c r="B125" s="14" t="n"/>
      <c r="C125" s="15" t="n"/>
      <c r="D125" s="170" t="n"/>
      <c r="F125" s="19" t="n"/>
      <c r="G125" s="15" t="n"/>
      <c r="H125" s="15" t="n"/>
      <c r="I125" s="18" t="n"/>
      <c r="J125" s="21" t="n"/>
      <c r="K125" s="41" t="n"/>
      <c r="L125" s="21" t="n"/>
      <c r="M125" s="41" t="n"/>
      <c r="N125" s="21" t="n"/>
      <c r="O125" s="41" t="n"/>
      <c r="P125" s="21" t="n"/>
      <c r="Q125" s="42" t="n"/>
    </row>
    <row r="126" hidden="1" ht="15.5" customHeight="1">
      <c r="B126" s="14" t="n"/>
      <c r="C126" s="15" t="n"/>
      <c r="D126" s="170" t="n"/>
      <c r="F126" s="19" t="n"/>
      <c r="G126" s="15" t="n"/>
      <c r="H126" s="15" t="n"/>
      <c r="I126" s="18" t="n"/>
      <c r="J126" s="21" t="n"/>
      <c r="K126" s="41" t="n"/>
      <c r="L126" s="21" t="n"/>
      <c r="M126" s="41" t="n"/>
      <c r="N126" s="21" t="n"/>
      <c r="O126" s="41" t="n"/>
      <c r="P126" s="21" t="n"/>
      <c r="Q126" s="42" t="n"/>
    </row>
    <row r="127" hidden="1" ht="15.5" customHeight="1">
      <c r="B127" s="78" t="n"/>
      <c r="C127" s="85" t="n"/>
      <c r="D127" s="86" t="n"/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n"/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/>
      <c r="C129" s="91" t="n"/>
      <c r="D129" s="95" t="n"/>
      <c r="E129" s="95" t="n"/>
      <c r="F129" s="93" t="n"/>
      <c r="G129" s="91" t="n"/>
      <c r="H129" s="91" t="n"/>
      <c r="I129" s="61" t="n"/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n"/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/>
      <c r="C131" s="91" t="n"/>
      <c r="D131" s="95" t="n"/>
      <c r="E131" s="95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/>
      <c r="C132" s="91" t="n"/>
      <c r="D132" s="95" t="n"/>
      <c r="E132" s="95" t="n"/>
      <c r="F132" s="93" t="n"/>
      <c r="G132" s="91" t="n"/>
      <c r="H132" s="91" t="n"/>
      <c r="I132" s="61" t="n"/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/>
      <c r="C133" s="91" t="n"/>
      <c r="D133" s="95" t="n"/>
      <c r="E133" s="95" t="n"/>
      <c r="F133" s="96" t="n"/>
      <c r="G133" s="91" t="n"/>
      <c r="H133" s="91" t="n"/>
      <c r="I133" s="61" t="n"/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/>
      <c r="C134" s="91" t="n"/>
      <c r="D134" s="95" t="n"/>
      <c r="E134" s="95" t="n"/>
      <c r="F134" s="96" t="n"/>
      <c r="G134" s="91" t="n"/>
      <c r="H134" s="91" t="n"/>
      <c r="I134" s="61" t="n"/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n"/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/>
      <c r="C136" s="91" t="n"/>
      <c r="D136" s="95" t="n"/>
      <c r="E136" s="95" t="n"/>
      <c r="F136" s="93" t="n"/>
      <c r="G136" s="91" t="n"/>
      <c r="H136" s="91" t="n"/>
      <c r="I136" s="61" t="n"/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n"/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/>
      <c r="C138" s="91" t="n"/>
      <c r="D138" s="98" t="n"/>
      <c r="E138" s="98" t="n"/>
      <c r="F138" s="93" t="n"/>
      <c r="G138" s="91" t="n"/>
      <c r="H138" s="91" t="n"/>
      <c r="I138" s="61" t="n"/>
      <c r="J138" s="62" t="n"/>
      <c r="K138" s="44" t="n"/>
      <c r="L138" s="44" t="n"/>
      <c r="M138" s="44" t="n"/>
      <c r="N138" s="62" t="n"/>
      <c r="O138" s="44" t="n"/>
      <c r="P138" s="44" t="n"/>
      <c r="Q138" s="44" t="n"/>
    </row>
    <row r="139" hidden="1" ht="15.5" customHeight="1">
      <c r="B139" s="67" t="n"/>
      <c r="C139" s="91" t="n"/>
      <c r="D139" s="98" t="n"/>
      <c r="E139" s="98" t="n"/>
      <c r="F139" s="93" t="n"/>
      <c r="G139" s="91" t="n"/>
      <c r="H139" s="91" t="n"/>
      <c r="I139" s="44" t="n"/>
      <c r="J139" s="62" t="n"/>
      <c r="K139" s="44" t="n"/>
      <c r="L139" s="44" t="n"/>
      <c r="M139" s="61" t="n"/>
      <c r="N139" s="62" t="n"/>
      <c r="O139" s="44" t="n"/>
      <c r="P139" s="44" t="n"/>
      <c r="Q139" s="44" t="n"/>
    </row>
    <row r="140" hidden="1" ht="15.5" customHeight="1">
      <c r="B140" s="67" t="n"/>
      <c r="C140" s="91" t="n"/>
      <c r="D140" s="98" t="n"/>
      <c r="E140" s="98" t="n"/>
      <c r="F140" s="93" t="n"/>
      <c r="G140" s="91" t="n"/>
      <c r="H140" s="91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</row>
    <row r="141" hidden="1" ht="15.5" customHeight="1">
      <c r="B141" s="67" t="n"/>
      <c r="C141" s="91" t="n"/>
      <c r="D141" s="97" t="n"/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/>
      <c r="C142" s="91" t="n"/>
      <c r="D142" s="95" t="n"/>
      <c r="E142" s="95" t="n"/>
      <c r="F142" s="93" t="n"/>
      <c r="G142" s="91" t="n"/>
      <c r="H142" s="91" t="n"/>
      <c r="I142" s="61" t="n"/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n"/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/>
      <c r="C144" s="91" t="n"/>
      <c r="D144" s="95" t="n"/>
      <c r="E144" s="95" t="n"/>
      <c r="F144" s="93" t="n"/>
      <c r="G144" s="91" t="n"/>
      <c r="H144" s="100" t="n"/>
      <c r="I144" s="62" t="n"/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n"/>
      <c r="C145" s="85" t="n"/>
      <c r="D145" s="86" t="n"/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n"/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/>
      <c r="C147" s="91" t="n"/>
      <c r="D147" s="95" t="n"/>
      <c r="E147" s="95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/>
      <c r="C148" s="91" t="n"/>
      <c r="D148" s="95" t="n"/>
      <c r="E148" s="95" t="n"/>
      <c r="F148" s="93" t="n"/>
      <c r="G148" s="91" t="n"/>
      <c r="H148" s="91" t="n"/>
      <c r="I148" s="61" t="n"/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n"/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/>
      <c r="C150" s="91" t="n"/>
      <c r="D150" s="95" t="n"/>
      <c r="E150" s="95" t="n"/>
      <c r="F150" s="93" t="n"/>
      <c r="G150" s="91" t="n"/>
      <c r="H150" s="91" t="n"/>
      <c r="I150" s="62" t="n"/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n"/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/>
      <c r="C152" s="91" t="n"/>
      <c r="D152" s="95" t="n"/>
      <c r="E152" s="95" t="n"/>
      <c r="F152" s="93" t="n"/>
      <c r="G152" s="91" t="n"/>
      <c r="H152" s="91" t="n"/>
      <c r="I152" s="62" t="n"/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n"/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/>
      <c r="C154" s="91" t="n"/>
      <c r="D154" s="95" t="n"/>
      <c r="E154" s="95" t="n"/>
      <c r="F154" s="93" t="n"/>
      <c r="G154" s="91" t="n"/>
      <c r="H154" s="100" t="n"/>
      <c r="I154" s="62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n"/>
      <c r="C155" s="85" t="n"/>
      <c r="D155" s="86" t="n"/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/>
      <c r="C156" s="15" t="n"/>
      <c r="D156" s="63" t="n"/>
      <c r="E156" s="63" t="n"/>
      <c r="F156" s="96" t="n"/>
      <c r="G156" s="15" t="n"/>
      <c r="H156" s="15" t="n"/>
      <c r="I156" s="62" t="n"/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idden="1" ht="15.5" customHeight="1">
      <c r="B157" s="102" t="n"/>
      <c r="C157" s="15" t="n"/>
      <c r="D157" s="63" t="n"/>
      <c r="E157" s="63" t="n"/>
      <c r="F157" s="96" t="n"/>
      <c r="G157" s="15" t="n"/>
      <c r="H157" s="15" t="n"/>
      <c r="I157" s="62" t="n"/>
      <c r="J157" s="62" t="n"/>
      <c r="K157" s="44" t="n"/>
      <c r="L157" s="44" t="n"/>
      <c r="M157" s="61" t="n"/>
      <c r="N157" s="62" t="n"/>
      <c r="O157" s="44" t="n"/>
      <c r="P157" s="44" t="n"/>
      <c r="Q157" s="44" t="n"/>
    </row>
    <row r="158" hidden="1" ht="15.5" customHeight="1">
      <c r="B158" s="102" t="n"/>
      <c r="C158" s="15" t="n"/>
      <c r="D158" s="63" t="n"/>
      <c r="E158" s="63" t="n"/>
      <c r="F158" s="96" t="n"/>
      <c r="G158" s="15" t="n"/>
      <c r="H158" s="15" t="n"/>
      <c r="I158" s="62" t="n"/>
      <c r="J158" s="62" t="n"/>
      <c r="K158" s="44" t="n"/>
      <c r="L158" s="44" t="n"/>
      <c r="M158" s="61" t="n"/>
      <c r="N158" s="62" t="n"/>
      <c r="O158" s="44" t="n"/>
      <c r="P158" s="44" t="n"/>
      <c r="Q158" s="44" t="n"/>
    </row>
    <row r="159" hidden="1" ht="15.5" customHeight="1">
      <c r="B159" s="102" t="n"/>
      <c r="C159" s="15" t="n"/>
      <c r="D159" s="63" t="n"/>
      <c r="E159" s="63" t="n"/>
      <c r="F159" s="96" t="n"/>
      <c r="G159" s="15" t="n"/>
      <c r="H159" s="15" t="n"/>
      <c r="I159" s="62" t="n"/>
      <c r="J159" s="62" t="n"/>
      <c r="K159" s="44" t="n"/>
      <c r="L159" s="44" t="n"/>
      <c r="M159" s="61" t="n"/>
      <c r="N159" s="62" t="n"/>
      <c r="O159" s="44" t="n"/>
      <c r="P159" s="44" t="n"/>
      <c r="Q159" s="44" t="n"/>
    </row>
    <row r="160" hidden="1" ht="15.5" customHeight="1">
      <c r="B160" s="102" t="n"/>
      <c r="C160" s="15" t="n"/>
      <c r="D160" s="63" t="n"/>
      <c r="E160" s="63" t="n"/>
      <c r="F160" s="96" t="n"/>
      <c r="G160" s="15" t="n"/>
      <c r="H160" s="15" t="n"/>
      <c r="I160" s="62" t="n"/>
      <c r="J160" s="62" t="n"/>
      <c r="K160" s="44" t="n"/>
      <c r="L160" s="44" t="n"/>
      <c r="M160" s="44" t="n"/>
      <c r="N160" s="62" t="n"/>
      <c r="O160" s="44" t="n"/>
      <c r="P160" s="44" t="n"/>
      <c r="Q160" s="44" t="n"/>
    </row>
    <row r="161" hidden="1" ht="15.5" customHeight="1">
      <c r="B161" s="102" t="n"/>
      <c r="C161" s="15" t="n"/>
      <c r="D161" s="63" t="n"/>
      <c r="E161" s="63" t="n"/>
      <c r="F161" s="96" t="n"/>
      <c r="G161" s="15" t="n"/>
      <c r="H161" s="15" t="n"/>
      <c r="I161" s="62" t="n"/>
      <c r="J161" s="62" t="n"/>
      <c r="K161" s="44" t="n"/>
      <c r="L161" s="44" t="n"/>
      <c r="M161" s="61" t="n"/>
      <c r="N161" s="62" t="n"/>
      <c r="O161" s="44" t="n"/>
      <c r="P161" s="44" t="n"/>
      <c r="Q161" s="44" t="n"/>
    </row>
    <row r="162" hidden="1" ht="15.5" customHeight="1">
      <c r="B162" s="102" t="n"/>
      <c r="C162" s="15" t="n"/>
      <c r="D162" s="63" t="n"/>
      <c r="E162" s="63" t="n"/>
      <c r="F162" s="96" t="n"/>
      <c r="G162" s="15" t="n"/>
      <c r="H162" s="15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</row>
    <row r="163" hidden="1" ht="15.5" customHeight="1">
      <c r="B163" s="102" t="n"/>
      <c r="C163" s="15" t="n"/>
      <c r="D163" s="63" t="n"/>
      <c r="E163" s="63" t="n"/>
      <c r="F163" s="96" t="n"/>
      <c r="G163" s="15" t="n"/>
      <c r="H163" s="15" t="n"/>
      <c r="I163" s="62" t="n"/>
      <c r="J163" s="62" t="n"/>
      <c r="K163" s="44" t="n"/>
      <c r="L163" s="44" t="n"/>
      <c r="M163" s="44" t="n"/>
      <c r="N163" s="62" t="n"/>
      <c r="O163" s="44" t="n"/>
      <c r="P163" s="44" t="n"/>
      <c r="Q163" s="44" t="n"/>
    </row>
    <row r="164" hidden="1" ht="15.5" customHeight="1">
      <c r="B164" s="78" t="n"/>
      <c r="C164" s="85" t="n"/>
      <c r="D164" s="86" t="n"/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/>
      <c r="C165" s="91" t="n"/>
      <c r="D165" s="95" t="n"/>
      <c r="E165" s="95" t="n"/>
      <c r="F165" s="103" t="n"/>
      <c r="G165" s="91" t="n"/>
      <c r="H165" s="91" t="n"/>
      <c r="I165" s="62" t="n"/>
      <c r="J165" s="62" t="n"/>
      <c r="K165" s="44" t="n"/>
      <c r="L165" s="44" t="n"/>
      <c r="M165" s="44" t="n"/>
      <c r="N165" s="44" t="n"/>
      <c r="O165" s="44" t="n"/>
      <c r="P165" s="62" t="n"/>
      <c r="Q165" s="44" t="n"/>
    </row>
    <row r="166" hidden="1" ht="15.5" customHeight="1">
      <c r="B166" s="78" t="n"/>
      <c r="C166" s="85" t="n"/>
      <c r="D166" s="86" t="n"/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n"/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/>
      <c r="C168" s="91" t="n"/>
      <c r="D168" s="95" t="n"/>
      <c r="E168" s="95" t="n"/>
      <c r="F168" s="93" t="n"/>
      <c r="G168" s="91" t="n"/>
      <c r="H168" s="91" t="n"/>
      <c r="I168" s="61" t="n"/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/>
      <c r="C169" s="91" t="n"/>
      <c r="D169" s="95" t="n"/>
      <c r="E169" s="95" t="n"/>
      <c r="F169" s="93" t="n"/>
      <c r="G169" s="91" t="n"/>
      <c r="H169" s="91" t="n"/>
      <c r="I169" s="61" t="n"/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n"/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/>
      <c r="C171" s="91" t="n"/>
      <c r="D171" s="95" t="n"/>
      <c r="E171" s="95" t="n"/>
      <c r="F171" s="93" t="n"/>
      <c r="G171" s="91" t="n"/>
      <c r="H171" s="91" t="n"/>
      <c r="I171" s="62" t="n"/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n"/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/>
      <c r="C173" s="91" t="n"/>
      <c r="D173" s="95" t="n"/>
      <c r="E173" s="95" t="n"/>
      <c r="F173" s="93" t="n"/>
      <c r="G173" s="91" t="n"/>
      <c r="H173" s="91" t="n"/>
      <c r="I173" s="62" t="n"/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n"/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/>
      <c r="C175" s="91" t="n"/>
      <c r="D175" s="95" t="n"/>
      <c r="E175" s="95" t="n"/>
      <c r="F175" s="93" t="n"/>
      <c r="G175" s="91" t="n"/>
      <c r="H175" s="91" t="n"/>
      <c r="I175" s="61" t="n"/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/>
      <c r="C176" s="91" t="n"/>
      <c r="D176" s="95" t="n"/>
      <c r="E176" s="95" t="n"/>
      <c r="F176" s="93" t="n"/>
      <c r="G176" s="91" t="n"/>
      <c r="H176" s="91" t="n"/>
      <c r="I176" s="61" t="n"/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/>
      <c r="C177" s="91" t="n"/>
      <c r="D177" s="95" t="n"/>
      <c r="E177" s="95" t="n"/>
      <c r="F177" s="93" t="n"/>
      <c r="G177" s="91" t="n"/>
      <c r="H177" s="91" t="n"/>
      <c r="I177" s="61" t="n"/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/>
      <c r="C178" s="91" t="n"/>
      <c r="D178" s="95" t="n"/>
      <c r="E178" s="95" t="n"/>
      <c r="F178" s="93" t="n"/>
      <c r="G178" s="91" t="n"/>
      <c r="H178" s="91" t="n"/>
      <c r="I178" s="61" t="n"/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/>
      <c r="C179" s="91" t="n"/>
      <c r="D179" s="95" t="n"/>
      <c r="E179" s="95" t="n"/>
      <c r="F179" s="93" t="n"/>
      <c r="G179" s="91" t="n"/>
      <c r="H179" s="91" t="n"/>
      <c r="I179" s="61" t="n"/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/>
      <c r="C180" s="91" t="n"/>
      <c r="D180" s="95" t="n"/>
      <c r="E180" s="95" t="n"/>
      <c r="F180" s="93" t="n"/>
      <c r="G180" s="91" t="n"/>
      <c r="H180" s="91" t="n"/>
      <c r="I180" s="61" t="n"/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n"/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/>
      <c r="C182" s="91" t="n"/>
      <c r="D182" s="95" t="n"/>
      <c r="E182" s="95" t="n"/>
      <c r="F182" s="93" t="n"/>
      <c r="G182" s="91" t="n"/>
      <c r="H182" s="91" t="n"/>
      <c r="I182" s="61" t="n"/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n"/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/>
      <c r="D184" s="95" t="n"/>
      <c r="E184" s="95" t="n"/>
      <c r="F184" s="93" t="n"/>
      <c r="G184" s="91" t="n"/>
      <c r="H184" s="100" t="n"/>
      <c r="I184" s="62" t="n"/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n"/>
      <c r="C185" s="85" t="n"/>
      <c r="D185" s="86" t="n"/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n"/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/>
      <c r="C187" s="91" t="n"/>
      <c r="D187" s="95" t="n"/>
      <c r="E187" s="95" t="n"/>
      <c r="F187" s="93" t="n"/>
      <c r="G187" s="91" t="n"/>
      <c r="H187" s="91" t="n"/>
      <c r="I187" s="61" t="n"/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/>
      <c r="C188" s="91" t="n"/>
      <c r="D188" s="95" t="n"/>
      <c r="E188" s="95" t="n"/>
      <c r="F188" s="93" t="n"/>
      <c r="G188" s="91" t="n"/>
      <c r="H188" s="91" t="n"/>
      <c r="I188" s="61" t="n"/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n"/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/>
      <c r="C190" s="91" t="n"/>
      <c r="D190" s="95" t="n"/>
      <c r="E190" s="95" t="n"/>
      <c r="F190" s="93" t="n"/>
      <c r="G190" s="91" t="n"/>
      <c r="H190" s="91" t="n"/>
      <c r="I190" s="61" t="n"/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/>
      <c r="C191" s="91" t="n"/>
      <c r="D191" s="95" t="n"/>
      <c r="E191" s="95" t="n"/>
      <c r="F191" s="93" t="n"/>
      <c r="G191" s="91" t="n"/>
      <c r="H191" s="91" t="n"/>
      <c r="I191" s="61" t="n"/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n"/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/>
      <c r="C193" s="91" t="n"/>
      <c r="D193" s="95" t="n"/>
      <c r="E193" s="95" t="n"/>
      <c r="F193" s="93" t="n"/>
      <c r="G193" s="91" t="n"/>
      <c r="H193" s="91" t="n"/>
      <c r="I193" s="61" t="n"/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n"/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/>
      <c r="C195" s="91" t="n"/>
      <c r="D195" s="95" t="n"/>
      <c r="E195" s="95" t="n"/>
      <c r="F195" s="93" t="n"/>
      <c r="G195" s="91" t="n"/>
      <c r="H195" s="100" t="n"/>
      <c r="I195" s="62" t="n"/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n"/>
      <c r="C196" s="85" t="n"/>
      <c r="D196" s="86" t="n"/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n"/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/>
      <c r="C198" s="15" t="n"/>
      <c r="D198" s="18" t="n"/>
      <c r="E198" s="18" t="n"/>
      <c r="F198" s="21" t="n"/>
      <c r="G198" s="15" t="n"/>
      <c r="H198" s="15" t="n"/>
      <c r="I198" s="61" t="n"/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n"/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/>
      <c r="C200" s="15" t="n"/>
      <c r="D200" s="63" t="n"/>
      <c r="E200" s="63" t="n"/>
      <c r="F200" s="21" t="n"/>
      <c r="G200" s="15" t="n"/>
      <c r="H200" s="15" t="n"/>
      <c r="I200" s="61" t="n"/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/>
      <c r="C201" s="15" t="n"/>
      <c r="D201" s="63" t="n"/>
      <c r="E201" s="63" t="n"/>
      <c r="F201" s="21" t="n"/>
      <c r="G201" s="15" t="n"/>
      <c r="H201" s="15" t="n"/>
      <c r="I201" s="61" t="n"/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/>
      <c r="C202" s="15" t="n"/>
      <c r="D202" s="63" t="n"/>
      <c r="E202" s="63" t="n"/>
      <c r="F202" s="21" t="n"/>
      <c r="G202" s="15" t="n"/>
      <c r="H202" s="15" t="n"/>
      <c r="I202" s="61" t="n"/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/>
      <c r="C203" s="15" t="n"/>
      <c r="D203" s="63" t="n"/>
      <c r="E203" s="63" t="n"/>
      <c r="F203" s="21" t="n"/>
      <c r="G203" s="15" t="n"/>
      <c r="H203" s="15" t="n"/>
      <c r="I203" s="61" t="n"/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/>
      <c r="C204" s="15" t="n"/>
      <c r="D204" s="63" t="n"/>
      <c r="E204" s="63" t="n"/>
      <c r="F204" s="21" t="n"/>
      <c r="G204" s="15" t="n"/>
      <c r="H204" s="15" t="n"/>
      <c r="I204" s="61" t="n"/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n"/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/>
      <c r="C206" s="15" t="n"/>
      <c r="D206" s="63" t="n"/>
      <c r="E206" s="63" t="n"/>
      <c r="F206" s="21" t="n"/>
      <c r="G206" s="15" t="n"/>
      <c r="H206" s="15" t="n"/>
      <c r="I206" s="240" t="n"/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n"/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/>
      <c r="C208" s="15" t="n"/>
      <c r="D208" s="63" t="n"/>
      <c r="E208" s="63" t="n"/>
      <c r="F208" s="21" t="n"/>
      <c r="G208" s="15" t="n"/>
      <c r="H208" s="15" t="n"/>
      <c r="I208" s="62" t="n"/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n"/>
      <c r="C209" s="85" t="n"/>
      <c r="D209" s="86" t="n"/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n"/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/>
      <c r="C211" s="15" t="n"/>
      <c r="D211" s="63" t="n"/>
      <c r="E211" s="63" t="n"/>
      <c r="F211" s="21" t="n"/>
      <c r="G211" s="15" t="n"/>
      <c r="H211" s="15" t="n"/>
      <c r="I211" s="61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/>
      <c r="C212" s="15" t="n"/>
      <c r="D212" s="63" t="n"/>
      <c r="E212" s="63" t="n"/>
      <c r="F212" s="21" t="n"/>
      <c r="G212" s="15" t="n"/>
      <c r="H212" s="15" t="n"/>
      <c r="I212" s="61" t="n"/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n"/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/>
      <c r="C214" s="15" t="n"/>
      <c r="D214" s="63" t="n"/>
      <c r="E214" s="63" t="n"/>
      <c r="F214" s="21" t="n"/>
      <c r="G214" s="15" t="n"/>
      <c r="H214" s="15" t="n"/>
      <c r="I214" s="62" t="n"/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n"/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/>
      <c r="C216" s="15" t="n"/>
      <c r="D216" s="63" t="n"/>
      <c r="E216" s="63" t="n"/>
      <c r="F216" s="21" t="n"/>
      <c r="G216" s="15" t="n"/>
      <c r="H216" s="15" t="n"/>
      <c r="I216" s="62" t="n"/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n"/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/>
      <c r="C218" s="15" t="n"/>
      <c r="D218" s="63" t="n"/>
      <c r="E218" s="63" t="n"/>
      <c r="F218" s="21" t="n"/>
      <c r="G218" s="15" t="n"/>
      <c r="H218" s="15" t="n"/>
      <c r="I218" s="62" t="n"/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/>
      <c r="C219" s="15" t="n"/>
      <c r="D219" s="63" t="n"/>
      <c r="E219" s="63" t="n"/>
      <c r="F219" s="21" t="n"/>
      <c r="G219" s="15" t="n"/>
      <c r="H219" s="15" t="n"/>
      <c r="I219" s="62" t="n"/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n"/>
      <c r="C220" s="85" t="n"/>
      <c r="D220" s="86" t="n"/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n"/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/>
      <c r="C222" s="91" t="n"/>
      <c r="D222" s="95" t="n"/>
      <c r="E222" s="95" t="n"/>
      <c r="F222" s="103" t="n"/>
      <c r="G222" s="98" t="n"/>
      <c r="H222" s="91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/>
      <c r="C223" s="91" t="n"/>
      <c r="D223" s="95" t="n"/>
      <c r="E223" s="95" t="n"/>
      <c r="F223" s="103" t="n"/>
      <c r="G223" s="98" t="n"/>
      <c r="H223" s="91" t="n"/>
      <c r="I223" s="61" t="n"/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n"/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/>
      <c r="C225" s="91" t="n"/>
      <c r="D225" s="98" t="n"/>
      <c r="E225" s="98" t="n"/>
      <c r="F225" s="103" t="n"/>
      <c r="G225" s="98" t="n"/>
      <c r="H225" s="91" t="n"/>
      <c r="I225" s="62" t="n"/>
      <c r="J225" s="62" t="n"/>
      <c r="K225" s="44" t="n"/>
      <c r="L225" s="44" t="n"/>
      <c r="M225" s="44" t="n"/>
      <c r="N225" s="61" t="n"/>
      <c r="O225" s="44" t="n"/>
      <c r="P225" s="44" t="n"/>
      <c r="Q225" s="44" t="n"/>
    </row>
    <row r="226" hidden="1" ht="15.5" customHeight="1">
      <c r="B226" s="67" t="n"/>
      <c r="C226" s="91" t="n"/>
      <c r="D226" s="98" t="n"/>
      <c r="E226" s="98" t="n"/>
      <c r="F226" s="103" t="n"/>
      <c r="G226" s="98" t="n"/>
      <c r="H226" s="91" t="n"/>
      <c r="I226" s="61" t="n"/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n"/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/>
      <c r="C228" s="91" t="n"/>
      <c r="D228" s="95" t="n"/>
      <c r="E228" s="95" t="n"/>
      <c r="F228" s="99" t="n"/>
      <c r="G228" s="98" t="n"/>
      <c r="H228" s="91" t="n"/>
      <c r="I228" s="61" t="n"/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n"/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/>
      <c r="C230" s="91" t="n"/>
      <c r="D230" s="95" t="n"/>
      <c r="E230" s="95" t="n"/>
      <c r="F230" s="103" t="n"/>
      <c r="G230" s="98" t="n"/>
      <c r="H230" s="91" t="n"/>
      <c r="I230" s="61" t="n"/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n"/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/>
      <c r="C232" s="91" t="n"/>
      <c r="D232" s="95" t="n"/>
      <c r="E232" s="95" t="n"/>
      <c r="F232" s="103" t="n"/>
      <c r="G232" s="98" t="n"/>
      <c r="H232" s="100" t="n"/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/>
      <c r="C233" s="91" t="n"/>
      <c r="D233" s="95" t="n"/>
      <c r="E233" s="95" t="n"/>
      <c r="F233" s="103" t="n"/>
      <c r="G233" s="98" t="n"/>
      <c r="H233" s="100" t="n"/>
      <c r="I233" s="61" t="n"/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n"/>
      <c r="C234" s="85" t="n"/>
      <c r="D234" s="86" t="n"/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n"/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/>
      <c r="C236" s="91" t="n"/>
      <c r="D236" s="95" t="n"/>
      <c r="E236" s="95" t="n"/>
      <c r="F236" s="103" t="n"/>
      <c r="G236" s="98" t="n"/>
      <c r="H236" s="98" t="n"/>
      <c r="I236" s="61" t="n"/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/>
      <c r="C237" s="91" t="n"/>
      <c r="D237" s="95" t="n"/>
      <c r="E237" s="95" t="n"/>
      <c r="F237" s="103" t="n"/>
      <c r="G237" s="98" t="n"/>
      <c r="H237" s="98" t="n"/>
      <c r="I237" s="61" t="n"/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n"/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/>
      <c r="C239" s="91" t="n"/>
      <c r="D239" s="98" t="n"/>
      <c r="E239" s="98" t="n"/>
      <c r="F239" s="103" t="n"/>
      <c r="G239" s="98" t="n"/>
      <c r="H239" s="98" t="n"/>
      <c r="I239" s="61" t="n"/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n"/>
      <c r="E240" s="97" t="n"/>
      <c r="F240" s="103" t="n"/>
      <c r="G240" s="98" t="n"/>
      <c r="H240" s="98" t="n"/>
      <c r="I240" s="61" t="n"/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/>
      <c r="C241" s="91" t="n"/>
      <c r="D241" s="95" t="n"/>
      <c r="E241" s="95" t="n"/>
      <c r="F241" s="99" t="n"/>
      <c r="G241" s="98" t="n"/>
      <c r="H241" s="98" t="n"/>
      <c r="I241" s="61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n"/>
      <c r="E242" s="97" t="n"/>
      <c r="F242" s="103" t="n"/>
      <c r="G242" s="98" t="n"/>
      <c r="H242" s="98" t="n"/>
      <c r="I242" s="61" t="n"/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/>
      <c r="C243" s="91" t="n"/>
      <c r="D243" s="95" t="n"/>
      <c r="E243" s="95" t="n"/>
      <c r="F243" s="103" t="n"/>
      <c r="G243" s="98" t="n"/>
      <c r="H243" s="98" t="n"/>
      <c r="I243" s="61" t="n"/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n"/>
      <c r="E244" s="97" t="n"/>
      <c r="F244" s="103" t="n"/>
      <c r="G244" s="98" t="n"/>
      <c r="H244" s="98" t="n"/>
      <c r="I244" s="61" t="n"/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/>
      <c r="C245" s="91" t="n"/>
      <c r="D245" s="95" t="n"/>
      <c r="E245" s="95" t="n"/>
      <c r="F245" s="103" t="n"/>
      <c r="G245" s="98" t="n"/>
      <c r="H245" s="98" t="n"/>
      <c r="I245" s="61" t="n"/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n"/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/>
      <c r="C247" s="91" t="n"/>
      <c r="D247" s="95" t="n"/>
      <c r="E247" s="95" t="n"/>
      <c r="F247" s="103" t="n"/>
      <c r="G247" s="98" t="n"/>
      <c r="H247" s="111" t="n"/>
      <c r="I247" s="61" t="n"/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n"/>
      <c r="C248" s="85" t="n"/>
      <c r="D248" s="86" t="n"/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n"/>
      <c r="C249" s="91" t="n"/>
      <c r="D249" s="95" t="n"/>
      <c r="E249" s="95" t="n"/>
      <c r="F249" s="103" t="n"/>
      <c r="G249" s="91" t="n"/>
      <c r="H249" s="91" t="n"/>
      <c r="I249" s="61" t="n"/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n"/>
      <c r="C250" s="85" t="n"/>
      <c r="D250" s="86" t="n"/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/>
      <c r="C251" s="15" t="n"/>
      <c r="D251" s="18" t="n"/>
      <c r="E251" s="18" t="n"/>
      <c r="F251" s="21" t="n"/>
      <c r="G251" s="15" t="n"/>
      <c r="H251" s="15" t="n"/>
      <c r="I251" s="62" t="n"/>
      <c r="J251" s="62" t="n"/>
      <c r="K251" s="44" t="n"/>
      <c r="L251" s="44" t="n"/>
      <c r="M251" s="44" t="n"/>
      <c r="N251" s="44" t="n"/>
      <c r="O251" s="44" t="n"/>
      <c r="P251" s="62" t="n"/>
      <c r="Q251" s="44" t="n"/>
    </row>
    <row r="252" hidden="1" ht="15.5" customHeight="1">
      <c r="B252" s="14" t="n"/>
      <c r="C252" s="15" t="n"/>
      <c r="D252" s="18" t="n"/>
      <c r="E252" s="18" t="n"/>
      <c r="F252" s="21" t="n"/>
      <c r="G252" s="15" t="n"/>
      <c r="H252" s="15" t="n"/>
      <c r="I252" s="62" t="n"/>
      <c r="J252" s="62" t="n"/>
      <c r="K252" s="44" t="n"/>
      <c r="L252" s="44" t="n"/>
      <c r="M252" s="44" t="n"/>
      <c r="N252" s="62" t="n"/>
      <c r="O252" s="44" t="n"/>
      <c r="P252" s="44" t="n"/>
      <c r="Q252" s="44" t="n"/>
    </row>
    <row r="253" hidden="1" ht="15.5" customHeight="1">
      <c r="B253" s="78" t="n"/>
      <c r="C253" s="85" t="n"/>
      <c r="D253" s="112" t="n"/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/>
      <c r="C254" s="15" t="n"/>
      <c r="D254" s="18" t="n"/>
      <c r="E254" s="18" t="n"/>
      <c r="F254" s="21" t="n"/>
      <c r="G254" s="15" t="n"/>
      <c r="H254" s="15" t="n"/>
      <c r="I254" s="61" t="n"/>
      <c r="J254" s="62" t="n"/>
      <c r="K254" s="44" t="n"/>
      <c r="L254" s="44" t="n"/>
      <c r="M254" s="44" t="n"/>
      <c r="N254" s="44" t="n"/>
      <c r="O254" s="44" t="n"/>
      <c r="P254" s="62" t="n"/>
      <c r="Q254" s="44" t="n"/>
    </row>
    <row r="255" hidden="1" ht="15.5" customHeight="1">
      <c r="B255" s="78" t="n"/>
      <c r="C255" s="85" t="n"/>
      <c r="D255" s="86" t="n"/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/>
      <c r="C256" s="15" t="n"/>
      <c r="D256" s="63" t="n"/>
      <c r="E256" s="63" t="n"/>
      <c r="F256" s="21" t="n"/>
      <c r="G256" s="15" t="n"/>
      <c r="H256" s="15" t="n"/>
      <c r="I256" s="61" t="n"/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/>
      <c r="C257" s="15" t="n"/>
      <c r="D257" s="113" t="n"/>
      <c r="E257" s="113" t="n"/>
      <c r="F257" s="21" t="n"/>
      <c r="G257" s="15" t="n"/>
      <c r="H257" s="15" t="n"/>
      <c r="I257" s="61" t="n"/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/>
      <c r="C258" s="15" t="n"/>
      <c r="D258" s="63" t="n"/>
      <c r="E258" s="63" t="n"/>
      <c r="F258" s="21" t="n"/>
      <c r="G258" s="15" t="n"/>
      <c r="H258" s="15" t="n"/>
      <c r="I258" s="61" t="n"/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n"/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/>
      <c r="C260" s="15" t="n"/>
      <c r="D260" s="63" t="n"/>
      <c r="E260" s="63" t="n"/>
      <c r="F260" s="21" t="n"/>
      <c r="G260" s="15" t="n"/>
      <c r="H260" s="15" t="n"/>
      <c r="I260" s="61" t="n"/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n"/>
      <c r="E261" s="63" t="n"/>
      <c r="F261" s="21" t="n"/>
      <c r="G261" s="15" t="n"/>
      <c r="H261" s="15" t="n"/>
      <c r="I261" s="61" t="n"/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n"/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/>
      <c r="C263" s="15" t="n"/>
      <c r="D263" s="113" t="n"/>
      <c r="E263" s="113" t="n"/>
      <c r="F263" s="115" t="n"/>
      <c r="G263" s="60" t="n"/>
      <c r="H263" s="60" t="n"/>
      <c r="I263" s="62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n"/>
      <c r="C264" s="85" t="n"/>
      <c r="D264" s="86" t="n"/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n"/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/>
      <c r="C266" s="15" t="n"/>
      <c r="D266" s="63" t="n"/>
      <c r="E266" s="63" t="n"/>
      <c r="F266" s="21" t="n"/>
      <c r="G266" s="15" t="n"/>
      <c r="H266" s="15" t="n"/>
      <c r="I266" s="61" t="n"/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/>
      <c r="C267" s="15" t="n"/>
      <c r="D267" s="63" t="n"/>
      <c r="E267" s="63" t="n"/>
      <c r="F267" s="21" t="n"/>
      <c r="G267" s="15" t="n"/>
      <c r="H267" s="15" t="n"/>
      <c r="I267" s="61" t="n"/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/>
      <c r="C268" s="15" t="n"/>
      <c r="D268" s="63" t="n"/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n"/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/>
      <c r="C270" s="15" t="n"/>
      <c r="D270" s="18" t="n"/>
      <c r="E270" s="18" t="n"/>
      <c r="F270" s="21" t="n"/>
      <c r="G270" s="15" t="n"/>
      <c r="H270" s="15" t="n"/>
      <c r="I270" s="61" t="n"/>
      <c r="J270" s="62" t="n"/>
      <c r="K270" s="44" t="n"/>
      <c r="L270" s="44" t="n"/>
      <c r="M270" s="44" t="n"/>
      <c r="N270" s="61" t="n"/>
      <c r="O270" s="44" t="n"/>
      <c r="P270" s="44" t="n"/>
      <c r="Q270" s="44" t="n"/>
    </row>
    <row r="271" hidden="1" ht="15.5" customHeight="1">
      <c r="B271" s="102" t="n"/>
      <c r="C271" s="15" t="n"/>
      <c r="D271" s="108" t="n"/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/>
      <c r="C272" s="15" t="n"/>
      <c r="D272" s="170" t="n"/>
      <c r="E272" s="170" t="n"/>
      <c r="F272" s="21" t="n"/>
      <c r="G272" s="15" t="n"/>
      <c r="H272" s="15" t="n"/>
      <c r="I272" s="61" t="n"/>
      <c r="J272" s="62" t="n"/>
      <c r="K272" s="44" t="n"/>
      <c r="L272" s="44" t="n"/>
      <c r="M272" s="44" t="n"/>
      <c r="N272" s="61" t="n"/>
      <c r="O272" s="44" t="n"/>
      <c r="P272" s="44" t="n"/>
      <c r="Q272" s="44" t="n"/>
    </row>
    <row r="273" hidden="1" ht="15.5" customHeight="1">
      <c r="B273" s="102" t="n"/>
      <c r="C273" s="15" t="n"/>
      <c r="D273" s="63" t="n"/>
      <c r="E273" s="63" t="n"/>
      <c r="F273" s="21" t="n"/>
      <c r="G273" s="15" t="n"/>
      <c r="H273" s="15" t="n"/>
      <c r="I273" s="116" t="n"/>
      <c r="J273" s="62" t="n"/>
      <c r="K273" s="44" t="n"/>
      <c r="L273" s="44" t="n"/>
      <c r="M273" s="44" t="n"/>
      <c r="N273" s="61" t="n"/>
      <c r="O273" s="44" t="n"/>
      <c r="P273" s="44" t="n"/>
      <c r="Q273" s="44" t="n"/>
    </row>
    <row r="274" hidden="1" ht="15.5" customHeight="1">
      <c r="B274" s="102" t="n"/>
      <c r="C274" s="15" t="n"/>
      <c r="D274" s="108" t="n"/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 t="n"/>
      <c r="O274" s="44" t="n"/>
      <c r="P274" s="44" t="n"/>
      <c r="Q274" s="44" t="n"/>
    </row>
    <row r="275" hidden="1" ht="15.5" customHeight="1">
      <c r="B275" s="102" t="n"/>
      <c r="C275" s="15" t="n"/>
      <c r="D275" s="63" t="n"/>
      <c r="E275" s="63" t="n"/>
      <c r="F275" s="21" t="n"/>
      <c r="G275" s="15" t="n"/>
      <c r="H275" s="15" t="n"/>
      <c r="I275" s="62" t="n"/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n"/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/>
      <c r="C277" s="15" t="n"/>
      <c r="D277" s="63" t="n"/>
      <c r="E277" s="63" t="n"/>
      <c r="F277" s="21" t="n"/>
      <c r="G277" s="15" t="n"/>
      <c r="H277" s="15" t="n"/>
      <c r="I277" s="62" t="n"/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n"/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/>
      <c r="C279" s="15" t="n"/>
      <c r="D279" s="113" t="n"/>
      <c r="E279" s="113" t="n"/>
      <c r="F279" s="21" t="n"/>
      <c r="G279" s="15" t="n"/>
      <c r="H279" s="15" t="n"/>
      <c r="I279" s="62" t="n"/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n"/>
      <c r="C280" s="85" t="n"/>
      <c r="D280" s="112" t="n"/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n"/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/>
      <c r="C282" s="91" t="n"/>
      <c r="D282" s="95" t="n"/>
      <c r="E282" s="95" t="n"/>
      <c r="F282" s="93" t="n"/>
      <c r="G282" s="91" t="n"/>
      <c r="H282" s="91" t="n"/>
      <c r="I282" s="62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/>
      <c r="C283" s="91" t="n"/>
      <c r="D283" s="95" t="n"/>
      <c r="E283" s="95" t="n"/>
      <c r="F283" s="93" t="n"/>
      <c r="G283" s="91" t="n"/>
      <c r="H283" s="91" t="n"/>
      <c r="I283" s="62" t="n"/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n"/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/>
      <c r="C285" s="91" t="n"/>
      <c r="D285" s="95" t="n"/>
      <c r="E285" s="95" t="n"/>
      <c r="F285" s="93" t="n"/>
      <c r="G285" s="91" t="n"/>
      <c r="H285" s="91" t="n"/>
      <c r="I285" s="61" t="n"/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/>
      <c r="C286" s="91" t="n"/>
      <c r="D286" s="95" t="n"/>
      <c r="E286" s="95" t="n"/>
      <c r="F286" s="93" t="n"/>
      <c r="G286" s="91" t="n"/>
      <c r="H286" s="91" t="n"/>
      <c r="I286" s="61" t="n"/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/>
      <c r="C287" s="91" t="n"/>
      <c r="D287" s="95" t="n"/>
      <c r="E287" s="95" t="n"/>
      <c r="F287" s="93" t="n"/>
      <c r="G287" s="91" t="n"/>
      <c r="H287" s="91" t="n"/>
      <c r="I287" s="61" t="n"/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/>
      <c r="C288" s="91" t="n"/>
      <c r="D288" s="95" t="n"/>
      <c r="E288" s="95" t="n"/>
      <c r="F288" s="93" t="n"/>
      <c r="G288" s="91" t="n"/>
      <c r="H288" s="91" t="n"/>
      <c r="I288" s="61" t="n"/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/>
      <c r="C289" s="91" t="n"/>
      <c r="D289" s="98" t="n"/>
      <c r="E289" s="98" t="n"/>
      <c r="F289" s="93" t="n"/>
      <c r="G289" s="91" t="n"/>
      <c r="H289" s="91" t="n"/>
      <c r="I289" s="61" t="n"/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/>
      <c r="C290" s="91" t="n"/>
      <c r="D290" s="98" t="n"/>
      <c r="E290" s="98" t="n"/>
      <c r="F290" s="93" t="n"/>
      <c r="G290" s="91" t="n"/>
      <c r="H290" s="91" t="n"/>
      <c r="I290" s="61" t="n"/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/>
      <c r="C291" s="91" t="n"/>
      <c r="D291" s="95" t="n"/>
      <c r="E291" s="95" t="n"/>
      <c r="F291" s="93" t="n"/>
      <c r="G291" s="91" t="n"/>
      <c r="H291" s="91" t="n"/>
      <c r="I291" s="61" t="n"/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n"/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/>
      <c r="C293" s="91" t="n"/>
      <c r="D293" s="95" t="n"/>
      <c r="E293" s="95" t="n"/>
      <c r="F293" s="99" t="n"/>
      <c r="G293" s="91" t="n"/>
      <c r="H293" s="91" t="n"/>
      <c r="I293" s="62" t="n"/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n"/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/>
      <c r="C295" s="91" t="n"/>
      <c r="D295" s="95" t="n"/>
      <c r="E295" s="95" t="n"/>
      <c r="F295" s="93" t="n"/>
      <c r="G295" s="91" t="n"/>
      <c r="H295" s="91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n"/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/>
      <c r="C297" s="117" t="n"/>
      <c r="D297" s="95" t="n"/>
      <c r="E297" s="95" t="n"/>
      <c r="F297" s="93" t="n"/>
      <c r="G297" s="91" t="n"/>
      <c r="H297" s="100" t="n"/>
      <c r="I297" s="62" t="n"/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n"/>
      <c r="C298" s="85" t="n"/>
      <c r="D298" s="86" t="n"/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n"/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/>
      <c r="C300" s="15" t="n"/>
      <c r="D300" s="18" t="n"/>
      <c r="E300" s="18" t="n"/>
      <c r="F300" s="21" t="n"/>
      <c r="G300" s="15" t="n"/>
      <c r="H300" s="15" t="n"/>
      <c r="I300" s="61" t="n"/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n"/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/>
      <c r="C302" s="15" t="n"/>
      <c r="D302" s="113" t="n"/>
      <c r="E302" s="113" t="n"/>
      <c r="F302" s="21" t="n"/>
      <c r="G302" s="15" t="n"/>
      <c r="H302" s="15" t="n"/>
      <c r="I302" s="61" t="n"/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/>
      <c r="C303" s="15" t="n"/>
      <c r="D303" s="113" t="n"/>
      <c r="E303" s="113" t="n"/>
      <c r="F303" s="21" t="n"/>
      <c r="G303" s="15" t="n"/>
      <c r="H303" s="15" t="n"/>
      <c r="I303" s="61" t="n"/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/>
      <c r="C304" s="15" t="n"/>
      <c r="D304" s="63" t="n"/>
      <c r="E304" s="63" t="n"/>
      <c r="F304" s="21" t="n"/>
      <c r="G304" s="15" t="n"/>
      <c r="H304" s="15" t="n"/>
      <c r="I304" s="61" t="n"/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n"/>
      <c r="C305" s="85" t="n"/>
      <c r="D305" s="86" t="n"/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n"/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/>
      <c r="C307" s="91" t="n"/>
      <c r="D307" s="95" t="n"/>
      <c r="E307" s="95" t="n"/>
      <c r="F307" s="103" t="n"/>
      <c r="G307" s="91" t="n"/>
      <c r="H307" s="91" t="n"/>
      <c r="I307" s="241" t="n"/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/>
      <c r="C308" s="91" t="n"/>
      <c r="D308" s="95" t="n"/>
      <c r="E308" s="95" t="n"/>
      <c r="F308" s="103" t="n"/>
      <c r="G308" s="91" t="n"/>
      <c r="H308" s="91" t="n"/>
      <c r="I308" s="61" t="n"/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n"/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/>
      <c r="C310" s="91" t="n"/>
      <c r="D310" s="95" t="n"/>
      <c r="E310" s="95" t="n"/>
      <c r="F310" s="103" t="n"/>
      <c r="G310" s="91" t="n"/>
      <c r="H310" s="91" t="n"/>
      <c r="I310" s="61" t="n"/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/>
      <c r="C311" s="91" t="n"/>
      <c r="D311" s="95" t="n"/>
      <c r="E311" s="95" t="n"/>
      <c r="F311" s="103" t="n"/>
      <c r="G311" s="91" t="n"/>
      <c r="H311" s="91" t="n"/>
      <c r="I311" s="61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/>
      <c r="C312" s="91" t="n"/>
      <c r="D312" s="95" t="n"/>
      <c r="E312" s="95" t="n"/>
      <c r="F312" s="103" t="n"/>
      <c r="G312" s="91" t="n"/>
      <c r="H312" s="91" t="n"/>
      <c r="I312" s="61" t="n"/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/>
      <c r="C313" s="91" t="n"/>
      <c r="D313" s="95" t="n"/>
      <c r="E313" s="95" t="n"/>
      <c r="F313" s="103" t="n"/>
      <c r="G313" s="91" t="n"/>
      <c r="H313" s="91" t="n"/>
      <c r="I313" s="61" t="n"/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/>
      <c r="C314" s="91" t="n"/>
      <c r="D314" s="98" t="n"/>
      <c r="E314" s="98" t="n"/>
      <c r="F314" s="103" t="n"/>
      <c r="G314" s="91" t="n"/>
      <c r="H314" s="91" t="n"/>
      <c r="I314" s="61" t="n"/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/>
      <c r="C315" s="91" t="n"/>
      <c r="D315" s="98" t="n"/>
      <c r="E315" s="98" t="n"/>
      <c r="F315" s="103" t="n"/>
      <c r="G315" s="91" t="n"/>
      <c r="H315" s="91" t="n"/>
      <c r="I315" s="61" t="n"/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/>
      <c r="C316" s="91" t="n"/>
      <c r="D316" s="95" t="n"/>
      <c r="E316" s="95" t="n"/>
      <c r="F316" s="103" t="n"/>
      <c r="G316" s="91" t="n"/>
      <c r="H316" s="91" t="n"/>
      <c r="I316" s="61" t="n"/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n"/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/>
      <c r="C318" s="91" t="n"/>
      <c r="D318" s="95" t="n"/>
      <c r="E318" s="95" t="n"/>
      <c r="F318" s="99" t="n"/>
      <c r="G318" s="91" t="n"/>
      <c r="H318" s="91" t="n"/>
      <c r="I318" s="62" t="n"/>
      <c r="J318" s="62" t="n"/>
      <c r="K318" s="44" t="n"/>
      <c r="L318" s="44" t="n"/>
      <c r="M318" s="61" t="n"/>
      <c r="N318" s="62" t="n"/>
      <c r="O318" s="44" t="n"/>
      <c r="P318" s="44" t="n"/>
      <c r="Q318" s="44" t="n"/>
    </row>
    <row r="319" hidden="1" ht="15.5" customHeight="1">
      <c r="B319" s="67" t="n"/>
      <c r="C319" s="117" t="n"/>
      <c r="D319" s="97" t="n"/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/>
      <c r="C320" s="91" t="n"/>
      <c r="D320" s="95" t="n"/>
      <c r="E320" s="95" t="n"/>
      <c r="F320" s="103" t="n"/>
      <c r="G320" s="91" t="n"/>
      <c r="H320" s="91" t="n"/>
      <c r="I320" s="62" t="n"/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n"/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/>
      <c r="C322" s="117" t="n"/>
      <c r="D322" s="95" t="n"/>
      <c r="E322" s="95" t="n"/>
      <c r="F322" s="103" t="n"/>
      <c r="G322" s="91" t="n"/>
      <c r="H322" s="100" t="n"/>
      <c r="I322" s="62" t="n"/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n"/>
      <c r="C323" s="85" t="n"/>
      <c r="D323" s="86" t="n"/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n"/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/>
      <c r="C325" s="91" t="n"/>
      <c r="D325" s="95" t="n"/>
      <c r="E325" s="95" t="n"/>
      <c r="F325" s="103" t="n"/>
      <c r="G325" s="91" t="n"/>
      <c r="H325" s="91" t="n"/>
      <c r="I325" s="61" t="n"/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n"/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/>
      <c r="C327" s="91" t="n"/>
      <c r="D327" s="95" t="n"/>
      <c r="E327" s="95" t="n"/>
      <c r="F327" s="103" t="n"/>
      <c r="G327" s="91" t="n"/>
      <c r="H327" s="91" t="n"/>
      <c r="I327" s="62" t="n"/>
      <c r="J327" s="62" t="n"/>
      <c r="K327" s="44" t="n"/>
      <c r="L327" s="44" t="n"/>
      <c r="M327" s="61" t="n"/>
      <c r="N327" s="61" t="n"/>
      <c r="O327" s="44" t="n"/>
      <c r="P327" s="44" t="n"/>
      <c r="Q327" s="44" t="n"/>
    </row>
    <row r="328" hidden="1" ht="15.5" customHeight="1">
      <c r="B328" s="67" t="n"/>
      <c r="C328" s="91" t="n"/>
      <c r="D328" s="95" t="n"/>
      <c r="E328" s="95" t="n"/>
      <c r="F328" s="103" t="n"/>
      <c r="G328" s="91" t="n"/>
      <c r="H328" s="91" t="n"/>
      <c r="I328" s="62" t="n"/>
      <c r="J328" s="62" t="n"/>
      <c r="K328" s="44" t="n"/>
      <c r="L328" s="44" t="n"/>
      <c r="M328" s="61" t="n"/>
      <c r="N328" s="61" t="n"/>
      <c r="O328" s="44" t="n"/>
      <c r="P328" s="44" t="n"/>
      <c r="Q328" s="44" t="n"/>
    </row>
    <row r="329" hidden="1" ht="15.5" customHeight="1">
      <c r="B329" s="78" t="n"/>
      <c r="C329" s="85" t="n"/>
      <c r="D329" s="86" t="n"/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n"/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/>
      <c r="C331" s="91" t="n"/>
      <c r="D331" s="95" t="n"/>
      <c r="E331" s="95" t="n"/>
      <c r="F331" s="93" t="n"/>
      <c r="G331" s="91" t="n"/>
      <c r="H331" s="91" t="n"/>
      <c r="I331" s="241" t="n"/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/>
      <c r="C332" s="91" t="n"/>
      <c r="D332" s="98" t="n"/>
      <c r="E332" s="98" t="n"/>
      <c r="F332" s="93" t="n"/>
      <c r="G332" s="91" t="n"/>
      <c r="H332" s="91" t="n"/>
      <c r="I332" s="61" t="n"/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n"/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/>
      <c r="C334" s="91" t="n"/>
      <c r="D334" s="95" t="n"/>
      <c r="E334" s="95" t="n"/>
      <c r="F334" s="93" t="n"/>
      <c r="G334" s="91" t="n"/>
      <c r="H334" s="91" t="n"/>
      <c r="I334" s="61" t="n"/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/>
      <c r="C335" s="91" t="n"/>
      <c r="D335" s="98" t="n"/>
      <c r="E335" s="98" t="n"/>
      <c r="F335" s="93" t="n"/>
      <c r="G335" s="91" t="n"/>
      <c r="H335" s="91" t="n"/>
      <c r="I335" s="61" t="n"/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/>
      <c r="C336" s="91" t="n"/>
      <c r="D336" s="98" t="n"/>
      <c r="E336" s="98" t="n"/>
      <c r="F336" s="93" t="n"/>
      <c r="G336" s="91" t="n"/>
      <c r="H336" s="91" t="n"/>
      <c r="I336" s="61" t="n"/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/>
      <c r="C337" s="91" t="n"/>
      <c r="D337" s="95" t="n"/>
      <c r="E337" s="95" t="n"/>
      <c r="F337" s="93" t="n"/>
      <c r="G337" s="91" t="n"/>
      <c r="H337" s="91" t="n"/>
      <c r="I337" s="61" t="n"/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/>
      <c r="C338" s="91" t="n"/>
      <c r="D338" s="95" t="n"/>
      <c r="E338" s="95" t="n"/>
      <c r="F338" s="93" t="n"/>
      <c r="G338" s="91" t="n"/>
      <c r="H338" s="91" t="n"/>
      <c r="I338" s="61" t="n"/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/>
      <c r="C339" s="91" t="n"/>
      <c r="D339" s="98" t="n"/>
      <c r="E339" s="98" t="n"/>
      <c r="F339" s="93" t="n"/>
      <c r="G339" s="91" t="n"/>
      <c r="H339" s="91" t="n"/>
      <c r="I339" s="61" t="n"/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n"/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/>
      <c r="C341" s="15" t="n"/>
      <c r="D341" s="18" t="n"/>
      <c r="E341" s="18" t="n"/>
      <c r="F341" s="96" t="n"/>
      <c r="G341" s="91" t="n"/>
      <c r="H341" s="91" t="n"/>
      <c r="I341" s="62" t="n"/>
      <c r="J341" s="62" t="n"/>
      <c r="K341" s="62" t="n"/>
      <c r="L341" s="62" t="n"/>
      <c r="M341" s="62" t="n"/>
      <c r="N341" s="62" t="n"/>
      <c r="O341" s="62" t="n"/>
      <c r="P341" s="62" t="n"/>
      <c r="Q341" s="62" t="n"/>
    </row>
    <row r="342" hidden="1" ht="15.5" customHeight="1">
      <c r="B342" s="67" t="n"/>
      <c r="C342" s="91" t="n"/>
      <c r="D342" s="98" t="n"/>
      <c r="E342" s="98" t="n"/>
      <c r="F342" s="93" t="n"/>
      <c r="G342" s="91" t="n"/>
      <c r="H342" s="91" t="n"/>
      <c r="I342" s="62" t="n"/>
      <c r="J342" s="44" t="n"/>
      <c r="K342" s="44" t="n"/>
      <c r="L342" s="44" t="n"/>
      <c r="M342" s="44" t="n"/>
      <c r="N342" s="62" t="n"/>
      <c r="O342" s="44" t="n"/>
      <c r="P342" s="44" t="n"/>
      <c r="Q342" s="44" t="n"/>
    </row>
    <row r="343" hidden="1" ht="15.5" customHeight="1">
      <c r="B343" s="78" t="n"/>
      <c r="C343" s="85" t="n"/>
      <c r="D343" s="112" t="n"/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n"/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/>
      <c r="C345" s="15" t="n"/>
      <c r="D345" s="18" t="n"/>
      <c r="E345" s="18" t="n"/>
      <c r="F345" s="21" t="n"/>
      <c r="G345" s="15" t="n"/>
      <c r="H345" s="15" t="n"/>
      <c r="I345" s="44" t="n"/>
      <c r="J345" s="44" t="n"/>
      <c r="K345" s="44" t="n"/>
      <c r="L345" s="44" t="n"/>
      <c r="M345" s="62" t="n"/>
      <c r="N345" s="44" t="n"/>
      <c r="O345" s="44" t="n"/>
      <c r="P345" s="62" t="n"/>
      <c r="Q345" s="44" t="n"/>
    </row>
    <row r="346" hidden="1" ht="15.5" customHeight="1">
      <c r="B346" s="14" t="n"/>
      <c r="C346" s="15" t="n"/>
      <c r="D346" s="18" t="n"/>
      <c r="E346" s="18" t="n"/>
      <c r="F346" s="21" t="n"/>
      <c r="G346" s="15" t="n"/>
      <c r="H346" s="15" t="n"/>
      <c r="I346" s="44" t="n"/>
      <c r="J346" s="44" t="n"/>
      <c r="K346" s="44" t="n"/>
      <c r="L346" s="44" t="n"/>
      <c r="M346" s="61" t="n"/>
      <c r="N346" s="44" t="n"/>
      <c r="O346" s="44" t="n"/>
      <c r="P346" s="62" t="n"/>
      <c r="Q346" s="44" t="n"/>
    </row>
    <row r="347" hidden="1" ht="15.5" customHeight="1">
      <c r="B347" s="14" t="n"/>
      <c r="C347" s="15" t="n"/>
      <c r="D347" s="18" t="n"/>
      <c r="E347" s="18" t="n"/>
      <c r="F347" s="21" t="n"/>
      <c r="G347" s="15" t="n"/>
      <c r="H347" s="15" t="n"/>
      <c r="I347" s="44" t="n"/>
      <c r="J347" s="44" t="n"/>
      <c r="K347" s="44" t="n"/>
      <c r="L347" s="44" t="n"/>
      <c r="M347" s="61" t="n"/>
      <c r="N347" s="44" t="n"/>
      <c r="O347" s="44" t="n"/>
      <c r="P347" s="62" t="n"/>
      <c r="Q347" s="44" t="n"/>
    </row>
    <row r="348" hidden="1" ht="15.5" customHeight="1">
      <c r="B348" s="14" t="n"/>
      <c r="C348" s="15" t="n"/>
      <c r="D348" s="18" t="n"/>
      <c r="E348" s="18" t="n"/>
      <c r="F348" s="21" t="n"/>
      <c r="G348" s="15" t="n"/>
      <c r="H348" s="15" t="n"/>
      <c r="I348" s="44" t="n"/>
      <c r="J348" s="44" t="n"/>
      <c r="K348" s="44" t="n"/>
      <c r="L348" s="44" t="n"/>
      <c r="M348" s="61" t="n"/>
      <c r="N348" s="44" t="n"/>
      <c r="O348" s="44" t="n"/>
      <c r="P348" s="62" t="n"/>
      <c r="Q348" s="44" t="n"/>
    </row>
    <row r="349" hidden="1" ht="15.5" customHeight="1">
      <c r="B349" s="78" t="n"/>
      <c r="C349" s="85" t="n"/>
      <c r="D349" s="86" t="n"/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n"/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/>
      <c r="C351" s="15" t="n"/>
      <c r="D351" s="18" t="n"/>
      <c r="E351" s="18" t="n"/>
      <c r="F351" s="21" t="n"/>
      <c r="G351" s="15" t="n"/>
      <c r="H351" s="15" t="n"/>
      <c r="I351" s="61" t="n"/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/>
      <c r="C352" s="15" t="n"/>
      <c r="D352" s="18" t="n"/>
      <c r="E352" s="18" t="n"/>
      <c r="F352" s="21" t="n"/>
      <c r="G352" s="15" t="n"/>
      <c r="H352" s="15" t="n"/>
      <c r="I352" s="61" t="n"/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n"/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/>
      <c r="C354" s="15" t="n"/>
      <c r="D354" s="63" t="n"/>
      <c r="E354" s="63" t="n"/>
      <c r="F354" s="21" t="n"/>
      <c r="G354" s="15" t="n"/>
      <c r="H354" s="15" t="n"/>
      <c r="I354" s="61" t="n"/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/>
      <c r="C355" s="15" t="n"/>
      <c r="D355" s="63" t="n"/>
      <c r="E355" s="63" t="n"/>
      <c r="F355" s="21" t="n"/>
      <c r="G355" s="15" t="n"/>
      <c r="H355" s="15" t="n"/>
      <c r="I355" s="61" t="n"/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/>
      <c r="C356" s="15" t="n"/>
      <c r="D356" s="63" t="n"/>
      <c r="E356" s="63" t="n"/>
      <c r="F356" s="21" t="n"/>
      <c r="G356" s="15" t="n"/>
      <c r="H356" s="15" t="n"/>
      <c r="I356" s="61" t="n"/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/>
      <c r="C357" s="15" t="n"/>
      <c r="D357" s="63" t="n"/>
      <c r="E357" s="63" t="n"/>
      <c r="F357" s="21" t="n"/>
      <c r="G357" s="15" t="n"/>
      <c r="H357" s="15" t="n"/>
      <c r="I357" s="61" t="n"/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/>
      <c r="C358" s="15" t="n"/>
      <c r="D358" s="63" t="n"/>
      <c r="E358" s="63" t="n"/>
      <c r="F358" s="21" t="n"/>
      <c r="G358" s="15" t="n"/>
      <c r="H358" s="15" t="n"/>
      <c r="I358" s="61" t="n"/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/>
      <c r="C359" s="15" t="n"/>
      <c r="D359" s="63" t="n"/>
      <c r="E359" s="63" t="n"/>
      <c r="F359" s="21" t="n"/>
      <c r="G359" s="15" t="n"/>
      <c r="H359" s="15" t="n"/>
      <c r="I359" s="61" t="n"/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n"/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/>
      <c r="C361" s="15" t="n"/>
      <c r="D361" s="18" t="n"/>
      <c r="E361" s="18" t="n"/>
      <c r="F361" s="21" t="n"/>
      <c r="G361" s="15" t="n"/>
      <c r="H361" s="15" t="n"/>
      <c r="I361" s="61" t="n"/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n"/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/>
      <c r="C363" s="15" t="n"/>
      <c r="D363" s="63" t="n"/>
      <c r="E363" s="63" t="n"/>
      <c r="F363" s="21" t="n"/>
      <c r="G363" s="15" t="n"/>
      <c r="H363" s="15" t="n"/>
      <c r="I363" s="62" t="n"/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n"/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/>
      <c r="C365" s="15" t="n"/>
      <c r="D365" s="63" t="n"/>
      <c r="E365" s="63" t="n"/>
      <c r="F365" s="21" t="n"/>
      <c r="G365" s="15" t="n"/>
      <c r="H365" s="15" t="n"/>
      <c r="I365" s="241" t="n"/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n"/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/>
      <c r="C367" s="15" t="n"/>
      <c r="D367" s="63" t="n"/>
      <c r="E367" s="63" t="n"/>
      <c r="F367" s="21" t="n"/>
      <c r="G367" s="15" t="n"/>
      <c r="H367" s="15" t="n"/>
      <c r="I367" s="62" t="n"/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n"/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/>
      <c r="C369" s="15" t="n"/>
      <c r="D369" s="113" t="n"/>
      <c r="E369" s="113" t="n"/>
      <c r="F369" s="21" t="n"/>
      <c r="G369" s="15" t="n"/>
      <c r="H369" s="15" t="n"/>
      <c r="I369" s="62" t="n"/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n"/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/>
      <c r="C371" s="15" t="n"/>
      <c r="D371" s="113" t="n"/>
      <c r="E371" s="113" t="n"/>
      <c r="F371" s="21" t="n"/>
      <c r="G371" s="15" t="n"/>
      <c r="H371" s="15" t="n"/>
      <c r="I371" s="44" t="n"/>
      <c r="J371" s="44" t="n"/>
      <c r="K371" s="44" t="n"/>
      <c r="L371" s="44" t="n"/>
      <c r="M371" s="44" t="n"/>
      <c r="N371" s="62" t="n"/>
      <c r="O371" s="44" t="n"/>
      <c r="P371" s="44" t="n"/>
      <c r="Q371" s="44" t="n"/>
    </row>
    <row r="372" hidden="1" ht="15.5" customHeight="1">
      <c r="B372" s="102" t="n"/>
      <c r="C372" s="15" t="n"/>
      <c r="D372" s="113" t="n"/>
      <c r="E372" s="113" t="n"/>
      <c r="F372" s="21" t="n"/>
      <c r="G372" s="15" t="n"/>
      <c r="H372" s="15" t="n"/>
      <c r="I372" s="44" t="n"/>
      <c r="J372" s="44" t="n"/>
      <c r="K372" s="44" t="n"/>
      <c r="L372" s="44" t="n"/>
      <c r="M372" s="44" t="n"/>
      <c r="N372" s="62" t="n"/>
      <c r="O372" s="44" t="n"/>
      <c r="P372" s="44" t="n"/>
      <c r="Q372" s="44" t="n"/>
    </row>
    <row r="373" hidden="1" ht="15.5" customHeight="1">
      <c r="B373" s="102" t="n"/>
      <c r="C373" s="15" t="n"/>
      <c r="D373" s="113" t="n"/>
      <c r="E373" s="113" t="n"/>
      <c r="F373" s="21" t="n"/>
      <c r="G373" s="15" t="n"/>
      <c r="H373" s="15" t="n"/>
      <c r="I373" s="44" t="n"/>
      <c r="J373" s="44" t="n"/>
      <c r="K373" s="44" t="n"/>
      <c r="L373" s="44" t="n"/>
      <c r="M373" s="61" t="n"/>
      <c r="N373" s="62" t="n"/>
      <c r="O373" s="44" t="n"/>
      <c r="P373" s="44" t="n"/>
      <c r="Q373" s="44" t="n"/>
    </row>
    <row r="374" hidden="1" ht="15.5" customHeight="1">
      <c r="B374" s="78" t="n"/>
      <c r="C374" s="85" t="n"/>
      <c r="D374" s="86" t="n"/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n"/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/>
      <c r="C376" s="15" t="n"/>
      <c r="D376" s="63" t="n"/>
      <c r="E376" s="63" t="n"/>
      <c r="F376" s="21" t="n"/>
      <c r="G376" s="15" t="n"/>
      <c r="H376" s="15" t="n"/>
      <c r="I376" s="62" t="n"/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/>
      <c r="C377" s="15" t="n"/>
      <c r="D377" s="63" t="n"/>
      <c r="E377" s="63" t="n"/>
      <c r="F377" s="21" t="n"/>
      <c r="G377" s="15" t="n"/>
      <c r="H377" s="15" t="n"/>
      <c r="I377" s="62" t="n"/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/>
      <c r="C378" s="15" t="n"/>
      <c r="D378" s="63" t="n"/>
      <c r="E378" s="63" t="n"/>
      <c r="F378" s="21" t="n"/>
      <c r="G378" s="15" t="n"/>
      <c r="H378" s="15" t="n"/>
      <c r="I378" s="62" t="n"/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/>
      <c r="C379" s="15" t="n"/>
      <c r="D379" s="63" t="n"/>
      <c r="E379" s="63" t="n"/>
      <c r="F379" s="21" t="n"/>
      <c r="G379" s="15" t="n"/>
      <c r="H379" s="15" t="n"/>
      <c r="I379" s="62" t="n"/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n"/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/>
      <c r="C381" s="60" t="n"/>
      <c r="D381" s="113" t="n"/>
      <c r="E381" s="113" t="n"/>
      <c r="F381" s="115" t="n"/>
      <c r="G381" s="60" t="n"/>
      <c r="H381" s="60" t="n"/>
      <c r="I381" s="120" t="n"/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/>
      <c r="C382" s="15" t="n"/>
      <c r="D382" s="63" t="n"/>
      <c r="E382" s="63" t="n"/>
      <c r="F382" s="21" t="n"/>
      <c r="G382" s="15" t="n"/>
      <c r="H382" s="15" t="n"/>
      <c r="I382" s="62" t="n"/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n"/>
      <c r="C383" s="73" t="n"/>
      <c r="D383" s="74" t="n"/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n"/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/>
      <c r="C385" s="91" t="n"/>
      <c r="D385" s="95" t="n"/>
      <c r="E385" s="95" t="n"/>
      <c r="F385" s="93" t="n"/>
      <c r="G385" s="91" t="n"/>
      <c r="H385" s="91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n"/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/>
      <c r="C387" s="91" t="n"/>
      <c r="D387" s="95" t="n"/>
      <c r="E387" s="95" t="n"/>
      <c r="F387" s="93" t="n"/>
      <c r="G387" s="91" t="n"/>
      <c r="H387" s="91" t="n"/>
      <c r="I387" s="62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n"/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/>
      <c r="C389" s="91" t="n"/>
      <c r="D389" s="95" t="n"/>
      <c r="E389" s="95" t="n"/>
      <c r="F389" s="93" t="n"/>
      <c r="G389" s="91" t="n"/>
      <c r="H389" s="91" t="n"/>
      <c r="I389" s="44" t="n"/>
      <c r="J389" s="44" t="n"/>
      <c r="K389" s="44" t="n"/>
      <c r="L389" s="44" t="n"/>
      <c r="M389" s="44" t="n"/>
      <c r="N389" s="62" t="n"/>
      <c r="O389" s="44" t="n"/>
      <c r="P389" s="44" t="n"/>
      <c r="Q389" s="44" t="n"/>
    </row>
    <row r="390" hidden="1" ht="15.5" customHeight="1">
      <c r="B390" s="67" t="n"/>
      <c r="C390" s="91" t="n"/>
      <c r="D390" s="97" t="n"/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/>
      <c r="C391" s="91" t="n"/>
      <c r="D391" s="95" t="n"/>
      <c r="E391" s="95" t="n"/>
      <c r="F391" s="93" t="n"/>
      <c r="G391" s="91" t="n"/>
      <c r="H391" s="100" t="n"/>
      <c r="I391" s="62" t="n"/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n"/>
      <c r="C392" s="85" t="n"/>
      <c r="D392" s="86" t="n"/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n"/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/>
      <c r="C394" s="15" t="n"/>
      <c r="D394" s="18" t="n"/>
      <c r="E394" s="18" t="n"/>
      <c r="F394" s="96" t="n"/>
      <c r="G394" s="15" t="n"/>
      <c r="H394" s="15" t="n"/>
      <c r="I394" s="61" t="n"/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n"/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/>
      <c r="C396" s="15" t="n"/>
      <c r="D396" s="63" t="n"/>
      <c r="E396" s="63" t="n"/>
      <c r="F396" s="96" t="n"/>
      <c r="G396" s="15" t="n"/>
      <c r="H396" s="15" t="n"/>
      <c r="I396" s="61" t="n"/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/>
      <c r="C397" s="15" t="n"/>
      <c r="D397" s="63" t="n"/>
      <c r="E397" s="63" t="n"/>
      <c r="F397" s="96" t="n"/>
      <c r="G397" s="15" t="n"/>
      <c r="H397" s="15" t="n"/>
      <c r="I397" s="61" t="n"/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/>
      <c r="C398" s="15" t="n"/>
      <c r="D398" s="63" t="n"/>
      <c r="E398" s="63" t="n"/>
      <c r="F398" s="96" t="n"/>
      <c r="G398" s="15" t="n"/>
      <c r="H398" s="15" t="n"/>
      <c r="I398" s="61" t="n"/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n"/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/>
      <c r="C400" s="15" t="n"/>
      <c r="D400" s="63" t="n"/>
      <c r="E400" s="63" t="n"/>
      <c r="F400" s="96" t="n"/>
      <c r="G400" s="15" t="n"/>
      <c r="H400" s="15" t="n"/>
      <c r="I400" s="62" t="n"/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/>
      <c r="C401" s="15" t="n"/>
      <c r="D401" s="63" t="n"/>
      <c r="E401" s="63" t="n"/>
      <c r="F401" s="96" t="n"/>
      <c r="G401" s="15" t="n"/>
      <c r="H401" s="15" t="n"/>
      <c r="I401" s="62" t="n"/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n"/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/>
      <c r="C403" s="15" t="n"/>
      <c r="D403" s="63" t="n"/>
      <c r="E403" s="63" t="n"/>
      <c r="F403" s="96" t="n"/>
      <c r="G403" s="15" t="n"/>
      <c r="H403" s="15" t="n"/>
      <c r="I403" s="62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n"/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/>
      <c r="C405" s="15" t="n"/>
      <c r="D405" s="63" t="n"/>
      <c r="E405" s="63" t="n"/>
      <c r="F405" s="96" t="n"/>
      <c r="G405" s="15" t="n"/>
      <c r="H405" s="15" t="n"/>
      <c r="I405" s="62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n"/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/>
      <c r="C407" s="15" t="n"/>
      <c r="D407" s="113" t="n"/>
      <c r="E407" s="113" t="n"/>
      <c r="F407" s="96" t="n"/>
      <c r="G407" s="15" t="n"/>
      <c r="H407" s="15" t="n"/>
      <c r="I407" s="62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n"/>
      <c r="C408" s="85" t="n"/>
      <c r="D408" s="86" t="n"/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n"/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/>
      <c r="C410" s="15" t="n"/>
      <c r="D410" s="18" t="n"/>
      <c r="E410" s="18" t="n"/>
      <c r="F410" s="21" t="n"/>
      <c r="G410" s="15" t="n"/>
      <c r="H410" s="15" t="n"/>
      <c r="I410" s="44" t="n"/>
      <c r="J410" s="44" t="n"/>
      <c r="K410" s="44" t="n"/>
      <c r="L410" s="44" t="n"/>
      <c r="M410" s="61" t="n"/>
      <c r="N410" s="44" t="n"/>
      <c r="O410" s="44" t="n"/>
      <c r="P410" s="62" t="n"/>
      <c r="Q410" s="44" t="n"/>
    </row>
    <row r="411" hidden="1" ht="15.5" customHeight="1">
      <c r="B411" s="14" t="n"/>
      <c r="C411" s="15" t="n"/>
      <c r="D411" s="18" t="n"/>
      <c r="E411" s="18" t="n"/>
      <c r="F411" s="21" t="n"/>
      <c r="G411" s="15" t="n"/>
      <c r="H411" s="15" t="n"/>
      <c r="I411" s="44" t="n"/>
      <c r="J411" s="44" t="n"/>
      <c r="K411" s="44" t="n"/>
      <c r="L411" s="44" t="n"/>
      <c r="M411" s="62" t="n"/>
      <c r="N411" s="44" t="n"/>
      <c r="O411" s="44" t="n"/>
      <c r="P411" s="62" t="n"/>
      <c r="Q411" s="44" t="n"/>
    </row>
    <row r="412" hidden="1" ht="15.5" customHeight="1">
      <c r="B412" s="14" t="n"/>
      <c r="C412" s="15" t="n"/>
      <c r="D412" s="18" t="n"/>
      <c r="E412" s="18" t="n"/>
      <c r="F412" s="21" t="n"/>
      <c r="G412" s="15" t="n"/>
      <c r="H412" s="15" t="n"/>
      <c r="I412" s="44" t="n"/>
      <c r="J412" s="44" t="n"/>
      <c r="K412" s="44" t="n"/>
      <c r="L412" s="44" t="n"/>
      <c r="M412" s="61" t="n"/>
      <c r="N412" s="44" t="n"/>
      <c r="O412" s="44" t="n"/>
      <c r="P412" s="62" t="n"/>
      <c r="Q412" s="44" t="n"/>
    </row>
    <row r="413" hidden="1" ht="15.5" customHeight="1">
      <c r="B413" s="14" t="n"/>
      <c r="C413" s="15" t="n"/>
      <c r="D413" s="18" t="n"/>
      <c r="E413" s="18" t="n"/>
      <c r="F413" s="21" t="n"/>
      <c r="G413" s="15" t="n"/>
      <c r="H413" s="15" t="n"/>
      <c r="I413" s="44" t="n"/>
      <c r="J413" s="44" t="n"/>
      <c r="K413" s="44" t="n"/>
      <c r="L413" s="44" t="n"/>
      <c r="M413" s="61" t="n"/>
      <c r="N413" s="44" t="n"/>
      <c r="O413" s="44" t="n"/>
      <c r="P413" s="62" t="n"/>
      <c r="Q413" s="44" t="n"/>
    </row>
    <row r="414" hidden="1" ht="15.5" customHeight="1">
      <c r="B414" s="14" t="n"/>
      <c r="C414" s="15" t="n"/>
      <c r="D414" s="18" t="n"/>
      <c r="E414" s="18" t="n"/>
      <c r="F414" s="21" t="n"/>
      <c r="G414" s="15" t="n"/>
      <c r="H414" s="15" t="n"/>
      <c r="I414" s="44" t="n"/>
      <c r="J414" s="44" t="n"/>
      <c r="K414" s="44" t="n"/>
      <c r="L414" s="44" t="n"/>
      <c r="M414" s="61" t="n"/>
      <c r="N414" s="44" t="n"/>
      <c r="O414" s="44" t="n"/>
      <c r="P414" s="62" t="n"/>
      <c r="Q414" s="44" t="n"/>
    </row>
    <row r="415" hidden="1" ht="15.5" customHeight="1">
      <c r="B415" s="14" t="n"/>
      <c r="C415" s="15" t="n"/>
      <c r="D415" s="18" t="n"/>
      <c r="E415" s="18" t="n"/>
      <c r="F415" s="21" t="n"/>
      <c r="G415" s="15" t="n"/>
      <c r="H415" s="15" t="n"/>
      <c r="I415" s="44" t="n"/>
      <c r="J415" s="44" t="n"/>
      <c r="K415" s="44" t="n"/>
      <c r="L415" s="44" t="n"/>
      <c r="M415" s="62" t="n"/>
      <c r="N415" s="44" t="n"/>
      <c r="O415" s="44" t="n"/>
      <c r="P415" s="62" t="n"/>
      <c r="Q415" s="44" t="n"/>
    </row>
    <row r="416" hidden="1" ht="15.5" customHeight="1">
      <c r="B416" s="14" t="n"/>
      <c r="C416" s="15" t="n"/>
      <c r="D416" s="18" t="n"/>
      <c r="E416" s="18" t="n"/>
      <c r="F416" s="21" t="n"/>
      <c r="G416" s="15" t="n"/>
      <c r="H416" s="15" t="n"/>
      <c r="I416" s="44" t="n"/>
      <c r="J416" s="44" t="n"/>
      <c r="K416" s="44" t="n"/>
      <c r="L416" s="44" t="n"/>
      <c r="M416" s="61" t="n"/>
      <c r="N416" s="44" t="n"/>
      <c r="O416" s="44" t="n"/>
      <c r="P416" s="62" t="n"/>
      <c r="Q416" s="44" t="n"/>
    </row>
    <row r="417" hidden="1" ht="15.5" customHeight="1">
      <c r="B417" s="102" t="n"/>
      <c r="C417" s="15" t="n"/>
      <c r="D417" s="106" t="n"/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/>
      <c r="C418" s="15" t="n"/>
      <c r="D418" s="63" t="n"/>
      <c r="E418" s="63" t="n"/>
      <c r="F418" s="21" t="n"/>
      <c r="G418" s="15" t="n"/>
      <c r="H418" s="15" t="n"/>
      <c r="I418" s="61" t="n"/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n"/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/>
      <c r="C420" s="15" t="n"/>
      <c r="D420" s="63" t="n"/>
      <c r="E420" s="63" t="n"/>
      <c r="F420" s="21" t="n"/>
      <c r="G420" s="15" t="n"/>
      <c r="H420" s="15" t="n"/>
      <c r="I420" s="61" t="n"/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/>
      <c r="C421" s="15" t="n"/>
      <c r="D421" s="63" t="n"/>
      <c r="E421" s="63" t="n"/>
      <c r="F421" s="21" t="n"/>
      <c r="G421" s="15" t="n"/>
      <c r="H421" s="15" t="n"/>
      <c r="I421" s="61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/>
      <c r="C422" s="15" t="n"/>
      <c r="D422" s="63" t="n"/>
      <c r="E422" s="63" t="n"/>
      <c r="F422" s="21" t="n"/>
      <c r="G422" s="15" t="n"/>
      <c r="H422" s="15" t="n"/>
      <c r="I422" s="61" t="n"/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/>
      <c r="C423" s="15" t="n"/>
      <c r="D423" s="63" t="n"/>
      <c r="E423" s="63" t="n"/>
      <c r="F423" s="21" t="n"/>
      <c r="G423" s="15" t="n"/>
      <c r="H423" s="15" t="n"/>
      <c r="I423" s="61" t="n"/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/>
      <c r="C424" s="15" t="n"/>
      <c r="D424" s="63" t="n"/>
      <c r="E424" s="63" t="n"/>
      <c r="F424" s="21" t="n"/>
      <c r="G424" s="15" t="n"/>
      <c r="H424" s="15" t="n"/>
      <c r="I424" s="61" t="n"/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n"/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/>
      <c r="C426" s="15" t="n"/>
      <c r="D426" s="63" t="n"/>
      <c r="E426" s="63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62" t="n"/>
      <c r="O426" s="44" t="n"/>
      <c r="P426" s="44" t="n"/>
      <c r="Q426" s="44" t="n"/>
    </row>
    <row r="427" hidden="1" ht="15.5" customHeight="1">
      <c r="B427" s="14" t="n"/>
      <c r="C427" s="15" t="n"/>
      <c r="D427" s="63" t="n"/>
      <c r="E427" s="63" t="n"/>
      <c r="F427" s="21" t="n"/>
      <c r="G427" s="15" t="n"/>
      <c r="H427" s="15" t="n"/>
      <c r="I427" s="44" t="n"/>
      <c r="J427" s="44" t="n"/>
      <c r="K427" s="44" t="n"/>
      <c r="L427" s="44" t="n"/>
      <c r="M427" s="62" t="n"/>
      <c r="N427" s="62" t="n"/>
      <c r="O427" s="44" t="n"/>
      <c r="P427" s="44" t="n"/>
      <c r="Q427" s="44" t="n"/>
    </row>
    <row r="428" hidden="1" ht="15.5" customHeight="1">
      <c r="B428" s="14" t="n"/>
      <c r="C428" s="15" t="n"/>
      <c r="D428" s="63" t="n"/>
      <c r="E428" s="63" t="n"/>
      <c r="F428" s="21" t="n"/>
      <c r="G428" s="15" t="n"/>
      <c r="H428" s="15" t="n"/>
      <c r="I428" s="44" t="n"/>
      <c r="J428" s="44" t="n"/>
      <c r="K428" s="44" t="n"/>
      <c r="L428" s="44" t="n"/>
      <c r="M428" s="61" t="n"/>
      <c r="N428" s="62" t="n"/>
      <c r="O428" s="44" t="n"/>
      <c r="P428" s="44" t="n"/>
      <c r="Q428" s="44" t="n"/>
    </row>
    <row r="429" hidden="1" ht="15.5" customHeight="1">
      <c r="B429" s="14" t="n"/>
      <c r="C429" s="15" t="n"/>
      <c r="D429" s="63" t="n"/>
      <c r="E429" s="63" t="n"/>
      <c r="F429" s="21" t="n"/>
      <c r="G429" s="15" t="n"/>
      <c r="H429" s="15" t="n"/>
      <c r="I429" s="68" t="n"/>
      <c r="J429" s="68" t="n"/>
      <c r="K429" s="68" t="n"/>
      <c r="L429" s="68" t="n"/>
      <c r="M429" s="68" t="n"/>
      <c r="N429" s="62" t="n"/>
      <c r="O429" s="68" t="n"/>
      <c r="P429" s="68" t="n"/>
      <c r="Q429" s="68" t="n"/>
    </row>
    <row r="430" hidden="1" ht="15.5" customHeight="1">
      <c r="B430" s="14" t="n"/>
      <c r="C430" s="15" t="n"/>
      <c r="D430" s="63" t="n"/>
      <c r="E430" s="63" t="n"/>
      <c r="F430" s="21" t="n"/>
      <c r="G430" s="15" t="n"/>
      <c r="H430" s="15" t="n"/>
      <c r="I430" s="44" t="n"/>
      <c r="J430" s="44" t="n"/>
      <c r="K430" s="44" t="n"/>
      <c r="L430" s="44" t="n"/>
      <c r="M430" s="44" t="n"/>
      <c r="N430" s="62" t="n"/>
      <c r="O430" s="44" t="n"/>
      <c r="P430" s="44" t="n"/>
      <c r="Q430" s="44" t="n"/>
    </row>
    <row r="431" hidden="1" ht="15.5" customHeight="1">
      <c r="B431" s="14" t="n"/>
      <c r="C431" s="15" t="n"/>
      <c r="D431" s="63" t="n"/>
      <c r="E431" s="63" t="n"/>
      <c r="F431" s="21" t="n"/>
      <c r="G431" s="15" t="n"/>
      <c r="H431" s="15" t="n"/>
      <c r="I431" s="44" t="n"/>
      <c r="J431" s="44" t="n"/>
      <c r="K431" s="44" t="n"/>
      <c r="L431" s="44" t="n"/>
      <c r="M431" s="44" t="n"/>
      <c r="N431" s="62" t="n"/>
      <c r="O431" s="44" t="n"/>
      <c r="P431" s="44" t="n"/>
      <c r="Q431" s="44" t="n"/>
    </row>
    <row r="432" hidden="1" ht="15.5" customHeight="1">
      <c r="B432" s="14" t="n"/>
      <c r="C432" s="15" t="n"/>
      <c r="D432" s="63" t="n"/>
      <c r="E432" s="63" t="n"/>
      <c r="F432" s="21" t="n"/>
      <c r="G432" s="15" t="n"/>
      <c r="H432" s="15" t="n"/>
      <c r="I432" s="44" t="n"/>
      <c r="J432" s="44" t="n"/>
      <c r="K432" s="44" t="n"/>
      <c r="L432" s="44" t="n"/>
      <c r="M432" s="44" t="n"/>
      <c r="N432" s="62" t="n"/>
      <c r="O432" s="44" t="n"/>
      <c r="P432" s="44" t="n"/>
      <c r="Q432" s="44" t="n"/>
    </row>
    <row r="433" hidden="1" ht="15.5" customHeight="1">
      <c r="B433" s="14" t="n"/>
      <c r="C433" s="15" t="n"/>
      <c r="D433" s="63" t="n"/>
      <c r="E433" s="63" t="n"/>
      <c r="F433" s="21" t="n"/>
      <c r="G433" s="15" t="n"/>
      <c r="H433" s="15" t="n"/>
      <c r="I433" s="44" t="n"/>
      <c r="J433" s="44" t="n"/>
      <c r="K433" s="44" t="n"/>
      <c r="L433" s="44" t="n"/>
      <c r="M433" s="44" t="n"/>
      <c r="N433" s="62" t="n"/>
      <c r="O433" s="44" t="n"/>
      <c r="P433" s="44" t="n"/>
      <c r="Q433" s="44" t="n"/>
    </row>
    <row r="434" hidden="1" ht="15.5" customHeight="1">
      <c r="B434" s="102" t="n"/>
      <c r="C434" s="15" t="n"/>
      <c r="D434" s="108" t="n"/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/>
      <c r="C435" s="15" t="n"/>
      <c r="D435" s="63" t="n"/>
      <c r="E435" s="63" t="n"/>
      <c r="F435" s="21" t="n"/>
      <c r="G435" s="15" t="n"/>
      <c r="H435" s="15" t="n"/>
      <c r="I435" s="62" t="n"/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/>
      <c r="C436" s="15" t="n"/>
      <c r="D436" s="63" t="n"/>
      <c r="E436" s="63" t="n"/>
      <c r="F436" s="21" t="n"/>
      <c r="G436" s="15" t="n"/>
      <c r="H436" s="15" t="n"/>
      <c r="I436" s="62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/>
      <c r="C437" s="15" t="n"/>
      <c r="D437" s="63" t="n"/>
      <c r="E437" s="63" t="n"/>
      <c r="F437" s="21" t="n"/>
      <c r="G437" s="15" t="n"/>
      <c r="H437" s="15" t="n"/>
      <c r="I437" s="62" t="n"/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n"/>
      <c r="C438" s="85" t="n"/>
      <c r="D438" s="86" t="n"/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n"/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/>
      <c r="C440" s="15" t="n"/>
      <c r="D440" s="63" t="n"/>
      <c r="E440" s="63" t="n"/>
      <c r="F440" s="21" t="n"/>
      <c r="G440" s="15" t="n"/>
      <c r="H440" s="15" t="n"/>
      <c r="I440" s="61" t="n"/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/>
      <c r="C441" s="15" t="n"/>
      <c r="D441" s="63" t="n"/>
      <c r="E441" s="63" t="n"/>
      <c r="F441" s="21" t="n"/>
      <c r="G441" s="15" t="n"/>
      <c r="H441" s="15" t="n"/>
      <c r="I441" s="61" t="n"/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/>
      <c r="C442" s="15" t="n"/>
      <c r="D442" s="63" t="n"/>
      <c r="E442" s="63" t="n"/>
      <c r="F442" s="21" t="n"/>
      <c r="G442" s="15" t="n"/>
      <c r="H442" s="15" t="n"/>
      <c r="I442" s="61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n"/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/>
      <c r="C444" s="15" t="n"/>
      <c r="D444" s="63" t="n"/>
      <c r="E444" s="63" t="n"/>
      <c r="F444" s="21" t="n"/>
      <c r="G444" s="15" t="n"/>
      <c r="H444" s="15" t="n"/>
      <c r="I444" s="62" t="n"/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/>
      <c r="C445" s="15" t="n"/>
      <c r="D445" s="63" t="n"/>
      <c r="E445" s="63" t="n"/>
      <c r="F445" s="21" t="n"/>
      <c r="G445" s="15" t="n"/>
      <c r="H445" s="15" t="n"/>
      <c r="I445" s="62" t="n"/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n"/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/>
      <c r="C447" s="15" t="n"/>
      <c r="D447" s="63" t="n"/>
      <c r="E447" s="63" t="n"/>
      <c r="F447" s="21" t="n"/>
      <c r="G447" s="15" t="n"/>
      <c r="H447" s="15" t="n"/>
      <c r="I447" s="44" t="n"/>
      <c r="J447" s="44" t="n"/>
      <c r="K447" s="44" t="n"/>
      <c r="L447" s="44" t="n"/>
      <c r="M447" s="61" t="n"/>
      <c r="N447" s="44" t="n"/>
      <c r="O447" s="44" t="n"/>
      <c r="P447" s="62" t="n"/>
      <c r="Q447" s="44" t="n"/>
    </row>
    <row r="448" hidden="1" ht="15.5" customHeight="1">
      <c r="B448" s="102" t="n"/>
      <c r="C448" s="15" t="n"/>
      <c r="D448" s="63" t="n"/>
      <c r="E448" s="63" t="n"/>
      <c r="F448" s="21" t="n"/>
      <c r="G448" s="15" t="n"/>
      <c r="H448" s="15" t="n"/>
      <c r="I448" s="62" t="n"/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/>
      <c r="C449" s="15" t="n"/>
      <c r="D449" s="63" t="n"/>
      <c r="E449" s="63" t="n"/>
      <c r="F449" s="21" t="n"/>
      <c r="G449" s="15" t="n"/>
      <c r="H449" s="15" t="n"/>
      <c r="I449" s="62" t="n"/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/>
      <c r="C450" s="15" t="n"/>
      <c r="D450" s="63" t="n"/>
      <c r="E450" s="63" t="n"/>
      <c r="F450" s="21" t="n"/>
      <c r="G450" s="15" t="n"/>
      <c r="H450" s="15" t="n"/>
      <c r="I450" s="62" t="n"/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/>
      <c r="C451" s="15" t="n"/>
      <c r="D451" s="63" t="n"/>
      <c r="E451" s="63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62" t="n"/>
      <c r="O451" s="44" t="n"/>
      <c r="P451" s="44" t="n"/>
      <c r="Q451" s="44" t="n"/>
    </row>
    <row r="452" hidden="1" ht="15.5" customHeight="1">
      <c r="B452" s="102" t="n"/>
      <c r="C452" s="15" t="n"/>
      <c r="D452" s="63" t="n"/>
      <c r="E452" s="63" t="n"/>
      <c r="F452" s="21" t="n"/>
      <c r="G452" s="15" t="n"/>
      <c r="H452" s="15" t="n"/>
      <c r="I452" s="62" t="n"/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/>
      <c r="C453" s="15" t="n"/>
      <c r="D453" s="63" t="n"/>
      <c r="E453" s="63" t="n"/>
      <c r="F453" s="21" t="n"/>
      <c r="G453" s="15" t="n"/>
      <c r="H453" s="15" t="n"/>
      <c r="I453" s="62" t="n"/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/>
      <c r="C455" s="15" t="n"/>
      <c r="D455" s="63" t="n"/>
      <c r="E455" s="63" t="n"/>
      <c r="F455" s="21" t="n"/>
      <c r="G455" s="15" t="n"/>
      <c r="H455" s="15" t="n"/>
      <c r="I455" s="44" t="n"/>
      <c r="J455" s="44" t="n"/>
      <c r="K455" s="44" t="n"/>
      <c r="L455" s="44" t="n"/>
      <c r="M455" s="44" t="n"/>
      <c r="N455" s="62" t="n"/>
      <c r="O455" s="44" t="n"/>
      <c r="P455" s="44" t="n"/>
      <c r="Q455" s="44" t="n"/>
    </row>
    <row r="456" hidden="1" ht="15.5" customHeight="1">
      <c r="B456" s="102" t="n"/>
      <c r="C456" s="15" t="n"/>
      <c r="D456" s="63" t="n"/>
      <c r="E456" s="63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62" t="n"/>
      <c r="O456" s="44" t="n"/>
      <c r="P456" s="44" t="n"/>
      <c r="Q456" s="44" t="n"/>
    </row>
    <row r="457" hidden="1" ht="15.5" customHeight="1">
      <c r="B457" s="102" t="n"/>
      <c r="C457" s="15" t="n"/>
      <c r="D457" s="63" t="n"/>
      <c r="E457" s="63" t="n"/>
      <c r="F457" s="21" t="n"/>
      <c r="G457" s="15" t="n"/>
      <c r="H457" s="15" t="n"/>
      <c r="I457" s="44" t="n"/>
      <c r="J457" s="44" t="n"/>
      <c r="K457" s="44" t="n"/>
      <c r="L457" s="44" t="n"/>
      <c r="M457" s="61" t="n"/>
      <c r="N457" s="62" t="n"/>
      <c r="O457" s="44" t="n"/>
      <c r="P457" s="44" t="n"/>
      <c r="Q457" s="44" t="n"/>
    </row>
    <row r="458" hidden="1" ht="15.5" customHeight="1">
      <c r="B458" s="102" t="n"/>
      <c r="C458" s="15" t="n"/>
      <c r="D458" s="63" t="n"/>
      <c r="E458" s="63" t="n"/>
      <c r="F458" s="21" t="n"/>
      <c r="G458" s="15" t="n"/>
      <c r="H458" s="15" t="n"/>
      <c r="I458" s="62" t="n"/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n"/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/>
      <c r="C460" s="15" t="n"/>
      <c r="D460" s="63" t="n"/>
      <c r="E460" s="63" t="n"/>
      <c r="F460" s="21" t="n"/>
      <c r="G460" s="15" t="n"/>
      <c r="H460" s="15" t="n"/>
      <c r="I460" s="62" t="n"/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/>
      <c r="C461" s="15" t="n"/>
      <c r="D461" s="63" t="n"/>
      <c r="E461" s="63" t="n"/>
      <c r="F461" s="21" t="n"/>
      <c r="G461" s="15" t="n"/>
      <c r="H461" s="15" t="n"/>
      <c r="I461" s="62" t="n"/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/>
      <c r="C462" s="15" t="n"/>
      <c r="D462" s="63" t="n"/>
      <c r="E462" s="63" t="n"/>
      <c r="F462" s="21" t="n"/>
      <c r="G462" s="15" t="n"/>
      <c r="H462" s="15" t="n"/>
      <c r="I462" s="62" t="n"/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/>
      <c r="C463" s="15" t="n"/>
      <c r="D463" s="63" t="n"/>
      <c r="E463" s="63" t="n"/>
      <c r="F463" s="21" t="n"/>
      <c r="G463" s="15" t="n"/>
      <c r="H463" s="15" t="n"/>
      <c r="I463" s="62" t="n"/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/>
      <c r="C464" s="15" t="n"/>
      <c r="D464" s="63" t="n"/>
      <c r="E464" s="63" t="n"/>
      <c r="F464" s="21" t="n"/>
      <c r="G464" s="15" t="n"/>
      <c r="H464" s="15" t="n"/>
      <c r="I464" s="62" t="n"/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n"/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/>
      <c r="C466" s="15" t="n"/>
      <c r="D466" s="63" t="n"/>
      <c r="E466" s="63" t="n"/>
      <c r="F466" s="21" t="n"/>
      <c r="G466" s="15" t="n"/>
      <c r="H466" s="15" t="n"/>
      <c r="I466" s="62" t="n"/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n"/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/>
      <c r="C468" s="15" t="n"/>
      <c r="D468" s="63" t="n"/>
      <c r="E468" s="63" t="n"/>
      <c r="F468" s="21" t="n"/>
      <c r="G468" s="15" t="n"/>
      <c r="H468" s="15" t="n"/>
      <c r="I468" s="62" t="n"/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n"/>
      <c r="C469" s="85" t="n"/>
      <c r="D469" s="86" t="n"/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n"/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/>
      <c r="C471" s="91" t="n"/>
      <c r="D471" s="95" t="n"/>
      <c r="E471" s="95" t="n"/>
      <c r="F471" s="93" t="n"/>
      <c r="G471" s="91" t="n"/>
      <c r="H471" s="91" t="n"/>
      <c r="I471" s="62" t="n"/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/>
      <c r="C472" s="91" t="n"/>
      <c r="D472" s="95" t="n"/>
      <c r="E472" s="95" t="n"/>
      <c r="F472" s="93" t="n"/>
      <c r="G472" s="91" t="n"/>
      <c r="H472" s="91" t="n"/>
      <c r="I472" s="62" t="n"/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n"/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/>
      <c r="C474" s="91" t="n"/>
      <c r="D474" s="95" t="n"/>
      <c r="E474" s="95" t="n"/>
      <c r="F474" s="93" t="n"/>
      <c r="G474" s="91" t="n"/>
      <c r="H474" s="91" t="n"/>
      <c r="I474" s="61" t="n"/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/>
      <c r="C475" s="91" t="n"/>
      <c r="D475" s="95" t="n"/>
      <c r="E475" s="95" t="n"/>
      <c r="F475" s="93" t="n"/>
      <c r="G475" s="91" t="n"/>
      <c r="H475" s="91" t="n"/>
      <c r="I475" s="61" t="n"/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/>
      <c r="C476" s="91" t="n"/>
      <c r="D476" s="95" t="n"/>
      <c r="E476" s="95" t="n"/>
      <c r="F476" s="93" t="n"/>
      <c r="G476" s="91" t="n"/>
      <c r="H476" s="91" t="n"/>
      <c r="I476" s="61" t="n"/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n"/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/>
      <c r="C478" s="91" t="n"/>
      <c r="D478" s="95" t="n"/>
      <c r="E478" s="95" t="n"/>
      <c r="F478" s="93" t="n"/>
      <c r="G478" s="91" t="n"/>
      <c r="H478" s="91" t="n"/>
      <c r="I478" s="44" t="n"/>
      <c r="J478" s="44" t="n"/>
      <c r="K478" s="44" t="n"/>
      <c r="L478" s="44" t="n"/>
      <c r="M478" s="62" t="n"/>
      <c r="N478" s="62" t="n"/>
      <c r="O478" s="44" t="n"/>
      <c r="P478" s="44" t="n"/>
      <c r="Q478" s="44" t="n"/>
    </row>
    <row r="479" hidden="1" ht="15.5" customHeight="1">
      <c r="B479" s="67" t="n"/>
      <c r="C479" s="117" t="n"/>
      <c r="D479" s="97" t="n"/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/>
      <c r="C480" s="91" t="n"/>
      <c r="D480" s="95" t="n"/>
      <c r="E480" s="95" t="n"/>
      <c r="F480" s="99" t="n"/>
      <c r="G480" s="91" t="n"/>
      <c r="H480" s="91" t="n"/>
      <c r="I480" s="62" t="n"/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n"/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/>
      <c r="C482" s="91" t="n"/>
      <c r="D482" s="95" t="n"/>
      <c r="E482" s="95" t="n"/>
      <c r="F482" s="93" t="n"/>
      <c r="G482" s="91" t="n"/>
      <c r="H482" s="91" t="n"/>
      <c r="I482" s="62" t="n"/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n"/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/>
      <c r="C484" s="91" t="n"/>
      <c r="D484" s="95" t="n"/>
      <c r="E484" s="95" t="n"/>
      <c r="F484" s="93" t="n"/>
      <c r="G484" s="91" t="n"/>
      <c r="H484" s="100" t="n"/>
      <c r="I484" s="62" t="n"/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n"/>
      <c r="C485" s="85" t="n"/>
      <c r="D485" s="86" t="n"/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n"/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/>
      <c r="C487" s="15" t="n"/>
      <c r="D487" s="63" t="n"/>
      <c r="E487" s="63" t="n"/>
      <c r="F487" s="21" t="n"/>
      <c r="G487" s="15" t="n"/>
      <c r="H487" s="15" t="n"/>
      <c r="I487" s="62" t="n"/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/>
      <c r="C488" s="15" t="n"/>
      <c r="D488" s="63" t="n"/>
      <c r="E488" s="63" t="n"/>
      <c r="F488" s="21" t="n"/>
      <c r="G488" s="15" t="n"/>
      <c r="H488" s="15" t="n"/>
      <c r="I488" s="62" t="n"/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n"/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/>
      <c r="C490" s="15" t="n"/>
      <c r="D490" s="63" t="n"/>
      <c r="E490" s="63" t="n"/>
      <c r="F490" s="21" t="n"/>
      <c r="G490" s="15" t="n"/>
      <c r="H490" s="15" t="n"/>
      <c r="I490" s="62" t="n"/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n"/>
      <c r="C491" s="85" t="n"/>
      <c r="D491" s="86" t="n"/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n"/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/>
      <c r="C493" s="91" t="n"/>
      <c r="D493" s="95" t="n"/>
      <c r="E493" s="95" t="n"/>
      <c r="F493" s="93" t="n"/>
      <c r="G493" s="91" t="n"/>
      <c r="H493" s="91" t="n"/>
      <c r="I493" s="241" t="n"/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/>
      <c r="C494" s="91" t="n"/>
      <c r="D494" s="95" t="n"/>
      <c r="E494" s="95" t="n"/>
      <c r="F494" s="93" t="n"/>
      <c r="G494" s="91" t="n"/>
      <c r="H494" s="91" t="n"/>
      <c r="I494" s="62" t="n"/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n"/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/>
      <c r="C496" s="91" t="n"/>
      <c r="D496" s="95" t="n"/>
      <c r="E496" s="95" t="n"/>
      <c r="F496" s="93" t="n"/>
      <c r="G496" s="91" t="n"/>
      <c r="H496" s="91" t="n"/>
      <c r="I496" s="61" t="n"/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/>
      <c r="C497" s="91" t="n"/>
      <c r="D497" s="95" t="n"/>
      <c r="E497" s="95" t="n"/>
      <c r="F497" s="93" t="n"/>
      <c r="G497" s="91" t="n"/>
      <c r="H497" s="91" t="n"/>
      <c r="I497" s="61" t="n"/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/>
      <c r="C498" s="91" t="n"/>
      <c r="D498" s="95" t="n"/>
      <c r="E498" s="95" t="n"/>
      <c r="F498" s="93" t="n"/>
      <c r="G498" s="91" t="n"/>
      <c r="H498" s="91" t="n"/>
      <c r="I498" s="61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/>
      <c r="C499" s="91" t="n"/>
      <c r="D499" s="95" t="n"/>
      <c r="E499" s="95" t="n"/>
      <c r="F499" s="93" t="n"/>
      <c r="G499" s="91" t="n"/>
      <c r="H499" s="91" t="n"/>
      <c r="I499" s="61" t="n"/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/>
      <c r="C500" s="91" t="n"/>
      <c r="D500" s="98" t="n"/>
      <c r="E500" s="98" t="n"/>
      <c r="F500" s="93" t="n"/>
      <c r="G500" s="91" t="n"/>
      <c r="H500" s="91" t="n"/>
      <c r="I500" s="61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/>
      <c r="C501" s="91" t="n"/>
      <c r="D501" s="98" t="n"/>
      <c r="E501" s="98" t="n"/>
      <c r="F501" s="93" t="n"/>
      <c r="G501" s="91" t="n"/>
      <c r="H501" s="91" t="n"/>
      <c r="I501" s="61" t="n"/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/>
      <c r="C502" s="91" t="n"/>
      <c r="D502" s="95" t="n"/>
      <c r="E502" s="95" t="n"/>
      <c r="F502" s="93" t="n"/>
      <c r="G502" s="91" t="n"/>
      <c r="H502" s="91" t="n"/>
      <c r="I502" s="61" t="n"/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n"/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/>
      <c r="C504" s="91" t="n"/>
      <c r="D504" s="95" t="n"/>
      <c r="E504" s="95" t="n"/>
      <c r="F504" s="93" t="n"/>
      <c r="G504" s="91" t="n"/>
      <c r="H504" s="100" t="n"/>
      <c r="I504" s="62" t="n"/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/>
      <c r="C505" s="91" t="n"/>
      <c r="D505" s="95" t="n"/>
      <c r="E505" s="95" t="n"/>
      <c r="F505" s="93" t="n"/>
      <c r="G505" s="91" t="n"/>
      <c r="H505" s="91" t="n"/>
      <c r="I505" s="62" t="n"/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n"/>
      <c r="C506" s="85" t="n"/>
      <c r="D506" s="86" t="n"/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n"/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/>
      <c r="C508" s="15" t="n"/>
      <c r="D508" s="63" t="n"/>
      <c r="E508" s="63" t="n"/>
      <c r="F508" s="21" t="n"/>
      <c r="G508" s="18" t="n"/>
      <c r="H508" s="133" t="n"/>
      <c r="I508" s="61" t="n"/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/>
      <c r="C509" s="15" t="n"/>
      <c r="D509" s="63" t="n"/>
      <c r="E509" s="63" t="n"/>
      <c r="F509" s="21" t="n"/>
      <c r="G509" s="18" t="n"/>
      <c r="H509" s="133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/>
      <c r="C510" s="15" t="n"/>
      <c r="D510" s="63" t="n"/>
      <c r="E510" s="63" t="n"/>
      <c r="F510" s="21" t="n"/>
      <c r="G510" s="18" t="n"/>
      <c r="H510" s="133" t="n"/>
      <c r="I510" s="61" t="n"/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n"/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/>
      <c r="C512" s="15" t="n"/>
      <c r="D512" s="63" t="n"/>
      <c r="E512" s="63" t="n"/>
      <c r="F512" s="21" t="n"/>
      <c r="G512" s="18" t="n"/>
      <c r="H512" s="133" t="n"/>
      <c r="I512" s="241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n"/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/>
      <c r="C514" s="15" t="n"/>
      <c r="D514" s="63" t="n"/>
      <c r="E514" s="63" t="n"/>
      <c r="F514" s="21" t="n"/>
      <c r="G514" s="18" t="n"/>
      <c r="H514" s="133" t="n"/>
      <c r="I514" s="241" t="n"/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n"/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/>
      <c r="C516" s="15" t="n"/>
      <c r="D516" s="113" t="n"/>
      <c r="E516" s="113" t="n"/>
      <c r="F516" s="21" t="n"/>
      <c r="G516" s="18" t="n"/>
      <c r="H516" s="133" t="n"/>
      <c r="I516" s="241" t="n"/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n"/>
      <c r="C517" s="85" t="n"/>
      <c r="D517" s="86" t="n"/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n"/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/>
      <c r="C519" s="91" t="n"/>
      <c r="D519" s="95" t="n"/>
      <c r="E519" s="95" t="n"/>
      <c r="F519" s="93" t="n"/>
      <c r="G519" s="91" t="n"/>
      <c r="H519" s="91" t="n"/>
      <c r="I519" s="61" t="n"/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/>
      <c r="C520" s="91" t="n"/>
      <c r="D520" s="95" t="n"/>
      <c r="E520" s="95" t="n"/>
      <c r="F520" s="93" t="n"/>
      <c r="G520" s="91" t="n"/>
      <c r="H520" s="91" t="n"/>
      <c r="I520" s="62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n"/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/>
      <c r="C522" s="91" t="n"/>
      <c r="D522" s="95" t="n"/>
      <c r="E522" s="95" t="n"/>
      <c r="F522" s="93" t="n"/>
      <c r="G522" s="91" t="n"/>
      <c r="H522" s="91" t="n"/>
      <c r="I522" s="61" t="n"/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/>
      <c r="C523" s="91" t="n"/>
      <c r="D523" s="95" t="n"/>
      <c r="E523" s="95" t="n"/>
      <c r="F523" s="93" t="n"/>
      <c r="G523" s="91" t="n"/>
      <c r="H523" s="91" t="n"/>
      <c r="I523" s="61" t="n"/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/>
      <c r="C524" s="91" t="n"/>
      <c r="D524" s="95" t="n"/>
      <c r="E524" s="95" t="n"/>
      <c r="F524" s="93" t="n"/>
      <c r="G524" s="91" t="n"/>
      <c r="H524" s="91" t="n"/>
      <c r="I524" s="61" t="n"/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/>
      <c r="C525" s="91" t="n"/>
      <c r="D525" s="95" t="n"/>
      <c r="E525" s="95" t="n"/>
      <c r="F525" s="93" t="n"/>
      <c r="G525" s="91" t="n"/>
      <c r="H525" s="91" t="n"/>
      <c r="I525" s="61" t="n"/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/>
      <c r="C526" s="91" t="n"/>
      <c r="D526" s="95" t="n"/>
      <c r="E526" s="95" t="n"/>
      <c r="F526" s="93" t="n"/>
      <c r="G526" s="91" t="n"/>
      <c r="H526" s="91" t="n"/>
      <c r="I526" s="61" t="n"/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/>
      <c r="C527" s="91" t="n"/>
      <c r="D527" s="95" t="n"/>
      <c r="E527" s="95" t="n"/>
      <c r="F527" s="93" t="n"/>
      <c r="G527" s="91" t="n"/>
      <c r="H527" s="91" t="n"/>
      <c r="I527" s="61" t="n"/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/>
      <c r="C528" s="91" t="n"/>
      <c r="D528" s="95" t="n"/>
      <c r="E528" s="95" t="n"/>
      <c r="F528" s="93" t="n"/>
      <c r="G528" s="91" t="n"/>
      <c r="H528" s="91" t="n"/>
      <c r="I528" s="61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/>
      <c r="C529" s="91" t="n"/>
      <c r="D529" s="95" t="n"/>
      <c r="E529" s="95" t="n"/>
      <c r="F529" s="93" t="n"/>
      <c r="G529" s="91" t="n"/>
      <c r="H529" s="91" t="n"/>
      <c r="I529" s="61" t="n"/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n"/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/>
      <c r="C531" s="91" t="n"/>
      <c r="D531" s="98" t="n"/>
      <c r="E531" s="98" t="n"/>
      <c r="F531" s="93" t="n"/>
      <c r="G531" s="91" t="n"/>
      <c r="H531" s="91" t="n"/>
      <c r="I531" s="62" t="n"/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/>
      <c r="C532" s="91" t="n"/>
      <c r="D532" s="98" t="n"/>
      <c r="E532" s="98" t="n"/>
      <c r="F532" s="93" t="n"/>
      <c r="G532" s="91" t="n"/>
      <c r="H532" s="91" t="n"/>
      <c r="I532" s="62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/>
      <c r="C533" s="91" t="n"/>
      <c r="D533" s="98" t="n"/>
      <c r="E533" s="98" t="n"/>
      <c r="F533" s="93" t="n"/>
      <c r="G533" s="91" t="n"/>
      <c r="H533" s="91" t="n"/>
      <c r="I533" s="62" t="n"/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/>
      <c r="C534" s="91" t="n"/>
      <c r="D534" s="98" t="n"/>
      <c r="E534" s="98" t="n"/>
      <c r="F534" s="93" t="n"/>
      <c r="G534" s="91" t="n"/>
      <c r="H534" s="91" t="n"/>
      <c r="I534" s="62" t="n"/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/>
      <c r="C535" s="91" t="n"/>
      <c r="D535" s="98" t="n"/>
      <c r="E535" s="98" t="n"/>
      <c r="F535" s="93" t="n"/>
      <c r="G535" s="91" t="n"/>
      <c r="H535" s="91" t="n"/>
      <c r="I535" s="62" t="n"/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/>
      <c r="C536" s="91" t="n"/>
      <c r="D536" s="98" t="n"/>
      <c r="E536" s="98" t="n"/>
      <c r="F536" s="93" t="n"/>
      <c r="G536" s="91" t="n"/>
      <c r="H536" s="91" t="n"/>
      <c r="I536" s="62" t="n"/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/>
      <c r="C537" s="91" t="n"/>
      <c r="D537" s="98" t="n"/>
      <c r="E537" s="98" t="n"/>
      <c r="F537" s="93" t="n"/>
      <c r="G537" s="91" t="n"/>
      <c r="H537" s="91" t="n"/>
      <c r="I537" s="62" t="n"/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/>
      <c r="C538" s="91" t="n"/>
      <c r="D538" s="98" t="n"/>
      <c r="E538" s="98" t="n"/>
      <c r="F538" s="93" t="n"/>
      <c r="G538" s="91" t="n"/>
      <c r="H538" s="91" t="n"/>
      <c r="I538" s="62" t="n"/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/>
      <c r="C539" s="91" t="n"/>
      <c r="D539" s="98" t="n"/>
      <c r="E539" s="98" t="n"/>
      <c r="F539" s="93" t="n"/>
      <c r="G539" s="91" t="n"/>
      <c r="H539" s="91" t="n"/>
      <c r="I539" s="62" t="n"/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/>
      <c r="C540" s="91" t="n"/>
      <c r="D540" s="98" t="n"/>
      <c r="E540" s="98" t="n"/>
      <c r="F540" s="93" t="n"/>
      <c r="G540" s="91" t="n"/>
      <c r="H540" s="91" t="n"/>
      <c r="I540" s="62" t="n"/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/>
      <c r="C541" s="91" t="n"/>
      <c r="D541" s="98" t="n"/>
      <c r="E541" s="98" t="n"/>
      <c r="F541" s="93" t="n"/>
      <c r="G541" s="91" t="n"/>
      <c r="H541" s="91" t="n"/>
      <c r="I541" s="62" t="n"/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n"/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/>
      <c r="C543" s="117" t="n"/>
      <c r="D543" s="95" t="n"/>
      <c r="E543" s="95" t="n"/>
      <c r="F543" s="93" t="n"/>
      <c r="G543" s="91" t="n"/>
      <c r="H543" s="100" t="n"/>
      <c r="I543" s="62" t="n"/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/>
      <c r="C544" s="91" t="n"/>
      <c r="D544" s="95" t="n"/>
      <c r="E544" s="95" t="n"/>
      <c r="F544" s="93" t="n"/>
      <c r="G544" s="91" t="n"/>
      <c r="H544" s="91" t="n"/>
      <c r="I544" s="62" t="n"/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n"/>
      <c r="C545" s="85" t="n"/>
      <c r="D545" s="86" t="n"/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n"/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/>
      <c r="C547" s="15" t="n"/>
      <c r="D547" s="18" t="n"/>
      <c r="E547" s="18" t="n"/>
      <c r="F547" s="21" t="n"/>
      <c r="G547" s="15" t="n"/>
      <c r="H547" s="15" t="n"/>
      <c r="I547" s="61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/>
      <c r="C548" s="15" t="n"/>
      <c r="D548" s="18" t="n"/>
      <c r="E548" s="18" t="n"/>
      <c r="F548" s="21" t="n"/>
      <c r="G548" s="15" t="n"/>
      <c r="H548" s="15" t="n"/>
      <c r="I548" s="61" t="n"/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n"/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/>
      <c r="C550" s="15" t="n"/>
      <c r="D550" s="63" t="n"/>
      <c r="E550" s="63" t="n"/>
      <c r="F550" s="21" t="n"/>
      <c r="G550" s="15" t="n"/>
      <c r="H550" s="15" t="n"/>
      <c r="I550" s="61" t="n"/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/>
      <c r="C551" s="15" t="n"/>
      <c r="D551" s="63" t="n"/>
      <c r="E551" s="63" t="n"/>
      <c r="F551" s="21" t="n"/>
      <c r="G551" s="15" t="n"/>
      <c r="H551" s="15" t="n"/>
      <c r="I551" s="61" t="n"/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/>
      <c r="C552" s="15" t="n"/>
      <c r="D552" s="63" t="n"/>
      <c r="E552" s="63" t="n"/>
      <c r="F552" s="21" t="n"/>
      <c r="G552" s="15" t="n"/>
      <c r="H552" s="15" t="n"/>
      <c r="I552" s="61" t="n"/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n"/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n"/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/>
      <c r="C555" s="15" t="n"/>
      <c r="D555" s="63" t="n"/>
      <c r="E555" s="63" t="n"/>
      <c r="F555" s="21" t="n"/>
      <c r="G555" s="15" t="n"/>
      <c r="H555" s="15" t="n"/>
      <c r="I555" s="61" t="n"/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n"/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/>
      <c r="C557" s="15" t="n"/>
      <c r="D557" s="63" t="n"/>
      <c r="E557" s="63" t="n"/>
      <c r="F557" s="21" t="n"/>
      <c r="G557" s="15" t="n"/>
      <c r="H557" s="15" t="n"/>
      <c r="I557" s="62" t="n"/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n"/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/>
      <c r="C559" s="15" t="n"/>
      <c r="D559" s="63" t="n"/>
      <c r="E559" s="63" t="n"/>
      <c r="F559" s="21" t="n"/>
      <c r="G559" s="15" t="n"/>
      <c r="H559" s="15" t="n"/>
      <c r="I559" s="241" t="n"/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n"/>
      <c r="C560" s="85" t="n"/>
      <c r="D560" s="86" t="n"/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n"/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/>
      <c r="C562" s="15" t="n"/>
      <c r="D562" s="63" t="n"/>
      <c r="E562" s="63" t="n"/>
      <c r="F562" s="21" t="n"/>
      <c r="G562" s="18" t="n"/>
      <c r="H562" s="18" t="n"/>
      <c r="I562" s="61" t="n"/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/>
      <c r="C563" s="15" t="n"/>
      <c r="D563" s="63" t="n"/>
      <c r="E563" s="63" t="n"/>
      <c r="F563" s="21" t="n"/>
      <c r="G563" s="18" t="n"/>
      <c r="H563" s="18" t="n"/>
      <c r="I563" s="61" t="n"/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/>
      <c r="C564" s="15" t="n"/>
      <c r="D564" s="63" t="n"/>
      <c r="E564" s="63" t="n"/>
      <c r="F564" s="21" t="n"/>
      <c r="G564" s="18" t="n"/>
      <c r="H564" s="18" t="n"/>
      <c r="I564" s="61" t="n"/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/>
      <c r="C565" s="15" t="n"/>
      <c r="D565" s="63" t="n"/>
      <c r="E565" s="63" t="n"/>
      <c r="F565" s="21" t="n"/>
      <c r="G565" s="18" t="n"/>
      <c r="H565" s="18" t="n"/>
      <c r="I565" s="61" t="n"/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/>
      <c r="C566" s="15" t="n"/>
      <c r="D566" s="63" t="n"/>
      <c r="E566" s="63" t="n"/>
      <c r="F566" s="21" t="n"/>
      <c r="G566" s="18" t="n"/>
      <c r="H566" s="18" t="n"/>
      <c r="I566" s="61" t="n"/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/>
      <c r="C567" s="15" t="n"/>
      <c r="D567" s="63" t="n"/>
      <c r="E567" s="63" t="n"/>
      <c r="F567" s="21" t="n"/>
      <c r="G567" s="18" t="n"/>
      <c r="H567" s="18" t="n"/>
      <c r="I567" s="61" t="n"/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/>
      <c r="C568" s="15" t="n"/>
      <c r="D568" s="63" t="n"/>
      <c r="E568" s="63" t="n"/>
      <c r="F568" s="21" t="n"/>
      <c r="G568" s="18" t="n"/>
      <c r="H568" s="18" t="n"/>
      <c r="I568" s="61" t="n"/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/>
      <c r="C569" s="15" t="n"/>
      <c r="D569" s="63" t="n"/>
      <c r="E569" s="63" t="n"/>
      <c r="F569" s="21" t="n"/>
      <c r="G569" s="18" t="n"/>
      <c r="H569" s="18" t="n"/>
      <c r="I569" s="61" t="n"/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/>
      <c r="C570" s="15" t="n"/>
      <c r="D570" s="63" t="n"/>
      <c r="E570" s="63" t="n"/>
      <c r="F570" s="21" t="n"/>
      <c r="G570" s="18" t="n"/>
      <c r="H570" s="18" t="n"/>
      <c r="I570" s="61" t="n"/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/>
      <c r="C571" s="15" t="n"/>
      <c r="D571" s="63" t="n"/>
      <c r="E571" s="63" t="n"/>
      <c r="F571" s="21" t="n"/>
      <c r="G571" s="18" t="n"/>
      <c r="H571" s="18" t="n"/>
      <c r="I571" s="61" t="n"/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n"/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/>
      <c r="C573" s="15" t="n"/>
      <c r="D573" s="63" t="n"/>
      <c r="E573" s="63" t="n"/>
      <c r="F573" s="21" t="n"/>
      <c r="G573" s="18" t="n"/>
      <c r="H573" s="18" t="n"/>
      <c r="I573" s="61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/>
      <c r="C574" s="129" t="n"/>
      <c r="D574" s="63" t="n"/>
      <c r="E574" s="139" t="n"/>
      <c r="F574" s="25" t="n"/>
      <c r="G574" s="18" t="n"/>
      <c r="H574" s="18" t="n"/>
      <c r="I574" s="61" t="n"/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/>
      <c r="C575" s="129" t="n"/>
      <c r="D575" s="63" t="n"/>
      <c r="E575" s="139" t="n"/>
      <c r="F575" s="25" t="n"/>
      <c r="G575" s="18" t="n"/>
      <c r="H575" s="18" t="n"/>
      <c r="I575" s="61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/>
      <c r="C576" s="129" t="n"/>
      <c r="D576" s="63" t="n"/>
      <c r="E576" s="139" t="n"/>
      <c r="F576" s="25" t="n"/>
      <c r="G576" s="18" t="n"/>
      <c r="H576" s="18" t="n"/>
      <c r="I576" s="61" t="n"/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n"/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/>
      <c r="C578" s="15" t="n"/>
      <c r="D578" s="63" t="n"/>
      <c r="E578" s="63" t="n"/>
      <c r="F578" s="21" t="n"/>
      <c r="G578" s="18" t="n"/>
      <c r="H578" s="18" t="n"/>
      <c r="I578" s="62" t="n"/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/>
      <c r="C579" s="129" t="n"/>
      <c r="D579" s="63" t="n"/>
      <c r="E579" s="139" t="n"/>
      <c r="F579" s="25" t="n"/>
      <c r="G579" s="18" t="n"/>
      <c r="H579" s="18" t="n"/>
      <c r="I579" s="62" t="n"/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n"/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/>
      <c r="C581" s="15" t="n"/>
      <c r="D581" s="63" t="n"/>
      <c r="E581" s="63" t="n"/>
      <c r="F581" s="21" t="n"/>
      <c r="G581" s="18" t="n"/>
      <c r="H581" s="18" t="n"/>
      <c r="I581" s="62" t="n"/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/>
      <c r="C582" s="15" t="n"/>
      <c r="D582" s="63" t="n"/>
      <c r="E582" s="63" t="n"/>
      <c r="F582" s="21" t="n"/>
      <c r="G582" s="18" t="n"/>
      <c r="H582" s="18" t="n"/>
      <c r="I582" s="62" t="n"/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n"/>
      <c r="C583" s="85" t="n"/>
      <c r="D583" s="86" t="n"/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n"/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/>
      <c r="C585" s="15" t="n"/>
      <c r="D585" s="18" t="n"/>
      <c r="E585" s="18" t="n"/>
      <c r="F585" s="21" t="n"/>
      <c r="G585" s="15" t="n"/>
      <c r="H585" s="15" t="n"/>
      <c r="I585" s="44" t="n"/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idden="1" ht="15.5" customHeight="1">
      <c r="B586" s="14" t="n"/>
      <c r="C586" s="15" t="n"/>
      <c r="D586" s="18" t="n"/>
      <c r="E586" s="18" t="n"/>
      <c r="F586" s="21" t="n"/>
      <c r="G586" s="15" t="n"/>
      <c r="H586" s="15" t="n"/>
      <c r="I586" s="44" t="n"/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idden="1" ht="15.5" customHeight="1">
      <c r="B587" s="14" t="n"/>
      <c r="C587" s="15" t="n"/>
      <c r="D587" s="18" t="n"/>
      <c r="E587" s="18" t="n"/>
      <c r="F587" s="21" t="n"/>
      <c r="G587" s="15" t="n"/>
      <c r="H587" s="15" t="n"/>
      <c r="I587" s="44" t="n"/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idden="1" ht="15.5" customHeight="1">
      <c r="B588" s="14" t="n"/>
      <c r="C588" s="15" t="n"/>
      <c r="D588" s="18" t="n"/>
      <c r="E588" s="18" t="n"/>
      <c r="F588" s="21" t="n"/>
      <c r="G588" s="15" t="n"/>
      <c r="H588" s="15" t="n"/>
      <c r="I588" s="44" t="n"/>
      <c r="J588" s="44" t="n"/>
      <c r="K588" s="44" t="n"/>
      <c r="L588" s="44" t="n"/>
      <c r="M588" s="44" t="n"/>
      <c r="N588" s="44" t="n"/>
      <c r="O588" s="44" t="n"/>
      <c r="P588" s="62" t="n"/>
      <c r="Q588" s="44" t="n"/>
    </row>
    <row r="589" hidden="1" ht="15.5" customHeight="1">
      <c r="B589" s="14" t="n"/>
      <c r="C589" s="15" t="n"/>
      <c r="D589" s="18" t="n"/>
      <c r="E589" s="18" t="n"/>
      <c r="F589" s="21" t="n"/>
      <c r="G589" s="15" t="n"/>
      <c r="H589" s="15" t="n"/>
      <c r="I589" s="44" t="n"/>
      <c r="J589" s="44" t="n"/>
      <c r="K589" s="44" t="n"/>
      <c r="L589" s="44" t="n"/>
      <c r="M589" s="44" t="n"/>
      <c r="N589" s="44" t="n"/>
      <c r="O589" s="44" t="n"/>
      <c r="P589" s="62" t="n"/>
      <c r="Q589" s="44" t="n"/>
    </row>
    <row r="590" hidden="1" ht="15.5" customHeight="1">
      <c r="B590" s="14" t="n"/>
      <c r="C590" s="15" t="n"/>
      <c r="D590" s="18" t="n"/>
      <c r="E590" s="18" t="n"/>
      <c r="F590" s="21" t="n"/>
      <c r="G590" s="15" t="n"/>
      <c r="H590" s="15" t="n"/>
      <c r="I590" s="44" t="n"/>
      <c r="J590" s="44" t="n"/>
      <c r="K590" s="44" t="n"/>
      <c r="L590" s="44" t="n"/>
      <c r="M590" s="44" t="n"/>
      <c r="N590" s="44" t="n"/>
      <c r="O590" s="44" t="n"/>
      <c r="P590" s="62" t="n"/>
      <c r="Q590" s="44" t="n"/>
    </row>
    <row r="591" hidden="1" ht="15.5" customHeight="1">
      <c r="B591" s="14" t="n"/>
      <c r="C591" s="15" t="n"/>
      <c r="D591" s="18" t="n"/>
      <c r="E591" s="18" t="n"/>
      <c r="F591" s="21" t="n"/>
      <c r="G591" s="15" t="n"/>
      <c r="H591" s="15" t="n"/>
      <c r="I591" s="44" t="n"/>
      <c r="J591" s="44" t="n"/>
      <c r="K591" s="44" t="n"/>
      <c r="L591" s="44" t="n"/>
      <c r="M591" s="44" t="n"/>
      <c r="N591" s="44" t="n"/>
      <c r="O591" s="44" t="n"/>
      <c r="P591" s="62" t="n"/>
      <c r="Q591" s="44" t="n"/>
    </row>
    <row r="592" hidden="1" ht="15.5" customHeight="1">
      <c r="B592" s="14" t="n"/>
      <c r="C592" s="15" t="n"/>
      <c r="D592" s="18" t="n"/>
      <c r="E592" s="18" t="n"/>
      <c r="F592" s="21" t="n"/>
      <c r="G592" s="15" t="n"/>
      <c r="H592" s="15" t="n"/>
      <c r="I592" s="44" t="n"/>
      <c r="J592" s="44" t="n"/>
      <c r="K592" s="44" t="n"/>
      <c r="L592" s="44" t="n"/>
      <c r="M592" s="44" t="n"/>
      <c r="N592" s="44" t="n"/>
      <c r="O592" s="44" t="n"/>
      <c r="P592" s="62" t="n"/>
      <c r="Q592" s="44" t="n"/>
    </row>
    <row r="593" hidden="1" ht="15.5" customHeight="1">
      <c r="B593" s="14" t="n"/>
      <c r="C593" s="15" t="n"/>
      <c r="D593" s="18" t="n"/>
      <c r="E593" s="18" t="n"/>
      <c r="F593" s="21" t="n"/>
      <c r="G593" s="15" t="n"/>
      <c r="H593" s="15" t="n"/>
      <c r="I593" s="44" t="n"/>
      <c r="J593" s="44" t="n"/>
      <c r="K593" s="44" t="n"/>
      <c r="L593" s="44" t="n"/>
      <c r="M593" s="44" t="n"/>
      <c r="N593" s="44" t="n"/>
      <c r="O593" s="44" t="n"/>
      <c r="P593" s="62" t="n"/>
      <c r="Q593" s="44" t="n"/>
    </row>
    <row r="594" hidden="1" ht="15.5" customHeight="1">
      <c r="B594" s="102" t="n"/>
      <c r="C594" s="15" t="n"/>
      <c r="D594" s="106" t="n"/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/>
      <c r="C595" s="15" t="n"/>
      <c r="D595" s="63" t="n"/>
      <c r="E595" s="63" t="n"/>
      <c r="F595" s="21" t="n"/>
      <c r="G595" s="15" t="n"/>
      <c r="H595" s="15" t="n"/>
      <c r="I595" s="61" t="n"/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/>
      <c r="C596" s="15" t="n"/>
      <c r="D596" s="63" t="n"/>
      <c r="E596" s="63" t="n"/>
      <c r="F596" s="21" t="n"/>
      <c r="G596" s="15" t="n"/>
      <c r="H596" s="15" t="n"/>
      <c r="I596" s="61" t="n"/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/>
      <c r="C597" s="15" t="n"/>
      <c r="D597" s="63" t="n"/>
      <c r="E597" s="63" t="n"/>
      <c r="F597" s="21" t="n"/>
      <c r="G597" s="15" t="n"/>
      <c r="H597" s="15" t="n"/>
      <c r="I597" s="61" t="n"/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/>
      <c r="C598" s="15" t="n"/>
      <c r="D598" s="63" t="n"/>
      <c r="E598" s="63" t="n"/>
      <c r="F598" s="21" t="n"/>
      <c r="G598" s="15" t="n"/>
      <c r="H598" s="15" t="n"/>
      <c r="I598" s="61" t="n"/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/>
      <c r="C599" s="15" t="n"/>
      <c r="D599" s="63" t="n"/>
      <c r="E599" s="63" t="n"/>
      <c r="F599" s="21" t="n"/>
      <c r="G599" s="15" t="n"/>
      <c r="H599" s="15" t="n"/>
      <c r="I599" s="61" t="n"/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n"/>
      <c r="C600" s="85" t="n"/>
      <c r="D600" s="86" t="n"/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n"/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/>
      <c r="C602" s="91" t="n"/>
      <c r="D602" s="95" t="n"/>
      <c r="E602" s="95" t="n"/>
      <c r="F602" s="103" t="n"/>
      <c r="G602" s="91" t="n"/>
      <c r="H602" s="91" t="n"/>
      <c r="I602" s="62" t="n"/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/>
      <c r="C603" s="91" t="n"/>
      <c r="D603" s="95" t="n"/>
      <c r="E603" s="95" t="n"/>
      <c r="F603" s="103" t="n"/>
      <c r="G603" s="91" t="n"/>
      <c r="H603" s="91" t="n"/>
      <c r="I603" s="62" t="n"/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n"/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/>
      <c r="C605" s="91" t="n"/>
      <c r="D605" s="95" t="n"/>
      <c r="E605" s="95" t="n"/>
      <c r="F605" s="103" t="n"/>
      <c r="G605" s="91" t="n"/>
      <c r="H605" s="91" t="n"/>
      <c r="I605" s="61" t="n"/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/>
      <c r="C606" s="91" t="n"/>
      <c r="D606" s="95" t="n"/>
      <c r="E606" s="95" t="n"/>
      <c r="F606" s="103" t="n"/>
      <c r="G606" s="91" t="n"/>
      <c r="H606" s="91" t="n"/>
      <c r="I606" s="61" t="n"/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/>
      <c r="C607" s="91" t="n"/>
      <c r="D607" s="95" t="n"/>
      <c r="E607" s="95" t="n"/>
      <c r="F607" s="103" t="n"/>
      <c r="G607" s="91" t="n"/>
      <c r="H607" s="91" t="n"/>
      <c r="I607" s="61" t="n"/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/>
      <c r="C608" s="91" t="n"/>
      <c r="D608" s="98" t="n"/>
      <c r="E608" s="98" t="n"/>
      <c r="F608" s="103" t="n"/>
      <c r="G608" s="91" t="n"/>
      <c r="H608" s="91" t="n"/>
      <c r="I608" s="61" t="n"/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/>
      <c r="C609" s="91" t="n"/>
      <c r="D609" s="95" t="n"/>
      <c r="E609" s="95" t="n"/>
      <c r="F609" s="103" t="n"/>
      <c r="G609" s="91" t="n"/>
      <c r="H609" s="91" t="n"/>
      <c r="I609" s="61" t="n"/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/>
      <c r="C610" s="91" t="n"/>
      <c r="D610" s="95" t="n"/>
      <c r="E610" s="95" t="n"/>
      <c r="F610" s="103" t="n"/>
      <c r="G610" s="91" t="n"/>
      <c r="H610" s="91" t="n"/>
      <c r="I610" s="61" t="n"/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n"/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/>
      <c r="C612" s="91" t="n"/>
      <c r="D612" s="95" t="n"/>
      <c r="E612" s="95" t="n"/>
      <c r="F612" s="103" t="n"/>
      <c r="G612" s="91" t="n"/>
      <c r="H612" s="100" t="n"/>
      <c r="I612" s="62" t="n"/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/>
      <c r="C613" s="91" t="n"/>
      <c r="D613" s="95" t="n"/>
      <c r="E613" s="95" t="n"/>
      <c r="F613" s="103" t="n"/>
      <c r="G613" s="91" t="n"/>
      <c r="H613" s="91" t="n"/>
      <c r="I613" s="62" t="n"/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n"/>
      <c r="C614" s="85" t="n"/>
      <c r="D614" s="86" t="n"/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n"/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/>
      <c r="C616" s="15" t="n"/>
      <c r="D616" s="63" t="n"/>
      <c r="E616" s="63" t="n"/>
      <c r="F616" s="21" t="n"/>
      <c r="G616" s="15" t="n"/>
      <c r="H616" s="15" t="n"/>
      <c r="I616" s="61" t="n"/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/>
      <c r="C617" s="15" t="n"/>
      <c r="D617" s="63" t="n"/>
      <c r="E617" s="63" t="n"/>
      <c r="F617" s="21" t="n"/>
      <c r="G617" s="15" t="n"/>
      <c r="H617" s="15" t="n"/>
      <c r="I617" s="61" t="n"/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n"/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/>
      <c r="C619" s="15" t="n"/>
      <c r="D619" s="63" t="n"/>
      <c r="E619" s="63" t="n"/>
      <c r="F619" s="21" t="n"/>
      <c r="G619" s="15" t="n"/>
      <c r="H619" s="15" t="n"/>
      <c r="I619" s="62" t="n"/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n"/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n"/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/>
      <c r="C622" s="15" t="n"/>
      <c r="D622" s="63" t="n"/>
      <c r="E622" s="63" t="n"/>
      <c r="F622" s="21" t="n"/>
      <c r="G622" s="15" t="n"/>
      <c r="H622" s="15" t="n"/>
      <c r="I622" s="62" t="n"/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n"/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/>
      <c r="C624" s="15" t="n"/>
      <c r="D624" s="63" t="n"/>
      <c r="E624" s="63" t="n"/>
      <c r="F624" s="21" t="n"/>
      <c r="G624" s="15" t="n"/>
      <c r="H624" s="15" t="n"/>
      <c r="I624" s="62" t="n"/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n"/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/>
      <c r="C626" s="15" t="n"/>
      <c r="D626" s="63" t="n"/>
      <c r="E626" s="63" t="n"/>
      <c r="F626" s="21" t="n"/>
      <c r="G626" s="15" t="n"/>
      <c r="H626" s="15" t="n"/>
      <c r="I626" s="241" t="n"/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n"/>
      <c r="C627" s="85" t="n"/>
      <c r="D627" s="86" t="n"/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n"/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/>
      <c r="C629" s="91" t="n"/>
      <c r="D629" s="95" t="n"/>
      <c r="E629" s="95" t="n"/>
      <c r="F629" s="103" t="n"/>
      <c r="G629" s="91" t="n"/>
      <c r="H629" s="91" t="n"/>
      <c r="I629" s="61" t="n"/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n"/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/>
      <c r="C631" s="91" t="n"/>
      <c r="D631" s="95" t="n"/>
      <c r="E631" s="95" t="n"/>
      <c r="F631" s="103" t="n"/>
      <c r="G631" s="91" t="n"/>
      <c r="H631" s="91" t="n"/>
      <c r="I631" s="61" t="n"/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/>
      <c r="C632" s="91" t="n"/>
      <c r="D632" s="95" t="n"/>
      <c r="E632" s="95" t="n"/>
      <c r="F632" s="103" t="n"/>
      <c r="G632" s="91" t="n"/>
      <c r="H632" s="91" t="n"/>
      <c r="I632" s="61" t="n"/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/>
      <c r="C633" s="91" t="n"/>
      <c r="D633" s="95" t="n"/>
      <c r="E633" s="95" t="n"/>
      <c r="F633" s="103" t="n"/>
      <c r="G633" s="91" t="n"/>
      <c r="H633" s="91" t="n"/>
      <c r="I633" s="61" t="n"/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/>
      <c r="C634" s="91" t="n"/>
      <c r="D634" s="95" t="n"/>
      <c r="E634" s="95" t="n"/>
      <c r="F634" s="103" t="n"/>
      <c r="G634" s="91" t="n"/>
      <c r="H634" s="91" t="n"/>
      <c r="I634" s="61" t="n"/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/>
      <c r="C635" s="91" t="n"/>
      <c r="D635" s="95" t="n"/>
      <c r="E635" s="95" t="n"/>
      <c r="F635" s="103" t="n"/>
      <c r="G635" s="91" t="n"/>
      <c r="H635" s="91" t="n"/>
      <c r="I635" s="61" t="n"/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n"/>
      <c r="C636" s="85" t="n"/>
      <c r="D636" s="86" t="n"/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n"/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/>
      <c r="C638" s="141" t="n"/>
      <c r="D638" s="145" t="n"/>
      <c r="E638" s="145" t="n"/>
      <c r="F638" s="244" t="n"/>
      <c r="G638" s="15" t="n"/>
      <c r="H638" s="15" t="n"/>
      <c r="I638" s="44" t="n"/>
      <c r="J638" s="44" t="n"/>
      <c r="K638" s="44" t="n"/>
      <c r="L638" s="44" t="n"/>
      <c r="M638" s="61" t="n"/>
      <c r="N638" s="44" t="n"/>
      <c r="O638" s="44" t="n"/>
      <c r="P638" s="44" t="n"/>
      <c r="Q638" s="44" t="n"/>
    </row>
    <row r="639" hidden="1" ht="15.5" customHeight="1">
      <c r="B639" s="243" t="n"/>
      <c r="C639" s="141" t="n"/>
      <c r="D639" s="145" t="n"/>
      <c r="E639" s="145" t="n"/>
      <c r="F639" s="245" t="n"/>
      <c r="G639" s="15" t="n"/>
      <c r="H639" s="15" t="n"/>
      <c r="I639" s="44" t="n"/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n"/>
      <c r="E640" s="145" t="n"/>
      <c r="F640" s="147" t="n"/>
      <c r="G640" s="15" t="n"/>
      <c r="H640" s="15" t="n"/>
      <c r="I640" s="61" t="n"/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/>
      <c r="C641" s="141" t="n"/>
      <c r="D641" s="145" t="n"/>
      <c r="E641" s="145" t="n"/>
      <c r="F641" s="147" t="n"/>
      <c r="G641" s="15" t="n"/>
      <c r="H641" s="15" t="n"/>
      <c r="I641" s="61" t="n"/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/>
      <c r="C642" s="141" t="n"/>
      <c r="D642" s="145" t="n"/>
      <c r="E642" s="145" t="n"/>
      <c r="F642" s="147" t="n"/>
      <c r="G642" s="15" t="n"/>
      <c r="H642" s="15" t="n"/>
      <c r="I642" s="44" t="n"/>
      <c r="J642" s="44" t="n"/>
      <c r="K642" s="44" t="n"/>
      <c r="L642" s="44" t="n"/>
      <c r="M642" s="61" t="n"/>
      <c r="N642" s="44" t="n"/>
      <c r="O642" s="44" t="n"/>
      <c r="P642" s="44" t="n"/>
      <c r="Q642" s="44" t="n"/>
    </row>
    <row r="643" hidden="1" ht="15.5" customHeight="1">
      <c r="B643" s="243" t="n"/>
      <c r="C643" s="141" t="n"/>
      <c r="D643" s="145" t="n"/>
      <c r="E643" s="145" t="n"/>
      <c r="F643" s="147" t="n"/>
      <c r="G643" s="15" t="n"/>
      <c r="H643" s="15" t="n"/>
      <c r="I643" s="61" t="n"/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/>
      <c r="C644" s="141" t="n"/>
      <c r="D644" s="145" t="n"/>
      <c r="E644" s="145" t="n"/>
      <c r="F644" s="147" t="n"/>
      <c r="G644" s="15" t="n"/>
      <c r="H644" s="15" t="n"/>
      <c r="I644" s="44" t="n"/>
      <c r="J644" s="44" t="n"/>
      <c r="K644" s="44" t="n"/>
      <c r="L644" s="44" t="n"/>
      <c r="M644" s="61" t="n"/>
      <c r="N644" s="44" t="n"/>
      <c r="O644" s="44" t="n"/>
      <c r="P644" s="44" t="n"/>
      <c r="Q644" s="44" t="n"/>
    </row>
    <row r="645" hidden="1" ht="15.5" customHeight="1">
      <c r="B645" s="243" t="n"/>
      <c r="C645" s="141" t="n"/>
      <c r="D645" s="145" t="n"/>
      <c r="E645" s="145" t="n"/>
      <c r="F645" s="147" t="n"/>
      <c r="G645" s="15" t="n"/>
      <c r="H645" s="15" t="n"/>
      <c r="I645" s="61" t="n"/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/>
      <c r="C646" s="141" t="n"/>
      <c r="D646" s="145" t="n"/>
      <c r="E646" s="145" t="n"/>
      <c r="F646" s="147" t="n"/>
      <c r="G646" s="15" t="n"/>
      <c r="H646" s="15" t="n"/>
      <c r="I646" s="61" t="n"/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/>
      <c r="C647" s="141" t="n"/>
      <c r="D647" s="145" t="n"/>
      <c r="E647" s="145" t="n"/>
      <c r="F647" s="147" t="n"/>
      <c r="G647" s="15" t="n"/>
      <c r="H647" s="15" t="n"/>
      <c r="I647" s="61" t="n"/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/>
      <c r="C648" s="141" t="n"/>
      <c r="D648" s="145" t="n"/>
      <c r="E648" s="145" t="n"/>
      <c r="F648" s="147" t="n"/>
      <c r="G648" s="15" t="n"/>
      <c r="H648" s="15" t="n"/>
      <c r="I648" s="61" t="n"/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/>
      <c r="C649" s="141" t="n"/>
      <c r="D649" s="145" t="n"/>
      <c r="E649" s="145" t="n"/>
      <c r="F649" s="147" t="n"/>
      <c r="G649" s="15" t="n"/>
      <c r="H649" s="15" t="n"/>
      <c r="I649" s="44" t="n"/>
      <c r="J649" s="44" t="n"/>
      <c r="K649" s="44" t="n"/>
      <c r="L649" s="44" t="n"/>
      <c r="M649" s="61" t="n"/>
      <c r="N649" s="44" t="n"/>
      <c r="O649" s="44" t="n"/>
      <c r="P649" s="44" t="n"/>
      <c r="Q649" s="44" t="n"/>
    </row>
    <row r="650" hidden="1" ht="15.5" customHeight="1">
      <c r="B650" s="243" t="n"/>
      <c r="C650" s="141" t="n"/>
      <c r="D650" s="145" t="n"/>
      <c r="E650" s="145" t="n"/>
      <c r="F650" s="147" t="n"/>
      <c r="G650" s="15" t="n"/>
      <c r="H650" s="15" t="n"/>
      <c r="I650" s="62" t="n"/>
      <c r="J650" s="44" t="n"/>
      <c r="K650" s="44" t="n"/>
      <c r="L650" s="44" t="n"/>
      <c r="M650" s="61" t="n"/>
      <c r="N650" s="44" t="n"/>
      <c r="O650" s="44" t="n"/>
      <c r="P650" s="44" t="n"/>
      <c r="Q650" s="44" t="n"/>
    </row>
    <row r="651" hidden="1" ht="15.5" customHeight="1">
      <c r="B651" s="243" t="n"/>
      <c r="C651" s="141" t="n"/>
      <c r="D651" s="145" t="n"/>
      <c r="E651" s="145" t="n"/>
      <c r="F651" s="147" t="n"/>
      <c r="G651" s="15" t="n"/>
      <c r="H651" s="15" t="n"/>
      <c r="I651" s="44" t="n"/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n"/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/>
      <c r="C653" s="141" t="n"/>
      <c r="D653" s="145" t="n"/>
      <c r="E653" s="145" t="n"/>
      <c r="F653" s="147" t="n"/>
      <c r="G653" s="15" t="n"/>
      <c r="H653" s="15" t="n"/>
      <c r="I653" s="61" t="n"/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/>
      <c r="C654" s="141" t="n"/>
      <c r="D654" s="145" t="n"/>
      <c r="E654" s="145" t="n"/>
      <c r="F654" s="147" t="n"/>
      <c r="G654" s="15" t="n"/>
      <c r="H654" s="15" t="n"/>
      <c r="I654" s="61" t="n"/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/>
      <c r="C655" s="141" t="n"/>
      <c r="D655" s="145" t="n"/>
      <c r="E655" s="145" t="n"/>
      <c r="F655" s="147" t="n"/>
      <c r="G655" s="15" t="n"/>
      <c r="H655" s="15" t="n"/>
      <c r="I655" s="61" t="n"/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/>
      <c r="C656" s="141" t="n"/>
      <c r="D656" s="145" t="n"/>
      <c r="E656" s="145" t="n"/>
      <c r="F656" s="147" t="n"/>
      <c r="G656" s="15" t="n"/>
      <c r="H656" s="15" t="n"/>
      <c r="I656" s="61" t="n"/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/>
      <c r="C657" s="141" t="n"/>
      <c r="D657" s="145" t="n"/>
      <c r="E657" s="145" t="n"/>
      <c r="F657" s="147" t="n"/>
      <c r="G657" s="15" t="n"/>
      <c r="H657" s="15" t="n"/>
      <c r="I657" s="61" t="n"/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/>
      <c r="C658" s="141" t="n"/>
      <c r="D658" s="145" t="n"/>
      <c r="E658" s="145" t="n"/>
      <c r="F658" s="147" t="n"/>
      <c r="G658" s="15" t="n"/>
      <c r="H658" s="15" t="n"/>
      <c r="I658" s="61" t="n"/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/>
      <c r="C659" s="141" t="n"/>
      <c r="D659" s="145" t="n"/>
      <c r="E659" s="145" t="n"/>
      <c r="F659" s="147" t="n"/>
      <c r="G659" s="15" t="n"/>
      <c r="H659" s="15" t="n"/>
      <c r="I659" s="61" t="n"/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/>
      <c r="C660" s="141" t="n"/>
      <c r="D660" s="145" t="n"/>
      <c r="E660" s="145" t="n"/>
      <c r="F660" s="147" t="n"/>
      <c r="G660" s="15" t="n"/>
      <c r="H660" s="15" t="n"/>
      <c r="I660" s="61" t="n"/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n"/>
      <c r="C661" s="85" t="n"/>
      <c r="D661" s="150" t="n"/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/>
      <c r="C662" s="15" t="n"/>
      <c r="D662" s="18" t="n"/>
      <c r="E662" s="18" t="n"/>
      <c r="F662" s="21" t="n"/>
      <c r="G662" s="18" t="n"/>
      <c r="H662" s="15" t="n"/>
      <c r="I662" s="120" t="n"/>
      <c r="J662" s="120" t="n"/>
      <c r="K662" s="120" t="n"/>
      <c r="L662" s="120" t="n"/>
      <c r="M662" s="120" t="n"/>
      <c r="N662" s="120" t="n"/>
      <c r="O662" s="120" t="n"/>
      <c r="P662" s="120" t="n"/>
      <c r="Q662" s="120" t="n"/>
    </row>
    <row r="663" hidden="1" ht="15.5" customHeight="1">
      <c r="B663" s="149" t="n"/>
      <c r="C663" s="85" t="n"/>
      <c r="D663" s="150" t="n"/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/>
      <c r="C664" s="15" t="n"/>
      <c r="D664" s="153" t="n"/>
      <c r="E664" s="153" t="n"/>
      <c r="F664" s="154" t="n"/>
      <c r="G664" s="33" t="n"/>
      <c r="H664" s="33" t="n"/>
      <c r="I664" s="120" t="n"/>
      <c r="J664" s="120" t="n"/>
      <c r="K664" s="120" t="n"/>
      <c r="L664" s="120" t="n"/>
      <c r="M664" s="120" t="n"/>
      <c r="N664" s="120" t="n"/>
      <c r="O664" s="120" t="n"/>
      <c r="P664" s="120" t="n"/>
      <c r="Q664" s="120" t="n"/>
    </row>
    <row r="665" hidden="1" ht="15.5" customHeight="1">
      <c r="B665" s="78" t="n"/>
      <c r="C665" s="85" t="n"/>
      <c r="D665" s="86" t="n"/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n"/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/>
      <c r="C667" s="15" t="n"/>
      <c r="D667" s="18" t="n"/>
      <c r="E667" s="18" t="n"/>
      <c r="F667" s="21" t="n"/>
      <c r="G667" s="15" t="n"/>
      <c r="H667" s="15" t="n"/>
      <c r="I667" s="120" t="n"/>
      <c r="J667" s="120" t="n"/>
      <c r="K667" s="120" t="n"/>
      <c r="L667" s="120" t="n"/>
      <c r="M667" s="120" t="n"/>
      <c r="N667" s="120" t="n"/>
      <c r="O667" s="120" t="n"/>
      <c r="P667" s="120" t="n"/>
      <c r="Q667" s="120" t="n"/>
    </row>
    <row r="668" hidden="1" ht="15.5" customHeight="1">
      <c r="B668" s="14" t="n"/>
      <c r="C668" s="15" t="n"/>
      <c r="D668" s="18" t="n"/>
      <c r="E668" s="18" t="n"/>
      <c r="F668" s="21" t="n"/>
      <c r="G668" s="15" t="n"/>
      <c r="H668" s="15" t="n"/>
      <c r="I668" s="120" t="n"/>
      <c r="J668" s="120" t="n"/>
      <c r="K668" s="120" t="n"/>
      <c r="L668" s="120" t="n"/>
      <c r="M668" s="120" t="n"/>
      <c r="N668" s="120" t="n"/>
      <c r="O668" s="120" t="n"/>
      <c r="P668" s="120" t="n"/>
      <c r="Q668" s="120" t="n"/>
    </row>
    <row r="669" hidden="1" ht="15.5" customHeight="1">
      <c r="B669" s="14" t="n"/>
      <c r="C669" s="15" t="n"/>
      <c r="D669" s="18" t="n"/>
      <c r="E669" s="18" t="n"/>
      <c r="F669" s="21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idden="1" ht="15.5" customHeight="1">
      <c r="B670" s="14" t="n"/>
      <c r="C670" s="15" t="n"/>
      <c r="D670" s="18" t="n"/>
      <c r="E670" s="18" t="n"/>
      <c r="F670" s="21" t="n"/>
      <c r="G670" s="15" t="n"/>
      <c r="H670" s="15" t="n"/>
      <c r="I670" s="120" t="n"/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idden="1" ht="15.5" customHeight="1">
      <c r="B671" s="14" t="n"/>
      <c r="C671" s="15" t="n"/>
      <c r="D671" s="18" t="n"/>
      <c r="E671" s="18" t="n"/>
      <c r="F671" s="21" t="n"/>
      <c r="G671" s="15" t="n"/>
      <c r="H671" s="15" t="n"/>
      <c r="I671" s="120" t="n"/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idden="1" ht="15.5" customHeight="1">
      <c r="B672" s="14" t="n"/>
      <c r="C672" s="15" t="n"/>
      <c r="D672" s="18" t="n"/>
      <c r="E672" s="18" t="n"/>
      <c r="F672" s="21" t="n"/>
      <c r="G672" s="15" t="n"/>
      <c r="H672" s="15" t="n"/>
      <c r="I672" s="120" t="n"/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>
      <c r="B673" s="14" t="n"/>
      <c r="C673" s="15" t="n"/>
      <c r="D673" s="18" t="n"/>
      <c r="E673" s="18" t="n"/>
      <c r="F673" s="21" t="n"/>
      <c r="G673" s="15" t="n"/>
      <c r="H673" s="15" t="n"/>
      <c r="I673" s="120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>
      <c r="B674" s="14" t="n"/>
      <c r="C674" s="15" t="n"/>
      <c r="D674" s="18" t="n"/>
      <c r="E674" s="18" t="n"/>
      <c r="F674" s="21" t="n"/>
      <c r="G674" s="15" t="n"/>
      <c r="H674" s="15" t="n"/>
      <c r="I674" s="120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>
      <c r="B675" s="102" t="n"/>
      <c r="C675" s="15" t="n"/>
      <c r="D675" s="106" t="n"/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/>
      <c r="C676" s="15" t="n"/>
      <c r="D676" s="63" t="n"/>
      <c r="E676" s="63" t="n"/>
      <c r="F676" s="21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/>
      <c r="C677" s="15" t="n"/>
      <c r="D677" s="63" t="n"/>
      <c r="E677" s="63" t="n"/>
      <c r="F677" s="21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/>
      <c r="C678" s="15" t="n"/>
      <c r="D678" s="63" t="n"/>
      <c r="E678" s="63" t="n"/>
      <c r="F678" s="21" t="n"/>
      <c r="G678" s="15" t="n"/>
      <c r="H678" s="15" t="n"/>
      <c r="I678" s="61" t="n"/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/>
      <c r="C679" s="15" t="n"/>
      <c r="D679" s="63" t="n"/>
      <c r="E679" s="63" t="n"/>
      <c r="F679" s="21" t="n"/>
      <c r="G679" s="15" t="n"/>
      <c r="H679" s="15" t="n"/>
      <c r="I679" s="61" t="n"/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/>
      <c r="C680" s="15" t="n"/>
      <c r="D680" s="63" t="n"/>
      <c r="E680" s="63" t="n"/>
      <c r="F680" s="21" t="n"/>
      <c r="G680" s="15" t="n"/>
      <c r="H680" s="15" t="n"/>
      <c r="I680" s="61" t="n"/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/>
      <c r="C681" s="15" t="n"/>
      <c r="D681" s="63" t="n"/>
      <c r="E681" s="63" t="n"/>
      <c r="F681" s="21" t="n"/>
      <c r="G681" s="15" t="n"/>
      <c r="H681" s="15" t="n"/>
      <c r="I681" s="61" t="n"/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n"/>
      <c r="C682" s="85" t="n"/>
      <c r="D682" s="86" t="n"/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n"/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/>
      <c r="C684" s="15" t="n"/>
      <c r="D684" s="63" t="n"/>
      <c r="E684" s="63" t="n"/>
      <c r="F684" s="21" t="n"/>
      <c r="G684" s="15" t="n"/>
      <c r="H684" s="15" t="n"/>
      <c r="I684" s="61" t="n"/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/>
      <c r="C685" s="15" t="n"/>
      <c r="D685" s="63" t="n"/>
      <c r="E685" s="63" t="n"/>
      <c r="F685" s="21" t="n"/>
      <c r="G685" s="15" t="n"/>
      <c r="H685" s="15" t="n"/>
      <c r="I685" s="61" t="n"/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/>
      <c r="C686" s="15" t="n"/>
      <c r="D686" s="63" t="n"/>
      <c r="E686" s="63" t="n"/>
      <c r="F686" s="21" t="n"/>
      <c r="G686" s="15" t="n"/>
      <c r="H686" s="15" t="n"/>
      <c r="I686" s="61" t="n"/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n"/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/>
      <c r="C688" s="15" t="n"/>
      <c r="D688" s="63" t="n"/>
      <c r="E688" s="63" t="n"/>
      <c r="F688" s="21" t="n"/>
      <c r="G688" s="15" t="n"/>
      <c r="H688" s="15" t="n"/>
      <c r="I688" s="120" t="n"/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/>
      <c r="C689" s="15" t="n"/>
      <c r="D689" s="63" t="n"/>
      <c r="E689" s="63" t="n"/>
      <c r="F689" s="21" t="n"/>
      <c r="G689" s="15" t="n"/>
      <c r="H689" s="15" t="n"/>
      <c r="I689" s="120" t="n"/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n"/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/>
      <c r="C691" s="15" t="n"/>
      <c r="D691" s="63" t="n"/>
      <c r="E691" s="63" t="n"/>
      <c r="F691" s="21" t="n"/>
      <c r="G691" s="15" t="n"/>
      <c r="H691" s="15" t="n"/>
      <c r="I691" s="120" t="n"/>
      <c r="J691" s="120" t="n"/>
      <c r="K691" s="120" t="n"/>
      <c r="L691" s="120" t="n"/>
      <c r="M691" s="120" t="n"/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n"/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n"/>
      <c r="C693" s="73" t="n"/>
      <c r="D693" s="155" t="n"/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n"/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/>
      <c r="C695" s="64" t="n"/>
      <c r="D695" s="158" t="n"/>
      <c r="E695" s="158" t="n"/>
      <c r="F695" s="159" t="n"/>
      <c r="G695" s="64" t="n"/>
      <c r="H695" s="64" t="n"/>
      <c r="I695" s="61" t="n"/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/>
      <c r="C696" s="64" t="n"/>
      <c r="D696" s="158" t="n"/>
      <c r="E696" s="158" t="n"/>
      <c r="F696" s="159" t="n"/>
      <c r="G696" s="64" t="n"/>
      <c r="H696" s="64" t="n"/>
      <c r="I696" s="61" t="n"/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/>
      <c r="C697" s="64" t="n"/>
      <c r="D697" s="158" t="n"/>
      <c r="E697" s="158" t="n"/>
      <c r="F697" s="159" t="n"/>
      <c r="G697" s="64" t="n"/>
      <c r="H697" s="64" t="n"/>
      <c r="I697" s="61" t="n"/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/>
      <c r="C698" s="64" t="n"/>
      <c r="D698" s="160" t="n"/>
      <c r="E698" s="160" t="n"/>
      <c r="F698" s="159" t="n"/>
      <c r="G698" s="64" t="n"/>
      <c r="H698" s="64" t="n"/>
      <c r="I698" s="61" t="n"/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/>
      <c r="C699" s="64" t="n"/>
      <c r="D699" s="160" t="n"/>
      <c r="E699" s="160" t="n"/>
      <c r="F699" s="159" t="n"/>
      <c r="G699" s="64" t="n"/>
      <c r="H699" s="64" t="n"/>
      <c r="I699" s="61" t="n"/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/>
      <c r="C700" s="64" t="n"/>
      <c r="D700" s="158" t="n"/>
      <c r="E700" s="158" t="n"/>
      <c r="F700" s="159" t="n"/>
      <c r="G700" s="64" t="n"/>
      <c r="H700" s="64" t="n"/>
      <c r="I700" s="61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/>
      <c r="C701" s="64" t="n"/>
      <c r="D701" s="158" t="n"/>
      <c r="E701" s="158" t="n"/>
      <c r="F701" s="159" t="n"/>
      <c r="G701" s="64" t="n"/>
      <c r="H701" s="64" t="n"/>
      <c r="I701" s="61" t="n"/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/>
      <c r="C702" s="64" t="n"/>
      <c r="D702" s="160" t="n"/>
      <c r="E702" s="160" t="n"/>
      <c r="F702" s="159" t="n"/>
      <c r="G702" s="64" t="n"/>
      <c r="H702" s="64" t="n"/>
      <c r="I702" s="120" t="n"/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n"/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/>
      <c r="C704" s="64" t="n"/>
      <c r="D704" s="158" t="n"/>
      <c r="E704" s="158" t="n"/>
      <c r="F704" s="159" t="n"/>
      <c r="G704" s="64" t="n"/>
      <c r="H704" s="64" t="n"/>
      <c r="I704" s="61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/>
      <c r="C705" s="64" t="n"/>
      <c r="D705" s="158" t="n"/>
      <c r="E705" s="158" t="n"/>
      <c r="F705" s="159" t="n"/>
      <c r="G705" s="64" t="n"/>
      <c r="H705" s="64" t="n"/>
      <c r="I705" s="120" t="n"/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/>
      <c r="C706" s="64" t="n"/>
      <c r="D706" s="160" t="n"/>
      <c r="E706" s="160" t="n"/>
      <c r="F706" s="159" t="n"/>
      <c r="G706" s="64" t="n"/>
      <c r="H706" s="64" t="n"/>
      <c r="I706" s="120" t="n"/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n"/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/>
      <c r="C708" s="64" t="n"/>
      <c r="D708" s="158" t="n"/>
      <c r="E708" s="158" t="n"/>
      <c r="F708" s="159" t="n"/>
      <c r="G708" s="64" t="n"/>
      <c r="H708" s="64" t="n"/>
      <c r="I708" s="61" t="n"/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n"/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/>
      <c r="C710" s="64" t="n"/>
      <c r="D710" s="158" t="n"/>
      <c r="E710" s="158" t="n"/>
      <c r="F710" s="159" t="n"/>
      <c r="G710" s="64" t="n"/>
      <c r="H710" s="64" t="n"/>
      <c r="I710" s="61" t="n"/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/>
      <c r="C711" s="64" t="n"/>
      <c r="D711" s="158" t="n"/>
      <c r="E711" s="158" t="n"/>
      <c r="F711" s="159" t="n"/>
      <c r="G711" s="64" t="n"/>
      <c r="H711" s="64" t="n"/>
      <c r="I711" s="61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/>
      <c r="C712" s="64" t="n"/>
      <c r="D712" s="160" t="n"/>
      <c r="E712" s="160" t="n"/>
      <c r="F712" s="159" t="n"/>
      <c r="G712" s="64" t="n"/>
      <c r="H712" s="64" t="n"/>
      <c r="I712" s="120" t="n"/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/>
      <c r="C713" s="64" t="n"/>
      <c r="D713" s="160" t="n"/>
      <c r="E713" s="160" t="n"/>
      <c r="F713" s="159" t="n"/>
      <c r="G713" s="64" t="n"/>
      <c r="H713" s="64" t="n"/>
      <c r="I713" s="61" t="n"/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/>
      <c r="C714" s="64" t="n"/>
      <c r="D714" s="160" t="n"/>
      <c r="E714" s="160" t="n"/>
      <c r="F714" s="159" t="n"/>
      <c r="G714" s="64" t="n"/>
      <c r="H714" s="64" t="n"/>
      <c r="I714" s="120" t="n"/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n"/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/>
      <c r="C716" s="64" t="n"/>
      <c r="D716" s="158" t="n"/>
      <c r="E716" s="158" t="n"/>
      <c r="F716" s="159" t="n"/>
      <c r="G716" s="64" t="n"/>
      <c r="H716" s="64" t="n"/>
      <c r="I716" s="120" t="n"/>
      <c r="J716" s="120" t="n"/>
      <c r="K716" s="120" t="n"/>
      <c r="L716" s="120" t="n"/>
      <c r="M716" s="120" t="n"/>
      <c r="N716" s="120" t="n"/>
      <c r="O716" s="120" t="n"/>
      <c r="P716" s="120" t="n"/>
      <c r="Q716" s="120" t="n"/>
    </row>
    <row r="717" hidden="1" ht="15.5" customHeight="1">
      <c r="B717" s="161" t="n"/>
      <c r="C717" s="64" t="n"/>
      <c r="D717" s="158" t="n"/>
      <c r="E717" s="158" t="n"/>
      <c r="F717" s="159" t="n"/>
      <c r="G717" s="64" t="n"/>
      <c r="H717" s="64" t="n"/>
      <c r="I717" s="120" t="n"/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idden="1" ht="15.5" customHeight="1">
      <c r="B718" s="161" t="n"/>
      <c r="C718" s="64" t="n"/>
      <c r="D718" s="158" t="n"/>
      <c r="E718" s="158" t="n"/>
      <c r="F718" s="159" t="n"/>
      <c r="G718" s="64" t="n"/>
      <c r="H718" s="64" t="n"/>
      <c r="I718" s="120" t="n"/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idden="1" ht="15.5" customHeight="1">
      <c r="B719" s="161" t="n"/>
      <c r="C719" s="64" t="n"/>
      <c r="D719" s="158" t="n"/>
      <c r="E719" s="158" t="n"/>
      <c r="F719" s="159" t="n"/>
      <c r="G719" s="64" t="n"/>
      <c r="H719" s="64" t="n"/>
      <c r="I719" s="120" t="n"/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>
      <c r="B720" s="161" t="n"/>
      <c r="C720" s="64" t="n"/>
      <c r="D720" s="158" t="n"/>
      <c r="E720" s="158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idden="1" ht="15.5" customHeight="1">
      <c r="B721" s="161" t="n"/>
      <c r="C721" s="64" t="n"/>
      <c r="D721" s="158" t="n"/>
      <c r="E721" s="158" t="n"/>
      <c r="F721" s="159" t="n"/>
      <c r="G721" s="64" t="n"/>
      <c r="H721" s="64" t="n"/>
      <c r="I721" s="120" t="n"/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idden="1" ht="15.5" customHeight="1">
      <c r="B722" s="161" t="n"/>
      <c r="C722" s="64" t="n"/>
      <c r="D722" s="158" t="n"/>
      <c r="E722" s="158" t="n"/>
      <c r="F722" s="159" t="n"/>
      <c r="G722" s="64" t="n"/>
      <c r="H722" s="64" t="n"/>
      <c r="I722" s="120" t="n"/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idden="1" ht="15.5" customHeight="1">
      <c r="B723" s="161" t="n"/>
      <c r="C723" s="64" t="n"/>
      <c r="D723" s="158" t="n"/>
      <c r="E723" s="158" t="n"/>
      <c r="F723" s="159" t="n"/>
      <c r="G723" s="64" t="n"/>
      <c r="H723" s="64" t="n"/>
      <c r="I723" s="120" t="n"/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>
      <c r="B724" s="161" t="n"/>
      <c r="C724" s="64" t="n"/>
      <c r="D724" s="158" t="n"/>
      <c r="E724" s="158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idden="1" ht="15.5" customHeight="1">
      <c r="B725" s="161" t="n"/>
      <c r="C725" s="64" t="n"/>
      <c r="D725" s="158" t="n"/>
      <c r="E725" s="158" t="n"/>
      <c r="F725" s="159" t="n"/>
      <c r="G725" s="64" t="n"/>
      <c r="H725" s="64" t="n"/>
      <c r="I725" s="120" t="n"/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idden="1" ht="15.5" customHeight="1">
      <c r="B726" s="161" t="n"/>
      <c r="C726" s="64" t="n"/>
      <c r="D726" s="158" t="n"/>
      <c r="E726" s="158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idden="1" ht="15.5" customHeight="1">
      <c r="B727" s="161" t="n"/>
      <c r="C727" s="64" t="n"/>
      <c r="D727" s="158" t="n"/>
      <c r="E727" s="158" t="n"/>
      <c r="F727" s="159" t="n"/>
      <c r="G727" s="64" t="n"/>
      <c r="H727" s="64" t="n"/>
      <c r="I727" s="120" t="n"/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idden="1" ht="15.5" customHeight="1">
      <c r="B728" s="161" t="n"/>
      <c r="C728" s="64" t="n"/>
      <c r="D728" s="158" t="n"/>
      <c r="E728" s="158" t="n"/>
      <c r="F728" s="159" t="n"/>
      <c r="G728" s="64" t="n"/>
      <c r="H728" s="64" t="n"/>
      <c r="I728" s="120" t="n"/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idden="1" ht="15.5" customHeight="1">
      <c r="B729" s="161" t="n"/>
      <c r="C729" s="64" t="n"/>
      <c r="D729" s="158" t="n"/>
      <c r="E729" s="158" t="n"/>
      <c r="F729" s="159" t="n"/>
      <c r="G729" s="64" t="n"/>
      <c r="H729" s="64" t="n"/>
      <c r="I729" s="120" t="n"/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idden="1" ht="15.5" customHeight="1">
      <c r="B730" s="161" t="n"/>
      <c r="C730" s="64" t="n"/>
      <c r="D730" s="158" t="n"/>
      <c r="E730" s="158" t="n"/>
      <c r="F730" s="159" t="n"/>
      <c r="G730" s="64" t="n"/>
      <c r="H730" s="64" t="n"/>
      <c r="I730" s="120" t="n"/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idden="1" ht="15.5" customHeight="1">
      <c r="B731" s="161" t="n"/>
      <c r="C731" s="64" t="n"/>
      <c r="D731" s="158" t="n"/>
      <c r="E731" s="158" t="n"/>
      <c r="F731" s="159" t="n"/>
      <c r="G731" s="64" t="n"/>
      <c r="H731" s="64" t="n"/>
      <c r="I731" s="120" t="n"/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idden="1" ht="15.5" customHeight="1">
      <c r="B732" s="161" t="n"/>
      <c r="C732" s="64" t="n"/>
      <c r="D732" s="158" t="n"/>
      <c r="E732" s="158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idden="1" ht="15.5" customHeight="1">
      <c r="B733" s="161" t="n"/>
      <c r="C733" s="64" t="n"/>
      <c r="D733" s="158" t="n"/>
      <c r="E733" s="158" t="n"/>
      <c r="F733" s="159" t="n"/>
      <c r="G733" s="64" t="n"/>
      <c r="H733" s="64" t="n"/>
      <c r="I733" s="120" t="n"/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idden="1" ht="15.5" customHeight="1">
      <c r="B734" s="161" t="n"/>
      <c r="C734" s="64" t="n"/>
      <c r="D734" s="158" t="n"/>
      <c r="E734" s="158" t="n"/>
      <c r="F734" s="159" t="n"/>
      <c r="G734" s="64" t="n"/>
      <c r="H734" s="64" t="n"/>
      <c r="I734" s="120" t="n"/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idden="1" ht="15.5" customHeight="1">
      <c r="B735" s="161" t="n"/>
      <c r="C735" s="64" t="n"/>
      <c r="D735" s="158" t="n"/>
      <c r="E735" s="158" t="n"/>
      <c r="F735" s="159" t="n"/>
      <c r="G735" s="64" t="n"/>
      <c r="H735" s="64" t="n"/>
      <c r="I735" s="120" t="n"/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idden="1" ht="15.5" customHeight="1">
      <c r="B736" s="161" t="n"/>
      <c r="C736" s="64" t="n"/>
      <c r="D736" s="158" t="n"/>
      <c r="E736" s="158" t="n"/>
      <c r="F736" s="159" t="n"/>
      <c r="G736" s="64" t="n"/>
      <c r="H736" s="64" t="n"/>
      <c r="I736" s="120" t="n"/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idden="1" ht="15.5" customHeight="1">
      <c r="B737" s="161" t="n"/>
      <c r="C737" s="64" t="n"/>
      <c r="D737" s="158" t="n"/>
      <c r="E737" s="158" t="n"/>
      <c r="F737" s="159" t="n"/>
      <c r="G737" s="64" t="n"/>
      <c r="H737" s="64" t="n"/>
      <c r="I737" s="120" t="n"/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>
      <c r="A738" s="162" t="n"/>
      <c r="B738" s="78" t="n"/>
      <c r="C738" s="85" t="n"/>
      <c r="D738" s="112" t="n"/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/>
      <c r="C739" s="15" t="n"/>
      <c r="D739" s="18" t="n"/>
      <c r="E739" s="18" t="n"/>
      <c r="F739" s="21" t="n"/>
      <c r="G739" s="15" t="n"/>
      <c r="H739" s="15" t="n"/>
      <c r="I739" s="61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n"/>
      <c r="C740" s="163" t="n"/>
      <c r="D740" s="164" t="n"/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/>
      <c r="C741" s="60" t="n"/>
      <c r="D741" s="166" t="n"/>
      <c r="E741" s="166" t="n"/>
      <c r="F741" s="167" t="n"/>
      <c r="G741" s="60" t="n"/>
      <c r="H741" s="60" t="n"/>
      <c r="I741" s="61" t="n"/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/>
      <c r="C742" s="15" t="n"/>
      <c r="D742" s="166" t="n"/>
      <c r="E742" s="166" t="n"/>
      <c r="F742" s="217" t="n"/>
      <c r="G742" s="15" t="n"/>
      <c r="H742" s="15" t="n"/>
      <c r="I742" s="61" t="n"/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/>
      <c r="C743" s="15" t="n"/>
      <c r="D743" s="166" t="n"/>
      <c r="E743" s="166" t="n"/>
      <c r="F743" s="217" t="n"/>
      <c r="G743" s="15" t="n"/>
      <c r="H743" s="15" t="n"/>
      <c r="I743" s="61" t="n"/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/>
      <c r="C744" s="15" t="n"/>
      <c r="D744" s="166" t="n"/>
      <c r="E744" s="166" t="n"/>
      <c r="F744" s="217" t="n"/>
      <c r="G744" s="15" t="n"/>
      <c r="H744" s="15" t="n"/>
      <c r="I744" s="61" t="n"/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/>
      <c r="C745" s="15" t="n"/>
      <c r="D745" s="166" t="n"/>
      <c r="E745" s="166" t="n"/>
      <c r="F745" s="217" t="n"/>
      <c r="G745" s="15" t="n"/>
      <c r="H745" s="15" t="n"/>
      <c r="I745" s="61" t="n"/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/>
      <c r="C746" s="15" t="n"/>
      <c r="D746" s="166" t="n"/>
      <c r="E746" s="166" t="n"/>
      <c r="F746" s="217" t="n"/>
      <c r="G746" s="15" t="n"/>
      <c r="H746" s="15" t="n"/>
      <c r="I746" s="61" t="n"/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/>
      <c r="C747" s="15" t="n"/>
      <c r="D747" s="166" t="n"/>
      <c r="E747" s="166" t="n"/>
      <c r="F747" s="217" t="n"/>
      <c r="G747" s="15" t="n"/>
      <c r="H747" s="15" t="n"/>
      <c r="I747" s="61" t="n"/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/>
      <c r="C748" s="15" t="n"/>
      <c r="D748" s="166" t="n"/>
      <c r="E748" s="166" t="n"/>
      <c r="F748" s="217" t="n"/>
      <c r="G748" s="15" t="n"/>
      <c r="H748" s="15" t="n"/>
      <c r="I748" s="61" t="n"/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/>
      <c r="C749" s="15" t="n"/>
      <c r="D749" s="166" t="n"/>
      <c r="E749" s="166" t="n"/>
      <c r="F749" s="217" t="n"/>
      <c r="G749" s="15" t="n"/>
      <c r="H749" s="15" t="n"/>
      <c r="I749" s="61" t="n"/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n"/>
      <c r="I750" s="120" t="n"/>
      <c r="J750" s="120" t="n"/>
      <c r="K750" s="120" t="n"/>
      <c r="L750" s="120" t="n"/>
      <c r="M750" s="120" t="n"/>
      <c r="N750" s="120" t="n"/>
      <c r="O750" s="120" t="n"/>
      <c r="P750" s="120" t="n"/>
      <c r="Q750" s="120" t="n"/>
    </row>
  </sheetData>
  <mergeCells count="26">
    <mergeCell ref="B9:E9"/>
    <mergeCell ref="K25:L25"/>
    <mergeCell ref="F25:F26"/>
    <mergeCell ref="H6:H7"/>
    <mergeCell ref="B1:J1"/>
    <mergeCell ref="P6:P7"/>
    <mergeCell ref="J6:J7"/>
    <mergeCell ref="D25:E26"/>
    <mergeCell ref="I25:J25"/>
    <mergeCell ref="C25:C26"/>
    <mergeCell ref="D27:E27"/>
    <mergeCell ref="G6:G7"/>
    <mergeCell ref="B6:B7"/>
    <mergeCell ref="M25:N25"/>
    <mergeCell ref="O25:P25"/>
    <mergeCell ref="D6:E7"/>
    <mergeCell ref="G25:G26"/>
    <mergeCell ref="D8:E8"/>
    <mergeCell ref="B107:H107"/>
    <mergeCell ref="B28:H28"/>
    <mergeCell ref="I6:I7"/>
    <mergeCell ref="B25:B26"/>
    <mergeCell ref="K6:K7"/>
    <mergeCell ref="C6:C7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  <c r="G3" s="330" t="inlineStr">
        <is>
          <t>PT. EXSPAN WIRELINE INDONESIA</t>
        </is>
      </c>
      <c r="H3" s="330" t="n"/>
      <c r="I3" s="330" t="n"/>
      <c r="J3" s="330" t="n"/>
    </row>
    <row r="4" ht="20.45" customHeight="1">
      <c r="A4" s="326" t="n"/>
      <c r="B4" s="331" t="inlineStr">
        <is>
          <t>LABA RUGI | TAHUN 2030</t>
        </is>
      </c>
      <c r="F4" s="329" t="n"/>
      <c r="G4" s="332" t="inlineStr">
        <is>
          <t>NERACA |TAHUN YANG BERAKHIR, 31 DESEMBER 2030</t>
        </is>
      </c>
      <c r="H4" s="332" t="n"/>
      <c r="I4" s="332" t="n"/>
      <c r="J4" s="332" t="n"/>
    </row>
    <row r="5" ht="6" customHeight="1">
      <c r="A5" s="326" t="n"/>
      <c r="B5" s="326" t="n"/>
      <c r="C5" s="326" t="n"/>
      <c r="D5" s="326" t="n"/>
      <c r="E5" s="327" t="n"/>
      <c r="F5" s="329" t="n"/>
      <c r="G5" s="329" t="n"/>
      <c r="H5" s="333" t="n"/>
      <c r="I5" s="333" t="n"/>
      <c r="J5" s="333" t="n"/>
    </row>
    <row r="6" ht="15.4" customHeight="1">
      <c r="A6" s="326" t="n"/>
      <c r="B6" s="334" t="n"/>
      <c r="C6" s="335" t="n"/>
      <c r="D6" s="336" t="inlineStr">
        <is>
          <t>PT. Exspan Wireline Indonesia</t>
        </is>
      </c>
      <c r="E6" s="221" t="n"/>
      <c r="F6" s="329" t="n"/>
      <c r="G6" s="337" t="n"/>
      <c r="H6" s="338" t="n"/>
      <c r="I6" s="336" t="inlineStr">
        <is>
          <t>PT. Exspan Wireline Indonesia</t>
        </is>
      </c>
      <c r="J6" s="221" t="n"/>
    </row>
    <row r="7" ht="15.4" customHeight="1">
      <c r="A7" s="326" t="n"/>
      <c r="B7" s="339" t="n"/>
      <c r="C7" s="340" t="n"/>
      <c r="D7" s="341" t="inlineStr">
        <is>
          <t>(Rp)</t>
        </is>
      </c>
      <c r="E7" s="226" t="n"/>
      <c r="F7" s="329" t="n"/>
      <c r="G7" s="342" t="n"/>
      <c r="H7" s="343" t="n"/>
      <c r="I7" s="341" t="inlineStr">
        <is>
          <t>(Rp)</t>
        </is>
      </c>
      <c r="J7" s="226" t="n"/>
    </row>
    <row r="8" ht="15" customHeight="1">
      <c r="A8" s="344" t="n"/>
      <c r="B8" s="345" t="inlineStr">
        <is>
          <t>PENDAPATAN</t>
        </is>
      </c>
      <c r="C8" s="346" t="n"/>
      <c r="D8" s="347" t="n"/>
      <c r="E8" s="348" t="n"/>
      <c r="F8" s="329" t="n"/>
      <c r="G8" s="349" t="inlineStr">
        <is>
          <t>AKTIVA</t>
        </is>
      </c>
      <c r="H8" s="350" t="inlineStr">
        <is>
          <t>AKTIVA</t>
        </is>
      </c>
      <c r="I8" s="351" t="n"/>
      <c r="J8" s="348" t="n"/>
    </row>
    <row r="9" ht="15" customHeight="1">
      <c r="A9" s="344" t="n"/>
      <c r="B9" s="352" t="n"/>
      <c r="C9" s="353" t="inlineStr">
        <is>
          <t>PENDAPATAN LANGSUNG</t>
        </is>
      </c>
      <c r="D9" s="354" t="inlineStr">
        <is>
          <t>Rp</t>
        </is>
      </c>
      <c r="E9" s="355" t="n">
        <v>0</v>
      </c>
      <c r="F9" s="329" t="n"/>
      <c r="G9" s="356" t="inlineStr">
        <is>
          <t>AKTIVA LANCAR</t>
        </is>
      </c>
      <c r="H9" s="357" t="inlineStr">
        <is>
          <t>AKTIVA LANCAR</t>
        </is>
      </c>
      <c r="I9" s="358" t="n"/>
      <c r="J9" s="355" t="n"/>
    </row>
    <row r="10" ht="15" customHeight="1">
      <c r="A10" s="344" t="n"/>
      <c r="B10" s="352" t="n"/>
      <c r="C10" s="353" t="inlineStr">
        <is>
          <t>PENDAPATAN LAIN LAIN</t>
        </is>
      </c>
      <c r="D10" s="354" t="inlineStr">
        <is>
          <t>Rp</t>
        </is>
      </c>
      <c r="E10" s="355" t="n">
        <v>0</v>
      </c>
      <c r="F10" s="329" t="n"/>
      <c r="G10" s="356" t="n"/>
      <c r="H10" s="357" t="inlineStr">
        <is>
          <t xml:space="preserve">  KAS DAN SETARA KAS TAHUN SEBELUMNYA</t>
        </is>
      </c>
      <c r="I10" s="354" t="inlineStr">
        <is>
          <t>Rp</t>
        </is>
      </c>
      <c r="J10" s="355" t="n">
        <v>0</v>
      </c>
    </row>
    <row r="11" ht="15" customHeight="1">
      <c r="A11" s="344" t="n"/>
      <c r="B11" s="352" t="n"/>
      <c r="C11" s="353" t="n"/>
      <c r="D11" s="354" t="n"/>
      <c r="E11" s="355" t="n"/>
      <c r="F11" s="329" t="n"/>
      <c r="G11" s="356" t="n"/>
      <c r="H11" s="357" t="inlineStr">
        <is>
          <t xml:space="preserve">  KAS DAN SETARA KAS TAHUN LAPORAN</t>
        </is>
      </c>
      <c r="I11" s="354" t="inlineStr">
        <is>
          <t>Rp</t>
        </is>
      </c>
      <c r="J11" s="355">
        <f>ROUND(E39-'Business Summary'!E13, 0)</f>
        <v/>
      </c>
    </row>
    <row r="12" ht="15" customHeight="1">
      <c r="A12" s="344" t="n"/>
      <c r="B12" s="359" t="inlineStr">
        <is>
          <t>TOTAL PENDAPATAN</t>
        </is>
      </c>
      <c r="C12" s="360" t="n"/>
      <c r="D12" s="361" t="inlineStr">
        <is>
          <t>Rp</t>
        </is>
      </c>
      <c r="E12" s="362">
        <f>SUM(E9:E11)</f>
        <v/>
      </c>
      <c r="F12" s="329" t="n"/>
      <c r="G12" s="356" t="n"/>
      <c r="H12" s="357" t="inlineStr">
        <is>
          <t xml:space="preserve">  PIUTANG USAHA</t>
        </is>
      </c>
      <c r="I12" s="354" t="inlineStr">
        <is>
          <t>Rp</t>
        </is>
      </c>
      <c r="J12" s="355" t="n">
        <v>0</v>
      </c>
    </row>
    <row r="13" ht="15" customHeight="1">
      <c r="A13" s="344" t="n"/>
      <c r="B13" s="352" t="n"/>
      <c r="C13" s="353" t="n"/>
      <c r="D13" s="354" t="n"/>
      <c r="E13" s="355" t="n"/>
      <c r="F13" s="329" t="n"/>
      <c r="G13" s="356" t="n"/>
      <c r="H13" s="357" t="inlineStr">
        <is>
          <t xml:space="preserve">  PAJAK BAYAR DI MUKA (pph23)</t>
        </is>
      </c>
      <c r="I13" s="354" t="inlineStr">
        <is>
          <t>Rp</t>
        </is>
      </c>
      <c r="J13" s="355" t="n">
        <v>0</v>
      </c>
    </row>
    <row r="14" ht="15" customHeight="1">
      <c r="A14" s="344" t="n"/>
      <c r="B14" s="345" t="inlineStr">
        <is>
          <t>BEBAN LANGSUNG</t>
        </is>
      </c>
      <c r="C14" s="346" t="n"/>
      <c r="D14" s="347" t="n"/>
      <c r="E14" s="348" t="n"/>
      <c r="F14" s="329" t="n"/>
      <c r="G14" s="356" t="n"/>
      <c r="H14" s="357" t="inlineStr">
        <is>
          <t xml:space="preserve">  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44" t="n"/>
      <c r="B15" s="352" t="n"/>
      <c r="C15" s="353" t="inlineStr">
        <is>
          <t>BIAYA SEWA PERALATAN</t>
        </is>
      </c>
      <c r="D15" s="354" t="inlineStr">
        <is>
          <t>Rp</t>
        </is>
      </c>
      <c r="E15" s="355">
        <f>'Revenue-Cost_2030'!I107</f>
        <v/>
      </c>
      <c r="F15" s="329" t="n"/>
      <c r="G15" s="363" t="n"/>
      <c r="H15" s="357" t="inlineStr">
        <is>
          <t xml:space="preserve">  PIUTANG LAIN LAIN</t>
        </is>
      </c>
      <c r="I15" s="354" t="inlineStr">
        <is>
          <t>Rp</t>
        </is>
      </c>
      <c r="J15" s="355" t="n">
        <v>0</v>
      </c>
    </row>
    <row r="16" ht="15" customHeight="1">
      <c r="A16" s="344" t="n"/>
      <c r="B16" s="352" t="n"/>
      <c r="C16" s="353" t="inlineStr">
        <is>
          <t>BIAYA RESEARCH (R&amp;D)</t>
        </is>
      </c>
      <c r="D16" s="354" t="inlineStr">
        <is>
          <t>Rp</t>
        </is>
      </c>
      <c r="E16" s="355">
        <f>'Revenue-Cost_2030'!J107</f>
        <v/>
      </c>
      <c r="F16" s="329" t="n"/>
      <c r="G16" s="364" t="n"/>
      <c r="H16" s="365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44" t="n"/>
      <c r="B17" s="352" t="n"/>
      <c r="C17" s="353" t="inlineStr">
        <is>
          <t>BIAYA OPERASI</t>
        </is>
      </c>
      <c r="D17" s="354" t="inlineStr">
        <is>
          <t>Rp</t>
        </is>
      </c>
      <c r="E17" s="355">
        <f>'Revenue-Cost_2030'!K107</f>
        <v/>
      </c>
      <c r="F17" s="329" t="n"/>
      <c r="G17" s="349" t="n"/>
      <c r="H17" s="350" t="inlineStr">
        <is>
          <t>ACTIVA TETAP</t>
        </is>
      </c>
      <c r="I17" s="351" t="n"/>
      <c r="J17" s="348" t="n"/>
    </row>
    <row r="18" ht="15" customHeight="1">
      <c r="A18" s="344" t="n"/>
      <c r="B18" s="352" t="n"/>
      <c r="C18" s="353" t="inlineStr">
        <is>
          <t>DIOFAVIAN</t>
        </is>
      </c>
      <c r="D18" s="354" t="inlineStr">
        <is>
          <t>Rp</t>
        </is>
      </c>
      <c r="E18" s="355">
        <f>'Revenue-Cost_2030'!L107</f>
        <v/>
      </c>
      <c r="F18" s="329" t="n"/>
      <c r="G18" s="356" t="inlineStr">
        <is>
          <t>ACTIVA TETAP</t>
        </is>
      </c>
      <c r="H18" s="357" t="n"/>
      <c r="I18" s="358" t="n"/>
      <c r="J18" s="355" t="n"/>
    </row>
    <row r="19" ht="15" customHeight="1">
      <c r="A19" s="344" t="n"/>
      <c r="B19" s="359" t="inlineStr">
        <is>
          <t>TOTAL BIAYA LANGSUNG</t>
        </is>
      </c>
      <c r="C19" s="360" t="n"/>
      <c r="D19" s="361" t="inlineStr">
        <is>
          <t>Rp</t>
        </is>
      </c>
      <c r="E19" s="362">
        <f>SUM(E15:E18)</f>
        <v/>
      </c>
      <c r="F19" s="329" t="n"/>
      <c r="G19" s="356" t="n"/>
      <c r="H19" s="357" t="n"/>
      <c r="I19" s="358" t="n"/>
      <c r="J19" s="355" t="n"/>
    </row>
    <row r="20" ht="15" customHeight="1">
      <c r="A20" s="344" t="n"/>
      <c r="B20" s="352" t="n"/>
      <c r="C20" s="353" t="n"/>
      <c r="D20" s="354" t="n"/>
      <c r="E20" s="355" t="n"/>
      <c r="F20" s="329" t="n"/>
      <c r="G20" s="356" t="n"/>
      <c r="H20" s="357" t="inlineStr">
        <is>
          <t xml:space="preserve">  INVENTARIS KANTOR</t>
        </is>
      </c>
      <c r="I20" s="354" t="inlineStr">
        <is>
          <t>Rp</t>
        </is>
      </c>
      <c r="J20" s="355" t="n">
        <v>0</v>
      </c>
    </row>
    <row r="21" ht="15" customHeight="1">
      <c r="A21" s="344" t="n"/>
      <c r="B21" s="345" t="inlineStr">
        <is>
          <t>BEBAN TIDAK LANGSUNG</t>
        </is>
      </c>
      <c r="C21" s="346" t="n"/>
      <c r="D21" s="347" t="n"/>
      <c r="E21" s="348" t="n"/>
      <c r="F21" s="329" t="n"/>
      <c r="G21" s="356" t="n"/>
      <c r="H21" s="357" t="n"/>
      <c r="I21" s="358" t="n"/>
      <c r="J21" s="355" t="n"/>
    </row>
    <row r="22" ht="15" customHeight="1">
      <c r="A22" s="344" t="n"/>
      <c r="B22" s="352" t="n"/>
      <c r="C22" s="353" t="n"/>
      <c r="D22" s="354" t="inlineStr">
        <is>
          <t>Rp</t>
        </is>
      </c>
      <c r="E22" s="355" t="n">
        <v>0</v>
      </c>
      <c r="F22" s="329" t="n"/>
      <c r="G22" s="364" t="n"/>
      <c r="H22" s="365" t="inlineStr">
        <is>
          <t>TOTAL AKTIVA TETAP</t>
        </is>
      </c>
      <c r="I22" s="361" t="inlineStr">
        <is>
          <t>Rp</t>
        </is>
      </c>
      <c r="J22" s="362">
        <f>J20</f>
        <v/>
      </c>
    </row>
    <row r="23" ht="15" customHeight="1">
      <c r="A23" s="344" t="n"/>
      <c r="B23" s="359" t="inlineStr">
        <is>
          <t>TOTAL BIAYA TIDAK LANGSUNG</t>
        </is>
      </c>
      <c r="C23" s="360" t="n"/>
      <c r="D23" s="361" t="inlineStr">
        <is>
          <t>Rp</t>
        </is>
      </c>
      <c r="E23" s="362">
        <f>SUM(E22:E22)</f>
        <v/>
      </c>
      <c r="F23" s="329" t="n"/>
      <c r="G23" s="356" t="n"/>
      <c r="H23" s="357" t="n"/>
      <c r="I23" s="358" t="n"/>
      <c r="J23" s="355" t="n"/>
    </row>
    <row r="24" ht="15" customHeight="1">
      <c r="A24" s="344" t="n"/>
      <c r="B24" s="352" t="n"/>
      <c r="C24" s="353" t="n"/>
      <c r="D24" s="354" t="n"/>
      <c r="E24" s="355" t="n"/>
      <c r="F24" s="329" t="n"/>
      <c r="G24" s="349" t="inlineStr">
        <is>
          <t>ACTIVA LAIN LAIN</t>
        </is>
      </c>
      <c r="H24" s="350" t="inlineStr">
        <is>
          <t>ACTIVA LAIN LAIN</t>
        </is>
      </c>
      <c r="I24" s="351" t="n"/>
      <c r="J24" s="348" t="n">
        <v>0</v>
      </c>
    </row>
    <row r="25" ht="15" customHeight="1">
      <c r="A25" s="344" t="n"/>
      <c r="B25" s="345" t="inlineStr">
        <is>
          <t>BIAYA ADMINISTRASI DAN UMUM</t>
        </is>
      </c>
      <c r="C25" s="346" t="n"/>
      <c r="D25" s="347" t="n"/>
      <c r="E25" s="348" t="n"/>
      <c r="F25" s="329" t="n"/>
      <c r="G25" s="364" t="n"/>
      <c r="H25" s="365" t="inlineStr">
        <is>
          <t xml:space="preserve">  TOTAL AKTIVA LAIN LAIN</t>
        </is>
      </c>
      <c r="I25" s="366" t="inlineStr">
        <is>
          <t>Rp</t>
        </is>
      </c>
      <c r="J25" s="362" t="n">
        <v>0</v>
      </c>
    </row>
    <row r="26" ht="15" customHeight="1">
      <c r="A26" s="344" t="n"/>
      <c r="B26" s="352" t="n"/>
      <c r="C26" s="353" t="inlineStr">
        <is>
          <t>ASDASD</t>
        </is>
      </c>
      <c r="D26" s="354" t="inlineStr">
        <is>
          <t>Rp</t>
        </is>
      </c>
      <c r="E26" s="355">
        <f>'Revenue-Cost_2030'!M107</f>
        <v/>
      </c>
      <c r="F26" s="329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44" t="n"/>
      <c r="B27" s="352" t="n"/>
      <c r="C27" s="353" t="inlineStr">
        <is>
          <t>12312</t>
        </is>
      </c>
      <c r="D27" s="354" t="inlineStr">
        <is>
          <t>Rp</t>
        </is>
      </c>
      <c r="E27" s="355">
        <f>'Revenue-Cost_2030'!N107</f>
        <v/>
      </c>
      <c r="F27" s="329" t="n"/>
      <c r="G27" s="356" t="n"/>
      <c r="H27" s="357" t="n"/>
      <c r="I27" s="358" t="n"/>
      <c r="J27" s="355" t="n"/>
    </row>
    <row r="28" ht="15" customHeight="1">
      <c r="A28" s="344" t="n"/>
      <c r="B28" s="359" t="inlineStr">
        <is>
          <t>TOTAL BIAYA ADMINISTRASI DAN UMUM</t>
        </is>
      </c>
      <c r="C28" s="360" t="n"/>
      <c r="D28" s="361" t="inlineStr">
        <is>
          <t>Rp</t>
        </is>
      </c>
      <c r="E28" s="362">
        <f>SUM(E26:E27)</f>
        <v/>
      </c>
      <c r="F28" s="329" t="n"/>
      <c r="G28" s="367" t="inlineStr">
        <is>
          <t>TOTAL AKTIVA</t>
        </is>
      </c>
      <c r="H28" s="360" t="inlineStr">
        <is>
          <t>TOTAL AKTIVA</t>
        </is>
      </c>
      <c r="I28" s="361" t="inlineStr">
        <is>
          <t>Rp</t>
        </is>
      </c>
      <c r="J28" s="362">
        <f>J26+J22+J16</f>
        <v/>
      </c>
    </row>
    <row r="29" ht="15" customHeight="1">
      <c r="A29" s="344" t="n"/>
      <c r="B29" s="352" t="n"/>
      <c r="C29" s="353" t="n"/>
      <c r="D29" s="354" t="n"/>
      <c r="E29" s="355" t="n"/>
      <c r="F29" s="329" t="n"/>
      <c r="G29" s="356" t="n"/>
      <c r="H29" s="357" t="n"/>
      <c r="I29" s="358" t="n"/>
      <c r="J29" s="355" t="n"/>
    </row>
    <row r="30" ht="15" customHeight="1">
      <c r="A30" s="344" t="n"/>
      <c r="B30" s="359" t="inlineStr">
        <is>
          <t>TOTAL BIAYA</t>
        </is>
      </c>
      <c r="C30" s="360" t="n"/>
      <c r="D30" s="361" t="inlineStr">
        <is>
          <t>Rp</t>
        </is>
      </c>
      <c r="E30" s="362">
        <f>E19+E23+E28</f>
        <v/>
      </c>
      <c r="F30" s="329" t="n"/>
      <c r="G30" s="349" t="inlineStr">
        <is>
          <t>HUTANG DAN MODAL</t>
        </is>
      </c>
      <c r="H30" s="350" t="inlineStr">
        <is>
          <t>HUTANG DAN MODAL</t>
        </is>
      </c>
      <c r="I30" s="351" t="n"/>
      <c r="J30" s="348" t="n"/>
    </row>
    <row r="31" ht="15" customHeight="1">
      <c r="A31" s="344" t="n"/>
      <c r="B31" s="352" t="n"/>
      <c r="C31" s="353" t="n"/>
      <c r="D31" s="354" t="n"/>
      <c r="E31" s="355" t="n"/>
      <c r="F31" s="329" t="n"/>
      <c r="G31" s="356" t="n"/>
      <c r="H31" s="357" t="n"/>
      <c r="I31" s="358" t="n"/>
      <c r="J31" s="355" t="n"/>
    </row>
    <row r="32" ht="15" customHeight="1">
      <c r="A32" s="344" t="n"/>
      <c r="B32" s="345" t="inlineStr">
        <is>
          <t>PENDAPATAN/BEBAN LAIN LAIN</t>
        </is>
      </c>
      <c r="C32" s="346" t="n"/>
      <c r="D32" s="347" t="n"/>
      <c r="E32" s="348" t="n"/>
      <c r="F32" s="329" t="n"/>
      <c r="G32" s="349" t="inlineStr">
        <is>
          <t>HUTANG LANCAR</t>
        </is>
      </c>
      <c r="H32" s="350" t="inlineStr">
        <is>
          <t>HUTANG LANCAR</t>
        </is>
      </c>
      <c r="I32" s="351" t="n"/>
      <c r="J32" s="348" t="n"/>
    </row>
    <row r="33" ht="15" customHeight="1">
      <c r="A33" s="344" t="n"/>
      <c r="B33" s="352" t="n"/>
      <c r="C33" s="353" t="inlineStr">
        <is>
          <t>PENDAPATAN LAIN LAIN</t>
        </is>
      </c>
      <c r="D33" s="354" t="inlineStr">
        <is>
          <t>Rp</t>
        </is>
      </c>
      <c r="E33" s="355" t="n">
        <v>0</v>
      </c>
      <c r="F33" s="329" t="n"/>
      <c r="G33" s="356" t="n"/>
      <c r="H33" s="357" t="inlineStr">
        <is>
          <t xml:space="preserve">  HUTANG USAHA</t>
        </is>
      </c>
      <c r="I33" s="354" t="inlineStr">
        <is>
          <t>Rp</t>
        </is>
      </c>
      <c r="J33" s="355" t="n">
        <v>0</v>
      </c>
    </row>
    <row r="34" ht="15" customHeight="1">
      <c r="A34" s="344" t="n"/>
      <c r="B34" s="352" t="n"/>
      <c r="C34" s="353" t="n"/>
      <c r="D34" s="354" t="n"/>
      <c r="E34" s="355" t="n"/>
      <c r="F34" s="329" t="n"/>
      <c r="G34" s="356" t="n"/>
      <c r="H34" s="353" t="inlineStr">
        <is>
          <t xml:space="preserve">  HUTANG GAJI</t>
        </is>
      </c>
      <c r="I34" s="354" t="inlineStr">
        <is>
          <t>Rp</t>
        </is>
      </c>
      <c r="J34" s="355" t="n">
        <v>0</v>
      </c>
    </row>
    <row r="35" ht="15" customHeight="1">
      <c r="A35" s="344" t="n"/>
      <c r="B35" s="359" t="inlineStr">
        <is>
          <t>LABA RUGI SEBELUM PAJAK</t>
        </is>
      </c>
      <c r="C35" s="360" t="n"/>
      <c r="D35" s="361" t="inlineStr">
        <is>
          <t>Rp</t>
        </is>
      </c>
      <c r="E35" s="362">
        <f>E12-E30</f>
        <v/>
      </c>
      <c r="F35" s="329" t="n"/>
      <c r="G35" s="356" t="n"/>
      <c r="H35" s="357" t="inlineStr">
        <is>
          <t xml:space="preserve">  HUTANG PEMEGANG SAHAM</t>
        </is>
      </c>
      <c r="I35" s="354" t="inlineStr">
        <is>
          <t>Rp</t>
        </is>
      </c>
      <c r="J35" s="355" t="n">
        <v>0</v>
      </c>
    </row>
    <row r="36" ht="15" customHeight="1">
      <c r="A36" s="344" t="n"/>
      <c r="B36" s="352" t="n"/>
      <c r="C36" s="353" t="n"/>
      <c r="D36" s="354" t="n"/>
      <c r="E36" s="355" t="n"/>
      <c r="F36" s="329" t="n"/>
      <c r="G36" s="356" t="n"/>
      <c r="H36" s="357" t="inlineStr">
        <is>
          <t xml:space="preserve">  BIAYA YANG MASIH HARUS DI BAYAR</t>
        </is>
      </c>
      <c r="I36" s="354" t="inlineStr">
        <is>
          <t>Rp</t>
        </is>
      </c>
      <c r="J36" s="355" t="n">
        <v>0</v>
      </c>
    </row>
    <row r="37" ht="15" customHeight="1">
      <c r="A37" s="344" t="n"/>
      <c r="B37" s="359" t="inlineStr">
        <is>
          <t>CORPORATE TAX (PPh 29)</t>
        </is>
      </c>
      <c r="C37" s="360" t="n"/>
      <c r="D37" s="361" t="inlineStr">
        <is>
          <t>Rp</t>
        </is>
      </c>
      <c r="E37" s="362" t="n">
        <v>0</v>
      </c>
      <c r="F37" s="329" t="n"/>
      <c r="G37" s="352" t="n"/>
      <c r="H37" s="353" t="n"/>
      <c r="I37" s="354" t="n"/>
      <c r="J37" s="355" t="n"/>
    </row>
    <row r="38" ht="15" customHeight="1">
      <c r="A38" s="344" t="n"/>
      <c r="B38" s="352" t="n"/>
      <c r="C38" s="353" t="n"/>
      <c r="D38" s="354" t="n"/>
      <c r="E38" s="355" t="n"/>
      <c r="F38" s="329" t="n"/>
      <c r="G38" s="364" t="n"/>
      <c r="H38" s="365" t="inlineStr">
        <is>
          <t>TOTAL HUTANG LANCAR</t>
        </is>
      </c>
      <c r="I38" s="366" t="inlineStr">
        <is>
          <t>Rp</t>
        </is>
      </c>
      <c r="J38" s="362">
        <f>SUM(J33:J36)</f>
        <v/>
      </c>
    </row>
    <row r="39" ht="15" customHeight="1">
      <c r="A39" s="344" t="n"/>
      <c r="B39" s="368" t="inlineStr">
        <is>
          <t>LABA / RUGI BERSIH</t>
        </is>
      </c>
      <c r="C39" s="369" t="n"/>
      <c r="D39" s="370" t="inlineStr">
        <is>
          <t>Rp</t>
        </is>
      </c>
      <c r="E39" s="371">
        <f>E35-E37</f>
        <v/>
      </c>
      <c r="F39" s="329" t="n"/>
      <c r="G39" s="356" t="n"/>
      <c r="H39" s="357" t="n"/>
      <c r="I39" s="358" t="n"/>
      <c r="J39" s="355" t="n"/>
    </row>
    <row r="40" ht="14.25" customHeight="1">
      <c r="A40" s="344" t="n"/>
      <c r="B40" s="344" t="n"/>
      <c r="C40" s="344" t="n"/>
      <c r="D40" s="344" t="n"/>
      <c r="E40" s="344" t="n"/>
      <c r="F40" s="344" t="n"/>
      <c r="G40" s="345" t="n"/>
      <c r="H40" s="346" t="inlineStr">
        <is>
          <t>MODAL</t>
        </is>
      </c>
      <c r="I40" s="347" t="n"/>
      <c r="J40" s="348" t="n"/>
    </row>
    <row r="41" ht="14.25" customHeight="1">
      <c r="A41" s="344" t="n"/>
      <c r="B41" s="344" t="n"/>
      <c r="C41" s="344" t="n"/>
      <c r="D41" s="344" t="n"/>
      <c r="E41" s="344" t="n"/>
      <c r="F41" s="344" t="n"/>
      <c r="G41" s="352" t="n"/>
      <c r="H41" s="353" t="inlineStr">
        <is>
          <t xml:space="preserve">  MODAL SAHAM</t>
        </is>
      </c>
      <c r="I41" s="354" t="inlineStr">
        <is>
          <t>Rp</t>
        </is>
      </c>
      <c r="J41" s="355" t="n">
        <v>0</v>
      </c>
    </row>
    <row r="42" ht="14.25" customHeight="1">
      <c r="A42" s="344" t="n"/>
      <c r="B42" s="344" t="n"/>
      <c r="C42" s="344" t="n"/>
      <c r="D42" s="344" t="n"/>
      <c r="E42" s="344" t="n"/>
      <c r="F42" s="344" t="n"/>
      <c r="G42" s="352" t="n"/>
      <c r="H42" s="353" t="inlineStr">
        <is>
          <t xml:space="preserve">  LABA DI TAHAN</t>
        </is>
      </c>
      <c r="I42" s="354" t="inlineStr">
        <is>
          <t>Rp</t>
        </is>
      </c>
      <c r="J42" s="355" t="n">
        <v>0</v>
      </c>
    </row>
    <row r="43" ht="14.25" customHeight="1">
      <c r="A43" s="344" t="n"/>
      <c r="B43" s="344" t="n"/>
      <c r="C43" s="344" t="n"/>
      <c r="D43" s="344" t="n"/>
      <c r="E43" s="344" t="n"/>
      <c r="F43" s="344" t="n"/>
      <c r="G43" s="352" t="n"/>
      <c r="H43" s="353" t="inlineStr">
        <is>
          <t xml:space="preserve">  TOTAL LABA (RUGI) DITAHAN</t>
        </is>
      </c>
      <c r="I43" s="354" t="inlineStr">
        <is>
          <t>Rp</t>
        </is>
      </c>
      <c r="J43" s="355">
        <f>J28-J38-J41-J42</f>
        <v/>
      </c>
    </row>
    <row r="44" ht="14.25" customHeight="1">
      <c r="A44" s="344" t="n"/>
      <c r="B44" s="344" t="n"/>
      <c r="C44" s="344" t="n"/>
      <c r="D44" s="344" t="n"/>
      <c r="E44" s="344" t="n"/>
      <c r="F44" s="344" t="n"/>
      <c r="G44" s="359" t="n"/>
      <c r="H44" s="360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4.25" customHeight="1">
      <c r="A45" s="344" t="n"/>
      <c r="B45" s="344" t="n"/>
      <c r="C45" s="344" t="n"/>
      <c r="D45" s="344" t="n"/>
      <c r="E45" s="344" t="n"/>
      <c r="F45" s="344" t="n"/>
      <c r="G45" s="352" t="n"/>
      <c r="H45" s="353" t="n"/>
      <c r="I45" s="354" t="n"/>
      <c r="J45" s="355" t="n"/>
    </row>
    <row r="46" ht="14.65" customHeight="1">
      <c r="A46" s="344" t="n"/>
      <c r="B46" s="344" t="n"/>
      <c r="C46" s="344" t="n"/>
      <c r="D46" s="344" t="n"/>
      <c r="E46" s="344" t="n"/>
      <c r="F46" s="344" t="n"/>
      <c r="G46" s="368" t="n"/>
      <c r="H46" s="369" t="inlineStr">
        <is>
          <t>TOTAL HUTANG DAN MODAL</t>
        </is>
      </c>
      <c r="I46" s="370" t="inlineStr">
        <is>
          <t>Rp</t>
        </is>
      </c>
      <c r="J46" s="371">
        <f>J44+J38</f>
        <v/>
      </c>
    </row>
    <row r="47" ht="4.5" customHeight="1">
      <c r="A47" s="344" t="n"/>
      <c r="B47" s="344" t="n"/>
      <c r="C47" s="344" t="n"/>
      <c r="D47" s="344" t="n"/>
      <c r="E47" s="344" t="n"/>
      <c r="F47" s="344" t="n"/>
      <c r="G47" s="344" t="n"/>
      <c r="H47" s="344" t="n"/>
      <c r="I47" s="344" t="n"/>
      <c r="J47" s="344" t="n"/>
    </row>
    <row r="48" ht="50.65" customHeight="1">
      <c r="A48" s="344" t="n"/>
      <c r="B48" s="344" t="n"/>
      <c r="C48" s="344" t="n"/>
      <c r="D48" s="344" t="n"/>
      <c r="E48" s="344" t="n"/>
      <c r="F48" s="344" t="n"/>
      <c r="G48" s="344" t="n"/>
      <c r="H48" s="344" t="n"/>
      <c r="I48" s="344" t="n"/>
      <c r="J48" s="344" t="n"/>
    </row>
    <row r="49" ht="16.8" customHeight="1">
      <c r="A49" s="344" t="n"/>
      <c r="B49" s="372" t="inlineStr">
        <is>
          <t>Nama Lengkap</t>
        </is>
      </c>
      <c r="F49" s="344" t="n"/>
      <c r="G49" s="372" t="inlineStr">
        <is>
          <t>Nama Lengkap</t>
        </is>
      </c>
    </row>
    <row r="50" ht="15.6" customHeight="1">
      <c r="A50" s="344" t="n"/>
      <c r="B50" s="373" t="inlineStr">
        <is>
          <t>Direktur</t>
        </is>
      </c>
      <c r="F50" s="344" t="n"/>
      <c r="G50" s="373" t="inlineStr">
        <is>
          <t>Direktur</t>
        </is>
      </c>
    </row>
    <row r="51" ht="14.25" customHeight="1">
      <c r="A51" s="344" t="n"/>
      <c r="B51" s="344" t="n"/>
      <c r="C51" s="344" t="n"/>
      <c r="D51" s="344" t="n"/>
      <c r="E51" s="344" t="n"/>
      <c r="F51" s="344" t="n"/>
      <c r="G51" s="344" t="n"/>
      <c r="H51" s="344" t="n"/>
    </row>
    <row r="52" ht="14.25" customHeight="1">
      <c r="A52" s="344" t="n"/>
      <c r="B52" s="344" t="n"/>
      <c r="C52" s="344" t="n"/>
      <c r="D52" s="344" t="n"/>
      <c r="E52" s="344" t="n"/>
      <c r="F52" s="344" t="n"/>
      <c r="G52" s="344" t="n"/>
      <c r="H52" s="344" t="n"/>
      <c r="J52" s="374" t="n"/>
    </row>
    <row r="53">
      <c r="A53" s="344" t="n"/>
      <c r="B53" s="344" t="n"/>
      <c r="C53" s="344" t="n"/>
      <c r="D53" s="344" t="n"/>
      <c r="E53" s="344" t="n"/>
      <c r="F53" s="344" t="n"/>
      <c r="G53" s="344" t="n"/>
      <c r="H53" s="344" t="n"/>
    </row>
    <row r="54">
      <c r="A54" s="344" t="n"/>
      <c r="B54" s="344" t="n"/>
      <c r="C54" s="344" t="n"/>
      <c r="D54" s="344" t="n"/>
      <c r="E54" s="344" t="n"/>
      <c r="F54" s="344" t="n"/>
      <c r="G54" s="344" t="n"/>
      <c r="H54" s="344" t="n"/>
    </row>
    <row r="55">
      <c r="A55" s="344" t="n"/>
      <c r="B55" s="344" t="n"/>
      <c r="C55" s="344" t="n"/>
      <c r="D55" s="344" t="n"/>
      <c r="E55" s="344" t="n"/>
      <c r="F55" s="344" t="n"/>
      <c r="G55" s="344" t="n"/>
      <c r="H55" s="344" t="n"/>
    </row>
    <row r="56">
      <c r="A56" s="344" t="n"/>
      <c r="B56" s="344" t="n"/>
      <c r="C56" s="344" t="n"/>
      <c r="D56" s="344" t="n"/>
      <c r="E56" s="344" t="n"/>
      <c r="F56" s="344" t="n"/>
      <c r="G56" s="344" t="n"/>
      <c r="H56" s="344" t="n"/>
    </row>
    <row r="57">
      <c r="A57" s="344" t="n"/>
      <c r="B57" s="344" t="n"/>
      <c r="C57" s="344" t="n"/>
      <c r="D57" s="344" t="n"/>
      <c r="E57" s="344" t="n"/>
      <c r="F57" s="344" t="n"/>
      <c r="G57" s="344" t="n"/>
      <c r="H57" s="344" t="n"/>
    </row>
    <row r="58">
      <c r="A58" s="344" t="n"/>
      <c r="B58" s="344" t="n"/>
      <c r="C58" s="344" t="n"/>
      <c r="D58" s="344" t="n"/>
      <c r="E58" s="344" t="n"/>
      <c r="F58" s="344" t="n"/>
      <c r="G58" s="344" t="n"/>
      <c r="H58" s="344" t="n"/>
    </row>
    <row r="59">
      <c r="A59" s="344" t="n"/>
      <c r="B59" s="344" t="n"/>
      <c r="C59" s="344" t="n"/>
      <c r="D59" s="344" t="n"/>
      <c r="E59" s="344" t="n"/>
      <c r="F59" s="344" t="n"/>
      <c r="G59" s="344" t="n"/>
      <c r="H59" s="344" t="n"/>
    </row>
    <row r="60">
      <c r="A60" s="344" t="n"/>
      <c r="B60" s="344" t="n"/>
      <c r="C60" s="344" t="n"/>
      <c r="D60" s="344" t="n"/>
      <c r="E60" s="344" t="n"/>
      <c r="F60" s="344" t="n"/>
      <c r="G60" s="344" t="n"/>
      <c r="H60" s="344" t="n"/>
    </row>
    <row r="61">
      <c r="A61" s="344" t="n"/>
      <c r="B61" s="344" t="n"/>
      <c r="C61" s="344" t="n"/>
      <c r="D61" s="344" t="n"/>
      <c r="E61" s="344" t="n"/>
      <c r="F61" s="344" t="n"/>
      <c r="G61" s="344" t="n"/>
      <c r="H61" s="344" t="n"/>
    </row>
    <row r="62">
      <c r="A62" s="344" t="n"/>
      <c r="B62" s="344" t="n"/>
      <c r="C62" s="344" t="n"/>
      <c r="D62" s="344" t="n"/>
      <c r="E62" s="344" t="n"/>
      <c r="F62" s="344" t="n"/>
      <c r="G62" s="344" t="n"/>
      <c r="H62" s="344" t="n"/>
    </row>
    <row r="63">
      <c r="A63" s="344" t="n"/>
      <c r="B63" s="344" t="n"/>
      <c r="C63" s="344" t="n"/>
      <c r="D63" s="344" t="n"/>
      <c r="E63" s="344" t="n"/>
      <c r="F63" s="344" t="n"/>
      <c r="G63" s="344" t="n"/>
      <c r="H63" s="344" t="n"/>
    </row>
    <row r="64">
      <c r="A64" s="344" t="n"/>
      <c r="B64" s="344" t="n"/>
      <c r="C64" s="344" t="n"/>
      <c r="D64" s="344" t="n"/>
      <c r="E64" s="344" t="n"/>
      <c r="F64" s="344" t="n"/>
      <c r="G64" s="344" t="n"/>
      <c r="H64" s="344" t="n"/>
    </row>
    <row r="65">
      <c r="A65" s="344" t="n"/>
      <c r="B65" s="344" t="n"/>
      <c r="C65" s="344" t="n"/>
      <c r="D65" s="344" t="n"/>
      <c r="E65" s="344" t="n"/>
      <c r="F65" s="344" t="n"/>
      <c r="G65" s="344" t="n"/>
      <c r="H65" s="344" t="n"/>
    </row>
    <row r="66">
      <c r="A66" s="344" t="n"/>
      <c r="B66" s="344" t="n"/>
      <c r="C66" s="344" t="n"/>
      <c r="D66" s="344" t="n"/>
      <c r="E66" s="344" t="n"/>
      <c r="F66" s="344" t="n"/>
      <c r="G66" s="344" t="n"/>
      <c r="H66" s="344" t="n"/>
    </row>
    <row r="67">
      <c r="A67" s="344" t="n"/>
      <c r="B67" s="344" t="n"/>
      <c r="C67" s="344" t="n"/>
      <c r="D67" s="344" t="n"/>
      <c r="E67" s="344" t="n"/>
      <c r="F67" s="344" t="n"/>
      <c r="G67" s="344" t="n"/>
      <c r="H67" s="344" t="n"/>
    </row>
    <row r="68">
      <c r="A68" s="344" t="n"/>
      <c r="B68" s="344" t="n"/>
      <c r="C68" s="344" t="n"/>
      <c r="D68" s="344" t="n"/>
      <c r="E68" s="344" t="n"/>
      <c r="F68" s="344" t="n"/>
      <c r="G68" s="344" t="n"/>
      <c r="H68" s="344" t="n"/>
    </row>
    <row r="69">
      <c r="A69" s="344" t="n"/>
      <c r="B69" s="344" t="n"/>
      <c r="C69" s="344" t="n"/>
      <c r="D69" s="344" t="n"/>
      <c r="E69" s="344" t="n"/>
      <c r="F69" s="344" t="n"/>
      <c r="G69" s="344" t="n"/>
      <c r="H69" s="344" t="n"/>
    </row>
    <row r="70">
      <c r="A70" s="344" t="n"/>
      <c r="B70" s="344" t="n"/>
      <c r="C70" s="344" t="n"/>
      <c r="D70" s="344" t="n"/>
      <c r="E70" s="344" t="n"/>
      <c r="F70" s="344" t="n"/>
      <c r="G70" s="344" t="n"/>
      <c r="H70" s="344" t="n"/>
    </row>
    <row r="71">
      <c r="A71" s="344" t="n"/>
      <c r="B71" s="344" t="n"/>
      <c r="C71" s="344" t="n"/>
      <c r="D71" s="344" t="n"/>
      <c r="E71" s="344" t="n"/>
      <c r="F71" s="344" t="n"/>
      <c r="G71" s="344" t="n"/>
      <c r="H71" s="344" t="n"/>
    </row>
    <row r="72">
      <c r="A72" s="344" t="n"/>
      <c r="B72" s="344" t="n"/>
      <c r="C72" s="344" t="n"/>
      <c r="D72" s="344" t="n"/>
      <c r="E72" s="344" t="n"/>
      <c r="F72" s="344" t="n"/>
      <c r="G72" s="344" t="n"/>
      <c r="H72" s="344" t="n"/>
    </row>
    <row r="73">
      <c r="A73" s="344" t="n"/>
      <c r="B73" s="344" t="n"/>
      <c r="C73" s="344" t="n"/>
      <c r="D73" s="344" t="n"/>
      <c r="E73" s="344" t="n"/>
      <c r="F73" s="344" t="n"/>
      <c r="G73" s="344" t="n"/>
      <c r="H73" s="344" t="n"/>
    </row>
    <row r="74">
      <c r="A74" s="344" t="n"/>
      <c r="B74" s="344" t="n"/>
      <c r="C74" s="344" t="n"/>
      <c r="D74" s="344" t="n"/>
      <c r="E74" s="344" t="n"/>
      <c r="F74" s="344" t="n"/>
      <c r="G74" s="344" t="n"/>
      <c r="H74" s="344" t="n"/>
    </row>
    <row r="75">
      <c r="A75" s="344" t="n"/>
      <c r="B75" s="344" t="n"/>
      <c r="C75" s="344" t="n"/>
      <c r="D75" s="344" t="n"/>
      <c r="E75" s="344" t="n"/>
      <c r="F75" s="344" t="n"/>
      <c r="G75" s="344" t="n"/>
      <c r="H75" s="344" t="n"/>
    </row>
    <row r="76">
      <c r="A76" s="344" t="n"/>
      <c r="B76" s="344" t="n"/>
      <c r="C76" s="344" t="n"/>
      <c r="D76" s="344" t="n"/>
      <c r="E76" s="344" t="n"/>
      <c r="F76" s="344" t="n"/>
      <c r="G76" s="344" t="n"/>
      <c r="H76" s="344" t="n"/>
    </row>
    <row r="77">
      <c r="A77" s="344" t="n"/>
      <c r="B77" s="344" t="n"/>
      <c r="C77" s="344" t="n"/>
      <c r="D77" s="344" t="n"/>
      <c r="E77" s="344" t="n"/>
      <c r="F77" s="344" t="n"/>
      <c r="G77" s="344" t="n"/>
      <c r="H77" s="344" t="n"/>
    </row>
    <row r="78">
      <c r="A78" s="344" t="n"/>
      <c r="B78" s="344" t="n"/>
      <c r="C78" s="344" t="n"/>
      <c r="D78" s="344" t="n"/>
      <c r="E78" s="344" t="n"/>
      <c r="F78" s="344" t="n"/>
      <c r="G78" s="344" t="n"/>
      <c r="H78" s="344" t="n"/>
    </row>
    <row r="79">
      <c r="A79" s="344" t="n"/>
      <c r="B79" s="344" t="n"/>
      <c r="C79" s="344" t="n"/>
      <c r="D79" s="344" t="n"/>
      <c r="E79" s="344" t="n"/>
      <c r="F79" s="344" t="n"/>
      <c r="G79" s="344" t="n"/>
      <c r="H79" s="344" t="n"/>
    </row>
    <row r="80">
      <c r="A80" s="344" t="n"/>
      <c r="B80" s="344" t="n"/>
      <c r="C80" s="344" t="n"/>
      <c r="D80" s="344" t="n"/>
      <c r="E80" s="344" t="n"/>
      <c r="F80" s="344" t="n"/>
      <c r="G80" s="344" t="n"/>
      <c r="H80" s="344" t="n"/>
    </row>
    <row r="81">
      <c r="A81" s="344" t="n"/>
      <c r="B81" s="344" t="n"/>
      <c r="C81" s="344" t="n"/>
      <c r="D81" s="344" t="n"/>
      <c r="E81" s="344" t="n"/>
      <c r="F81" s="344" t="n"/>
      <c r="G81" s="344" t="n"/>
      <c r="H81" s="344" t="n"/>
    </row>
    <row r="82">
      <c r="A82" s="344" t="n"/>
      <c r="B82" s="344" t="n"/>
      <c r="C82" s="344" t="n"/>
      <c r="D82" s="344" t="n"/>
      <c r="E82" s="344" t="n"/>
      <c r="F82" s="344" t="n"/>
      <c r="G82" s="344" t="n"/>
      <c r="H82" s="344" t="n"/>
    </row>
    <row r="83">
      <c r="A83" s="344" t="n"/>
      <c r="B83" s="344" t="n"/>
      <c r="C83" s="344" t="n"/>
      <c r="D83" s="344" t="n"/>
      <c r="E83" s="344" t="n"/>
      <c r="F83" s="344" t="n"/>
      <c r="G83" s="344" t="n"/>
      <c r="H83" s="344" t="n"/>
    </row>
    <row r="84">
      <c r="A84" s="344" t="n"/>
      <c r="B84" s="344" t="n"/>
      <c r="C84" s="344" t="n"/>
      <c r="D84" s="344" t="n"/>
      <c r="E84" s="344" t="n"/>
      <c r="F84" s="344" t="n"/>
      <c r="G84" s="344" t="n"/>
      <c r="H84" s="344" t="n"/>
    </row>
    <row r="85">
      <c r="A85" s="344" t="n"/>
      <c r="B85" s="344" t="n"/>
      <c r="C85" s="344" t="n"/>
      <c r="D85" s="344" t="n"/>
      <c r="E85" s="344" t="n"/>
      <c r="F85" s="344" t="n"/>
      <c r="G85" s="344" t="n"/>
      <c r="H85" s="344" t="n"/>
    </row>
    <row r="86">
      <c r="A86" s="344" t="n"/>
      <c r="B86" s="344" t="n"/>
      <c r="C86" s="344" t="n"/>
      <c r="D86" s="344" t="n"/>
      <c r="E86" s="344" t="n"/>
      <c r="F86" s="344" t="n"/>
      <c r="G86" s="344" t="n"/>
      <c r="H86" s="344" t="n"/>
    </row>
    <row r="87">
      <c r="A87" s="344" t="n"/>
      <c r="B87" s="344" t="n"/>
      <c r="C87" s="344" t="n"/>
      <c r="D87" s="344" t="n"/>
      <c r="E87" s="344" t="n"/>
      <c r="F87" s="344" t="n"/>
      <c r="G87" s="344" t="n"/>
      <c r="H87" s="344" t="n"/>
    </row>
    <row r="88">
      <c r="A88" s="344" t="n"/>
      <c r="B88" s="344" t="n"/>
      <c r="C88" s="344" t="n"/>
      <c r="D88" s="344" t="n"/>
      <c r="E88" s="344" t="n"/>
      <c r="F88" s="344" t="n"/>
      <c r="G88" s="344" t="n"/>
      <c r="H88" s="344" t="n"/>
    </row>
    <row r="89">
      <c r="A89" s="344" t="n"/>
      <c r="B89" s="344" t="n"/>
      <c r="C89" s="344" t="n"/>
      <c r="D89" s="344" t="n"/>
      <c r="E89" s="344" t="n"/>
      <c r="F89" s="344" t="n"/>
      <c r="G89" s="344" t="n"/>
      <c r="H89" s="344" t="n"/>
    </row>
    <row r="90">
      <c r="A90" s="344" t="n"/>
      <c r="B90" s="344" t="n"/>
      <c r="C90" s="344" t="n"/>
      <c r="D90" s="344" t="n"/>
      <c r="E90" s="344" t="n"/>
      <c r="F90" s="344" t="n"/>
      <c r="G90" s="344" t="n"/>
      <c r="H90" s="344" t="n"/>
    </row>
    <row r="91">
      <c r="A91" s="344" t="n"/>
      <c r="B91" s="344" t="n"/>
      <c r="C91" s="344" t="n"/>
      <c r="D91" s="344" t="n"/>
      <c r="E91" s="344" t="n"/>
      <c r="F91" s="344" t="n"/>
      <c r="G91" s="344" t="n"/>
      <c r="H91" s="344" t="n"/>
    </row>
    <row r="92">
      <c r="A92" s="344" t="n"/>
      <c r="B92" s="344" t="n"/>
      <c r="C92" s="344" t="n"/>
      <c r="D92" s="344" t="n"/>
      <c r="E92" s="344" t="n"/>
      <c r="F92" s="344" t="n"/>
      <c r="G92" s="344" t="n"/>
      <c r="H92" s="344" t="n"/>
    </row>
    <row r="93">
      <c r="A93" s="344" t="n"/>
      <c r="B93" s="344" t="n"/>
      <c r="C93" s="344" t="n"/>
      <c r="D93" s="344" t="n"/>
      <c r="E93" s="344" t="n"/>
      <c r="F93" s="344" t="n"/>
      <c r="G93" s="344" t="n"/>
      <c r="H93" s="344" t="n"/>
    </row>
    <row r="94">
      <c r="A94" s="344" t="n"/>
      <c r="B94" s="344" t="n"/>
      <c r="C94" s="344" t="n"/>
      <c r="D94" s="344" t="n"/>
      <c r="E94" s="344" t="n"/>
      <c r="F94" s="344" t="n"/>
      <c r="G94" s="344" t="n"/>
      <c r="H94" s="344" t="n"/>
    </row>
    <row r="95">
      <c r="A95" s="344" t="n"/>
      <c r="B95" s="344" t="n"/>
      <c r="C95" s="344" t="n"/>
      <c r="D95" s="344" t="n"/>
      <c r="E95" s="344" t="n"/>
      <c r="F95" s="344" t="n"/>
      <c r="G95" s="344" t="n"/>
      <c r="H95" s="344" t="n"/>
    </row>
    <row r="96" ht="64.5" customHeight="1">
      <c r="A96" s="344" t="n"/>
      <c r="B96" s="344" t="n"/>
      <c r="C96" s="344" t="n"/>
      <c r="D96" s="344" t="n"/>
      <c r="E96" s="344" t="n"/>
      <c r="F96" s="344" t="n"/>
      <c r="G96" s="344" t="n"/>
      <c r="H96" s="344" t="n"/>
    </row>
    <row r="97">
      <c r="A97" s="344" t="n"/>
      <c r="B97" s="344" t="n"/>
      <c r="C97" s="344" t="n"/>
      <c r="D97" s="344" t="n"/>
      <c r="E97" s="344" t="n"/>
      <c r="F97" s="344" t="n"/>
      <c r="G97" s="344" t="n"/>
      <c r="H97" s="344" t="n"/>
    </row>
    <row r="98">
      <c r="A98" s="344" t="n"/>
      <c r="B98" s="344" t="n"/>
      <c r="C98" s="344" t="n"/>
      <c r="D98" s="344" t="n"/>
      <c r="E98" s="344" t="n"/>
      <c r="F98" s="344" t="n"/>
      <c r="G98" s="344" t="n"/>
      <c r="H98" s="344" t="n"/>
    </row>
    <row r="99">
      <c r="A99" s="344" t="n"/>
      <c r="B99" s="344" t="n"/>
      <c r="C99" s="344" t="n"/>
      <c r="D99" s="344" t="n"/>
      <c r="E99" s="344" t="n"/>
      <c r="F99" s="344" t="n"/>
      <c r="G99" s="344" t="n"/>
      <c r="H99" s="344" t="n"/>
    </row>
    <row r="100">
      <c r="A100" s="344" t="n"/>
      <c r="B100" s="344" t="n"/>
      <c r="C100" s="344" t="n"/>
      <c r="D100" s="344" t="n"/>
      <c r="E100" s="344" t="n"/>
      <c r="F100" s="344" t="n"/>
      <c r="G100" s="344" t="n"/>
      <c r="H100" s="344" t="n"/>
    </row>
    <row r="101">
      <c r="A101" s="344" t="n"/>
      <c r="B101" s="344" t="n"/>
      <c r="C101" s="344" t="n"/>
      <c r="D101" s="344" t="n"/>
      <c r="E101" s="344" t="n"/>
      <c r="F101" s="344" t="n"/>
      <c r="G101" s="344" t="n"/>
      <c r="H101" s="344" t="n"/>
    </row>
    <row r="102">
      <c r="A102" s="344" t="n"/>
      <c r="B102" s="344" t="n"/>
      <c r="C102" s="344" t="n"/>
      <c r="D102" s="344" t="n"/>
      <c r="E102" s="344" t="n"/>
      <c r="F102" s="344" t="n"/>
      <c r="G102" s="344" t="n"/>
      <c r="H102" s="344" t="n"/>
    </row>
    <row r="103">
      <c r="A103" s="344" t="n"/>
      <c r="B103" s="344" t="n"/>
      <c r="C103" s="344" t="n"/>
      <c r="D103" s="344" t="n"/>
      <c r="E103" s="344" t="n"/>
      <c r="F103" s="344" t="n"/>
      <c r="G103" s="344" t="n"/>
      <c r="H103" s="344" t="n"/>
    </row>
    <row r="104">
      <c r="A104" s="344" t="n"/>
      <c r="B104" s="344" t="n"/>
      <c r="C104" s="344" t="n"/>
      <c r="D104" s="344" t="n"/>
      <c r="E104" s="344" t="n"/>
      <c r="F104" s="344" t="n"/>
      <c r="G104" s="344" t="n"/>
      <c r="H104" s="344" t="n"/>
    </row>
    <row r="105">
      <c r="A105" s="344" t="n"/>
      <c r="B105" s="344" t="n"/>
      <c r="C105" s="344" t="n"/>
      <c r="D105" s="344" t="n"/>
      <c r="E105" s="344" t="n"/>
      <c r="F105" s="344" t="n"/>
      <c r="G105" s="344" t="n"/>
      <c r="H105" s="344" t="n"/>
    </row>
    <row r="106">
      <c r="A106" s="344" t="n"/>
      <c r="B106" s="344" t="n"/>
      <c r="C106" s="344" t="n"/>
      <c r="D106" s="344" t="n"/>
      <c r="E106" s="344" t="n"/>
      <c r="F106" s="344" t="n"/>
      <c r="G106" s="344" t="n"/>
      <c r="H106" s="344" t="n"/>
    </row>
    <row r="107">
      <c r="A107" s="344" t="n"/>
      <c r="B107" s="344" t="n"/>
      <c r="C107" s="344" t="n"/>
      <c r="D107" s="344" t="n"/>
      <c r="E107" s="344" t="n"/>
      <c r="F107" s="344" t="n"/>
      <c r="G107" s="344" t="n"/>
      <c r="H107" s="344" t="n"/>
    </row>
    <row r="108">
      <c r="A108" s="344" t="n"/>
      <c r="B108" s="344" t="n"/>
      <c r="C108" s="344" t="n"/>
      <c r="D108" s="344" t="n"/>
      <c r="E108" s="344" t="n"/>
      <c r="F108" s="344" t="n"/>
      <c r="G108" s="344" t="n"/>
      <c r="H108" s="344" t="n"/>
    </row>
    <row r="109">
      <c r="A109" s="344" t="n"/>
      <c r="B109" s="344" t="n"/>
      <c r="C109" s="344" t="n"/>
      <c r="D109" s="344" t="n"/>
      <c r="E109" s="344" t="n"/>
      <c r="F109" s="344" t="n"/>
      <c r="G109" s="344" t="n"/>
      <c r="H109" s="344" t="n"/>
    </row>
    <row r="110">
      <c r="A110" s="344" t="n"/>
      <c r="B110" s="344" t="n"/>
      <c r="C110" s="344" t="n"/>
      <c r="D110" s="344" t="n"/>
      <c r="E110" s="344" t="n"/>
      <c r="F110" s="344" t="n"/>
      <c r="G110" s="344" t="n"/>
      <c r="H110" s="344" t="n"/>
    </row>
    <row r="111">
      <c r="A111" s="344" t="n"/>
      <c r="B111" s="344" t="n"/>
      <c r="C111" s="344" t="n"/>
      <c r="D111" s="344" t="n"/>
      <c r="E111" s="344" t="n"/>
      <c r="F111" s="344" t="n"/>
      <c r="G111" s="344" t="n"/>
      <c r="H111" s="344" t="n"/>
    </row>
    <row r="112">
      <c r="A112" s="344" t="n"/>
      <c r="B112" s="344" t="n"/>
      <c r="C112" s="344" t="n"/>
      <c r="D112" s="344" t="n"/>
      <c r="E112" s="344" t="n"/>
      <c r="F112" s="344" t="n"/>
      <c r="G112" s="344" t="n"/>
      <c r="H112" s="344" t="n"/>
    </row>
    <row r="113">
      <c r="A113" s="344" t="n"/>
      <c r="B113" s="344" t="n"/>
      <c r="C113" s="344" t="n"/>
      <c r="D113" s="344" t="n"/>
      <c r="E113" s="344" t="n"/>
      <c r="F113" s="344" t="n"/>
      <c r="G113" s="344" t="n"/>
      <c r="H113" s="344" t="n"/>
    </row>
    <row r="114">
      <c r="A114" s="344" t="n"/>
      <c r="B114" s="344" t="n"/>
      <c r="C114" s="344" t="n"/>
      <c r="D114" s="344" t="n"/>
      <c r="E114" s="344" t="n"/>
      <c r="F114" s="344" t="n"/>
      <c r="G114" s="344" t="n"/>
      <c r="H114" s="344" t="n"/>
    </row>
    <row r="115">
      <c r="A115" s="344" t="n"/>
      <c r="B115" s="344" t="n"/>
      <c r="C115" s="344" t="n"/>
      <c r="D115" s="344" t="n"/>
      <c r="E115" s="344" t="n"/>
      <c r="F115" s="344" t="n"/>
      <c r="G115" s="344" t="n"/>
      <c r="H115" s="344" t="n"/>
    </row>
    <row r="116">
      <c r="A116" s="344" t="n"/>
      <c r="B116" s="344" t="n"/>
      <c r="C116" s="344" t="n"/>
      <c r="D116" s="344" t="n"/>
      <c r="E116" s="344" t="n"/>
      <c r="F116" s="344" t="n"/>
      <c r="G116" s="344" t="n"/>
      <c r="H116" s="344" t="n"/>
    </row>
    <row r="117">
      <c r="A117" s="344" t="n"/>
      <c r="B117" s="344" t="n"/>
      <c r="C117" s="344" t="n"/>
      <c r="D117" s="344" t="n"/>
      <c r="E117" s="344" t="n"/>
      <c r="F117" s="344" t="n"/>
      <c r="G117" s="344" t="n"/>
      <c r="H117" s="344" t="n"/>
    </row>
    <row r="118">
      <c r="A118" s="344" t="n"/>
      <c r="B118" s="344" t="n"/>
      <c r="C118" s="344" t="n"/>
      <c r="D118" s="344" t="n"/>
      <c r="E118" s="344" t="n"/>
      <c r="F118" s="344" t="n"/>
      <c r="G118" s="344" t="n"/>
      <c r="H118" s="344" t="n"/>
    </row>
    <row r="119">
      <c r="A119" s="344" t="n"/>
      <c r="B119" s="344" t="n"/>
      <c r="C119" s="344" t="n"/>
      <c r="D119" s="344" t="n"/>
      <c r="E119" s="344" t="n"/>
      <c r="F119" s="344" t="n"/>
      <c r="G119" s="344" t="n"/>
      <c r="H119" s="344" t="n"/>
    </row>
    <row r="120">
      <c r="A120" s="344" t="n"/>
      <c r="B120" s="344" t="n"/>
      <c r="C120" s="344" t="n"/>
      <c r="D120" s="344" t="n"/>
      <c r="E120" s="344" t="n"/>
      <c r="F120" s="344" t="n"/>
      <c r="G120" s="344" t="n"/>
      <c r="H120" s="344" t="n"/>
    </row>
    <row r="121">
      <c r="A121" s="344" t="n"/>
      <c r="B121" s="344" t="n"/>
      <c r="C121" s="344" t="n"/>
      <c r="D121" s="344" t="n"/>
      <c r="E121" s="344" t="n"/>
      <c r="F121" s="344" t="n"/>
      <c r="G121" s="344" t="n"/>
      <c r="H121" s="344" t="n"/>
    </row>
    <row r="122">
      <c r="A122" s="344" t="n"/>
      <c r="B122" s="344" t="n"/>
      <c r="C122" s="344" t="n"/>
      <c r="D122" s="344" t="n"/>
      <c r="E122" s="344" t="n"/>
      <c r="F122" s="344" t="n"/>
      <c r="G122" s="344" t="n"/>
      <c r="H122" s="344" t="n"/>
    </row>
    <row r="123">
      <c r="A123" s="344" t="n"/>
      <c r="B123" s="344" t="n"/>
      <c r="C123" s="344" t="n"/>
      <c r="D123" s="344" t="n"/>
      <c r="E123" s="344" t="n"/>
      <c r="F123" s="344" t="n"/>
      <c r="G123" s="344" t="n"/>
      <c r="H123" s="344" t="n"/>
    </row>
    <row r="124">
      <c r="A124" s="344" t="n"/>
      <c r="B124" s="344" t="n"/>
      <c r="C124" s="344" t="n"/>
      <c r="D124" s="344" t="n"/>
      <c r="E124" s="344" t="n"/>
      <c r="F124" s="344" t="n"/>
      <c r="G124" s="344" t="n"/>
      <c r="H124" s="344" t="n"/>
    </row>
    <row r="125">
      <c r="A125" s="344" t="n"/>
      <c r="B125" s="344" t="n"/>
      <c r="C125" s="344" t="n"/>
      <c r="D125" s="344" t="n"/>
      <c r="E125" s="344" t="n"/>
      <c r="F125" s="344" t="n"/>
      <c r="G125" s="344" t="n"/>
      <c r="H125" s="344" t="n"/>
    </row>
    <row r="126">
      <c r="A126" s="344" t="n"/>
      <c r="B126" s="344" t="n"/>
      <c r="C126" s="344" t="n"/>
      <c r="D126" s="344" t="n"/>
      <c r="E126" s="344" t="n"/>
      <c r="F126" s="344" t="n"/>
      <c r="G126" s="344" t="n"/>
      <c r="H126" s="344" t="n"/>
    </row>
    <row r="127">
      <c r="A127" s="344" t="n"/>
      <c r="B127" s="344" t="n"/>
      <c r="C127" s="344" t="n"/>
      <c r="D127" s="344" t="n"/>
      <c r="E127" s="344" t="n"/>
      <c r="F127" s="344" t="n"/>
      <c r="G127" s="344" t="n"/>
      <c r="H127" s="344" t="n"/>
    </row>
    <row r="128">
      <c r="A128" s="344" t="n"/>
      <c r="B128" s="344" t="n"/>
      <c r="C128" s="344" t="n"/>
      <c r="D128" s="344" t="n"/>
      <c r="E128" s="344" t="n"/>
      <c r="F128" s="344" t="n"/>
      <c r="G128" s="344" t="n"/>
      <c r="H128" s="344" t="n"/>
    </row>
    <row r="129">
      <c r="A129" s="344" t="n"/>
      <c r="B129" s="344" t="n"/>
      <c r="C129" s="344" t="n"/>
      <c r="D129" s="344" t="n"/>
      <c r="E129" s="344" t="n"/>
      <c r="F129" s="344" t="n"/>
      <c r="G129" s="344" t="n"/>
      <c r="H129" s="344" t="n"/>
    </row>
    <row r="130">
      <c r="A130" s="344" t="n"/>
      <c r="B130" s="344" t="n"/>
      <c r="C130" s="344" t="n"/>
      <c r="D130" s="344" t="n"/>
      <c r="E130" s="344" t="n"/>
      <c r="F130" s="344" t="n"/>
      <c r="G130" s="344" t="n"/>
      <c r="H130" s="344" t="n"/>
    </row>
    <row r="131">
      <c r="A131" s="344" t="n"/>
      <c r="B131" s="344" t="n"/>
      <c r="C131" s="344" t="n"/>
      <c r="D131" s="344" t="n"/>
      <c r="E131" s="344" t="n"/>
      <c r="F131" s="344" t="n"/>
      <c r="G131" s="344" t="n"/>
      <c r="H131" s="344" t="n"/>
    </row>
    <row r="132">
      <c r="A132" s="344" t="n"/>
      <c r="B132" s="344" t="n"/>
      <c r="C132" s="344" t="n"/>
      <c r="D132" s="344" t="n"/>
      <c r="E132" s="344" t="n"/>
      <c r="F132" s="344" t="n"/>
      <c r="G132" s="344" t="n"/>
      <c r="H132" s="344" t="n"/>
    </row>
    <row r="133">
      <c r="A133" s="344" t="n"/>
      <c r="B133" s="344" t="n"/>
      <c r="C133" s="344" t="n"/>
      <c r="D133" s="344" t="n"/>
      <c r="E133" s="344" t="n"/>
      <c r="F133" s="344" t="n"/>
      <c r="G133" s="344" t="n"/>
      <c r="H133" s="344" t="n"/>
    </row>
    <row r="134">
      <c r="A134" s="344" t="n"/>
      <c r="B134" s="344" t="n"/>
      <c r="C134" s="344" t="n"/>
      <c r="D134" s="344" t="n"/>
      <c r="E134" s="344" t="n"/>
      <c r="F134" s="344" t="n"/>
      <c r="G134" s="344" t="n"/>
      <c r="H134" s="344" t="n"/>
    </row>
    <row r="135">
      <c r="A135" s="344" t="n"/>
      <c r="B135" s="344" t="n"/>
      <c r="C135" s="344" t="n"/>
      <c r="D135" s="344" t="n"/>
      <c r="E135" s="344" t="n"/>
      <c r="F135" s="344" t="n"/>
      <c r="G135" s="344" t="n"/>
      <c r="H135" s="344" t="n"/>
    </row>
    <row r="136">
      <c r="A136" s="344" t="n"/>
      <c r="B136" s="344" t="n"/>
      <c r="C136" s="344" t="n"/>
      <c r="D136" s="344" t="n"/>
      <c r="E136" s="344" t="n"/>
      <c r="F136" s="344" t="n"/>
      <c r="G136" s="344" t="n"/>
      <c r="H136" s="344" t="n"/>
    </row>
    <row r="137">
      <c r="A137" s="344" t="n"/>
      <c r="B137" s="344" t="n"/>
      <c r="C137" s="344" t="n"/>
      <c r="D137" s="344" t="n"/>
      <c r="E137" s="344" t="n"/>
      <c r="F137" s="344" t="n"/>
      <c r="G137" s="344" t="n"/>
      <c r="H137" s="344" t="n"/>
    </row>
    <row r="138">
      <c r="A138" s="344" t="n"/>
      <c r="B138" s="344" t="n"/>
      <c r="C138" s="344" t="n"/>
      <c r="D138" s="344" t="n"/>
      <c r="E138" s="344" t="n"/>
      <c r="F138" s="344" t="n"/>
      <c r="G138" s="344" t="n"/>
      <c r="H138" s="344" t="n"/>
    </row>
    <row r="139">
      <c r="A139" s="344" t="n"/>
      <c r="B139" s="344" t="n"/>
      <c r="C139" s="344" t="n"/>
      <c r="D139" s="344" t="n"/>
      <c r="E139" s="344" t="n"/>
      <c r="F139" s="344" t="n"/>
      <c r="G139" s="344" t="n"/>
      <c r="H139" s="344" t="n"/>
    </row>
    <row r="140">
      <c r="A140" s="344" t="n"/>
      <c r="B140" s="344" t="n"/>
      <c r="C140" s="344" t="n"/>
      <c r="D140" s="344" t="n"/>
      <c r="E140" s="344" t="n"/>
      <c r="F140" s="344" t="n"/>
      <c r="G140" s="344" t="n"/>
      <c r="H140" s="344" t="n"/>
    </row>
    <row r="141">
      <c r="A141" s="344" t="n"/>
      <c r="B141" s="344" t="n"/>
      <c r="C141" s="344" t="n"/>
      <c r="D141" s="344" t="n"/>
      <c r="E141" s="344" t="n"/>
      <c r="F141" s="344" t="n"/>
      <c r="G141" s="344" t="n"/>
      <c r="H141" s="344" t="n"/>
    </row>
    <row r="142">
      <c r="A142" s="344" t="n"/>
      <c r="B142" s="344" t="n"/>
      <c r="C142" s="344" t="n"/>
      <c r="D142" s="344" t="n"/>
      <c r="E142" s="344" t="n"/>
      <c r="F142" s="344" t="n"/>
      <c r="G142" s="344" t="n"/>
      <c r="H142" s="344" t="n"/>
    </row>
    <row r="143">
      <c r="A143" s="344" t="n"/>
      <c r="B143" s="344" t="n"/>
      <c r="C143" s="344" t="n"/>
      <c r="D143" s="344" t="n"/>
      <c r="E143" s="344" t="n"/>
      <c r="F143" s="344" t="n"/>
      <c r="G143" s="344" t="n"/>
      <c r="H143" s="344" t="n"/>
    </row>
    <row r="144">
      <c r="A144" s="344" t="n"/>
      <c r="B144" s="344" t="n"/>
      <c r="C144" s="344" t="n"/>
      <c r="D144" s="344" t="n"/>
      <c r="E144" s="344" t="n"/>
      <c r="F144" s="344" t="n"/>
      <c r="G144" s="344" t="n"/>
      <c r="H144" s="344" t="n"/>
    </row>
    <row r="145">
      <c r="A145" s="344" t="n"/>
      <c r="B145" s="344" t="n"/>
      <c r="C145" s="344" t="n"/>
      <c r="D145" s="344" t="n"/>
      <c r="E145" s="344" t="n"/>
      <c r="F145" s="344" t="n"/>
      <c r="G145" s="344" t="n"/>
      <c r="H145" s="344" t="n"/>
    </row>
    <row r="146">
      <c r="A146" s="344" t="n"/>
      <c r="B146" s="344" t="n"/>
      <c r="C146" s="344" t="n"/>
      <c r="D146" s="344" t="n"/>
      <c r="E146" s="344" t="n"/>
      <c r="F146" s="344" t="n"/>
      <c r="G146" s="344" t="n"/>
      <c r="H146" s="344" t="n"/>
    </row>
    <row r="147">
      <c r="A147" s="344" t="n"/>
      <c r="B147" s="344" t="n"/>
      <c r="C147" s="344" t="n"/>
      <c r="D147" s="344" t="n"/>
      <c r="E147" s="344" t="n"/>
      <c r="F147" s="344" t="n"/>
      <c r="G147" s="344" t="n"/>
      <c r="H147" s="344" t="n"/>
    </row>
    <row r="148">
      <c r="A148" s="344" t="n"/>
      <c r="B148" s="344" t="n"/>
      <c r="C148" s="344" t="n"/>
      <c r="D148" s="344" t="n"/>
      <c r="E148" s="344" t="n"/>
      <c r="F148" s="344" t="n"/>
      <c r="G148" s="344" t="n"/>
      <c r="H148" s="344" t="n"/>
    </row>
    <row r="149">
      <c r="A149" s="344" t="n"/>
      <c r="B149" s="344" t="n"/>
      <c r="C149" s="344" t="n"/>
      <c r="D149" s="344" t="n"/>
      <c r="E149" s="344" t="n"/>
      <c r="F149" s="344" t="n"/>
      <c r="G149" s="344" t="n"/>
      <c r="H149" s="344" t="n"/>
    </row>
    <row r="150">
      <c r="A150" s="344" t="n"/>
      <c r="B150" s="344" t="n"/>
      <c r="C150" s="344" t="n"/>
      <c r="D150" s="344" t="n"/>
      <c r="E150" s="344" t="n"/>
      <c r="F150" s="344" t="n"/>
      <c r="G150" s="344" t="n"/>
      <c r="H150" s="344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26" t="n"/>
      <c r="B1" s="326" t="n"/>
      <c r="C1" s="326" t="n"/>
      <c r="D1" s="326" t="n"/>
      <c r="E1" s="327" t="n"/>
    </row>
    <row r="2" ht="37.25" customHeight="1">
      <c r="A2" s="326" t="n"/>
      <c r="B2" s="326" t="n"/>
      <c r="C2" s="326" t="n"/>
      <c r="D2" s="326" t="n"/>
      <c r="E2" s="327" t="n"/>
    </row>
    <row r="3" ht="33.6" customHeight="1">
      <c r="A3" s="326" t="n"/>
      <c r="B3" s="328" t="inlineStr">
        <is>
          <t>PT. EXSPAN WIRELINE INDONESIA</t>
        </is>
      </c>
      <c r="F3" s="329" t="n"/>
    </row>
    <row r="4" ht="20.45" customHeight="1">
      <c r="A4" s="326" t="n"/>
      <c r="B4" s="331" t="inlineStr">
        <is>
          <t>BUSINESS SUMMARY | TAHUN 2030</t>
        </is>
      </c>
      <c r="F4" s="329" t="n"/>
    </row>
    <row r="5" ht="6" customHeight="1">
      <c r="A5" s="326" t="n"/>
      <c r="B5" s="326" t="n"/>
      <c r="C5" s="326" t="n"/>
      <c r="D5" s="326" t="n"/>
      <c r="E5" s="327" t="n"/>
      <c r="F5" s="329" t="n"/>
    </row>
    <row r="6" ht="20" customHeight="1">
      <c r="A6" s="326" t="n"/>
      <c r="B6" s="375" t="inlineStr">
        <is>
          <t>#</t>
        </is>
      </c>
      <c r="C6" s="375" t="inlineStr">
        <is>
          <t>Items</t>
        </is>
      </c>
      <c r="D6" s="376" t="inlineStr">
        <is>
          <t>Amount</t>
        </is>
      </c>
      <c r="E6" s="227" t="n"/>
      <c r="F6" s="329" t="n"/>
    </row>
    <row r="7" ht="20" customHeight="1">
      <c r="A7" s="326" t="n"/>
      <c r="B7" s="377" t="n">
        <v>1</v>
      </c>
      <c r="C7" s="378" t="inlineStr">
        <is>
          <t>Revenue</t>
        </is>
      </c>
      <c r="D7" s="379" t="inlineStr">
        <is>
          <t>Rp</t>
        </is>
      </c>
      <c r="E7" s="380">
        <f>SUM('Revenue-Cost_2030'!F8:F8)</f>
        <v/>
      </c>
      <c r="F7" s="329" t="n"/>
    </row>
    <row r="8" ht="20" customHeight="1">
      <c r="A8" s="326" t="n"/>
      <c r="B8" s="377" t="n">
        <v>2</v>
      </c>
      <c r="C8" s="378" t="inlineStr">
        <is>
          <t>Revenue Diterima (Setelah Pajak)</t>
        </is>
      </c>
      <c r="D8" s="379" t="inlineStr">
        <is>
          <t>Rp</t>
        </is>
      </c>
      <c r="E8" s="380">
        <f>E7-SUM('Revenue-Cost_2030'!N8:N8)</f>
        <v/>
      </c>
      <c r="F8" s="329" t="n"/>
    </row>
    <row r="9" ht="20" customHeight="1">
      <c r="A9" s="326" t="n"/>
      <c r="B9" s="377" t="n">
        <v>3</v>
      </c>
      <c r="C9" s="378" t="inlineStr">
        <is>
          <t>Biaya</t>
        </is>
      </c>
      <c r="D9" s="379" t="inlineStr">
        <is>
          <t>Rp</t>
        </is>
      </c>
      <c r="E9" s="380">
        <f>SUM('Revenue-Cost_2030'!I107:N107)</f>
        <v/>
      </c>
      <c r="F9" s="329" t="n"/>
    </row>
    <row r="10" ht="20" customHeight="1">
      <c r="A10" s="326" t="n"/>
      <c r="B10" s="377" t="n">
        <v>4</v>
      </c>
      <c r="C10" s="378" t="inlineStr">
        <is>
          <t>Profit SebelumTax</t>
        </is>
      </c>
      <c r="D10" s="379" t="inlineStr">
        <is>
          <t>Rp</t>
        </is>
      </c>
      <c r="E10" s="380">
        <f>E7-E9</f>
        <v/>
      </c>
      <c r="F10" s="329" t="n"/>
    </row>
    <row r="11" ht="20" customHeight="1">
      <c r="A11" s="326" t="n"/>
      <c r="B11" s="377" t="n">
        <v>5</v>
      </c>
      <c r="C11" s="378" t="inlineStr">
        <is>
          <t>PPh Badan (22%*50%)</t>
        </is>
      </c>
      <c r="D11" s="379" t="inlineStr">
        <is>
          <t>Rp</t>
        </is>
      </c>
      <c r="E11" s="380">
        <f>E10*22%*50%</f>
        <v/>
      </c>
      <c r="F11" s="329" t="n"/>
    </row>
    <row r="12" ht="20" customHeight="1">
      <c r="A12" s="326" t="n"/>
      <c r="B12" s="377" t="n">
        <v>6</v>
      </c>
      <c r="C12" s="378" t="inlineStr">
        <is>
          <t>PPh 23 Dipotong oleh client</t>
        </is>
      </c>
      <c r="D12" s="379" t="inlineStr">
        <is>
          <t>Rp</t>
        </is>
      </c>
      <c r="E12" s="380">
        <f>SUM('Revenue-Cost_2030'!N8:N8)</f>
        <v/>
      </c>
      <c r="F12" s="329" t="n"/>
    </row>
    <row r="13" ht="20" customHeight="1">
      <c r="A13" s="326" t="n"/>
      <c r="B13" s="377" t="n">
        <v>7</v>
      </c>
      <c r="C13" s="378" t="inlineStr">
        <is>
          <t>Kekurangan Bayar PPh Badan</t>
        </is>
      </c>
      <c r="D13" s="379" t="inlineStr">
        <is>
          <t>Rp</t>
        </is>
      </c>
      <c r="E13" s="381">
        <f>E11-E12</f>
        <v/>
      </c>
      <c r="F13" s="329" t="n"/>
    </row>
    <row r="14" ht="20" customHeight="1">
      <c r="A14" s="326" t="n"/>
      <c r="B14" s="377" t="n">
        <v>8</v>
      </c>
      <c r="C14" s="378" t="inlineStr">
        <is>
          <t>Profit After Tax</t>
        </is>
      </c>
      <c r="D14" s="379" t="inlineStr">
        <is>
          <t>Rp</t>
        </is>
      </c>
      <c r="E14" s="380">
        <f>E10-E13</f>
        <v/>
      </c>
      <c r="F14" s="329" t="n"/>
    </row>
    <row r="15" ht="20" customHeight="1">
      <c r="A15" s="326" t="n"/>
      <c r="B15" s="377" t="n">
        <v>9</v>
      </c>
      <c r="C15" s="378" t="inlineStr">
        <is>
          <t>Deviden Dibagi</t>
        </is>
      </c>
      <c r="D15" s="379" t="inlineStr">
        <is>
          <t>Rp</t>
        </is>
      </c>
      <c r="E15" s="380">
        <f>E14-E16</f>
        <v/>
      </c>
      <c r="F15" s="329" t="n"/>
    </row>
    <row r="16" ht="20" customHeight="1">
      <c r="A16" s="326" t="n"/>
      <c r="B16" s="377" t="n">
        <v>10</v>
      </c>
      <c r="C16" s="378" t="inlineStr">
        <is>
          <t>Profit Ditahan</t>
        </is>
      </c>
      <c r="D16" s="379" t="inlineStr">
        <is>
          <t>Rp</t>
        </is>
      </c>
      <c r="E16" s="380" t="n">
        <v>0</v>
      </c>
      <c r="F16" s="329" t="n"/>
    </row>
    <row r="17" ht="13.9" customHeight="1">
      <c r="A17" s="326" t="n"/>
      <c r="B17" s="326" t="n"/>
      <c r="C17" s="326" t="n"/>
      <c r="D17" s="326" t="n"/>
      <c r="E17" s="327" t="n"/>
      <c r="F17" s="329" t="n"/>
    </row>
    <row r="18" ht="17.65" customHeight="1">
      <c r="A18" s="326" t="n"/>
      <c r="B18" s="382" t="inlineStr">
        <is>
          <t>DEVIDEN</t>
        </is>
      </c>
      <c r="F18" s="329" t="n"/>
    </row>
    <row r="19" ht="20" customHeight="1">
      <c r="A19" s="326" t="n"/>
      <c r="B19" s="383" t="inlineStr">
        <is>
          <t>#</t>
        </is>
      </c>
      <c r="C19" s="383" t="inlineStr">
        <is>
          <t>Nama Lengkap</t>
        </is>
      </c>
      <c r="D19" s="384" t="inlineStr">
        <is>
          <t>Rp</t>
        </is>
      </c>
      <c r="E19" s="385" t="inlineStr">
        <is>
          <t>Amount</t>
        </is>
      </c>
      <c r="F19" s="329" t="n"/>
      <c r="G19" s="386" t="inlineStr"/>
    </row>
    <row r="20" ht="18" customHeight="1">
      <c r="A20" s="326" t="n"/>
      <c r="B20" s="387" t="n"/>
      <c r="C20" s="388" t="n"/>
      <c r="D20" s="389" t="n"/>
      <c r="E20" s="390" t="n"/>
      <c r="F20" s="391" t="n"/>
      <c r="G20" s="392" t="n"/>
    </row>
    <row r="21" ht="48.75" customHeight="1">
      <c r="A21" s="393" t="n"/>
      <c r="B21" s="394" t="n"/>
      <c r="C21" s="394" t="n"/>
      <c r="D21" s="394" t="n"/>
      <c r="E21" s="394" t="n"/>
      <c r="F21" s="391" t="n"/>
      <c r="G21" s="394" t="n"/>
    </row>
    <row r="22" ht="14.25" customHeight="1">
      <c r="A22" s="393" t="n"/>
      <c r="B22" s="394" t="n"/>
      <c r="C22" s="394" t="n"/>
      <c r="D22" s="394" t="n"/>
      <c r="E22" s="394" t="n"/>
      <c r="F22" s="391" t="n"/>
      <c r="G22" s="394" t="n"/>
    </row>
    <row r="23">
      <c r="B23" s="394" t="n"/>
      <c r="C23" s="394" t="n"/>
      <c r="D23" s="394" t="n"/>
      <c r="E23" s="394" t="n"/>
      <c r="F23" s="394" t="n"/>
      <c r="G23" s="394" t="n"/>
    </row>
    <row r="24">
      <c r="B24" s="394" t="n"/>
      <c r="C24" s="394" t="n"/>
      <c r="D24" s="394" t="n"/>
      <c r="E24" s="394" t="n"/>
      <c r="F24" s="394" t="n"/>
      <c r="G24" s="394" t="n"/>
    </row>
    <row r="25">
      <c r="B25" s="394" t="n"/>
      <c r="C25" s="394" t="n"/>
      <c r="D25" s="394" t="n"/>
      <c r="E25" s="394" t="n"/>
      <c r="F25" s="394" t="n"/>
      <c r="G25" s="394" t="n"/>
    </row>
    <row r="26">
      <c r="B26" s="394" t="n"/>
      <c r="C26" s="394" t="n"/>
      <c r="D26" s="394" t="n"/>
      <c r="E26" s="394" t="n"/>
      <c r="F26" s="394" t="n"/>
      <c r="G26" s="394" t="n"/>
    </row>
    <row r="27">
      <c r="B27" s="394" t="n"/>
      <c r="C27" s="394" t="n"/>
      <c r="D27" s="394" t="n"/>
      <c r="E27" s="394" t="n"/>
      <c r="F27" s="394" t="n"/>
      <c r="G27" s="394" t="n"/>
    </row>
    <row r="28">
      <c r="B28" s="394" t="n"/>
      <c r="C28" s="394" t="n"/>
      <c r="D28" s="394" t="n"/>
      <c r="E28" s="394" t="n"/>
      <c r="F28" s="394" t="n"/>
      <c r="G28" s="394" t="n"/>
    </row>
    <row r="29">
      <c r="B29" s="394" t="n"/>
      <c r="C29" s="394" t="n"/>
      <c r="D29" s="394" t="n"/>
      <c r="E29" s="394" t="n"/>
      <c r="F29" s="394" t="n"/>
      <c r="G29" s="394" t="n"/>
    </row>
    <row r="30">
      <c r="B30" s="394" t="n"/>
      <c r="C30" s="394" t="n"/>
      <c r="D30" s="394" t="n"/>
      <c r="E30" s="394" t="n"/>
      <c r="F30" s="394" t="n"/>
      <c r="G30" s="394" t="n"/>
    </row>
    <row r="31">
      <c r="B31" s="394" t="n"/>
      <c r="C31" s="394" t="n"/>
      <c r="D31" s="394" t="n"/>
      <c r="E31" s="394" t="n"/>
      <c r="F31" s="394" t="n"/>
      <c r="G31" s="394" t="n"/>
    </row>
    <row r="32">
      <c r="B32" s="394" t="n"/>
      <c r="C32" s="394" t="n"/>
      <c r="D32" s="394" t="n"/>
      <c r="E32" s="394" t="n"/>
      <c r="F32" s="394" t="n"/>
      <c r="G32" s="394" t="n"/>
    </row>
    <row r="33">
      <c r="B33" s="394" t="n"/>
      <c r="C33" s="394" t="n"/>
      <c r="D33" s="394" t="n"/>
      <c r="E33" s="394" t="n"/>
      <c r="F33" s="394" t="n"/>
      <c r="G33" s="394" t="n"/>
    </row>
    <row r="34">
      <c r="B34" s="394" t="n"/>
      <c r="C34" s="394" t="n"/>
      <c r="D34" s="394" t="n"/>
      <c r="E34" s="394" t="n"/>
      <c r="F34" s="394" t="n"/>
      <c r="G34" s="394" t="n"/>
    </row>
    <row r="35">
      <c r="B35" s="394" t="n"/>
      <c r="C35" s="394" t="n"/>
      <c r="D35" s="394" t="n"/>
      <c r="E35" s="394" t="n"/>
      <c r="F35" s="394" t="n"/>
      <c r="G35" s="394" t="n"/>
    </row>
    <row r="36">
      <c r="B36" s="394" t="n"/>
      <c r="C36" s="394" t="n"/>
      <c r="D36" s="394" t="n"/>
      <c r="E36" s="394" t="n"/>
      <c r="F36" s="394" t="n"/>
      <c r="G36" s="394" t="n"/>
    </row>
    <row r="37">
      <c r="B37" s="394" t="n"/>
      <c r="C37" s="394" t="n"/>
      <c r="D37" s="394" t="n"/>
      <c r="E37" s="394" t="n"/>
      <c r="F37" s="394" t="n"/>
      <c r="G37" s="394" t="n"/>
    </row>
    <row r="38">
      <c r="B38" s="394" t="n"/>
      <c r="C38" s="394" t="n"/>
      <c r="D38" s="394" t="n"/>
      <c r="E38" s="394" t="n"/>
      <c r="F38" s="394" t="n"/>
      <c r="G38" s="394" t="n"/>
    </row>
    <row r="39">
      <c r="B39" s="394" t="n"/>
      <c r="C39" s="394" t="n"/>
      <c r="D39" s="394" t="n"/>
      <c r="E39" s="394" t="n"/>
      <c r="F39" s="394" t="n"/>
      <c r="G39" s="394" t="n"/>
    </row>
    <row r="40">
      <c r="B40" s="394" t="n"/>
      <c r="C40" s="394" t="n"/>
      <c r="D40" s="394" t="n"/>
      <c r="E40" s="394" t="n"/>
      <c r="F40" s="394" t="n"/>
      <c r="G40" s="394" t="n"/>
    </row>
    <row r="41">
      <c r="B41" s="394" t="n"/>
      <c r="C41" s="394" t="n"/>
      <c r="D41" s="394" t="n"/>
      <c r="E41" s="394" t="n"/>
      <c r="F41" s="394" t="n"/>
      <c r="G41" s="394" t="n"/>
    </row>
    <row r="42">
      <c r="B42" s="394" t="n"/>
      <c r="C42" s="394" t="n"/>
      <c r="D42" s="394" t="n"/>
      <c r="E42" s="394" t="n"/>
      <c r="F42" s="394" t="n"/>
      <c r="G42" s="394" t="n"/>
    </row>
    <row r="43">
      <c r="B43" s="394" t="n"/>
      <c r="C43" s="394" t="n"/>
      <c r="D43" s="394" t="n"/>
      <c r="E43" s="394" t="n"/>
      <c r="F43" s="394" t="n"/>
      <c r="G43" s="394" t="n"/>
    </row>
    <row r="44">
      <c r="B44" s="394" t="n"/>
      <c r="C44" s="394" t="n"/>
      <c r="D44" s="394" t="n"/>
      <c r="E44" s="394" t="n"/>
      <c r="F44" s="394" t="n"/>
      <c r="G44" s="394" t="n"/>
    </row>
    <row r="45">
      <c r="B45" s="394" t="n"/>
      <c r="C45" s="394" t="n"/>
      <c r="D45" s="394" t="n"/>
      <c r="E45" s="394" t="n"/>
      <c r="F45" s="394" t="n"/>
      <c r="G45" s="394" t="n"/>
    </row>
    <row r="46">
      <c r="B46" s="394" t="n"/>
      <c r="C46" s="394" t="n"/>
      <c r="D46" s="394" t="n"/>
      <c r="E46" s="394" t="n"/>
      <c r="F46" s="394" t="n"/>
      <c r="G46" s="394" t="n"/>
    </row>
    <row r="47">
      <c r="B47" s="394" t="n"/>
      <c r="C47" s="394" t="n"/>
      <c r="D47" s="394" t="n"/>
      <c r="E47" s="394" t="n"/>
      <c r="F47" s="394" t="n"/>
      <c r="G47" s="394" t="n"/>
    </row>
    <row r="48">
      <c r="B48" s="394" t="n"/>
      <c r="C48" s="394" t="n"/>
      <c r="D48" s="394" t="n"/>
      <c r="E48" s="394" t="n"/>
      <c r="F48" s="394" t="n"/>
      <c r="G48" s="394" t="n"/>
    </row>
    <row r="49">
      <c r="B49" s="394" t="n"/>
      <c r="C49" s="394" t="n"/>
      <c r="D49" s="394" t="n"/>
      <c r="E49" s="394" t="n"/>
      <c r="F49" s="394" t="n"/>
      <c r="G49" s="394" t="n"/>
    </row>
    <row r="50">
      <c r="B50" s="394" t="n"/>
      <c r="C50" s="394" t="n"/>
      <c r="D50" s="394" t="n"/>
      <c r="E50" s="394" t="n"/>
      <c r="F50" s="394" t="n"/>
      <c r="G50" s="394" t="n"/>
    </row>
    <row r="51">
      <c r="B51" s="394" t="n"/>
      <c r="C51" s="394" t="n"/>
      <c r="D51" s="394" t="n"/>
      <c r="E51" s="394" t="n"/>
      <c r="F51" s="394" t="n"/>
      <c r="G51" s="394" t="n"/>
    </row>
    <row r="52">
      <c r="B52" s="394" t="n"/>
      <c r="C52" s="394" t="n"/>
      <c r="D52" s="394" t="n"/>
      <c r="E52" s="394" t="n"/>
      <c r="F52" s="394" t="n"/>
      <c r="G52" s="394" t="n"/>
    </row>
    <row r="53">
      <c r="B53" s="394" t="n"/>
      <c r="C53" s="394" t="n"/>
      <c r="D53" s="394" t="n"/>
      <c r="E53" s="394" t="n"/>
      <c r="F53" s="394" t="n"/>
      <c r="G53" s="394" t="n"/>
    </row>
    <row r="54">
      <c r="B54" s="394" t="n"/>
      <c r="C54" s="394" t="n"/>
      <c r="D54" s="394" t="n"/>
      <c r="E54" s="394" t="n"/>
      <c r="F54" s="394" t="n"/>
      <c r="G54" s="394" t="n"/>
    </row>
    <row r="55">
      <c r="B55" s="394" t="n"/>
      <c r="C55" s="394" t="n"/>
      <c r="D55" s="394" t="n"/>
      <c r="E55" s="394" t="n"/>
      <c r="F55" s="394" t="n"/>
      <c r="G55" s="394" t="n"/>
    </row>
    <row r="56">
      <c r="B56" s="394" t="n"/>
      <c r="C56" s="394" t="n"/>
      <c r="D56" s="394" t="n"/>
      <c r="E56" s="394" t="n"/>
      <c r="F56" s="394" t="n"/>
      <c r="G56" s="394" t="n"/>
    </row>
    <row r="57">
      <c r="B57" s="394" t="n"/>
      <c r="C57" s="394" t="n"/>
      <c r="D57" s="394" t="n"/>
      <c r="E57" s="394" t="n"/>
      <c r="F57" s="394" t="n"/>
      <c r="G57" s="394" t="n"/>
    </row>
    <row r="58">
      <c r="B58" s="394" t="n"/>
      <c r="C58" s="394" t="n"/>
      <c r="D58" s="394" t="n"/>
      <c r="E58" s="394" t="n"/>
      <c r="F58" s="394" t="n"/>
      <c r="G58" s="394" t="n"/>
    </row>
    <row r="59">
      <c r="B59" s="394" t="n"/>
      <c r="C59" s="394" t="n"/>
      <c r="D59" s="394" t="n"/>
      <c r="E59" s="394" t="n"/>
      <c r="F59" s="394" t="n"/>
      <c r="G59" s="394" t="n"/>
    </row>
    <row r="60">
      <c r="B60" s="394" t="n"/>
      <c r="C60" s="394" t="n"/>
      <c r="D60" s="394" t="n"/>
      <c r="E60" s="394" t="n"/>
      <c r="F60" s="394" t="n"/>
      <c r="G60" s="394" t="n"/>
    </row>
    <row r="61">
      <c r="B61" s="394" t="n"/>
      <c r="C61" s="394" t="n"/>
      <c r="D61" s="394" t="n"/>
      <c r="E61" s="394" t="n"/>
      <c r="F61" s="394" t="n"/>
      <c r="G61" s="394" t="n"/>
    </row>
    <row r="62">
      <c r="B62" s="394" t="n"/>
      <c r="C62" s="394" t="n"/>
      <c r="D62" s="394" t="n"/>
      <c r="E62" s="394" t="n"/>
      <c r="F62" s="394" t="n"/>
      <c r="G62" s="394" t="n"/>
    </row>
    <row r="63" ht="64.5" customHeight="1">
      <c r="B63" s="394" t="n"/>
      <c r="C63" s="394" t="n"/>
      <c r="D63" s="394" t="n"/>
      <c r="E63" s="394" t="n"/>
      <c r="F63" s="394" t="n"/>
      <c r="G63" s="394" t="n"/>
    </row>
    <row r="64">
      <c r="B64" s="394" t="n"/>
      <c r="C64" s="394" t="n"/>
      <c r="D64" s="394" t="n"/>
      <c r="E64" s="394" t="n"/>
      <c r="F64" s="394" t="n"/>
      <c r="G64" s="394" t="n"/>
    </row>
    <row r="65">
      <c r="B65" s="394" t="n"/>
      <c r="C65" s="394" t="n"/>
      <c r="D65" s="394" t="n"/>
      <c r="E65" s="394" t="n"/>
      <c r="F65" s="394" t="n"/>
      <c r="G65" s="394" t="n"/>
    </row>
    <row r="66">
      <c r="B66" s="394" t="n"/>
      <c r="C66" s="394" t="n"/>
      <c r="D66" s="394" t="n"/>
      <c r="E66" s="394" t="n"/>
      <c r="F66" s="394" t="n"/>
      <c r="G66" s="394" t="n"/>
    </row>
    <row r="67">
      <c r="B67" s="394" t="n"/>
      <c r="C67" s="394" t="n"/>
      <c r="D67" s="394" t="n"/>
      <c r="E67" s="394" t="n"/>
      <c r="F67" s="394" t="n"/>
      <c r="G67" s="394" t="n"/>
    </row>
    <row r="68">
      <c r="B68" s="394" t="n"/>
      <c r="C68" s="394" t="n"/>
      <c r="D68" s="394" t="n"/>
      <c r="E68" s="394" t="n"/>
      <c r="F68" s="394" t="n"/>
      <c r="G68" s="394" t="n"/>
    </row>
    <row r="69">
      <c r="B69" s="394" t="n"/>
      <c r="C69" s="394" t="n"/>
      <c r="D69" s="394" t="n"/>
      <c r="E69" s="394" t="n"/>
      <c r="F69" s="394" t="n"/>
      <c r="G69" s="394" t="n"/>
    </row>
    <row r="70">
      <c r="B70" s="394" t="n"/>
      <c r="C70" s="394" t="n"/>
      <c r="D70" s="394" t="n"/>
      <c r="E70" s="394" t="n"/>
      <c r="F70" s="394" t="n"/>
      <c r="G70" s="394" t="n"/>
    </row>
    <row r="71">
      <c r="B71" s="394" t="n"/>
      <c r="C71" s="394" t="n"/>
      <c r="D71" s="394" t="n"/>
      <c r="E71" s="394" t="n"/>
      <c r="F71" s="394" t="n"/>
      <c r="G71" s="394" t="n"/>
    </row>
    <row r="72">
      <c r="B72" s="394" t="n"/>
      <c r="C72" s="394" t="n"/>
      <c r="D72" s="394" t="n"/>
      <c r="E72" s="394" t="n"/>
      <c r="F72" s="394" t="n"/>
      <c r="G72" s="394" t="n"/>
    </row>
    <row r="73">
      <c r="B73" s="394" t="n"/>
      <c r="C73" s="394" t="n"/>
      <c r="D73" s="394" t="n"/>
      <c r="E73" s="394" t="n"/>
      <c r="F73" s="394" t="n"/>
      <c r="G73" s="394" t="n"/>
    </row>
    <row r="74">
      <c r="B74" s="394" t="n"/>
      <c r="C74" s="394" t="n"/>
      <c r="D74" s="394" t="n"/>
      <c r="E74" s="394" t="n"/>
      <c r="F74" s="394" t="n"/>
      <c r="G74" s="394" t="n"/>
    </row>
    <row r="75">
      <c r="B75" s="394" t="n"/>
      <c r="C75" s="394" t="n"/>
      <c r="D75" s="394" t="n"/>
      <c r="E75" s="394" t="n"/>
      <c r="F75" s="394" t="n"/>
      <c r="G75" s="394" t="n"/>
    </row>
    <row r="76">
      <c r="B76" s="394" t="n"/>
      <c r="C76" s="394" t="n"/>
      <c r="D76" s="394" t="n"/>
      <c r="E76" s="394" t="n"/>
      <c r="F76" s="394" t="n"/>
      <c r="G76" s="394" t="n"/>
    </row>
    <row r="77">
      <c r="B77" s="394" t="n"/>
      <c r="C77" s="394" t="n"/>
      <c r="D77" s="394" t="n"/>
      <c r="E77" s="394" t="n"/>
      <c r="F77" s="394" t="n"/>
      <c r="G77" s="394" t="n"/>
    </row>
    <row r="78">
      <c r="B78" s="394" t="n"/>
      <c r="C78" s="394" t="n"/>
      <c r="D78" s="394" t="n"/>
      <c r="E78" s="394" t="n"/>
      <c r="F78" s="394" t="n"/>
      <c r="G78" s="394" t="n"/>
    </row>
    <row r="79">
      <c r="B79" s="394" t="n"/>
      <c r="C79" s="394" t="n"/>
      <c r="D79" s="394" t="n"/>
      <c r="E79" s="394" t="n"/>
      <c r="F79" s="394" t="n"/>
      <c r="G79" s="394" t="n"/>
    </row>
    <row r="80">
      <c r="B80" s="394" t="n"/>
      <c r="C80" s="394" t="n"/>
      <c r="D80" s="394" t="n"/>
      <c r="E80" s="394" t="n"/>
      <c r="F80" s="394" t="n"/>
      <c r="G80" s="394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2026-04-28T13:09:00Z</dcterms:modified>
  <cp:lastModifiedBy>Diofavian - Student</cp:lastModifiedBy>
</cp:coreProperties>
</file>